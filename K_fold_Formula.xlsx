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\Desktop\ML\"/>
    </mc:Choice>
  </mc:AlternateContent>
  <xr:revisionPtr revIDLastSave="0" documentId="13_ncr:1_{C9B6888E-888B-4B76-B760-9F3287747D18}" xr6:coauthVersionLast="47" xr6:coauthVersionMax="47" xr10:uidLastSave="{00000000-0000-0000-0000-000000000000}"/>
  <bookViews>
    <workbookView xWindow="-105" yWindow="0" windowWidth="9810" windowHeight="11385" firstSheet="1" activeTab="2" xr2:uid="{00000000-000D-0000-FFFF-FFFF00000000}"/>
  </bookViews>
  <sheets>
    <sheet name="Sheet2" sheetId="2" r:id="rId1"/>
    <sheet name="Sheet1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G6" i="4" s="1"/>
  <c r="D2" i="4"/>
  <c r="F2" i="3"/>
  <c r="G3" i="3" s="1"/>
  <c r="D2" i="3"/>
  <c r="E6" i="3"/>
  <c r="E6" i="4"/>
  <c r="F2" i="2"/>
  <c r="G6" i="2" s="1"/>
  <c r="D2" i="2"/>
  <c r="E4" i="2" s="1"/>
  <c r="G6" i="3" l="1"/>
  <c r="G2" i="3"/>
  <c r="G4" i="3"/>
  <c r="G4" i="4"/>
  <c r="G3" i="4"/>
  <c r="G5" i="4"/>
  <c r="G2" i="4"/>
  <c r="E2" i="3"/>
  <c r="E3" i="4"/>
  <c r="E5" i="4"/>
  <c r="E2" i="4"/>
  <c r="E4" i="4"/>
  <c r="E3" i="3"/>
  <c r="E5" i="3"/>
  <c r="G5" i="3"/>
  <c r="E4" i="3"/>
  <c r="G3" i="2"/>
  <c r="E2" i="2"/>
  <c r="E6" i="2"/>
  <c r="G4" i="2"/>
  <c r="G5" i="2"/>
  <c r="E5" i="2"/>
  <c r="E3" i="2"/>
  <c r="G2" i="2"/>
</calcChain>
</file>

<file path=xl/sharedStrings.xml><?xml version="1.0" encoding="utf-8"?>
<sst xmlns="http://schemas.openxmlformats.org/spreadsheetml/2006/main" count="56" uniqueCount="26">
  <si>
    <t>Fold</t>
  </si>
  <si>
    <t>Accuracy</t>
  </si>
  <si>
    <t>F1 Score</t>
  </si>
  <si>
    <t>Set</t>
  </si>
  <si>
    <t>Precision</t>
  </si>
  <si>
    <t>Recall</t>
  </si>
  <si>
    <t>F1</t>
  </si>
  <si>
    <t>All</t>
  </si>
  <si>
    <t>Train</t>
  </si>
  <si>
    <t>R2</t>
  </si>
  <si>
    <t>RMSE</t>
  </si>
  <si>
    <t>MAE</t>
  </si>
  <si>
    <t>AARD</t>
  </si>
  <si>
    <t>MARE</t>
  </si>
  <si>
    <t>COV</t>
  </si>
  <si>
    <t>U95</t>
  </si>
  <si>
    <t>SI</t>
  </si>
  <si>
    <t>MBE</t>
  </si>
  <si>
    <t>LogCoshLoss</t>
  </si>
  <si>
    <t>HuberLoss</t>
  </si>
  <si>
    <t>MAPE</t>
  </si>
  <si>
    <t>COM</t>
  </si>
  <si>
    <t>RAE</t>
  </si>
  <si>
    <t>Test</t>
  </si>
  <si>
    <t>Value</t>
  </si>
  <si>
    <t>Value-test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</si>
</sst>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14">
    <xf numFmtId="0" fontId="0" fillId="0" borderId="0" xfId="0"/>
    <xf numFmtId="0" fontId="3" fillId="4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5" borderId="0" xfId="0" applyFill="1"/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5" borderId="0" xfId="0" applyFill="1"/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5" borderId="0" xfId="0" applyFill="1"/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</cellXfs>
  <cellStyles count="3">
    <cellStyle name="Good 2" xfId="1" xr:uid="{ADA26BFB-D622-446A-91DE-FAA7BF09EC7E}"/>
    <cellStyle name="Neutral 2" xfId="2" xr:uid="{5727AFA4-E9D0-48FA-A088-E47DA4341A0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0F5D-82D2-408A-9968-BFD55D69CCBB}">
  <dimension ref="A1:G9"/>
  <sheetViews>
    <sheetView workbookViewId="0">
      <selection activeCell="G9" sqref="A1:G9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</row>
    <row r="2" spans="1:7" x14ac:dyDescent="0.25">
      <c r="A2">
        <v>1</v>
      </c>
      <c r="B2">
        <v>0.32315789473684209</v>
      </c>
      <c r="C2">
        <v>0.32282183307309059</v>
      </c>
      <c r="D2">
        <f>B9-B5</f>
        <v>0.57868421052631569</v>
      </c>
      <c r="E2">
        <f>D2+B2</f>
        <v>0.90184210526315778</v>
      </c>
      <c r="F2">
        <f>E9-C5</f>
        <v>0.58014521359593751</v>
      </c>
      <c r="G2">
        <f>F2+C2</f>
        <v>0.90296704666902805</v>
      </c>
    </row>
    <row r="3" spans="1:7" x14ac:dyDescent="0.25">
      <c r="A3">
        <v>2</v>
      </c>
      <c r="B3">
        <v>0.33684210526315789</v>
      </c>
      <c r="C3">
        <v>0.33724875536619697</v>
      </c>
      <c r="E3">
        <f>D2+B3</f>
        <v>0.91552631578947352</v>
      </c>
      <c r="G3">
        <f>F2+C3</f>
        <v>0.91739396896213443</v>
      </c>
    </row>
    <row r="4" spans="1:7" x14ac:dyDescent="0.25">
      <c r="A4">
        <v>3</v>
      </c>
      <c r="B4">
        <v>0.33684210526315789</v>
      </c>
      <c r="C4">
        <v>0.33610114798658092</v>
      </c>
      <c r="E4">
        <f>D2+B4</f>
        <v>0.91552631578947352</v>
      </c>
      <c r="G4">
        <f>F2+C4</f>
        <v>0.91624636158251849</v>
      </c>
    </row>
    <row r="5" spans="1:7" x14ac:dyDescent="0.25">
      <c r="A5" s="3">
        <v>4</v>
      </c>
      <c r="B5" s="3">
        <v>0.35789473684210532</v>
      </c>
      <c r="C5" s="3">
        <v>0.35745418181060651</v>
      </c>
      <c r="E5">
        <f>D2+B5</f>
        <v>0.93657894736842096</v>
      </c>
      <c r="G5">
        <f>F2+C5</f>
        <v>0.93759939540654402</v>
      </c>
    </row>
    <row r="6" spans="1:7" x14ac:dyDescent="0.25">
      <c r="A6">
        <v>5</v>
      </c>
      <c r="B6">
        <v>0.31894736842105259</v>
      </c>
      <c r="C6">
        <v>0.31873042438700178</v>
      </c>
      <c r="E6">
        <f>D2+B6</f>
        <v>0.89763157894736834</v>
      </c>
      <c r="G6">
        <f>F2+C6</f>
        <v>0.89887563798293924</v>
      </c>
    </row>
    <row r="7" spans="1:7" x14ac:dyDescent="0.25">
      <c r="A7" s="1" t="s">
        <v>3</v>
      </c>
      <c r="B7" s="1" t="s">
        <v>1</v>
      </c>
      <c r="C7" s="1" t="s">
        <v>4</v>
      </c>
      <c r="D7" s="1" t="s">
        <v>5</v>
      </c>
      <c r="E7" s="1" t="s">
        <v>6</v>
      </c>
    </row>
    <row r="8" spans="1:7" x14ac:dyDescent="0.25">
      <c r="A8" t="s">
        <v>7</v>
      </c>
      <c r="B8">
        <v>0.93557894736842107</v>
      </c>
      <c r="C8">
        <v>0.94124789453841462</v>
      </c>
      <c r="D8">
        <v>0.93498451365523527</v>
      </c>
      <c r="E8">
        <v>0.93653466226908533</v>
      </c>
    </row>
    <row r="9" spans="1:7" x14ac:dyDescent="0.25">
      <c r="A9" t="s">
        <v>8</v>
      </c>
      <c r="B9">
        <v>0.93657894736842107</v>
      </c>
      <c r="C9">
        <v>0.94287956730508682</v>
      </c>
      <c r="D9">
        <v>0.93540775056626912</v>
      </c>
      <c r="E9">
        <v>0.93759939540654402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8149-F14F-41F7-8808-041B3BE7E1F6}">
  <dimension ref="A1:O12"/>
  <sheetViews>
    <sheetView workbookViewId="0">
      <selection activeCell="G2" sqref="G2:G6"/>
    </sheetView>
  </sheetViews>
  <sheetFormatPr defaultRowHeight="15" x14ac:dyDescent="0.25"/>
  <sheetData>
    <row r="1" spans="1:15" x14ac:dyDescent="0.25">
      <c r="A1" s="5" t="s">
        <v>0</v>
      </c>
      <c r="B1" s="5" t="s">
        <v>9</v>
      </c>
      <c r="C1" s="5" t="s">
        <v>10</v>
      </c>
    </row>
    <row r="2" spans="1:15" x14ac:dyDescent="0.25">
      <c r="A2" s="4">
        <v>1</v>
      </c>
      <c r="B2" s="4">
        <v>-0.1087788846514435</v>
      </c>
      <c r="C2" s="4">
        <v>4.5355495769160541</v>
      </c>
      <c r="D2">
        <f>B9-B4</f>
        <v>1.0061893298145765</v>
      </c>
      <c r="E2">
        <f>D2+B2</f>
        <v>0.89741044516313306</v>
      </c>
      <c r="F2">
        <f>C9-C4</f>
        <v>-3.3515198827789234</v>
      </c>
      <c r="G2">
        <f>F2+C2</f>
        <v>1.1840296941371307</v>
      </c>
    </row>
    <row r="3" spans="1:15" x14ac:dyDescent="0.25">
      <c r="A3" s="4">
        <v>2</v>
      </c>
      <c r="B3" s="4">
        <v>-0.1627084410077855</v>
      </c>
      <c r="C3" s="4">
        <v>4.5440528417253656</v>
      </c>
      <c r="E3">
        <f>D2+B3</f>
        <v>0.84348088880679106</v>
      </c>
      <c r="G3">
        <f>F2+C3</f>
        <v>1.1925329589464422</v>
      </c>
    </row>
    <row r="4" spans="1:15" x14ac:dyDescent="0.25">
      <c r="A4" s="6">
        <v>3</v>
      </c>
      <c r="B4" s="6">
        <v>-9.0470251551415526E-2</v>
      </c>
      <c r="C4" s="6">
        <v>4.6005448835726694</v>
      </c>
      <c r="E4">
        <f>D2+B4</f>
        <v>0.91571907826316101</v>
      </c>
      <c r="G4">
        <f>F2+C4</f>
        <v>1.249025000793746</v>
      </c>
    </row>
    <row r="5" spans="1:15" x14ac:dyDescent="0.25">
      <c r="A5" s="4">
        <v>4</v>
      </c>
      <c r="B5" s="4">
        <v>-0.1299132585130138</v>
      </c>
      <c r="C5" s="4">
        <v>4.5412923688041218</v>
      </c>
      <c r="E5">
        <f>D2+B5</f>
        <v>0.87627607130156271</v>
      </c>
      <c r="G5">
        <f>F2+C5</f>
        <v>1.1897724860251984</v>
      </c>
    </row>
    <row r="6" spans="1:15" x14ac:dyDescent="0.25">
      <c r="A6" s="4">
        <v>5</v>
      </c>
      <c r="B6" s="4">
        <v>-0.1100913704517716</v>
      </c>
      <c r="C6" s="4">
        <v>4.65200522252385</v>
      </c>
      <c r="E6">
        <f>D2+B6</f>
        <v>0.8960979593628049</v>
      </c>
      <c r="G6">
        <f>F2+C6</f>
        <v>1.3004853397449265</v>
      </c>
    </row>
    <row r="7" spans="1:15" x14ac:dyDescent="0.25">
      <c r="A7" s="11" t="s">
        <v>3</v>
      </c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18</v>
      </c>
      <c r="L7" s="11" t="s">
        <v>19</v>
      </c>
      <c r="M7" s="11" t="s">
        <v>20</v>
      </c>
      <c r="N7" s="11" t="s">
        <v>21</v>
      </c>
      <c r="O7" s="11" t="s">
        <v>22</v>
      </c>
    </row>
    <row r="8" spans="1:15" x14ac:dyDescent="0.25">
      <c r="A8" s="10" t="s">
        <v>7</v>
      </c>
      <c r="B8" s="10">
        <v>0.91481020640987509</v>
      </c>
      <c r="C8" s="10">
        <v>1.2629699483595891</v>
      </c>
      <c r="D8" s="10">
        <v>1.0953033067827691</v>
      </c>
      <c r="E8" s="10">
        <v>4.1401506000038601</v>
      </c>
      <c r="F8" s="10">
        <v>4.1401506000038601</v>
      </c>
      <c r="G8" s="10">
        <v>4.5848337413751147E-2</v>
      </c>
      <c r="H8" s="10">
        <v>2.0696617891671671</v>
      </c>
      <c r="I8" s="10">
        <v>4.5848337413751147E-2</v>
      </c>
      <c r="J8" s="10">
        <v>2.6319016597690009E-2</v>
      </c>
      <c r="K8" s="10">
        <v>0.58589104163582484</v>
      </c>
      <c r="L8" s="10">
        <v>0.67025698934642453</v>
      </c>
      <c r="M8" s="10">
        <v>4.1401506000038601</v>
      </c>
      <c r="N8" s="10">
        <v>-9.5543298946772031E-4</v>
      </c>
      <c r="O8" s="10">
        <v>0.29137826758062851</v>
      </c>
    </row>
    <row r="9" spans="1:15" x14ac:dyDescent="0.25">
      <c r="A9" s="10" t="s">
        <v>8</v>
      </c>
      <c r="B9" s="10">
        <v>0.9157190782631609</v>
      </c>
      <c r="C9" s="10">
        <v>1.249025000793746</v>
      </c>
      <c r="D9" s="10">
        <v>1.081233229648195</v>
      </c>
      <c r="E9" s="10">
        <v>4.066389502007028</v>
      </c>
      <c r="F9" s="10">
        <v>4.066389502007028</v>
      </c>
      <c r="G9" s="10">
        <v>4.5198406363547751E-2</v>
      </c>
      <c r="H9" s="10">
        <v>2.0558029041730919</v>
      </c>
      <c r="I9" s="10">
        <v>4.5198406363547751E-2</v>
      </c>
      <c r="J9" s="10">
        <v>-1.7330765366176659E-10</v>
      </c>
      <c r="K9" s="10">
        <v>0.57484741271896089</v>
      </c>
      <c r="L9" s="10">
        <v>0.65767798315905224</v>
      </c>
      <c r="M9" s="10">
        <v>4.066389502007028</v>
      </c>
      <c r="N9" s="10">
        <v>6.2716823665263706E-12</v>
      </c>
      <c r="O9" s="10">
        <v>0.2896946426268257</v>
      </c>
    </row>
    <row r="10" spans="1:15" x14ac:dyDescent="0.25">
      <c r="A10" s="10" t="s">
        <v>23</v>
      </c>
      <c r="B10" s="10">
        <v>0.91067870768869685</v>
      </c>
      <c r="C10" s="10">
        <v>1.317210294456288</v>
      </c>
      <c r="D10" s="10">
        <v>1.1515158621406441</v>
      </c>
      <c r="E10" s="10">
        <v>4.4348398021131947</v>
      </c>
      <c r="F10" s="10">
        <v>4.4348398021131947</v>
      </c>
      <c r="G10" s="10">
        <v>4.8432565301722623E-2</v>
      </c>
      <c r="H10" s="10">
        <v>2.108909892332115</v>
      </c>
      <c r="I10" s="10">
        <v>4.8432565301722623E-2</v>
      </c>
      <c r="J10" s="10">
        <v>0.13146834684329711</v>
      </c>
      <c r="K10" s="10">
        <v>0.63001237770978091</v>
      </c>
      <c r="L10" s="10">
        <v>0.72051244103241086</v>
      </c>
      <c r="M10" s="10">
        <v>4.4348398021131947</v>
      </c>
      <c r="N10" s="10">
        <v>-4.8339656320602444E-3</v>
      </c>
      <c r="O10" s="10">
        <v>0.2990923970764201</v>
      </c>
    </row>
    <row r="11" spans="1:15" x14ac:dyDescent="0.25">
      <c r="A11" s="10" t="s">
        <v>24</v>
      </c>
      <c r="B11" s="10">
        <v>0.91013116401559768</v>
      </c>
      <c r="C11" s="10">
        <v>1.2784931708817</v>
      </c>
      <c r="D11" s="10">
        <v>1.109162767806225</v>
      </c>
      <c r="E11" s="10">
        <v>4.2669536273448996</v>
      </c>
      <c r="F11" s="10">
        <v>4.2669536273448996</v>
      </c>
      <c r="G11" s="10">
        <v>4.7078557863079303E-2</v>
      </c>
      <c r="H11" s="10">
        <v>2.0703065574930002</v>
      </c>
      <c r="I11" s="10">
        <v>4.7078557863079303E-2</v>
      </c>
      <c r="J11" s="10">
        <v>0.1436456047785756</v>
      </c>
      <c r="K11" s="10">
        <v>0.59872566033677665</v>
      </c>
      <c r="L11" s="10">
        <v>0.68566617695048271</v>
      </c>
      <c r="M11" s="10">
        <v>4.2669536273448996</v>
      </c>
      <c r="N11" s="10">
        <v>-5.2895299485106748E-3</v>
      </c>
      <c r="O11" s="10">
        <v>0.29954044509448052</v>
      </c>
    </row>
    <row r="12" spans="1:15" x14ac:dyDescent="0.25">
      <c r="A12" s="10" t="s">
        <v>25</v>
      </c>
      <c r="B12" s="10">
        <v>0.91114542124515163</v>
      </c>
      <c r="C12" s="10">
        <v>1.354702558544493</v>
      </c>
      <c r="D12" s="10">
        <v>1.193733209377837</v>
      </c>
      <c r="E12" s="10">
        <v>4.6021878801674898</v>
      </c>
      <c r="F12" s="10">
        <v>4.6021878801674898</v>
      </c>
      <c r="G12" s="10">
        <v>4.9737840909622598E-2</v>
      </c>
      <c r="H12" s="10">
        <v>2.1365579168907098</v>
      </c>
      <c r="I12" s="10">
        <v>4.9737840909622598E-2</v>
      </c>
      <c r="J12" s="10">
        <v>0.119330118580888</v>
      </c>
      <c r="K12" s="10">
        <v>0.66119881714248696</v>
      </c>
      <c r="L12" s="10">
        <v>0.75524701837048669</v>
      </c>
      <c r="M12" s="10">
        <v>4.6021878801674898</v>
      </c>
      <c r="N12" s="10">
        <v>-4.3811997078379008E-3</v>
      </c>
      <c r="O12" s="10">
        <v>0.29867385163325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6AFC-A56D-462B-BBBB-27D930AA82E3}">
  <dimension ref="A1:O12"/>
  <sheetViews>
    <sheetView tabSelected="1" workbookViewId="0">
      <selection activeCell="E20" sqref="E20"/>
    </sheetView>
  </sheetViews>
  <sheetFormatPr defaultRowHeight="15" x14ac:dyDescent="0.25"/>
  <sheetData>
    <row r="1" spans="1:15" x14ac:dyDescent="0.25">
      <c r="A1" s="8" t="s">
        <v>0</v>
      </c>
      <c r="B1" s="8" t="s">
        <v>9</v>
      </c>
      <c r="C1" s="8" t="s">
        <v>10</v>
      </c>
    </row>
    <row r="2" spans="1:15" x14ac:dyDescent="0.25">
      <c r="A2" s="7">
        <v>1</v>
      </c>
      <c r="B2" s="7">
        <v>-0.1036643070278882</v>
      </c>
      <c r="C2" s="7">
        <v>4.550461619614282</v>
      </c>
      <c r="D2">
        <f>B9-B4</f>
        <v>0.97153299032948659</v>
      </c>
      <c r="E2">
        <f>D2+B2</f>
        <v>0.86786868330159839</v>
      </c>
      <c r="F2">
        <f>C9-C4</f>
        <v>-3.1112621093442154</v>
      </c>
      <c r="G2">
        <f>F2+C2</f>
        <v>1.4391995102700665</v>
      </c>
    </row>
    <row r="3" spans="1:15" x14ac:dyDescent="0.25">
      <c r="A3" s="7">
        <v>2</v>
      </c>
      <c r="B3" s="7">
        <v>-0.14287696598522431</v>
      </c>
      <c r="C3" s="7">
        <v>4.5163471662739587</v>
      </c>
      <c r="E3">
        <f>D2+B3</f>
        <v>0.82865602434426222</v>
      </c>
      <c r="G3">
        <f>F2+C3</f>
        <v>1.4050850569297433</v>
      </c>
    </row>
    <row r="4" spans="1:15" x14ac:dyDescent="0.25">
      <c r="A4" s="9">
        <v>3</v>
      </c>
      <c r="B4" s="9">
        <v>-9.3204903954542173E-2</v>
      </c>
      <c r="C4" s="9">
        <v>4.6163616297937553</v>
      </c>
      <c r="E4">
        <f>D2+B4</f>
        <v>0.87832808637494442</v>
      </c>
      <c r="G4">
        <f>F2+C4</f>
        <v>1.5050995204495399</v>
      </c>
    </row>
    <row r="5" spans="1:15" x14ac:dyDescent="0.25">
      <c r="A5" s="7">
        <v>4</v>
      </c>
      <c r="B5" s="7">
        <v>-0.1221182961965894</v>
      </c>
      <c r="C5" s="7">
        <v>4.5380251121012609</v>
      </c>
      <c r="E5">
        <f>D2+B5</f>
        <v>0.84941469413289716</v>
      </c>
      <c r="G5">
        <f>F2+C5</f>
        <v>1.4267630027570455</v>
      </c>
    </row>
    <row r="6" spans="1:15" x14ac:dyDescent="0.25">
      <c r="A6" s="7">
        <v>5</v>
      </c>
      <c r="B6" s="7">
        <v>-0.1072756816212785</v>
      </c>
      <c r="C6" s="7">
        <v>4.649146557129554</v>
      </c>
      <c r="E6">
        <f>D2+B6</f>
        <v>0.86425730870820805</v>
      </c>
      <c r="G6">
        <f>F2+C6</f>
        <v>1.5378844477853386</v>
      </c>
    </row>
    <row r="7" spans="1:15" x14ac:dyDescent="0.25">
      <c r="A7" s="13" t="s">
        <v>3</v>
      </c>
      <c r="B7" s="13" t="s">
        <v>9</v>
      </c>
      <c r="C7" s="13" t="s">
        <v>10</v>
      </c>
      <c r="D7" s="13" t="s">
        <v>11</v>
      </c>
      <c r="E7" s="13" t="s">
        <v>12</v>
      </c>
      <c r="F7" s="13" t="s">
        <v>13</v>
      </c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3" t="s">
        <v>19</v>
      </c>
      <c r="M7" s="13" t="s">
        <v>20</v>
      </c>
      <c r="N7" s="13" t="s">
        <v>21</v>
      </c>
      <c r="O7" s="13" t="s">
        <v>22</v>
      </c>
    </row>
    <row r="8" spans="1:15" x14ac:dyDescent="0.25">
      <c r="A8" s="12" t="s">
        <v>7</v>
      </c>
      <c r="B8" s="12">
        <v>0.87489451351237368</v>
      </c>
      <c r="C8" s="12">
        <v>1.5343704441306869</v>
      </c>
      <c r="D8" s="12">
        <v>1.3306611380129949</v>
      </c>
      <c r="E8" s="12">
        <v>5.0246136115981894</v>
      </c>
      <c r="F8" s="12">
        <v>5.0246136115981894</v>
      </c>
      <c r="G8" s="12">
        <v>5.5651480855023673E-2</v>
      </c>
      <c r="H8" s="12">
        <v>2.5062525883688029</v>
      </c>
      <c r="I8" s="12">
        <v>5.5651480855023673E-2</v>
      </c>
      <c r="J8" s="12">
        <v>2.6736161993923351E-2</v>
      </c>
      <c r="K8" s="12">
        <v>0.78988205364634068</v>
      </c>
      <c r="L8" s="12">
        <v>0.89239791770425181</v>
      </c>
      <c r="M8" s="12">
        <v>5.0246136115981894</v>
      </c>
      <c r="N8" s="12">
        <v>-9.697182404896197E-4</v>
      </c>
      <c r="O8" s="12">
        <v>0.35282771649587591</v>
      </c>
    </row>
    <row r="9" spans="1:15" x14ac:dyDescent="0.25">
      <c r="A9" s="12" t="s">
        <v>8</v>
      </c>
      <c r="B9" s="12">
        <v>0.87832808637494442</v>
      </c>
      <c r="C9" s="12">
        <v>1.5050995204495401</v>
      </c>
      <c r="D9" s="12">
        <v>1.305537226948184</v>
      </c>
      <c r="E9" s="12">
        <v>4.9099069499077617</v>
      </c>
      <c r="F9" s="12">
        <v>4.9099069499077617</v>
      </c>
      <c r="G9" s="12">
        <v>5.4444575902406277E-2</v>
      </c>
      <c r="H9" s="12">
        <v>2.4797247017139288</v>
      </c>
      <c r="I9" s="12">
        <v>5.4444575902406277E-2</v>
      </c>
      <c r="J9" s="12">
        <v>2.1590156024310181E-10</v>
      </c>
      <c r="K9" s="12">
        <v>0.76721589603949336</v>
      </c>
      <c r="L9" s="12">
        <v>0.86792646624887293</v>
      </c>
      <c r="M9" s="12">
        <v>4.9099069499077617</v>
      </c>
      <c r="N9" s="12">
        <v>-7.8096933246514564E-12</v>
      </c>
      <c r="O9" s="12">
        <v>0.34821605156018731</v>
      </c>
    </row>
    <row r="10" spans="1:15" x14ac:dyDescent="0.25">
      <c r="A10" s="12" t="s">
        <v>23</v>
      </c>
      <c r="B10" s="12">
        <v>0.8611159116404159</v>
      </c>
      <c r="C10" s="12">
        <v>1.6460931155026131</v>
      </c>
      <c r="D10" s="12">
        <v>1.4310035876925771</v>
      </c>
      <c r="E10" s="12">
        <v>5.4827408274959328</v>
      </c>
      <c r="F10" s="12">
        <v>5.4827408274959328</v>
      </c>
      <c r="G10" s="12">
        <v>6.0346659127954998E-2</v>
      </c>
      <c r="H10" s="12">
        <v>2.6374420269654459</v>
      </c>
      <c r="I10" s="12">
        <v>6.0346659127954998E-2</v>
      </c>
      <c r="J10" s="12">
        <v>0.1335177837293153</v>
      </c>
      <c r="K10" s="12">
        <v>0.8804084757956393</v>
      </c>
      <c r="L10" s="12">
        <v>0.99013450735835651</v>
      </c>
      <c r="M10" s="12">
        <v>5.4827408274959328</v>
      </c>
      <c r="N10" s="12">
        <v>-4.8948337772332338E-3</v>
      </c>
      <c r="O10" s="12">
        <v>0.37169458298507901</v>
      </c>
    </row>
    <row r="11" spans="1:15" x14ac:dyDescent="0.25">
      <c r="A11" s="12" t="s">
        <v>24</v>
      </c>
      <c r="B11" s="12">
        <v>0.85936728113202665</v>
      </c>
      <c r="C11" s="12">
        <v>1.6185321792168741</v>
      </c>
      <c r="D11" s="12">
        <v>1.3939066824203981</v>
      </c>
      <c r="E11" s="12">
        <v>5.3181766459399391</v>
      </c>
      <c r="F11" s="12">
        <v>5.3181766459399391</v>
      </c>
      <c r="G11" s="12">
        <v>5.9251822581463082E-2</v>
      </c>
      <c r="H11" s="12">
        <v>2.6279666794025029</v>
      </c>
      <c r="I11" s="12">
        <v>5.9251822581463082E-2</v>
      </c>
      <c r="J11" s="12">
        <v>0.1170586159516717</v>
      </c>
      <c r="K11" s="12">
        <v>0.85251151074185383</v>
      </c>
      <c r="L11" s="12">
        <v>0.95858035085410243</v>
      </c>
      <c r="M11" s="12">
        <v>5.3181766459399391</v>
      </c>
      <c r="N11" s="12">
        <v>-4.2853249586648403E-3</v>
      </c>
      <c r="O11" s="12">
        <v>0.37350003417522298</v>
      </c>
    </row>
    <row r="12" spans="1:15" x14ac:dyDescent="0.25">
      <c r="A12" s="12" t="s">
        <v>25</v>
      </c>
      <c r="B12" s="12">
        <v>0.86269286632734998</v>
      </c>
      <c r="C12" s="12">
        <v>1.673200129885744</v>
      </c>
      <c r="D12" s="12">
        <v>1.4681004929647561</v>
      </c>
      <c r="E12" s="12">
        <v>5.6473050090519266</v>
      </c>
      <c r="F12" s="12">
        <v>5.6473050090519266</v>
      </c>
      <c r="G12" s="12">
        <v>6.1427955788153847E-2</v>
      </c>
      <c r="H12" s="12">
        <v>2.6435100728751411</v>
      </c>
      <c r="I12" s="12">
        <v>6.1427955788153847E-2</v>
      </c>
      <c r="J12" s="12">
        <v>0.14997695150695889</v>
      </c>
      <c r="K12" s="12">
        <v>0.90830544084942466</v>
      </c>
      <c r="L12" s="12">
        <v>1.021688663862611</v>
      </c>
      <c r="M12" s="12">
        <v>5.6473050090519266</v>
      </c>
      <c r="N12" s="12">
        <v>-5.5060822563054784E-3</v>
      </c>
      <c r="O12" s="12">
        <v>0.37016788936014289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Moradian</dc:creator>
  <cp:lastModifiedBy>Sam Moradian</cp:lastModifiedBy>
  <dcterms:created xsi:type="dcterms:W3CDTF">2015-06-05T18:17:20Z</dcterms:created>
  <dcterms:modified xsi:type="dcterms:W3CDTF">2026-06-28T08:40:02Z</dcterms:modified>
</cp:coreProperties>
</file>