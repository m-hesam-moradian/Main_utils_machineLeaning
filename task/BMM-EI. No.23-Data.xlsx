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1840" windowHeight="12450" tabRatio="777" firstSheet="2" activeTab="9"/>
  </bookViews>
  <sheets>
    <sheet name="Data" sheetId="1" r:id="rId1"/>
    <sheet name="DATA_Shuffled" sheetId="2" r:id="rId2"/>
    <sheet name="ETR_KFOLD_Metrics" sheetId="4" r:id="rId3"/>
    <sheet name="Data_after_KFold_ETR" sheetId="5" r:id="rId4"/>
    <sheet name="QR_KFOLD_Metrics" sheetId="6" r:id="rId5"/>
    <sheet name="Data_after_KFold_QR" sheetId="7" r:id="rId6"/>
    <sheet name="Model_Summary" sheetId="8" r:id="rId7"/>
    <sheet name="ETR" sheetId="9" r:id="rId8"/>
    <sheet name="QR" sheetId="10" r:id="rId9"/>
    <sheet name="Run Time" sheetId="3" r:id="rId10"/>
    <sheet name="Sheet1" sheetId="11" r:id="rId11"/>
  </sheets>
  <calcPr calcId="145621"/>
</workbook>
</file>

<file path=xl/calcChain.xml><?xml version="1.0" encoding="utf-8"?>
<calcChain xmlns="http://schemas.openxmlformats.org/spreadsheetml/2006/main">
  <c r="H210" i="11" l="1"/>
  <c r="I210" i="11"/>
  <c r="J210" i="11"/>
  <c r="K210" i="11"/>
  <c r="H211" i="11"/>
  <c r="I211" i="11"/>
  <c r="J211" i="11"/>
  <c r="K211" i="11"/>
  <c r="H212" i="11"/>
  <c r="I212" i="11"/>
  <c r="J212" i="11"/>
  <c r="K212" i="11"/>
  <c r="H213" i="11"/>
  <c r="I213" i="11"/>
  <c r="J213" i="11"/>
  <c r="K213" i="11"/>
  <c r="H214" i="11"/>
  <c r="I214" i="11"/>
  <c r="J214" i="11"/>
  <c r="K214" i="11"/>
  <c r="H215" i="11"/>
  <c r="I215" i="11"/>
  <c r="J215" i="11"/>
  <c r="K215" i="11"/>
  <c r="H216" i="11"/>
  <c r="I216" i="11"/>
  <c r="J216" i="11"/>
  <c r="K216" i="11"/>
  <c r="H217" i="11"/>
  <c r="I217" i="11"/>
  <c r="J217" i="11"/>
  <c r="K217" i="11"/>
  <c r="H218" i="11"/>
  <c r="I218" i="11"/>
  <c r="J218" i="11"/>
  <c r="K218" i="11"/>
  <c r="H219" i="11"/>
  <c r="I219" i="11"/>
  <c r="J219" i="11"/>
  <c r="K219" i="11"/>
  <c r="H220" i="11"/>
  <c r="I220" i="11"/>
  <c r="J220" i="11"/>
  <c r="K220" i="11"/>
  <c r="H221" i="11"/>
  <c r="I221" i="11"/>
  <c r="J221" i="11"/>
  <c r="K221" i="11"/>
  <c r="H222" i="11"/>
  <c r="I222" i="11"/>
  <c r="J222" i="11"/>
  <c r="K222" i="11"/>
  <c r="H223" i="11"/>
  <c r="I223" i="11"/>
  <c r="J223" i="11"/>
  <c r="K223" i="11"/>
  <c r="H224" i="11"/>
  <c r="I224" i="11"/>
  <c r="J224" i="11"/>
  <c r="K224" i="11"/>
  <c r="H225" i="11"/>
  <c r="I225" i="11"/>
  <c r="J225" i="11"/>
  <c r="K225" i="11"/>
  <c r="H226" i="11"/>
  <c r="I226" i="11"/>
  <c r="J226" i="11"/>
  <c r="K226" i="11"/>
  <c r="H227" i="11"/>
  <c r="I227" i="11"/>
  <c r="J227" i="11"/>
  <c r="K227" i="11"/>
  <c r="H228" i="11"/>
  <c r="I228" i="11"/>
  <c r="J228" i="11"/>
  <c r="K228" i="11"/>
  <c r="H229" i="11"/>
  <c r="I229" i="11"/>
  <c r="J229" i="11"/>
  <c r="K229" i="11"/>
  <c r="H230" i="11"/>
  <c r="I230" i="11"/>
  <c r="J230" i="11"/>
  <c r="K230" i="11"/>
  <c r="H231" i="11"/>
  <c r="I231" i="11"/>
  <c r="J231" i="11"/>
  <c r="K231" i="11"/>
  <c r="H232" i="11"/>
  <c r="I232" i="11"/>
  <c r="J232" i="11"/>
  <c r="K232" i="11"/>
  <c r="H233" i="11"/>
  <c r="I233" i="11"/>
  <c r="J233" i="11"/>
  <c r="K233" i="11"/>
  <c r="H234" i="11"/>
  <c r="I234" i="11"/>
  <c r="J234" i="11"/>
  <c r="K234" i="11"/>
  <c r="H235" i="11"/>
  <c r="I235" i="11"/>
  <c r="J235" i="11"/>
  <c r="K235" i="11"/>
  <c r="H236" i="11"/>
  <c r="I236" i="11"/>
  <c r="J236" i="11"/>
  <c r="K236" i="11"/>
  <c r="H237" i="11"/>
  <c r="I237" i="11"/>
  <c r="J237" i="11"/>
  <c r="K237" i="11"/>
  <c r="H238" i="11"/>
  <c r="I238" i="11"/>
  <c r="J238" i="11"/>
  <c r="K238" i="11"/>
  <c r="H239" i="11"/>
  <c r="I239" i="11"/>
  <c r="J239" i="11"/>
  <c r="K239" i="11"/>
  <c r="H240" i="11"/>
  <c r="I240" i="11"/>
  <c r="J240" i="11"/>
  <c r="K240" i="11"/>
  <c r="H241" i="11"/>
  <c r="I241" i="11"/>
  <c r="J241" i="11"/>
  <c r="K241" i="11"/>
  <c r="H242" i="11"/>
  <c r="I242" i="11"/>
  <c r="J242" i="11"/>
  <c r="K242" i="11"/>
  <c r="H243" i="11"/>
  <c r="I243" i="11"/>
  <c r="J243" i="11"/>
  <c r="K243" i="11"/>
  <c r="H244" i="11"/>
  <c r="I244" i="11"/>
  <c r="J244" i="11"/>
  <c r="K244" i="11"/>
  <c r="H245" i="11"/>
  <c r="I245" i="11"/>
  <c r="J245" i="11"/>
  <c r="K245" i="11"/>
  <c r="H246" i="11"/>
  <c r="I246" i="11"/>
  <c r="J246" i="11"/>
  <c r="K246" i="11"/>
  <c r="H247" i="11"/>
  <c r="I247" i="11"/>
  <c r="J247" i="11"/>
  <c r="K247" i="11"/>
  <c r="H248" i="11"/>
  <c r="I248" i="11"/>
  <c r="J248" i="11"/>
  <c r="K248" i="11"/>
  <c r="H249" i="11"/>
  <c r="I249" i="11"/>
  <c r="J249" i="11"/>
  <c r="K249" i="11"/>
  <c r="H250" i="11"/>
  <c r="I250" i="11"/>
  <c r="J250" i="11"/>
  <c r="K250" i="11"/>
  <c r="H251" i="11"/>
  <c r="I251" i="11"/>
  <c r="J251" i="11"/>
  <c r="K251" i="11"/>
  <c r="H252" i="11"/>
  <c r="I252" i="11"/>
  <c r="J252" i="11"/>
  <c r="K252" i="11"/>
  <c r="H253" i="11"/>
  <c r="I253" i="11"/>
  <c r="J253" i="11"/>
  <c r="K253" i="11"/>
  <c r="H254" i="11"/>
  <c r="I254" i="11"/>
  <c r="J254" i="11"/>
  <c r="K254" i="11"/>
  <c r="H255" i="11"/>
  <c r="I255" i="11"/>
  <c r="J255" i="11"/>
  <c r="K255" i="11"/>
  <c r="H256" i="11"/>
  <c r="I256" i="11"/>
  <c r="J256" i="11"/>
  <c r="K256" i="11"/>
  <c r="H257" i="11"/>
  <c r="I257" i="11"/>
  <c r="J257" i="11"/>
  <c r="K257" i="11"/>
  <c r="H258" i="11"/>
  <c r="I258" i="11"/>
  <c r="J258" i="11"/>
  <c r="K258" i="11"/>
  <c r="H259" i="11"/>
  <c r="I259" i="11"/>
  <c r="J259" i="11"/>
  <c r="K259" i="11"/>
  <c r="H260" i="11"/>
  <c r="I260" i="11"/>
  <c r="J260" i="11"/>
  <c r="K260" i="11"/>
  <c r="H261" i="11"/>
  <c r="I261" i="11"/>
  <c r="J261" i="11"/>
  <c r="K261" i="11"/>
  <c r="H262" i="11"/>
  <c r="I262" i="11"/>
  <c r="J262" i="11"/>
  <c r="K262" i="11"/>
  <c r="H263" i="11"/>
  <c r="I263" i="11"/>
  <c r="J263" i="11"/>
  <c r="K263" i="11"/>
  <c r="H264" i="11"/>
  <c r="I264" i="11"/>
  <c r="J264" i="11"/>
  <c r="K264" i="11"/>
  <c r="H265" i="11"/>
  <c r="I265" i="11"/>
  <c r="J265" i="11"/>
  <c r="K265" i="11"/>
  <c r="H266" i="11"/>
  <c r="I266" i="11"/>
  <c r="J266" i="11"/>
  <c r="K266" i="11"/>
  <c r="H267" i="11"/>
  <c r="I267" i="11"/>
  <c r="J267" i="11"/>
  <c r="K267" i="11"/>
  <c r="H268" i="11"/>
  <c r="I268" i="11"/>
  <c r="J268" i="11"/>
  <c r="K268" i="11"/>
  <c r="H269" i="11"/>
  <c r="I269" i="11"/>
  <c r="J269" i="11"/>
  <c r="K269" i="11"/>
  <c r="H270" i="11"/>
  <c r="I270" i="11"/>
  <c r="J270" i="11"/>
  <c r="K270" i="11"/>
  <c r="H271" i="11"/>
  <c r="I271" i="11"/>
  <c r="J271" i="11"/>
  <c r="K271" i="11"/>
  <c r="H272" i="11"/>
  <c r="I272" i="11"/>
  <c r="J272" i="11"/>
  <c r="K272" i="11"/>
  <c r="H273" i="11"/>
  <c r="I273" i="11"/>
  <c r="J273" i="11"/>
  <c r="K273" i="11"/>
  <c r="H274" i="11"/>
  <c r="I274" i="11"/>
  <c r="J274" i="11"/>
  <c r="K274" i="11"/>
  <c r="H275" i="11"/>
  <c r="I275" i="11"/>
  <c r="J275" i="11"/>
  <c r="K275" i="11"/>
  <c r="H276" i="11"/>
  <c r="I276" i="11"/>
  <c r="J276" i="11"/>
  <c r="K276" i="11"/>
  <c r="H277" i="11"/>
  <c r="I277" i="11"/>
  <c r="J277" i="11"/>
  <c r="K277" i="11"/>
  <c r="H278" i="11"/>
  <c r="I278" i="11"/>
  <c r="J278" i="11"/>
  <c r="K278" i="11"/>
  <c r="H279" i="11"/>
  <c r="I279" i="11"/>
  <c r="J279" i="11"/>
  <c r="K279" i="11"/>
  <c r="H280" i="11"/>
  <c r="I280" i="11"/>
  <c r="J280" i="11"/>
  <c r="K280" i="11"/>
  <c r="H281" i="11"/>
  <c r="I281" i="11"/>
  <c r="J281" i="11"/>
  <c r="K281" i="11"/>
  <c r="H282" i="11"/>
  <c r="I282" i="11"/>
  <c r="J282" i="11"/>
  <c r="K282" i="11"/>
  <c r="H283" i="11"/>
  <c r="I283" i="11"/>
  <c r="J283" i="11"/>
  <c r="K283" i="11"/>
  <c r="H284" i="11"/>
  <c r="I284" i="11"/>
  <c r="J284" i="11"/>
  <c r="K284" i="11"/>
  <c r="H285" i="11"/>
  <c r="I285" i="11"/>
  <c r="J285" i="11"/>
  <c r="K285" i="11"/>
  <c r="H286" i="11"/>
  <c r="I286" i="11"/>
  <c r="J286" i="11"/>
  <c r="K286" i="11"/>
  <c r="H287" i="11"/>
  <c r="I287" i="11"/>
  <c r="J287" i="11"/>
  <c r="K287" i="11"/>
  <c r="H288" i="11"/>
  <c r="I288" i="11"/>
  <c r="J288" i="11"/>
  <c r="K288" i="11"/>
  <c r="H289" i="11"/>
  <c r="I289" i="11"/>
  <c r="J289" i="11"/>
  <c r="K289" i="11"/>
  <c r="H290" i="11"/>
  <c r="I290" i="11"/>
  <c r="J290" i="11"/>
  <c r="K290" i="11"/>
  <c r="H291" i="11"/>
  <c r="I291" i="11"/>
  <c r="J291" i="11"/>
  <c r="K291" i="11"/>
  <c r="H292" i="11"/>
  <c r="I292" i="11"/>
  <c r="J292" i="11"/>
  <c r="K292" i="11"/>
  <c r="H293" i="11"/>
  <c r="I293" i="11"/>
  <c r="J293" i="11"/>
  <c r="K293" i="11"/>
  <c r="H294" i="11"/>
  <c r="I294" i="11"/>
  <c r="J294" i="11"/>
  <c r="K294" i="11"/>
  <c r="H295" i="11"/>
  <c r="I295" i="11"/>
  <c r="J295" i="11"/>
  <c r="K295" i="11"/>
  <c r="H296" i="11"/>
  <c r="I296" i="11"/>
  <c r="J296" i="11"/>
  <c r="K296" i="11"/>
  <c r="H297" i="11"/>
  <c r="I297" i="11"/>
  <c r="J297" i="11"/>
  <c r="K297" i="11"/>
  <c r="H298" i="11"/>
  <c r="I298" i="11"/>
  <c r="J298" i="11"/>
  <c r="K298" i="11"/>
  <c r="H299" i="11"/>
  <c r="I299" i="11"/>
  <c r="J299" i="11"/>
  <c r="K299" i="11"/>
  <c r="H300" i="11"/>
  <c r="I300" i="11"/>
  <c r="J300" i="11"/>
  <c r="K300" i="11"/>
  <c r="H301" i="11"/>
  <c r="I301" i="11"/>
  <c r="J301" i="11"/>
  <c r="K301" i="11"/>
  <c r="H302" i="11"/>
  <c r="I302" i="11"/>
  <c r="J302" i="11"/>
  <c r="K302" i="11"/>
  <c r="H303" i="11"/>
  <c r="I303" i="11"/>
  <c r="J303" i="11"/>
  <c r="K303" i="11"/>
  <c r="H304" i="11"/>
  <c r="I304" i="11"/>
  <c r="J304" i="11"/>
  <c r="K304" i="11"/>
  <c r="H305" i="11"/>
  <c r="I305" i="11"/>
  <c r="J305" i="11"/>
  <c r="K305" i="11"/>
  <c r="H306" i="11"/>
  <c r="I306" i="11"/>
  <c r="J306" i="11"/>
  <c r="K306" i="11"/>
  <c r="H307" i="11"/>
  <c r="I307" i="11"/>
  <c r="J307" i="11"/>
  <c r="K307" i="11"/>
  <c r="H308" i="11"/>
  <c r="I308" i="11"/>
  <c r="J308" i="11"/>
  <c r="K308" i="11"/>
  <c r="H309" i="11"/>
  <c r="I309" i="11"/>
  <c r="J309" i="11"/>
  <c r="K309" i="11"/>
  <c r="H310" i="11"/>
  <c r="I310" i="11"/>
  <c r="J310" i="11"/>
  <c r="K310" i="11"/>
  <c r="H311" i="11"/>
  <c r="I311" i="11"/>
  <c r="J311" i="11"/>
  <c r="K311" i="11"/>
  <c r="H312" i="11"/>
  <c r="I312" i="11"/>
  <c r="J312" i="11"/>
  <c r="K312" i="11"/>
  <c r="H313" i="11"/>
  <c r="I313" i="11"/>
  <c r="J313" i="11"/>
  <c r="K313" i="11"/>
  <c r="H314" i="11"/>
  <c r="I314" i="11"/>
  <c r="J314" i="11"/>
  <c r="K314" i="11"/>
  <c r="H315" i="11"/>
  <c r="I315" i="11"/>
  <c r="J315" i="11"/>
  <c r="K315" i="11"/>
  <c r="H316" i="11"/>
  <c r="I316" i="11"/>
  <c r="J316" i="11"/>
  <c r="K316" i="11"/>
  <c r="H317" i="11"/>
  <c r="I317" i="11"/>
  <c r="J317" i="11"/>
  <c r="K317" i="11"/>
  <c r="H318" i="11"/>
  <c r="I318" i="11"/>
  <c r="J318" i="11"/>
  <c r="K318" i="11"/>
  <c r="H319" i="11"/>
  <c r="I319" i="11"/>
  <c r="J319" i="11"/>
  <c r="K319" i="11"/>
  <c r="H320" i="11"/>
  <c r="I320" i="11"/>
  <c r="J320" i="11"/>
  <c r="K320" i="11"/>
  <c r="H321" i="11"/>
  <c r="I321" i="11"/>
  <c r="J321" i="11"/>
  <c r="K321" i="11"/>
  <c r="H322" i="11"/>
  <c r="I322" i="11"/>
  <c r="J322" i="11"/>
  <c r="K322" i="11"/>
  <c r="H323" i="11"/>
  <c r="I323" i="11"/>
  <c r="J323" i="11"/>
  <c r="K323" i="11"/>
  <c r="H324" i="11"/>
  <c r="I324" i="11"/>
  <c r="J324" i="11"/>
  <c r="K324" i="11"/>
  <c r="H325" i="11"/>
  <c r="I325" i="11"/>
  <c r="J325" i="11"/>
  <c r="K325" i="11"/>
  <c r="H326" i="11"/>
  <c r="I326" i="11"/>
  <c r="J326" i="11"/>
  <c r="K326" i="11"/>
  <c r="H327" i="11"/>
  <c r="I327" i="11"/>
  <c r="J327" i="11"/>
  <c r="K327" i="11"/>
  <c r="H328" i="11"/>
  <c r="I328" i="11"/>
  <c r="J328" i="11"/>
  <c r="K328" i="11"/>
  <c r="H329" i="11"/>
  <c r="I329" i="11"/>
  <c r="J329" i="11"/>
  <c r="K329" i="11"/>
  <c r="H330" i="11"/>
  <c r="I330" i="11"/>
  <c r="J330" i="11"/>
  <c r="K330" i="11"/>
  <c r="H331" i="11"/>
  <c r="I331" i="11"/>
  <c r="J331" i="11"/>
  <c r="K331" i="11"/>
  <c r="H332" i="11"/>
  <c r="I332" i="11"/>
  <c r="J332" i="11"/>
  <c r="K332" i="11"/>
  <c r="H333" i="11"/>
  <c r="I333" i="11"/>
  <c r="J333" i="11"/>
  <c r="K333" i="11"/>
  <c r="H334" i="11"/>
  <c r="I334" i="11"/>
  <c r="J334" i="11"/>
  <c r="K334" i="11"/>
  <c r="H335" i="11"/>
  <c r="I335" i="11"/>
  <c r="J335" i="11"/>
  <c r="K335" i="11"/>
  <c r="H336" i="11"/>
  <c r="I336" i="11"/>
  <c r="J336" i="11"/>
  <c r="K336" i="11"/>
  <c r="H337" i="11"/>
  <c r="I337" i="11"/>
  <c r="J337" i="11"/>
  <c r="K337" i="11"/>
  <c r="H338" i="11"/>
  <c r="I338" i="11"/>
  <c r="J338" i="11"/>
  <c r="K338" i="11"/>
  <c r="H339" i="11"/>
  <c r="I339" i="11"/>
  <c r="J339" i="11"/>
  <c r="K339" i="11"/>
  <c r="H340" i="11"/>
  <c r="I340" i="11"/>
  <c r="J340" i="11"/>
  <c r="K340" i="11"/>
  <c r="H341" i="11"/>
  <c r="I341" i="11"/>
  <c r="J341" i="11"/>
  <c r="K341" i="11"/>
  <c r="H342" i="11"/>
  <c r="I342" i="11"/>
  <c r="J342" i="11"/>
  <c r="K342" i="11"/>
  <c r="H343" i="11"/>
  <c r="I343" i="11"/>
  <c r="J343" i="11"/>
  <c r="K343" i="11"/>
  <c r="H344" i="11"/>
  <c r="I344" i="11"/>
  <c r="J344" i="11"/>
  <c r="K344" i="11"/>
  <c r="H345" i="11"/>
  <c r="I345" i="11"/>
  <c r="J345" i="11"/>
  <c r="K345" i="11"/>
  <c r="H346" i="11"/>
  <c r="I346" i="11"/>
  <c r="J346" i="11"/>
  <c r="K346" i="11"/>
  <c r="H347" i="11"/>
  <c r="I347" i="11"/>
  <c r="J347" i="11"/>
  <c r="K347" i="11"/>
  <c r="H348" i="11"/>
  <c r="I348" i="11"/>
  <c r="J348" i="11"/>
  <c r="K348" i="11"/>
  <c r="H349" i="11"/>
  <c r="I349" i="11"/>
  <c r="J349" i="11"/>
  <c r="K349" i="11"/>
  <c r="H350" i="11"/>
  <c r="I350" i="11"/>
  <c r="J350" i="11"/>
  <c r="K350" i="11"/>
  <c r="H351" i="11"/>
  <c r="I351" i="11"/>
  <c r="J351" i="11"/>
  <c r="K351" i="11"/>
  <c r="H352" i="11"/>
  <c r="I352" i="11"/>
  <c r="J352" i="11"/>
  <c r="K352" i="11"/>
  <c r="H353" i="11"/>
  <c r="I353" i="11"/>
  <c r="J353" i="11"/>
  <c r="K353" i="11"/>
  <c r="H354" i="11"/>
  <c r="I354" i="11"/>
  <c r="J354" i="11"/>
  <c r="K354" i="11"/>
  <c r="H355" i="11"/>
  <c r="I355" i="11"/>
  <c r="J355" i="11"/>
  <c r="K355" i="11"/>
  <c r="H356" i="11"/>
  <c r="I356" i="11"/>
  <c r="J356" i="11"/>
  <c r="K356" i="11"/>
  <c r="H357" i="11"/>
  <c r="I357" i="11"/>
  <c r="J357" i="11"/>
  <c r="K357" i="11"/>
  <c r="H358" i="11"/>
  <c r="I358" i="11"/>
  <c r="J358" i="11"/>
  <c r="K358" i="11"/>
  <c r="H359" i="11"/>
  <c r="I359" i="11"/>
  <c r="J359" i="11"/>
  <c r="K359" i="11"/>
  <c r="H360" i="11"/>
  <c r="I360" i="11"/>
  <c r="J360" i="11"/>
  <c r="K360" i="11"/>
  <c r="H361" i="11"/>
  <c r="I361" i="11"/>
  <c r="J361" i="11"/>
  <c r="K361" i="11"/>
  <c r="H362" i="11"/>
  <c r="I362" i="11"/>
  <c r="J362" i="11"/>
  <c r="K362" i="11"/>
  <c r="H363" i="11"/>
  <c r="I363" i="11"/>
  <c r="J363" i="11"/>
  <c r="K363" i="11"/>
  <c r="H364" i="11"/>
  <c r="I364" i="11"/>
  <c r="J364" i="11"/>
  <c r="K364" i="11"/>
  <c r="H365" i="11"/>
  <c r="I365" i="11"/>
  <c r="J365" i="11"/>
  <c r="K365" i="11"/>
  <c r="H366" i="11"/>
  <c r="I366" i="11"/>
  <c r="J366" i="11"/>
  <c r="K366" i="11"/>
  <c r="H367" i="11"/>
  <c r="I367" i="11"/>
  <c r="J367" i="11"/>
  <c r="K367" i="11"/>
  <c r="H368" i="11"/>
  <c r="I368" i="11"/>
  <c r="J368" i="11"/>
  <c r="K368" i="11"/>
  <c r="H369" i="11"/>
  <c r="I369" i="11"/>
  <c r="J369" i="11"/>
  <c r="K369" i="11"/>
  <c r="H370" i="11"/>
  <c r="I370" i="11"/>
  <c r="J370" i="11"/>
  <c r="K370" i="11"/>
  <c r="H371" i="11"/>
  <c r="I371" i="11"/>
  <c r="J371" i="11"/>
  <c r="K371" i="11"/>
  <c r="H372" i="11"/>
  <c r="I372" i="11"/>
  <c r="J372" i="11"/>
  <c r="K372" i="11"/>
  <c r="H373" i="11"/>
  <c r="I373" i="11"/>
  <c r="J373" i="11"/>
  <c r="K373" i="11"/>
  <c r="H374" i="11"/>
  <c r="I374" i="11"/>
  <c r="J374" i="11"/>
  <c r="K374" i="11"/>
  <c r="H375" i="11"/>
  <c r="I375" i="11"/>
  <c r="J375" i="11"/>
  <c r="K375" i="11"/>
  <c r="H376" i="11"/>
  <c r="I376" i="11"/>
  <c r="J376" i="11"/>
  <c r="K376" i="11"/>
  <c r="H377" i="11"/>
  <c r="I377" i="11"/>
  <c r="J377" i="11"/>
  <c r="K377" i="11"/>
  <c r="H378" i="11"/>
  <c r="I378" i="11"/>
  <c r="J378" i="11"/>
  <c r="K378" i="11"/>
  <c r="H379" i="11"/>
  <c r="I379" i="11"/>
  <c r="J379" i="11"/>
  <c r="K379" i="11"/>
  <c r="H380" i="11"/>
  <c r="I380" i="11"/>
  <c r="J380" i="11"/>
  <c r="K380" i="11"/>
  <c r="H381" i="11"/>
  <c r="I381" i="11"/>
  <c r="J381" i="11"/>
  <c r="K381" i="11"/>
  <c r="H382" i="11"/>
  <c r="I382" i="11"/>
  <c r="J382" i="11"/>
  <c r="K382" i="11"/>
  <c r="H383" i="11"/>
  <c r="I383" i="11"/>
  <c r="J383" i="11"/>
  <c r="K383" i="11"/>
  <c r="H384" i="11"/>
  <c r="I384" i="11"/>
  <c r="J384" i="11"/>
  <c r="K384" i="11"/>
  <c r="H385" i="11"/>
  <c r="I385" i="11"/>
  <c r="J385" i="11"/>
  <c r="K385" i="11"/>
  <c r="H386" i="11"/>
  <c r="I386" i="11"/>
  <c r="J386" i="11"/>
  <c r="K386" i="11"/>
  <c r="H387" i="11"/>
  <c r="I387" i="11"/>
  <c r="J387" i="11"/>
  <c r="K387" i="11"/>
  <c r="H388" i="11"/>
  <c r="I388" i="11"/>
  <c r="J388" i="11"/>
  <c r="K388" i="11"/>
  <c r="H389" i="11"/>
  <c r="I389" i="11"/>
  <c r="J389" i="11"/>
  <c r="K389" i="11"/>
  <c r="H390" i="11"/>
  <c r="I390" i="11"/>
  <c r="J390" i="11"/>
  <c r="K390" i="11"/>
  <c r="H391" i="11"/>
  <c r="I391" i="11"/>
  <c r="J391" i="11"/>
  <c r="K391" i="11"/>
  <c r="H392" i="11"/>
  <c r="I392" i="11"/>
  <c r="J392" i="11"/>
  <c r="K392" i="11"/>
  <c r="H393" i="11"/>
  <c r="I393" i="11"/>
  <c r="J393" i="11"/>
  <c r="K393" i="11"/>
  <c r="H394" i="11"/>
  <c r="I394" i="11"/>
  <c r="J394" i="11"/>
  <c r="K394" i="11"/>
  <c r="H395" i="11"/>
  <c r="I395" i="11"/>
  <c r="J395" i="11"/>
  <c r="K395" i="11"/>
  <c r="H396" i="11"/>
  <c r="I396" i="11"/>
  <c r="J396" i="11"/>
  <c r="K396" i="11"/>
  <c r="H397" i="11"/>
  <c r="I397" i="11"/>
  <c r="J397" i="11"/>
  <c r="K397" i="11"/>
  <c r="H398" i="11"/>
  <c r="I398" i="11"/>
  <c r="J398" i="11"/>
  <c r="K398" i="11"/>
  <c r="H399" i="11"/>
  <c r="I399" i="11"/>
  <c r="J399" i="11"/>
  <c r="K399" i="11"/>
  <c r="H400" i="11"/>
  <c r="I400" i="11"/>
  <c r="J400" i="11"/>
  <c r="K400" i="11"/>
  <c r="H401" i="11"/>
  <c r="I401" i="11"/>
  <c r="J401" i="11"/>
  <c r="K401" i="11"/>
  <c r="H402" i="11"/>
  <c r="I402" i="11"/>
  <c r="J402" i="11"/>
  <c r="K402" i="11"/>
  <c r="H403" i="11"/>
  <c r="I403" i="11"/>
  <c r="J403" i="11"/>
  <c r="K403" i="11"/>
  <c r="H404" i="11"/>
  <c r="I404" i="11"/>
  <c r="J404" i="11"/>
  <c r="K404" i="11"/>
  <c r="H405" i="11"/>
  <c r="I405" i="11"/>
  <c r="J405" i="11"/>
  <c r="K405" i="11"/>
  <c r="H406" i="11"/>
  <c r="I406" i="11"/>
  <c r="J406" i="11"/>
  <c r="K406" i="11"/>
  <c r="H407" i="11"/>
  <c r="I407" i="11"/>
  <c r="J407" i="11"/>
  <c r="K407" i="11"/>
  <c r="H408" i="11"/>
  <c r="I408" i="11"/>
  <c r="J408" i="11"/>
  <c r="K408" i="11"/>
  <c r="H409" i="11"/>
  <c r="I409" i="11"/>
  <c r="J409" i="11"/>
  <c r="K409" i="11"/>
  <c r="H410" i="11"/>
  <c r="I410" i="11"/>
  <c r="J410" i="11"/>
  <c r="K410" i="11"/>
  <c r="H411" i="11"/>
  <c r="I411" i="11"/>
  <c r="J411" i="11"/>
  <c r="K411" i="11"/>
  <c r="H412" i="11"/>
  <c r="I412" i="11"/>
  <c r="J412" i="11"/>
  <c r="K412" i="11"/>
  <c r="H413" i="11"/>
  <c r="I413" i="11"/>
  <c r="J413" i="11"/>
  <c r="K413" i="11"/>
  <c r="H414" i="11"/>
  <c r="I414" i="11"/>
  <c r="J414" i="11"/>
  <c r="K414" i="11"/>
  <c r="H415" i="11"/>
  <c r="I415" i="11"/>
  <c r="J415" i="11"/>
  <c r="K415" i="11"/>
  <c r="H416" i="11"/>
  <c r="I416" i="11"/>
  <c r="J416" i="11"/>
  <c r="K416" i="11"/>
  <c r="H417" i="11"/>
  <c r="I417" i="11"/>
  <c r="J417" i="11"/>
  <c r="K417" i="11"/>
  <c r="H418" i="11"/>
  <c r="I418" i="11"/>
  <c r="J418" i="11"/>
  <c r="K418" i="11"/>
  <c r="H419" i="11"/>
  <c r="I419" i="11"/>
  <c r="J419" i="11"/>
  <c r="K419" i="11"/>
  <c r="H420" i="11"/>
  <c r="I420" i="11"/>
  <c r="J420" i="11"/>
  <c r="K420" i="11"/>
  <c r="H421" i="11"/>
  <c r="I421" i="11"/>
  <c r="J421" i="11"/>
  <c r="K421" i="11"/>
  <c r="H422" i="11"/>
  <c r="I422" i="11"/>
  <c r="J422" i="11"/>
  <c r="K422" i="11"/>
  <c r="H423" i="11"/>
  <c r="I423" i="11"/>
  <c r="J423" i="11"/>
  <c r="K423" i="11"/>
  <c r="H424" i="11"/>
  <c r="I424" i="11"/>
  <c r="J424" i="11"/>
  <c r="K424" i="11"/>
  <c r="H425" i="11"/>
  <c r="I425" i="11"/>
  <c r="J425" i="11"/>
  <c r="K425" i="11"/>
  <c r="H426" i="11"/>
  <c r="I426" i="11"/>
  <c r="J426" i="11"/>
  <c r="K426" i="11"/>
  <c r="H427" i="11"/>
  <c r="I427" i="11"/>
  <c r="J427" i="11"/>
  <c r="K427" i="11"/>
  <c r="H428" i="11"/>
  <c r="I428" i="11"/>
  <c r="J428" i="11"/>
  <c r="K428" i="11"/>
  <c r="H429" i="11"/>
  <c r="I429" i="11"/>
  <c r="J429" i="11"/>
  <c r="K429" i="11"/>
  <c r="H430" i="11"/>
  <c r="I430" i="11"/>
  <c r="J430" i="11"/>
  <c r="K430" i="11"/>
  <c r="H431" i="11"/>
  <c r="I431" i="11"/>
  <c r="J431" i="11"/>
  <c r="K431" i="11"/>
  <c r="H432" i="11"/>
  <c r="I432" i="11"/>
  <c r="J432" i="11"/>
  <c r="K432" i="11"/>
  <c r="H433" i="11"/>
  <c r="I433" i="11"/>
  <c r="J433" i="11"/>
  <c r="K433" i="11"/>
  <c r="H434" i="11"/>
  <c r="I434" i="11"/>
  <c r="J434" i="11"/>
  <c r="K434" i="11"/>
  <c r="H435" i="11"/>
  <c r="I435" i="11"/>
  <c r="J435" i="11"/>
  <c r="K435" i="11"/>
  <c r="H436" i="11"/>
  <c r="I436" i="11"/>
  <c r="J436" i="11"/>
  <c r="K436" i="11"/>
  <c r="H437" i="11"/>
  <c r="I437" i="11"/>
  <c r="J437" i="11"/>
  <c r="K437" i="11"/>
  <c r="H438" i="11"/>
  <c r="I438" i="11"/>
  <c r="J438" i="11"/>
  <c r="K438" i="11"/>
  <c r="H439" i="11"/>
  <c r="I439" i="11"/>
  <c r="J439" i="11"/>
  <c r="K439" i="11"/>
  <c r="H440" i="11"/>
  <c r="I440" i="11"/>
  <c r="J440" i="11"/>
  <c r="K440" i="11"/>
  <c r="H441" i="11"/>
  <c r="I441" i="11"/>
  <c r="J441" i="11"/>
  <c r="K441" i="11"/>
  <c r="H442" i="11"/>
  <c r="I442" i="11"/>
  <c r="J442" i="11"/>
  <c r="K442" i="11"/>
  <c r="H443" i="11"/>
  <c r="I443" i="11"/>
  <c r="J443" i="11"/>
  <c r="K443" i="11"/>
  <c r="H444" i="11"/>
  <c r="I444" i="11"/>
  <c r="J444" i="11"/>
  <c r="K444" i="11"/>
  <c r="H445" i="11"/>
  <c r="I445" i="11"/>
  <c r="J445" i="11"/>
  <c r="K445" i="11"/>
  <c r="H446" i="11"/>
  <c r="I446" i="11"/>
  <c r="J446" i="11"/>
  <c r="K446" i="11"/>
  <c r="H447" i="11"/>
  <c r="I447" i="11"/>
  <c r="J447" i="11"/>
  <c r="K447" i="11"/>
  <c r="H448" i="11"/>
  <c r="I448" i="11"/>
  <c r="J448" i="11"/>
  <c r="K448" i="11"/>
  <c r="H449" i="11"/>
  <c r="I449" i="11"/>
  <c r="J449" i="11"/>
  <c r="K449" i="11"/>
  <c r="H450" i="11"/>
  <c r="I450" i="11"/>
  <c r="J450" i="11"/>
  <c r="K450" i="11"/>
  <c r="H451" i="11"/>
  <c r="I451" i="11"/>
  <c r="J451" i="11"/>
  <c r="K451" i="11"/>
  <c r="H452" i="11"/>
  <c r="I452" i="11"/>
  <c r="J452" i="11"/>
  <c r="K452" i="11"/>
  <c r="H453" i="11"/>
  <c r="I453" i="11"/>
  <c r="J453" i="11"/>
  <c r="K453" i="11"/>
  <c r="H454" i="11"/>
  <c r="I454" i="11"/>
  <c r="J454" i="11"/>
  <c r="K454" i="11"/>
  <c r="H455" i="11"/>
  <c r="I455" i="11"/>
  <c r="J455" i="11"/>
  <c r="K455" i="11"/>
  <c r="H456" i="11"/>
  <c r="I456" i="11"/>
  <c r="J456" i="11"/>
  <c r="K456" i="11"/>
  <c r="H457" i="11"/>
  <c r="I457" i="11"/>
  <c r="J457" i="11"/>
  <c r="K457" i="11"/>
  <c r="H458" i="11"/>
  <c r="I458" i="11"/>
  <c r="J458" i="11"/>
  <c r="K458" i="11"/>
  <c r="H459" i="11"/>
  <c r="I459" i="11"/>
  <c r="J459" i="11"/>
  <c r="K459" i="11"/>
  <c r="H460" i="11"/>
  <c r="I460" i="11"/>
  <c r="J460" i="11"/>
  <c r="K460" i="11"/>
  <c r="H461" i="11"/>
  <c r="I461" i="11"/>
  <c r="J461" i="11"/>
  <c r="K461" i="11"/>
  <c r="H462" i="11"/>
  <c r="I462" i="11"/>
  <c r="J462" i="11"/>
  <c r="K462" i="11"/>
  <c r="H463" i="11"/>
  <c r="I463" i="11"/>
  <c r="J463" i="11"/>
  <c r="K463" i="11"/>
  <c r="H464" i="11"/>
  <c r="I464" i="11"/>
  <c r="J464" i="11"/>
  <c r="K464" i="11"/>
  <c r="H465" i="11"/>
  <c r="I465" i="11"/>
  <c r="J465" i="11"/>
  <c r="K465" i="11"/>
  <c r="H466" i="11"/>
  <c r="I466" i="11"/>
  <c r="J466" i="11"/>
  <c r="K466" i="11"/>
  <c r="H467" i="11"/>
  <c r="I467" i="11"/>
  <c r="J467" i="11"/>
  <c r="K467" i="11"/>
  <c r="H468" i="11"/>
  <c r="I468" i="11"/>
  <c r="J468" i="11"/>
  <c r="K468" i="11"/>
  <c r="H469" i="11"/>
  <c r="I469" i="11"/>
  <c r="J469" i="11"/>
  <c r="K469" i="11"/>
  <c r="H470" i="11"/>
  <c r="I470" i="11"/>
  <c r="J470" i="11"/>
  <c r="K470" i="11"/>
  <c r="H471" i="11"/>
  <c r="I471" i="11"/>
  <c r="J471" i="11"/>
  <c r="K471" i="11"/>
  <c r="H472" i="11"/>
  <c r="I472" i="11"/>
  <c r="J472" i="11"/>
  <c r="K472" i="11"/>
  <c r="H473" i="11"/>
  <c r="I473" i="11"/>
  <c r="J473" i="11"/>
  <c r="K473" i="11"/>
  <c r="H474" i="11"/>
  <c r="I474" i="11"/>
  <c r="J474" i="11"/>
  <c r="K474" i="11"/>
  <c r="H475" i="11"/>
  <c r="I475" i="11"/>
  <c r="J475" i="11"/>
  <c r="K475" i="11"/>
  <c r="H476" i="11"/>
  <c r="I476" i="11"/>
  <c r="J476" i="11"/>
  <c r="K476" i="11"/>
  <c r="H477" i="11"/>
  <c r="I477" i="11"/>
  <c r="J477" i="11"/>
  <c r="K477" i="11"/>
  <c r="H478" i="11"/>
  <c r="I478" i="11"/>
  <c r="J478" i="11"/>
  <c r="K478" i="11"/>
  <c r="H479" i="11"/>
  <c r="I479" i="11"/>
  <c r="J479" i="11"/>
  <c r="K479" i="11"/>
  <c r="H480" i="11"/>
  <c r="I480" i="11"/>
  <c r="J480" i="11"/>
  <c r="K480" i="11"/>
  <c r="H481" i="11"/>
  <c r="I481" i="11"/>
  <c r="J481" i="11"/>
  <c r="K481" i="11"/>
  <c r="H482" i="11"/>
  <c r="I482" i="11"/>
  <c r="J482" i="11"/>
  <c r="K482" i="11"/>
  <c r="H483" i="11"/>
  <c r="I483" i="11"/>
  <c r="J483" i="11"/>
  <c r="K483" i="11"/>
  <c r="H484" i="11"/>
  <c r="I484" i="11"/>
  <c r="J484" i="11"/>
  <c r="K484" i="11"/>
  <c r="H485" i="11"/>
  <c r="I485" i="11"/>
  <c r="J485" i="11"/>
  <c r="K485" i="11"/>
  <c r="H486" i="11"/>
  <c r="I486" i="11"/>
  <c r="J486" i="11"/>
  <c r="K486" i="11"/>
  <c r="H487" i="11"/>
  <c r="I487" i="11"/>
  <c r="J487" i="11"/>
  <c r="K487" i="11"/>
  <c r="H488" i="11"/>
  <c r="I488" i="11"/>
  <c r="J488" i="11"/>
  <c r="K488" i="11"/>
  <c r="H489" i="11"/>
  <c r="I489" i="11"/>
  <c r="J489" i="11"/>
  <c r="K489" i="11"/>
  <c r="H490" i="11"/>
  <c r="I490" i="11"/>
  <c r="J490" i="11"/>
  <c r="K490" i="11"/>
  <c r="H491" i="11"/>
  <c r="I491" i="11"/>
  <c r="J491" i="11"/>
  <c r="K491" i="11"/>
  <c r="H492" i="11"/>
  <c r="I492" i="11"/>
  <c r="J492" i="11"/>
  <c r="K492" i="11"/>
  <c r="H493" i="11"/>
  <c r="I493" i="11"/>
  <c r="J493" i="11"/>
  <c r="K493" i="11"/>
  <c r="H494" i="11"/>
  <c r="I494" i="11"/>
  <c r="J494" i="11"/>
  <c r="K494" i="11"/>
  <c r="H495" i="11"/>
  <c r="I495" i="11"/>
  <c r="J495" i="11"/>
  <c r="K495" i="11"/>
  <c r="H496" i="11"/>
  <c r="I496" i="11"/>
  <c r="J496" i="11"/>
  <c r="K496" i="11"/>
  <c r="H497" i="11"/>
  <c r="I497" i="11"/>
  <c r="J497" i="11"/>
  <c r="K497" i="11"/>
  <c r="H498" i="11"/>
  <c r="I498" i="11"/>
  <c r="J498" i="11"/>
  <c r="K498" i="11"/>
  <c r="H499" i="11"/>
  <c r="I499" i="11"/>
  <c r="J499" i="11"/>
  <c r="K499" i="11"/>
  <c r="H500" i="11"/>
  <c r="I500" i="11"/>
  <c r="J500" i="11"/>
  <c r="K500" i="11"/>
  <c r="H501" i="11"/>
  <c r="I501" i="11"/>
  <c r="J501" i="11"/>
  <c r="K501" i="11"/>
  <c r="H502" i="11"/>
  <c r="I502" i="11"/>
  <c r="J502" i="11"/>
  <c r="K502" i="11"/>
  <c r="H503" i="11"/>
  <c r="I503" i="11"/>
  <c r="J503" i="11"/>
  <c r="K503" i="11"/>
  <c r="H504" i="11"/>
  <c r="I504" i="11"/>
  <c r="J504" i="11"/>
  <c r="K504" i="11"/>
  <c r="H505" i="11"/>
  <c r="I505" i="11"/>
  <c r="J505" i="11"/>
  <c r="K505" i="11"/>
  <c r="H506" i="11"/>
  <c r="I506" i="11"/>
  <c r="J506" i="11"/>
  <c r="K506" i="11"/>
  <c r="H507" i="11"/>
  <c r="I507" i="11"/>
  <c r="J507" i="11"/>
  <c r="K507" i="11"/>
  <c r="H508" i="11"/>
  <c r="I508" i="11"/>
  <c r="J508" i="11"/>
  <c r="K508" i="11"/>
  <c r="H509" i="11"/>
  <c r="I509" i="11"/>
  <c r="J509" i="11"/>
  <c r="K509" i="11"/>
  <c r="H510" i="11"/>
  <c r="I510" i="11"/>
  <c r="J510" i="11"/>
  <c r="K510" i="11"/>
  <c r="H511" i="11"/>
  <c r="I511" i="11"/>
  <c r="J511" i="11"/>
  <c r="K511" i="11"/>
  <c r="H512" i="11"/>
  <c r="I512" i="11"/>
  <c r="J512" i="11"/>
  <c r="K512" i="11"/>
  <c r="H513" i="11"/>
  <c r="I513" i="11"/>
  <c r="J513" i="11"/>
  <c r="K513" i="11"/>
  <c r="H514" i="11"/>
  <c r="I514" i="11"/>
  <c r="J514" i="11"/>
  <c r="K514" i="11"/>
  <c r="H515" i="11"/>
  <c r="I515" i="11"/>
  <c r="J515" i="11"/>
  <c r="K515" i="11"/>
  <c r="H516" i="11"/>
  <c r="I516" i="11"/>
  <c r="J516" i="11"/>
  <c r="K516" i="11"/>
  <c r="H517" i="11"/>
  <c r="I517" i="11"/>
  <c r="J517" i="11"/>
  <c r="K517" i="11"/>
  <c r="H518" i="11"/>
  <c r="I518" i="11"/>
  <c r="J518" i="11"/>
  <c r="K518" i="11"/>
  <c r="H519" i="11"/>
  <c r="I519" i="11"/>
  <c r="J519" i="11"/>
  <c r="K519" i="11"/>
  <c r="H520" i="11"/>
  <c r="I520" i="11"/>
  <c r="J520" i="11"/>
  <c r="K520" i="11"/>
  <c r="H521" i="11"/>
  <c r="I521" i="11"/>
  <c r="J521" i="11"/>
  <c r="K521" i="11"/>
  <c r="H522" i="11"/>
  <c r="I522" i="11"/>
  <c r="J522" i="11"/>
  <c r="K522" i="11"/>
  <c r="H523" i="11"/>
  <c r="I523" i="11"/>
  <c r="J523" i="11"/>
  <c r="K523" i="11"/>
  <c r="H524" i="11"/>
  <c r="I524" i="11"/>
  <c r="J524" i="11"/>
  <c r="K524" i="11"/>
  <c r="H525" i="11"/>
  <c r="I525" i="11"/>
  <c r="J525" i="11"/>
  <c r="K525" i="11"/>
  <c r="H526" i="11"/>
  <c r="I526" i="11"/>
  <c r="J526" i="11"/>
  <c r="K526" i="11"/>
  <c r="H527" i="11"/>
  <c r="I527" i="11"/>
  <c r="J527" i="11"/>
  <c r="K527" i="11"/>
  <c r="H528" i="11"/>
  <c r="I528" i="11"/>
  <c r="J528" i="11"/>
  <c r="K528" i="11"/>
  <c r="H529" i="11"/>
  <c r="I529" i="11"/>
  <c r="J529" i="11"/>
  <c r="K529" i="11"/>
  <c r="H530" i="11"/>
  <c r="I530" i="11"/>
  <c r="J530" i="11"/>
  <c r="K530" i="11"/>
  <c r="H531" i="11"/>
  <c r="I531" i="11"/>
  <c r="J531" i="11"/>
  <c r="K531" i="11"/>
  <c r="H532" i="11"/>
  <c r="I532" i="11"/>
  <c r="J532" i="11"/>
  <c r="K532" i="11"/>
  <c r="H533" i="11"/>
  <c r="I533" i="11"/>
  <c r="J533" i="11"/>
  <c r="K533" i="11"/>
  <c r="H534" i="11"/>
  <c r="I534" i="11"/>
  <c r="J534" i="11"/>
  <c r="K534" i="11"/>
  <c r="H535" i="11"/>
  <c r="I535" i="11"/>
  <c r="J535" i="11"/>
  <c r="K535" i="11"/>
  <c r="H536" i="11"/>
  <c r="I536" i="11"/>
  <c r="J536" i="11"/>
  <c r="K536" i="11"/>
  <c r="H537" i="11"/>
  <c r="I537" i="11"/>
  <c r="J537" i="11"/>
  <c r="K537" i="11"/>
  <c r="H538" i="11"/>
  <c r="I538" i="11"/>
  <c r="J538" i="11"/>
  <c r="K538" i="11"/>
  <c r="H539" i="11"/>
  <c r="I539" i="11"/>
  <c r="J539" i="11"/>
  <c r="K539" i="11"/>
  <c r="H540" i="11"/>
  <c r="I540" i="11"/>
  <c r="J540" i="11"/>
  <c r="K540" i="11"/>
  <c r="H541" i="11"/>
  <c r="I541" i="11"/>
  <c r="J541" i="11"/>
  <c r="K541" i="11"/>
  <c r="H542" i="11"/>
  <c r="I542" i="11"/>
  <c r="J542" i="11"/>
  <c r="K542" i="11"/>
  <c r="H543" i="11"/>
  <c r="I543" i="11"/>
  <c r="J543" i="11"/>
  <c r="K543" i="11"/>
  <c r="H544" i="11"/>
  <c r="I544" i="11"/>
  <c r="J544" i="11"/>
  <c r="K544" i="11"/>
  <c r="H545" i="11"/>
  <c r="I545" i="11"/>
  <c r="J545" i="11"/>
  <c r="K545" i="11"/>
  <c r="H546" i="11"/>
  <c r="I546" i="11"/>
  <c r="J546" i="11"/>
  <c r="K546" i="11"/>
  <c r="H547" i="11"/>
  <c r="I547" i="11"/>
  <c r="J547" i="11"/>
  <c r="K547" i="11"/>
  <c r="H548" i="11"/>
  <c r="I548" i="11"/>
  <c r="J548" i="11"/>
  <c r="K548" i="11"/>
  <c r="H549" i="11"/>
  <c r="I549" i="11"/>
  <c r="J549" i="11"/>
  <c r="K549" i="11"/>
  <c r="H550" i="11"/>
  <c r="I550" i="11"/>
  <c r="J550" i="11"/>
  <c r="K550" i="11"/>
  <c r="H551" i="11"/>
  <c r="I551" i="11"/>
  <c r="J551" i="11"/>
  <c r="K551" i="11"/>
  <c r="H552" i="11"/>
  <c r="I552" i="11"/>
  <c r="J552" i="11"/>
  <c r="K552" i="11"/>
  <c r="H553" i="11"/>
  <c r="I553" i="11"/>
  <c r="J553" i="11"/>
  <c r="K553" i="11"/>
  <c r="H554" i="11"/>
  <c r="I554" i="11"/>
  <c r="J554" i="11"/>
  <c r="K554" i="11"/>
  <c r="H555" i="11"/>
  <c r="I555" i="11"/>
  <c r="J555" i="11"/>
  <c r="K555" i="11"/>
  <c r="H556" i="11"/>
  <c r="I556" i="11"/>
  <c r="J556" i="11"/>
  <c r="K556" i="11"/>
  <c r="H557" i="11"/>
  <c r="I557" i="11"/>
  <c r="J557" i="11"/>
  <c r="K557" i="11"/>
  <c r="H558" i="11"/>
  <c r="I558" i="11"/>
  <c r="J558" i="11"/>
  <c r="K558" i="11"/>
  <c r="H559" i="11"/>
  <c r="I559" i="11"/>
  <c r="J559" i="11"/>
  <c r="K559" i="11"/>
  <c r="H560" i="11"/>
  <c r="I560" i="11"/>
  <c r="J560" i="11"/>
  <c r="K560" i="11"/>
  <c r="H561" i="11"/>
  <c r="I561" i="11"/>
  <c r="J561" i="11"/>
  <c r="K561" i="11"/>
  <c r="H562" i="11"/>
  <c r="I562" i="11"/>
  <c r="J562" i="11"/>
  <c r="K562" i="11"/>
  <c r="H563" i="11"/>
  <c r="I563" i="11"/>
  <c r="J563" i="11"/>
  <c r="K563" i="11"/>
  <c r="H564" i="11"/>
  <c r="I564" i="11"/>
  <c r="J564" i="11"/>
  <c r="K564" i="11"/>
  <c r="H565" i="11"/>
  <c r="I565" i="11"/>
  <c r="J565" i="11"/>
  <c r="K565" i="11"/>
  <c r="H566" i="11"/>
  <c r="I566" i="11"/>
  <c r="J566" i="11"/>
  <c r="K566" i="11"/>
  <c r="H567" i="11"/>
  <c r="I567" i="11"/>
  <c r="J567" i="11"/>
  <c r="K567" i="11"/>
  <c r="H568" i="11"/>
  <c r="I568" i="11"/>
  <c r="J568" i="11"/>
  <c r="K568" i="11"/>
  <c r="H569" i="11"/>
  <c r="I569" i="11"/>
  <c r="J569" i="11"/>
  <c r="K569" i="11"/>
  <c r="H570" i="11"/>
  <c r="I570" i="11"/>
  <c r="J570" i="11"/>
  <c r="K570" i="11"/>
  <c r="H571" i="11"/>
  <c r="I571" i="11"/>
  <c r="J571" i="11"/>
  <c r="K571" i="11"/>
  <c r="H572" i="11"/>
  <c r="I572" i="11"/>
  <c r="J572" i="11"/>
  <c r="K572" i="11"/>
  <c r="H573" i="11"/>
  <c r="I573" i="11"/>
  <c r="J573" i="11"/>
  <c r="K573" i="11"/>
  <c r="H574" i="11"/>
  <c r="I574" i="11"/>
  <c r="J574" i="11"/>
  <c r="K574" i="11"/>
  <c r="H575" i="11"/>
  <c r="I575" i="11"/>
  <c r="J575" i="11"/>
  <c r="K575" i="11"/>
  <c r="H576" i="11"/>
  <c r="I576" i="11"/>
  <c r="J576" i="11"/>
  <c r="K576" i="11"/>
  <c r="H577" i="11"/>
  <c r="I577" i="11"/>
  <c r="J577" i="11"/>
  <c r="K577" i="11"/>
  <c r="H578" i="11"/>
  <c r="I578" i="11"/>
  <c r="J578" i="11"/>
  <c r="K578" i="11"/>
  <c r="H579" i="11"/>
  <c r="I579" i="11"/>
  <c r="J579" i="11"/>
  <c r="K579" i="11"/>
  <c r="H580" i="11"/>
  <c r="I580" i="11"/>
  <c r="J580" i="11"/>
  <c r="K580" i="11"/>
  <c r="H581" i="11"/>
  <c r="I581" i="11"/>
  <c r="J581" i="11"/>
  <c r="K581" i="11"/>
  <c r="H582" i="11"/>
  <c r="I582" i="11"/>
  <c r="J582" i="11"/>
  <c r="K582" i="11"/>
  <c r="H583" i="11"/>
  <c r="I583" i="11"/>
  <c r="J583" i="11"/>
  <c r="K583" i="11"/>
  <c r="H584" i="11"/>
  <c r="I584" i="11"/>
  <c r="J584" i="11"/>
  <c r="K584" i="11"/>
  <c r="H585" i="11"/>
  <c r="I585" i="11"/>
  <c r="J585" i="11"/>
  <c r="K585" i="11"/>
  <c r="H586" i="11"/>
  <c r="I586" i="11"/>
  <c r="J586" i="11"/>
  <c r="K586" i="11"/>
  <c r="H587" i="11"/>
  <c r="I587" i="11"/>
  <c r="J587" i="11"/>
  <c r="K587" i="11"/>
  <c r="H588" i="11"/>
  <c r="I588" i="11"/>
  <c r="J588" i="11"/>
  <c r="K588" i="11"/>
  <c r="H589" i="11"/>
  <c r="I589" i="11"/>
  <c r="J589" i="11"/>
  <c r="K589" i="11"/>
  <c r="H590" i="11"/>
  <c r="I590" i="11"/>
  <c r="J590" i="11"/>
  <c r="K590" i="11"/>
  <c r="H591" i="11"/>
  <c r="I591" i="11"/>
  <c r="J591" i="11"/>
  <c r="K591" i="11"/>
  <c r="H592" i="11"/>
  <c r="I592" i="11"/>
  <c r="J592" i="11"/>
  <c r="K592" i="11"/>
  <c r="H593" i="11"/>
  <c r="I593" i="11"/>
  <c r="J593" i="11"/>
  <c r="K593" i="11"/>
  <c r="H594" i="11"/>
  <c r="I594" i="11"/>
  <c r="J594" i="11"/>
  <c r="K594" i="11"/>
  <c r="H595" i="11"/>
  <c r="I595" i="11"/>
  <c r="J595" i="11"/>
  <c r="K595" i="11"/>
  <c r="H596" i="11"/>
  <c r="I596" i="11"/>
  <c r="J596" i="11"/>
  <c r="K596" i="11"/>
  <c r="H597" i="11"/>
  <c r="I597" i="11"/>
  <c r="J597" i="11"/>
  <c r="K597" i="11"/>
  <c r="H598" i="11"/>
  <c r="I598" i="11"/>
  <c r="J598" i="11"/>
  <c r="K598" i="11"/>
  <c r="H599" i="11"/>
  <c r="I599" i="11"/>
  <c r="J599" i="11"/>
  <c r="K599" i="11"/>
  <c r="H600" i="11"/>
  <c r="I600" i="11"/>
  <c r="J600" i="11"/>
  <c r="K600" i="11"/>
  <c r="H601" i="11"/>
  <c r="I601" i="11"/>
  <c r="J601" i="11"/>
  <c r="K601" i="11"/>
  <c r="H602" i="11"/>
  <c r="I602" i="11"/>
  <c r="J602" i="11"/>
  <c r="K602" i="11"/>
  <c r="H603" i="11"/>
  <c r="I603" i="11"/>
  <c r="J603" i="11"/>
  <c r="K603" i="11"/>
  <c r="H604" i="11"/>
  <c r="I604" i="11"/>
  <c r="J604" i="11"/>
  <c r="K604" i="11"/>
  <c r="H605" i="11"/>
  <c r="I605" i="11"/>
  <c r="J605" i="11"/>
  <c r="K605" i="11"/>
  <c r="H606" i="11"/>
  <c r="I606" i="11"/>
  <c r="J606" i="11"/>
  <c r="K606" i="11"/>
  <c r="H607" i="11"/>
  <c r="I607" i="11"/>
  <c r="J607" i="11"/>
  <c r="K607" i="11"/>
  <c r="H608" i="11"/>
  <c r="I608" i="11"/>
  <c r="J608" i="11"/>
  <c r="K608" i="11"/>
  <c r="H609" i="11"/>
  <c r="I609" i="11"/>
  <c r="J609" i="11"/>
  <c r="K609" i="11"/>
  <c r="H610" i="11"/>
  <c r="I610" i="11"/>
  <c r="J610" i="11"/>
  <c r="K610" i="11"/>
  <c r="H611" i="11"/>
  <c r="I611" i="11"/>
  <c r="J611" i="11"/>
  <c r="K611" i="11"/>
  <c r="H612" i="11"/>
  <c r="I612" i="11"/>
  <c r="J612" i="11"/>
  <c r="K612" i="11"/>
  <c r="H613" i="11"/>
  <c r="I613" i="11"/>
  <c r="J613" i="11"/>
  <c r="K613" i="11"/>
  <c r="H614" i="11"/>
  <c r="I614" i="11"/>
  <c r="J614" i="11"/>
  <c r="K614" i="11"/>
  <c r="H615" i="11"/>
  <c r="I615" i="11"/>
  <c r="J615" i="11"/>
  <c r="K615" i="11"/>
  <c r="H616" i="11"/>
  <c r="I616" i="11"/>
  <c r="J616" i="11"/>
  <c r="K616" i="11"/>
  <c r="H617" i="11"/>
  <c r="I617" i="11"/>
  <c r="J617" i="11"/>
  <c r="K617" i="11"/>
  <c r="H618" i="11"/>
  <c r="I618" i="11"/>
  <c r="J618" i="11"/>
  <c r="K618" i="11"/>
  <c r="H619" i="11"/>
  <c r="I619" i="11"/>
  <c r="J619" i="11"/>
  <c r="K619" i="11"/>
  <c r="H620" i="11"/>
  <c r="I620" i="11"/>
  <c r="J620" i="11"/>
  <c r="K620" i="11"/>
  <c r="H621" i="11"/>
  <c r="I621" i="11"/>
  <c r="J621" i="11"/>
  <c r="K621" i="11"/>
  <c r="H622" i="11"/>
  <c r="I622" i="11"/>
  <c r="J622" i="11"/>
  <c r="K622" i="11"/>
  <c r="H623" i="11"/>
  <c r="I623" i="11"/>
  <c r="J623" i="11"/>
  <c r="K623" i="11"/>
  <c r="H624" i="11"/>
  <c r="I624" i="11"/>
  <c r="J624" i="11"/>
  <c r="K624" i="11"/>
  <c r="H625" i="11"/>
  <c r="I625" i="11"/>
  <c r="J625" i="11"/>
  <c r="K625" i="11"/>
  <c r="H626" i="11"/>
  <c r="I626" i="11"/>
  <c r="J626" i="11"/>
  <c r="K626" i="11"/>
  <c r="H627" i="11"/>
  <c r="I627" i="11"/>
  <c r="J627" i="11"/>
  <c r="K627" i="11"/>
  <c r="H628" i="11"/>
  <c r="I628" i="11"/>
  <c r="J628" i="11"/>
  <c r="K628" i="11"/>
  <c r="H629" i="11"/>
  <c r="I629" i="11"/>
  <c r="J629" i="11"/>
  <c r="K629" i="11"/>
  <c r="H630" i="11"/>
  <c r="I630" i="11"/>
  <c r="J630" i="11"/>
  <c r="K630" i="11"/>
  <c r="H631" i="11"/>
  <c r="I631" i="11"/>
  <c r="J631" i="11"/>
  <c r="K631" i="11"/>
  <c r="H632" i="11"/>
  <c r="I632" i="11"/>
  <c r="J632" i="11"/>
  <c r="K632" i="11"/>
  <c r="H633" i="11"/>
  <c r="I633" i="11"/>
  <c r="J633" i="11"/>
  <c r="K633" i="11"/>
  <c r="H634" i="11"/>
  <c r="I634" i="11"/>
  <c r="J634" i="11"/>
  <c r="K634" i="11"/>
  <c r="H635" i="11"/>
  <c r="I635" i="11"/>
  <c r="J635" i="11"/>
  <c r="K635" i="11"/>
  <c r="H636" i="11"/>
  <c r="I636" i="11"/>
  <c r="J636" i="11"/>
  <c r="K636" i="11"/>
  <c r="H637" i="11"/>
  <c r="I637" i="11"/>
  <c r="J637" i="11"/>
  <c r="K637" i="11"/>
  <c r="H638" i="11"/>
  <c r="I638" i="11"/>
  <c r="J638" i="11"/>
  <c r="K638" i="11"/>
  <c r="H639" i="11"/>
  <c r="I639" i="11"/>
  <c r="J639" i="11"/>
  <c r="K639" i="11"/>
  <c r="H640" i="11"/>
  <c r="I640" i="11"/>
  <c r="J640" i="11"/>
  <c r="K640" i="11"/>
  <c r="H641" i="11"/>
  <c r="I641" i="11"/>
  <c r="J641" i="11"/>
  <c r="K641" i="11"/>
  <c r="H642" i="11"/>
  <c r="I642" i="11"/>
  <c r="J642" i="11"/>
  <c r="K642" i="11"/>
  <c r="H643" i="11"/>
  <c r="I643" i="11"/>
  <c r="J643" i="11"/>
  <c r="K643" i="11"/>
  <c r="H644" i="11"/>
  <c r="I644" i="11"/>
  <c r="J644" i="11"/>
  <c r="K644" i="11"/>
  <c r="H645" i="11"/>
  <c r="I645" i="11"/>
  <c r="J645" i="11"/>
  <c r="K645" i="11"/>
  <c r="H646" i="11"/>
  <c r="I646" i="11"/>
  <c r="J646" i="11"/>
  <c r="K646" i="11"/>
  <c r="H647" i="11"/>
  <c r="I647" i="11"/>
  <c r="J647" i="11"/>
  <c r="K647" i="11"/>
  <c r="H648" i="11"/>
  <c r="I648" i="11"/>
  <c r="J648" i="11"/>
  <c r="K648" i="11"/>
  <c r="H649" i="11"/>
  <c r="I649" i="11"/>
  <c r="J649" i="11"/>
  <c r="K649" i="11"/>
  <c r="H650" i="11"/>
  <c r="I650" i="11"/>
  <c r="J650" i="11"/>
  <c r="K650" i="11"/>
  <c r="H651" i="11"/>
  <c r="I651" i="11"/>
  <c r="J651" i="11"/>
  <c r="K651" i="11"/>
  <c r="H652" i="11"/>
  <c r="I652" i="11"/>
  <c r="J652" i="11"/>
  <c r="K652" i="11"/>
  <c r="H653" i="11"/>
  <c r="I653" i="11"/>
  <c r="J653" i="11"/>
  <c r="K653" i="11"/>
  <c r="H654" i="11"/>
  <c r="I654" i="11"/>
  <c r="J654" i="11"/>
  <c r="K654" i="11"/>
  <c r="H655" i="11"/>
  <c r="I655" i="11"/>
  <c r="J655" i="11"/>
  <c r="K655" i="11"/>
  <c r="H656" i="11"/>
  <c r="I656" i="11"/>
  <c r="J656" i="11"/>
  <c r="K656" i="11"/>
  <c r="H657" i="11"/>
  <c r="I657" i="11"/>
  <c r="J657" i="11"/>
  <c r="K657" i="11"/>
  <c r="H658" i="11"/>
  <c r="I658" i="11"/>
  <c r="J658" i="11"/>
  <c r="K658" i="11"/>
  <c r="H659" i="11"/>
  <c r="I659" i="11"/>
  <c r="J659" i="11"/>
  <c r="K659" i="11"/>
  <c r="H660" i="11"/>
  <c r="I660" i="11"/>
  <c r="J660" i="11"/>
  <c r="K660" i="11"/>
  <c r="H661" i="11"/>
  <c r="I661" i="11"/>
  <c r="J661" i="11"/>
  <c r="K661" i="11"/>
  <c r="H662" i="11"/>
  <c r="I662" i="11"/>
  <c r="J662" i="11"/>
  <c r="K662" i="11"/>
  <c r="H663" i="11"/>
  <c r="I663" i="11"/>
  <c r="J663" i="11"/>
  <c r="K663" i="11"/>
  <c r="H664" i="11"/>
  <c r="I664" i="11"/>
  <c r="J664" i="11"/>
  <c r="K664" i="11"/>
  <c r="H665" i="11"/>
  <c r="I665" i="11"/>
  <c r="J665" i="11"/>
  <c r="K665" i="11"/>
  <c r="H666" i="11"/>
  <c r="I666" i="11"/>
  <c r="J666" i="11"/>
  <c r="K666" i="11"/>
  <c r="H667" i="11"/>
  <c r="I667" i="11"/>
  <c r="J667" i="11"/>
  <c r="K667" i="11"/>
  <c r="H668" i="11"/>
  <c r="I668" i="11"/>
  <c r="J668" i="11"/>
  <c r="K668" i="11"/>
  <c r="H669" i="11"/>
  <c r="I669" i="11"/>
  <c r="J669" i="11"/>
  <c r="K669" i="11"/>
  <c r="H670" i="11"/>
  <c r="I670" i="11"/>
  <c r="J670" i="11"/>
  <c r="K670" i="11"/>
  <c r="H671" i="11"/>
  <c r="I671" i="11"/>
  <c r="J671" i="11"/>
  <c r="K671" i="11"/>
  <c r="H672" i="11"/>
  <c r="I672" i="11"/>
  <c r="J672" i="11"/>
  <c r="K672" i="11"/>
  <c r="H673" i="11"/>
  <c r="I673" i="11"/>
  <c r="J673" i="11"/>
  <c r="K673" i="11"/>
  <c r="H674" i="11"/>
  <c r="I674" i="11"/>
  <c r="J674" i="11"/>
  <c r="K674" i="11"/>
  <c r="H675" i="11"/>
  <c r="I675" i="11"/>
  <c r="J675" i="11"/>
  <c r="K675" i="11"/>
  <c r="H676" i="11"/>
  <c r="I676" i="11"/>
  <c r="J676" i="11"/>
  <c r="K676" i="11"/>
  <c r="H677" i="11"/>
  <c r="I677" i="11"/>
  <c r="J677" i="11"/>
  <c r="K677" i="11"/>
  <c r="H678" i="11"/>
  <c r="I678" i="11"/>
  <c r="J678" i="11"/>
  <c r="K678" i="11"/>
  <c r="H679" i="11"/>
  <c r="I679" i="11"/>
  <c r="J679" i="11"/>
  <c r="K679" i="11"/>
  <c r="H680" i="11"/>
  <c r="I680" i="11"/>
  <c r="J680" i="11"/>
  <c r="K680" i="11"/>
  <c r="H681" i="11"/>
  <c r="I681" i="11"/>
  <c r="J681" i="11"/>
  <c r="K681" i="11"/>
  <c r="H682" i="11"/>
  <c r="I682" i="11"/>
  <c r="J682" i="11"/>
  <c r="K682" i="11"/>
  <c r="K209" i="11"/>
  <c r="J209" i="11"/>
  <c r="I209" i="11"/>
  <c r="H209" i="11"/>
  <c r="K208" i="11"/>
  <c r="J208" i="11"/>
  <c r="I208" i="11"/>
  <c r="H208" i="11"/>
  <c r="K207" i="11"/>
  <c r="J207" i="11"/>
  <c r="I207" i="11"/>
  <c r="H207" i="11"/>
  <c r="K206" i="11"/>
  <c r="J206" i="11"/>
  <c r="I206" i="11"/>
  <c r="H206" i="11"/>
  <c r="K205" i="11"/>
  <c r="J205" i="11"/>
  <c r="I205" i="11"/>
  <c r="H205" i="11"/>
  <c r="K204" i="11"/>
  <c r="J204" i="11"/>
  <c r="I204" i="11"/>
  <c r="H204" i="11"/>
  <c r="K203" i="11"/>
  <c r="J203" i="11"/>
  <c r="I203" i="11"/>
  <c r="H203" i="11"/>
  <c r="K202" i="11"/>
  <c r="J202" i="11"/>
  <c r="I202" i="11"/>
  <c r="H202" i="11"/>
  <c r="K201" i="11"/>
  <c r="J201" i="11"/>
  <c r="I201" i="11"/>
  <c r="H201" i="11"/>
  <c r="K200" i="11"/>
  <c r="J200" i="11"/>
  <c r="I200" i="11"/>
  <c r="H200" i="11"/>
  <c r="K199" i="11"/>
  <c r="J199" i="11"/>
  <c r="I199" i="11"/>
  <c r="H199" i="11"/>
  <c r="K198" i="11"/>
  <c r="J198" i="11"/>
  <c r="I198" i="11"/>
  <c r="H198" i="11"/>
  <c r="K197" i="11"/>
  <c r="J197" i="11"/>
  <c r="I197" i="11"/>
  <c r="H197" i="11"/>
  <c r="K196" i="11"/>
  <c r="J196" i="11"/>
  <c r="I196" i="11"/>
  <c r="H196" i="11"/>
  <c r="K195" i="11"/>
  <c r="J195" i="11"/>
  <c r="I195" i="11"/>
  <c r="H195" i="11"/>
  <c r="K194" i="11"/>
  <c r="J194" i="11"/>
  <c r="I194" i="11"/>
  <c r="H194" i="11"/>
  <c r="K193" i="11"/>
  <c r="J193" i="11"/>
  <c r="I193" i="11"/>
  <c r="H193" i="11"/>
  <c r="K192" i="11"/>
  <c r="J192" i="11"/>
  <c r="I192" i="11"/>
  <c r="H192" i="11"/>
  <c r="K191" i="11"/>
  <c r="J191" i="11"/>
  <c r="I191" i="11"/>
  <c r="H191" i="11"/>
  <c r="K190" i="11"/>
  <c r="J190" i="11"/>
  <c r="I190" i="11"/>
  <c r="H190" i="11"/>
  <c r="K189" i="11"/>
  <c r="J189" i="11"/>
  <c r="I189" i="11"/>
  <c r="H189" i="11"/>
  <c r="K188" i="11"/>
  <c r="J188" i="11"/>
  <c r="I188" i="11"/>
  <c r="H188" i="11"/>
  <c r="K187" i="11"/>
  <c r="J187" i="11"/>
  <c r="I187" i="11"/>
  <c r="H187" i="11"/>
  <c r="K186" i="11"/>
  <c r="J186" i="11"/>
  <c r="I186" i="11"/>
  <c r="H186" i="11"/>
  <c r="K185" i="11"/>
  <c r="J185" i="11"/>
  <c r="I185" i="11"/>
  <c r="H185" i="11"/>
  <c r="K184" i="11"/>
  <c r="J184" i="11"/>
  <c r="I184" i="11"/>
  <c r="H184" i="11"/>
  <c r="K183" i="11"/>
  <c r="J183" i="11"/>
  <c r="I183" i="11"/>
  <c r="H183" i="11"/>
  <c r="K182" i="11"/>
  <c r="J182" i="11"/>
  <c r="I182" i="11"/>
  <c r="H182" i="11"/>
  <c r="K181" i="11"/>
  <c r="J181" i="11"/>
  <c r="I181" i="11"/>
  <c r="H181" i="11"/>
  <c r="K180" i="11"/>
  <c r="J180" i="11"/>
  <c r="I180" i="11"/>
  <c r="H180" i="11"/>
  <c r="K179" i="11"/>
  <c r="J179" i="11"/>
  <c r="I179" i="11"/>
  <c r="H179" i="11"/>
  <c r="K178" i="11"/>
  <c r="J178" i="11"/>
  <c r="I178" i="11"/>
  <c r="H178" i="11"/>
  <c r="K177" i="11"/>
  <c r="J177" i="11"/>
  <c r="I177" i="11"/>
  <c r="H177" i="11"/>
  <c r="K176" i="11"/>
  <c r="J176" i="11"/>
  <c r="I176" i="11"/>
  <c r="H176" i="11"/>
  <c r="K175" i="11"/>
  <c r="J175" i="11"/>
  <c r="I175" i="11"/>
  <c r="H175" i="11"/>
  <c r="K174" i="11"/>
  <c r="J174" i="11"/>
  <c r="I174" i="11"/>
  <c r="H174" i="11"/>
  <c r="K173" i="11"/>
  <c r="J173" i="11"/>
  <c r="I173" i="11"/>
  <c r="H173" i="11"/>
  <c r="K172" i="11"/>
  <c r="J172" i="11"/>
  <c r="I172" i="11"/>
  <c r="H172" i="11"/>
  <c r="K171" i="11"/>
  <c r="J171" i="11"/>
  <c r="I171" i="11"/>
  <c r="H171" i="11"/>
  <c r="K170" i="11"/>
  <c r="J170" i="11"/>
  <c r="I170" i="11"/>
  <c r="H170" i="11"/>
  <c r="K169" i="11"/>
  <c r="J169" i="11"/>
  <c r="I169" i="11"/>
  <c r="H169" i="11"/>
  <c r="K168" i="11"/>
  <c r="J168" i="11"/>
  <c r="I168" i="11"/>
  <c r="H168" i="11"/>
  <c r="K167" i="11"/>
  <c r="J167" i="11"/>
  <c r="I167" i="11"/>
  <c r="H167" i="11"/>
  <c r="K166" i="11"/>
  <c r="J166" i="11"/>
  <c r="I166" i="11"/>
  <c r="H166" i="11"/>
  <c r="K165" i="11"/>
  <c r="J165" i="11"/>
  <c r="I165" i="11"/>
  <c r="H165" i="11"/>
  <c r="K164" i="11"/>
  <c r="J164" i="11"/>
  <c r="I164" i="11"/>
  <c r="H164" i="11"/>
  <c r="K163" i="11"/>
  <c r="J163" i="11"/>
  <c r="I163" i="11"/>
  <c r="H163" i="11"/>
  <c r="K162" i="11"/>
  <c r="J162" i="11"/>
  <c r="I162" i="11"/>
  <c r="H162" i="11"/>
  <c r="K161" i="11"/>
  <c r="J161" i="11"/>
  <c r="I161" i="11"/>
  <c r="H161" i="11"/>
  <c r="K160" i="11"/>
  <c r="J160" i="11"/>
  <c r="I160" i="11"/>
  <c r="H160" i="11"/>
  <c r="K159" i="11"/>
  <c r="J159" i="11"/>
  <c r="I159" i="11"/>
  <c r="H159" i="11"/>
  <c r="K158" i="11"/>
  <c r="J158" i="11"/>
  <c r="I158" i="11"/>
  <c r="H158" i="11"/>
  <c r="K157" i="11"/>
  <c r="J157" i="11"/>
  <c r="I157" i="11"/>
  <c r="H157" i="11"/>
  <c r="K156" i="11"/>
  <c r="J156" i="11"/>
  <c r="I156" i="11"/>
  <c r="H156" i="11"/>
  <c r="K155" i="11"/>
  <c r="J155" i="11"/>
  <c r="I155" i="11"/>
  <c r="H155" i="11"/>
  <c r="K154" i="11"/>
  <c r="J154" i="11"/>
  <c r="I154" i="11"/>
  <c r="H154" i="11"/>
  <c r="K153" i="11"/>
  <c r="J153" i="11"/>
  <c r="I153" i="11"/>
  <c r="H153" i="11"/>
  <c r="K152" i="11"/>
  <c r="J152" i="11"/>
  <c r="I152" i="11"/>
  <c r="H152" i="11"/>
  <c r="K151" i="11"/>
  <c r="J151" i="11"/>
  <c r="I151" i="11"/>
  <c r="H151" i="11"/>
  <c r="K150" i="11"/>
  <c r="J150" i="11"/>
  <c r="I150" i="11"/>
  <c r="H150" i="11"/>
  <c r="K149" i="11"/>
  <c r="J149" i="11"/>
  <c r="I149" i="11"/>
  <c r="H149" i="11"/>
  <c r="K148" i="11"/>
  <c r="J148" i="11"/>
  <c r="I148" i="11"/>
  <c r="H148" i="11"/>
  <c r="K147" i="11"/>
  <c r="J147" i="11"/>
  <c r="I147" i="11"/>
  <c r="H147" i="11"/>
  <c r="K146" i="11"/>
  <c r="J146" i="11"/>
  <c r="I146" i="11"/>
  <c r="H146" i="11"/>
  <c r="K145" i="11"/>
  <c r="J145" i="11"/>
  <c r="I145" i="11"/>
  <c r="H145" i="11"/>
  <c r="K144" i="11"/>
  <c r="J144" i="11"/>
  <c r="I144" i="11"/>
  <c r="H144" i="11"/>
  <c r="K143" i="11"/>
  <c r="J143" i="11"/>
  <c r="I143" i="11"/>
  <c r="H143" i="11"/>
  <c r="K142" i="11"/>
  <c r="J142" i="11"/>
  <c r="I142" i="11"/>
  <c r="H142" i="11"/>
  <c r="K141" i="11"/>
  <c r="J141" i="11"/>
  <c r="I141" i="11"/>
  <c r="H141" i="11"/>
  <c r="K140" i="11"/>
  <c r="J140" i="11"/>
  <c r="I140" i="11"/>
  <c r="H140" i="11"/>
  <c r="K139" i="11"/>
  <c r="J139" i="11"/>
  <c r="I139" i="11"/>
  <c r="H139" i="11"/>
  <c r="K138" i="11"/>
  <c r="J138" i="11"/>
  <c r="I138" i="11"/>
  <c r="H138" i="11"/>
  <c r="K137" i="11"/>
  <c r="J137" i="11"/>
  <c r="I137" i="11"/>
  <c r="H137" i="11"/>
  <c r="K136" i="11"/>
  <c r="J136" i="11"/>
  <c r="I136" i="11"/>
  <c r="H136" i="11"/>
  <c r="K135" i="11"/>
  <c r="J135" i="11"/>
  <c r="I135" i="11"/>
  <c r="H135" i="11"/>
  <c r="K134" i="11"/>
  <c r="J134" i="11"/>
  <c r="I134" i="11"/>
  <c r="H134" i="11"/>
  <c r="K133" i="11"/>
  <c r="J133" i="11"/>
  <c r="I133" i="11"/>
  <c r="H133" i="11"/>
  <c r="K132" i="11"/>
  <c r="J132" i="11"/>
  <c r="I132" i="11"/>
  <c r="H132" i="11"/>
  <c r="K131" i="11"/>
  <c r="J131" i="11"/>
  <c r="I131" i="11"/>
  <c r="H131" i="11"/>
  <c r="K130" i="11"/>
  <c r="J130" i="11"/>
  <c r="I130" i="11"/>
  <c r="H130" i="11"/>
  <c r="K129" i="11"/>
  <c r="J129" i="11"/>
  <c r="I129" i="11"/>
  <c r="H129" i="11"/>
  <c r="K128" i="11"/>
  <c r="J128" i="11"/>
  <c r="I128" i="11"/>
  <c r="H128" i="11"/>
  <c r="K127" i="11"/>
  <c r="J127" i="11"/>
  <c r="I127" i="11"/>
  <c r="H127" i="11"/>
  <c r="K126" i="11"/>
  <c r="J126" i="11"/>
  <c r="I126" i="11"/>
  <c r="H126" i="11"/>
  <c r="K125" i="11"/>
  <c r="J125" i="11"/>
  <c r="I125" i="11"/>
  <c r="H125" i="11"/>
  <c r="K124" i="11"/>
  <c r="J124" i="11"/>
  <c r="I124" i="11"/>
  <c r="H124" i="11"/>
  <c r="K123" i="11"/>
  <c r="J123" i="11"/>
  <c r="I123" i="11"/>
  <c r="H123" i="11"/>
  <c r="K122" i="11"/>
  <c r="J122" i="11"/>
  <c r="I122" i="11"/>
  <c r="H122" i="11"/>
  <c r="K121" i="11"/>
  <c r="J121" i="11"/>
  <c r="I121" i="11"/>
  <c r="H121" i="11"/>
  <c r="K120" i="11"/>
  <c r="J120" i="11"/>
  <c r="I120" i="11"/>
  <c r="H120" i="11"/>
  <c r="K119" i="11"/>
  <c r="J119" i="11"/>
  <c r="I119" i="11"/>
  <c r="H119" i="11"/>
  <c r="K118" i="11"/>
  <c r="J118" i="11"/>
  <c r="I118" i="11"/>
  <c r="H118" i="11"/>
  <c r="K117" i="11"/>
  <c r="J117" i="11"/>
  <c r="I117" i="11"/>
  <c r="H117" i="11"/>
  <c r="K116" i="11"/>
  <c r="J116" i="11"/>
  <c r="I116" i="11"/>
  <c r="H116" i="11"/>
  <c r="K115" i="11"/>
  <c r="J115" i="11"/>
  <c r="I115" i="11"/>
  <c r="H115" i="11"/>
  <c r="K114" i="11"/>
  <c r="J114" i="11"/>
  <c r="I114" i="11"/>
  <c r="H114" i="11"/>
  <c r="K113" i="11"/>
  <c r="J113" i="11"/>
  <c r="I113" i="11"/>
  <c r="H113" i="11"/>
  <c r="K112" i="11"/>
  <c r="J112" i="11"/>
  <c r="I112" i="11"/>
  <c r="H112" i="11"/>
  <c r="K111" i="11"/>
  <c r="J111" i="11"/>
  <c r="I111" i="11"/>
  <c r="H111" i="11"/>
  <c r="K110" i="11"/>
  <c r="J110" i="11"/>
  <c r="I110" i="11"/>
  <c r="H110" i="11"/>
  <c r="K109" i="11"/>
  <c r="J109" i="11"/>
  <c r="I109" i="11"/>
  <c r="H109" i="11"/>
  <c r="K108" i="11"/>
  <c r="J108" i="11"/>
  <c r="I108" i="11"/>
  <c r="H108" i="11"/>
  <c r="K107" i="11"/>
  <c r="J107" i="11"/>
  <c r="I107" i="11"/>
  <c r="H107" i="11"/>
  <c r="K106" i="11"/>
  <c r="J106" i="11"/>
  <c r="I106" i="11"/>
  <c r="H106" i="11"/>
  <c r="K105" i="11"/>
  <c r="J105" i="11"/>
  <c r="I105" i="11"/>
  <c r="H105" i="11"/>
  <c r="K104" i="11"/>
  <c r="J104" i="11"/>
  <c r="I104" i="11"/>
  <c r="H104" i="11"/>
  <c r="K103" i="11"/>
  <c r="J103" i="11"/>
  <c r="I103" i="11"/>
  <c r="H103" i="11"/>
  <c r="K102" i="11"/>
  <c r="J102" i="11"/>
  <c r="I102" i="11"/>
  <c r="H102" i="11"/>
  <c r="K101" i="11"/>
  <c r="J101" i="11"/>
  <c r="I101" i="11"/>
  <c r="H101" i="11"/>
  <c r="K100" i="11"/>
  <c r="J100" i="11"/>
  <c r="I100" i="11"/>
  <c r="H100" i="11"/>
  <c r="K99" i="11"/>
  <c r="J99" i="11"/>
  <c r="I99" i="11"/>
  <c r="H99" i="11"/>
  <c r="K98" i="11"/>
  <c r="J98" i="11"/>
  <c r="I98" i="11"/>
  <c r="H98" i="11"/>
  <c r="K97" i="11"/>
  <c r="J97" i="11"/>
  <c r="I97" i="11"/>
  <c r="H97" i="11"/>
  <c r="K96" i="11"/>
  <c r="J96" i="11"/>
  <c r="I96" i="11"/>
  <c r="H96" i="11"/>
  <c r="K95" i="11"/>
  <c r="J95" i="11"/>
  <c r="I95" i="11"/>
  <c r="H95" i="11"/>
  <c r="K94" i="11"/>
  <c r="J94" i="11"/>
  <c r="I94" i="11"/>
  <c r="H94" i="11"/>
  <c r="K93" i="11"/>
  <c r="J93" i="11"/>
  <c r="I93" i="11"/>
  <c r="H93" i="11"/>
  <c r="K92" i="11"/>
  <c r="J92" i="11"/>
  <c r="I92" i="11"/>
  <c r="H92" i="11"/>
  <c r="K91" i="11"/>
  <c r="J91" i="11"/>
  <c r="I91" i="11"/>
  <c r="H91" i="11"/>
  <c r="K90" i="11"/>
  <c r="J90" i="11"/>
  <c r="I90" i="11"/>
  <c r="H90" i="11"/>
  <c r="K89" i="11"/>
  <c r="J89" i="11"/>
  <c r="I89" i="11"/>
  <c r="H89" i="11"/>
  <c r="K88" i="11"/>
  <c r="J88" i="11"/>
  <c r="I88" i="11"/>
  <c r="H88" i="11"/>
  <c r="K87" i="11"/>
  <c r="J87" i="11"/>
  <c r="I87" i="11"/>
  <c r="H87" i="11"/>
  <c r="K86" i="11"/>
  <c r="J86" i="11"/>
  <c r="I86" i="11"/>
  <c r="H86" i="11"/>
  <c r="K85" i="11"/>
  <c r="J85" i="11"/>
  <c r="I85" i="11"/>
  <c r="H85" i="11"/>
  <c r="K84" i="11"/>
  <c r="J84" i="11"/>
  <c r="I84" i="11"/>
  <c r="H84" i="11"/>
  <c r="K83" i="11"/>
  <c r="J83" i="11"/>
  <c r="I83" i="11"/>
  <c r="H83" i="11"/>
  <c r="K82" i="11"/>
  <c r="J82" i="11"/>
  <c r="I82" i="11"/>
  <c r="H82" i="11"/>
  <c r="K81" i="11"/>
  <c r="J81" i="11"/>
  <c r="I81" i="11"/>
  <c r="H81" i="11"/>
  <c r="K80" i="11"/>
  <c r="J80" i="11"/>
  <c r="I80" i="11"/>
  <c r="H80" i="11"/>
  <c r="K79" i="11"/>
  <c r="J79" i="11"/>
  <c r="I79" i="11"/>
  <c r="H79" i="11"/>
  <c r="K78" i="11"/>
  <c r="J78" i="11"/>
  <c r="I78" i="11"/>
  <c r="H78" i="11"/>
  <c r="K77" i="11"/>
  <c r="J77" i="11"/>
  <c r="I77" i="11"/>
  <c r="H77" i="11"/>
  <c r="K76" i="11"/>
  <c r="J76" i="11"/>
  <c r="I76" i="11"/>
  <c r="H76" i="11"/>
  <c r="K75" i="11"/>
  <c r="J75" i="11"/>
  <c r="I75" i="11"/>
  <c r="H75" i="11"/>
  <c r="K74" i="11"/>
  <c r="J74" i="11"/>
  <c r="I74" i="11"/>
  <c r="H74" i="11"/>
  <c r="K73" i="11"/>
  <c r="J73" i="11"/>
  <c r="I73" i="11"/>
  <c r="H73" i="11"/>
  <c r="K72" i="11"/>
  <c r="J72" i="11"/>
  <c r="I72" i="11"/>
  <c r="H72" i="11"/>
  <c r="K71" i="11"/>
  <c r="J71" i="11"/>
  <c r="I71" i="11"/>
  <c r="H71" i="11"/>
  <c r="K70" i="11"/>
  <c r="J70" i="11"/>
  <c r="I70" i="11"/>
  <c r="H70" i="11"/>
  <c r="K69" i="11"/>
  <c r="J69" i="11"/>
  <c r="I69" i="11"/>
  <c r="H69" i="11"/>
  <c r="K68" i="11"/>
  <c r="J68" i="11"/>
  <c r="I68" i="11"/>
  <c r="H68" i="11"/>
  <c r="K67" i="11"/>
  <c r="J67" i="11"/>
  <c r="I67" i="11"/>
  <c r="H67" i="11"/>
  <c r="K66" i="11"/>
  <c r="J66" i="11"/>
  <c r="I66" i="11"/>
  <c r="H66" i="11"/>
  <c r="K65" i="11"/>
  <c r="J65" i="11"/>
  <c r="I65" i="11"/>
  <c r="H65" i="11"/>
  <c r="K64" i="11"/>
  <c r="J64" i="11"/>
  <c r="I64" i="11"/>
  <c r="H64" i="11"/>
  <c r="K63" i="11"/>
  <c r="J63" i="11"/>
  <c r="I63" i="11"/>
  <c r="H63" i="11"/>
  <c r="K62" i="11"/>
  <c r="J62" i="11"/>
  <c r="I62" i="11"/>
  <c r="H62" i="11"/>
  <c r="K61" i="11"/>
  <c r="J61" i="11"/>
  <c r="I61" i="11"/>
  <c r="H61" i="11"/>
  <c r="K60" i="11"/>
  <c r="J60" i="11"/>
  <c r="I60" i="11"/>
  <c r="H60" i="11"/>
  <c r="K59" i="11"/>
  <c r="J59" i="11"/>
  <c r="I59" i="11"/>
  <c r="H59" i="11"/>
  <c r="K58" i="11"/>
  <c r="J58" i="11"/>
  <c r="I58" i="11"/>
  <c r="H58" i="11"/>
  <c r="K57" i="11"/>
  <c r="J57" i="11"/>
  <c r="I57" i="11"/>
  <c r="H57" i="11"/>
  <c r="K56" i="11"/>
  <c r="J56" i="11"/>
  <c r="I56" i="11"/>
  <c r="H56" i="11"/>
  <c r="K55" i="11"/>
  <c r="J55" i="11"/>
  <c r="I55" i="11"/>
  <c r="H55" i="11"/>
  <c r="K54" i="11"/>
  <c r="J54" i="11"/>
  <c r="I54" i="11"/>
  <c r="H54" i="11"/>
  <c r="K53" i="11"/>
  <c r="J53" i="11"/>
  <c r="I53" i="11"/>
  <c r="H53" i="11"/>
  <c r="K52" i="11"/>
  <c r="J52" i="11"/>
  <c r="I52" i="11"/>
  <c r="H52" i="11"/>
  <c r="K51" i="11"/>
  <c r="J51" i="11"/>
  <c r="I51" i="11"/>
  <c r="H51" i="11"/>
  <c r="K50" i="11"/>
  <c r="J50" i="11"/>
  <c r="I50" i="11"/>
  <c r="H50" i="11"/>
  <c r="K49" i="11"/>
  <c r="J49" i="11"/>
  <c r="I49" i="11"/>
  <c r="H49" i="11"/>
  <c r="K48" i="11"/>
  <c r="J48" i="11"/>
  <c r="I48" i="11"/>
  <c r="H48" i="11"/>
  <c r="K47" i="11"/>
  <c r="J47" i="11"/>
  <c r="I47" i="11"/>
  <c r="H47" i="11"/>
  <c r="K46" i="11"/>
  <c r="J46" i="11"/>
  <c r="I46" i="11"/>
  <c r="H46" i="11"/>
  <c r="K45" i="11"/>
  <c r="J45" i="11"/>
  <c r="I45" i="11"/>
  <c r="H45" i="11"/>
  <c r="K44" i="11"/>
  <c r="J44" i="11"/>
  <c r="I44" i="11"/>
  <c r="H44" i="11"/>
  <c r="K43" i="11"/>
  <c r="J43" i="11"/>
  <c r="I43" i="11"/>
  <c r="H43" i="11"/>
  <c r="K42" i="11"/>
  <c r="J42" i="11"/>
  <c r="I42" i="11"/>
  <c r="H42" i="11"/>
  <c r="K41" i="11"/>
  <c r="J41" i="11"/>
  <c r="I41" i="11"/>
  <c r="H41" i="11"/>
  <c r="K40" i="11"/>
  <c r="J40" i="11"/>
  <c r="I40" i="11"/>
  <c r="H40" i="11"/>
  <c r="K39" i="11"/>
  <c r="J39" i="11"/>
  <c r="I39" i="11"/>
  <c r="H39" i="11"/>
  <c r="K38" i="11"/>
  <c r="J38" i="11"/>
  <c r="I38" i="11"/>
  <c r="H38" i="11"/>
  <c r="K37" i="11"/>
  <c r="J37" i="11"/>
  <c r="I37" i="11"/>
  <c r="H37" i="11"/>
  <c r="K36" i="11"/>
  <c r="J36" i="11"/>
  <c r="I36" i="11"/>
  <c r="H36" i="11"/>
  <c r="K35" i="11"/>
  <c r="J35" i="11"/>
  <c r="I35" i="11"/>
  <c r="H35" i="11"/>
  <c r="K34" i="11"/>
  <c r="J34" i="11"/>
  <c r="I34" i="11"/>
  <c r="H34" i="11"/>
  <c r="K33" i="11"/>
  <c r="J33" i="11"/>
  <c r="I33" i="11"/>
  <c r="H33" i="11"/>
  <c r="K32" i="11"/>
  <c r="J32" i="11"/>
  <c r="I32" i="11"/>
  <c r="H32" i="11"/>
  <c r="K31" i="11"/>
  <c r="J31" i="11"/>
  <c r="I31" i="11"/>
  <c r="H31" i="11"/>
  <c r="K30" i="11"/>
  <c r="J30" i="11"/>
  <c r="I30" i="11"/>
  <c r="H30" i="11"/>
  <c r="K29" i="11"/>
  <c r="J29" i="11"/>
  <c r="I29" i="11"/>
  <c r="H29" i="11"/>
  <c r="K28" i="11"/>
  <c r="J28" i="11"/>
  <c r="I28" i="11"/>
  <c r="H28" i="11"/>
  <c r="K27" i="11"/>
  <c r="J27" i="11"/>
  <c r="I27" i="11"/>
  <c r="H27" i="11"/>
  <c r="K26" i="11"/>
  <c r="J26" i="11"/>
  <c r="I26" i="11"/>
  <c r="H26" i="11"/>
  <c r="K25" i="11"/>
  <c r="J25" i="11"/>
  <c r="I25" i="11"/>
  <c r="H25" i="11"/>
  <c r="K24" i="11"/>
  <c r="J24" i="11"/>
  <c r="I24" i="11"/>
  <c r="H24" i="11"/>
  <c r="K23" i="11"/>
  <c r="J23" i="11"/>
  <c r="I23" i="11"/>
  <c r="H23" i="11"/>
  <c r="K22" i="11"/>
  <c r="J22" i="11"/>
  <c r="I22" i="11"/>
  <c r="H22" i="11"/>
  <c r="K21" i="11"/>
  <c r="J21" i="11"/>
  <c r="I21" i="11"/>
  <c r="H21" i="11"/>
  <c r="K20" i="11"/>
  <c r="J20" i="11"/>
  <c r="I20" i="11"/>
  <c r="H20" i="11"/>
  <c r="K19" i="11"/>
  <c r="J19" i="11"/>
  <c r="I19" i="11"/>
  <c r="H19" i="11"/>
  <c r="K18" i="11"/>
  <c r="J18" i="11"/>
  <c r="I18" i="11"/>
  <c r="H18" i="11"/>
  <c r="K17" i="11"/>
  <c r="J17" i="11"/>
  <c r="I17" i="11"/>
  <c r="H17" i="11"/>
  <c r="K16" i="11"/>
  <c r="J16" i="11"/>
  <c r="I16" i="11"/>
  <c r="H16" i="11"/>
  <c r="K15" i="11"/>
  <c r="J15" i="11"/>
  <c r="I15" i="11"/>
  <c r="H15" i="11"/>
  <c r="K14" i="11"/>
  <c r="J14" i="11"/>
  <c r="I14" i="11"/>
  <c r="H14" i="11"/>
  <c r="K13" i="11"/>
  <c r="J13" i="11"/>
  <c r="I13" i="11"/>
  <c r="H13" i="11"/>
  <c r="K12" i="11"/>
  <c r="J12" i="11"/>
  <c r="I12" i="11"/>
  <c r="H12" i="11"/>
  <c r="K11" i="11"/>
  <c r="J11" i="11"/>
  <c r="I11" i="11"/>
  <c r="H11" i="11"/>
  <c r="K10" i="11"/>
  <c r="J10" i="11"/>
  <c r="I10" i="11"/>
  <c r="H10" i="11"/>
  <c r="K9" i="11"/>
  <c r="J9" i="11"/>
  <c r="I9" i="11"/>
  <c r="H9" i="11"/>
  <c r="K8" i="11"/>
  <c r="J8" i="11"/>
  <c r="I8" i="11"/>
  <c r="H8" i="11"/>
  <c r="K7" i="11"/>
  <c r="J7" i="11"/>
  <c r="I7" i="11"/>
  <c r="H7" i="11"/>
  <c r="K6" i="11"/>
  <c r="J6" i="11"/>
  <c r="I6" i="11"/>
  <c r="H6" i="11"/>
  <c r="K5" i="11"/>
  <c r="J5" i="11"/>
  <c r="I5" i="11"/>
  <c r="H5" i="11"/>
  <c r="F5" i="11"/>
  <c r="E5" i="11"/>
  <c r="K4" i="11"/>
  <c r="J4" i="11"/>
  <c r="I4" i="11"/>
  <c r="H4" i="11"/>
  <c r="K3" i="11"/>
  <c r="J3" i="11"/>
  <c r="I3" i="11"/>
  <c r="H3" i="11"/>
  <c r="M473" i="11" l="1"/>
  <c r="D473" i="11" s="1"/>
  <c r="N473" i="11" s="1"/>
  <c r="M471" i="11"/>
  <c r="D471" i="11" s="1"/>
  <c r="N471" i="11" s="1"/>
  <c r="M469" i="11"/>
  <c r="D469" i="11" s="1"/>
  <c r="N469" i="11" s="1"/>
  <c r="M467" i="11"/>
  <c r="M465" i="11"/>
  <c r="D465" i="11" s="1"/>
  <c r="N465" i="11" s="1"/>
  <c r="M461" i="11"/>
  <c r="D461" i="11" s="1"/>
  <c r="N461" i="11" s="1"/>
  <c r="M457" i="11"/>
  <c r="D457" i="11" s="1"/>
  <c r="N457" i="11" s="1"/>
  <c r="M453" i="11"/>
  <c r="M441" i="11"/>
  <c r="D441" i="11" s="1"/>
  <c r="N441" i="11" s="1"/>
  <c r="M472" i="11"/>
  <c r="D472" i="11" s="1"/>
  <c r="N472" i="11" s="1"/>
  <c r="M468" i="11"/>
  <c r="D468" i="11" s="1"/>
  <c r="N468" i="11" s="1"/>
  <c r="M456" i="11"/>
  <c r="D456" i="11" s="1"/>
  <c r="N456" i="11" s="1"/>
  <c r="M451" i="11"/>
  <c r="D451" i="11" s="1"/>
  <c r="N451" i="11" s="1"/>
  <c r="M512" i="11"/>
  <c r="O512" i="11" s="1"/>
  <c r="M455" i="11"/>
  <c r="D455" i="11" s="1"/>
  <c r="N455" i="11" s="1"/>
  <c r="M452" i="11"/>
  <c r="M449" i="11"/>
  <c r="D449" i="11" s="1"/>
  <c r="N449" i="11" s="1"/>
  <c r="M440" i="11"/>
  <c r="D440" i="11" s="1"/>
  <c r="N440" i="11" s="1"/>
  <c r="M439" i="11"/>
  <c r="D439" i="11" s="1"/>
  <c r="N439" i="11" s="1"/>
  <c r="M437" i="11"/>
  <c r="D437" i="11" s="1"/>
  <c r="N437" i="11" s="1"/>
  <c r="M436" i="11"/>
  <c r="D436" i="11" s="1"/>
  <c r="N436" i="11" s="1"/>
  <c r="M435" i="11"/>
  <c r="D435" i="11" s="1"/>
  <c r="N435" i="11" s="1"/>
  <c r="M433" i="11"/>
  <c r="D433" i="11" s="1"/>
  <c r="N433" i="11" s="1"/>
  <c r="M429" i="11"/>
  <c r="M418" i="11"/>
  <c r="O418" i="11" s="1"/>
  <c r="M417" i="11"/>
  <c r="D417" i="11" s="1"/>
  <c r="N417" i="11" s="1"/>
  <c r="M413" i="11"/>
  <c r="D413" i="11" s="1"/>
  <c r="N413" i="11" s="1"/>
  <c r="M412" i="11"/>
  <c r="O412" i="11" s="1"/>
  <c r="M411" i="11"/>
  <c r="O411" i="11" s="1"/>
  <c r="M365" i="11"/>
  <c r="D365" i="11" s="1"/>
  <c r="N365" i="11" s="1"/>
  <c r="M363" i="11"/>
  <c r="D363" i="11" s="1"/>
  <c r="N363" i="11" s="1"/>
  <c r="M362" i="11"/>
  <c r="M357" i="11"/>
  <c r="D357" i="11" s="1"/>
  <c r="N357" i="11" s="1"/>
  <c r="M355" i="11"/>
  <c r="O355" i="11" s="1"/>
  <c r="M353" i="11"/>
  <c r="O353" i="11" s="1"/>
  <c r="M351" i="11"/>
  <c r="M349" i="11"/>
  <c r="O349" i="11" s="1"/>
  <c r="M347" i="11"/>
  <c r="O347" i="11" s="1"/>
  <c r="M345" i="11"/>
  <c r="O345" i="11" s="1"/>
  <c r="M343" i="11"/>
  <c r="M341" i="11"/>
  <c r="O341" i="11" s="1"/>
  <c r="M339" i="11"/>
  <c r="O339" i="11" s="1"/>
  <c r="M338" i="11"/>
  <c r="O338" i="11" s="1"/>
  <c r="M336" i="11"/>
  <c r="M335" i="11"/>
  <c r="O335" i="11" s="1"/>
  <c r="M334" i="11"/>
  <c r="O334" i="11" s="1"/>
  <c r="M331" i="11"/>
  <c r="O331" i="11" s="1"/>
  <c r="M330" i="11"/>
  <c r="M326" i="11"/>
  <c r="O326" i="11" s="1"/>
  <c r="M322" i="11"/>
  <c r="O322" i="11" s="1"/>
  <c r="M318" i="11"/>
  <c r="O318" i="11" s="1"/>
  <c r="M314" i="11"/>
  <c r="M310" i="11"/>
  <c r="D310" i="11" s="1"/>
  <c r="N310" i="11" s="1"/>
  <c r="M309" i="11"/>
  <c r="O309" i="11" s="1"/>
  <c r="M308" i="11"/>
  <c r="D308" i="11" s="1"/>
  <c r="N308" i="11" s="1"/>
  <c r="M307" i="11"/>
  <c r="M306" i="11"/>
  <c r="O306" i="11" s="1"/>
  <c r="M305" i="11"/>
  <c r="M304" i="11"/>
  <c r="D304" i="11" s="1"/>
  <c r="N304" i="11" s="1"/>
  <c r="M303" i="11"/>
  <c r="M302" i="11"/>
  <c r="D302" i="11" s="1"/>
  <c r="N302" i="11" s="1"/>
  <c r="M301" i="11"/>
  <c r="O301" i="11" s="1"/>
  <c r="M300" i="11"/>
  <c r="D300" i="11" s="1"/>
  <c r="N300" i="11" s="1"/>
  <c r="M299" i="11"/>
  <c r="M298" i="11"/>
  <c r="O298" i="11" s="1"/>
  <c r="M297" i="11"/>
  <c r="D297" i="11" s="1"/>
  <c r="N297" i="11" s="1"/>
  <c r="M296" i="11"/>
  <c r="D296" i="11" s="1"/>
  <c r="N296" i="11" s="1"/>
  <c r="M295" i="11"/>
  <c r="M294" i="11"/>
  <c r="D294" i="11" s="1"/>
  <c r="N294" i="11" s="1"/>
  <c r="M293" i="11"/>
  <c r="D293" i="11" s="1"/>
  <c r="N293" i="11" s="1"/>
  <c r="M289" i="11"/>
  <c r="D289" i="11" s="1"/>
  <c r="N289" i="11" s="1"/>
  <c r="M288" i="11"/>
  <c r="M287" i="11"/>
  <c r="D287" i="11" s="1"/>
  <c r="N287" i="11" s="1"/>
  <c r="M286" i="11"/>
  <c r="O286" i="11" s="1"/>
  <c r="M285" i="11"/>
  <c r="D285" i="11" s="1"/>
  <c r="N285" i="11" s="1"/>
  <c r="M284" i="11"/>
  <c r="M277" i="11"/>
  <c r="D277" i="11" s="1"/>
  <c r="N277" i="11" s="1"/>
  <c r="M261" i="11"/>
  <c r="D261" i="11" s="1"/>
  <c r="N261" i="11" s="1"/>
  <c r="M260" i="11"/>
  <c r="D260" i="11" s="1"/>
  <c r="N260" i="11" s="1"/>
  <c r="M259" i="11"/>
  <c r="D259" i="11" s="1"/>
  <c r="N259" i="11" s="1"/>
  <c r="M257" i="11"/>
  <c r="D257" i="11" s="1"/>
  <c r="N257" i="11" s="1"/>
  <c r="M256" i="11"/>
  <c r="D256" i="11" s="1"/>
  <c r="N256" i="11" s="1"/>
  <c r="M255" i="11"/>
  <c r="D255" i="11" s="1"/>
  <c r="N255" i="11" s="1"/>
  <c r="M253" i="11"/>
  <c r="M252" i="11"/>
  <c r="D252" i="11" s="1"/>
  <c r="N252" i="11" s="1"/>
  <c r="M251" i="11"/>
  <c r="D251" i="11" s="1"/>
  <c r="N251" i="11" s="1"/>
  <c r="M245" i="11"/>
  <c r="D245" i="11" s="1"/>
  <c r="N245" i="11" s="1"/>
  <c r="M244" i="11"/>
  <c r="D244" i="11" s="1"/>
  <c r="N244" i="11" s="1"/>
  <c r="M243" i="11"/>
  <c r="D243" i="11" s="1"/>
  <c r="N243" i="11" s="1"/>
  <c r="M241" i="11"/>
  <c r="D241" i="11" s="1"/>
  <c r="N241" i="11" s="1"/>
  <c r="M240" i="11"/>
  <c r="D240" i="11" s="1"/>
  <c r="N240" i="11" s="1"/>
  <c r="M237" i="11"/>
  <c r="M236" i="11"/>
  <c r="D236" i="11" s="1"/>
  <c r="N236" i="11" s="1"/>
  <c r="M235" i="11"/>
  <c r="D235" i="11" s="1"/>
  <c r="N235" i="11" s="1"/>
  <c r="M229" i="11"/>
  <c r="D229" i="11" s="1"/>
  <c r="N229" i="11" s="1"/>
  <c r="M228" i="11"/>
  <c r="M227" i="11"/>
  <c r="D227" i="11" s="1"/>
  <c r="N227" i="11" s="1"/>
  <c r="M225" i="11"/>
  <c r="D225" i="11" s="1"/>
  <c r="N225" i="11" s="1"/>
  <c r="M221" i="11"/>
  <c r="D221" i="11" s="1"/>
  <c r="N221" i="11" s="1"/>
  <c r="M220" i="11"/>
  <c r="M219" i="11"/>
  <c r="D219" i="11" s="1"/>
  <c r="N219" i="11" s="1"/>
  <c r="M213" i="11"/>
  <c r="D213" i="11" s="1"/>
  <c r="N213" i="11" s="1"/>
  <c r="M587" i="11"/>
  <c r="D587" i="11" s="1"/>
  <c r="N587" i="11" s="1"/>
  <c r="M589" i="11"/>
  <c r="M680" i="11"/>
  <c r="D680" i="11" s="1"/>
  <c r="N680" i="11" s="1"/>
  <c r="M674" i="11"/>
  <c r="O674" i="11" s="1"/>
  <c r="M631" i="11"/>
  <c r="D631" i="11" s="1"/>
  <c r="N631" i="11" s="1"/>
  <c r="M623" i="11"/>
  <c r="M619" i="11"/>
  <c r="D619" i="11" s="1"/>
  <c r="N619" i="11" s="1"/>
  <c r="M605" i="11"/>
  <c r="D605" i="11" s="1"/>
  <c r="N605" i="11" s="1"/>
  <c r="M595" i="11"/>
  <c r="D595" i="11" s="1"/>
  <c r="N595" i="11" s="1"/>
  <c r="M591" i="11"/>
  <c r="M681" i="11"/>
  <c r="D681" i="11" s="1"/>
  <c r="N681" i="11" s="1"/>
  <c r="M678" i="11"/>
  <c r="D678" i="11" s="1"/>
  <c r="N678" i="11" s="1"/>
  <c r="M675" i="11"/>
  <c r="D675" i="11" s="1"/>
  <c r="N675" i="11" s="1"/>
  <c r="M672" i="11"/>
  <c r="M650" i="11"/>
  <c r="D650" i="11" s="1"/>
  <c r="N650" i="11" s="1"/>
  <c r="M634" i="11"/>
  <c r="D634" i="11" s="1"/>
  <c r="N634" i="11" s="1"/>
  <c r="M632" i="11"/>
  <c r="D632" i="11" s="1"/>
  <c r="N632" i="11" s="1"/>
  <c r="M627" i="11"/>
  <c r="M621" i="11"/>
  <c r="D621" i="11" s="1"/>
  <c r="N621" i="11" s="1"/>
  <c r="M609" i="11"/>
  <c r="D609" i="11" s="1"/>
  <c r="N609" i="11" s="1"/>
  <c r="M606" i="11"/>
  <c r="D606" i="11" s="1"/>
  <c r="N606" i="11" s="1"/>
  <c r="M603" i="11"/>
  <c r="D603" i="11" s="1"/>
  <c r="N603" i="11" s="1"/>
  <c r="M593" i="11"/>
  <c r="D593" i="11" s="1"/>
  <c r="N593" i="11" s="1"/>
  <c r="M682" i="11"/>
  <c r="D682" i="11" s="1"/>
  <c r="N682" i="11" s="1"/>
  <c r="M679" i="11"/>
  <c r="D679" i="11" s="1"/>
  <c r="N679" i="11" s="1"/>
  <c r="M673" i="11"/>
  <c r="D673" i="11" s="1"/>
  <c r="N673" i="11" s="1"/>
  <c r="M633" i="11"/>
  <c r="D633" i="11" s="1"/>
  <c r="N633" i="11" s="1"/>
  <c r="M625" i="11"/>
  <c r="D625" i="11" s="1"/>
  <c r="N625" i="11" s="1"/>
  <c r="M622" i="11"/>
  <c r="D622" i="11" s="1"/>
  <c r="N622" i="11" s="1"/>
  <c r="M607" i="11"/>
  <c r="M590" i="11"/>
  <c r="D590" i="11" s="1"/>
  <c r="N590" i="11" s="1"/>
  <c r="M477" i="11"/>
  <c r="D477" i="11" s="1"/>
  <c r="N477" i="11" s="1"/>
  <c r="M474" i="11"/>
  <c r="D474" i="11" s="1"/>
  <c r="N474" i="11" s="1"/>
  <c r="M666" i="11"/>
  <c r="M651" i="11"/>
  <c r="D651" i="11" s="1"/>
  <c r="N651" i="11" s="1"/>
  <c r="M635" i="11"/>
  <c r="D635" i="11" s="1"/>
  <c r="N635" i="11" s="1"/>
  <c r="M577" i="11"/>
  <c r="D577" i="11" s="1"/>
  <c r="N577" i="11" s="1"/>
  <c r="M520" i="11"/>
  <c r="M517" i="11"/>
  <c r="O517" i="11" s="1"/>
  <c r="M514" i="11"/>
  <c r="O514" i="11" s="1"/>
  <c r="M513" i="11"/>
  <c r="O513" i="11" s="1"/>
  <c r="M665" i="11"/>
  <c r="M664" i="11"/>
  <c r="D664" i="11" s="1"/>
  <c r="N664" i="11" s="1"/>
  <c r="M663" i="11"/>
  <c r="D663" i="11" s="1"/>
  <c r="N663" i="11" s="1"/>
  <c r="M659" i="11"/>
  <c r="D659" i="11" s="1"/>
  <c r="N659" i="11" s="1"/>
  <c r="M658" i="11"/>
  <c r="M657" i="11"/>
  <c r="D657" i="11" s="1"/>
  <c r="N657" i="11" s="1"/>
  <c r="M656" i="11"/>
  <c r="D656" i="11" s="1"/>
  <c r="N656" i="11" s="1"/>
  <c r="M655" i="11"/>
  <c r="D655" i="11" s="1"/>
  <c r="N655" i="11" s="1"/>
  <c r="M576" i="11"/>
  <c r="M575" i="11"/>
  <c r="O575" i="11" s="1"/>
  <c r="M574" i="11"/>
  <c r="D574" i="11" s="1"/>
  <c r="N574" i="11" s="1"/>
  <c r="M573" i="11"/>
  <c r="D573" i="11" s="1"/>
  <c r="N573" i="11" s="1"/>
  <c r="M570" i="11"/>
  <c r="M569" i="11"/>
  <c r="D569" i="11" s="1"/>
  <c r="N569" i="11" s="1"/>
  <c r="M568" i="11"/>
  <c r="O568" i="11" s="1"/>
  <c r="M567" i="11"/>
  <c r="O567" i="11" s="1"/>
  <c r="M566" i="11"/>
  <c r="D566" i="11" s="1"/>
  <c r="N566" i="11" s="1"/>
  <c r="M558" i="11"/>
  <c r="O558" i="11" s="1"/>
  <c r="M545" i="11"/>
  <c r="D545" i="11" s="1"/>
  <c r="N545" i="11" s="1"/>
  <c r="M544" i="11"/>
  <c r="D544" i="11" s="1"/>
  <c r="N544" i="11" s="1"/>
  <c r="M540" i="11"/>
  <c r="M538" i="11"/>
  <c r="O538" i="11" s="1"/>
  <c r="M536" i="11"/>
  <c r="O536" i="11" s="1"/>
  <c r="M534" i="11"/>
  <c r="O534" i="11" s="1"/>
  <c r="M532" i="11"/>
  <c r="M528" i="11"/>
  <c r="O528" i="11" s="1"/>
  <c r="M649" i="11"/>
  <c r="D649" i="11" s="1"/>
  <c r="N649" i="11" s="1"/>
  <c r="M648" i="11"/>
  <c r="D648" i="11" s="1"/>
  <c r="N648" i="11" s="1"/>
  <c r="M647" i="11"/>
  <c r="M643" i="11"/>
  <c r="D643" i="11" s="1"/>
  <c r="N643" i="11" s="1"/>
  <c r="M642" i="11"/>
  <c r="D642" i="11" s="1"/>
  <c r="N642" i="11" s="1"/>
  <c r="M641" i="11"/>
  <c r="D641" i="11" s="1"/>
  <c r="N641" i="11" s="1"/>
  <c r="M640" i="11"/>
  <c r="M639" i="11"/>
  <c r="D639" i="11" s="1"/>
  <c r="N639" i="11" s="1"/>
  <c r="M611" i="11"/>
  <c r="D611" i="11" s="1"/>
  <c r="N611" i="11" s="1"/>
  <c r="M510" i="11"/>
  <c r="O510" i="11" s="1"/>
  <c r="M508" i="11"/>
  <c r="M504" i="11"/>
  <c r="O504" i="11" s="1"/>
  <c r="M502" i="11"/>
  <c r="O502" i="11" s="1"/>
  <c r="M500" i="11"/>
  <c r="O500" i="11" s="1"/>
  <c r="M497" i="11"/>
  <c r="O497" i="11" s="1"/>
  <c r="M493" i="11"/>
  <c r="D493" i="11" s="1"/>
  <c r="N493" i="11" s="1"/>
  <c r="M489" i="11"/>
  <c r="O489" i="11" s="1"/>
  <c r="M488" i="11"/>
  <c r="D488" i="11" s="1"/>
  <c r="N488" i="11" s="1"/>
  <c r="M487" i="11"/>
  <c r="O487" i="11" s="1"/>
  <c r="M485" i="11"/>
  <c r="D485" i="11" s="1"/>
  <c r="N485" i="11" s="1"/>
  <c r="M484" i="11"/>
  <c r="D484" i="11" s="1"/>
  <c r="N484" i="11" s="1"/>
  <c r="M483" i="11"/>
  <c r="D483" i="11" s="1"/>
  <c r="N483" i="11" s="1"/>
  <c r="M481" i="11"/>
  <c r="M445" i="11"/>
  <c r="D445" i="11" s="1"/>
  <c r="N445" i="11" s="1"/>
  <c r="M442" i="11"/>
  <c r="D442" i="11" s="1"/>
  <c r="N442" i="11" s="1"/>
  <c r="M667" i="11"/>
  <c r="D667" i="11" s="1"/>
  <c r="N667" i="11" s="1"/>
  <c r="M579" i="11"/>
  <c r="M265" i="11"/>
  <c r="D265" i="11" s="1"/>
  <c r="N265" i="11" s="1"/>
  <c r="M262" i="11"/>
  <c r="D262" i="11" s="1"/>
  <c r="N262" i="11" s="1"/>
  <c r="M596" i="11"/>
  <c r="D596" i="11" s="1"/>
  <c r="N596" i="11" s="1"/>
  <c r="M565" i="11"/>
  <c r="M494" i="11"/>
  <c r="D494" i="11" s="1"/>
  <c r="N494" i="11" s="1"/>
  <c r="M462" i="11"/>
  <c r="D462" i="11" s="1"/>
  <c r="N462" i="11" s="1"/>
  <c r="M430" i="11"/>
  <c r="D430" i="11" s="1"/>
  <c r="N430" i="11" s="1"/>
  <c r="M276" i="11"/>
  <c r="D276" i="11" s="1"/>
  <c r="N276" i="11" s="1"/>
  <c r="M275" i="11"/>
  <c r="D275" i="11" s="1"/>
  <c r="N275" i="11" s="1"/>
  <c r="M273" i="11"/>
  <c r="D273" i="11" s="1"/>
  <c r="N273" i="11" s="1"/>
  <c r="M272" i="11"/>
  <c r="D272" i="11" s="1"/>
  <c r="N272" i="11" s="1"/>
  <c r="M271" i="11"/>
  <c r="D271" i="11" s="1"/>
  <c r="N271" i="11" s="1"/>
  <c r="M269" i="11"/>
  <c r="D269" i="11" s="1"/>
  <c r="N269" i="11" s="1"/>
  <c r="M268" i="11"/>
  <c r="D268" i="11" s="1"/>
  <c r="N268" i="11" s="1"/>
  <c r="M267" i="11"/>
  <c r="D267" i="11" s="1"/>
  <c r="N267" i="11" s="1"/>
  <c r="M249" i="11"/>
  <c r="D249" i="11" s="1"/>
  <c r="N249" i="11" s="1"/>
  <c r="M246" i="11"/>
  <c r="D246" i="11" s="1"/>
  <c r="N246" i="11" s="1"/>
  <c r="M212" i="11"/>
  <c r="D212" i="11" s="1"/>
  <c r="N212" i="11" s="1"/>
  <c r="M211" i="11"/>
  <c r="D211" i="11" s="1"/>
  <c r="N211" i="11" s="1"/>
  <c r="M490" i="11"/>
  <c r="M458" i="11"/>
  <c r="D458" i="11" s="1"/>
  <c r="N458" i="11" s="1"/>
  <c r="M425" i="11"/>
  <c r="D425" i="11" s="1"/>
  <c r="N425" i="11" s="1"/>
  <c r="M238" i="11"/>
  <c r="D238" i="11" s="1"/>
  <c r="N238" i="11" s="1"/>
  <c r="M233" i="11"/>
  <c r="M230" i="11"/>
  <c r="D230" i="11" s="1"/>
  <c r="N230" i="11" s="1"/>
  <c r="M616" i="11"/>
  <c r="D616" i="11" s="1"/>
  <c r="N616" i="11" s="1"/>
  <c r="M612" i="11"/>
  <c r="D612" i="11" s="1"/>
  <c r="N612" i="11" s="1"/>
  <c r="M584" i="11"/>
  <c r="M580" i="11"/>
  <c r="D580" i="11" s="1"/>
  <c r="N580" i="11" s="1"/>
  <c r="M525" i="11"/>
  <c r="O525" i="11" s="1"/>
  <c r="M521" i="11"/>
  <c r="O521" i="11" s="1"/>
  <c r="M478" i="11"/>
  <c r="D478" i="11" s="1"/>
  <c r="N478" i="11" s="1"/>
  <c r="M446" i="11"/>
  <c r="D446" i="11" s="1"/>
  <c r="N446" i="11" s="1"/>
  <c r="M278" i="11"/>
  <c r="D278" i="11" s="1"/>
  <c r="N278" i="11" s="1"/>
  <c r="M222" i="11"/>
  <c r="D222" i="11" s="1"/>
  <c r="N222" i="11" s="1"/>
  <c r="M217" i="11"/>
  <c r="M214" i="11"/>
  <c r="D214" i="11" s="1"/>
  <c r="N214" i="11" s="1"/>
  <c r="M38" i="11"/>
  <c r="O38" i="11" s="1"/>
  <c r="M671" i="11"/>
  <c r="D671" i="11" s="1"/>
  <c r="N671" i="11" s="1"/>
  <c r="M670" i="11"/>
  <c r="M669" i="11"/>
  <c r="D669" i="11" s="1"/>
  <c r="N669" i="11" s="1"/>
  <c r="M668" i="11"/>
  <c r="D668" i="11" s="1"/>
  <c r="N668" i="11" s="1"/>
  <c r="M654" i="11"/>
  <c r="D654" i="11" s="1"/>
  <c r="N654" i="11" s="1"/>
  <c r="M653" i="11"/>
  <c r="M652" i="11"/>
  <c r="D652" i="11" s="1"/>
  <c r="N652" i="11" s="1"/>
  <c r="M638" i="11"/>
  <c r="D638" i="11" s="1"/>
  <c r="N638" i="11" s="1"/>
  <c r="M617" i="11"/>
  <c r="D617" i="11" s="1"/>
  <c r="N617" i="11" s="1"/>
  <c r="M585" i="11"/>
  <c r="M677" i="11"/>
  <c r="D677" i="11" s="1"/>
  <c r="N677" i="11" s="1"/>
  <c r="M676" i="11"/>
  <c r="D676" i="11" s="1"/>
  <c r="N676" i="11" s="1"/>
  <c r="M662" i="11"/>
  <c r="D662" i="11" s="1"/>
  <c r="N662" i="11" s="1"/>
  <c r="M661" i="11"/>
  <c r="D661" i="11" s="1"/>
  <c r="N661" i="11" s="1"/>
  <c r="M660" i="11"/>
  <c r="D660" i="11" s="1"/>
  <c r="N660" i="11" s="1"/>
  <c r="M646" i="11"/>
  <c r="D646" i="11" s="1"/>
  <c r="N646" i="11" s="1"/>
  <c r="M645" i="11"/>
  <c r="D645" i="11" s="1"/>
  <c r="N645" i="11" s="1"/>
  <c r="M644" i="11"/>
  <c r="D644" i="11" s="1"/>
  <c r="N644" i="11" s="1"/>
  <c r="M630" i="11"/>
  <c r="D630" i="11" s="1"/>
  <c r="N630" i="11" s="1"/>
  <c r="M601" i="11"/>
  <c r="D601" i="11" s="1"/>
  <c r="N601" i="11" s="1"/>
  <c r="M529" i="11"/>
  <c r="O529" i="11" s="1"/>
  <c r="M501" i="11"/>
  <c r="M498" i="11"/>
  <c r="O498" i="11" s="1"/>
  <c r="M482" i="11"/>
  <c r="D482" i="11" s="1"/>
  <c r="N482" i="11" s="1"/>
  <c r="M466" i="11"/>
  <c r="D466" i="11" s="1"/>
  <c r="N466" i="11" s="1"/>
  <c r="M450" i="11"/>
  <c r="M434" i="11"/>
  <c r="D434" i="11" s="1"/>
  <c r="N434" i="11" s="1"/>
  <c r="M410" i="11"/>
  <c r="O410" i="11" s="1"/>
  <c r="M409" i="11"/>
  <c r="O409" i="11" s="1"/>
  <c r="M408" i="11"/>
  <c r="M407" i="11"/>
  <c r="O407" i="11" s="1"/>
  <c r="M406" i="11"/>
  <c r="O406" i="11" s="1"/>
  <c r="M405" i="11"/>
  <c r="O405" i="11" s="1"/>
  <c r="M404" i="11"/>
  <c r="M403" i="11"/>
  <c r="O403" i="11" s="1"/>
  <c r="M402" i="11"/>
  <c r="O402" i="11" s="1"/>
  <c r="M401" i="11"/>
  <c r="O401" i="11" s="1"/>
  <c r="M400" i="11"/>
  <c r="O400" i="11" s="1"/>
  <c r="M399" i="11"/>
  <c r="O399" i="11" s="1"/>
  <c r="M398" i="11"/>
  <c r="O398" i="11" s="1"/>
  <c r="M397" i="11"/>
  <c r="O397" i="11" s="1"/>
  <c r="M396" i="11"/>
  <c r="M395" i="11"/>
  <c r="O395" i="11" s="1"/>
  <c r="M394" i="11"/>
  <c r="O394" i="11" s="1"/>
  <c r="M393" i="11"/>
  <c r="O393" i="11" s="1"/>
  <c r="M392" i="11"/>
  <c r="M391" i="11"/>
  <c r="O391" i="11" s="1"/>
  <c r="M390" i="11"/>
  <c r="O390" i="11" s="1"/>
  <c r="M389" i="11"/>
  <c r="O389" i="11" s="1"/>
  <c r="M388" i="11"/>
  <c r="M387" i="11"/>
  <c r="O387" i="11" s="1"/>
  <c r="M386" i="11"/>
  <c r="O386" i="11" s="1"/>
  <c r="M385" i="11"/>
  <c r="O385" i="11" s="1"/>
  <c r="M384" i="11"/>
  <c r="O384" i="11" s="1"/>
  <c r="M383" i="11"/>
  <c r="O383" i="11" s="1"/>
  <c r="M382" i="11"/>
  <c r="O382" i="11" s="1"/>
  <c r="M381" i="11"/>
  <c r="O381" i="11" s="1"/>
  <c r="M380" i="11"/>
  <c r="M379" i="11"/>
  <c r="O379" i="11" s="1"/>
  <c r="M378" i="11"/>
  <c r="O378" i="11" s="1"/>
  <c r="M377" i="11"/>
  <c r="O377" i="11" s="1"/>
  <c r="M375" i="11"/>
  <c r="M374" i="11"/>
  <c r="D374" i="11" s="1"/>
  <c r="N374" i="11" s="1"/>
  <c r="M373" i="11"/>
  <c r="O373" i="11" s="1"/>
  <c r="M372" i="11"/>
  <c r="O372" i="11" s="1"/>
  <c r="M371" i="11"/>
  <c r="M370" i="11"/>
  <c r="D370" i="11" s="1"/>
  <c r="N370" i="11" s="1"/>
  <c r="M369" i="11"/>
  <c r="O369" i="11" s="1"/>
  <c r="M368" i="11"/>
  <c r="O368" i="11" s="1"/>
  <c r="M360" i="11"/>
  <c r="D360" i="11" s="1"/>
  <c r="N360" i="11" s="1"/>
  <c r="M280" i="11"/>
  <c r="M274" i="11"/>
  <c r="D274" i="11" s="1"/>
  <c r="N274" i="11" s="1"/>
  <c r="M264" i="11"/>
  <c r="D264" i="11" s="1"/>
  <c r="N264" i="11" s="1"/>
  <c r="M263" i="11"/>
  <c r="D263" i="11" s="1"/>
  <c r="N263" i="11" s="1"/>
  <c r="M258" i="11"/>
  <c r="D258" i="11" s="1"/>
  <c r="N258" i="11" s="1"/>
  <c r="M248" i="11"/>
  <c r="D248" i="11" s="1"/>
  <c r="N248" i="11" s="1"/>
  <c r="M247" i="11"/>
  <c r="D247" i="11" s="1"/>
  <c r="N247" i="11" s="1"/>
  <c r="M242" i="11"/>
  <c r="M232" i="11"/>
  <c r="D232" i="11" s="1"/>
  <c r="N232" i="11" s="1"/>
  <c r="M231" i="11"/>
  <c r="D231" i="11" s="1"/>
  <c r="N231" i="11" s="1"/>
  <c r="M226" i="11"/>
  <c r="D226" i="11" s="1"/>
  <c r="N226" i="11" s="1"/>
  <c r="M216" i="11"/>
  <c r="M215" i="11"/>
  <c r="D215" i="11" s="1"/>
  <c r="N215" i="11" s="1"/>
  <c r="M210" i="11"/>
  <c r="D210" i="11" s="1"/>
  <c r="N210" i="11" s="1"/>
  <c r="M292" i="11"/>
  <c r="D292" i="11" s="1"/>
  <c r="N292" i="11" s="1"/>
  <c r="M270" i="11"/>
  <c r="M254" i="11"/>
  <c r="D254" i="11" s="1"/>
  <c r="N254" i="11" s="1"/>
  <c r="M636" i="11"/>
  <c r="D636" i="11" s="1"/>
  <c r="N636" i="11" s="1"/>
  <c r="M629" i="11"/>
  <c r="D629" i="11" s="1"/>
  <c r="N629" i="11" s="1"/>
  <c r="M628" i="11"/>
  <c r="M615" i="11"/>
  <c r="D615" i="11" s="1"/>
  <c r="N615" i="11" s="1"/>
  <c r="M613" i="11"/>
  <c r="D613" i="11" s="1"/>
  <c r="N613" i="11" s="1"/>
  <c r="M599" i="11"/>
  <c r="D599" i="11" s="1"/>
  <c r="N599" i="11" s="1"/>
  <c r="M598" i="11"/>
  <c r="M597" i="11"/>
  <c r="D597" i="11" s="1"/>
  <c r="N597" i="11" s="1"/>
  <c r="M583" i="11"/>
  <c r="D583" i="11" s="1"/>
  <c r="N583" i="11" s="1"/>
  <c r="M582" i="11"/>
  <c r="D582" i="11" s="1"/>
  <c r="N582" i="11" s="1"/>
  <c r="M581" i="11"/>
  <c r="M562" i="11"/>
  <c r="D562" i="11" s="1"/>
  <c r="N562" i="11" s="1"/>
  <c r="M561" i="11"/>
  <c r="D561" i="11" s="1"/>
  <c r="N561" i="11" s="1"/>
  <c r="M560" i="11"/>
  <c r="D560" i="11" s="1"/>
  <c r="N560" i="11" s="1"/>
  <c r="M559" i="11"/>
  <c r="M526" i="11"/>
  <c r="O526" i="11" s="1"/>
  <c r="M524" i="11"/>
  <c r="O524" i="11" s="1"/>
  <c r="M496" i="11"/>
  <c r="D496" i="11" s="1"/>
  <c r="N496" i="11" s="1"/>
  <c r="M495" i="11"/>
  <c r="O495" i="11" s="1"/>
  <c r="M480" i="11"/>
  <c r="D480" i="11" s="1"/>
  <c r="N480" i="11" s="1"/>
  <c r="M479" i="11"/>
  <c r="D479" i="11" s="1"/>
  <c r="N479" i="11" s="1"/>
  <c r="M464" i="11"/>
  <c r="D464" i="11" s="1"/>
  <c r="N464" i="11" s="1"/>
  <c r="M463" i="11"/>
  <c r="M448" i="11"/>
  <c r="D448" i="11" s="1"/>
  <c r="N448" i="11" s="1"/>
  <c r="M447" i="11"/>
  <c r="D447" i="11" s="1"/>
  <c r="N447" i="11" s="1"/>
  <c r="M432" i="11"/>
  <c r="D432" i="11" s="1"/>
  <c r="N432" i="11" s="1"/>
  <c r="M431" i="11"/>
  <c r="M282" i="11"/>
  <c r="D282" i="11" s="1"/>
  <c r="N282" i="11" s="1"/>
  <c r="M266" i="11"/>
  <c r="D266" i="11" s="1"/>
  <c r="N266" i="11" s="1"/>
  <c r="M250" i="11"/>
  <c r="D250" i="11" s="1"/>
  <c r="N250" i="11" s="1"/>
  <c r="M239" i="11"/>
  <c r="D239" i="11" s="1"/>
  <c r="N239" i="11" s="1"/>
  <c r="M234" i="11"/>
  <c r="D234" i="11" s="1"/>
  <c r="N234" i="11" s="1"/>
  <c r="M224" i="11"/>
  <c r="D224" i="11" s="1"/>
  <c r="N224" i="11" s="1"/>
  <c r="M223" i="11"/>
  <c r="D223" i="11" s="1"/>
  <c r="N223" i="11" s="1"/>
  <c r="M218" i="11"/>
  <c r="D218" i="11" s="1"/>
  <c r="N218" i="11" s="1"/>
  <c r="M637" i="11"/>
  <c r="D637" i="11" s="1"/>
  <c r="N637" i="11" s="1"/>
  <c r="M614" i="11"/>
  <c r="D614" i="11" s="1"/>
  <c r="N614" i="11" s="1"/>
  <c r="M608" i="11"/>
  <c r="D608" i="11" s="1"/>
  <c r="N608" i="11" s="1"/>
  <c r="M592" i="11"/>
  <c r="D592" i="11" s="1"/>
  <c r="N592" i="11" s="1"/>
  <c r="M588" i="11"/>
  <c r="D588" i="11" s="1"/>
  <c r="N588" i="11" s="1"/>
  <c r="M553" i="11"/>
  <c r="D553" i="11" s="1"/>
  <c r="N553" i="11" s="1"/>
  <c r="M552" i="11"/>
  <c r="D552" i="11" s="1"/>
  <c r="N552" i="11" s="1"/>
  <c r="M551" i="11"/>
  <c r="O551" i="11" s="1"/>
  <c r="M550" i="11"/>
  <c r="O550" i="11" s="1"/>
  <c r="M549" i="11"/>
  <c r="D549" i="11" s="1"/>
  <c r="N549" i="11" s="1"/>
  <c r="M541" i="11"/>
  <c r="D541" i="11" s="1"/>
  <c r="N541" i="11" s="1"/>
  <c r="M537" i="11"/>
  <c r="D537" i="11" s="1"/>
  <c r="N537" i="11" s="1"/>
  <c r="M533" i="11"/>
  <c r="D533" i="11" s="1"/>
  <c r="N533" i="11" s="1"/>
  <c r="M518" i="11"/>
  <c r="O518" i="11" s="1"/>
  <c r="M516" i="11"/>
  <c r="O516" i="11" s="1"/>
  <c r="M509" i="11"/>
  <c r="D509" i="11" s="1"/>
  <c r="N509" i="11" s="1"/>
  <c r="M506" i="11"/>
  <c r="O506" i="11" s="1"/>
  <c r="M505" i="11"/>
  <c r="D505" i="11" s="1"/>
  <c r="N505" i="11" s="1"/>
  <c r="M492" i="11"/>
  <c r="O492" i="11" s="1"/>
  <c r="M491" i="11"/>
  <c r="M486" i="11"/>
  <c r="D486" i="11" s="1"/>
  <c r="N486" i="11" s="1"/>
  <c r="M476" i="11"/>
  <c r="D476" i="11" s="1"/>
  <c r="N476" i="11" s="1"/>
  <c r="M475" i="11"/>
  <c r="D475" i="11" s="1"/>
  <c r="N475" i="11" s="1"/>
  <c r="M470" i="11"/>
  <c r="M460" i="11"/>
  <c r="D460" i="11" s="1"/>
  <c r="N460" i="11" s="1"/>
  <c r="M459" i="11"/>
  <c r="D459" i="11" s="1"/>
  <c r="N459" i="11" s="1"/>
  <c r="M454" i="11"/>
  <c r="D454" i="11" s="1"/>
  <c r="N454" i="11" s="1"/>
  <c r="M444" i="11"/>
  <c r="M443" i="11"/>
  <c r="D443" i="11" s="1"/>
  <c r="N443" i="11" s="1"/>
  <c r="M438" i="11"/>
  <c r="D438" i="11" s="1"/>
  <c r="N438" i="11" s="1"/>
  <c r="M428" i="11"/>
  <c r="O428" i="11" s="1"/>
  <c r="M427" i="11"/>
  <c r="M426" i="11"/>
  <c r="D426" i="11" s="1"/>
  <c r="N426" i="11" s="1"/>
  <c r="M422" i="11"/>
  <c r="D422" i="11" s="1"/>
  <c r="N422" i="11" s="1"/>
  <c r="M421" i="11"/>
  <c r="D421" i="11" s="1"/>
  <c r="N421" i="11" s="1"/>
  <c r="M420" i="11"/>
  <c r="M419" i="11"/>
  <c r="D419" i="11" s="1"/>
  <c r="N419" i="11" s="1"/>
  <c r="M414" i="11"/>
  <c r="D414" i="11" s="1"/>
  <c r="N414" i="11" s="1"/>
  <c r="M624" i="11"/>
  <c r="D624" i="11" s="1"/>
  <c r="N624" i="11" s="1"/>
  <c r="M600" i="11"/>
  <c r="D600" i="11" s="1"/>
  <c r="N600" i="11" s="1"/>
  <c r="M554" i="11"/>
  <c r="M542" i="11"/>
  <c r="O542" i="11" s="1"/>
  <c r="M522" i="11"/>
  <c r="O522" i="11" s="1"/>
  <c r="M361" i="11"/>
  <c r="D361" i="11" s="1"/>
  <c r="N361" i="11" s="1"/>
  <c r="M70" i="11"/>
  <c r="D70" i="11" s="1"/>
  <c r="N70" i="11" s="1"/>
  <c r="M620" i="11"/>
  <c r="D620" i="11" s="1"/>
  <c r="N620" i="11" s="1"/>
  <c r="M604" i="11"/>
  <c r="D604" i="11" s="1"/>
  <c r="N604" i="11" s="1"/>
  <c r="M44" i="11"/>
  <c r="D44" i="11" s="1"/>
  <c r="N44" i="11" s="1"/>
  <c r="M626" i="11"/>
  <c r="D626" i="11" s="1"/>
  <c r="N626" i="11" s="1"/>
  <c r="M618" i="11"/>
  <c r="M610" i="11"/>
  <c r="D610" i="11" s="1"/>
  <c r="N610" i="11" s="1"/>
  <c r="M602" i="11"/>
  <c r="D602" i="11" s="1"/>
  <c r="N602" i="11" s="1"/>
  <c r="M594" i="11"/>
  <c r="D594" i="11" s="1"/>
  <c r="N594" i="11" s="1"/>
  <c r="M586" i="11"/>
  <c r="D586" i="11" s="1"/>
  <c r="N586" i="11" s="1"/>
  <c r="M578" i="11"/>
  <c r="D578" i="11" s="1"/>
  <c r="N578" i="11" s="1"/>
  <c r="M557" i="11"/>
  <c r="D557" i="11" s="1"/>
  <c r="N557" i="11" s="1"/>
  <c r="M546" i="11"/>
  <c r="M530" i="11"/>
  <c r="O530" i="11" s="1"/>
  <c r="M572" i="11"/>
  <c r="D572" i="11" s="1"/>
  <c r="N572" i="11" s="1"/>
  <c r="M571" i="11"/>
  <c r="D571" i="11" s="1"/>
  <c r="N571" i="11" s="1"/>
  <c r="M556" i="11"/>
  <c r="O556" i="11" s="1"/>
  <c r="M555" i="11"/>
  <c r="O555" i="11" s="1"/>
  <c r="M543" i="11"/>
  <c r="O543" i="11" s="1"/>
  <c r="M535" i="11"/>
  <c r="D535" i="11" s="1"/>
  <c r="N535" i="11" s="1"/>
  <c r="M527" i="11"/>
  <c r="O527" i="11" s="1"/>
  <c r="M519" i="11"/>
  <c r="D519" i="11" s="1"/>
  <c r="N519" i="11" s="1"/>
  <c r="M511" i="11"/>
  <c r="O511" i="11" s="1"/>
  <c r="M503" i="11"/>
  <c r="D503" i="11" s="1"/>
  <c r="N503" i="11" s="1"/>
  <c r="M424" i="11"/>
  <c r="M423" i="11"/>
  <c r="D423" i="11" s="1"/>
  <c r="N423" i="11" s="1"/>
  <c r="M359" i="11"/>
  <c r="D359" i="11" s="1"/>
  <c r="N359" i="11" s="1"/>
  <c r="M358" i="11"/>
  <c r="D358" i="11" s="1"/>
  <c r="N358" i="11" s="1"/>
  <c r="M356" i="11"/>
  <c r="O356" i="11" s="1"/>
  <c r="M291" i="11"/>
  <c r="O291" i="11" s="1"/>
  <c r="M290" i="11"/>
  <c r="D290" i="11" s="1"/>
  <c r="N290" i="11" s="1"/>
  <c r="M281" i="11"/>
  <c r="D281" i="11" s="1"/>
  <c r="N281" i="11" s="1"/>
  <c r="M564" i="11"/>
  <c r="O564" i="11" s="1"/>
  <c r="M563" i="11"/>
  <c r="D563" i="11" s="1"/>
  <c r="N563" i="11" s="1"/>
  <c r="M548" i="11"/>
  <c r="O548" i="11" s="1"/>
  <c r="M547" i="11"/>
  <c r="D547" i="11" s="1"/>
  <c r="N547" i="11" s="1"/>
  <c r="M539" i="11"/>
  <c r="O539" i="11" s="1"/>
  <c r="M531" i="11"/>
  <c r="D531" i="11" s="1"/>
  <c r="N531" i="11" s="1"/>
  <c r="M523" i="11"/>
  <c r="D523" i="11" s="1"/>
  <c r="N523" i="11" s="1"/>
  <c r="M515" i="11"/>
  <c r="D515" i="11" s="1"/>
  <c r="N515" i="11" s="1"/>
  <c r="M507" i="11"/>
  <c r="M499" i="11"/>
  <c r="O499" i="11" s="1"/>
  <c r="M416" i="11"/>
  <c r="O416" i="11" s="1"/>
  <c r="M415" i="11"/>
  <c r="D415" i="11" s="1"/>
  <c r="N415" i="11" s="1"/>
  <c r="M376" i="11"/>
  <c r="M367" i="11"/>
  <c r="O367" i="11" s="1"/>
  <c r="M366" i="11"/>
  <c r="O366" i="11" s="1"/>
  <c r="M364" i="11"/>
  <c r="O364" i="11" s="1"/>
  <c r="M283" i="11"/>
  <c r="M279" i="11"/>
  <c r="D279" i="11" s="1"/>
  <c r="N279" i="11" s="1"/>
  <c r="D517" i="11"/>
  <c r="N517" i="11" s="1"/>
  <c r="O650" i="11"/>
  <c r="O593" i="11"/>
  <c r="O493" i="11"/>
  <c r="M109" i="11"/>
  <c r="D512" i="11"/>
  <c r="N512" i="11" s="1"/>
  <c r="D504" i="11"/>
  <c r="N504" i="11" s="1"/>
  <c r="O473" i="11"/>
  <c r="O472" i="11"/>
  <c r="O471" i="11"/>
  <c r="O446" i="11"/>
  <c r="O440" i="11"/>
  <c r="O363" i="11"/>
  <c r="O417" i="11"/>
  <c r="D347" i="11"/>
  <c r="N347" i="11" s="1"/>
  <c r="D339" i="11"/>
  <c r="N339" i="11" s="1"/>
  <c r="D335" i="11"/>
  <c r="N335" i="11" s="1"/>
  <c r="M332" i="11"/>
  <c r="M328" i="11"/>
  <c r="M324" i="11"/>
  <c r="M320" i="11"/>
  <c r="M316" i="11"/>
  <c r="M312" i="11"/>
  <c r="O287" i="11"/>
  <c r="O365" i="11"/>
  <c r="O357" i="11"/>
  <c r="M327" i="11"/>
  <c r="D326" i="11"/>
  <c r="N326" i="11" s="1"/>
  <c r="M323" i="11"/>
  <c r="M319" i="11"/>
  <c r="M315" i="11"/>
  <c r="M311" i="11"/>
  <c r="D309" i="11"/>
  <c r="N309" i="11" s="1"/>
  <c r="O305" i="11"/>
  <c r="D305" i="11"/>
  <c r="N305" i="11" s="1"/>
  <c r="D301" i="11"/>
  <c r="N301" i="11" s="1"/>
  <c r="M354" i="11"/>
  <c r="M352" i="11"/>
  <c r="M350" i="11"/>
  <c r="M348" i="11"/>
  <c r="M346" i="11"/>
  <c r="M344" i="11"/>
  <c r="M342" i="11"/>
  <c r="M340" i="11"/>
  <c r="M337" i="11"/>
  <c r="M333" i="11"/>
  <c r="M329" i="11"/>
  <c r="M325" i="11"/>
  <c r="M321" i="11"/>
  <c r="M317" i="11"/>
  <c r="M313" i="11"/>
  <c r="O277" i="11"/>
  <c r="O275" i="11"/>
  <c r="O257" i="11"/>
  <c r="O230" i="11"/>
  <c r="M107" i="11"/>
  <c r="M76" i="11"/>
  <c r="O76" i="11" s="1"/>
  <c r="M100" i="11"/>
  <c r="D100" i="11" s="1"/>
  <c r="N100" i="11" s="1"/>
  <c r="M104" i="11"/>
  <c r="O104" i="11" s="1"/>
  <c r="M134" i="11"/>
  <c r="M135" i="11"/>
  <c r="D135" i="11" s="1"/>
  <c r="N135" i="11" s="1"/>
  <c r="M22" i="11"/>
  <c r="O22" i="11" s="1"/>
  <c r="M28" i="11"/>
  <c r="O28" i="11" s="1"/>
  <c r="M99" i="11"/>
  <c r="M199" i="11"/>
  <c r="M46" i="11"/>
  <c r="O46" i="11" s="1"/>
  <c r="M48" i="11"/>
  <c r="D48" i="11" s="1"/>
  <c r="N48" i="11" s="1"/>
  <c r="M50" i="11"/>
  <c r="O50" i="11" s="1"/>
  <c r="M52" i="11"/>
  <c r="D52" i="11" s="1"/>
  <c r="N52" i="11" s="1"/>
  <c r="M54" i="11"/>
  <c r="O54" i="11" s="1"/>
  <c r="M60" i="11"/>
  <c r="D60" i="11" s="1"/>
  <c r="N60" i="11" s="1"/>
  <c r="M78" i="11"/>
  <c r="D78" i="11" s="1"/>
  <c r="N78" i="11" s="1"/>
  <c r="M80" i="11"/>
  <c r="D80" i="11" s="1"/>
  <c r="N80" i="11" s="1"/>
  <c r="M81" i="11"/>
  <c r="D81" i="11" s="1"/>
  <c r="N81" i="11" s="1"/>
  <c r="M84" i="11"/>
  <c r="D84" i="11" s="1"/>
  <c r="N84" i="11" s="1"/>
  <c r="M87" i="11"/>
  <c r="O87" i="11" s="1"/>
  <c r="M88" i="11"/>
  <c r="D88" i="11" s="1"/>
  <c r="N88" i="11" s="1"/>
  <c r="M92" i="11"/>
  <c r="D92" i="11" s="1"/>
  <c r="N92" i="11" s="1"/>
  <c r="M96" i="11"/>
  <c r="O96" i="11" s="1"/>
  <c r="M98" i="11"/>
  <c r="D98" i="11" s="1"/>
  <c r="N98" i="11" s="1"/>
  <c r="M204" i="11"/>
  <c r="M101" i="11"/>
  <c r="M30" i="11"/>
  <c r="D30" i="11" s="1"/>
  <c r="N30" i="11" s="1"/>
  <c r="M32" i="11"/>
  <c r="D32" i="11" s="1"/>
  <c r="N32" i="11" s="1"/>
  <c r="M34" i="11"/>
  <c r="D34" i="11" s="1"/>
  <c r="N34" i="11" s="1"/>
  <c r="M36" i="11"/>
  <c r="D36" i="11" s="1"/>
  <c r="N36" i="11" s="1"/>
  <c r="M62" i="11"/>
  <c r="O62" i="11" s="1"/>
  <c r="M64" i="11"/>
  <c r="D64" i="11" s="1"/>
  <c r="N64" i="11" s="1"/>
  <c r="M66" i="11"/>
  <c r="O66" i="11" s="1"/>
  <c r="M68" i="11"/>
  <c r="D68" i="11" s="1"/>
  <c r="N68" i="11" s="1"/>
  <c r="M105" i="11"/>
  <c r="M117" i="11"/>
  <c r="D117" i="11" s="1"/>
  <c r="N117" i="11" s="1"/>
  <c r="M118" i="11"/>
  <c r="D118" i="11" s="1"/>
  <c r="N118" i="11" s="1"/>
  <c r="M21" i="11"/>
  <c r="D21" i="11" s="1"/>
  <c r="N21" i="11" s="1"/>
  <c r="M207" i="11"/>
  <c r="M35" i="11"/>
  <c r="O35" i="11" s="1"/>
  <c r="M51" i="11"/>
  <c r="O51" i="11" s="1"/>
  <c r="M67" i="11"/>
  <c r="D67" i="11" s="1"/>
  <c r="N67" i="11" s="1"/>
  <c r="M102" i="11"/>
  <c r="O102" i="11" s="1"/>
  <c r="M136" i="11"/>
  <c r="O136" i="11" s="1"/>
  <c r="M138" i="11"/>
  <c r="O138" i="11" s="1"/>
  <c r="M140" i="11"/>
  <c r="O140" i="11" s="1"/>
  <c r="M142" i="11"/>
  <c r="O142" i="11" s="1"/>
  <c r="M144" i="11"/>
  <c r="O144" i="11" s="1"/>
  <c r="M157" i="11"/>
  <c r="O157" i="11" s="1"/>
  <c r="M158" i="11"/>
  <c r="O158" i="11" s="1"/>
  <c r="M161" i="11"/>
  <c r="O161" i="11" s="1"/>
  <c r="M162" i="11"/>
  <c r="O162" i="11" s="1"/>
  <c r="M165" i="11"/>
  <c r="O165" i="11" s="1"/>
  <c r="M166" i="11"/>
  <c r="O166" i="11" s="1"/>
  <c r="M169" i="11"/>
  <c r="O169" i="11" s="1"/>
  <c r="M170" i="11"/>
  <c r="O170" i="11" s="1"/>
  <c r="M173" i="11"/>
  <c r="O173" i="11" s="1"/>
  <c r="M174" i="11"/>
  <c r="O174" i="11" s="1"/>
  <c r="M177" i="11"/>
  <c r="D177" i="11" s="1"/>
  <c r="N177" i="11" s="1"/>
  <c r="M178" i="11"/>
  <c r="O178" i="11" s="1"/>
  <c r="M181" i="11"/>
  <c r="O181" i="11" s="1"/>
  <c r="M182" i="11"/>
  <c r="O182" i="11" s="1"/>
  <c r="M185" i="11"/>
  <c r="O185" i="11" s="1"/>
  <c r="M186" i="11"/>
  <c r="O186" i="11" s="1"/>
  <c r="M189" i="11"/>
  <c r="O189" i="11" s="1"/>
  <c r="M190" i="11"/>
  <c r="O190" i="11" s="1"/>
  <c r="M193" i="11"/>
  <c r="O193" i="11" s="1"/>
  <c r="M194" i="11"/>
  <c r="O194" i="11" s="1"/>
  <c r="M197" i="11"/>
  <c r="O197" i="11" s="1"/>
  <c r="M198" i="11"/>
  <c r="O198" i="11" s="1"/>
  <c r="M203" i="11"/>
  <c r="M27" i="11"/>
  <c r="D27" i="11" s="1"/>
  <c r="N27" i="11" s="1"/>
  <c r="M43" i="11"/>
  <c r="O43" i="11" s="1"/>
  <c r="M59" i="11"/>
  <c r="D59" i="11" s="1"/>
  <c r="N59" i="11" s="1"/>
  <c r="M75" i="11"/>
  <c r="D75" i="11" s="1"/>
  <c r="N75" i="11" s="1"/>
  <c r="M91" i="11"/>
  <c r="O91" i="11" s="1"/>
  <c r="M97" i="11"/>
  <c r="M103" i="11"/>
  <c r="M108" i="11"/>
  <c r="M3" i="11"/>
  <c r="O3" i="11" s="1"/>
  <c r="M4" i="11"/>
  <c r="O4" i="11" s="1"/>
  <c r="M24" i="11"/>
  <c r="D24" i="11" s="1"/>
  <c r="N24" i="11" s="1"/>
  <c r="M26" i="11"/>
  <c r="O26" i="11" s="1"/>
  <c r="M40" i="11"/>
  <c r="D40" i="11" s="1"/>
  <c r="N40" i="11" s="1"/>
  <c r="M42" i="11"/>
  <c r="O42" i="11" s="1"/>
  <c r="M56" i="11"/>
  <c r="D56" i="11" s="1"/>
  <c r="N56" i="11" s="1"/>
  <c r="M58" i="11"/>
  <c r="D58" i="11" s="1"/>
  <c r="N58" i="11" s="1"/>
  <c r="M72" i="11"/>
  <c r="D72" i="11" s="1"/>
  <c r="N72" i="11" s="1"/>
  <c r="M74" i="11"/>
  <c r="D74" i="11" s="1"/>
  <c r="N74" i="11" s="1"/>
  <c r="M94" i="11"/>
  <c r="O94" i="11" s="1"/>
  <c r="M95" i="11"/>
  <c r="O95" i="11" s="1"/>
  <c r="M127" i="11"/>
  <c r="D127" i="11" s="1"/>
  <c r="N127" i="11" s="1"/>
  <c r="M131" i="11"/>
  <c r="D131" i="11" s="1"/>
  <c r="N131" i="11" s="1"/>
  <c r="M132" i="11"/>
  <c r="D132" i="11" s="1"/>
  <c r="N132" i="11" s="1"/>
  <c r="M200" i="11"/>
  <c r="M208" i="11"/>
  <c r="M130" i="11"/>
  <c r="M202" i="11"/>
  <c r="M206" i="11"/>
  <c r="M5" i="11"/>
  <c r="D5" i="11" s="1"/>
  <c r="N5" i="11" s="1"/>
  <c r="M6" i="11"/>
  <c r="O6" i="11" s="1"/>
  <c r="M7" i="11"/>
  <c r="D7" i="11" s="1"/>
  <c r="N7" i="11" s="1"/>
  <c r="M8" i="11"/>
  <c r="D8" i="11" s="1"/>
  <c r="N8" i="11" s="1"/>
  <c r="M9" i="11"/>
  <c r="D9" i="11" s="1"/>
  <c r="N9" i="11" s="1"/>
  <c r="M10" i="11"/>
  <c r="O10" i="11" s="1"/>
  <c r="M11" i="11"/>
  <c r="O11" i="11" s="1"/>
  <c r="M12" i="11"/>
  <c r="D12" i="11" s="1"/>
  <c r="N12" i="11" s="1"/>
  <c r="M13" i="11"/>
  <c r="O13" i="11" s="1"/>
  <c r="M14" i="11"/>
  <c r="O14" i="11" s="1"/>
  <c r="M15" i="11"/>
  <c r="O15" i="11" s="1"/>
  <c r="M16" i="11"/>
  <c r="D16" i="11" s="1"/>
  <c r="N16" i="11" s="1"/>
  <c r="M17" i="11"/>
  <c r="D17" i="11" s="1"/>
  <c r="N17" i="11" s="1"/>
  <c r="M18" i="11"/>
  <c r="O18" i="11" s="1"/>
  <c r="M19" i="11"/>
  <c r="O19" i="11" s="1"/>
  <c r="M20" i="11"/>
  <c r="D20" i="11" s="1"/>
  <c r="N20" i="11" s="1"/>
  <c r="M29" i="11"/>
  <c r="D29" i="11" s="1"/>
  <c r="N29" i="11" s="1"/>
  <c r="M37" i="11"/>
  <c r="O37" i="11" s="1"/>
  <c r="M45" i="11"/>
  <c r="D45" i="11" s="1"/>
  <c r="N45" i="11" s="1"/>
  <c r="M53" i="11"/>
  <c r="O53" i="11" s="1"/>
  <c r="M61" i="11"/>
  <c r="D61" i="11" s="1"/>
  <c r="N61" i="11" s="1"/>
  <c r="M69" i="11"/>
  <c r="O69" i="11" s="1"/>
  <c r="M77" i="11"/>
  <c r="O77" i="11" s="1"/>
  <c r="M83" i="11"/>
  <c r="O83" i="11" s="1"/>
  <c r="M89" i="11"/>
  <c r="D89" i="11" s="1"/>
  <c r="N89" i="11" s="1"/>
  <c r="M106" i="11"/>
  <c r="M110" i="11"/>
  <c r="M122" i="11"/>
  <c r="M126" i="11"/>
  <c r="M128" i="11"/>
  <c r="M133" i="11"/>
  <c r="D133" i="11" s="1"/>
  <c r="N133" i="11" s="1"/>
  <c r="M23" i="11"/>
  <c r="D23" i="11" s="1"/>
  <c r="N23" i="11" s="1"/>
  <c r="M31" i="11"/>
  <c r="O31" i="11" s="1"/>
  <c r="M39" i="11"/>
  <c r="O39" i="11" s="1"/>
  <c r="M47" i="11"/>
  <c r="O47" i="11" s="1"/>
  <c r="M55" i="11"/>
  <c r="O55" i="11" s="1"/>
  <c r="M63" i="11"/>
  <c r="D63" i="11" s="1"/>
  <c r="N63" i="11" s="1"/>
  <c r="M71" i="11"/>
  <c r="D71" i="11" s="1"/>
  <c r="N71" i="11" s="1"/>
  <c r="M79" i="11"/>
  <c r="O79" i="11" s="1"/>
  <c r="M85" i="11"/>
  <c r="M125" i="11"/>
  <c r="D125" i="11" s="1"/>
  <c r="N125" i="11" s="1"/>
  <c r="M129" i="11"/>
  <c r="D129" i="11" s="1"/>
  <c r="N129" i="11" s="1"/>
  <c r="M25" i="11"/>
  <c r="D25" i="11" s="1"/>
  <c r="N25" i="11" s="1"/>
  <c r="M33" i="11"/>
  <c r="D33" i="11" s="1"/>
  <c r="N33" i="11" s="1"/>
  <c r="M41" i="11"/>
  <c r="O41" i="11" s="1"/>
  <c r="M49" i="11"/>
  <c r="O49" i="11" s="1"/>
  <c r="M57" i="11"/>
  <c r="O57" i="11" s="1"/>
  <c r="M65" i="11"/>
  <c r="D65" i="11" s="1"/>
  <c r="N65" i="11" s="1"/>
  <c r="M73" i="11"/>
  <c r="O73" i="11" s="1"/>
  <c r="M86" i="11"/>
  <c r="O86" i="11" s="1"/>
  <c r="M93" i="11"/>
  <c r="M114" i="11"/>
  <c r="M146" i="11"/>
  <c r="O146" i="11" s="1"/>
  <c r="M148" i="11"/>
  <c r="O148" i="11" s="1"/>
  <c r="M150" i="11"/>
  <c r="O150" i="11" s="1"/>
  <c r="M153" i="11"/>
  <c r="O153" i="11" s="1"/>
  <c r="M154" i="11"/>
  <c r="O154" i="11" s="1"/>
  <c r="M201" i="11"/>
  <c r="M205" i="11"/>
  <c r="M209" i="11"/>
  <c r="M82" i="11"/>
  <c r="M90" i="11"/>
  <c r="M113" i="11"/>
  <c r="M121" i="11"/>
  <c r="M111" i="11"/>
  <c r="M115" i="11"/>
  <c r="M119" i="11"/>
  <c r="M123" i="11"/>
  <c r="M112" i="11"/>
  <c r="M116" i="11"/>
  <c r="M120" i="11"/>
  <c r="M124" i="11"/>
  <c r="M151" i="11"/>
  <c r="M155" i="11"/>
  <c r="M159" i="11"/>
  <c r="M163" i="11"/>
  <c r="M167" i="11"/>
  <c r="M171" i="11"/>
  <c r="M175" i="11"/>
  <c r="M179" i="11"/>
  <c r="M183" i="11"/>
  <c r="M187" i="11"/>
  <c r="M191" i="11"/>
  <c r="M195" i="11"/>
  <c r="M137" i="11"/>
  <c r="M139" i="11"/>
  <c r="M141" i="11"/>
  <c r="M143" i="11"/>
  <c r="M145" i="11"/>
  <c r="M147" i="11"/>
  <c r="M149" i="11"/>
  <c r="M152" i="11"/>
  <c r="M156" i="11"/>
  <c r="M160" i="11"/>
  <c r="M164" i="11"/>
  <c r="M168" i="11"/>
  <c r="M172" i="11"/>
  <c r="M176" i="11"/>
  <c r="M180" i="11"/>
  <c r="M184" i="11"/>
  <c r="M188" i="11"/>
  <c r="M192" i="11"/>
  <c r="M196" i="11"/>
  <c r="D338" i="11" l="1"/>
  <c r="N338" i="11" s="1"/>
  <c r="D345" i="11"/>
  <c r="N345" i="11" s="1"/>
  <c r="O439" i="11"/>
  <c r="O215" i="11"/>
  <c r="O622" i="11"/>
  <c r="O660" i="11"/>
  <c r="O240" i="11"/>
  <c r="O433" i="11"/>
  <c r="O285" i="11"/>
  <c r="D38" i="11"/>
  <c r="N38" i="11" s="1"/>
  <c r="O251" i="11"/>
  <c r="D322" i="11"/>
  <c r="N322" i="11" s="1"/>
  <c r="D334" i="11"/>
  <c r="N334" i="11" s="1"/>
  <c r="D286" i="11"/>
  <c r="N286" i="11" s="1"/>
  <c r="D355" i="11"/>
  <c r="N355" i="11" s="1"/>
  <c r="O435" i="11"/>
  <c r="O461" i="11"/>
  <c r="O293" i="11"/>
  <c r="D399" i="11"/>
  <c r="N399" i="11" s="1"/>
  <c r="O630" i="11"/>
  <c r="O256" i="11"/>
  <c r="O297" i="11"/>
  <c r="O374" i="11"/>
  <c r="O225" i="11"/>
  <c r="O241" i="11"/>
  <c r="O261" i="11"/>
  <c r="O213" i="11"/>
  <c r="O235" i="11"/>
  <c r="O232" i="11"/>
  <c r="D298" i="11"/>
  <c r="N298" i="11" s="1"/>
  <c r="D306" i="11"/>
  <c r="N306" i="11" s="1"/>
  <c r="D379" i="11"/>
  <c r="N379" i="11" s="1"/>
  <c r="D403" i="11"/>
  <c r="N403" i="11" s="1"/>
  <c r="O465" i="11"/>
  <c r="O494" i="11"/>
  <c r="O633" i="11"/>
  <c r="O651" i="11"/>
  <c r="O243" i="11"/>
  <c r="O254" i="11"/>
  <c r="O269" i="11"/>
  <c r="O294" i="11"/>
  <c r="O302" i="11"/>
  <c r="O310" i="11"/>
  <c r="D341" i="11"/>
  <c r="N341" i="11" s="1"/>
  <c r="D387" i="11"/>
  <c r="N387" i="11" s="1"/>
  <c r="D407" i="11"/>
  <c r="N407" i="11" s="1"/>
  <c r="O441" i="11"/>
  <c r="O451" i="11"/>
  <c r="D528" i="11"/>
  <c r="N528" i="11" s="1"/>
  <c r="O485" i="11"/>
  <c r="O580" i="11"/>
  <c r="O621" i="11"/>
  <c r="O639" i="11"/>
  <c r="O652" i="11"/>
  <c r="O680" i="11"/>
  <c r="D575" i="11"/>
  <c r="N575" i="11" s="1"/>
  <c r="D418" i="11"/>
  <c r="N418" i="11" s="1"/>
  <c r="D550" i="11"/>
  <c r="N550" i="11" s="1"/>
  <c r="O219" i="11"/>
  <c r="O252" i="11"/>
  <c r="O258" i="11"/>
  <c r="D349" i="11"/>
  <c r="N349" i="11" s="1"/>
  <c r="D383" i="11"/>
  <c r="N383" i="11" s="1"/>
  <c r="O434" i="11"/>
  <c r="O449" i="11"/>
  <c r="O569" i="11"/>
  <c r="O619" i="11"/>
  <c r="O664" i="11"/>
  <c r="O214" i="11"/>
  <c r="O227" i="11"/>
  <c r="O236" i="11"/>
  <c r="O246" i="11"/>
  <c r="O265" i="11"/>
  <c r="O370" i="11"/>
  <c r="D391" i="11"/>
  <c r="N391" i="11" s="1"/>
  <c r="D411" i="11"/>
  <c r="N411" i="11" s="1"/>
  <c r="O436" i="11"/>
  <c r="O445" i="11"/>
  <c r="O458" i="11"/>
  <c r="D498" i="11"/>
  <c r="N498" i="11" s="1"/>
  <c r="D538" i="11"/>
  <c r="N538" i="11" s="1"/>
  <c r="O590" i="11"/>
  <c r="O643" i="11"/>
  <c r="O657" i="11"/>
  <c r="O681" i="11"/>
  <c r="D558" i="11"/>
  <c r="N558" i="11" s="1"/>
  <c r="O669" i="11"/>
  <c r="O300" i="11"/>
  <c r="D353" i="11"/>
  <c r="N353" i="11" s="1"/>
  <c r="O457" i="11"/>
  <c r="O468" i="11"/>
  <c r="O296" i="11"/>
  <c r="O469" i="11"/>
  <c r="O606" i="11"/>
  <c r="O289" i="11"/>
  <c r="O304" i="11"/>
  <c r="D318" i="11"/>
  <c r="N318" i="11" s="1"/>
  <c r="O675" i="11"/>
  <c r="O255" i="11"/>
  <c r="O308" i="11"/>
  <c r="O587" i="11"/>
  <c r="O631" i="11"/>
  <c r="O679" i="11"/>
  <c r="O442" i="11"/>
  <c r="D568" i="11"/>
  <c r="N568" i="11" s="1"/>
  <c r="O477" i="11"/>
  <c r="D526" i="11"/>
  <c r="N526" i="11" s="1"/>
  <c r="O263" i="11"/>
  <c r="O577" i="11"/>
  <c r="O644" i="11"/>
  <c r="D384" i="11"/>
  <c r="N384" i="11" s="1"/>
  <c r="O480" i="11"/>
  <c r="O615" i="11"/>
  <c r="O292" i="11"/>
  <c r="O443" i="11"/>
  <c r="O586" i="11"/>
  <c r="O596" i="11"/>
  <c r="O676" i="11"/>
  <c r="D567" i="11"/>
  <c r="N567" i="11" s="1"/>
  <c r="O460" i="11"/>
  <c r="O533" i="11"/>
  <c r="O562" i="11"/>
  <c r="D356" i="11"/>
  <c r="N356" i="11" s="1"/>
  <c r="O486" i="11"/>
  <c r="O282" i="11"/>
  <c r="D46" i="11"/>
  <c r="N46" i="11" s="1"/>
  <c r="O437" i="11"/>
  <c r="D495" i="11"/>
  <c r="N495" i="11" s="1"/>
  <c r="O239" i="11"/>
  <c r="O244" i="11"/>
  <c r="D76" i="11"/>
  <c r="N76" i="11" s="1"/>
  <c r="O68" i="11"/>
  <c r="O234" i="11"/>
  <c r="D381" i="11"/>
  <c r="N381" i="11" s="1"/>
  <c r="D395" i="11"/>
  <c r="N395" i="11" s="1"/>
  <c r="D506" i="11"/>
  <c r="N506" i="11" s="1"/>
  <c r="D536" i="11"/>
  <c r="N536" i="11" s="1"/>
  <c r="O484" i="11"/>
  <c r="D489" i="11"/>
  <c r="N489" i="11" s="1"/>
  <c r="O656" i="11"/>
  <c r="O667" i="11"/>
  <c r="O677" i="11"/>
  <c r="D15" i="11"/>
  <c r="N15" i="11" s="1"/>
  <c r="O133" i="11"/>
  <c r="O361" i="11"/>
  <c r="O448" i="11"/>
  <c r="O588" i="11"/>
  <c r="O597" i="11"/>
  <c r="D513" i="11"/>
  <c r="N513" i="11" s="1"/>
  <c r="D66" i="11"/>
  <c r="N66" i="11" s="1"/>
  <c r="O135" i="11"/>
  <c r="O419" i="11"/>
  <c r="O610" i="11"/>
  <c r="O637" i="11"/>
  <c r="D54" i="11"/>
  <c r="N54" i="11" s="1"/>
  <c r="D77" i="11"/>
  <c r="N77" i="11" s="1"/>
  <c r="D492" i="11"/>
  <c r="N492" i="11" s="1"/>
  <c r="O67" i="11"/>
  <c r="O100" i="11"/>
  <c r="D22" i="11"/>
  <c r="N22" i="11" s="1"/>
  <c r="D51" i="11"/>
  <c r="N51" i="11" s="1"/>
  <c r="O281" i="11"/>
  <c r="D393" i="11"/>
  <c r="N393" i="11" s="1"/>
  <c r="D197" i="11"/>
  <c r="N197" i="11" s="1"/>
  <c r="D386" i="11"/>
  <c r="N386" i="11" s="1"/>
  <c r="O578" i="11"/>
  <c r="O602" i="11"/>
  <c r="D444" i="11"/>
  <c r="N444" i="11" s="1"/>
  <c r="O444" i="11"/>
  <c r="D463" i="11"/>
  <c r="N463" i="11" s="1"/>
  <c r="O463" i="11"/>
  <c r="D598" i="11"/>
  <c r="N598" i="11" s="1"/>
  <c r="O598" i="11"/>
  <c r="O375" i="11"/>
  <c r="D375" i="11"/>
  <c r="N375" i="11" s="1"/>
  <c r="O388" i="11"/>
  <c r="D388" i="11"/>
  <c r="N388" i="11" s="1"/>
  <c r="D450" i="11"/>
  <c r="N450" i="11" s="1"/>
  <c r="O450" i="11"/>
  <c r="D670" i="11"/>
  <c r="N670" i="11" s="1"/>
  <c r="O670" i="11"/>
  <c r="D584" i="11"/>
  <c r="N584" i="11" s="1"/>
  <c r="O584" i="11"/>
  <c r="D565" i="11"/>
  <c r="N565" i="11" s="1"/>
  <c r="O565" i="11"/>
  <c r="D481" i="11"/>
  <c r="N481" i="11" s="1"/>
  <c r="O481" i="11"/>
  <c r="O508" i="11"/>
  <c r="D508" i="11"/>
  <c r="N508" i="11" s="1"/>
  <c r="O532" i="11"/>
  <c r="D532" i="11"/>
  <c r="N532" i="11" s="1"/>
  <c r="O540" i="11"/>
  <c r="D540" i="11"/>
  <c r="N540" i="11" s="1"/>
  <c r="D576" i="11"/>
  <c r="N576" i="11" s="1"/>
  <c r="O576" i="11"/>
  <c r="D658" i="11"/>
  <c r="N658" i="11" s="1"/>
  <c r="O658" i="11"/>
  <c r="O520" i="11"/>
  <c r="D520" i="11"/>
  <c r="N520" i="11" s="1"/>
  <c r="D666" i="11"/>
  <c r="N666" i="11" s="1"/>
  <c r="O666" i="11"/>
  <c r="D607" i="11"/>
  <c r="N607" i="11" s="1"/>
  <c r="O607" i="11"/>
  <c r="D627" i="11"/>
  <c r="N627" i="11" s="1"/>
  <c r="O627" i="11"/>
  <c r="D672" i="11"/>
  <c r="N672" i="11" s="1"/>
  <c r="O672" i="11"/>
  <c r="D591" i="11"/>
  <c r="N591" i="11" s="1"/>
  <c r="O591" i="11"/>
  <c r="D623" i="11"/>
  <c r="N623" i="11" s="1"/>
  <c r="O623" i="11"/>
  <c r="D589" i="11"/>
  <c r="N589" i="11" s="1"/>
  <c r="O589" i="11"/>
  <c r="D220" i="11"/>
  <c r="N220" i="11" s="1"/>
  <c r="O220" i="11"/>
  <c r="D228" i="11"/>
  <c r="N228" i="11" s="1"/>
  <c r="O228" i="11"/>
  <c r="D237" i="11"/>
  <c r="N237" i="11" s="1"/>
  <c r="O237" i="11"/>
  <c r="D284" i="11"/>
  <c r="N284" i="11" s="1"/>
  <c r="O284" i="11"/>
  <c r="D288" i="11"/>
  <c r="N288" i="11" s="1"/>
  <c r="O288" i="11"/>
  <c r="O295" i="11"/>
  <c r="D295" i="11"/>
  <c r="N295" i="11" s="1"/>
  <c r="O299" i="11"/>
  <c r="D299" i="11"/>
  <c r="N299" i="11" s="1"/>
  <c r="O303" i="11"/>
  <c r="D303" i="11"/>
  <c r="N303" i="11" s="1"/>
  <c r="O307" i="11"/>
  <c r="D307" i="11"/>
  <c r="N307" i="11" s="1"/>
  <c r="O314" i="11"/>
  <c r="D314" i="11"/>
  <c r="N314" i="11" s="1"/>
  <c r="O330" i="11"/>
  <c r="D330" i="11"/>
  <c r="N330" i="11" s="1"/>
  <c r="O336" i="11"/>
  <c r="D336" i="11"/>
  <c r="N336" i="11" s="1"/>
  <c r="O343" i="11"/>
  <c r="D343" i="11"/>
  <c r="N343" i="11" s="1"/>
  <c r="O362" i="11"/>
  <c r="D362" i="11"/>
  <c r="N362" i="11" s="1"/>
  <c r="D429" i="11"/>
  <c r="N429" i="11" s="1"/>
  <c r="O429" i="11"/>
  <c r="D452" i="11"/>
  <c r="N452" i="11" s="1"/>
  <c r="O452" i="11"/>
  <c r="D453" i="11"/>
  <c r="N453" i="11" s="1"/>
  <c r="O453" i="11"/>
  <c r="D467" i="11"/>
  <c r="N467" i="11" s="1"/>
  <c r="O467" i="11"/>
  <c r="O276" i="11"/>
  <c r="D400" i="11"/>
  <c r="N400" i="11" s="1"/>
  <c r="O360" i="11"/>
  <c r="D527" i="11"/>
  <c r="N527" i="11" s="1"/>
  <c r="D420" i="11"/>
  <c r="N420" i="11" s="1"/>
  <c r="O420" i="11"/>
  <c r="D470" i="11"/>
  <c r="N470" i="11" s="1"/>
  <c r="O470" i="11"/>
  <c r="D581" i="11"/>
  <c r="N581" i="11" s="1"/>
  <c r="O581" i="11"/>
  <c r="D270" i="11"/>
  <c r="N270" i="11" s="1"/>
  <c r="O270" i="11"/>
  <c r="D242" i="11"/>
  <c r="N242" i="11" s="1"/>
  <c r="O242" i="11"/>
  <c r="O371" i="11"/>
  <c r="D371" i="11"/>
  <c r="N371" i="11" s="1"/>
  <c r="O380" i="11"/>
  <c r="D380" i="11"/>
  <c r="N380" i="11" s="1"/>
  <c r="O392" i="11"/>
  <c r="D392" i="11"/>
  <c r="N392" i="11" s="1"/>
  <c r="O404" i="11"/>
  <c r="D404" i="11"/>
  <c r="N404" i="11" s="1"/>
  <c r="O501" i="11"/>
  <c r="D501" i="11"/>
  <c r="N501" i="11" s="1"/>
  <c r="D585" i="11"/>
  <c r="N585" i="11" s="1"/>
  <c r="O585" i="11"/>
  <c r="D490" i="11"/>
  <c r="N490" i="11" s="1"/>
  <c r="O490" i="11"/>
  <c r="D640" i="11"/>
  <c r="N640" i="11" s="1"/>
  <c r="O640" i="11"/>
  <c r="D665" i="11"/>
  <c r="N665" i="11" s="1"/>
  <c r="O665" i="11"/>
  <c r="O351" i="11"/>
  <c r="D351" i="11"/>
  <c r="N351" i="11" s="1"/>
  <c r="O249" i="11"/>
  <c r="O259" i="11"/>
  <c r="O271" i="11"/>
  <c r="D412" i="11"/>
  <c r="N412" i="11" s="1"/>
  <c r="D564" i="11"/>
  <c r="N564" i="11" s="1"/>
  <c r="O427" i="11"/>
  <c r="D427" i="11"/>
  <c r="N427" i="11" s="1"/>
  <c r="D491" i="11"/>
  <c r="N491" i="11" s="1"/>
  <c r="O491" i="11"/>
  <c r="D431" i="11"/>
  <c r="N431" i="11" s="1"/>
  <c r="O431" i="11"/>
  <c r="D559" i="11"/>
  <c r="N559" i="11" s="1"/>
  <c r="O559" i="11"/>
  <c r="D628" i="11"/>
  <c r="N628" i="11" s="1"/>
  <c r="O628" i="11"/>
  <c r="D216" i="11"/>
  <c r="N216" i="11" s="1"/>
  <c r="O216" i="11"/>
  <c r="O396" i="11"/>
  <c r="D396" i="11"/>
  <c r="N396" i="11" s="1"/>
  <c r="O408" i="11"/>
  <c r="D408" i="11"/>
  <c r="N408" i="11" s="1"/>
  <c r="D653" i="11"/>
  <c r="N653" i="11" s="1"/>
  <c r="O653" i="11"/>
  <c r="D217" i="11"/>
  <c r="N217" i="11" s="1"/>
  <c r="O217" i="11"/>
  <c r="D233" i="11"/>
  <c r="N233" i="11" s="1"/>
  <c r="O233" i="11"/>
  <c r="D579" i="11"/>
  <c r="N579" i="11" s="1"/>
  <c r="O579" i="11"/>
  <c r="D647" i="11"/>
  <c r="N647" i="11" s="1"/>
  <c r="O647" i="11"/>
  <c r="D570" i="11"/>
  <c r="N570" i="11" s="1"/>
  <c r="O570" i="11"/>
  <c r="D253" i="11"/>
  <c r="N253" i="11" s="1"/>
  <c r="O253" i="11"/>
  <c r="O218" i="11"/>
  <c r="O456" i="11"/>
  <c r="O478" i="11"/>
  <c r="D487" i="11"/>
  <c r="N487" i="11" s="1"/>
  <c r="D497" i="11"/>
  <c r="N497" i="11" s="1"/>
  <c r="O603" i="11"/>
  <c r="O661" i="11"/>
  <c r="O673" i="11"/>
  <c r="O537" i="11"/>
  <c r="D283" i="11"/>
  <c r="N283" i="11" s="1"/>
  <c r="O283" i="11"/>
  <c r="O376" i="11"/>
  <c r="D376" i="11"/>
  <c r="N376" i="11" s="1"/>
  <c r="D507" i="11"/>
  <c r="N507" i="11" s="1"/>
  <c r="O507" i="11"/>
  <c r="D424" i="11"/>
  <c r="N424" i="11" s="1"/>
  <c r="O424" i="11"/>
  <c r="D618" i="11"/>
  <c r="N618" i="11" s="1"/>
  <c r="O618" i="11"/>
  <c r="O566" i="11"/>
  <c r="O45" i="11"/>
  <c r="O211" i="11"/>
  <c r="O245" i="11"/>
  <c r="O260" i="11"/>
  <c r="D331" i="11"/>
  <c r="N331" i="11" s="1"/>
  <c r="D409" i="11"/>
  <c r="N409" i="11" s="1"/>
  <c r="O413" i="11"/>
  <c r="O474" i="11"/>
  <c r="D500" i="11"/>
  <c r="N500" i="11" s="1"/>
  <c r="O632" i="11"/>
  <c r="O655" i="11"/>
  <c r="O659" i="11"/>
  <c r="O221" i="11"/>
  <c r="O229" i="11"/>
  <c r="O238" i="11"/>
  <c r="D372" i="11"/>
  <c r="N372" i="11" s="1"/>
  <c r="O455" i="11"/>
  <c r="O595" i="11"/>
  <c r="D521" i="11"/>
  <c r="N521" i="11" s="1"/>
  <c r="D189" i="11"/>
  <c r="N189" i="11" s="1"/>
  <c r="O88" i="11"/>
  <c r="D138" i="11"/>
  <c r="N138" i="11" s="1"/>
  <c r="D157" i="11"/>
  <c r="N157" i="11" s="1"/>
  <c r="O52" i="11"/>
  <c r="O34" i="11"/>
  <c r="D364" i="11"/>
  <c r="N364" i="11" s="1"/>
  <c r="O358" i="11"/>
  <c r="D516" i="11"/>
  <c r="N516" i="11" s="1"/>
  <c r="O582" i="11"/>
  <c r="O571" i="11"/>
  <c r="D43" i="11"/>
  <c r="N43" i="11" s="1"/>
  <c r="D173" i="11"/>
  <c r="N173" i="11" s="1"/>
  <c r="O74" i="11"/>
  <c r="D42" i="11"/>
  <c r="N42" i="11" s="1"/>
  <c r="D181" i="11"/>
  <c r="N181" i="11" s="1"/>
  <c r="D150" i="11"/>
  <c r="N150" i="11" s="1"/>
  <c r="O80" i="11"/>
  <c r="O7" i="11"/>
  <c r="O415" i="11"/>
  <c r="D402" i="11"/>
  <c r="N402" i="11" s="1"/>
  <c r="D502" i="11"/>
  <c r="N502" i="11" s="1"/>
  <c r="O609" i="11"/>
  <c r="O634" i="11"/>
  <c r="O547" i="11"/>
  <c r="O505" i="11"/>
  <c r="O278" i="11"/>
  <c r="O262" i="11"/>
  <c r="D514" i="11"/>
  <c r="N514" i="11" s="1"/>
  <c r="O605" i="11"/>
  <c r="O625" i="11"/>
  <c r="O635" i="11"/>
  <c r="O642" i="11"/>
  <c r="O649" i="11"/>
  <c r="O663" i="11"/>
  <c r="O678" i="11"/>
  <c r="O682" i="11"/>
  <c r="D548" i="11"/>
  <c r="N548" i="11" s="1"/>
  <c r="O574" i="11"/>
  <c r="D366" i="11"/>
  <c r="N366" i="11" s="1"/>
  <c r="O476" i="11"/>
  <c r="O545" i="11"/>
  <c r="O611" i="11"/>
  <c r="D674" i="11"/>
  <c r="N674" i="11" s="1"/>
  <c r="O414" i="11"/>
  <c r="D539" i="11"/>
  <c r="N539" i="11" s="1"/>
  <c r="O290" i="11"/>
  <c r="O359" i="11"/>
  <c r="O475" i="11"/>
  <c r="O553" i="11"/>
  <c r="O583" i="11"/>
  <c r="D556" i="11"/>
  <c r="N556" i="11" s="1"/>
  <c r="D194" i="11"/>
  <c r="N194" i="11" s="1"/>
  <c r="D416" i="11"/>
  <c r="N416" i="11" s="1"/>
  <c r="D428" i="11"/>
  <c r="N428" i="11" s="1"/>
  <c r="D161" i="11"/>
  <c r="N161" i="11" s="1"/>
  <c r="D169" i="11"/>
  <c r="N169" i="11" s="1"/>
  <c r="O620" i="11"/>
  <c r="O20" i="11"/>
  <c r="O58" i="11"/>
  <c r="D19" i="11"/>
  <c r="N19" i="11" s="1"/>
  <c r="O515" i="11"/>
  <c r="O509" i="11"/>
  <c r="O535" i="11"/>
  <c r="D551" i="11"/>
  <c r="N551" i="11" s="1"/>
  <c r="D142" i="11"/>
  <c r="N142" i="11" s="1"/>
  <c r="O226" i="11"/>
  <c r="O247" i="11"/>
  <c r="O264" i="11"/>
  <c r="D291" i="11"/>
  <c r="N291" i="11" s="1"/>
  <c r="D397" i="11"/>
  <c r="N397" i="11" s="1"/>
  <c r="O432" i="11"/>
  <c r="O454" i="11"/>
  <c r="O464" i="11"/>
  <c r="D510" i="11"/>
  <c r="N510" i="11" s="1"/>
  <c r="O483" i="11"/>
  <c r="O488" i="11"/>
  <c r="O496" i="11"/>
  <c r="O608" i="11"/>
  <c r="O612" i="11"/>
  <c r="O629" i="11"/>
  <c r="O648" i="11"/>
  <c r="O541" i="11"/>
  <c r="O560" i="11"/>
  <c r="D96" i="11"/>
  <c r="N96" i="11" s="1"/>
  <c r="O44" i="11"/>
  <c r="O222" i="11"/>
  <c r="O272" i="11"/>
  <c r="D368" i="11"/>
  <c r="N368" i="11" s="1"/>
  <c r="D377" i="11"/>
  <c r="N377" i="11" s="1"/>
  <c r="D385" i="11"/>
  <c r="N385" i="11" s="1"/>
  <c r="D401" i="11"/>
  <c r="N401" i="11" s="1"/>
  <c r="D522" i="11"/>
  <c r="N522" i="11" s="1"/>
  <c r="D534" i="11"/>
  <c r="N534" i="11" s="1"/>
  <c r="O544" i="11"/>
  <c r="D529" i="11"/>
  <c r="N529" i="11" s="1"/>
  <c r="O552" i="11"/>
  <c r="O70" i="11"/>
  <c r="D53" i="11"/>
  <c r="N53" i="11" s="1"/>
  <c r="O177" i="11"/>
  <c r="D104" i="11"/>
  <c r="N104" i="11" s="1"/>
  <c r="D62" i="11"/>
  <c r="N62" i="11" s="1"/>
  <c r="D26" i="11"/>
  <c r="N26" i="11" s="1"/>
  <c r="D102" i="11"/>
  <c r="N102" i="11" s="1"/>
  <c r="O8" i="11"/>
  <c r="O223" i="11"/>
  <c r="O250" i="11"/>
  <c r="O267" i="11"/>
  <c r="D389" i="11"/>
  <c r="N389" i="11" s="1"/>
  <c r="D405" i="11"/>
  <c r="N405" i="11" s="1"/>
  <c r="O421" i="11"/>
  <c r="O430" i="11"/>
  <c r="O466" i="11"/>
  <c r="O573" i="11"/>
  <c r="O599" i="11"/>
  <c r="O617" i="11"/>
  <c r="O641" i="11"/>
  <c r="O645" i="11"/>
  <c r="O654" i="11"/>
  <c r="O662" i="11"/>
  <c r="O671" i="11"/>
  <c r="D499" i="11"/>
  <c r="N499" i="11" s="1"/>
  <c r="O531" i="11"/>
  <c r="O503" i="11"/>
  <c r="O426" i="11"/>
  <c r="O117" i="11"/>
  <c r="O98" i="11"/>
  <c r="O21" i="11"/>
  <c r="O210" i="11"/>
  <c r="O266" i="11"/>
  <c r="O273" i="11"/>
  <c r="O279" i="11"/>
  <c r="D367" i="11"/>
  <c r="D390" i="11"/>
  <c r="N390" i="11" s="1"/>
  <c r="D406" i="11"/>
  <c r="N406" i="11" s="1"/>
  <c r="D530" i="11"/>
  <c r="N530" i="11" s="1"/>
  <c r="O557" i="11"/>
  <c r="O592" i="11"/>
  <c r="O600" i="11"/>
  <c r="O604" i="11"/>
  <c r="O616" i="11"/>
  <c r="O624" i="11"/>
  <c r="O636" i="11"/>
  <c r="O668" i="11"/>
  <c r="D525" i="11"/>
  <c r="N525" i="11" s="1"/>
  <c r="D162" i="11"/>
  <c r="N162" i="11" s="1"/>
  <c r="O32" i="11"/>
  <c r="O231" i="11"/>
  <c r="O274" i="11"/>
  <c r="D369" i="11"/>
  <c r="N369" i="11" s="1"/>
  <c r="D373" i="11"/>
  <c r="N373" i="11" s="1"/>
  <c r="D378" i="11"/>
  <c r="N378" i="11" s="1"/>
  <c r="D394" i="11"/>
  <c r="N394" i="11" s="1"/>
  <c r="D410" i="11"/>
  <c r="N410" i="11" s="1"/>
  <c r="O425" i="11"/>
  <c r="O438" i="11"/>
  <c r="O462" i="11"/>
  <c r="O482" i="11"/>
  <c r="D524" i="11"/>
  <c r="N524" i="11" s="1"/>
  <c r="O561" i="11"/>
  <c r="O601" i="11"/>
  <c r="O613" i="11"/>
  <c r="O422" i="11"/>
  <c r="D170" i="11"/>
  <c r="N170" i="11" s="1"/>
  <c r="O78" i="11"/>
  <c r="O72" i="11"/>
  <c r="D47" i="11"/>
  <c r="N47" i="11" s="1"/>
  <c r="O212" i="11"/>
  <c r="O224" i="11"/>
  <c r="O248" i="11"/>
  <c r="O268" i="11"/>
  <c r="D382" i="11"/>
  <c r="N382" i="11" s="1"/>
  <c r="D398" i="11"/>
  <c r="N398" i="11" s="1"/>
  <c r="O447" i="11"/>
  <c r="O459" i="11"/>
  <c r="O479" i="11"/>
  <c r="D518" i="11"/>
  <c r="N518" i="11" s="1"/>
  <c r="D542" i="11"/>
  <c r="N542" i="11" s="1"/>
  <c r="O423" i="11"/>
  <c r="O549" i="11"/>
  <c r="O594" i="11"/>
  <c r="O614" i="11"/>
  <c r="O626" i="11"/>
  <c r="O638" i="11"/>
  <c r="O646" i="11"/>
  <c r="D555" i="11"/>
  <c r="N555" i="11" s="1"/>
  <c r="D55" i="11"/>
  <c r="N55" i="11" s="1"/>
  <c r="O563" i="11"/>
  <c r="O519" i="11"/>
  <c r="D280" i="11"/>
  <c r="N280" i="11" s="1"/>
  <c r="O280" i="11"/>
  <c r="D83" i="11"/>
  <c r="N83" i="11" s="1"/>
  <c r="O12" i="11"/>
  <c r="D153" i="11"/>
  <c r="N153" i="11" s="1"/>
  <c r="O16" i="11"/>
  <c r="D193" i="11"/>
  <c r="N193" i="11" s="1"/>
  <c r="O56" i="11"/>
  <c r="D50" i="11"/>
  <c r="N50" i="11" s="1"/>
  <c r="O36" i="11"/>
  <c r="D28" i="11"/>
  <c r="N28" i="11" s="1"/>
  <c r="O75" i="11"/>
  <c r="D35" i="11"/>
  <c r="N35" i="11" s="1"/>
  <c r="O523" i="11"/>
  <c r="D91" i="11"/>
  <c r="N91" i="11" s="1"/>
  <c r="D554" i="11"/>
  <c r="N554" i="11" s="1"/>
  <c r="O554" i="11"/>
  <c r="D546" i="11"/>
  <c r="N546" i="11" s="1"/>
  <c r="O546" i="11"/>
  <c r="O127" i="11"/>
  <c r="D3" i="11"/>
  <c r="N3" i="11" s="1"/>
  <c r="D511" i="11"/>
  <c r="N511" i="11" s="1"/>
  <c r="D543" i="11"/>
  <c r="N543" i="11" s="1"/>
  <c r="O572" i="11"/>
  <c r="D178" i="11"/>
  <c r="N178" i="11" s="1"/>
  <c r="O64" i="11"/>
  <c r="O40" i="11"/>
  <c r="O89" i="11"/>
  <c r="D41" i="11"/>
  <c r="N41" i="11" s="1"/>
  <c r="O29" i="11"/>
  <c r="O27" i="11"/>
  <c r="D186" i="11"/>
  <c r="N186" i="11" s="1"/>
  <c r="O131" i="11"/>
  <c r="O125" i="11"/>
  <c r="D165" i="11"/>
  <c r="N165" i="11" s="1"/>
  <c r="D87" i="11"/>
  <c r="N87" i="11" s="1"/>
  <c r="O17" i="11"/>
  <c r="O23" i="11"/>
  <c r="D49" i="11"/>
  <c r="N49" i="11" s="1"/>
  <c r="D154" i="11"/>
  <c r="N154" i="11" s="1"/>
  <c r="D146" i="11"/>
  <c r="N146" i="11" s="1"/>
  <c r="D31" i="11"/>
  <c r="N31" i="11" s="1"/>
  <c r="O61" i="11"/>
  <c r="D37" i="11"/>
  <c r="N37" i="11" s="1"/>
  <c r="D13" i="11"/>
  <c r="N13" i="11" s="1"/>
  <c r="O5" i="11"/>
  <c r="D4" i="11"/>
  <c r="N4" i="11" s="1"/>
  <c r="O313" i="11"/>
  <c r="D313" i="11"/>
  <c r="N313" i="11" s="1"/>
  <c r="O329" i="11"/>
  <c r="D329" i="11"/>
  <c r="N329" i="11" s="1"/>
  <c r="D340" i="11"/>
  <c r="N340" i="11" s="1"/>
  <c r="O340" i="11"/>
  <c r="D348" i="11"/>
  <c r="N348" i="11" s="1"/>
  <c r="O348" i="11"/>
  <c r="O311" i="11"/>
  <c r="D311" i="11"/>
  <c r="N311" i="11" s="1"/>
  <c r="O319" i="11"/>
  <c r="D319" i="11"/>
  <c r="N319" i="11" s="1"/>
  <c r="O327" i="11"/>
  <c r="D327" i="11"/>
  <c r="N327" i="11" s="1"/>
  <c r="O316" i="11"/>
  <c r="D316" i="11"/>
  <c r="N316" i="11" s="1"/>
  <c r="N367" i="11"/>
  <c r="O317" i="11"/>
  <c r="D317" i="11"/>
  <c r="N317" i="11" s="1"/>
  <c r="O333" i="11"/>
  <c r="D333" i="11"/>
  <c r="N333" i="11" s="1"/>
  <c r="D342" i="11"/>
  <c r="N342" i="11" s="1"/>
  <c r="O342" i="11"/>
  <c r="D350" i="11"/>
  <c r="N350" i="11" s="1"/>
  <c r="O350" i="11"/>
  <c r="O320" i="11"/>
  <c r="D320" i="11"/>
  <c r="N320" i="11" s="1"/>
  <c r="O332" i="11"/>
  <c r="D332" i="11"/>
  <c r="N332" i="11" s="1"/>
  <c r="O321" i="11"/>
  <c r="D321" i="11"/>
  <c r="N321" i="11" s="1"/>
  <c r="D344" i="11"/>
  <c r="N344" i="11" s="1"/>
  <c r="O344" i="11"/>
  <c r="D352" i="11"/>
  <c r="N352" i="11" s="1"/>
  <c r="O352" i="11"/>
  <c r="O315" i="11"/>
  <c r="D315" i="11"/>
  <c r="N315" i="11" s="1"/>
  <c r="O323" i="11"/>
  <c r="D323" i="11"/>
  <c r="N323" i="11" s="1"/>
  <c r="O324" i="11"/>
  <c r="D324" i="11"/>
  <c r="N324" i="11" s="1"/>
  <c r="D148" i="11"/>
  <c r="N148" i="11" s="1"/>
  <c r="O9" i="11"/>
  <c r="O92" i="11"/>
  <c r="O325" i="11"/>
  <c r="D325" i="11"/>
  <c r="N325" i="11" s="1"/>
  <c r="O337" i="11"/>
  <c r="D337" i="11"/>
  <c r="N337" i="11" s="1"/>
  <c r="D346" i="11"/>
  <c r="N346" i="11" s="1"/>
  <c r="O346" i="11"/>
  <c r="D354" i="11"/>
  <c r="N354" i="11" s="1"/>
  <c r="O354" i="11"/>
  <c r="O312" i="11"/>
  <c r="D312" i="11"/>
  <c r="N312" i="11" s="1"/>
  <c r="O328" i="11"/>
  <c r="D328" i="11"/>
  <c r="N328" i="11" s="1"/>
  <c r="O109" i="11"/>
  <c r="D109" i="11"/>
  <c r="N109" i="11" s="1"/>
  <c r="O60" i="11"/>
  <c r="O30" i="11"/>
  <c r="D95" i="11"/>
  <c r="N95" i="11" s="1"/>
  <c r="D14" i="11"/>
  <c r="N14" i="11" s="1"/>
  <c r="D11" i="11"/>
  <c r="N11" i="11" s="1"/>
  <c r="D79" i="11"/>
  <c r="N79" i="11" s="1"/>
  <c r="D39" i="11"/>
  <c r="N39" i="11" s="1"/>
  <c r="O84" i="11"/>
  <c r="O129" i="11"/>
  <c r="O48" i="11"/>
  <c r="D86" i="11"/>
  <c r="N86" i="11" s="1"/>
  <c r="D10" i="11"/>
  <c r="N10" i="11" s="1"/>
  <c r="O59" i="11"/>
  <c r="D57" i="11"/>
  <c r="N57" i="11" s="1"/>
  <c r="O199" i="11"/>
  <c r="D199" i="11"/>
  <c r="N199" i="11" s="1"/>
  <c r="D198" i="11"/>
  <c r="N198" i="11" s="1"/>
  <c r="D190" i="11"/>
  <c r="N190" i="11" s="1"/>
  <c r="D182" i="11"/>
  <c r="N182" i="11" s="1"/>
  <c r="D174" i="11"/>
  <c r="N174" i="11" s="1"/>
  <c r="D166" i="11"/>
  <c r="N166" i="11" s="1"/>
  <c r="D158" i="11"/>
  <c r="N158" i="11" s="1"/>
  <c r="D140" i="11"/>
  <c r="N140" i="11" s="1"/>
  <c r="O24" i="11"/>
  <c r="D69" i="11"/>
  <c r="N69" i="11" s="1"/>
  <c r="D6" i="11"/>
  <c r="N6" i="11" s="1"/>
  <c r="O99" i="11"/>
  <c r="D99" i="11"/>
  <c r="N99" i="11" s="1"/>
  <c r="O134" i="11"/>
  <c r="D134" i="11"/>
  <c r="N134" i="11" s="1"/>
  <c r="O107" i="11"/>
  <c r="D107" i="11"/>
  <c r="N107" i="11" s="1"/>
  <c r="O204" i="11"/>
  <c r="D204" i="11"/>
  <c r="N204" i="11" s="1"/>
  <c r="D185" i="11"/>
  <c r="N185" i="11" s="1"/>
  <c r="D144" i="11"/>
  <c r="N144" i="11" s="1"/>
  <c r="D136" i="11"/>
  <c r="N136" i="11" s="1"/>
  <c r="O81" i="11"/>
  <c r="D94" i="11"/>
  <c r="N94" i="11" s="1"/>
  <c r="D73" i="11"/>
  <c r="N73" i="11" s="1"/>
  <c r="D18" i="11"/>
  <c r="N18" i="11" s="1"/>
  <c r="O25" i="11"/>
  <c r="O63" i="11"/>
  <c r="O118" i="11"/>
  <c r="O65" i="11"/>
  <c r="O33" i="11"/>
  <c r="O132" i="11"/>
  <c r="O207" i="11"/>
  <c r="D207" i="11"/>
  <c r="N207" i="11" s="1"/>
  <c r="O105" i="11"/>
  <c r="D105" i="11"/>
  <c r="N105" i="11" s="1"/>
  <c r="O101" i="11"/>
  <c r="D101" i="11"/>
  <c r="N101" i="11" s="1"/>
  <c r="O208" i="11"/>
  <c r="D208" i="11"/>
  <c r="N208" i="11" s="1"/>
  <c r="O200" i="11"/>
  <c r="D200" i="11"/>
  <c r="N200" i="11" s="1"/>
  <c r="O108" i="11"/>
  <c r="D108" i="11"/>
  <c r="N108" i="11" s="1"/>
  <c r="O203" i="11"/>
  <c r="D203" i="11"/>
  <c r="N203" i="11" s="1"/>
  <c r="O103" i="11"/>
  <c r="D103" i="11"/>
  <c r="N103" i="11" s="1"/>
  <c r="O71" i="11"/>
  <c r="O97" i="11"/>
  <c r="D97" i="11"/>
  <c r="N97" i="11" s="1"/>
  <c r="O201" i="11"/>
  <c r="D201" i="11"/>
  <c r="N201" i="11" s="1"/>
  <c r="O110" i="11"/>
  <c r="D110" i="11"/>
  <c r="N110" i="11" s="1"/>
  <c r="O202" i="11"/>
  <c r="D202" i="11"/>
  <c r="N202" i="11" s="1"/>
  <c r="D128" i="11"/>
  <c r="N128" i="11" s="1"/>
  <c r="O128" i="11"/>
  <c r="O106" i="11"/>
  <c r="D106" i="11"/>
  <c r="N106" i="11" s="1"/>
  <c r="O130" i="11"/>
  <c r="D130" i="11"/>
  <c r="N130" i="11" s="1"/>
  <c r="O209" i="11"/>
  <c r="D209" i="11"/>
  <c r="N209" i="11" s="1"/>
  <c r="D114" i="11"/>
  <c r="N114" i="11" s="1"/>
  <c r="O114" i="11"/>
  <c r="O126" i="11"/>
  <c r="D126" i="11"/>
  <c r="N126" i="11" s="1"/>
  <c r="O205" i="11"/>
  <c r="D205" i="11"/>
  <c r="N205" i="11" s="1"/>
  <c r="D93" i="11"/>
  <c r="N93" i="11" s="1"/>
  <c r="O93" i="11"/>
  <c r="D85" i="11"/>
  <c r="N85" i="11" s="1"/>
  <c r="O85" i="11"/>
  <c r="D122" i="11"/>
  <c r="N122" i="11" s="1"/>
  <c r="O122" i="11"/>
  <c r="O206" i="11"/>
  <c r="D206" i="11"/>
  <c r="N206" i="11" s="1"/>
  <c r="O188" i="11"/>
  <c r="D188" i="11"/>
  <c r="N188" i="11" s="1"/>
  <c r="O172" i="11"/>
  <c r="D172" i="11"/>
  <c r="N172" i="11" s="1"/>
  <c r="O156" i="11"/>
  <c r="D156" i="11"/>
  <c r="N156" i="11" s="1"/>
  <c r="O145" i="11"/>
  <c r="D145" i="11"/>
  <c r="N145" i="11" s="1"/>
  <c r="O137" i="11"/>
  <c r="D137" i="11"/>
  <c r="N137" i="11" s="1"/>
  <c r="O191" i="11"/>
  <c r="D191" i="11"/>
  <c r="N191" i="11" s="1"/>
  <c r="O183" i="11"/>
  <c r="D183" i="11"/>
  <c r="N183" i="11" s="1"/>
  <c r="O175" i="11"/>
  <c r="D175" i="11"/>
  <c r="N175" i="11" s="1"/>
  <c r="O167" i="11"/>
  <c r="D167" i="11"/>
  <c r="N167" i="11" s="1"/>
  <c r="O159" i="11"/>
  <c r="D159" i="11"/>
  <c r="N159" i="11" s="1"/>
  <c r="O151" i="11"/>
  <c r="D151" i="11"/>
  <c r="N151" i="11" s="1"/>
  <c r="D112" i="11"/>
  <c r="N112" i="11" s="1"/>
  <c r="O112" i="11"/>
  <c r="D119" i="11"/>
  <c r="N119" i="11" s="1"/>
  <c r="O119" i="11"/>
  <c r="O90" i="11"/>
  <c r="D90" i="11"/>
  <c r="N90" i="11" s="1"/>
  <c r="O184" i="11"/>
  <c r="D184" i="11"/>
  <c r="N184" i="11" s="1"/>
  <c r="O168" i="11"/>
  <c r="D168" i="11"/>
  <c r="N168" i="11" s="1"/>
  <c r="O152" i="11"/>
  <c r="D152" i="11"/>
  <c r="N152" i="11" s="1"/>
  <c r="O143" i="11"/>
  <c r="D143" i="11"/>
  <c r="N143" i="11" s="1"/>
  <c r="D124" i="11"/>
  <c r="N124" i="11" s="1"/>
  <c r="O124" i="11"/>
  <c r="D115" i="11"/>
  <c r="N115" i="11" s="1"/>
  <c r="O115" i="11"/>
  <c r="D121" i="11"/>
  <c r="N121" i="11" s="1"/>
  <c r="O121" i="11"/>
  <c r="O196" i="11"/>
  <c r="D196" i="11"/>
  <c r="N196" i="11" s="1"/>
  <c r="O180" i="11"/>
  <c r="D180" i="11"/>
  <c r="N180" i="11" s="1"/>
  <c r="O164" i="11"/>
  <c r="D164" i="11"/>
  <c r="N164" i="11" s="1"/>
  <c r="O149" i="11"/>
  <c r="D149" i="11"/>
  <c r="N149" i="11" s="1"/>
  <c r="O141" i="11"/>
  <c r="D141" i="11"/>
  <c r="N141" i="11" s="1"/>
  <c r="O195" i="11"/>
  <c r="D195" i="11"/>
  <c r="N195" i="11" s="1"/>
  <c r="O187" i="11"/>
  <c r="D187" i="11"/>
  <c r="N187" i="11" s="1"/>
  <c r="O179" i="11"/>
  <c r="D179" i="11"/>
  <c r="N179" i="11" s="1"/>
  <c r="O171" i="11"/>
  <c r="D171" i="11"/>
  <c r="N171" i="11" s="1"/>
  <c r="O163" i="11"/>
  <c r="D163" i="11"/>
  <c r="N163" i="11" s="1"/>
  <c r="O155" i="11"/>
  <c r="D155" i="11"/>
  <c r="N155" i="11" s="1"/>
  <c r="D120" i="11"/>
  <c r="N120" i="11" s="1"/>
  <c r="O120" i="11"/>
  <c r="D111" i="11"/>
  <c r="N111" i="11" s="1"/>
  <c r="O111" i="11"/>
  <c r="D113" i="11"/>
  <c r="N113" i="11" s="1"/>
  <c r="O113" i="11"/>
  <c r="O192" i="11"/>
  <c r="D192" i="11"/>
  <c r="N192" i="11" s="1"/>
  <c r="O176" i="11"/>
  <c r="D176" i="11"/>
  <c r="N176" i="11" s="1"/>
  <c r="O160" i="11"/>
  <c r="D160" i="11"/>
  <c r="N160" i="11" s="1"/>
  <c r="O147" i="11"/>
  <c r="D147" i="11"/>
  <c r="N147" i="11" s="1"/>
  <c r="O139" i="11"/>
  <c r="D139" i="11"/>
  <c r="N139" i="11" s="1"/>
  <c r="D116" i="11"/>
  <c r="N116" i="11" s="1"/>
  <c r="O116" i="11"/>
  <c r="D123" i="11"/>
  <c r="N123" i="11" s="1"/>
  <c r="O123" i="11"/>
  <c r="O82" i="11"/>
  <c r="D82" i="11"/>
  <c r="N82" i="11" s="1"/>
  <c r="F3" i="11" l="1"/>
  <c r="E3" i="11"/>
  <c r="D2" i="11"/>
  <c r="P110" i="11"/>
  <c r="P3" i="11" s="1"/>
  <c r="BQ38" i="10" l="1"/>
  <c r="BQ39" i="10"/>
  <c r="BQ40" i="10"/>
  <c r="BQ41" i="10"/>
  <c r="BQ42" i="10"/>
  <c r="BQ43" i="10"/>
  <c r="BQ44" i="10"/>
  <c r="BQ45" i="10"/>
  <c r="BQ46" i="10"/>
  <c r="BQ47" i="10"/>
  <c r="BQ48" i="10"/>
  <c r="BQ49" i="10"/>
  <c r="BQ50" i="10"/>
  <c r="BQ51" i="10"/>
  <c r="BQ52" i="10"/>
  <c r="BQ53" i="10"/>
  <c r="BQ54" i="10"/>
  <c r="BQ55" i="10"/>
  <c r="BQ56" i="10"/>
  <c r="BQ57" i="10"/>
  <c r="BQ58" i="10"/>
  <c r="BQ59" i="10"/>
  <c r="BQ60" i="10"/>
  <c r="BQ61" i="10"/>
  <c r="BQ62" i="10"/>
  <c r="BQ63" i="10"/>
  <c r="BQ64" i="10"/>
  <c r="BQ65" i="10"/>
  <c r="BQ66" i="10"/>
  <c r="BQ67" i="10"/>
  <c r="BQ68" i="10"/>
  <c r="BQ69" i="10"/>
  <c r="BQ70" i="10"/>
  <c r="BQ71" i="10"/>
  <c r="BQ72" i="10"/>
  <c r="BQ73" i="10"/>
  <c r="BQ74" i="10"/>
  <c r="BQ75" i="10"/>
  <c r="BQ76" i="10"/>
  <c r="BQ77" i="10"/>
  <c r="BQ78" i="10"/>
  <c r="BQ79" i="10"/>
  <c r="BQ80" i="10"/>
  <c r="BQ81" i="10"/>
  <c r="BQ82" i="10"/>
  <c r="BQ83" i="10"/>
  <c r="BQ84" i="10"/>
  <c r="BQ85" i="10"/>
  <c r="BQ86" i="10"/>
  <c r="BQ87" i="10"/>
  <c r="BQ88" i="10"/>
  <c r="BQ89" i="10"/>
  <c r="BQ90" i="10"/>
  <c r="BQ91" i="10"/>
  <c r="BQ92" i="10"/>
  <c r="BQ93" i="10"/>
  <c r="BQ94" i="10"/>
  <c r="BQ95" i="10"/>
  <c r="BQ96" i="10"/>
  <c r="BQ97" i="10"/>
  <c r="BQ98" i="10"/>
  <c r="BQ99" i="10"/>
  <c r="BQ100" i="10"/>
  <c r="BQ101" i="10"/>
  <c r="BQ102" i="10"/>
  <c r="BQ103" i="10"/>
  <c r="BQ104" i="10"/>
  <c r="BQ105" i="10"/>
  <c r="BQ106" i="10"/>
  <c r="BQ107" i="10"/>
  <c r="BQ108" i="10"/>
  <c r="BQ109" i="10"/>
  <c r="BQ110" i="10"/>
  <c r="BQ111" i="10"/>
  <c r="BQ112" i="10"/>
  <c r="BQ113" i="10"/>
  <c r="BQ114" i="10"/>
  <c r="BQ115" i="10"/>
  <c r="BQ116" i="10"/>
  <c r="BQ117" i="10"/>
  <c r="BQ118" i="10"/>
  <c r="BQ119" i="10"/>
  <c r="BQ120" i="10"/>
  <c r="BQ121" i="10"/>
  <c r="BQ122" i="10"/>
  <c r="BQ123" i="10"/>
  <c r="BQ124" i="10"/>
  <c r="BQ125" i="10"/>
  <c r="BQ126" i="10"/>
  <c r="BQ127" i="10"/>
  <c r="BQ128" i="10"/>
  <c r="BQ129" i="10"/>
  <c r="BQ130" i="10"/>
  <c r="BQ131" i="10"/>
  <c r="BQ132" i="10"/>
  <c r="BQ133" i="10"/>
  <c r="BQ134" i="10"/>
  <c r="BQ135" i="10"/>
  <c r="BQ136" i="10"/>
  <c r="BQ137" i="10"/>
  <c r="BQ138" i="10"/>
  <c r="BQ139" i="10"/>
  <c r="BQ140" i="10"/>
  <c r="BQ141" i="10"/>
  <c r="BQ142" i="10"/>
  <c r="BQ143" i="10"/>
  <c r="BQ144" i="10"/>
  <c r="BQ145" i="10"/>
  <c r="BQ146" i="10"/>
  <c r="BQ147" i="10"/>
  <c r="BQ148" i="10"/>
  <c r="BQ149" i="10"/>
  <c r="BQ150" i="10"/>
  <c r="BQ151" i="10"/>
  <c r="BQ152" i="10"/>
  <c r="BQ153" i="10"/>
  <c r="BQ154" i="10"/>
  <c r="BQ155" i="10"/>
  <c r="BQ156" i="10"/>
  <c r="BQ157" i="10"/>
  <c r="BQ158" i="10"/>
  <c r="BQ159" i="10"/>
  <c r="BQ160" i="10"/>
  <c r="BQ161" i="10"/>
  <c r="BQ162" i="10"/>
  <c r="BQ163" i="10"/>
  <c r="BQ164" i="10"/>
  <c r="BQ165" i="10"/>
  <c r="BQ166" i="10"/>
  <c r="BQ167" i="10"/>
  <c r="BQ168" i="10"/>
  <c r="BQ169" i="10"/>
  <c r="BQ170" i="10"/>
  <c r="BQ171" i="10"/>
  <c r="BQ172" i="10"/>
  <c r="BQ173" i="10"/>
  <c r="BQ174" i="10"/>
  <c r="BQ175" i="10"/>
  <c r="BQ176" i="10"/>
  <c r="BQ177" i="10"/>
  <c r="BQ178" i="10"/>
  <c r="BQ179" i="10"/>
  <c r="BQ180" i="10"/>
  <c r="BQ181" i="10"/>
  <c r="BQ182" i="10"/>
  <c r="BQ183" i="10"/>
  <c r="BQ184" i="10"/>
  <c r="BQ185" i="10"/>
  <c r="BQ186" i="10"/>
  <c r="BQ187" i="10"/>
  <c r="BQ188" i="10"/>
  <c r="BQ189" i="10"/>
  <c r="BQ190" i="10"/>
  <c r="BQ191" i="10"/>
  <c r="BQ192" i="10"/>
  <c r="BQ193" i="10"/>
  <c r="BQ194" i="10"/>
  <c r="BQ195" i="10"/>
  <c r="BQ196" i="10"/>
  <c r="BQ197" i="10"/>
  <c r="BQ198" i="10"/>
  <c r="BQ199" i="10"/>
  <c r="BQ200" i="10"/>
  <c r="BQ201" i="10"/>
  <c r="BQ202" i="10"/>
  <c r="BQ203" i="10"/>
  <c r="BQ204" i="10"/>
  <c r="BQ205" i="10"/>
  <c r="BQ206" i="10"/>
  <c r="BQ207" i="10"/>
  <c r="BQ208" i="10"/>
  <c r="BQ209" i="10"/>
  <c r="BQ210" i="10"/>
  <c r="BQ211" i="10"/>
  <c r="BQ212" i="10"/>
  <c r="BQ213" i="10"/>
  <c r="BQ214" i="10"/>
  <c r="BQ215" i="10"/>
  <c r="BQ216" i="10"/>
  <c r="BQ217" i="10"/>
  <c r="BQ218" i="10"/>
  <c r="BQ219" i="10"/>
  <c r="BQ220" i="10"/>
  <c r="BQ221" i="10"/>
  <c r="BQ222" i="10"/>
  <c r="BQ223" i="10"/>
  <c r="BQ224" i="10"/>
  <c r="BQ225" i="10"/>
  <c r="BQ226" i="10"/>
  <c r="BQ227" i="10"/>
  <c r="BQ228" i="10"/>
  <c r="BQ229" i="10"/>
  <c r="BQ230" i="10"/>
  <c r="BQ231" i="10"/>
  <c r="BQ232" i="10"/>
  <c r="BQ233" i="10"/>
  <c r="BQ234" i="10"/>
  <c r="BQ235" i="10"/>
  <c r="BQ236" i="10"/>
  <c r="BQ237" i="10"/>
  <c r="BQ238" i="10"/>
  <c r="BQ239" i="10"/>
  <c r="BQ240" i="10"/>
  <c r="BQ241" i="10"/>
  <c r="BQ242" i="10"/>
  <c r="BQ243" i="10"/>
  <c r="BQ244" i="10"/>
  <c r="BQ245" i="10"/>
  <c r="BQ246" i="10"/>
  <c r="BQ247" i="10"/>
  <c r="BQ248" i="10"/>
  <c r="BQ249" i="10"/>
  <c r="BQ250" i="10"/>
  <c r="BQ251" i="10"/>
  <c r="BQ252" i="10"/>
  <c r="BQ253" i="10"/>
  <c r="BQ254" i="10"/>
  <c r="BQ255" i="10"/>
  <c r="BQ256" i="10"/>
  <c r="BQ257" i="10"/>
  <c r="BQ258" i="10"/>
  <c r="BQ259" i="10"/>
  <c r="BQ260" i="10"/>
  <c r="BQ261" i="10"/>
  <c r="BQ262" i="10"/>
  <c r="BQ263" i="10"/>
  <c r="BQ264" i="10"/>
  <c r="BQ265" i="10"/>
  <c r="BQ266" i="10"/>
  <c r="BQ267" i="10"/>
  <c r="BQ268" i="10"/>
  <c r="BQ269" i="10"/>
  <c r="BQ270" i="10"/>
  <c r="BQ271" i="10"/>
  <c r="BQ272" i="10"/>
  <c r="BQ273" i="10"/>
  <c r="BQ274" i="10"/>
  <c r="BQ275" i="10"/>
  <c r="BQ276" i="10"/>
  <c r="BQ277" i="10"/>
  <c r="BQ278" i="10"/>
  <c r="BQ279" i="10"/>
  <c r="BQ280" i="10"/>
  <c r="BQ281" i="10"/>
  <c r="BQ282" i="10"/>
  <c r="BQ283" i="10"/>
  <c r="BQ284" i="10"/>
  <c r="BQ285" i="10"/>
  <c r="BQ286" i="10"/>
  <c r="BQ287" i="10"/>
  <c r="BQ288" i="10"/>
  <c r="BQ289" i="10"/>
  <c r="BQ290" i="10"/>
  <c r="BQ291" i="10"/>
  <c r="BQ292" i="10"/>
  <c r="BQ293" i="10"/>
  <c r="BQ294" i="10"/>
  <c r="BQ295" i="10"/>
  <c r="BQ296" i="10"/>
  <c r="BQ297" i="10"/>
  <c r="BQ298" i="10"/>
  <c r="BQ299" i="10"/>
  <c r="BQ300" i="10"/>
  <c r="BQ301" i="10"/>
  <c r="BQ302" i="10"/>
  <c r="BQ303" i="10"/>
  <c r="BQ304" i="10"/>
  <c r="BQ305" i="10"/>
  <c r="BQ306" i="10"/>
  <c r="BQ307" i="10"/>
  <c r="BQ308" i="10"/>
  <c r="BQ309" i="10"/>
  <c r="BQ310" i="10"/>
  <c r="BQ311" i="10"/>
  <c r="BQ312" i="10"/>
  <c r="BQ313" i="10"/>
  <c r="BQ314" i="10"/>
  <c r="BQ315" i="10"/>
  <c r="BQ316" i="10"/>
  <c r="BQ317" i="10"/>
  <c r="BQ318" i="10"/>
  <c r="BQ319" i="10"/>
  <c r="BQ320" i="10"/>
  <c r="BQ321" i="10"/>
  <c r="BQ322" i="10"/>
  <c r="BQ323" i="10"/>
  <c r="BQ324" i="10"/>
  <c r="BQ325" i="10"/>
  <c r="BQ326" i="10"/>
  <c r="BQ327" i="10"/>
  <c r="BQ328" i="10"/>
  <c r="BQ329" i="10"/>
  <c r="BQ330" i="10"/>
  <c r="BQ331" i="10"/>
  <c r="BQ332" i="10"/>
  <c r="BQ333" i="10"/>
  <c r="BQ334" i="10"/>
  <c r="BQ335" i="10"/>
  <c r="BQ336" i="10"/>
  <c r="BQ337" i="10"/>
  <c r="BQ338" i="10"/>
  <c r="BQ339" i="10"/>
  <c r="BQ340" i="10"/>
  <c r="BQ341" i="10"/>
  <c r="BQ342" i="10"/>
  <c r="BQ343" i="10"/>
  <c r="BQ344" i="10"/>
  <c r="BQ345" i="10"/>
  <c r="BQ346" i="10"/>
  <c r="BQ347" i="10"/>
  <c r="BQ348" i="10"/>
  <c r="BQ349" i="10"/>
  <c r="BQ350" i="10"/>
  <c r="BQ351" i="10"/>
  <c r="BQ352" i="10"/>
  <c r="BQ353" i="10"/>
  <c r="BQ354" i="10"/>
  <c r="BQ355" i="10"/>
  <c r="BQ356" i="10"/>
  <c r="BQ357" i="10"/>
  <c r="BQ358" i="10"/>
  <c r="BQ359" i="10"/>
  <c r="BQ360" i="10"/>
  <c r="BQ361" i="10"/>
  <c r="BQ362" i="10"/>
  <c r="BQ363" i="10"/>
  <c r="BQ364" i="10"/>
  <c r="BQ365" i="10"/>
  <c r="BQ366" i="10"/>
  <c r="BQ367" i="10"/>
  <c r="BQ368" i="10"/>
  <c r="BQ369" i="10"/>
  <c r="BQ370" i="10"/>
  <c r="BQ371" i="10"/>
  <c r="BQ372" i="10"/>
  <c r="BQ373" i="10"/>
  <c r="BQ374" i="10"/>
  <c r="BQ375" i="10"/>
  <c r="BQ376" i="10"/>
  <c r="BQ377" i="10"/>
  <c r="BQ378" i="10"/>
  <c r="BQ379" i="10"/>
  <c r="BQ380" i="10"/>
  <c r="BQ381" i="10"/>
  <c r="BQ382" i="10"/>
  <c r="BQ383" i="10"/>
  <c r="BQ384" i="10"/>
  <c r="BQ385" i="10"/>
  <c r="BQ386" i="10"/>
  <c r="BQ387" i="10"/>
  <c r="BQ388" i="10"/>
  <c r="BQ389" i="10"/>
  <c r="BQ390" i="10"/>
  <c r="BQ391" i="10"/>
  <c r="BQ392" i="10"/>
  <c r="BQ393" i="10"/>
  <c r="BQ394" i="10"/>
  <c r="BQ395" i="10"/>
  <c r="BQ396" i="10"/>
  <c r="BQ397" i="10"/>
  <c r="BQ398" i="10"/>
  <c r="BQ399" i="10"/>
  <c r="BQ400" i="10"/>
  <c r="BQ401" i="10"/>
  <c r="BQ402" i="10"/>
  <c r="BQ403" i="10"/>
  <c r="BQ404" i="10"/>
  <c r="BQ405" i="10"/>
  <c r="BQ406" i="10"/>
  <c r="BQ407" i="10"/>
  <c r="BQ408" i="10"/>
  <c r="BQ409" i="10"/>
  <c r="BQ410" i="10"/>
  <c r="BQ411" i="10"/>
  <c r="BQ412" i="10"/>
  <c r="BQ413" i="10"/>
  <c r="BQ414" i="10"/>
  <c r="BQ415" i="10"/>
  <c r="BQ416" i="10"/>
  <c r="BQ417" i="10"/>
  <c r="BQ418" i="10"/>
  <c r="BQ419" i="10"/>
  <c r="BQ420" i="10"/>
  <c r="BQ421" i="10"/>
  <c r="BQ422" i="10"/>
  <c r="BQ423" i="10"/>
  <c r="BQ424" i="10"/>
  <c r="BQ425" i="10"/>
  <c r="BQ426" i="10"/>
  <c r="BQ427" i="10"/>
  <c r="BQ428" i="10"/>
  <c r="BQ429" i="10"/>
  <c r="BQ430" i="10"/>
  <c r="BQ431" i="10"/>
  <c r="BQ432" i="10"/>
  <c r="BQ433" i="10"/>
  <c r="BQ434" i="10"/>
  <c r="BQ435" i="10"/>
  <c r="BQ436" i="10"/>
  <c r="BQ437" i="10"/>
  <c r="BQ438" i="10"/>
  <c r="BQ439" i="10"/>
  <c r="BQ440" i="10"/>
  <c r="BQ441" i="10"/>
  <c r="BQ442" i="10"/>
  <c r="BQ443" i="10"/>
  <c r="BQ444" i="10"/>
  <c r="BQ445" i="10"/>
  <c r="BQ446" i="10"/>
  <c r="BQ447" i="10"/>
  <c r="BQ448" i="10"/>
  <c r="BQ449" i="10"/>
  <c r="BQ450" i="10"/>
  <c r="BQ451" i="10"/>
  <c r="BQ452" i="10"/>
  <c r="BQ453" i="10"/>
  <c r="BQ454" i="10"/>
  <c r="BQ455" i="10"/>
  <c r="BQ456" i="10"/>
  <c r="BQ457" i="10"/>
  <c r="BQ458" i="10"/>
  <c r="BQ459" i="10"/>
  <c r="BQ460" i="10"/>
  <c r="BQ461" i="10"/>
  <c r="BQ462" i="10"/>
  <c r="BQ463" i="10"/>
  <c r="BQ464" i="10"/>
  <c r="BQ465" i="10"/>
  <c r="BQ466" i="10"/>
  <c r="BQ467" i="10"/>
  <c r="BQ468" i="10"/>
  <c r="BQ469" i="10"/>
  <c r="BQ470" i="10"/>
  <c r="BQ471" i="10"/>
  <c r="BQ472" i="10"/>
  <c r="BQ473" i="10"/>
  <c r="BQ474" i="10"/>
  <c r="BQ475" i="10"/>
  <c r="BQ476" i="10"/>
  <c r="BQ477" i="10"/>
  <c r="BQ478" i="10"/>
  <c r="BQ479" i="10"/>
  <c r="BQ480" i="10"/>
  <c r="BQ481" i="10"/>
  <c r="BQ482" i="10"/>
  <c r="BQ483" i="10"/>
  <c r="BQ484" i="10"/>
  <c r="BQ485" i="10"/>
  <c r="BQ486" i="10"/>
  <c r="BQ487" i="10"/>
  <c r="BQ488" i="10"/>
  <c r="BQ489" i="10"/>
  <c r="BQ490" i="10"/>
  <c r="BQ491" i="10"/>
  <c r="BQ492" i="10"/>
  <c r="BQ493" i="10"/>
  <c r="BQ494" i="10"/>
  <c r="BQ495" i="10"/>
  <c r="BQ496" i="10"/>
  <c r="BQ497" i="10"/>
  <c r="BQ498" i="10"/>
  <c r="BQ499" i="10"/>
  <c r="BQ500" i="10"/>
  <c r="BQ501" i="10"/>
  <c r="BQ502" i="10"/>
  <c r="BQ503" i="10"/>
  <c r="BQ504" i="10"/>
  <c r="BQ505" i="10"/>
  <c r="BQ506" i="10"/>
  <c r="BQ507" i="10"/>
  <c r="BQ508" i="10"/>
  <c r="BQ509" i="10"/>
  <c r="BQ510" i="10"/>
  <c r="BQ511" i="10"/>
  <c r="BQ512" i="10"/>
  <c r="BQ513" i="10"/>
  <c r="BQ514" i="10"/>
  <c r="BQ515" i="10"/>
  <c r="BQ516" i="10"/>
  <c r="BQ517" i="10"/>
  <c r="BQ518" i="10"/>
  <c r="BQ519" i="10"/>
  <c r="BQ520" i="10"/>
  <c r="BQ521" i="10"/>
  <c r="BQ522" i="10"/>
  <c r="BQ523" i="10"/>
  <c r="BQ524" i="10"/>
  <c r="BQ525" i="10"/>
  <c r="BQ526" i="10"/>
  <c r="BQ527" i="10"/>
  <c r="BQ528" i="10"/>
  <c r="BQ529" i="10"/>
  <c r="BQ530" i="10"/>
  <c r="BQ531" i="10"/>
  <c r="BQ532" i="10"/>
  <c r="BQ533" i="10"/>
  <c r="BQ534" i="10"/>
  <c r="BQ535" i="10"/>
  <c r="BQ536" i="10"/>
  <c r="BQ537" i="10"/>
  <c r="BQ538" i="10"/>
  <c r="BQ539" i="10"/>
  <c r="BQ540" i="10"/>
  <c r="BQ541" i="10"/>
  <c r="BQ542" i="10"/>
  <c r="BQ543" i="10"/>
  <c r="BQ544" i="10"/>
  <c r="BQ545" i="10"/>
  <c r="BQ546" i="10"/>
  <c r="BQ547" i="10"/>
  <c r="BQ548" i="10"/>
  <c r="BQ549" i="10"/>
  <c r="BQ550" i="10"/>
  <c r="BQ551" i="10"/>
  <c r="BQ552" i="10"/>
  <c r="BQ553" i="10"/>
  <c r="BQ554" i="10"/>
  <c r="BQ555" i="10"/>
  <c r="BQ556" i="10"/>
  <c r="BQ557" i="10"/>
  <c r="BQ558" i="10"/>
  <c r="BQ559" i="10"/>
  <c r="BQ560" i="10"/>
  <c r="BQ561" i="10"/>
  <c r="BQ562" i="10"/>
  <c r="BQ563" i="10"/>
  <c r="BQ564" i="10"/>
  <c r="BQ565" i="10"/>
  <c r="BQ566" i="10"/>
  <c r="BQ567" i="10"/>
  <c r="BQ568" i="10"/>
  <c r="BQ569" i="10"/>
  <c r="BQ570" i="10"/>
  <c r="BQ571" i="10"/>
  <c r="BQ572" i="10"/>
  <c r="BQ573" i="10"/>
  <c r="BQ574" i="10"/>
  <c r="BQ575" i="10"/>
  <c r="BQ576" i="10"/>
  <c r="BQ577" i="10"/>
  <c r="BQ578" i="10"/>
  <c r="BQ579" i="10"/>
  <c r="BQ580" i="10"/>
  <c r="BQ581" i="10"/>
  <c r="BQ582" i="10"/>
  <c r="BQ583" i="10"/>
  <c r="BQ584" i="10"/>
  <c r="BQ585" i="10"/>
  <c r="BQ586" i="10"/>
  <c r="BQ587" i="10"/>
  <c r="BQ588" i="10"/>
  <c r="BQ589" i="10"/>
  <c r="BQ590" i="10"/>
  <c r="BQ591" i="10"/>
  <c r="BQ592" i="10"/>
  <c r="BQ593" i="10"/>
  <c r="BQ594" i="10"/>
  <c r="BQ595" i="10"/>
  <c r="BQ596" i="10"/>
  <c r="BQ597" i="10"/>
  <c r="BQ598" i="10"/>
  <c r="BQ599" i="10"/>
  <c r="BQ600" i="10"/>
  <c r="BQ601" i="10"/>
  <c r="BQ602" i="10"/>
  <c r="BQ603" i="10"/>
  <c r="BQ604" i="10"/>
  <c r="BQ605" i="10"/>
  <c r="BQ606" i="10"/>
  <c r="BQ607" i="10"/>
  <c r="BQ608" i="10"/>
  <c r="BQ609" i="10"/>
  <c r="BQ610" i="10"/>
  <c r="BQ611" i="10"/>
  <c r="BQ612" i="10"/>
  <c r="BQ613" i="10"/>
  <c r="BQ614" i="10"/>
  <c r="BQ615" i="10"/>
  <c r="BQ616" i="10"/>
  <c r="BQ617" i="10"/>
  <c r="BQ618" i="10"/>
  <c r="BQ619" i="10"/>
  <c r="BQ620" i="10"/>
  <c r="BQ621" i="10"/>
  <c r="BQ622" i="10"/>
  <c r="BQ623" i="10"/>
  <c r="BQ624" i="10"/>
  <c r="BQ625" i="10"/>
  <c r="BQ626" i="10"/>
  <c r="BQ627" i="10"/>
  <c r="BQ628" i="10"/>
  <c r="BQ629" i="10"/>
  <c r="BQ630" i="10"/>
  <c r="BQ631" i="10"/>
  <c r="BQ632" i="10"/>
  <c r="BQ633" i="10"/>
  <c r="BQ634" i="10"/>
  <c r="BQ635" i="10"/>
  <c r="BQ636" i="10"/>
  <c r="BQ637" i="10"/>
  <c r="BQ638" i="10"/>
  <c r="BQ639" i="10"/>
  <c r="BQ640" i="10"/>
  <c r="BQ641" i="10"/>
  <c r="BQ642" i="10"/>
  <c r="BQ643" i="10"/>
  <c r="BQ644" i="10"/>
  <c r="BQ645" i="10"/>
  <c r="BQ646" i="10"/>
  <c r="BQ647" i="10"/>
  <c r="BQ648" i="10"/>
  <c r="BQ649" i="10"/>
  <c r="BQ650" i="10"/>
  <c r="BQ651" i="10"/>
  <c r="BQ652" i="10"/>
  <c r="BQ653" i="10"/>
  <c r="BQ654" i="10"/>
  <c r="BQ655" i="10"/>
  <c r="BQ656" i="10"/>
  <c r="BQ657" i="10"/>
  <c r="BQ658" i="10"/>
  <c r="BQ659" i="10"/>
  <c r="BQ660" i="10"/>
  <c r="BQ661" i="10"/>
  <c r="BQ662" i="10"/>
  <c r="BQ663" i="10"/>
  <c r="BQ664" i="10"/>
  <c r="BQ665" i="10"/>
  <c r="BQ666" i="10"/>
  <c r="BQ667" i="10"/>
  <c r="BQ668" i="10"/>
  <c r="BQ669" i="10"/>
  <c r="BQ670" i="10"/>
  <c r="BQ671" i="10"/>
  <c r="BQ672" i="10"/>
  <c r="BQ673" i="10"/>
  <c r="BQ674" i="10"/>
  <c r="BQ675" i="10"/>
  <c r="BQ676" i="10"/>
  <c r="BQ677" i="10"/>
  <c r="BQ678" i="10"/>
  <c r="BQ679" i="10"/>
  <c r="BQ680" i="10"/>
  <c r="BQ681" i="10"/>
  <c r="BQ682" i="10"/>
  <c r="AV38" i="10"/>
  <c r="AV39" i="10"/>
  <c r="AV40" i="10"/>
  <c r="AV41" i="10"/>
  <c r="AV42" i="10"/>
  <c r="AV43" i="10"/>
  <c r="AV44" i="10"/>
  <c r="AV45" i="10"/>
  <c r="AV46" i="10"/>
  <c r="AV47" i="10"/>
  <c r="AV48" i="10"/>
  <c r="AV49" i="10"/>
  <c r="AV50" i="10"/>
  <c r="AV51" i="10"/>
  <c r="AV52" i="10"/>
  <c r="AV53" i="10"/>
  <c r="AV54" i="10"/>
  <c r="AV55" i="10"/>
  <c r="AV56" i="10"/>
  <c r="AV57" i="10"/>
  <c r="AV58" i="10"/>
  <c r="AV59" i="10"/>
  <c r="AV60" i="10"/>
  <c r="AV61" i="10"/>
  <c r="AV62" i="10"/>
  <c r="AV63" i="10"/>
  <c r="AV64" i="10"/>
  <c r="AV65" i="10"/>
  <c r="AV66" i="10"/>
  <c r="AV67" i="10"/>
  <c r="AV68" i="10"/>
  <c r="AV69" i="10"/>
  <c r="AV70" i="10"/>
  <c r="AV71" i="10"/>
  <c r="AV72" i="10"/>
  <c r="AV73" i="10"/>
  <c r="AV74" i="10"/>
  <c r="AV75" i="10"/>
  <c r="AV76" i="10"/>
  <c r="AV77" i="10"/>
  <c r="AV78" i="10"/>
  <c r="AV79" i="10"/>
  <c r="AV80" i="10"/>
  <c r="AV81" i="10"/>
  <c r="AV82" i="10"/>
  <c r="AV83" i="10"/>
  <c r="AV84" i="10"/>
  <c r="AV85" i="10"/>
  <c r="AV86" i="10"/>
  <c r="AV87" i="10"/>
  <c r="AV88" i="10"/>
  <c r="AV89" i="10"/>
  <c r="AV90" i="10"/>
  <c r="AV91" i="10"/>
  <c r="AV92" i="10"/>
  <c r="AV93" i="10"/>
  <c r="AV94" i="10"/>
  <c r="AV95" i="10"/>
  <c r="AV96" i="10"/>
  <c r="AV97" i="10"/>
  <c r="AV98" i="10"/>
  <c r="AV99" i="10"/>
  <c r="AV100" i="10"/>
  <c r="AV101" i="10"/>
  <c r="AV102" i="10"/>
  <c r="AV103" i="10"/>
  <c r="AV104" i="10"/>
  <c r="AV105" i="10"/>
  <c r="AV106" i="10"/>
  <c r="AV107" i="10"/>
  <c r="AV108" i="10"/>
  <c r="AV109" i="10"/>
  <c r="AV110" i="10"/>
  <c r="AV111" i="10"/>
  <c r="AV112" i="10"/>
  <c r="AV113" i="10"/>
  <c r="AV114" i="10"/>
  <c r="AV115" i="10"/>
  <c r="AV116" i="10"/>
  <c r="AV117" i="10"/>
  <c r="AV118" i="10"/>
  <c r="AV119" i="10"/>
  <c r="AV120" i="10"/>
  <c r="AV121" i="10"/>
  <c r="AV122" i="10"/>
  <c r="AV123" i="10"/>
  <c r="AV124" i="10"/>
  <c r="AV125" i="10"/>
  <c r="AV126" i="10"/>
  <c r="AV127" i="10"/>
  <c r="AV128" i="10"/>
  <c r="AV129" i="10"/>
  <c r="AV130" i="10"/>
  <c r="AV131" i="10"/>
  <c r="AV132" i="10"/>
  <c r="AV133" i="10"/>
  <c r="AV134" i="10"/>
  <c r="AV135" i="10"/>
  <c r="AV136" i="10"/>
  <c r="AV137" i="10"/>
  <c r="AV138" i="10"/>
  <c r="AV139" i="10"/>
  <c r="AV140" i="10"/>
  <c r="AV141" i="10"/>
  <c r="AV142" i="10"/>
  <c r="AV143" i="10"/>
  <c r="AV144" i="10"/>
  <c r="AV145" i="10"/>
  <c r="AV146" i="10"/>
  <c r="AV147" i="10"/>
  <c r="AV148" i="10"/>
  <c r="AV149" i="10"/>
  <c r="AV150" i="10"/>
  <c r="AV151" i="10"/>
  <c r="AV152" i="10"/>
  <c r="AV153" i="10"/>
  <c r="AV154" i="10"/>
  <c r="AV155" i="10"/>
  <c r="AV156" i="10"/>
  <c r="AV157" i="10"/>
  <c r="AV158" i="10"/>
  <c r="AV159" i="10"/>
  <c r="AV160" i="10"/>
  <c r="AV161" i="10"/>
  <c r="AV162" i="10"/>
  <c r="AV163" i="10"/>
  <c r="AV164" i="10"/>
  <c r="AV165" i="10"/>
  <c r="AV166" i="10"/>
  <c r="AV167" i="10"/>
  <c r="AV168" i="10"/>
  <c r="AV169" i="10"/>
  <c r="AV170" i="10"/>
  <c r="AV171" i="10"/>
  <c r="AV172" i="10"/>
  <c r="AV173" i="10"/>
  <c r="AV174" i="10"/>
  <c r="AV175" i="10"/>
  <c r="AV176" i="10"/>
  <c r="AV177" i="10"/>
  <c r="AV178" i="10"/>
  <c r="AV179" i="10"/>
  <c r="AV180" i="10"/>
  <c r="AV181" i="10"/>
  <c r="AV182" i="10"/>
  <c r="AV183" i="10"/>
  <c r="AV184" i="10"/>
  <c r="AV185" i="10"/>
  <c r="AV186" i="10"/>
  <c r="AV187" i="10"/>
  <c r="AV188" i="10"/>
  <c r="AV189" i="10"/>
  <c r="AV190" i="10"/>
  <c r="AV191" i="10"/>
  <c r="AV192" i="10"/>
  <c r="AV193" i="10"/>
  <c r="AV194" i="10"/>
  <c r="AV195" i="10"/>
  <c r="AV196" i="10"/>
  <c r="AV197" i="10"/>
  <c r="AV198" i="10"/>
  <c r="AV199" i="10"/>
  <c r="AV200" i="10"/>
  <c r="AV201" i="10"/>
  <c r="AV202" i="10"/>
  <c r="AV203" i="10"/>
  <c r="AV204" i="10"/>
  <c r="AV205" i="10"/>
  <c r="AV206" i="10"/>
  <c r="AV207" i="10"/>
  <c r="AV208" i="10"/>
  <c r="AV209" i="10"/>
  <c r="AV210" i="10"/>
  <c r="AV211" i="10"/>
  <c r="AV212" i="10"/>
  <c r="AV213" i="10"/>
  <c r="AV214" i="10"/>
  <c r="AV215" i="10"/>
  <c r="AV216" i="10"/>
  <c r="AV217" i="10"/>
  <c r="AV218" i="10"/>
  <c r="AV219" i="10"/>
  <c r="AV220" i="10"/>
  <c r="AV221" i="10"/>
  <c r="AV222" i="10"/>
  <c r="AV223" i="10"/>
  <c r="AV224" i="10"/>
  <c r="AV225" i="10"/>
  <c r="AV226" i="10"/>
  <c r="AV227" i="10"/>
  <c r="AV228" i="10"/>
  <c r="AV229" i="10"/>
  <c r="AV230" i="10"/>
  <c r="AV231" i="10"/>
  <c r="AV232" i="10"/>
  <c r="AV233" i="10"/>
  <c r="AV234" i="10"/>
  <c r="AV235" i="10"/>
  <c r="AV236" i="10"/>
  <c r="AV237" i="10"/>
  <c r="AV238" i="10"/>
  <c r="AV239" i="10"/>
  <c r="AV240" i="10"/>
  <c r="AV241" i="10"/>
  <c r="AV242" i="10"/>
  <c r="AV243" i="10"/>
  <c r="AV244" i="10"/>
  <c r="AV245" i="10"/>
  <c r="AV246" i="10"/>
  <c r="AV247" i="10"/>
  <c r="AV248" i="10"/>
  <c r="AV249" i="10"/>
  <c r="AV250" i="10"/>
  <c r="AV251" i="10"/>
  <c r="AV252" i="10"/>
  <c r="AV253" i="10"/>
  <c r="AV254" i="10"/>
  <c r="AV255" i="10"/>
  <c r="AV256" i="10"/>
  <c r="AV257" i="10"/>
  <c r="AV258" i="10"/>
  <c r="AV259" i="10"/>
  <c r="AV260" i="10"/>
  <c r="AV261" i="10"/>
  <c r="AV262" i="10"/>
  <c r="AV263" i="10"/>
  <c r="AV264" i="10"/>
  <c r="AV265" i="10"/>
  <c r="AV266" i="10"/>
  <c r="AV267" i="10"/>
  <c r="AV268" i="10"/>
  <c r="AV269" i="10"/>
  <c r="AV270" i="10"/>
  <c r="AV271" i="10"/>
  <c r="AV272" i="10"/>
  <c r="AV273" i="10"/>
  <c r="AV274" i="10"/>
  <c r="AV275" i="10"/>
  <c r="AV276" i="10"/>
  <c r="AV277" i="10"/>
  <c r="AV278" i="10"/>
  <c r="AV279" i="10"/>
  <c r="AV280" i="10"/>
  <c r="AV281" i="10"/>
  <c r="AV282" i="10"/>
  <c r="AV283" i="10"/>
  <c r="AV284" i="10"/>
  <c r="AV285" i="10"/>
  <c r="AV286" i="10"/>
  <c r="AV287" i="10"/>
  <c r="AV288" i="10"/>
  <c r="AV289" i="10"/>
  <c r="AV290" i="10"/>
  <c r="AV291" i="10"/>
  <c r="AV292" i="10"/>
  <c r="AV293" i="10"/>
  <c r="AV294" i="10"/>
  <c r="AV295" i="10"/>
  <c r="AV296" i="10"/>
  <c r="AV297" i="10"/>
  <c r="AV298" i="10"/>
  <c r="AV299" i="10"/>
  <c r="AV300" i="10"/>
  <c r="AV301" i="10"/>
  <c r="AV302" i="10"/>
  <c r="AV303" i="10"/>
  <c r="AV304" i="10"/>
  <c r="AV305" i="10"/>
  <c r="AV306" i="10"/>
  <c r="AV307" i="10"/>
  <c r="AV308" i="10"/>
  <c r="AV309" i="10"/>
  <c r="AV310" i="10"/>
  <c r="AV311" i="10"/>
  <c r="AV312" i="10"/>
  <c r="AV313" i="10"/>
  <c r="AV314" i="10"/>
  <c r="AV315" i="10"/>
  <c r="AV316" i="10"/>
  <c r="AV317" i="10"/>
  <c r="AV318" i="10"/>
  <c r="AV319" i="10"/>
  <c r="AV320" i="10"/>
  <c r="AV321" i="10"/>
  <c r="AV322" i="10"/>
  <c r="AV323" i="10"/>
  <c r="AV324" i="10"/>
  <c r="AV325" i="10"/>
  <c r="AV326" i="10"/>
  <c r="AV327" i="10"/>
  <c r="AV328" i="10"/>
  <c r="AV329" i="10"/>
  <c r="AV330" i="10"/>
  <c r="AV331" i="10"/>
  <c r="AV332" i="10"/>
  <c r="AV333" i="10"/>
  <c r="AV334" i="10"/>
  <c r="AV335" i="10"/>
  <c r="AV336" i="10"/>
  <c r="AV337" i="10"/>
  <c r="AV338" i="10"/>
  <c r="AV339" i="10"/>
  <c r="AV340" i="10"/>
  <c r="AV341" i="10"/>
  <c r="AV342" i="10"/>
  <c r="AV343" i="10"/>
  <c r="AV344" i="10"/>
  <c r="AV345" i="10"/>
  <c r="AV346" i="10"/>
  <c r="AV347" i="10"/>
  <c r="AV348" i="10"/>
  <c r="AV349" i="10"/>
  <c r="AV350" i="10"/>
  <c r="AV351" i="10"/>
  <c r="AV352" i="10"/>
  <c r="AV353" i="10"/>
  <c r="AV354" i="10"/>
  <c r="AV355" i="10"/>
  <c r="AV356" i="10"/>
  <c r="AV357" i="10"/>
  <c r="AV358" i="10"/>
  <c r="AV359" i="10"/>
  <c r="AV360" i="10"/>
  <c r="AV361" i="10"/>
  <c r="AV362" i="10"/>
  <c r="AV363" i="10"/>
  <c r="AV364" i="10"/>
  <c r="AV365" i="10"/>
  <c r="AV366" i="10"/>
  <c r="AV367" i="10"/>
  <c r="AV368" i="10"/>
  <c r="AV369" i="10"/>
  <c r="AV370" i="10"/>
  <c r="AV371" i="10"/>
  <c r="AV372" i="10"/>
  <c r="AV373" i="10"/>
  <c r="AV374" i="10"/>
  <c r="AV375" i="10"/>
  <c r="AV376" i="10"/>
  <c r="AV377" i="10"/>
  <c r="AV378" i="10"/>
  <c r="AV379" i="10"/>
  <c r="AV380" i="10"/>
  <c r="AV381" i="10"/>
  <c r="AV382" i="10"/>
  <c r="AV383" i="10"/>
  <c r="AV384" i="10"/>
  <c r="AV385" i="10"/>
  <c r="AV386" i="10"/>
  <c r="AV387" i="10"/>
  <c r="AV388" i="10"/>
  <c r="AV389" i="10"/>
  <c r="AV390" i="10"/>
  <c r="AV391" i="10"/>
  <c r="AV392" i="10"/>
  <c r="AV393" i="10"/>
  <c r="AV394" i="10"/>
  <c r="AV395" i="10"/>
  <c r="AV396" i="10"/>
  <c r="AV397" i="10"/>
  <c r="AV398" i="10"/>
  <c r="AV399" i="10"/>
  <c r="AV400" i="10"/>
  <c r="AV401" i="10"/>
  <c r="AV402" i="10"/>
  <c r="AV403" i="10"/>
  <c r="AV404" i="10"/>
  <c r="AV405" i="10"/>
  <c r="AV406" i="10"/>
  <c r="AV407" i="10"/>
  <c r="AV408" i="10"/>
  <c r="AV409" i="10"/>
  <c r="AV410" i="10"/>
  <c r="AV411" i="10"/>
  <c r="AV412" i="10"/>
  <c r="AV413" i="10"/>
  <c r="AV414" i="10"/>
  <c r="AV415" i="10"/>
  <c r="AV416" i="10"/>
  <c r="AV417" i="10"/>
  <c r="AV418" i="10"/>
  <c r="AV419" i="10"/>
  <c r="AV420" i="10"/>
  <c r="AV421" i="10"/>
  <c r="AV422" i="10"/>
  <c r="AV423" i="10"/>
  <c r="AV424" i="10"/>
  <c r="AV425" i="10"/>
  <c r="AV426" i="10"/>
  <c r="AV427" i="10"/>
  <c r="AV428" i="10"/>
  <c r="AV429" i="10"/>
  <c r="AV430" i="10"/>
  <c r="AV431" i="10"/>
  <c r="AV432" i="10"/>
  <c r="AV433" i="10"/>
  <c r="AV434" i="10"/>
  <c r="AV435" i="10"/>
  <c r="AV436" i="10"/>
  <c r="AV437" i="10"/>
  <c r="AV438" i="10"/>
  <c r="AV439" i="10"/>
  <c r="AV440" i="10"/>
  <c r="AV441" i="10"/>
  <c r="AV442" i="10"/>
  <c r="AV443" i="10"/>
  <c r="AV444" i="10"/>
  <c r="AV445" i="10"/>
  <c r="AV446" i="10"/>
  <c r="AV447" i="10"/>
  <c r="AV448" i="10"/>
  <c r="AV449" i="10"/>
  <c r="AV450" i="10"/>
  <c r="AV451" i="10"/>
  <c r="AV452" i="10"/>
  <c r="AV453" i="10"/>
  <c r="AV454" i="10"/>
  <c r="AV455" i="10"/>
  <c r="AV456" i="10"/>
  <c r="AV457" i="10"/>
  <c r="AV458" i="10"/>
  <c r="AV459" i="10"/>
  <c r="AV460" i="10"/>
  <c r="AV461" i="10"/>
  <c r="AV462" i="10"/>
  <c r="AV463" i="10"/>
  <c r="AV464" i="10"/>
  <c r="AV465" i="10"/>
  <c r="AV466" i="10"/>
  <c r="AV467" i="10"/>
  <c r="AV468" i="10"/>
  <c r="AV469" i="10"/>
  <c r="AV470" i="10"/>
  <c r="AV471" i="10"/>
  <c r="AV472" i="10"/>
  <c r="AV473" i="10"/>
  <c r="AV474" i="10"/>
  <c r="AV475" i="10"/>
  <c r="AV476" i="10"/>
  <c r="AV477" i="10"/>
  <c r="AV478" i="10"/>
  <c r="AV479" i="10"/>
  <c r="AV480" i="10"/>
  <c r="AV481" i="10"/>
  <c r="AV482" i="10"/>
  <c r="AV483" i="10"/>
  <c r="AV484" i="10"/>
  <c r="AV485" i="10"/>
  <c r="AV486" i="10"/>
  <c r="AV487" i="10"/>
  <c r="AV488" i="10"/>
  <c r="AV489" i="10"/>
  <c r="AV490" i="10"/>
  <c r="AV491" i="10"/>
  <c r="AV492" i="10"/>
  <c r="AV493" i="10"/>
  <c r="AV494" i="10"/>
  <c r="AV495" i="10"/>
  <c r="AV496" i="10"/>
  <c r="AV497" i="10"/>
  <c r="AV498" i="10"/>
  <c r="AV499" i="10"/>
  <c r="AV500" i="10"/>
  <c r="AV501" i="10"/>
  <c r="AV502" i="10"/>
  <c r="AV503" i="10"/>
  <c r="AV504" i="10"/>
  <c r="AV505" i="10"/>
  <c r="AV506" i="10"/>
  <c r="AV507" i="10"/>
  <c r="AV508" i="10"/>
  <c r="AV509" i="10"/>
  <c r="AV510" i="10"/>
  <c r="AV511" i="10"/>
  <c r="AV512" i="10"/>
  <c r="AV513" i="10"/>
  <c r="AV514" i="10"/>
  <c r="AV515" i="10"/>
  <c r="AV516" i="10"/>
  <c r="AV517" i="10"/>
  <c r="AV518" i="10"/>
  <c r="AV519" i="10"/>
  <c r="AV520" i="10"/>
  <c r="AV521" i="10"/>
  <c r="AV522" i="10"/>
  <c r="AV523" i="10"/>
  <c r="AV524" i="10"/>
  <c r="AV525" i="10"/>
  <c r="AV526" i="10"/>
  <c r="AV527" i="10"/>
  <c r="AV528" i="10"/>
  <c r="AV529" i="10"/>
  <c r="AV530" i="10"/>
  <c r="AV531" i="10"/>
  <c r="AV532" i="10"/>
  <c r="AV533" i="10"/>
  <c r="AV534" i="10"/>
  <c r="AV535" i="10"/>
  <c r="AV536" i="10"/>
  <c r="AV537" i="10"/>
  <c r="AV538" i="10"/>
  <c r="AV539" i="10"/>
  <c r="AV540" i="10"/>
  <c r="AV541" i="10"/>
  <c r="AV542" i="10"/>
  <c r="AV543" i="10"/>
  <c r="AV544" i="10"/>
  <c r="AV545" i="10"/>
  <c r="AV546" i="10"/>
  <c r="AV547" i="10"/>
  <c r="AV548" i="10"/>
  <c r="AV549" i="10"/>
  <c r="AV550" i="10"/>
  <c r="AV551" i="10"/>
  <c r="AV552" i="10"/>
  <c r="AV553" i="10"/>
  <c r="AV554" i="10"/>
  <c r="AV555" i="10"/>
  <c r="AV556" i="10"/>
  <c r="AV557" i="10"/>
  <c r="AV558" i="10"/>
  <c r="AV559" i="10"/>
  <c r="AV560" i="10"/>
  <c r="AV561" i="10"/>
  <c r="AV562" i="10"/>
  <c r="AV563" i="10"/>
  <c r="AV564" i="10"/>
  <c r="AV565" i="10"/>
  <c r="AV566" i="10"/>
  <c r="AV567" i="10"/>
  <c r="AV568" i="10"/>
  <c r="AV569" i="10"/>
  <c r="AV570" i="10"/>
  <c r="AV571" i="10"/>
  <c r="AV572" i="10"/>
  <c r="AV573" i="10"/>
  <c r="AV574" i="10"/>
  <c r="AV575" i="10"/>
  <c r="AV576" i="10"/>
  <c r="AV577" i="10"/>
  <c r="AV578" i="10"/>
  <c r="AV579" i="10"/>
  <c r="AV580" i="10"/>
  <c r="AV581" i="10"/>
  <c r="AV582" i="10"/>
  <c r="AV583" i="10"/>
  <c r="AV584" i="10"/>
  <c r="AV585" i="10"/>
  <c r="AV586" i="10"/>
  <c r="AV587" i="10"/>
  <c r="AV588" i="10"/>
  <c r="AV589" i="10"/>
  <c r="AV590" i="10"/>
  <c r="AV591" i="10"/>
  <c r="AV592" i="10"/>
  <c r="AV593" i="10"/>
  <c r="AV594" i="10"/>
  <c r="AV595" i="10"/>
  <c r="AV596" i="10"/>
  <c r="AV597" i="10"/>
  <c r="AV598" i="10"/>
  <c r="AV599" i="10"/>
  <c r="AV600" i="10"/>
  <c r="AV601" i="10"/>
  <c r="AV602" i="10"/>
  <c r="AV603" i="10"/>
  <c r="AV604" i="10"/>
  <c r="AV605" i="10"/>
  <c r="AV606" i="10"/>
  <c r="AV607" i="10"/>
  <c r="AV608" i="10"/>
  <c r="AV609" i="10"/>
  <c r="AV610" i="10"/>
  <c r="AV611" i="10"/>
  <c r="AV612" i="10"/>
  <c r="AV613" i="10"/>
  <c r="AV614" i="10"/>
  <c r="AV615" i="10"/>
  <c r="AV616" i="10"/>
  <c r="AV617" i="10"/>
  <c r="AV618" i="10"/>
  <c r="AV619" i="10"/>
  <c r="AV620" i="10"/>
  <c r="AV621" i="10"/>
  <c r="AV622" i="10"/>
  <c r="AV623" i="10"/>
  <c r="AV624" i="10"/>
  <c r="AV625" i="10"/>
  <c r="AV626" i="10"/>
  <c r="AV627" i="10"/>
  <c r="AV628" i="10"/>
  <c r="AV629" i="10"/>
  <c r="AV630" i="10"/>
  <c r="AV631" i="10"/>
  <c r="AV632" i="10"/>
  <c r="AV633" i="10"/>
  <c r="AV634" i="10"/>
  <c r="AV635" i="10"/>
  <c r="AV636" i="10"/>
  <c r="AV637" i="10"/>
  <c r="AV638" i="10"/>
  <c r="AV639" i="10"/>
  <c r="AV640" i="10"/>
  <c r="AV641" i="10"/>
  <c r="AV642" i="10"/>
  <c r="AV643" i="10"/>
  <c r="AV644" i="10"/>
  <c r="AV645" i="10"/>
  <c r="AV646" i="10"/>
  <c r="AV647" i="10"/>
  <c r="AV648" i="10"/>
  <c r="AV649" i="10"/>
  <c r="AV650" i="10"/>
  <c r="AV651" i="10"/>
  <c r="AV652" i="10"/>
  <c r="AV653" i="10"/>
  <c r="AV654" i="10"/>
  <c r="AV655" i="10"/>
  <c r="AV656" i="10"/>
  <c r="AV657" i="10"/>
  <c r="AV658" i="10"/>
  <c r="AV659" i="10"/>
  <c r="AV660" i="10"/>
  <c r="AV661" i="10"/>
  <c r="AV662" i="10"/>
  <c r="AV663" i="10"/>
  <c r="AV664" i="10"/>
  <c r="AV665" i="10"/>
  <c r="AV666" i="10"/>
  <c r="AV667" i="10"/>
  <c r="AV668" i="10"/>
  <c r="AV669" i="10"/>
  <c r="AV670" i="10"/>
  <c r="AV671" i="10"/>
  <c r="AV672" i="10"/>
  <c r="AV673" i="10"/>
  <c r="AV674" i="10"/>
  <c r="AV675" i="10"/>
  <c r="AV676" i="10"/>
  <c r="AV677" i="10"/>
  <c r="AV678" i="10"/>
  <c r="AV679" i="10"/>
  <c r="AV680" i="10"/>
  <c r="AV681" i="10"/>
  <c r="AV682" i="10"/>
  <c r="AA38" i="10" l="1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336" i="10"/>
  <c r="AA337" i="10"/>
  <c r="AA338" i="10"/>
  <c r="AA339" i="10"/>
  <c r="AA340" i="10"/>
  <c r="AA341" i="10"/>
  <c r="AA342" i="10"/>
  <c r="AA343" i="10"/>
  <c r="AA344" i="10"/>
  <c r="AA345" i="10"/>
  <c r="AA346" i="10"/>
  <c r="AA347" i="10"/>
  <c r="AA348" i="10"/>
  <c r="AA349" i="10"/>
  <c r="AA350" i="10"/>
  <c r="AA351" i="10"/>
  <c r="AA352" i="10"/>
  <c r="AA353" i="10"/>
  <c r="AA354" i="10"/>
  <c r="AA355" i="10"/>
  <c r="AA356" i="10"/>
  <c r="AA357" i="10"/>
  <c r="AA358" i="10"/>
  <c r="AA359" i="10"/>
  <c r="AA360" i="10"/>
  <c r="AA361" i="10"/>
  <c r="AA362" i="10"/>
  <c r="AA363" i="10"/>
  <c r="AA364" i="10"/>
  <c r="AA365" i="10"/>
  <c r="AA366" i="10"/>
  <c r="AA367" i="10"/>
  <c r="AA368" i="10"/>
  <c r="AA369" i="10"/>
  <c r="AA370" i="10"/>
  <c r="AA371" i="10"/>
  <c r="AA372" i="10"/>
  <c r="AA373" i="10"/>
  <c r="AA374" i="10"/>
  <c r="AA375" i="10"/>
  <c r="AA376" i="10"/>
  <c r="AA377" i="10"/>
  <c r="AA378" i="10"/>
  <c r="AA379" i="10"/>
  <c r="AA380" i="10"/>
  <c r="AA381" i="10"/>
  <c r="AA382" i="10"/>
  <c r="AA383" i="10"/>
  <c r="AA384" i="10"/>
  <c r="AA385" i="10"/>
  <c r="AA386" i="10"/>
  <c r="AA387" i="10"/>
  <c r="AA388" i="10"/>
  <c r="AA389" i="10"/>
  <c r="AA390" i="10"/>
  <c r="AA391" i="10"/>
  <c r="AA392" i="10"/>
  <c r="AA393" i="10"/>
  <c r="AA394" i="10"/>
  <c r="AA395" i="10"/>
  <c r="AA396" i="10"/>
  <c r="AA397" i="10"/>
  <c r="AA398" i="10"/>
  <c r="AA399" i="10"/>
  <c r="AA400" i="10"/>
  <c r="AA401" i="10"/>
  <c r="AA402" i="10"/>
  <c r="AA403" i="10"/>
  <c r="AA404" i="10"/>
  <c r="AA405" i="10"/>
  <c r="AA406" i="10"/>
  <c r="AA407" i="10"/>
  <c r="AA408" i="10"/>
  <c r="AA409" i="10"/>
  <c r="AA410" i="10"/>
  <c r="AA411" i="10"/>
  <c r="AA412" i="10"/>
  <c r="AA413" i="10"/>
  <c r="AA414" i="10"/>
  <c r="AA415" i="10"/>
  <c r="AA416" i="10"/>
  <c r="AA417" i="10"/>
  <c r="AA418" i="10"/>
  <c r="AA419" i="10"/>
  <c r="AA420" i="10"/>
  <c r="AA421" i="10"/>
  <c r="AA422" i="10"/>
  <c r="AA423" i="10"/>
  <c r="AA424" i="10"/>
  <c r="AA425" i="10"/>
  <c r="AA426" i="10"/>
  <c r="AA427" i="10"/>
  <c r="AA428" i="10"/>
  <c r="AA429" i="10"/>
  <c r="AA430" i="10"/>
  <c r="AA431" i="10"/>
  <c r="AA432" i="10"/>
  <c r="AA433" i="10"/>
  <c r="AA434" i="10"/>
  <c r="AA435" i="10"/>
  <c r="AA436" i="10"/>
  <c r="AA437" i="10"/>
  <c r="AA438" i="10"/>
  <c r="AA439" i="10"/>
  <c r="AA440" i="10"/>
  <c r="AA441" i="10"/>
  <c r="AA442" i="10"/>
  <c r="AA443" i="10"/>
  <c r="AA444" i="10"/>
  <c r="AA445" i="10"/>
  <c r="AA446" i="10"/>
  <c r="AA447" i="10"/>
  <c r="AA448" i="10"/>
  <c r="AA449" i="10"/>
  <c r="AA450" i="10"/>
  <c r="AA451" i="10"/>
  <c r="AA452" i="10"/>
  <c r="AA453" i="10"/>
  <c r="AA454" i="10"/>
  <c r="AA455" i="10"/>
  <c r="AA456" i="10"/>
  <c r="AA457" i="10"/>
  <c r="AA458" i="10"/>
  <c r="AA459" i="10"/>
  <c r="AA460" i="10"/>
  <c r="AA461" i="10"/>
  <c r="AA462" i="10"/>
  <c r="AA463" i="10"/>
  <c r="AA464" i="10"/>
  <c r="AA465" i="10"/>
  <c r="AA466" i="10"/>
  <c r="AA467" i="10"/>
  <c r="AA468" i="10"/>
  <c r="AA469" i="10"/>
  <c r="AA470" i="10"/>
  <c r="AA471" i="10"/>
  <c r="AA472" i="10"/>
  <c r="AA473" i="10"/>
  <c r="AA474" i="10"/>
  <c r="AA475" i="10"/>
  <c r="AA476" i="10"/>
  <c r="AA477" i="10"/>
  <c r="AA478" i="10"/>
  <c r="AA479" i="10"/>
  <c r="AA480" i="10"/>
  <c r="AA481" i="10"/>
  <c r="AA482" i="10"/>
  <c r="AA483" i="10"/>
  <c r="AA484" i="10"/>
  <c r="AA485" i="10"/>
  <c r="AA486" i="10"/>
  <c r="AA487" i="10"/>
  <c r="AA488" i="10"/>
  <c r="AA489" i="10"/>
  <c r="AA490" i="10"/>
  <c r="AA491" i="10"/>
  <c r="AA492" i="10"/>
  <c r="AA493" i="10"/>
  <c r="AA494" i="10"/>
  <c r="AA495" i="10"/>
  <c r="AA496" i="10"/>
  <c r="AA497" i="10"/>
  <c r="AA498" i="10"/>
  <c r="AA499" i="10"/>
  <c r="AA500" i="10"/>
  <c r="AA501" i="10"/>
  <c r="AA502" i="10"/>
  <c r="AA503" i="10"/>
  <c r="AA504" i="10"/>
  <c r="AA505" i="10"/>
  <c r="AA506" i="10"/>
  <c r="AA507" i="10"/>
  <c r="AA508" i="10"/>
  <c r="AA509" i="10"/>
  <c r="AA510" i="10"/>
  <c r="AA511" i="10"/>
  <c r="AA512" i="10"/>
  <c r="AA513" i="10"/>
  <c r="AA514" i="10"/>
  <c r="AA515" i="10"/>
  <c r="AA516" i="10"/>
  <c r="AA517" i="10"/>
  <c r="AA518" i="10"/>
  <c r="AA519" i="10"/>
  <c r="AA520" i="10"/>
  <c r="AA521" i="10"/>
  <c r="AA522" i="10"/>
  <c r="AA523" i="10"/>
  <c r="AA524" i="10"/>
  <c r="AA525" i="10"/>
  <c r="AA526" i="10"/>
  <c r="AA527" i="10"/>
  <c r="AA528" i="10"/>
  <c r="AA529" i="10"/>
  <c r="AA530" i="10"/>
  <c r="AA531" i="10"/>
  <c r="AA532" i="10"/>
  <c r="AA533" i="10"/>
  <c r="AA534" i="10"/>
  <c r="AA535" i="10"/>
  <c r="AA536" i="10"/>
  <c r="AA537" i="10"/>
  <c r="AA538" i="10"/>
  <c r="AA539" i="10"/>
  <c r="AA540" i="10"/>
  <c r="AA541" i="10"/>
  <c r="AA542" i="10"/>
  <c r="AA543" i="10"/>
  <c r="AA544" i="10"/>
  <c r="AA545" i="10"/>
  <c r="AA546" i="10"/>
  <c r="AA547" i="10"/>
  <c r="AA548" i="10"/>
  <c r="AA549" i="10"/>
  <c r="AA550" i="10"/>
  <c r="AA551" i="10"/>
  <c r="AA552" i="10"/>
  <c r="AA553" i="10"/>
  <c r="AA554" i="10"/>
  <c r="AA555" i="10"/>
  <c r="AA556" i="10"/>
  <c r="AA557" i="10"/>
  <c r="AA558" i="10"/>
  <c r="AA559" i="10"/>
  <c r="AA560" i="10"/>
  <c r="AA561" i="10"/>
  <c r="AA562" i="10"/>
  <c r="AA563" i="10"/>
  <c r="AA564" i="10"/>
  <c r="AA565" i="10"/>
  <c r="AA566" i="10"/>
  <c r="AA567" i="10"/>
  <c r="AA568" i="10"/>
  <c r="AA569" i="10"/>
  <c r="AA570" i="10"/>
  <c r="AA571" i="10"/>
  <c r="AA572" i="10"/>
  <c r="AA573" i="10"/>
  <c r="AA574" i="10"/>
  <c r="AA575" i="10"/>
  <c r="AA576" i="10"/>
  <c r="AA577" i="10"/>
  <c r="AA578" i="10"/>
  <c r="AA579" i="10"/>
  <c r="AA580" i="10"/>
  <c r="AA581" i="10"/>
  <c r="AA582" i="10"/>
  <c r="AA583" i="10"/>
  <c r="AA584" i="10"/>
  <c r="AA585" i="10"/>
  <c r="AA586" i="10"/>
  <c r="AA587" i="10"/>
  <c r="AA588" i="10"/>
  <c r="AA589" i="10"/>
  <c r="AA590" i="10"/>
  <c r="AA591" i="10"/>
  <c r="AA592" i="10"/>
  <c r="AA593" i="10"/>
  <c r="AA594" i="10"/>
  <c r="AA595" i="10"/>
  <c r="AA596" i="10"/>
  <c r="AA597" i="10"/>
  <c r="AA598" i="10"/>
  <c r="AA599" i="10"/>
  <c r="AA600" i="10"/>
  <c r="AA601" i="10"/>
  <c r="AA602" i="10"/>
  <c r="AA603" i="10"/>
  <c r="AA604" i="10"/>
  <c r="AA605" i="10"/>
  <c r="AA606" i="10"/>
  <c r="AA607" i="10"/>
  <c r="AA608" i="10"/>
  <c r="AA609" i="10"/>
  <c r="AA610" i="10"/>
  <c r="AA611" i="10"/>
  <c r="AA612" i="10"/>
  <c r="AA613" i="10"/>
  <c r="AA614" i="10"/>
  <c r="AA615" i="10"/>
  <c r="AA616" i="10"/>
  <c r="AA617" i="10"/>
  <c r="AA618" i="10"/>
  <c r="AA619" i="10"/>
  <c r="AA620" i="10"/>
  <c r="AA621" i="10"/>
  <c r="AA622" i="10"/>
  <c r="AA623" i="10"/>
  <c r="AA624" i="10"/>
  <c r="AA625" i="10"/>
  <c r="AA626" i="10"/>
  <c r="AA627" i="10"/>
  <c r="AA628" i="10"/>
  <c r="AA629" i="10"/>
  <c r="AA630" i="10"/>
  <c r="AA631" i="10"/>
  <c r="AA632" i="10"/>
  <c r="AA633" i="10"/>
  <c r="AA634" i="10"/>
  <c r="AA635" i="10"/>
  <c r="AA636" i="10"/>
  <c r="AA637" i="10"/>
  <c r="AA638" i="10"/>
  <c r="AA639" i="10"/>
  <c r="AA640" i="10"/>
  <c r="AA641" i="10"/>
  <c r="AA642" i="10"/>
  <c r="AA643" i="10"/>
  <c r="AA644" i="10"/>
  <c r="AA645" i="10"/>
  <c r="AA646" i="10"/>
  <c r="AA647" i="10"/>
  <c r="AA648" i="10"/>
  <c r="AA649" i="10"/>
  <c r="AA650" i="10"/>
  <c r="AA651" i="10"/>
  <c r="AA652" i="10"/>
  <c r="AA653" i="10"/>
  <c r="AA654" i="10"/>
  <c r="AA655" i="10"/>
  <c r="AA656" i="10"/>
  <c r="AA657" i="10"/>
  <c r="AA658" i="10"/>
  <c r="AA659" i="10"/>
  <c r="AA660" i="10"/>
  <c r="AA661" i="10"/>
  <c r="AA662" i="10"/>
  <c r="AA663" i="10"/>
  <c r="AA664" i="10"/>
  <c r="AA665" i="10"/>
  <c r="AA666" i="10"/>
  <c r="AA667" i="10"/>
  <c r="AA668" i="10"/>
  <c r="AA669" i="10"/>
  <c r="AA670" i="10"/>
  <c r="AA671" i="10"/>
  <c r="AA672" i="10"/>
  <c r="AA673" i="10"/>
  <c r="AA674" i="10"/>
  <c r="AA675" i="10"/>
  <c r="AA676" i="10"/>
  <c r="AA677" i="10"/>
  <c r="AA678" i="10"/>
  <c r="AA679" i="10"/>
  <c r="AA680" i="10"/>
  <c r="AA681" i="10"/>
  <c r="AA682" i="10"/>
  <c r="BQ38" i="9"/>
  <c r="BQ39" i="9"/>
  <c r="BQ40" i="9"/>
  <c r="BQ41" i="9"/>
  <c r="BQ42" i="9"/>
  <c r="BQ43" i="9"/>
  <c r="BQ44" i="9"/>
  <c r="BQ45" i="9"/>
  <c r="BQ46" i="9"/>
  <c r="BQ47" i="9"/>
  <c r="BQ48" i="9"/>
  <c r="BQ49" i="9"/>
  <c r="BQ50" i="9"/>
  <c r="BQ51" i="9"/>
  <c r="BQ52" i="9"/>
  <c r="BQ53" i="9"/>
  <c r="BQ54" i="9"/>
  <c r="BQ55" i="9"/>
  <c r="BQ56" i="9"/>
  <c r="BQ57" i="9"/>
  <c r="BQ58" i="9"/>
  <c r="BQ59" i="9"/>
  <c r="BQ60" i="9"/>
  <c r="BQ61" i="9"/>
  <c r="BQ62" i="9"/>
  <c r="BQ63" i="9"/>
  <c r="BQ64" i="9"/>
  <c r="BQ65" i="9"/>
  <c r="BQ66" i="9"/>
  <c r="BQ67" i="9"/>
  <c r="BQ68" i="9"/>
  <c r="BQ69" i="9"/>
  <c r="BQ70" i="9"/>
  <c r="BQ71" i="9"/>
  <c r="BQ72" i="9"/>
  <c r="BQ73" i="9"/>
  <c r="BQ74" i="9"/>
  <c r="BQ75" i="9"/>
  <c r="BQ76" i="9"/>
  <c r="BQ77" i="9"/>
  <c r="BQ78" i="9"/>
  <c r="BQ79" i="9"/>
  <c r="BQ80" i="9"/>
  <c r="BQ81" i="9"/>
  <c r="BQ82" i="9"/>
  <c r="BQ83" i="9"/>
  <c r="BQ84" i="9"/>
  <c r="BQ85" i="9"/>
  <c r="BQ86" i="9"/>
  <c r="BQ87" i="9"/>
  <c r="BQ88" i="9"/>
  <c r="BQ89" i="9"/>
  <c r="BQ90" i="9"/>
  <c r="BQ91" i="9"/>
  <c r="BQ92" i="9"/>
  <c r="BQ93" i="9"/>
  <c r="BQ94" i="9"/>
  <c r="BQ95" i="9"/>
  <c r="BQ96" i="9"/>
  <c r="BQ97" i="9"/>
  <c r="BQ98" i="9"/>
  <c r="BQ99" i="9"/>
  <c r="BQ100" i="9"/>
  <c r="BQ101" i="9"/>
  <c r="BQ102" i="9"/>
  <c r="BQ103" i="9"/>
  <c r="BQ104" i="9"/>
  <c r="BQ105" i="9"/>
  <c r="BQ106" i="9"/>
  <c r="BQ107" i="9"/>
  <c r="BQ108" i="9"/>
  <c r="BQ109" i="9"/>
  <c r="BQ110" i="9"/>
  <c r="BQ111" i="9"/>
  <c r="BQ112" i="9"/>
  <c r="BQ113" i="9"/>
  <c r="BQ114" i="9"/>
  <c r="BQ115" i="9"/>
  <c r="BQ116" i="9"/>
  <c r="BQ117" i="9"/>
  <c r="BQ118" i="9"/>
  <c r="BQ119" i="9"/>
  <c r="BQ120" i="9"/>
  <c r="BQ121" i="9"/>
  <c r="BQ122" i="9"/>
  <c r="BQ123" i="9"/>
  <c r="BQ124" i="9"/>
  <c r="BQ125" i="9"/>
  <c r="BQ126" i="9"/>
  <c r="BQ127" i="9"/>
  <c r="BQ128" i="9"/>
  <c r="BQ129" i="9"/>
  <c r="BQ130" i="9"/>
  <c r="BQ131" i="9"/>
  <c r="BQ132" i="9"/>
  <c r="BQ133" i="9"/>
  <c r="BQ134" i="9"/>
  <c r="BQ135" i="9"/>
  <c r="BQ136" i="9"/>
  <c r="BQ137" i="9"/>
  <c r="BQ138" i="9"/>
  <c r="BQ139" i="9"/>
  <c r="BQ140" i="9"/>
  <c r="BQ141" i="9"/>
  <c r="BQ142" i="9"/>
  <c r="BQ143" i="9"/>
  <c r="BQ144" i="9"/>
  <c r="BQ145" i="9"/>
  <c r="BQ146" i="9"/>
  <c r="BQ147" i="9"/>
  <c r="BQ148" i="9"/>
  <c r="BQ149" i="9"/>
  <c r="BQ150" i="9"/>
  <c r="BQ151" i="9"/>
  <c r="BQ152" i="9"/>
  <c r="BQ153" i="9"/>
  <c r="BQ154" i="9"/>
  <c r="BQ155" i="9"/>
  <c r="BQ156" i="9"/>
  <c r="BQ157" i="9"/>
  <c r="BQ158" i="9"/>
  <c r="BQ159" i="9"/>
  <c r="BQ160" i="9"/>
  <c r="BQ161" i="9"/>
  <c r="BQ162" i="9"/>
  <c r="BQ163" i="9"/>
  <c r="BQ164" i="9"/>
  <c r="BQ165" i="9"/>
  <c r="BQ166" i="9"/>
  <c r="BQ167" i="9"/>
  <c r="BQ168" i="9"/>
  <c r="BQ169" i="9"/>
  <c r="BQ170" i="9"/>
  <c r="BQ171" i="9"/>
  <c r="BQ172" i="9"/>
  <c r="BQ173" i="9"/>
  <c r="BQ174" i="9"/>
  <c r="BQ175" i="9"/>
  <c r="BQ176" i="9"/>
  <c r="BQ177" i="9"/>
  <c r="BQ178" i="9"/>
  <c r="BQ179" i="9"/>
  <c r="BQ180" i="9"/>
  <c r="BQ181" i="9"/>
  <c r="BQ182" i="9"/>
  <c r="BQ183" i="9"/>
  <c r="BQ184" i="9"/>
  <c r="BQ185" i="9"/>
  <c r="BQ186" i="9"/>
  <c r="BQ187" i="9"/>
  <c r="BQ188" i="9"/>
  <c r="BQ189" i="9"/>
  <c r="BQ190" i="9"/>
  <c r="BQ191" i="9"/>
  <c r="BQ192" i="9"/>
  <c r="BQ193" i="9"/>
  <c r="BQ194" i="9"/>
  <c r="BQ195" i="9"/>
  <c r="BQ196" i="9"/>
  <c r="BQ197" i="9"/>
  <c r="BQ198" i="9"/>
  <c r="BQ199" i="9"/>
  <c r="BQ200" i="9"/>
  <c r="BQ201" i="9"/>
  <c r="BQ202" i="9"/>
  <c r="BQ203" i="9"/>
  <c r="BQ204" i="9"/>
  <c r="BQ205" i="9"/>
  <c r="BQ206" i="9"/>
  <c r="BQ207" i="9"/>
  <c r="BQ208" i="9"/>
  <c r="BQ209" i="9"/>
  <c r="BQ210" i="9"/>
  <c r="BQ211" i="9"/>
  <c r="BQ212" i="9"/>
  <c r="BQ213" i="9"/>
  <c r="BQ214" i="9"/>
  <c r="BQ215" i="9"/>
  <c r="BQ216" i="9"/>
  <c r="BQ217" i="9"/>
  <c r="BQ218" i="9"/>
  <c r="BQ219" i="9"/>
  <c r="BQ220" i="9"/>
  <c r="BQ221" i="9"/>
  <c r="BQ222" i="9"/>
  <c r="BQ223" i="9"/>
  <c r="BQ224" i="9"/>
  <c r="BQ225" i="9"/>
  <c r="BQ226" i="9"/>
  <c r="BQ227" i="9"/>
  <c r="BQ228" i="9"/>
  <c r="BQ229" i="9"/>
  <c r="BQ230" i="9"/>
  <c r="BQ231" i="9"/>
  <c r="BQ232" i="9"/>
  <c r="BQ233" i="9"/>
  <c r="BQ234" i="9"/>
  <c r="BQ235" i="9"/>
  <c r="BQ236" i="9"/>
  <c r="BQ237" i="9"/>
  <c r="BQ238" i="9"/>
  <c r="BQ239" i="9"/>
  <c r="BQ240" i="9"/>
  <c r="BQ241" i="9"/>
  <c r="BQ242" i="9"/>
  <c r="BQ243" i="9"/>
  <c r="BQ244" i="9"/>
  <c r="BQ245" i="9"/>
  <c r="BQ246" i="9"/>
  <c r="BQ247" i="9"/>
  <c r="BQ248" i="9"/>
  <c r="BQ249" i="9"/>
  <c r="BQ250" i="9"/>
  <c r="BQ251" i="9"/>
  <c r="BQ252" i="9"/>
  <c r="BQ253" i="9"/>
  <c r="BQ254" i="9"/>
  <c r="BQ255" i="9"/>
  <c r="BQ256" i="9"/>
  <c r="BQ257" i="9"/>
  <c r="BQ258" i="9"/>
  <c r="BQ259" i="9"/>
  <c r="BQ260" i="9"/>
  <c r="BQ261" i="9"/>
  <c r="BQ262" i="9"/>
  <c r="BQ263" i="9"/>
  <c r="BQ264" i="9"/>
  <c r="BQ265" i="9"/>
  <c r="BQ266" i="9"/>
  <c r="BQ267" i="9"/>
  <c r="BQ268" i="9"/>
  <c r="BQ269" i="9"/>
  <c r="BQ270" i="9"/>
  <c r="BQ271" i="9"/>
  <c r="BQ272" i="9"/>
  <c r="BQ273" i="9"/>
  <c r="BQ274" i="9"/>
  <c r="BQ275" i="9"/>
  <c r="BQ276" i="9"/>
  <c r="BQ277" i="9"/>
  <c r="BQ278" i="9"/>
  <c r="BQ279" i="9"/>
  <c r="BQ280" i="9"/>
  <c r="BQ281" i="9"/>
  <c r="BQ282" i="9"/>
  <c r="BQ283" i="9"/>
  <c r="BQ284" i="9"/>
  <c r="BQ285" i="9"/>
  <c r="BQ286" i="9"/>
  <c r="BQ287" i="9"/>
  <c r="BQ288" i="9"/>
  <c r="BQ289" i="9"/>
  <c r="BQ290" i="9"/>
  <c r="BQ291" i="9"/>
  <c r="BQ292" i="9"/>
  <c r="BQ293" i="9"/>
  <c r="BQ294" i="9"/>
  <c r="BQ295" i="9"/>
  <c r="BQ296" i="9"/>
  <c r="BQ297" i="9"/>
  <c r="BQ298" i="9"/>
  <c r="BQ299" i="9"/>
  <c r="BQ300" i="9"/>
  <c r="BQ301" i="9"/>
  <c r="BQ302" i="9"/>
  <c r="BQ303" i="9"/>
  <c r="BQ304" i="9"/>
  <c r="BQ305" i="9"/>
  <c r="BQ306" i="9"/>
  <c r="BQ307" i="9"/>
  <c r="BQ308" i="9"/>
  <c r="BQ309" i="9"/>
  <c r="BQ310" i="9"/>
  <c r="BQ311" i="9"/>
  <c r="BQ312" i="9"/>
  <c r="BQ313" i="9"/>
  <c r="BQ314" i="9"/>
  <c r="BQ315" i="9"/>
  <c r="BQ316" i="9"/>
  <c r="BQ317" i="9"/>
  <c r="BQ318" i="9"/>
  <c r="BQ319" i="9"/>
  <c r="BQ320" i="9"/>
  <c r="BQ321" i="9"/>
  <c r="BQ322" i="9"/>
  <c r="BQ323" i="9"/>
  <c r="BQ324" i="9"/>
  <c r="BQ325" i="9"/>
  <c r="BQ326" i="9"/>
  <c r="BQ327" i="9"/>
  <c r="BQ328" i="9"/>
  <c r="BQ329" i="9"/>
  <c r="BQ330" i="9"/>
  <c r="BQ331" i="9"/>
  <c r="BQ332" i="9"/>
  <c r="BQ333" i="9"/>
  <c r="BQ334" i="9"/>
  <c r="BQ335" i="9"/>
  <c r="BQ336" i="9"/>
  <c r="BQ337" i="9"/>
  <c r="BQ338" i="9"/>
  <c r="BQ339" i="9"/>
  <c r="BQ340" i="9"/>
  <c r="BQ341" i="9"/>
  <c r="BQ342" i="9"/>
  <c r="BQ343" i="9"/>
  <c r="BQ344" i="9"/>
  <c r="BQ345" i="9"/>
  <c r="BQ346" i="9"/>
  <c r="BQ347" i="9"/>
  <c r="BQ348" i="9"/>
  <c r="BQ349" i="9"/>
  <c r="BQ350" i="9"/>
  <c r="BQ351" i="9"/>
  <c r="BQ352" i="9"/>
  <c r="BQ353" i="9"/>
  <c r="BQ354" i="9"/>
  <c r="BQ355" i="9"/>
  <c r="BQ356" i="9"/>
  <c r="BQ357" i="9"/>
  <c r="BQ358" i="9"/>
  <c r="BQ359" i="9"/>
  <c r="BQ360" i="9"/>
  <c r="BQ361" i="9"/>
  <c r="BQ362" i="9"/>
  <c r="BQ363" i="9"/>
  <c r="BQ364" i="9"/>
  <c r="BQ365" i="9"/>
  <c r="BQ366" i="9"/>
  <c r="BQ367" i="9"/>
  <c r="BQ368" i="9"/>
  <c r="BQ369" i="9"/>
  <c r="BQ370" i="9"/>
  <c r="BQ371" i="9"/>
  <c r="BQ372" i="9"/>
  <c r="BQ373" i="9"/>
  <c r="BQ374" i="9"/>
  <c r="BQ375" i="9"/>
  <c r="BQ376" i="9"/>
  <c r="BQ377" i="9"/>
  <c r="BQ378" i="9"/>
  <c r="BQ379" i="9"/>
  <c r="BQ380" i="9"/>
  <c r="BQ381" i="9"/>
  <c r="BQ382" i="9"/>
  <c r="BQ383" i="9"/>
  <c r="BQ384" i="9"/>
  <c r="BQ385" i="9"/>
  <c r="BQ386" i="9"/>
  <c r="BQ387" i="9"/>
  <c r="BQ388" i="9"/>
  <c r="BQ389" i="9"/>
  <c r="BQ390" i="9"/>
  <c r="BQ391" i="9"/>
  <c r="BQ392" i="9"/>
  <c r="BQ393" i="9"/>
  <c r="BQ394" i="9"/>
  <c r="BQ395" i="9"/>
  <c r="BQ396" i="9"/>
  <c r="BQ397" i="9"/>
  <c r="BQ398" i="9"/>
  <c r="BQ399" i="9"/>
  <c r="BQ400" i="9"/>
  <c r="BQ401" i="9"/>
  <c r="BQ402" i="9"/>
  <c r="BQ403" i="9"/>
  <c r="BQ404" i="9"/>
  <c r="BQ405" i="9"/>
  <c r="BQ406" i="9"/>
  <c r="BQ407" i="9"/>
  <c r="BQ408" i="9"/>
  <c r="BQ409" i="9"/>
  <c r="BQ410" i="9"/>
  <c r="BQ411" i="9"/>
  <c r="BQ412" i="9"/>
  <c r="BQ413" i="9"/>
  <c r="BQ414" i="9"/>
  <c r="BQ415" i="9"/>
  <c r="BQ416" i="9"/>
  <c r="BQ417" i="9"/>
  <c r="BQ418" i="9"/>
  <c r="BQ419" i="9"/>
  <c r="BQ420" i="9"/>
  <c r="BQ421" i="9"/>
  <c r="BQ422" i="9"/>
  <c r="BQ423" i="9"/>
  <c r="BQ424" i="9"/>
  <c r="BQ425" i="9"/>
  <c r="BQ426" i="9"/>
  <c r="BQ427" i="9"/>
  <c r="BQ428" i="9"/>
  <c r="BQ429" i="9"/>
  <c r="BQ430" i="9"/>
  <c r="BQ431" i="9"/>
  <c r="BQ432" i="9"/>
  <c r="BQ433" i="9"/>
  <c r="BQ434" i="9"/>
  <c r="BQ435" i="9"/>
  <c r="BQ436" i="9"/>
  <c r="BQ437" i="9"/>
  <c r="BQ438" i="9"/>
  <c r="BQ439" i="9"/>
  <c r="BQ440" i="9"/>
  <c r="BQ441" i="9"/>
  <c r="BQ442" i="9"/>
  <c r="BQ443" i="9"/>
  <c r="BQ444" i="9"/>
  <c r="BQ445" i="9"/>
  <c r="BQ446" i="9"/>
  <c r="BQ447" i="9"/>
  <c r="BQ448" i="9"/>
  <c r="BQ449" i="9"/>
  <c r="BQ450" i="9"/>
  <c r="BQ451" i="9"/>
  <c r="BQ452" i="9"/>
  <c r="BQ453" i="9"/>
  <c r="BQ454" i="9"/>
  <c r="BQ455" i="9"/>
  <c r="BQ456" i="9"/>
  <c r="BQ457" i="9"/>
  <c r="BQ458" i="9"/>
  <c r="BQ459" i="9"/>
  <c r="BQ460" i="9"/>
  <c r="BQ461" i="9"/>
  <c r="BQ462" i="9"/>
  <c r="BQ463" i="9"/>
  <c r="BQ464" i="9"/>
  <c r="BQ465" i="9"/>
  <c r="BQ466" i="9"/>
  <c r="BQ467" i="9"/>
  <c r="BQ468" i="9"/>
  <c r="BQ469" i="9"/>
  <c r="BQ470" i="9"/>
  <c r="BQ471" i="9"/>
  <c r="BQ472" i="9"/>
  <c r="BQ473" i="9"/>
  <c r="BQ474" i="9"/>
  <c r="BQ475" i="9"/>
  <c r="BQ476" i="9"/>
  <c r="BQ477" i="9"/>
  <c r="BQ478" i="9"/>
  <c r="BQ479" i="9"/>
  <c r="BQ480" i="9"/>
  <c r="BQ481" i="9"/>
  <c r="BQ482" i="9"/>
  <c r="BQ483" i="9"/>
  <c r="BQ484" i="9"/>
  <c r="BQ485" i="9"/>
  <c r="BQ486" i="9"/>
  <c r="BQ487" i="9"/>
  <c r="BQ488" i="9"/>
  <c r="BQ489" i="9"/>
  <c r="BQ490" i="9"/>
  <c r="BQ491" i="9"/>
  <c r="BQ492" i="9"/>
  <c r="BQ493" i="9"/>
  <c r="BQ494" i="9"/>
  <c r="BQ495" i="9"/>
  <c r="BQ496" i="9"/>
  <c r="BQ497" i="9"/>
  <c r="BQ498" i="9"/>
  <c r="BQ499" i="9"/>
  <c r="BQ500" i="9"/>
  <c r="BQ501" i="9"/>
  <c r="BQ502" i="9"/>
  <c r="BQ503" i="9"/>
  <c r="BQ504" i="9"/>
  <c r="BQ505" i="9"/>
  <c r="BQ506" i="9"/>
  <c r="BQ507" i="9"/>
  <c r="BQ508" i="9"/>
  <c r="BQ509" i="9"/>
  <c r="BQ510" i="9"/>
  <c r="BQ511" i="9"/>
  <c r="BQ512" i="9"/>
  <c r="BQ513" i="9"/>
  <c r="BQ514" i="9"/>
  <c r="BQ515" i="9"/>
  <c r="BQ516" i="9"/>
  <c r="BQ517" i="9"/>
  <c r="BQ518" i="9"/>
  <c r="BQ519" i="9"/>
  <c r="BQ520" i="9"/>
  <c r="BQ521" i="9"/>
  <c r="BQ522" i="9"/>
  <c r="BQ523" i="9"/>
  <c r="BQ524" i="9"/>
  <c r="BQ525" i="9"/>
  <c r="BQ526" i="9"/>
  <c r="BQ527" i="9"/>
  <c r="BQ528" i="9"/>
  <c r="BQ529" i="9"/>
  <c r="BQ530" i="9"/>
  <c r="BQ531" i="9"/>
  <c r="BQ532" i="9"/>
  <c r="BQ533" i="9"/>
  <c r="BQ534" i="9"/>
  <c r="BQ535" i="9"/>
  <c r="BQ536" i="9"/>
  <c r="BQ537" i="9"/>
  <c r="BQ538" i="9"/>
  <c r="BQ539" i="9"/>
  <c r="BQ540" i="9"/>
  <c r="BQ541" i="9"/>
  <c r="BQ542" i="9"/>
  <c r="BQ543" i="9"/>
  <c r="BQ544" i="9"/>
  <c r="BQ545" i="9"/>
  <c r="BQ546" i="9"/>
  <c r="BQ547" i="9"/>
  <c r="BQ548" i="9"/>
  <c r="BQ549" i="9"/>
  <c r="BQ550" i="9"/>
  <c r="BQ551" i="9"/>
  <c r="BQ552" i="9"/>
  <c r="BQ553" i="9"/>
  <c r="BQ554" i="9"/>
  <c r="BQ555" i="9"/>
  <c r="BQ556" i="9"/>
  <c r="BQ557" i="9"/>
  <c r="BQ558" i="9"/>
  <c r="BQ559" i="9"/>
  <c r="BQ560" i="9"/>
  <c r="BQ561" i="9"/>
  <c r="BQ562" i="9"/>
  <c r="BQ563" i="9"/>
  <c r="BQ564" i="9"/>
  <c r="BQ565" i="9"/>
  <c r="BQ566" i="9"/>
  <c r="BQ567" i="9"/>
  <c r="BQ568" i="9"/>
  <c r="BQ569" i="9"/>
  <c r="BQ570" i="9"/>
  <c r="BQ571" i="9"/>
  <c r="BQ572" i="9"/>
  <c r="BQ573" i="9"/>
  <c r="BQ574" i="9"/>
  <c r="BQ575" i="9"/>
  <c r="BQ576" i="9"/>
  <c r="BQ577" i="9"/>
  <c r="BQ578" i="9"/>
  <c r="BQ579" i="9"/>
  <c r="BQ580" i="9"/>
  <c r="BQ581" i="9"/>
  <c r="BQ582" i="9"/>
  <c r="BQ583" i="9"/>
  <c r="BQ584" i="9"/>
  <c r="BQ585" i="9"/>
  <c r="BQ586" i="9"/>
  <c r="BQ587" i="9"/>
  <c r="BQ588" i="9"/>
  <c r="BQ589" i="9"/>
  <c r="BQ590" i="9"/>
  <c r="BQ591" i="9"/>
  <c r="BQ592" i="9"/>
  <c r="BQ593" i="9"/>
  <c r="BQ594" i="9"/>
  <c r="BQ595" i="9"/>
  <c r="BQ596" i="9"/>
  <c r="BQ597" i="9"/>
  <c r="BQ598" i="9"/>
  <c r="BQ599" i="9"/>
  <c r="BQ600" i="9"/>
  <c r="BQ601" i="9"/>
  <c r="BQ602" i="9"/>
  <c r="BQ603" i="9"/>
  <c r="BQ604" i="9"/>
  <c r="BQ605" i="9"/>
  <c r="BQ606" i="9"/>
  <c r="BQ607" i="9"/>
  <c r="BQ608" i="9"/>
  <c r="BQ609" i="9"/>
  <c r="BQ610" i="9"/>
  <c r="BQ611" i="9"/>
  <c r="BQ612" i="9"/>
  <c r="BQ613" i="9"/>
  <c r="BQ614" i="9"/>
  <c r="BQ615" i="9"/>
  <c r="BQ616" i="9"/>
  <c r="BQ617" i="9"/>
  <c r="BQ618" i="9"/>
  <c r="BQ619" i="9"/>
  <c r="BQ620" i="9"/>
  <c r="BQ621" i="9"/>
  <c r="BQ622" i="9"/>
  <c r="BQ623" i="9"/>
  <c r="BQ624" i="9"/>
  <c r="BQ625" i="9"/>
  <c r="BQ626" i="9"/>
  <c r="BQ627" i="9"/>
  <c r="BQ628" i="9"/>
  <c r="BQ629" i="9"/>
  <c r="BQ630" i="9"/>
  <c r="BQ631" i="9"/>
  <c r="BQ632" i="9"/>
  <c r="BQ633" i="9"/>
  <c r="BQ634" i="9"/>
  <c r="BQ635" i="9"/>
  <c r="BQ636" i="9"/>
  <c r="BQ637" i="9"/>
  <c r="BQ638" i="9"/>
  <c r="BQ639" i="9"/>
  <c r="BQ640" i="9"/>
  <c r="BQ641" i="9"/>
  <c r="BQ642" i="9"/>
  <c r="BQ643" i="9"/>
  <c r="BQ644" i="9"/>
  <c r="BQ645" i="9"/>
  <c r="BQ646" i="9"/>
  <c r="BQ647" i="9"/>
  <c r="BQ648" i="9"/>
  <c r="BQ649" i="9"/>
  <c r="BQ650" i="9"/>
  <c r="BQ651" i="9"/>
  <c r="BQ652" i="9"/>
  <c r="BQ653" i="9"/>
  <c r="BQ654" i="9"/>
  <c r="BQ655" i="9"/>
  <c r="BQ656" i="9"/>
  <c r="BQ657" i="9"/>
  <c r="BQ658" i="9"/>
  <c r="BQ659" i="9"/>
  <c r="BQ660" i="9"/>
  <c r="BQ661" i="9"/>
  <c r="BQ662" i="9"/>
  <c r="BQ663" i="9"/>
  <c r="BQ664" i="9"/>
  <c r="BQ665" i="9"/>
  <c r="BQ666" i="9"/>
  <c r="BQ667" i="9"/>
  <c r="BQ668" i="9"/>
  <c r="BQ669" i="9"/>
  <c r="BQ670" i="9"/>
  <c r="BQ671" i="9"/>
  <c r="BQ672" i="9"/>
  <c r="BQ673" i="9"/>
  <c r="BQ674" i="9"/>
  <c r="BQ675" i="9"/>
  <c r="BQ676" i="9"/>
  <c r="BQ677" i="9"/>
  <c r="BQ678" i="9"/>
  <c r="BQ679" i="9"/>
  <c r="BQ680" i="9"/>
  <c r="BQ681" i="9"/>
  <c r="BQ682" i="9"/>
  <c r="BQ4" i="9"/>
  <c r="BQ5" i="9"/>
  <c r="BQ6" i="9"/>
  <c r="BQ7" i="9"/>
  <c r="BQ8" i="9"/>
  <c r="BQ9" i="9"/>
  <c r="BQ10" i="9"/>
  <c r="BQ11" i="9"/>
  <c r="BQ12" i="9"/>
  <c r="BQ13" i="9"/>
  <c r="BQ14" i="9"/>
  <c r="BQ15" i="9"/>
  <c r="BQ16" i="9"/>
  <c r="BQ17" i="9"/>
  <c r="BQ18" i="9"/>
  <c r="BQ19" i="9"/>
  <c r="BQ20" i="9"/>
  <c r="BQ21" i="9"/>
  <c r="BQ22" i="9"/>
  <c r="BQ23" i="9"/>
  <c r="BQ24" i="9"/>
  <c r="BQ25" i="9"/>
  <c r="BQ26" i="9"/>
  <c r="BQ27" i="9"/>
  <c r="BQ28" i="9"/>
  <c r="BQ29" i="9"/>
  <c r="BQ30" i="9"/>
  <c r="BQ31" i="9"/>
  <c r="BQ32" i="9"/>
  <c r="BQ33" i="9"/>
  <c r="BQ34" i="9"/>
  <c r="BQ35" i="9"/>
  <c r="BQ36" i="9"/>
  <c r="BQ37" i="9"/>
  <c r="BQ3" i="9"/>
  <c r="AV38" i="9"/>
  <c r="AV39" i="9"/>
  <c r="AV40" i="9"/>
  <c r="AV41" i="9"/>
  <c r="AV42" i="9"/>
  <c r="AV43" i="9"/>
  <c r="AV44" i="9"/>
  <c r="AV45" i="9"/>
  <c r="AV46" i="9"/>
  <c r="AV47" i="9"/>
  <c r="AV48" i="9"/>
  <c r="AV49" i="9"/>
  <c r="AV50" i="9"/>
  <c r="AV51" i="9"/>
  <c r="AV52" i="9"/>
  <c r="AV53" i="9"/>
  <c r="AV54" i="9"/>
  <c r="AV55" i="9"/>
  <c r="AV56" i="9"/>
  <c r="AV57" i="9"/>
  <c r="AV58" i="9"/>
  <c r="AV59" i="9"/>
  <c r="AV60" i="9"/>
  <c r="AV61" i="9"/>
  <c r="AV62" i="9"/>
  <c r="AV63" i="9"/>
  <c r="AV64" i="9"/>
  <c r="AV65" i="9"/>
  <c r="AV66" i="9"/>
  <c r="AV67" i="9"/>
  <c r="AV68" i="9"/>
  <c r="AV69" i="9"/>
  <c r="AV70" i="9"/>
  <c r="AV71" i="9"/>
  <c r="AV72" i="9"/>
  <c r="AV73" i="9"/>
  <c r="AV74" i="9"/>
  <c r="AV75" i="9"/>
  <c r="AV76" i="9"/>
  <c r="AV77" i="9"/>
  <c r="AV78" i="9"/>
  <c r="AV79" i="9"/>
  <c r="AV80" i="9"/>
  <c r="AV81" i="9"/>
  <c r="AV82" i="9"/>
  <c r="AV83" i="9"/>
  <c r="AV84" i="9"/>
  <c r="AV85" i="9"/>
  <c r="AV86" i="9"/>
  <c r="AV87" i="9"/>
  <c r="AV88" i="9"/>
  <c r="AV89" i="9"/>
  <c r="AV90" i="9"/>
  <c r="AV91" i="9"/>
  <c r="AV92" i="9"/>
  <c r="AV93" i="9"/>
  <c r="AV94" i="9"/>
  <c r="AV95" i="9"/>
  <c r="AV96" i="9"/>
  <c r="AV97" i="9"/>
  <c r="AV98" i="9"/>
  <c r="AV99" i="9"/>
  <c r="AV100" i="9"/>
  <c r="AV101" i="9"/>
  <c r="AV102" i="9"/>
  <c r="AV103" i="9"/>
  <c r="AV104" i="9"/>
  <c r="AV105" i="9"/>
  <c r="AV106" i="9"/>
  <c r="AV107" i="9"/>
  <c r="AV108" i="9"/>
  <c r="AV109" i="9"/>
  <c r="AV110" i="9"/>
  <c r="AV111" i="9"/>
  <c r="AV112" i="9"/>
  <c r="AV113" i="9"/>
  <c r="AV114" i="9"/>
  <c r="AV115" i="9"/>
  <c r="AV116" i="9"/>
  <c r="AV117" i="9"/>
  <c r="AV118" i="9"/>
  <c r="AV119" i="9"/>
  <c r="AV120" i="9"/>
  <c r="AV121" i="9"/>
  <c r="AV122" i="9"/>
  <c r="AV123" i="9"/>
  <c r="AV124" i="9"/>
  <c r="AV125" i="9"/>
  <c r="AV126" i="9"/>
  <c r="AV127" i="9"/>
  <c r="AV128" i="9"/>
  <c r="AV129" i="9"/>
  <c r="AV130" i="9"/>
  <c r="AV131" i="9"/>
  <c r="AV132" i="9"/>
  <c r="AV133" i="9"/>
  <c r="AV134" i="9"/>
  <c r="AV135" i="9"/>
  <c r="AV136" i="9"/>
  <c r="AV137" i="9"/>
  <c r="AV138" i="9"/>
  <c r="AV139" i="9"/>
  <c r="AV140" i="9"/>
  <c r="AV141" i="9"/>
  <c r="AV142" i="9"/>
  <c r="AV143" i="9"/>
  <c r="AV144" i="9"/>
  <c r="AV145" i="9"/>
  <c r="AV146" i="9"/>
  <c r="AV147" i="9"/>
  <c r="AV148" i="9"/>
  <c r="AV149" i="9"/>
  <c r="AV150" i="9"/>
  <c r="AV151" i="9"/>
  <c r="AV152" i="9"/>
  <c r="AV153" i="9"/>
  <c r="AV154" i="9"/>
  <c r="AV155" i="9"/>
  <c r="AV156" i="9"/>
  <c r="AV157" i="9"/>
  <c r="AV158" i="9"/>
  <c r="AV159" i="9"/>
  <c r="AV160" i="9"/>
  <c r="AV161" i="9"/>
  <c r="AV162" i="9"/>
  <c r="AV163" i="9"/>
  <c r="AV164" i="9"/>
  <c r="AV165" i="9"/>
  <c r="AV166" i="9"/>
  <c r="AV167" i="9"/>
  <c r="AV168" i="9"/>
  <c r="AV169" i="9"/>
  <c r="AV170" i="9"/>
  <c r="AV171" i="9"/>
  <c r="AV172" i="9"/>
  <c r="AV173" i="9"/>
  <c r="AV174" i="9"/>
  <c r="AV175" i="9"/>
  <c r="AV176" i="9"/>
  <c r="AV177" i="9"/>
  <c r="AV178" i="9"/>
  <c r="AV179" i="9"/>
  <c r="AV180" i="9"/>
  <c r="AV181" i="9"/>
  <c r="AV182" i="9"/>
  <c r="AV183" i="9"/>
  <c r="AV184" i="9"/>
  <c r="AV185" i="9"/>
  <c r="AV186" i="9"/>
  <c r="AV187" i="9"/>
  <c r="AV188" i="9"/>
  <c r="AV189" i="9"/>
  <c r="AV190" i="9"/>
  <c r="AV191" i="9"/>
  <c r="AV192" i="9"/>
  <c r="AV193" i="9"/>
  <c r="AV194" i="9"/>
  <c r="AV195" i="9"/>
  <c r="AV196" i="9"/>
  <c r="AV197" i="9"/>
  <c r="AV198" i="9"/>
  <c r="AV199" i="9"/>
  <c r="AV200" i="9"/>
  <c r="AV201" i="9"/>
  <c r="AV202" i="9"/>
  <c r="AV203" i="9"/>
  <c r="AV204" i="9"/>
  <c r="AV205" i="9"/>
  <c r="AV206" i="9"/>
  <c r="AV207" i="9"/>
  <c r="AV208" i="9"/>
  <c r="AV209" i="9"/>
  <c r="AV210" i="9"/>
  <c r="AV211" i="9"/>
  <c r="AV212" i="9"/>
  <c r="AV213" i="9"/>
  <c r="AV214" i="9"/>
  <c r="AV215" i="9"/>
  <c r="AV216" i="9"/>
  <c r="AV217" i="9"/>
  <c r="AV218" i="9"/>
  <c r="AV219" i="9"/>
  <c r="AV220" i="9"/>
  <c r="AV221" i="9"/>
  <c r="AV222" i="9"/>
  <c r="AV223" i="9"/>
  <c r="AV224" i="9"/>
  <c r="AV225" i="9"/>
  <c r="AV226" i="9"/>
  <c r="AV227" i="9"/>
  <c r="AV228" i="9"/>
  <c r="AV229" i="9"/>
  <c r="AV230" i="9"/>
  <c r="AV231" i="9"/>
  <c r="AV232" i="9"/>
  <c r="AV233" i="9"/>
  <c r="AV234" i="9"/>
  <c r="AV235" i="9"/>
  <c r="AV236" i="9"/>
  <c r="AV237" i="9"/>
  <c r="AV238" i="9"/>
  <c r="AV239" i="9"/>
  <c r="AV240" i="9"/>
  <c r="AV241" i="9"/>
  <c r="AV242" i="9"/>
  <c r="AV243" i="9"/>
  <c r="AV244" i="9"/>
  <c r="AV245" i="9"/>
  <c r="AV246" i="9"/>
  <c r="AV247" i="9"/>
  <c r="AV248" i="9"/>
  <c r="AV249" i="9"/>
  <c r="AV250" i="9"/>
  <c r="AV251" i="9"/>
  <c r="AV252" i="9"/>
  <c r="AV253" i="9"/>
  <c r="AV254" i="9"/>
  <c r="AV255" i="9"/>
  <c r="AV256" i="9"/>
  <c r="AV257" i="9"/>
  <c r="AV258" i="9"/>
  <c r="AV259" i="9"/>
  <c r="AV260" i="9"/>
  <c r="AV261" i="9"/>
  <c r="AV262" i="9"/>
  <c r="AV263" i="9"/>
  <c r="AV264" i="9"/>
  <c r="AV265" i="9"/>
  <c r="AV266" i="9"/>
  <c r="AV267" i="9"/>
  <c r="AV268" i="9"/>
  <c r="AV269" i="9"/>
  <c r="AV270" i="9"/>
  <c r="AV271" i="9"/>
  <c r="AV272" i="9"/>
  <c r="AV273" i="9"/>
  <c r="AV274" i="9"/>
  <c r="AV275" i="9"/>
  <c r="AV276" i="9"/>
  <c r="AV277" i="9"/>
  <c r="AV278" i="9"/>
  <c r="AV279" i="9"/>
  <c r="AV280" i="9"/>
  <c r="AV281" i="9"/>
  <c r="AV282" i="9"/>
  <c r="AV283" i="9"/>
  <c r="AV284" i="9"/>
  <c r="AV285" i="9"/>
  <c r="AV286" i="9"/>
  <c r="AV287" i="9"/>
  <c r="AV288" i="9"/>
  <c r="AV289" i="9"/>
  <c r="AV290" i="9"/>
  <c r="AV291" i="9"/>
  <c r="AV292" i="9"/>
  <c r="AV293" i="9"/>
  <c r="AV294" i="9"/>
  <c r="AV295" i="9"/>
  <c r="AV296" i="9"/>
  <c r="AV297" i="9"/>
  <c r="AV298" i="9"/>
  <c r="AV299" i="9"/>
  <c r="AV300" i="9"/>
  <c r="AV301" i="9"/>
  <c r="AV302" i="9"/>
  <c r="AV303" i="9"/>
  <c r="AV304" i="9"/>
  <c r="AV305" i="9"/>
  <c r="AV306" i="9"/>
  <c r="AV307" i="9"/>
  <c r="AV308" i="9"/>
  <c r="AV309" i="9"/>
  <c r="AV310" i="9"/>
  <c r="AV311" i="9"/>
  <c r="AV312" i="9"/>
  <c r="AV313" i="9"/>
  <c r="AV314" i="9"/>
  <c r="AV315" i="9"/>
  <c r="AV316" i="9"/>
  <c r="AV317" i="9"/>
  <c r="AV318" i="9"/>
  <c r="AV319" i="9"/>
  <c r="AV320" i="9"/>
  <c r="AV321" i="9"/>
  <c r="AV322" i="9"/>
  <c r="AV323" i="9"/>
  <c r="AV324" i="9"/>
  <c r="AV325" i="9"/>
  <c r="AV326" i="9"/>
  <c r="AV327" i="9"/>
  <c r="AV328" i="9"/>
  <c r="AV329" i="9"/>
  <c r="AV330" i="9"/>
  <c r="AV331" i="9"/>
  <c r="AV332" i="9"/>
  <c r="AV333" i="9"/>
  <c r="AV334" i="9"/>
  <c r="AV335" i="9"/>
  <c r="AV336" i="9"/>
  <c r="AV337" i="9"/>
  <c r="AV338" i="9"/>
  <c r="AV339" i="9"/>
  <c r="AV340" i="9"/>
  <c r="AV341" i="9"/>
  <c r="AV342" i="9"/>
  <c r="AV343" i="9"/>
  <c r="AV344" i="9"/>
  <c r="AV345" i="9"/>
  <c r="AV346" i="9"/>
  <c r="AV347" i="9"/>
  <c r="AV348" i="9"/>
  <c r="AV349" i="9"/>
  <c r="AV350" i="9"/>
  <c r="AV351" i="9"/>
  <c r="AV352" i="9"/>
  <c r="AV353" i="9"/>
  <c r="AV354" i="9"/>
  <c r="AV355" i="9"/>
  <c r="AV356" i="9"/>
  <c r="AV357" i="9"/>
  <c r="AV358" i="9"/>
  <c r="AV359" i="9"/>
  <c r="AV360" i="9"/>
  <c r="AV361" i="9"/>
  <c r="AV362" i="9"/>
  <c r="AV363" i="9"/>
  <c r="AV364" i="9"/>
  <c r="AV365" i="9"/>
  <c r="AV366" i="9"/>
  <c r="AV367" i="9"/>
  <c r="AV368" i="9"/>
  <c r="AV369" i="9"/>
  <c r="AV370" i="9"/>
  <c r="AV371" i="9"/>
  <c r="AV372" i="9"/>
  <c r="AV373" i="9"/>
  <c r="AV374" i="9"/>
  <c r="AV375" i="9"/>
  <c r="AV376" i="9"/>
  <c r="AV377" i="9"/>
  <c r="AV378" i="9"/>
  <c r="AV379" i="9"/>
  <c r="AV380" i="9"/>
  <c r="AV381" i="9"/>
  <c r="AV382" i="9"/>
  <c r="AV383" i="9"/>
  <c r="AV384" i="9"/>
  <c r="AV385" i="9"/>
  <c r="AV386" i="9"/>
  <c r="AV387" i="9"/>
  <c r="AV388" i="9"/>
  <c r="AV389" i="9"/>
  <c r="AV390" i="9"/>
  <c r="AV391" i="9"/>
  <c r="AV392" i="9"/>
  <c r="AV393" i="9"/>
  <c r="AV394" i="9"/>
  <c r="AV395" i="9"/>
  <c r="AV396" i="9"/>
  <c r="AV397" i="9"/>
  <c r="AV398" i="9"/>
  <c r="AV399" i="9"/>
  <c r="AV400" i="9"/>
  <c r="AV401" i="9"/>
  <c r="AV402" i="9"/>
  <c r="AV403" i="9"/>
  <c r="AV404" i="9"/>
  <c r="AV405" i="9"/>
  <c r="AV406" i="9"/>
  <c r="AV407" i="9"/>
  <c r="AV408" i="9"/>
  <c r="AV409" i="9"/>
  <c r="AV410" i="9"/>
  <c r="AV411" i="9"/>
  <c r="AV412" i="9"/>
  <c r="AV413" i="9"/>
  <c r="AV414" i="9"/>
  <c r="AV415" i="9"/>
  <c r="AV416" i="9"/>
  <c r="AV417" i="9"/>
  <c r="AV418" i="9"/>
  <c r="AV419" i="9"/>
  <c r="AV420" i="9"/>
  <c r="AV421" i="9"/>
  <c r="AV422" i="9"/>
  <c r="AV423" i="9"/>
  <c r="AV424" i="9"/>
  <c r="AV425" i="9"/>
  <c r="AV426" i="9"/>
  <c r="AV427" i="9"/>
  <c r="AV428" i="9"/>
  <c r="AV429" i="9"/>
  <c r="AV430" i="9"/>
  <c r="AV431" i="9"/>
  <c r="AV432" i="9"/>
  <c r="AV433" i="9"/>
  <c r="AV434" i="9"/>
  <c r="AV435" i="9"/>
  <c r="AV436" i="9"/>
  <c r="AV437" i="9"/>
  <c r="AV438" i="9"/>
  <c r="AV439" i="9"/>
  <c r="AV440" i="9"/>
  <c r="AV441" i="9"/>
  <c r="AV442" i="9"/>
  <c r="AV443" i="9"/>
  <c r="AV444" i="9"/>
  <c r="AV445" i="9"/>
  <c r="AV446" i="9"/>
  <c r="AV447" i="9"/>
  <c r="AV448" i="9"/>
  <c r="AV449" i="9"/>
  <c r="AV450" i="9"/>
  <c r="AV451" i="9"/>
  <c r="AV452" i="9"/>
  <c r="AV453" i="9"/>
  <c r="AV454" i="9"/>
  <c r="AV455" i="9"/>
  <c r="AV456" i="9"/>
  <c r="AV457" i="9"/>
  <c r="AV458" i="9"/>
  <c r="AV459" i="9"/>
  <c r="AV460" i="9"/>
  <c r="AV461" i="9"/>
  <c r="AV462" i="9"/>
  <c r="AV463" i="9"/>
  <c r="AV464" i="9"/>
  <c r="AV465" i="9"/>
  <c r="AV466" i="9"/>
  <c r="AV467" i="9"/>
  <c r="AV468" i="9"/>
  <c r="AV469" i="9"/>
  <c r="AV470" i="9"/>
  <c r="AV471" i="9"/>
  <c r="AV472" i="9"/>
  <c r="AV473" i="9"/>
  <c r="AV474" i="9"/>
  <c r="AV475" i="9"/>
  <c r="AV476" i="9"/>
  <c r="AV477" i="9"/>
  <c r="AV478" i="9"/>
  <c r="AV479" i="9"/>
  <c r="AV480" i="9"/>
  <c r="AV481" i="9"/>
  <c r="AV482" i="9"/>
  <c r="AV483" i="9"/>
  <c r="AV484" i="9"/>
  <c r="AV485" i="9"/>
  <c r="AV486" i="9"/>
  <c r="AV487" i="9"/>
  <c r="AV488" i="9"/>
  <c r="AV489" i="9"/>
  <c r="AV490" i="9"/>
  <c r="AV491" i="9"/>
  <c r="AV492" i="9"/>
  <c r="AV493" i="9"/>
  <c r="AV494" i="9"/>
  <c r="AV495" i="9"/>
  <c r="AV496" i="9"/>
  <c r="AV497" i="9"/>
  <c r="AV498" i="9"/>
  <c r="AV499" i="9"/>
  <c r="AV500" i="9"/>
  <c r="AV501" i="9"/>
  <c r="AV502" i="9"/>
  <c r="AV503" i="9"/>
  <c r="AV504" i="9"/>
  <c r="AV505" i="9"/>
  <c r="AV506" i="9"/>
  <c r="AV507" i="9"/>
  <c r="AV508" i="9"/>
  <c r="AV509" i="9"/>
  <c r="AV510" i="9"/>
  <c r="AV511" i="9"/>
  <c r="AV512" i="9"/>
  <c r="AV513" i="9"/>
  <c r="AV514" i="9"/>
  <c r="AV515" i="9"/>
  <c r="AV516" i="9"/>
  <c r="AV517" i="9"/>
  <c r="AV518" i="9"/>
  <c r="AV519" i="9"/>
  <c r="AV520" i="9"/>
  <c r="AV521" i="9"/>
  <c r="AV522" i="9"/>
  <c r="AV523" i="9"/>
  <c r="AV524" i="9"/>
  <c r="AV525" i="9"/>
  <c r="AV526" i="9"/>
  <c r="AV527" i="9"/>
  <c r="AV528" i="9"/>
  <c r="AV529" i="9"/>
  <c r="AV530" i="9"/>
  <c r="AV531" i="9"/>
  <c r="AV532" i="9"/>
  <c r="AV533" i="9"/>
  <c r="AV534" i="9"/>
  <c r="AV535" i="9"/>
  <c r="AV536" i="9"/>
  <c r="AV537" i="9"/>
  <c r="AV538" i="9"/>
  <c r="AV539" i="9"/>
  <c r="AV540" i="9"/>
  <c r="AV541" i="9"/>
  <c r="AV542" i="9"/>
  <c r="AV543" i="9"/>
  <c r="AV544" i="9"/>
  <c r="AV545" i="9"/>
  <c r="AV546" i="9"/>
  <c r="AV547" i="9"/>
  <c r="AV548" i="9"/>
  <c r="AV549" i="9"/>
  <c r="AV550" i="9"/>
  <c r="AV551" i="9"/>
  <c r="AV552" i="9"/>
  <c r="AV553" i="9"/>
  <c r="AV554" i="9"/>
  <c r="AV555" i="9"/>
  <c r="AV556" i="9"/>
  <c r="AV557" i="9"/>
  <c r="AV558" i="9"/>
  <c r="AV559" i="9"/>
  <c r="AV560" i="9"/>
  <c r="AV561" i="9"/>
  <c r="AV562" i="9"/>
  <c r="AV563" i="9"/>
  <c r="AV564" i="9"/>
  <c r="AV565" i="9"/>
  <c r="AV566" i="9"/>
  <c r="AV567" i="9"/>
  <c r="AV568" i="9"/>
  <c r="AV569" i="9"/>
  <c r="AV570" i="9"/>
  <c r="AV571" i="9"/>
  <c r="AV572" i="9"/>
  <c r="AV573" i="9"/>
  <c r="AV574" i="9"/>
  <c r="AV575" i="9"/>
  <c r="AV576" i="9"/>
  <c r="AV577" i="9"/>
  <c r="AV578" i="9"/>
  <c r="AV579" i="9"/>
  <c r="AV580" i="9"/>
  <c r="AV581" i="9"/>
  <c r="AV582" i="9"/>
  <c r="AV583" i="9"/>
  <c r="AV584" i="9"/>
  <c r="AV585" i="9"/>
  <c r="AV586" i="9"/>
  <c r="AV587" i="9"/>
  <c r="AV588" i="9"/>
  <c r="AV589" i="9"/>
  <c r="AV590" i="9"/>
  <c r="AV591" i="9"/>
  <c r="AV592" i="9"/>
  <c r="AV593" i="9"/>
  <c r="AV594" i="9"/>
  <c r="AV595" i="9"/>
  <c r="AV596" i="9"/>
  <c r="AV597" i="9"/>
  <c r="AV598" i="9"/>
  <c r="AV599" i="9"/>
  <c r="AV600" i="9"/>
  <c r="AV601" i="9"/>
  <c r="AV602" i="9"/>
  <c r="AV603" i="9"/>
  <c r="AV604" i="9"/>
  <c r="AV605" i="9"/>
  <c r="AV606" i="9"/>
  <c r="AV607" i="9"/>
  <c r="AV608" i="9"/>
  <c r="AV609" i="9"/>
  <c r="AV610" i="9"/>
  <c r="AV611" i="9"/>
  <c r="AV612" i="9"/>
  <c r="AV613" i="9"/>
  <c r="AV614" i="9"/>
  <c r="AV615" i="9"/>
  <c r="AV616" i="9"/>
  <c r="AV617" i="9"/>
  <c r="AV618" i="9"/>
  <c r="AV619" i="9"/>
  <c r="AV620" i="9"/>
  <c r="AV621" i="9"/>
  <c r="AV622" i="9"/>
  <c r="AV623" i="9"/>
  <c r="AV624" i="9"/>
  <c r="AV625" i="9"/>
  <c r="AV626" i="9"/>
  <c r="AV627" i="9"/>
  <c r="AV628" i="9"/>
  <c r="AV629" i="9"/>
  <c r="AV630" i="9"/>
  <c r="AV631" i="9"/>
  <c r="AV632" i="9"/>
  <c r="AV633" i="9"/>
  <c r="AV634" i="9"/>
  <c r="AV635" i="9"/>
  <c r="AV636" i="9"/>
  <c r="AV637" i="9"/>
  <c r="AV638" i="9"/>
  <c r="AV639" i="9"/>
  <c r="AV640" i="9"/>
  <c r="AV641" i="9"/>
  <c r="AV642" i="9"/>
  <c r="AV643" i="9"/>
  <c r="AV644" i="9"/>
  <c r="AV645" i="9"/>
  <c r="AV646" i="9"/>
  <c r="AV647" i="9"/>
  <c r="AV648" i="9"/>
  <c r="AV649" i="9"/>
  <c r="AV650" i="9"/>
  <c r="AV651" i="9"/>
  <c r="AV652" i="9"/>
  <c r="AV653" i="9"/>
  <c r="AV654" i="9"/>
  <c r="AV655" i="9"/>
  <c r="AV656" i="9"/>
  <c r="AV657" i="9"/>
  <c r="AV658" i="9"/>
  <c r="AV659" i="9"/>
  <c r="AV660" i="9"/>
  <c r="AV661" i="9"/>
  <c r="AV662" i="9"/>
  <c r="AV663" i="9"/>
  <c r="AV664" i="9"/>
  <c r="AV665" i="9"/>
  <c r="AV666" i="9"/>
  <c r="AV667" i="9"/>
  <c r="AV668" i="9"/>
  <c r="AV669" i="9"/>
  <c r="AV670" i="9"/>
  <c r="AV671" i="9"/>
  <c r="AV672" i="9"/>
  <c r="AV673" i="9"/>
  <c r="AV674" i="9"/>
  <c r="AV675" i="9"/>
  <c r="AV676" i="9"/>
  <c r="AV677" i="9"/>
  <c r="AV678" i="9"/>
  <c r="AV679" i="9"/>
  <c r="AV680" i="9"/>
  <c r="AV681" i="9"/>
  <c r="AV682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35" i="9"/>
  <c r="AA136" i="9"/>
  <c r="AA137" i="9"/>
  <c r="AA138" i="9"/>
  <c r="AA139" i="9"/>
  <c r="AA140" i="9"/>
  <c r="AA141" i="9"/>
  <c r="AA142" i="9"/>
  <c r="AA143" i="9"/>
  <c r="AA144" i="9"/>
  <c r="AA145" i="9"/>
  <c r="AA146" i="9"/>
  <c r="AA147" i="9"/>
  <c r="AA148" i="9"/>
  <c r="AA149" i="9"/>
  <c r="AA150" i="9"/>
  <c r="AA151" i="9"/>
  <c r="AA152" i="9"/>
  <c r="AA153" i="9"/>
  <c r="AA154" i="9"/>
  <c r="AA155" i="9"/>
  <c r="AA156" i="9"/>
  <c r="AA157" i="9"/>
  <c r="AA158" i="9"/>
  <c r="AA159" i="9"/>
  <c r="AA160" i="9"/>
  <c r="AA161" i="9"/>
  <c r="AA162" i="9"/>
  <c r="AA163" i="9"/>
  <c r="AA164" i="9"/>
  <c r="AA165" i="9"/>
  <c r="AA166" i="9"/>
  <c r="AA167" i="9"/>
  <c r="AA168" i="9"/>
  <c r="AA169" i="9"/>
  <c r="AA170" i="9"/>
  <c r="AA171" i="9"/>
  <c r="AA172" i="9"/>
  <c r="AA173" i="9"/>
  <c r="AA174" i="9"/>
  <c r="AA175" i="9"/>
  <c r="AA176" i="9"/>
  <c r="AA177" i="9"/>
  <c r="AA178" i="9"/>
  <c r="AA179" i="9"/>
  <c r="AA180" i="9"/>
  <c r="AA181" i="9"/>
  <c r="AA182" i="9"/>
  <c r="AA183" i="9"/>
  <c r="AA184" i="9"/>
  <c r="AA185" i="9"/>
  <c r="AA186" i="9"/>
  <c r="AA187" i="9"/>
  <c r="AA188" i="9"/>
  <c r="AA189" i="9"/>
  <c r="AA190" i="9"/>
  <c r="AA191" i="9"/>
  <c r="AA192" i="9"/>
  <c r="AA193" i="9"/>
  <c r="AA194" i="9"/>
  <c r="AA195" i="9"/>
  <c r="AA196" i="9"/>
  <c r="AA197" i="9"/>
  <c r="AA198" i="9"/>
  <c r="AA199" i="9"/>
  <c r="AA200" i="9"/>
  <c r="AA201" i="9"/>
  <c r="AA202" i="9"/>
  <c r="AA203" i="9"/>
  <c r="AA204" i="9"/>
  <c r="AA205" i="9"/>
  <c r="AA206" i="9"/>
  <c r="AA207" i="9"/>
  <c r="AA208" i="9"/>
  <c r="AA209" i="9"/>
  <c r="AA210" i="9"/>
  <c r="AA211" i="9"/>
  <c r="AA212" i="9"/>
  <c r="AA213" i="9"/>
  <c r="AA214" i="9"/>
  <c r="AA215" i="9"/>
  <c r="AA216" i="9"/>
  <c r="AA217" i="9"/>
  <c r="AA218" i="9"/>
  <c r="AA219" i="9"/>
  <c r="AA220" i="9"/>
  <c r="AA221" i="9"/>
  <c r="AA222" i="9"/>
  <c r="AA223" i="9"/>
  <c r="AA224" i="9"/>
  <c r="AA225" i="9"/>
  <c r="AA226" i="9"/>
  <c r="AA227" i="9"/>
  <c r="AA228" i="9"/>
  <c r="AA229" i="9"/>
  <c r="AA230" i="9"/>
  <c r="AA231" i="9"/>
  <c r="AA232" i="9"/>
  <c r="AA233" i="9"/>
  <c r="AA234" i="9"/>
  <c r="AA235" i="9"/>
  <c r="AA236" i="9"/>
  <c r="AA237" i="9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AA381" i="9"/>
  <c r="AA382" i="9"/>
  <c r="AA383" i="9"/>
  <c r="AA384" i="9"/>
  <c r="AA385" i="9"/>
  <c r="AA386" i="9"/>
  <c r="AA387" i="9"/>
  <c r="AA388" i="9"/>
  <c r="AA389" i="9"/>
  <c r="AA390" i="9"/>
  <c r="AA391" i="9"/>
  <c r="AA392" i="9"/>
  <c r="AA393" i="9"/>
  <c r="AA394" i="9"/>
  <c r="AA395" i="9"/>
  <c r="AA396" i="9"/>
  <c r="AA397" i="9"/>
  <c r="AA398" i="9"/>
  <c r="AA399" i="9"/>
  <c r="AA400" i="9"/>
  <c r="AA401" i="9"/>
  <c r="AA402" i="9"/>
  <c r="AA403" i="9"/>
  <c r="AA404" i="9"/>
  <c r="AA405" i="9"/>
  <c r="AA406" i="9"/>
  <c r="AA407" i="9"/>
  <c r="AA408" i="9"/>
  <c r="AA409" i="9"/>
  <c r="AA410" i="9"/>
  <c r="AA411" i="9"/>
  <c r="AA412" i="9"/>
  <c r="AA413" i="9"/>
  <c r="AA414" i="9"/>
  <c r="AA415" i="9"/>
  <c r="AA416" i="9"/>
  <c r="AA417" i="9"/>
  <c r="AA418" i="9"/>
  <c r="AA419" i="9"/>
  <c r="AA420" i="9"/>
  <c r="AA421" i="9"/>
  <c r="AA422" i="9"/>
  <c r="AA423" i="9"/>
  <c r="AA424" i="9"/>
  <c r="AA425" i="9"/>
  <c r="AA426" i="9"/>
  <c r="AA427" i="9"/>
  <c r="AA428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60" i="9"/>
  <c r="AA461" i="9"/>
  <c r="AA462" i="9"/>
  <c r="AA463" i="9"/>
  <c r="AA464" i="9"/>
  <c r="AA465" i="9"/>
  <c r="AA466" i="9"/>
  <c r="AA467" i="9"/>
  <c r="AA468" i="9"/>
  <c r="AA469" i="9"/>
  <c r="AA470" i="9"/>
  <c r="AA471" i="9"/>
  <c r="AA472" i="9"/>
  <c r="AA473" i="9"/>
  <c r="AA474" i="9"/>
  <c r="AA475" i="9"/>
  <c r="AA476" i="9"/>
  <c r="AA477" i="9"/>
  <c r="AA478" i="9"/>
  <c r="AA479" i="9"/>
  <c r="AA480" i="9"/>
  <c r="AA481" i="9"/>
  <c r="AA482" i="9"/>
  <c r="AA483" i="9"/>
  <c r="AA484" i="9"/>
  <c r="AA485" i="9"/>
  <c r="AA486" i="9"/>
  <c r="AA487" i="9"/>
  <c r="AA488" i="9"/>
  <c r="AA489" i="9"/>
  <c r="AA490" i="9"/>
  <c r="AA491" i="9"/>
  <c r="AA492" i="9"/>
  <c r="AA493" i="9"/>
  <c r="AA494" i="9"/>
  <c r="AA495" i="9"/>
  <c r="AA496" i="9"/>
  <c r="AA497" i="9"/>
  <c r="AA498" i="9"/>
  <c r="AA499" i="9"/>
  <c r="AA500" i="9"/>
  <c r="AA501" i="9"/>
  <c r="AA502" i="9"/>
  <c r="AA503" i="9"/>
  <c r="AA504" i="9"/>
  <c r="AA505" i="9"/>
  <c r="AA506" i="9"/>
  <c r="AA507" i="9"/>
  <c r="AA508" i="9"/>
  <c r="AA509" i="9"/>
  <c r="AA510" i="9"/>
  <c r="AA511" i="9"/>
  <c r="AA512" i="9"/>
  <c r="AA513" i="9"/>
  <c r="AA514" i="9"/>
  <c r="AA515" i="9"/>
  <c r="AA516" i="9"/>
  <c r="AA517" i="9"/>
  <c r="AA518" i="9"/>
  <c r="AA519" i="9"/>
  <c r="AA520" i="9"/>
  <c r="AA521" i="9"/>
  <c r="AA522" i="9"/>
  <c r="AA523" i="9"/>
  <c r="AA524" i="9"/>
  <c r="AA525" i="9"/>
  <c r="AA526" i="9"/>
  <c r="AA527" i="9"/>
  <c r="AA528" i="9"/>
  <c r="AA529" i="9"/>
  <c r="AA530" i="9"/>
  <c r="AA531" i="9"/>
  <c r="AA532" i="9"/>
  <c r="AA533" i="9"/>
  <c r="AA534" i="9"/>
  <c r="AA535" i="9"/>
  <c r="AA536" i="9"/>
  <c r="AA537" i="9"/>
  <c r="AA538" i="9"/>
  <c r="AA539" i="9"/>
  <c r="AA540" i="9"/>
  <c r="AA541" i="9"/>
  <c r="AA542" i="9"/>
  <c r="AA543" i="9"/>
  <c r="AA544" i="9"/>
  <c r="AA545" i="9"/>
  <c r="AA546" i="9"/>
  <c r="AA547" i="9"/>
  <c r="AA548" i="9"/>
  <c r="AA549" i="9"/>
  <c r="AA550" i="9"/>
  <c r="AA551" i="9"/>
  <c r="AA552" i="9"/>
  <c r="AA553" i="9"/>
  <c r="AA554" i="9"/>
  <c r="AA555" i="9"/>
  <c r="AA556" i="9"/>
  <c r="AA557" i="9"/>
  <c r="AA558" i="9"/>
  <c r="AA559" i="9"/>
  <c r="AA560" i="9"/>
  <c r="AA561" i="9"/>
  <c r="AA562" i="9"/>
  <c r="AA563" i="9"/>
  <c r="AA564" i="9"/>
  <c r="AA565" i="9"/>
  <c r="AA566" i="9"/>
  <c r="AA567" i="9"/>
  <c r="AA568" i="9"/>
  <c r="AA569" i="9"/>
  <c r="AA570" i="9"/>
  <c r="AA571" i="9"/>
  <c r="AA572" i="9"/>
  <c r="AA573" i="9"/>
  <c r="AA574" i="9"/>
  <c r="AA575" i="9"/>
  <c r="AA576" i="9"/>
  <c r="AA577" i="9"/>
  <c r="AA578" i="9"/>
  <c r="AA579" i="9"/>
  <c r="AA580" i="9"/>
  <c r="AA581" i="9"/>
  <c r="AA582" i="9"/>
  <c r="AA583" i="9"/>
  <c r="AA584" i="9"/>
  <c r="AA585" i="9"/>
  <c r="AA586" i="9"/>
  <c r="AA587" i="9"/>
  <c r="AA588" i="9"/>
  <c r="AA589" i="9"/>
  <c r="AA590" i="9"/>
  <c r="AA591" i="9"/>
  <c r="AA592" i="9"/>
  <c r="AA593" i="9"/>
  <c r="AA594" i="9"/>
  <c r="AA595" i="9"/>
  <c r="AA596" i="9"/>
  <c r="AA597" i="9"/>
  <c r="AA598" i="9"/>
  <c r="AA599" i="9"/>
  <c r="AA600" i="9"/>
  <c r="AA601" i="9"/>
  <c r="AA602" i="9"/>
  <c r="AA603" i="9"/>
  <c r="AA604" i="9"/>
  <c r="AA605" i="9"/>
  <c r="AA606" i="9"/>
  <c r="AA607" i="9"/>
  <c r="AA608" i="9"/>
  <c r="AA609" i="9"/>
  <c r="AA610" i="9"/>
  <c r="AA611" i="9"/>
  <c r="AA612" i="9"/>
  <c r="AA613" i="9"/>
  <c r="AA614" i="9"/>
  <c r="AA615" i="9"/>
  <c r="AA616" i="9"/>
  <c r="AA617" i="9"/>
  <c r="AA618" i="9"/>
  <c r="AA619" i="9"/>
  <c r="AA620" i="9"/>
  <c r="AA621" i="9"/>
  <c r="AA622" i="9"/>
  <c r="AA623" i="9"/>
  <c r="AA624" i="9"/>
  <c r="AA625" i="9"/>
  <c r="AA626" i="9"/>
  <c r="AA627" i="9"/>
  <c r="AA628" i="9"/>
  <c r="AA629" i="9"/>
  <c r="AA630" i="9"/>
  <c r="AA631" i="9"/>
  <c r="AA632" i="9"/>
  <c r="AA633" i="9"/>
  <c r="AA634" i="9"/>
  <c r="AA635" i="9"/>
  <c r="AA636" i="9"/>
  <c r="AA637" i="9"/>
  <c r="AA638" i="9"/>
  <c r="AA639" i="9"/>
  <c r="AA640" i="9"/>
  <c r="AA641" i="9"/>
  <c r="AA642" i="9"/>
  <c r="AA643" i="9"/>
  <c r="AA644" i="9"/>
  <c r="AA645" i="9"/>
  <c r="AA646" i="9"/>
  <c r="AA647" i="9"/>
  <c r="AA648" i="9"/>
  <c r="AA649" i="9"/>
  <c r="AA650" i="9"/>
  <c r="AA651" i="9"/>
  <c r="AA652" i="9"/>
  <c r="AA653" i="9"/>
  <c r="AA654" i="9"/>
  <c r="AA655" i="9"/>
  <c r="AA656" i="9"/>
  <c r="AA657" i="9"/>
  <c r="AA658" i="9"/>
  <c r="AA659" i="9"/>
  <c r="AA660" i="9"/>
  <c r="AA661" i="9"/>
  <c r="AA662" i="9"/>
  <c r="AA663" i="9"/>
  <c r="AA664" i="9"/>
  <c r="AA665" i="9"/>
  <c r="AA666" i="9"/>
  <c r="AA667" i="9"/>
  <c r="AA668" i="9"/>
  <c r="AA669" i="9"/>
  <c r="AA670" i="9"/>
  <c r="AA671" i="9"/>
  <c r="AA672" i="9"/>
  <c r="AA673" i="9"/>
  <c r="AA674" i="9"/>
  <c r="AA675" i="9"/>
  <c r="AA676" i="9"/>
  <c r="AA677" i="9"/>
  <c r="AA678" i="9"/>
  <c r="AA679" i="9"/>
  <c r="AA680" i="9"/>
  <c r="AA681" i="9"/>
  <c r="AA682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BQ37" i="10"/>
  <c r="BQ36" i="10"/>
  <c r="BQ35" i="10"/>
  <c r="BQ34" i="10"/>
  <c r="BQ33" i="10"/>
  <c r="BQ32" i="10"/>
  <c r="BQ31" i="10"/>
  <c r="BQ30" i="10"/>
  <c r="BQ29" i="10"/>
  <c r="BQ28" i="10"/>
  <c r="BQ27" i="10"/>
  <c r="BQ26" i="10"/>
  <c r="BQ25" i="10"/>
  <c r="BQ24" i="10"/>
  <c r="BQ23" i="10"/>
  <c r="BQ22" i="10"/>
  <c r="BQ21" i="10"/>
  <c r="BQ20" i="10"/>
  <c r="BQ19" i="10"/>
  <c r="BQ18" i="10"/>
  <c r="BQ17" i="10"/>
  <c r="BQ16" i="10"/>
  <c r="BQ15" i="10"/>
  <c r="BQ14" i="10"/>
  <c r="BQ13" i="10"/>
  <c r="BQ12" i="10"/>
  <c r="BQ11" i="10"/>
  <c r="BQ10" i="10"/>
  <c r="BQ9" i="10"/>
  <c r="BQ8" i="10"/>
  <c r="BQ7" i="10"/>
  <c r="BQ6" i="10"/>
  <c r="BQ5" i="10"/>
  <c r="BQ4" i="10"/>
  <c r="BQ3" i="10"/>
  <c r="AV37" i="10"/>
  <c r="AA37" i="10"/>
  <c r="M37" i="10"/>
  <c r="AV36" i="10"/>
  <c r="AA36" i="10"/>
  <c r="M36" i="10"/>
  <c r="AV35" i="10"/>
  <c r="AA35" i="10"/>
  <c r="M35" i="10"/>
  <c r="AV34" i="10"/>
  <c r="AA34" i="10"/>
  <c r="M34" i="10"/>
  <c r="AV33" i="10"/>
  <c r="AA33" i="10"/>
  <c r="M33" i="10"/>
  <c r="AV32" i="10"/>
  <c r="AA32" i="10"/>
  <c r="M32" i="10"/>
  <c r="AV31" i="10"/>
  <c r="AA31" i="10"/>
  <c r="M31" i="10"/>
  <c r="AV30" i="10"/>
  <c r="AA30" i="10"/>
  <c r="M30" i="10"/>
  <c r="AV29" i="10"/>
  <c r="AA29" i="10"/>
  <c r="M29" i="10"/>
  <c r="AV28" i="10"/>
  <c r="AA28" i="10"/>
  <c r="M28" i="10"/>
  <c r="AV27" i="10"/>
  <c r="AA27" i="10"/>
  <c r="M27" i="10"/>
  <c r="AV26" i="10"/>
  <c r="AA26" i="10"/>
  <c r="M26" i="10"/>
  <c r="AV25" i="10"/>
  <c r="AA25" i="10"/>
  <c r="M25" i="10"/>
  <c r="AV24" i="10"/>
  <c r="AA24" i="10"/>
  <c r="M24" i="10"/>
  <c r="AV23" i="10"/>
  <c r="AA23" i="10"/>
  <c r="M23" i="10"/>
  <c r="AV22" i="10"/>
  <c r="AA22" i="10"/>
  <c r="M22" i="10"/>
  <c r="AV21" i="10"/>
  <c r="AA21" i="10"/>
  <c r="M21" i="10"/>
  <c r="AV20" i="10"/>
  <c r="AA20" i="10"/>
  <c r="M20" i="10"/>
  <c r="AV19" i="10"/>
  <c r="AA19" i="10"/>
  <c r="M19" i="10"/>
  <c r="AV18" i="10"/>
  <c r="AA18" i="10"/>
  <c r="M18" i="10"/>
  <c r="AV17" i="10"/>
  <c r="AA17" i="10"/>
  <c r="M17" i="10"/>
  <c r="AV16" i="10"/>
  <c r="AA16" i="10"/>
  <c r="M16" i="10"/>
  <c r="AV15" i="10"/>
  <c r="AA15" i="10"/>
  <c r="M15" i="10"/>
  <c r="AV14" i="10"/>
  <c r="AA14" i="10"/>
  <c r="M14" i="10"/>
  <c r="AV13" i="10"/>
  <c r="AA13" i="10"/>
  <c r="M13" i="10"/>
  <c r="AV12" i="10"/>
  <c r="AA12" i="10"/>
  <c r="M12" i="10"/>
  <c r="AV11" i="10"/>
  <c r="AA11" i="10"/>
  <c r="M11" i="10"/>
  <c r="AV10" i="10"/>
  <c r="AA10" i="10"/>
  <c r="M10" i="10"/>
  <c r="AV9" i="10"/>
  <c r="AA9" i="10"/>
  <c r="M9" i="10"/>
  <c r="AV8" i="10"/>
  <c r="AA8" i="10"/>
  <c r="M8" i="10"/>
  <c r="AV7" i="10"/>
  <c r="AA7" i="10"/>
  <c r="M7" i="10"/>
  <c r="AV6" i="10"/>
  <c r="AA6" i="10"/>
  <c r="M6" i="10"/>
  <c r="AV5" i="10"/>
  <c r="AA5" i="10"/>
  <c r="M5" i="10"/>
  <c r="AV4" i="10"/>
  <c r="AA4" i="10"/>
  <c r="M4" i="10"/>
  <c r="AV3" i="10"/>
  <c r="AA3" i="10"/>
  <c r="M3" i="10"/>
  <c r="AV37" i="9"/>
  <c r="AA37" i="9"/>
  <c r="M37" i="9"/>
  <c r="AV36" i="9"/>
  <c r="AA36" i="9"/>
  <c r="M36" i="9"/>
  <c r="AV35" i="9"/>
  <c r="AA35" i="9"/>
  <c r="M35" i="9"/>
  <c r="AV34" i="9"/>
  <c r="AA34" i="9"/>
  <c r="M34" i="9"/>
  <c r="AV33" i="9"/>
  <c r="AA33" i="9"/>
  <c r="M33" i="9"/>
  <c r="AV32" i="9"/>
  <c r="AA32" i="9"/>
  <c r="M32" i="9"/>
  <c r="AV31" i="9"/>
  <c r="AA31" i="9"/>
  <c r="M31" i="9"/>
  <c r="AV30" i="9"/>
  <c r="AA30" i="9"/>
  <c r="M30" i="9"/>
  <c r="AV29" i="9"/>
  <c r="AA29" i="9"/>
  <c r="M29" i="9"/>
  <c r="AV28" i="9"/>
  <c r="AA28" i="9"/>
  <c r="M28" i="9"/>
  <c r="AV27" i="9"/>
  <c r="AA27" i="9"/>
  <c r="M27" i="9"/>
  <c r="AV26" i="9"/>
  <c r="AA26" i="9"/>
  <c r="M26" i="9"/>
  <c r="AV25" i="9"/>
  <c r="AA25" i="9"/>
  <c r="M25" i="9"/>
  <c r="AV24" i="9"/>
  <c r="AA24" i="9"/>
  <c r="M24" i="9"/>
  <c r="AV23" i="9"/>
  <c r="AA23" i="9"/>
  <c r="M23" i="9"/>
  <c r="AV22" i="9"/>
  <c r="AA22" i="9"/>
  <c r="M22" i="9"/>
  <c r="AV21" i="9"/>
  <c r="AA21" i="9"/>
  <c r="M21" i="9"/>
  <c r="AV20" i="9"/>
  <c r="AA20" i="9"/>
  <c r="M20" i="9"/>
  <c r="AV19" i="9"/>
  <c r="AA19" i="9"/>
  <c r="M19" i="9"/>
  <c r="AV18" i="9"/>
  <c r="AA18" i="9"/>
  <c r="M18" i="9"/>
  <c r="AV17" i="9"/>
  <c r="AA17" i="9"/>
  <c r="M17" i="9"/>
  <c r="AV16" i="9"/>
  <c r="AA16" i="9"/>
  <c r="M16" i="9"/>
  <c r="AV15" i="9"/>
  <c r="AA15" i="9"/>
  <c r="M15" i="9"/>
  <c r="AV14" i="9"/>
  <c r="AA14" i="9"/>
  <c r="M14" i="9"/>
  <c r="AV13" i="9"/>
  <c r="AA13" i="9"/>
  <c r="M13" i="9"/>
  <c r="AV12" i="9"/>
  <c r="AA12" i="9"/>
  <c r="M12" i="9"/>
  <c r="AV11" i="9"/>
  <c r="AA11" i="9"/>
  <c r="M11" i="9"/>
  <c r="AV10" i="9"/>
  <c r="AA10" i="9"/>
  <c r="M10" i="9"/>
  <c r="AV9" i="9"/>
  <c r="AA9" i="9"/>
  <c r="M9" i="9"/>
  <c r="AV8" i="9"/>
  <c r="AA8" i="9"/>
  <c r="M8" i="9"/>
  <c r="AV7" i="9"/>
  <c r="AA7" i="9"/>
  <c r="M7" i="9"/>
  <c r="AV6" i="9"/>
  <c r="AA6" i="9"/>
  <c r="M6" i="9"/>
  <c r="AV5" i="9"/>
  <c r="AA5" i="9"/>
  <c r="M5" i="9"/>
  <c r="AV4" i="9"/>
  <c r="AA4" i="9"/>
  <c r="M4" i="9"/>
  <c r="AV3" i="9"/>
  <c r="AA3" i="9"/>
  <c r="M3" i="9"/>
</calcChain>
</file>

<file path=xl/sharedStrings.xml><?xml version="1.0" encoding="utf-8"?>
<sst xmlns="http://schemas.openxmlformats.org/spreadsheetml/2006/main" count="370" uniqueCount="118">
  <si>
    <t>chI</t>
  </si>
  <si>
    <t>chV</t>
  </si>
  <si>
    <t>chT</t>
  </si>
  <si>
    <t>disI</t>
  </si>
  <si>
    <t>disV</t>
  </si>
  <si>
    <t>disT</t>
  </si>
  <si>
    <t>BCt</t>
  </si>
  <si>
    <t xml:space="preserve">Remaining Useful Life </t>
  </si>
  <si>
    <t>Category</t>
  </si>
  <si>
    <t>Details</t>
  </si>
  <si>
    <t>Models</t>
  </si>
  <si>
    <t>Optimizers</t>
  </si>
  <si>
    <t>Baseline (Non-Optimized) Model Performance</t>
  </si>
  <si>
    <t>Model</t>
  </si>
  <si>
    <t>Execution_Time (s)</t>
  </si>
  <si>
    <t>CPU_Usage (%)</t>
  </si>
  <si>
    <t>RAM_Usage (MB)</t>
  </si>
  <si>
    <t>Disk_IO (MB/s)</t>
  </si>
  <si>
    <t>Network_IO (MB/s)</t>
  </si>
  <si>
    <t>Priority</t>
  </si>
  <si>
    <t>VM_ID</t>
  </si>
  <si>
    <t>VM_01</t>
  </si>
  <si>
    <t>VM_02</t>
  </si>
  <si>
    <t>QR</t>
  </si>
  <si>
    <t>VM_11</t>
  </si>
  <si>
    <t>VM_12</t>
  </si>
  <si>
    <t>VM_21</t>
  </si>
  <si>
    <t>VM_22</t>
  </si>
  <si>
    <t>Fold</t>
  </si>
  <si>
    <t>R2</t>
  </si>
  <si>
    <t>RMSE</t>
  </si>
  <si>
    <t>Best Fold</t>
  </si>
  <si>
    <t>Best R2</t>
  </si>
  <si>
    <t>Best RMSE</t>
  </si>
  <si>
    <t>Mean R2</t>
  </si>
  <si>
    <t>Mean RMSE</t>
  </si>
  <si>
    <t>ETR</t>
  </si>
  <si>
    <t>y_real</t>
  </si>
  <si>
    <t>y_pred</t>
  </si>
  <si>
    <t>parameters</t>
  </si>
  <si>
    <t>values</t>
  </si>
  <si>
    <t>Set</t>
  </si>
  <si>
    <t>MAE</t>
  </si>
  <si>
    <t>GR125</t>
  </si>
  <si>
    <t>Error</t>
  </si>
  <si>
    <t>n_estimators</t>
  </si>
  <si>
    <t>max_depth</t>
  </si>
  <si>
    <t>All</t>
  </si>
  <si>
    <t>Train</t>
  </si>
  <si>
    <t>Test</t>
  </si>
  <si>
    <t>Value</t>
  </si>
  <si>
    <t>Value-test</t>
  </si>
  <si>
    <t>QR Crayfish Optimization Algorithm (COA)</t>
  </si>
  <si>
    <t>QR Kepler Optimization Algorithm (KOA)</t>
  </si>
  <si>
    <t>QR Dream Optimization Algorithm (DOA)</t>
  </si>
  <si>
    <t>quantile</t>
  </si>
  <si>
    <t>alpha</t>
  </si>
  <si>
    <t>max_iter</t>
  </si>
  <si>
    <t>tol</t>
  </si>
  <si>
    <t>fit_intercept</t>
  </si>
  <si>
    <t>RAE</t>
  </si>
  <si>
    <t>U95</t>
  </si>
  <si>
    <t>MARD</t>
  </si>
  <si>
    <t>ETR Crayfish Optimization Algorithm (COA)</t>
  </si>
  <si>
    <t>ETR Kepler Optimization Algorithm (KOA)</t>
  </si>
  <si>
    <t>ETR Dream Optimization Algorithm (DOA)</t>
  </si>
  <si>
    <t>LGBR_noise</t>
  </si>
  <si>
    <t>Val</t>
  </si>
  <si>
    <t>R2_tr</t>
  </si>
  <si>
    <t>R2_te</t>
  </si>
  <si>
    <t>O_Error%</t>
  </si>
  <si>
    <t>O_Error</t>
  </si>
  <si>
    <t>Noise</t>
  </si>
  <si>
    <t>Noise2</t>
  </si>
  <si>
    <t>Noise3</t>
  </si>
  <si>
    <t>S_Error</t>
  </si>
  <si>
    <t>S_Error%</t>
  </si>
  <si>
    <t>(y-Y)^2</t>
  </si>
  <si>
    <t>ABS(y-Y)</t>
  </si>
  <si>
    <t>(y-Y)/y</t>
  </si>
  <si>
    <t>ABS(y-Y)/y</t>
  </si>
  <si>
    <t>MPAE</t>
  </si>
  <si>
    <t>Y3</t>
  </si>
  <si>
    <t>RMSE_tr</t>
  </si>
  <si>
    <t>RMSE_te</t>
  </si>
  <si>
    <t>None</t>
  </si>
  <si>
    <t>min_samples_split</t>
  </si>
  <si>
    <t>min_samples_leaf</t>
  </si>
  <si>
    <t>max_features</t>
  </si>
  <si>
    <t>Epsilon</t>
  </si>
  <si>
    <t>Accuracy</t>
  </si>
  <si>
    <t>AUC</t>
  </si>
  <si>
    <t>Number of Inputs</t>
  </si>
  <si>
    <t>Number of Samples</t>
  </si>
  <si>
    <t>Number of Outputs</t>
  </si>
  <si>
    <t>Cross Validation</t>
  </si>
  <si>
    <t>5-Fold</t>
  </si>
  <si>
    <t>Extra Trees Regression (ETR), Quantile Regression (QR)</t>
  </si>
  <si>
    <t>Crayfish Optimization Algorithm (COA), Kepler Optimization Algorithm (KOA), Dream Optimization Algorithm (DOA)</t>
  </si>
  <si>
    <t>Convergence Criterion</t>
  </si>
  <si>
    <t>Relative Absolute Error (RAE)</t>
  </si>
  <si>
    <t>Metrics</t>
  </si>
  <si>
    <t>R², RMSE, RAE, U95, MARD</t>
  </si>
  <si>
    <t>Analysis</t>
  </si>
  <si>
    <t>REC Curve, Monte Carlo Simulation (MCS) for uncertainty, Wilcoxon test, Copula-based Sensitivity Analysis</t>
  </si>
  <si>
    <t>Device</t>
  </si>
  <si>
    <t>DESKTOP-CLOL69G — Intel(R) Core(TM) i5-4590S CPU @ 3.00GHz, 8.00 GB RAM, 64-bit OS, x64-based processor</t>
  </si>
  <si>
    <t>Crayfish Optimization Algorithm (COA)</t>
  </si>
  <si>
    <t>ETR + COA</t>
  </si>
  <si>
    <t>QR + COA</t>
  </si>
  <si>
    <t>ETR + KOA</t>
  </si>
  <si>
    <t>QR + KOA</t>
  </si>
  <si>
    <t>Kepler Optimization Algorithm (KOA)</t>
  </si>
  <si>
    <t>Dream Optimization Algorithm (DOA)</t>
  </si>
  <si>
    <t>ETR + DOA</t>
  </si>
  <si>
    <t>VM_31</t>
  </si>
  <si>
    <t>QR + DOA</t>
  </si>
  <si>
    <t>VM_32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</si>
</sst>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6100"/>
      <name val="Calibri"/>
      <family val="2"/>
    </font>
    <font>
      <sz val="11"/>
      <color rgb="FF9C65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name val="Aptos Narrow"/>
    </font>
    <font>
      <b/>
      <sz val="11"/>
      <color theme="1"/>
      <name val="Aptos Narrow"/>
      <family val="2"/>
      <scheme val="minor"/>
    </font>
    <font>
      <sz val="11"/>
      <name val="Times New Roman"/>
      <family val="1"/>
    </font>
    <font>
      <sz val="11"/>
      <color rgb="FF0061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4"/>
      <color rgb="FFFFFF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2" borderId="0"/>
    <xf numFmtId="0" fontId="2" fillId="2" borderId="0"/>
    <xf numFmtId="0" fontId="3" fillId="3" borderId="0"/>
    <xf numFmtId="0" fontId="1" fillId="4" borderId="0"/>
    <xf numFmtId="0" fontId="5" fillId="8" borderId="0"/>
    <xf numFmtId="0" fontId="6" fillId="9" borderId="0"/>
    <xf numFmtId="0" fontId="7" fillId="10" borderId="2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1" applyAlignment="1">
      <alignment horizontal="center" vertical="center"/>
    </xf>
    <xf numFmtId="0" fontId="6" fillId="9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0" xfId="0"/>
    <xf numFmtId="0" fontId="8" fillId="0" borderId="4" xfId="0" applyFont="1" applyBorder="1" applyAlignment="1">
      <alignment horizontal="center" vertical="top"/>
    </xf>
    <xf numFmtId="0" fontId="0" fillId="0" borderId="0" xfId="0"/>
    <xf numFmtId="0" fontId="2" fillId="2" borderId="0" xfId="1"/>
    <xf numFmtId="0" fontId="6" fillId="9" borderId="0" xfId="6"/>
    <xf numFmtId="0" fontId="0" fillId="0" borderId="0" xfId="0" applyAlignment="1">
      <alignment horizontal="center" vertical="center"/>
    </xf>
    <xf numFmtId="0" fontId="11" fillId="2" borderId="0" xfId="2" applyFont="1" applyAlignment="1">
      <alignment horizontal="center" vertical="center"/>
    </xf>
    <xf numFmtId="0" fontId="2" fillId="2" borderId="0" xfId="2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3" applyAlignment="1">
      <alignment horizontal="center" vertical="center"/>
    </xf>
    <xf numFmtId="0" fontId="1" fillId="4" borderId="0" xfId="4" applyAlignment="1">
      <alignment horizontal="center" vertical="center"/>
    </xf>
    <xf numFmtId="0" fontId="5" fillId="8" borderId="0" xfId="5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0" fontId="10" fillId="0" borderId="0" xfId="5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horizontal="center" vertical="center"/>
    </xf>
    <xf numFmtId="0" fontId="0" fillId="4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9" fontId="14" fillId="12" borderId="0" xfId="8" applyFont="1" applyFill="1" applyBorder="1" applyAlignment="1">
      <alignment horizontal="center" vertical="center"/>
    </xf>
    <xf numFmtId="2" fontId="0" fillId="0" borderId="0" xfId="0" applyNumberFormat="1"/>
    <xf numFmtId="164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10" fillId="11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10" borderId="3" xfId="7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2" borderId="0" xfId="1" applyAlignment="1">
      <alignment horizontal="center"/>
    </xf>
    <xf numFmtId="0" fontId="6" fillId="9" borderId="0" xfId="6" applyAlignment="1">
      <alignment horizontal="center"/>
    </xf>
    <xf numFmtId="3" fontId="0" fillId="0" borderId="0" xfId="0" applyNumberFormat="1" applyAlignment="1">
      <alignment vertical="center" wrapText="1"/>
    </xf>
    <xf numFmtId="0" fontId="7" fillId="10" borderId="0" xfId="7" applyBorder="1" applyAlignment="1">
      <alignment horizontal="center" vertical="center"/>
    </xf>
    <xf numFmtId="4" fontId="0" fillId="0" borderId="0" xfId="0" applyNumberFormat="1" applyAlignment="1">
      <alignment vertical="center" wrapText="1"/>
    </xf>
  </cellXfs>
  <cellStyles count="9">
    <cellStyle name="40% - Accent6 2" xfId="4"/>
    <cellStyle name="Accent1 2" xfId="3"/>
    <cellStyle name="Calculation" xfId="7" builtinId="22"/>
    <cellStyle name="Excel Built-in Good" xfId="5"/>
    <cellStyle name="Good" xfId="1" builtinId="26"/>
    <cellStyle name="Good 2" xfId="2"/>
    <cellStyle name="Neutral" xfId="6" builtinId="28"/>
    <cellStyle name="Normal" xfId="0" builtinId="0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53"/>
  <sheetViews>
    <sheetView topLeftCell="E1" workbookViewId="0">
      <selection activeCell="E1" sqref="E1"/>
    </sheetView>
  </sheetViews>
  <sheetFormatPr defaultRowHeight="14.25"/>
  <cols>
    <col min="1" max="2" width="12.5" style="8" bestFit="1" customWidth="1"/>
    <col min="3" max="3" width="15.375" style="8" bestFit="1" customWidth="1"/>
    <col min="4" max="4" width="12.875" style="8" bestFit="1" customWidth="1"/>
    <col min="5" max="5" width="15.25" style="8" bestFit="1" customWidth="1"/>
    <col min="6" max="6" width="15.625" style="8" customWidth="1"/>
    <col min="7" max="7" width="19.375" style="8" bestFit="1" customWidth="1"/>
    <col min="8" max="8" width="12.875" style="8" bestFit="1" customWidth="1"/>
    <col min="9" max="9" width="12" style="8" bestFit="1" customWidth="1"/>
    <col min="10" max="10" width="13.5" style="8" customWidth="1"/>
    <col min="11" max="11" width="15.5" style="8" customWidth="1"/>
    <col min="12" max="12" width="20" style="8" bestFit="1" customWidth="1"/>
    <col min="13" max="13" width="24.5" style="8" bestFit="1" customWidth="1"/>
  </cols>
  <sheetData>
    <row r="1" spans="5:12" ht="15" customHeight="1"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5" t="s">
        <v>7</v>
      </c>
    </row>
    <row r="2" spans="5:12" ht="15" customHeight="1">
      <c r="E2" s="6">
        <v>1.44014691053355</v>
      </c>
      <c r="F2" s="6">
        <v>4.2546817949318099</v>
      </c>
      <c r="G2" s="6">
        <v>23.988732759361302</v>
      </c>
      <c r="H2" s="6">
        <v>1.89440678042364</v>
      </c>
      <c r="I2" s="6">
        <v>3.2735225424933501</v>
      </c>
      <c r="J2" s="6">
        <v>32.980834191948901</v>
      </c>
      <c r="K2" s="6">
        <v>1.98619579599679</v>
      </c>
      <c r="L2" s="7">
        <v>219</v>
      </c>
    </row>
    <row r="3" spans="5:12" ht="15" customHeight="1">
      <c r="E3" s="6">
        <v>1.4165945775339099</v>
      </c>
      <c r="F3" s="6">
        <v>4.1598248044491601</v>
      </c>
      <c r="G3" s="6">
        <v>25.665347317603601</v>
      </c>
      <c r="H3" s="6">
        <v>1.8299494970638199</v>
      </c>
      <c r="I3" s="6">
        <v>4.0387406244217203</v>
      </c>
      <c r="J3" s="6">
        <v>32.257920178918901</v>
      </c>
      <c r="K3" s="6">
        <v>1.9862397074872</v>
      </c>
      <c r="L3" s="7">
        <v>218</v>
      </c>
    </row>
    <row r="4" spans="5:12" ht="15" customHeight="1">
      <c r="E4" s="6">
        <v>1.4202715381739801</v>
      </c>
      <c r="F4" s="6">
        <v>4.2763229059182297</v>
      </c>
      <c r="G4" s="6">
        <v>25.407910461384901</v>
      </c>
      <c r="H4" s="6">
        <v>1.94210535495942</v>
      </c>
      <c r="I4" s="6">
        <v>3.2144328080146298</v>
      </c>
      <c r="J4" s="6">
        <v>35.134800643918403</v>
      </c>
      <c r="K4" s="6">
        <v>1.9842521628299401</v>
      </c>
      <c r="L4" s="7">
        <v>217</v>
      </c>
    </row>
    <row r="5" spans="5:12" ht="15" customHeight="1">
      <c r="E5" s="6">
        <v>1.3376796067819601</v>
      </c>
      <c r="F5" s="6">
        <v>4.2366965409483299</v>
      </c>
      <c r="G5" s="6">
        <v>27.0697567360478</v>
      </c>
      <c r="H5" s="6">
        <v>2.0735773736298002</v>
      </c>
      <c r="I5" s="6">
        <v>3.13452853768925</v>
      </c>
      <c r="J5" s="6">
        <v>32.082988090686797</v>
      </c>
      <c r="K5" s="6">
        <v>1.9692362357516799</v>
      </c>
      <c r="L5" s="7">
        <v>216</v>
      </c>
    </row>
    <row r="6" spans="5:12" ht="15" customHeight="1">
      <c r="E6" s="6">
        <v>1.2639457007821699</v>
      </c>
      <c r="F6" s="6">
        <v>4.14279145380912</v>
      </c>
      <c r="G6" s="6">
        <v>26.478353387313401</v>
      </c>
      <c r="H6" s="6">
        <v>2.0498849032006099</v>
      </c>
      <c r="I6" s="6">
        <v>3.72934136705417</v>
      </c>
      <c r="J6" s="6">
        <v>32.483154407141697</v>
      </c>
      <c r="K6" s="6">
        <v>1.97486212426159</v>
      </c>
      <c r="L6" s="7">
        <v>215</v>
      </c>
    </row>
    <row r="7" spans="5:12" ht="15" customHeight="1">
      <c r="E7" s="6">
        <v>1.50914753716123</v>
      </c>
      <c r="F7" s="6">
        <v>4.1466963960629402</v>
      </c>
      <c r="G7" s="6">
        <v>26.483647397908701</v>
      </c>
      <c r="H7" s="6">
        <v>2.04643307866478</v>
      </c>
      <c r="I7" s="6">
        <v>2.9739163378996301</v>
      </c>
      <c r="J7" s="6">
        <v>35.172358635933001</v>
      </c>
      <c r="K7" s="6">
        <v>1.97629892956694</v>
      </c>
      <c r="L7" s="7">
        <v>214</v>
      </c>
    </row>
    <row r="8" spans="5:12" ht="15" customHeight="1">
      <c r="E8" s="6">
        <v>1.3748132833559601</v>
      </c>
      <c r="F8" s="6">
        <v>4.2224300235790002</v>
      </c>
      <c r="G8" s="6">
        <v>25.977103555972398</v>
      </c>
      <c r="H8" s="6">
        <v>1.97078726973743</v>
      </c>
      <c r="I8" s="6">
        <v>3.5490989829317501</v>
      </c>
      <c r="J8" s="6">
        <v>33.230227254112997</v>
      </c>
      <c r="K8" s="6">
        <v>1.9656976901358301</v>
      </c>
      <c r="L8" s="7">
        <v>213</v>
      </c>
    </row>
    <row r="9" spans="5:12" ht="15" customHeight="1">
      <c r="E9" s="6">
        <v>1.4275827958681699</v>
      </c>
      <c r="F9" s="6">
        <v>4.1865809576204303</v>
      </c>
      <c r="G9" s="6">
        <v>27.246253376971499</v>
      </c>
      <c r="H9" s="6">
        <v>1.89046273290186</v>
      </c>
      <c r="I9" s="6">
        <v>3.5183972240366002</v>
      </c>
      <c r="J9" s="6">
        <v>34.4275091622359</v>
      </c>
      <c r="K9" s="6">
        <v>1.95915940483809</v>
      </c>
      <c r="L9" s="7">
        <v>212</v>
      </c>
    </row>
    <row r="10" spans="5:12" ht="15" customHeight="1">
      <c r="E10" s="6">
        <v>1.57159772504415</v>
      </c>
      <c r="F10" s="6">
        <v>4.1860826674559402</v>
      </c>
      <c r="G10" s="6">
        <v>28.165409783532802</v>
      </c>
      <c r="H10" s="6">
        <v>1.8347594758110299</v>
      </c>
      <c r="I10" s="6">
        <v>3.8021984497000401</v>
      </c>
      <c r="J10" s="6">
        <v>32.187053466896998</v>
      </c>
      <c r="K10" s="6">
        <v>1.9575073099467699</v>
      </c>
      <c r="L10" s="7">
        <v>211</v>
      </c>
    </row>
    <row r="11" spans="5:12" ht="15" customHeight="1">
      <c r="E11" s="6">
        <v>1.28263204234299</v>
      </c>
      <c r="F11" s="6">
        <v>4.1865427282365104</v>
      </c>
      <c r="G11" s="6">
        <v>28.467759003156001</v>
      </c>
      <c r="H11" s="6">
        <v>1.96649824873561</v>
      </c>
      <c r="I11" s="6">
        <v>3.9017166394587801</v>
      </c>
      <c r="J11" s="6">
        <v>33.574660587492403</v>
      </c>
      <c r="K11" s="6">
        <v>1.9511820972370399</v>
      </c>
      <c r="L11" s="7">
        <v>210</v>
      </c>
    </row>
    <row r="12" spans="5:12" ht="15" customHeight="1">
      <c r="E12" s="6">
        <v>1.51597377241419</v>
      </c>
      <c r="F12" s="6">
        <v>4.1972209968299801</v>
      </c>
      <c r="G12" s="6">
        <v>27.1903307109488</v>
      </c>
      <c r="H12" s="6">
        <v>1.9835742714912099</v>
      </c>
      <c r="I12" s="6">
        <v>3.72627014120018</v>
      </c>
      <c r="J12" s="6">
        <v>28.619731133118101</v>
      </c>
      <c r="K12" s="6">
        <v>1.93981145249537</v>
      </c>
      <c r="L12" s="7">
        <v>209</v>
      </c>
    </row>
    <row r="13" spans="5:12" ht="15" customHeight="1">
      <c r="E13" s="6">
        <v>1.5214232772046801</v>
      </c>
      <c r="F13" s="6">
        <v>4.2048621323656397</v>
      </c>
      <c r="G13" s="6">
        <v>28.401882467287098</v>
      </c>
      <c r="H13" s="6">
        <v>1.8885074334315199</v>
      </c>
      <c r="I13" s="6">
        <v>3.9569039702359898</v>
      </c>
      <c r="J13" s="6">
        <v>32.633557595557399</v>
      </c>
      <c r="K13" s="6">
        <v>1.94583311907168</v>
      </c>
      <c r="L13" s="7">
        <v>208</v>
      </c>
    </row>
    <row r="14" spans="5:12" ht="15" customHeight="1">
      <c r="E14" s="6">
        <v>1.3474639605550001</v>
      </c>
      <c r="F14" s="6">
        <v>4.1677282989370799</v>
      </c>
      <c r="G14" s="6">
        <v>24.3345859347471</v>
      </c>
      <c r="H14" s="6">
        <v>1.85471830270095</v>
      </c>
      <c r="I14" s="6">
        <v>4.19159182635262</v>
      </c>
      <c r="J14" s="6">
        <v>33.500879057454199</v>
      </c>
      <c r="K14" s="6">
        <v>1.9383533977456699</v>
      </c>
      <c r="L14" s="7">
        <v>207</v>
      </c>
    </row>
    <row r="15" spans="5:12" ht="15" customHeight="1">
      <c r="E15" s="6">
        <v>1.4410438228339399</v>
      </c>
      <c r="F15" s="6">
        <v>4.2039740493028503</v>
      </c>
      <c r="G15" s="6">
        <v>24.252692225425601</v>
      </c>
      <c r="H15" s="6">
        <v>1.9753489335697001</v>
      </c>
      <c r="I15" s="6">
        <v>3.3663186256381401</v>
      </c>
      <c r="J15" s="6">
        <v>30.6970621859878</v>
      </c>
      <c r="K15" s="6">
        <v>1.9339836360923399</v>
      </c>
      <c r="L15" s="7">
        <v>206</v>
      </c>
    </row>
    <row r="16" spans="5:12" ht="15" customHeight="1">
      <c r="E16" s="6">
        <v>1.3386508989694601</v>
      </c>
      <c r="F16" s="6">
        <v>4.17746812217736</v>
      </c>
      <c r="G16" s="6">
        <v>27.468265481794798</v>
      </c>
      <c r="H16" s="6">
        <v>2.0957908347103098</v>
      </c>
      <c r="I16" s="6">
        <v>3.9319794754327702</v>
      </c>
      <c r="J16" s="6">
        <v>35.762206221152702</v>
      </c>
      <c r="K16" s="6">
        <v>1.9290872626339499</v>
      </c>
      <c r="L16" s="7">
        <v>205</v>
      </c>
    </row>
    <row r="17" spans="5:12" ht="15" customHeight="1">
      <c r="E17" s="6">
        <v>1.54944412002191</v>
      </c>
      <c r="F17" s="6">
        <v>4.1802435371719797</v>
      </c>
      <c r="G17" s="6">
        <v>26.609922324682199</v>
      </c>
      <c r="H17" s="6">
        <v>2.05843387243246</v>
      </c>
      <c r="I17" s="6">
        <v>3.5802958799850901</v>
      </c>
      <c r="J17" s="6">
        <v>29.7709343817933</v>
      </c>
      <c r="K17" s="6">
        <v>1.9222265853240901</v>
      </c>
      <c r="L17" s="7">
        <v>204</v>
      </c>
    </row>
    <row r="18" spans="5:12" ht="15" customHeight="1">
      <c r="E18" s="6">
        <v>1.35816658374906</v>
      </c>
      <c r="F18" s="6">
        <v>4.2120712745928701</v>
      </c>
      <c r="G18" s="6">
        <v>27.0589624862343</v>
      </c>
      <c r="H18" s="6">
        <v>1.9509866774036599</v>
      </c>
      <c r="I18" s="6">
        <v>3.8072056213002798</v>
      </c>
      <c r="J18" s="6">
        <v>31.7955644192077</v>
      </c>
      <c r="K18" s="6">
        <v>1.9165565675916001</v>
      </c>
      <c r="L18" s="7">
        <v>203</v>
      </c>
    </row>
    <row r="19" spans="5:12" ht="15" customHeight="1">
      <c r="E19" s="6">
        <v>1.32679761245085</v>
      </c>
      <c r="F19" s="6">
        <v>4.1860738038904604</v>
      </c>
      <c r="G19" s="6">
        <v>26.679397723828501</v>
      </c>
      <c r="H19" s="6">
        <v>1.89444836866248</v>
      </c>
      <c r="I19" s="6">
        <v>3.5722912844461598</v>
      </c>
      <c r="J19" s="6">
        <v>31.6336239084645</v>
      </c>
      <c r="K19" s="6">
        <v>1.91176056785584</v>
      </c>
      <c r="L19" s="7">
        <v>202</v>
      </c>
    </row>
    <row r="20" spans="5:12" ht="15" customHeight="1">
      <c r="E20" s="6">
        <v>1.56856043753917</v>
      </c>
      <c r="F20" s="6">
        <v>4.1381437411296398</v>
      </c>
      <c r="G20" s="6">
        <v>27.271251336255698</v>
      </c>
      <c r="H20" s="6">
        <v>1.9908818710796401</v>
      </c>
      <c r="I20" s="6">
        <v>4.1798099356859</v>
      </c>
      <c r="J20" s="6">
        <v>26.848457296418001</v>
      </c>
      <c r="K20" s="6">
        <v>1.90736380083138</v>
      </c>
      <c r="L20" s="7">
        <v>201</v>
      </c>
    </row>
    <row r="21" spans="5:12" ht="15" customHeight="1">
      <c r="E21" s="6">
        <v>1.426717598795</v>
      </c>
      <c r="F21" s="6">
        <v>4.2069025430450502</v>
      </c>
      <c r="G21" s="6">
        <v>27.8323614606477</v>
      </c>
      <c r="H21" s="6">
        <v>2.0019980609192198</v>
      </c>
      <c r="I21" s="6">
        <v>4.0284078708111704</v>
      </c>
      <c r="J21" s="6">
        <v>31.4435330080073</v>
      </c>
      <c r="K21" s="6">
        <v>1.89966320312169</v>
      </c>
      <c r="L21" s="7">
        <v>200</v>
      </c>
    </row>
    <row r="22" spans="5:12" ht="15" customHeight="1">
      <c r="E22" s="6">
        <v>1.45330122268637</v>
      </c>
      <c r="F22" s="6">
        <v>4.1983002932615703</v>
      </c>
      <c r="G22" s="6">
        <v>25.359424993380902</v>
      </c>
      <c r="H22" s="6">
        <v>1.8970148341497799</v>
      </c>
      <c r="I22" s="6">
        <v>4.0230477085226104</v>
      </c>
      <c r="J22" s="6">
        <v>36.121045121723597</v>
      </c>
      <c r="K22" s="6">
        <v>1.8924717619036999</v>
      </c>
      <c r="L22" s="7">
        <v>199</v>
      </c>
    </row>
    <row r="23" spans="5:12" ht="15" customHeight="1">
      <c r="E23" s="6">
        <v>1.32357544820128</v>
      </c>
      <c r="F23" s="6">
        <v>4.1960910405356202</v>
      </c>
      <c r="G23" s="6">
        <v>25.6914547730198</v>
      </c>
      <c r="H23" s="6">
        <v>1.9191224014677</v>
      </c>
      <c r="I23" s="6">
        <v>4.1907259075365504</v>
      </c>
      <c r="J23" s="6">
        <v>32.895228059067101</v>
      </c>
      <c r="K23" s="6">
        <v>1.8878543960741401</v>
      </c>
      <c r="L23" s="7">
        <v>198</v>
      </c>
    </row>
    <row r="24" spans="5:12" ht="15" customHeight="1">
      <c r="E24" s="6">
        <v>1.4005280934779401</v>
      </c>
      <c r="F24" s="6">
        <v>4.1435342977257896</v>
      </c>
      <c r="G24" s="6">
        <v>26.379482526171</v>
      </c>
      <c r="H24" s="6">
        <v>2.0314058149866199</v>
      </c>
      <c r="I24" s="6">
        <v>3.5956982598480498</v>
      </c>
      <c r="J24" s="6">
        <v>33.197983253554199</v>
      </c>
      <c r="K24" s="6">
        <v>1.8859545821271599</v>
      </c>
      <c r="L24" s="7">
        <v>197</v>
      </c>
    </row>
    <row r="25" spans="5:12" ht="15" customHeight="1">
      <c r="E25" s="6">
        <v>1.51050923158628</v>
      </c>
      <c r="F25" s="6">
        <v>4.1875906932434201</v>
      </c>
      <c r="G25" s="6">
        <v>27.967208115222199</v>
      </c>
      <c r="H25" s="6">
        <v>2.1716882187190301</v>
      </c>
      <c r="I25" s="6">
        <v>3.4919894260003002</v>
      </c>
      <c r="J25" s="6">
        <v>31.512481662098299</v>
      </c>
      <c r="K25" s="6">
        <v>1.8836367253907</v>
      </c>
      <c r="L25" s="7">
        <v>196</v>
      </c>
    </row>
    <row r="26" spans="5:12" ht="15" customHeight="1">
      <c r="E26" s="6">
        <v>1.53307256001743</v>
      </c>
      <c r="F26" s="6">
        <v>4.2736128288381101</v>
      </c>
      <c r="G26" s="6">
        <v>28.4950132695026</v>
      </c>
      <c r="H26" s="6">
        <v>1.9335541616877701</v>
      </c>
      <c r="I26" s="6">
        <v>3.5771349268455799</v>
      </c>
      <c r="J26" s="6">
        <v>34.832288924954497</v>
      </c>
      <c r="K26" s="6">
        <v>1.8783020419890499</v>
      </c>
      <c r="L26" s="7">
        <v>195</v>
      </c>
    </row>
    <row r="27" spans="5:12" ht="15" customHeight="1">
      <c r="E27" s="6">
        <v>1.4889763851962901</v>
      </c>
      <c r="F27" s="6">
        <v>4.2591232238996497</v>
      </c>
      <c r="G27" s="6">
        <v>29.2958684796805</v>
      </c>
      <c r="H27" s="6">
        <v>2.0122766176034901</v>
      </c>
      <c r="I27" s="6">
        <v>3.5199095867265302</v>
      </c>
      <c r="J27" s="6">
        <v>33.056393193512498</v>
      </c>
      <c r="K27" s="6">
        <v>1.86903860292373</v>
      </c>
      <c r="L27" s="7">
        <v>194</v>
      </c>
    </row>
    <row r="28" spans="5:12" ht="15" customHeight="1">
      <c r="E28" s="6">
        <v>1.49045732535825</v>
      </c>
      <c r="F28" s="6">
        <v>4.2043468173259102</v>
      </c>
      <c r="G28" s="6">
        <v>25.915638014465799</v>
      </c>
      <c r="H28" s="6">
        <v>1.92322081164671</v>
      </c>
      <c r="I28" s="6">
        <v>3.4580562752347701</v>
      </c>
      <c r="J28" s="6">
        <v>32.311392207444499</v>
      </c>
      <c r="K28" s="6">
        <v>1.8712057465115499</v>
      </c>
      <c r="L28" s="7">
        <v>193</v>
      </c>
    </row>
    <row r="29" spans="5:12" ht="15" customHeight="1">
      <c r="E29" s="6">
        <v>1.5325603640769201</v>
      </c>
      <c r="F29" s="6">
        <v>4.2212459921567698</v>
      </c>
      <c r="G29" s="6">
        <v>26.815738204696</v>
      </c>
      <c r="H29" s="6">
        <v>1.93146490553379</v>
      </c>
      <c r="I29" s="6">
        <v>3.9902882092690199</v>
      </c>
      <c r="J29" s="6">
        <v>32.086571793878001</v>
      </c>
      <c r="K29" s="6">
        <v>1.8609955932679301</v>
      </c>
      <c r="L29" s="7">
        <v>192</v>
      </c>
    </row>
    <row r="30" spans="5:12" ht="15" customHeight="1">
      <c r="E30" s="6">
        <v>1.3471728635189999</v>
      </c>
      <c r="F30" s="6">
        <v>4.2091936974641797</v>
      </c>
      <c r="G30" s="6">
        <v>28.119929585952999</v>
      </c>
      <c r="H30" s="6">
        <v>1.94273235660233</v>
      </c>
      <c r="I30" s="6">
        <v>3.49479350521645</v>
      </c>
      <c r="J30" s="6">
        <v>30.039762070451001</v>
      </c>
      <c r="K30" s="6">
        <v>1.85652647603498</v>
      </c>
      <c r="L30" s="7">
        <v>191</v>
      </c>
    </row>
    <row r="31" spans="5:12" ht="15" customHeight="1">
      <c r="E31" s="6">
        <v>1.41182607668213</v>
      </c>
      <c r="F31" s="6">
        <v>4.2439530991785404</v>
      </c>
      <c r="G31" s="6">
        <v>28.168071725634402</v>
      </c>
      <c r="H31" s="6">
        <v>1.95758026367802</v>
      </c>
      <c r="I31" s="6">
        <v>3.1349165892348099</v>
      </c>
      <c r="J31" s="6">
        <v>29.577412866486899</v>
      </c>
      <c r="K31" s="6">
        <v>1.85775887429185</v>
      </c>
      <c r="L31" s="7">
        <v>190</v>
      </c>
    </row>
    <row r="32" spans="5:12" ht="15" customHeight="1">
      <c r="E32" s="6">
        <v>1.3125375394411101</v>
      </c>
      <c r="F32" s="6">
        <v>4.21232266283016</v>
      </c>
      <c r="G32" s="6">
        <v>26.256010962627801</v>
      </c>
      <c r="H32" s="6">
        <v>2.1285603852719399</v>
      </c>
      <c r="I32" s="6">
        <v>3.3745533188320702</v>
      </c>
      <c r="J32" s="6">
        <v>34.523504527205603</v>
      </c>
      <c r="K32" s="6">
        <v>1.8399530815448999</v>
      </c>
      <c r="L32" s="7">
        <v>189</v>
      </c>
    </row>
    <row r="33" spans="5:12" ht="15" customHeight="1">
      <c r="E33" s="6">
        <v>1.48805896798281</v>
      </c>
      <c r="F33" s="6">
        <v>4.1376603685647702</v>
      </c>
      <c r="G33" s="6">
        <v>27.7379265104057</v>
      </c>
      <c r="H33" s="6">
        <v>2.1363962979202902</v>
      </c>
      <c r="I33" s="6">
        <v>3.8012861201025001</v>
      </c>
      <c r="J33" s="6">
        <v>31.207222567612099</v>
      </c>
      <c r="K33" s="6">
        <v>1.8440256213731201</v>
      </c>
      <c r="L33" s="7">
        <v>188</v>
      </c>
    </row>
    <row r="34" spans="5:12" ht="15" customHeight="1">
      <c r="E34" s="6">
        <v>1.38035761612577</v>
      </c>
      <c r="F34" s="6">
        <v>4.2577900039348098</v>
      </c>
      <c r="G34" s="6">
        <v>25.885686840753898</v>
      </c>
      <c r="H34" s="6">
        <v>2.1166572402323802</v>
      </c>
      <c r="I34" s="6">
        <v>3.2267170104459399</v>
      </c>
      <c r="J34" s="6">
        <v>35.558024646890303</v>
      </c>
      <c r="K34" s="6">
        <v>1.8338549499025401</v>
      </c>
      <c r="L34" s="7">
        <v>187</v>
      </c>
    </row>
    <row r="35" spans="5:12" ht="15" customHeight="1">
      <c r="E35" s="6">
        <v>1.41858885862746</v>
      </c>
      <c r="F35" s="6">
        <v>4.1724865880833697</v>
      </c>
      <c r="G35" s="6">
        <v>26.515707248396598</v>
      </c>
      <c r="H35" s="6">
        <v>2.03226413408197</v>
      </c>
      <c r="I35" s="6">
        <v>3.52122611768247</v>
      </c>
      <c r="J35" s="6">
        <v>32.735939103219302</v>
      </c>
      <c r="K35" s="6">
        <v>1.8276520153865199</v>
      </c>
      <c r="L35" s="7">
        <v>186</v>
      </c>
    </row>
    <row r="36" spans="5:12" ht="15" customHeight="1">
      <c r="E36" s="6">
        <v>1.3800612625898101</v>
      </c>
      <c r="F36" s="6">
        <v>4.1721832487052701</v>
      </c>
      <c r="G36" s="6">
        <v>24.795294936604201</v>
      </c>
      <c r="H36" s="6">
        <v>1.8758965650875901</v>
      </c>
      <c r="I36" s="6">
        <v>3.2701428063476099</v>
      </c>
      <c r="J36" s="6">
        <v>30.402693816898399</v>
      </c>
      <c r="K36" s="6">
        <v>1.8243416628581399</v>
      </c>
      <c r="L36" s="7">
        <v>185</v>
      </c>
    </row>
    <row r="37" spans="5:12" ht="15" customHeight="1">
      <c r="E37" s="6">
        <v>1.69645379849399</v>
      </c>
      <c r="F37" s="6">
        <v>4.2513956156254897</v>
      </c>
      <c r="G37" s="6">
        <v>24.336094769892</v>
      </c>
      <c r="H37" s="6">
        <v>1.9484446060319001</v>
      </c>
      <c r="I37" s="6">
        <v>3.3746335202545401</v>
      </c>
      <c r="J37" s="6">
        <v>37.010723340816</v>
      </c>
      <c r="K37" s="6">
        <v>1.82502317603797</v>
      </c>
      <c r="L37" s="7">
        <v>184</v>
      </c>
    </row>
    <row r="38" spans="5:12" ht="15" customHeight="1">
      <c r="E38" s="6">
        <v>1.3937065835575499</v>
      </c>
      <c r="F38" s="6">
        <v>4.2095307982969397</v>
      </c>
      <c r="G38" s="6">
        <v>26.112270112239099</v>
      </c>
      <c r="H38" s="6">
        <v>1.9851772836459001</v>
      </c>
      <c r="I38" s="6">
        <v>3.8882148636221898</v>
      </c>
      <c r="J38" s="6">
        <v>34.082943041588102</v>
      </c>
      <c r="K38" s="6">
        <v>1.8110581701692601</v>
      </c>
      <c r="L38" s="7">
        <v>183</v>
      </c>
    </row>
    <row r="39" spans="5:12" ht="15" customHeight="1">
      <c r="E39" s="6">
        <v>1.4610834416099701</v>
      </c>
      <c r="F39" s="6">
        <v>4.3016880184526602</v>
      </c>
      <c r="G39" s="6">
        <v>25.291983834374701</v>
      </c>
      <c r="H39" s="6">
        <v>1.86931396564465</v>
      </c>
      <c r="I39" s="6">
        <v>3.5943382657145402</v>
      </c>
      <c r="J39" s="6">
        <v>32.412971184953101</v>
      </c>
      <c r="K39" s="6">
        <v>1.81049855647976</v>
      </c>
      <c r="L39" s="7">
        <v>182</v>
      </c>
    </row>
    <row r="40" spans="5:12" ht="15" customHeight="1">
      <c r="E40" s="6">
        <v>1.4434756848672701</v>
      </c>
      <c r="F40" s="6">
        <v>4.1019772842052102</v>
      </c>
      <c r="G40" s="6">
        <v>26.620524764206799</v>
      </c>
      <c r="H40" s="6">
        <v>2.0178208556811099</v>
      </c>
      <c r="I40" s="6">
        <v>3.6368736491011</v>
      </c>
      <c r="J40" s="6">
        <v>33.295952297912798</v>
      </c>
      <c r="K40" s="6">
        <v>1.8097314516266501</v>
      </c>
      <c r="L40" s="7">
        <v>181</v>
      </c>
    </row>
    <row r="41" spans="5:12" ht="15" customHeight="1">
      <c r="E41" s="6">
        <v>1.4878675232234999</v>
      </c>
      <c r="F41" s="6">
        <v>4.2268130081251503</v>
      </c>
      <c r="G41" s="6">
        <v>26.965558248202999</v>
      </c>
      <c r="H41" s="6">
        <v>1.98906243442254</v>
      </c>
      <c r="I41" s="6">
        <v>3.73974806142667</v>
      </c>
      <c r="J41" s="6">
        <v>31.0953353876112</v>
      </c>
      <c r="K41" s="6">
        <v>1.79855834900569</v>
      </c>
      <c r="L41" s="7">
        <v>180</v>
      </c>
    </row>
    <row r="42" spans="5:12" ht="15" customHeight="1">
      <c r="E42" s="6">
        <v>1.2405606151120501</v>
      </c>
      <c r="F42" s="6">
        <v>4.2133466723973898</v>
      </c>
      <c r="G42" s="6">
        <v>26.1103705512988</v>
      </c>
      <c r="H42" s="6">
        <v>2.1364610066999798</v>
      </c>
      <c r="I42" s="6">
        <v>3.7334586792563602</v>
      </c>
      <c r="J42" s="6">
        <v>33.934436966008199</v>
      </c>
      <c r="K42" s="6">
        <v>1.7920944651211701</v>
      </c>
      <c r="L42" s="7">
        <v>179</v>
      </c>
    </row>
    <row r="43" spans="5:12" ht="15" customHeight="1">
      <c r="E43" s="6">
        <v>1.31730247588842</v>
      </c>
      <c r="F43" s="6">
        <v>4.1208166442063296</v>
      </c>
      <c r="G43" s="6">
        <v>28.724750331685001</v>
      </c>
      <c r="H43" s="6">
        <v>1.9081953469772801</v>
      </c>
      <c r="I43" s="6">
        <v>3.65156894786131</v>
      </c>
      <c r="J43" s="6">
        <v>33.716190473455001</v>
      </c>
      <c r="K43" s="6">
        <v>1.7861200806324999</v>
      </c>
      <c r="L43" s="7">
        <v>178</v>
      </c>
    </row>
    <row r="44" spans="5:12" ht="15" customHeight="1">
      <c r="E44" s="6">
        <v>1.52063181639205</v>
      </c>
      <c r="F44" s="6">
        <v>4.1780213037185296</v>
      </c>
      <c r="G44" s="6">
        <v>26.8916447976607</v>
      </c>
      <c r="H44" s="6">
        <v>2.0202052960952899</v>
      </c>
      <c r="I44" s="6">
        <v>3.6575577631992999</v>
      </c>
      <c r="J44" s="6">
        <v>33.443990428419298</v>
      </c>
      <c r="K44" s="6">
        <v>1.77499052422634</v>
      </c>
      <c r="L44" s="7">
        <v>177</v>
      </c>
    </row>
    <row r="45" spans="5:12" ht="15" customHeight="1">
      <c r="E45" s="6">
        <v>1.29815749204922</v>
      </c>
      <c r="F45" s="6">
        <v>4.1752734650502399</v>
      </c>
      <c r="G45" s="6">
        <v>28.112496015121199</v>
      </c>
      <c r="H45" s="6">
        <v>2.19968656437121</v>
      </c>
      <c r="I45" s="6">
        <v>3.88413668246652</v>
      </c>
      <c r="J45" s="6">
        <v>36.1421689532893</v>
      </c>
      <c r="K45" s="6">
        <v>1.7743753925214101</v>
      </c>
      <c r="L45" s="7">
        <v>176</v>
      </c>
    </row>
    <row r="46" spans="5:12" ht="15" customHeight="1">
      <c r="E46" s="6">
        <v>1.53259915848196</v>
      </c>
      <c r="F46" s="6">
        <v>4.2157133034804604</v>
      </c>
      <c r="G46" s="6">
        <v>27.218614552020298</v>
      </c>
      <c r="H46" s="6">
        <v>2.0687286909239799</v>
      </c>
      <c r="I46" s="6">
        <v>3.5364254592192301</v>
      </c>
      <c r="J46" s="6">
        <v>34.557346116679398</v>
      </c>
      <c r="K46" s="6">
        <v>1.76521675950043</v>
      </c>
      <c r="L46" s="7">
        <v>175</v>
      </c>
    </row>
    <row r="47" spans="5:12" ht="15" customHeight="1">
      <c r="E47" s="6">
        <v>1.28288286167704</v>
      </c>
      <c r="F47" s="6">
        <v>4.2411632043770098</v>
      </c>
      <c r="G47" s="6">
        <v>26.275704973384901</v>
      </c>
      <c r="H47" s="6">
        <v>2.0692087797276799</v>
      </c>
      <c r="I47" s="6">
        <v>3.9426003387917401</v>
      </c>
      <c r="J47" s="6">
        <v>31.922036035565199</v>
      </c>
      <c r="K47" s="6">
        <v>1.7647375246852399</v>
      </c>
      <c r="L47" s="7">
        <v>174</v>
      </c>
    </row>
    <row r="48" spans="5:12" ht="15" customHeight="1">
      <c r="E48" s="6">
        <v>1.3993743777402301</v>
      </c>
      <c r="F48" s="6">
        <v>4.14724744904297</v>
      </c>
      <c r="G48" s="6">
        <v>27.807074583096799</v>
      </c>
      <c r="H48" s="6">
        <v>1.95571005739151</v>
      </c>
      <c r="I48" s="6">
        <v>4.0031971444207901</v>
      </c>
      <c r="J48" s="6">
        <v>33.787433724872102</v>
      </c>
      <c r="K48" s="6">
        <v>1.7643911298664401</v>
      </c>
      <c r="L48" s="7">
        <v>173</v>
      </c>
    </row>
    <row r="49" spans="5:12" ht="15" customHeight="1">
      <c r="E49" s="6">
        <v>1.27690571459191</v>
      </c>
      <c r="F49" s="6">
        <v>4.2521550286291996</v>
      </c>
      <c r="G49" s="6">
        <v>28.762415788405701</v>
      </c>
      <c r="H49" s="6">
        <v>1.9509846468632299</v>
      </c>
      <c r="I49" s="6">
        <v>4.0200055330901501</v>
      </c>
      <c r="J49" s="6">
        <v>32.213035707087897</v>
      </c>
      <c r="K49" s="6">
        <v>1.7695230365090999</v>
      </c>
      <c r="L49" s="7">
        <v>172</v>
      </c>
    </row>
    <row r="50" spans="5:12" ht="15" customHeight="1">
      <c r="E50" s="6">
        <v>1.3834020760002299</v>
      </c>
      <c r="F50" s="6">
        <v>4.2721916392982697</v>
      </c>
      <c r="G50" s="6">
        <v>24.8934043531989</v>
      </c>
      <c r="H50" s="6">
        <v>2.0281380608974602</v>
      </c>
      <c r="I50" s="6">
        <v>3.77893725960713</v>
      </c>
      <c r="J50" s="6">
        <v>31.316880612027301</v>
      </c>
      <c r="K50" s="6">
        <v>1.7599957137434099</v>
      </c>
      <c r="L50" s="7">
        <v>171</v>
      </c>
    </row>
    <row r="51" spans="5:12" ht="15" customHeight="1">
      <c r="E51" s="6">
        <v>1.3797580959399001</v>
      </c>
      <c r="F51" s="6">
        <v>4.1828303302713499</v>
      </c>
      <c r="G51" s="6">
        <v>25.440809477401</v>
      </c>
      <c r="H51" s="6">
        <v>1.9746275803003699</v>
      </c>
      <c r="I51" s="6">
        <v>3.7662835291726999</v>
      </c>
      <c r="J51" s="6">
        <v>32.5070279004578</v>
      </c>
      <c r="K51" s="6">
        <v>1.7480940593532399</v>
      </c>
      <c r="L51" s="7">
        <v>170</v>
      </c>
    </row>
    <row r="52" spans="5:12" ht="15" customHeight="1">
      <c r="E52" s="6">
        <v>1.45593549589576</v>
      </c>
      <c r="F52" s="6">
        <v>4.2104922729193204</v>
      </c>
      <c r="G52" s="6">
        <v>26.174234234432301</v>
      </c>
      <c r="H52" s="6">
        <v>1.8943614064894601</v>
      </c>
      <c r="I52" s="6">
        <v>4.0084718191898103</v>
      </c>
      <c r="J52" s="6">
        <v>34.143762514277199</v>
      </c>
      <c r="K52" s="6">
        <v>1.7398243143946499</v>
      </c>
      <c r="L52" s="7">
        <v>169</v>
      </c>
    </row>
    <row r="53" spans="5:12" ht="15" customHeight="1">
      <c r="E53" s="6">
        <v>1.38003723052459</v>
      </c>
      <c r="F53" s="6">
        <v>4.2389568666238899</v>
      </c>
      <c r="G53" s="6">
        <v>28.6246196627174</v>
      </c>
      <c r="H53" s="6">
        <v>1.98415952768635</v>
      </c>
      <c r="I53" s="6">
        <v>2.8714198980929702</v>
      </c>
      <c r="J53" s="6">
        <v>33.8096141464382</v>
      </c>
      <c r="K53" s="6">
        <v>1.7371851833232499</v>
      </c>
      <c r="L53" s="7">
        <v>168</v>
      </c>
    </row>
    <row r="54" spans="5:12" ht="15" customHeight="1">
      <c r="E54" s="6">
        <v>1.451060102877</v>
      </c>
      <c r="F54" s="6">
        <v>4.2346602873190404</v>
      </c>
      <c r="G54" s="6">
        <v>26.579110376706701</v>
      </c>
      <c r="H54" s="6">
        <v>2.0725573705387301</v>
      </c>
      <c r="I54" s="6">
        <v>3.76509855399163</v>
      </c>
      <c r="J54" s="6">
        <v>33.135781404354802</v>
      </c>
      <c r="K54" s="6">
        <v>1.7299871468656001</v>
      </c>
      <c r="L54" s="7">
        <v>167</v>
      </c>
    </row>
    <row r="55" spans="5:12" ht="15" customHeight="1">
      <c r="E55" s="6">
        <v>1.43695392706442</v>
      </c>
      <c r="F55" s="6">
        <v>4.2104343525347296</v>
      </c>
      <c r="G55" s="6">
        <v>26.658983572248399</v>
      </c>
      <c r="H55" s="6">
        <v>1.9470751731038201</v>
      </c>
      <c r="I55" s="6">
        <v>4.0094299130747801</v>
      </c>
      <c r="J55" s="6">
        <v>29.538273291152301</v>
      </c>
      <c r="K55" s="6">
        <v>1.73232385806945</v>
      </c>
      <c r="L55" s="7">
        <v>166</v>
      </c>
    </row>
    <row r="56" spans="5:12" ht="15" customHeight="1">
      <c r="E56" s="6">
        <v>1.3518457147457601</v>
      </c>
      <c r="F56" s="6">
        <v>4.2261166178057001</v>
      </c>
      <c r="G56" s="6">
        <v>26.461198303662801</v>
      </c>
      <c r="H56" s="6">
        <v>1.9927624632412899</v>
      </c>
      <c r="I56" s="6">
        <v>3.2307874178356402</v>
      </c>
      <c r="J56" s="6">
        <v>31.295148904218198</v>
      </c>
      <c r="K56" s="6">
        <v>1.72093416186621</v>
      </c>
      <c r="L56" s="7">
        <v>165</v>
      </c>
    </row>
    <row r="57" spans="5:12" ht="15" customHeight="1">
      <c r="E57" s="6">
        <v>1.49339731653321</v>
      </c>
      <c r="F57" s="6">
        <v>4.2016710131849901</v>
      </c>
      <c r="G57" s="6">
        <v>24.430718842948298</v>
      </c>
      <c r="H57" s="6">
        <v>1.98762764311775</v>
      </c>
      <c r="I57" s="6">
        <v>3.7374569809468801</v>
      </c>
      <c r="J57" s="6">
        <v>34.021415447559598</v>
      </c>
      <c r="K57" s="6">
        <v>1.7138919058589399</v>
      </c>
      <c r="L57" s="7">
        <v>164</v>
      </c>
    </row>
    <row r="58" spans="5:12" ht="15" customHeight="1">
      <c r="E58" s="6">
        <v>1.4636484073053</v>
      </c>
      <c r="F58" s="6">
        <v>4.1619175051921697</v>
      </c>
      <c r="G58" s="6">
        <v>27.301732440740899</v>
      </c>
      <c r="H58" s="6">
        <v>1.91193305274756</v>
      </c>
      <c r="I58" s="6">
        <v>3.8262341870133199</v>
      </c>
      <c r="J58" s="6">
        <v>34.9394154473908</v>
      </c>
      <c r="K58" s="6">
        <v>1.7138991845817799</v>
      </c>
      <c r="L58" s="7">
        <v>163</v>
      </c>
    </row>
    <row r="59" spans="5:12" ht="15" customHeight="1">
      <c r="E59" s="6">
        <v>1.1738565674532</v>
      </c>
      <c r="F59" s="6">
        <v>4.2821718885039202</v>
      </c>
      <c r="G59" s="6">
        <v>26.619909353670501</v>
      </c>
      <c r="H59" s="6">
        <v>1.9454556450381399</v>
      </c>
      <c r="I59" s="6">
        <v>3.3086017552932798</v>
      </c>
      <c r="J59" s="6">
        <v>29.592316084055501</v>
      </c>
      <c r="K59" s="6">
        <v>1.7038543639382</v>
      </c>
      <c r="L59" s="7">
        <v>162</v>
      </c>
    </row>
    <row r="60" spans="5:12" ht="15" customHeight="1">
      <c r="E60" s="6">
        <v>1.3759179005682201</v>
      </c>
      <c r="F60" s="6">
        <v>4.2529376168158297</v>
      </c>
      <c r="G60" s="6">
        <v>28.725426794206399</v>
      </c>
      <c r="H60" s="6">
        <v>1.9572368653949701</v>
      </c>
      <c r="I60" s="6">
        <v>3.4143317767067001</v>
      </c>
      <c r="J60" s="6">
        <v>33.729740835932503</v>
      </c>
      <c r="K60" s="6">
        <v>1.7009816094230601</v>
      </c>
      <c r="L60" s="7">
        <v>161</v>
      </c>
    </row>
    <row r="61" spans="5:12" ht="15" customHeight="1">
      <c r="E61" s="6">
        <v>1.44110427927832</v>
      </c>
      <c r="F61" s="6">
        <v>4.1037033124129598</v>
      </c>
      <c r="G61" s="6">
        <v>25.523565381218699</v>
      </c>
      <c r="H61" s="6">
        <v>2.1490849667404701</v>
      </c>
      <c r="I61" s="6">
        <v>3.31211859442497</v>
      </c>
      <c r="J61" s="6">
        <v>33.119764073735801</v>
      </c>
      <c r="K61" s="6">
        <v>1.7095079930019501</v>
      </c>
      <c r="L61" s="7">
        <v>160</v>
      </c>
    </row>
    <row r="62" spans="5:12" ht="15" customHeight="1">
      <c r="E62" s="6">
        <v>1.47852044769589</v>
      </c>
      <c r="F62" s="6">
        <v>4.1370412650710504</v>
      </c>
      <c r="G62" s="6">
        <v>26.302409205313001</v>
      </c>
      <c r="H62" s="6">
        <v>2.1037266580726302</v>
      </c>
      <c r="I62" s="6">
        <v>3.2746974240203501</v>
      </c>
      <c r="J62" s="6">
        <v>31.950306509707701</v>
      </c>
      <c r="K62" s="6">
        <v>1.6918244345927</v>
      </c>
      <c r="L62" s="7">
        <v>159</v>
      </c>
    </row>
    <row r="63" spans="5:12" ht="15" customHeight="1">
      <c r="E63" s="6">
        <v>1.46460614126389</v>
      </c>
      <c r="F63" s="6">
        <v>4.1631671257327998</v>
      </c>
      <c r="G63" s="6">
        <v>26.815537304003598</v>
      </c>
      <c r="H63" s="6">
        <v>2.4112256604458602</v>
      </c>
      <c r="I63" s="6">
        <v>3.7908525063673002</v>
      </c>
      <c r="J63" s="6">
        <v>36.334689706776402</v>
      </c>
      <c r="K63" s="6">
        <v>1.69629371504244</v>
      </c>
      <c r="L63" s="7">
        <v>158</v>
      </c>
    </row>
    <row r="64" spans="5:12" ht="15" customHeight="1">
      <c r="E64" s="6">
        <v>1.59351976938142</v>
      </c>
      <c r="F64" s="6">
        <v>4.2442557691179301</v>
      </c>
      <c r="G64" s="6">
        <v>27.741637529450401</v>
      </c>
      <c r="H64" s="6">
        <v>2.10970280876507</v>
      </c>
      <c r="I64" s="6">
        <v>3.3379169639125399</v>
      </c>
      <c r="J64" s="6">
        <v>31.7563142470824</v>
      </c>
      <c r="K64" s="6">
        <v>1.68291798876766</v>
      </c>
      <c r="L64" s="7">
        <v>157</v>
      </c>
    </row>
    <row r="65" spans="5:12" ht="15" customHeight="1">
      <c r="E65" s="6">
        <v>1.46472164659459</v>
      </c>
      <c r="F65" s="6">
        <v>4.1967575343030301</v>
      </c>
      <c r="G65" s="6">
        <v>25.875028692567899</v>
      </c>
      <c r="H65" s="6">
        <v>1.97895147900579</v>
      </c>
      <c r="I65" s="6">
        <v>3.24646045240647</v>
      </c>
      <c r="J65" s="6">
        <v>31.8884350280746</v>
      </c>
      <c r="K65" s="6">
        <v>1.67208038872447</v>
      </c>
      <c r="L65" s="7">
        <v>156</v>
      </c>
    </row>
    <row r="66" spans="5:12" ht="15" customHeight="1">
      <c r="E66" s="6">
        <v>1.3656212350007</v>
      </c>
      <c r="F66" s="6">
        <v>4.2254296852250199</v>
      </c>
      <c r="G66" s="6">
        <v>28.0397940294826</v>
      </c>
      <c r="H66" s="6">
        <v>2.1825444842156898</v>
      </c>
      <c r="I66" s="6">
        <v>3.4324643195318698</v>
      </c>
      <c r="J66" s="6">
        <v>32.961491600730298</v>
      </c>
      <c r="K66" s="6">
        <v>1.6738074060244701</v>
      </c>
      <c r="L66" s="7">
        <v>155</v>
      </c>
    </row>
    <row r="67" spans="5:12" ht="15" customHeight="1">
      <c r="E67" s="6">
        <v>1.4604672505669201</v>
      </c>
      <c r="F67" s="6">
        <v>4.2484355991518497</v>
      </c>
      <c r="G67" s="6">
        <v>25.008823193666501</v>
      </c>
      <c r="H67" s="6">
        <v>2.0033079571352599</v>
      </c>
      <c r="I67" s="6">
        <v>3.6928430487784398</v>
      </c>
      <c r="J67" s="6">
        <v>35.3366857124091</v>
      </c>
      <c r="K67" s="6">
        <v>1.67165933088371</v>
      </c>
      <c r="L67" s="7">
        <v>154</v>
      </c>
    </row>
    <row r="68" spans="5:12" ht="15" customHeight="1">
      <c r="E68" s="6">
        <v>1.2361660851652601</v>
      </c>
      <c r="F68" s="6">
        <v>4.2361802648315097</v>
      </c>
      <c r="G68" s="6">
        <v>24.4399079648108</v>
      </c>
      <c r="H68" s="6">
        <v>1.95996665502927</v>
      </c>
      <c r="I68" s="6">
        <v>3.30028403266585</v>
      </c>
      <c r="J68" s="6">
        <v>30.2855226129264</v>
      </c>
      <c r="K68" s="6">
        <v>1.66637809615924</v>
      </c>
      <c r="L68" s="7">
        <v>153</v>
      </c>
    </row>
    <row r="69" spans="5:12" ht="15" customHeight="1">
      <c r="E69" s="6">
        <v>1.19463610465785</v>
      </c>
      <c r="F69" s="6">
        <v>4.2377183487488201</v>
      </c>
      <c r="G69" s="6">
        <v>29.242262757816</v>
      </c>
      <c r="H69" s="6">
        <v>2.03431272373123</v>
      </c>
      <c r="I69" s="6">
        <v>3.8086010099629601</v>
      </c>
      <c r="J69" s="6">
        <v>34.763193816502302</v>
      </c>
      <c r="K69" s="6">
        <v>1.6643182665578899</v>
      </c>
      <c r="L69" s="7">
        <v>152</v>
      </c>
    </row>
    <row r="70" spans="5:12" ht="15" customHeight="1">
      <c r="E70" s="6">
        <v>1.2797394414044401</v>
      </c>
      <c r="F70" s="6">
        <v>4.2190001982886498</v>
      </c>
      <c r="G70" s="6">
        <v>27.654545363436199</v>
      </c>
      <c r="H70" s="6">
        <v>2.0415374252998602</v>
      </c>
      <c r="I70" s="6">
        <v>3.4491531778389102</v>
      </c>
      <c r="J70" s="6">
        <v>32.230173739867098</v>
      </c>
      <c r="K70" s="6">
        <v>1.6559072982464</v>
      </c>
      <c r="L70" s="7">
        <v>151</v>
      </c>
    </row>
    <row r="71" spans="5:12" ht="15" customHeight="1">
      <c r="E71" s="6">
        <v>1.4569990520618099</v>
      </c>
      <c r="F71" s="6">
        <v>4.2579633773346002</v>
      </c>
      <c r="G71" s="6">
        <v>27.0961510849862</v>
      </c>
      <c r="H71" s="6">
        <v>1.9803337150161799</v>
      </c>
      <c r="I71" s="6">
        <v>3.5341927339202699</v>
      </c>
      <c r="J71" s="6">
        <v>35.112379161649898</v>
      </c>
      <c r="K71" s="6">
        <v>1.6441951700494499</v>
      </c>
      <c r="L71" s="7">
        <v>150</v>
      </c>
    </row>
    <row r="72" spans="5:12" ht="15" customHeight="1">
      <c r="E72" s="6">
        <v>1.4277456875896299</v>
      </c>
      <c r="F72" s="6">
        <v>4.1454813369264203</v>
      </c>
      <c r="G72" s="6">
        <v>28.489622091934901</v>
      </c>
      <c r="H72" s="6">
        <v>1.9669930844904</v>
      </c>
      <c r="I72" s="6">
        <v>3.7081553010575399</v>
      </c>
      <c r="J72" s="6">
        <v>37.055079355353101</v>
      </c>
      <c r="K72" s="6">
        <v>1.6381897366709199</v>
      </c>
      <c r="L72" s="7">
        <v>149</v>
      </c>
    </row>
    <row r="73" spans="5:12" ht="15" customHeight="1">
      <c r="E73" s="6">
        <v>1.3823074170974201</v>
      </c>
      <c r="F73" s="6">
        <v>4.2161014853992702</v>
      </c>
      <c r="G73" s="6">
        <v>25.923963139661399</v>
      </c>
      <c r="H73" s="6">
        <v>2.1102229491372499</v>
      </c>
      <c r="I73" s="6">
        <v>3.8612529153542501</v>
      </c>
      <c r="J73" s="6">
        <v>35.421707508855299</v>
      </c>
      <c r="K73" s="6">
        <v>1.6416763215832899</v>
      </c>
      <c r="L73" s="7">
        <v>148</v>
      </c>
    </row>
    <row r="74" spans="5:12" ht="15" customHeight="1">
      <c r="E74" s="6">
        <v>1.4665044418664299</v>
      </c>
      <c r="F74" s="6">
        <v>4.2071833848804898</v>
      </c>
      <c r="G74" s="6">
        <v>25.8044913491964</v>
      </c>
      <c r="H74" s="6">
        <v>2.0217552407551298</v>
      </c>
      <c r="I74" s="6">
        <v>3.7084854898622899</v>
      </c>
      <c r="J74" s="6">
        <v>33.397781339025101</v>
      </c>
      <c r="K74" s="6">
        <v>1.6374274527983901</v>
      </c>
      <c r="L74" s="7">
        <v>147</v>
      </c>
    </row>
    <row r="75" spans="5:12" ht="15" customHeight="1">
      <c r="E75" s="6">
        <v>1.34303263933784</v>
      </c>
      <c r="F75" s="6">
        <v>4.1348954732497303</v>
      </c>
      <c r="G75" s="6">
        <v>25.925190244108201</v>
      </c>
      <c r="H75" s="6">
        <v>2.0924207916231898</v>
      </c>
      <c r="I75" s="6">
        <v>3.8192885454452798</v>
      </c>
      <c r="J75" s="6">
        <v>33.1021830388841</v>
      </c>
      <c r="K75" s="6">
        <v>1.6336620945529301</v>
      </c>
      <c r="L75" s="7">
        <v>146</v>
      </c>
    </row>
    <row r="76" spans="5:12" ht="15" customHeight="1">
      <c r="E76" s="6">
        <v>1.52150357350917</v>
      </c>
      <c r="F76" s="6">
        <v>4.1439789058864198</v>
      </c>
      <c r="G76" s="6">
        <v>26.558677300898498</v>
      </c>
      <c r="H76" s="6">
        <v>1.75713730896529</v>
      </c>
      <c r="I76" s="6">
        <v>3.5135879132998702</v>
      </c>
      <c r="J76" s="6">
        <v>30.9821659120473</v>
      </c>
      <c r="K76" s="6">
        <v>1.6285920688676301</v>
      </c>
      <c r="L76" s="7">
        <v>145</v>
      </c>
    </row>
    <row r="77" spans="5:12" ht="15" customHeight="1">
      <c r="E77" s="6">
        <v>1.3797039798164601</v>
      </c>
      <c r="F77" s="6">
        <v>4.20742480132159</v>
      </c>
      <c r="G77" s="6">
        <v>26.810051779016899</v>
      </c>
      <c r="H77" s="6">
        <v>2.1724108317189499</v>
      </c>
      <c r="I77" s="6">
        <v>3.3610564282673501</v>
      </c>
      <c r="J77" s="6">
        <v>32.351291639585497</v>
      </c>
      <c r="K77" s="6">
        <v>1.6190703940748301</v>
      </c>
      <c r="L77" s="7">
        <v>144</v>
      </c>
    </row>
    <row r="78" spans="5:12" ht="15" customHeight="1">
      <c r="E78" s="6">
        <v>1.3408873827636201</v>
      </c>
      <c r="F78" s="6">
        <v>4.2298883206838296</v>
      </c>
      <c r="G78" s="6">
        <v>24.380107338174</v>
      </c>
      <c r="H78" s="6">
        <v>2.0720556237469299</v>
      </c>
      <c r="I78" s="6">
        <v>3.3114956848381301</v>
      </c>
      <c r="J78" s="6">
        <v>33.414561346789696</v>
      </c>
      <c r="K78" s="6">
        <v>1.6188514250491699</v>
      </c>
      <c r="L78" s="7">
        <v>143</v>
      </c>
    </row>
    <row r="79" spans="5:12" ht="15" customHeight="1">
      <c r="E79" s="6">
        <v>1.46507889070931</v>
      </c>
      <c r="F79" s="6">
        <v>4.2618129677525998</v>
      </c>
      <c r="G79" s="6">
        <v>26.021358493114299</v>
      </c>
      <c r="H79" s="6">
        <v>1.9899265658221399</v>
      </c>
      <c r="I79" s="6">
        <v>3.4305148546553101</v>
      </c>
      <c r="J79" s="6">
        <v>32.949301278425203</v>
      </c>
      <c r="K79" s="6">
        <v>1.6209557307114899</v>
      </c>
      <c r="L79" s="7">
        <v>142</v>
      </c>
    </row>
    <row r="80" spans="5:12" ht="15" customHeight="1">
      <c r="E80" s="6">
        <v>1.38077392350761</v>
      </c>
      <c r="F80" s="6">
        <v>4.1935269435387497</v>
      </c>
      <c r="G80" s="6">
        <v>28.099781137918399</v>
      </c>
      <c r="H80" s="6">
        <v>2.07065937292532</v>
      </c>
      <c r="I80" s="6">
        <v>3.3751761581587698</v>
      </c>
      <c r="J80" s="6">
        <v>34.465212404096299</v>
      </c>
      <c r="K80" s="6">
        <v>1.6064911943067299</v>
      </c>
      <c r="L80" s="7">
        <v>141</v>
      </c>
    </row>
    <row r="81" spans="5:12" ht="15" customHeight="1">
      <c r="E81" s="6">
        <v>1.4047738725096399</v>
      </c>
      <c r="F81" s="6">
        <v>4.1418779706976201</v>
      </c>
      <c r="G81" s="6">
        <v>26.5658732219444</v>
      </c>
      <c r="H81" s="6">
        <v>1.92300431184333</v>
      </c>
      <c r="I81" s="6">
        <v>3.4741768222052398</v>
      </c>
      <c r="J81" s="6">
        <v>30.946405133560301</v>
      </c>
      <c r="K81" s="6">
        <v>1.59977337294956</v>
      </c>
      <c r="L81" s="7">
        <v>140</v>
      </c>
    </row>
    <row r="82" spans="5:12" ht="15" customHeight="1">
      <c r="E82" s="6">
        <v>1.29950394997341</v>
      </c>
      <c r="F82" s="6">
        <v>4.2481259469923103</v>
      </c>
      <c r="G82" s="6">
        <v>26.028819008958799</v>
      </c>
      <c r="H82" s="6">
        <v>1.90508892025541</v>
      </c>
      <c r="I82" s="6">
        <v>3.5439493663153501</v>
      </c>
      <c r="J82" s="6">
        <v>29.848937561869601</v>
      </c>
      <c r="K82" s="6">
        <v>1.5984154209669399</v>
      </c>
      <c r="L82" s="7">
        <v>139</v>
      </c>
    </row>
    <row r="83" spans="5:12" ht="15" customHeight="1">
      <c r="E83" s="6">
        <v>1.4384203517417899</v>
      </c>
      <c r="F83" s="6">
        <v>4.2137525236050903</v>
      </c>
      <c r="G83" s="6">
        <v>27.3954924351549</v>
      </c>
      <c r="H83" s="6">
        <v>2.0167790711756899</v>
      </c>
      <c r="I83" s="6">
        <v>3.0444493199606599</v>
      </c>
      <c r="J83" s="6">
        <v>34.232735491546499</v>
      </c>
      <c r="K83" s="6">
        <v>1.5947425111620599</v>
      </c>
      <c r="L83" s="7">
        <v>138</v>
      </c>
    </row>
    <row r="84" spans="5:12" ht="15" customHeight="1">
      <c r="E84" s="6">
        <v>1.40611961637067</v>
      </c>
      <c r="F84" s="6">
        <v>4.1922874540845898</v>
      </c>
      <c r="G84" s="6">
        <v>25.366270850623799</v>
      </c>
      <c r="H84" s="6">
        <v>2.13249358542756</v>
      </c>
      <c r="I84" s="6">
        <v>3.1166789320536998</v>
      </c>
      <c r="J84" s="6">
        <v>34.776281023676802</v>
      </c>
      <c r="K84" s="6">
        <v>1.5903042497145601</v>
      </c>
      <c r="L84" s="7">
        <v>137</v>
      </c>
    </row>
    <row r="85" spans="5:12" ht="15" customHeight="1">
      <c r="E85" s="6">
        <v>1.3625618903114001</v>
      </c>
      <c r="F85" s="6">
        <v>4.2165511480781204</v>
      </c>
      <c r="G85" s="6">
        <v>25.953672305999099</v>
      </c>
      <c r="H85" s="6">
        <v>2.0358416091890899</v>
      </c>
      <c r="I85" s="6">
        <v>3.5977644677441099</v>
      </c>
      <c r="J85" s="6">
        <v>32.301259794179799</v>
      </c>
      <c r="K85" s="6">
        <v>1.5780228710530499</v>
      </c>
      <c r="L85" s="7">
        <v>136</v>
      </c>
    </row>
    <row r="86" spans="5:12" ht="15" customHeight="1">
      <c r="E86" s="6">
        <v>1.2554672274252301</v>
      </c>
      <c r="F86" s="6">
        <v>4.1030138411622401</v>
      </c>
      <c r="G86" s="6">
        <v>26.508996417377698</v>
      </c>
      <c r="H86" s="6">
        <v>1.8982321100919399</v>
      </c>
      <c r="I86" s="6">
        <v>3.4998291063344298</v>
      </c>
      <c r="J86" s="6">
        <v>32.989509530153299</v>
      </c>
      <c r="K86" s="6">
        <v>1.57399849133777</v>
      </c>
      <c r="L86" s="7">
        <v>135</v>
      </c>
    </row>
    <row r="87" spans="5:12" ht="15" customHeight="1">
      <c r="E87" s="6">
        <v>1.29435316895592</v>
      </c>
      <c r="F87" s="6">
        <v>4.1962822505108601</v>
      </c>
      <c r="G87" s="6">
        <v>29.6681516876241</v>
      </c>
      <c r="H87" s="6">
        <v>1.8067107372390201</v>
      </c>
      <c r="I87" s="6">
        <v>3.5002873747824998</v>
      </c>
      <c r="J87" s="6">
        <v>33.752230887860399</v>
      </c>
      <c r="K87" s="6">
        <v>1.5716795783903399</v>
      </c>
      <c r="L87" s="7">
        <v>134</v>
      </c>
    </row>
    <row r="88" spans="5:12" ht="15" customHeight="1">
      <c r="E88" s="6">
        <v>1.6050717867769</v>
      </c>
      <c r="F88" s="6">
        <v>4.2791167185824097</v>
      </c>
      <c r="G88" s="6">
        <v>28.3016593671443</v>
      </c>
      <c r="H88" s="6">
        <v>1.9840641429569701</v>
      </c>
      <c r="I88" s="6">
        <v>3.12979675852749</v>
      </c>
      <c r="J88" s="6">
        <v>31.920489194900298</v>
      </c>
      <c r="K88" s="6">
        <v>1.5689657060311499</v>
      </c>
      <c r="L88" s="7">
        <v>133</v>
      </c>
    </row>
    <row r="89" spans="5:12" ht="15" customHeight="1">
      <c r="E89" s="6">
        <v>1.6545503081558499</v>
      </c>
      <c r="F89" s="6">
        <v>4.2745503520585197</v>
      </c>
      <c r="G89" s="6">
        <v>27.678481757484999</v>
      </c>
      <c r="H89" s="6">
        <v>1.95401685426334</v>
      </c>
      <c r="I89" s="6">
        <v>3.65448639068978</v>
      </c>
      <c r="J89" s="6">
        <v>36.232986445162098</v>
      </c>
      <c r="K89" s="6">
        <v>1.5620420096379199</v>
      </c>
      <c r="L89" s="7">
        <v>132</v>
      </c>
    </row>
    <row r="90" spans="5:12" ht="15" customHeight="1">
      <c r="E90" s="6">
        <v>1.30280422886989</v>
      </c>
      <c r="F90" s="6">
        <v>4.2936428434281799</v>
      </c>
      <c r="G90" s="6">
        <v>24.028171074911999</v>
      </c>
      <c r="H90" s="6">
        <v>2.06023259174489</v>
      </c>
      <c r="I90" s="6">
        <v>3.52746318635457</v>
      </c>
      <c r="J90" s="6">
        <v>34.386156229277503</v>
      </c>
      <c r="K90" s="6">
        <v>1.55939717237414</v>
      </c>
      <c r="L90" s="7">
        <v>131</v>
      </c>
    </row>
    <row r="91" spans="5:12" ht="15" customHeight="1">
      <c r="E91" s="6">
        <v>1.25546117122433</v>
      </c>
      <c r="F91" s="6">
        <v>4.2217164810607102</v>
      </c>
      <c r="G91" s="6">
        <v>27.630150210617</v>
      </c>
      <c r="H91" s="6">
        <v>1.9848560035601499</v>
      </c>
      <c r="I91" s="6">
        <v>3.6437437061923701</v>
      </c>
      <c r="J91" s="6">
        <v>32.453004019338003</v>
      </c>
      <c r="K91" s="6">
        <v>1.5498633139885301</v>
      </c>
      <c r="L91" s="7">
        <v>130</v>
      </c>
    </row>
    <row r="92" spans="5:12" ht="15" customHeight="1">
      <c r="E92" s="6">
        <v>1.4630454364207801</v>
      </c>
      <c r="F92" s="6">
        <v>4.2004994032567202</v>
      </c>
      <c r="G92" s="6">
        <v>26.225643675090001</v>
      </c>
      <c r="H92" s="6">
        <v>2.1737253223983002</v>
      </c>
      <c r="I92" s="6">
        <v>2.7496903966424799</v>
      </c>
      <c r="J92" s="6">
        <v>34.533813523158301</v>
      </c>
      <c r="K92" s="6">
        <v>1.5443858126044501</v>
      </c>
      <c r="L92" s="7">
        <v>129</v>
      </c>
    </row>
    <row r="93" spans="5:12" ht="15" customHeight="1">
      <c r="E93" s="6">
        <v>1.31539596412712</v>
      </c>
      <c r="F93" s="6">
        <v>4.11055219094977</v>
      </c>
      <c r="G93" s="6">
        <v>25.350753206625701</v>
      </c>
      <c r="H93" s="6">
        <v>2.0160450248177901</v>
      </c>
      <c r="I93" s="6">
        <v>3.6883260815954002</v>
      </c>
      <c r="J93" s="6">
        <v>31.4622601601613</v>
      </c>
      <c r="K93" s="6">
        <v>1.5402955691220199</v>
      </c>
      <c r="L93" s="7">
        <v>128</v>
      </c>
    </row>
    <row r="94" spans="5:12" ht="15" customHeight="1">
      <c r="E94" s="6">
        <v>1.3290785866520101</v>
      </c>
      <c r="F94" s="6">
        <v>4.2354282188561401</v>
      </c>
      <c r="G94" s="6">
        <v>29.938150113229799</v>
      </c>
      <c r="H94" s="6">
        <v>1.8815776638082899</v>
      </c>
      <c r="I94" s="6">
        <v>3.5779125264063798</v>
      </c>
      <c r="J94" s="6">
        <v>33.333679600418002</v>
      </c>
      <c r="K94" s="6">
        <v>1.5370306562508</v>
      </c>
      <c r="L94" s="7">
        <v>127</v>
      </c>
    </row>
    <row r="95" spans="5:12" ht="15" customHeight="1">
      <c r="E95" s="6">
        <v>1.5142022032328599</v>
      </c>
      <c r="F95" s="6">
        <v>4.1724623798837097</v>
      </c>
      <c r="G95" s="6">
        <v>27.944954653667299</v>
      </c>
      <c r="H95" s="6">
        <v>2.1066115847155</v>
      </c>
      <c r="I95" s="6">
        <v>3.71607496788917</v>
      </c>
      <c r="J95" s="6">
        <v>32.841994123495901</v>
      </c>
      <c r="K95" s="6">
        <v>1.5235277792874</v>
      </c>
      <c r="L95" s="7">
        <v>126</v>
      </c>
    </row>
    <row r="96" spans="5:12" ht="15" customHeight="1">
      <c r="E96" s="6">
        <v>1.1848421138279199</v>
      </c>
      <c r="F96" s="6">
        <v>4.1498714064303499</v>
      </c>
      <c r="G96" s="6">
        <v>28.766163695050999</v>
      </c>
      <c r="H96" s="6">
        <v>2.0637723392132701</v>
      </c>
      <c r="I96" s="6">
        <v>3.1224416237257402</v>
      </c>
      <c r="J96" s="6">
        <v>33.943731478290303</v>
      </c>
      <c r="K96" s="6">
        <v>1.52282406787441</v>
      </c>
      <c r="L96" s="7">
        <v>125</v>
      </c>
    </row>
    <row r="97" spans="5:12" ht="15" customHeight="1">
      <c r="E97" s="6">
        <v>1.47004823657505</v>
      </c>
      <c r="F97" s="6">
        <v>4.1804976957262898</v>
      </c>
      <c r="G97" s="6">
        <v>24.073775374031499</v>
      </c>
      <c r="H97" s="6">
        <v>2.0102774892709099</v>
      </c>
      <c r="I97" s="6">
        <v>3.4956425252202199</v>
      </c>
      <c r="J97" s="6">
        <v>34.577632445889201</v>
      </c>
      <c r="K97" s="6">
        <v>1.5217115590988</v>
      </c>
      <c r="L97" s="7">
        <v>124</v>
      </c>
    </row>
    <row r="98" spans="5:12" ht="15" customHeight="1">
      <c r="E98" s="6">
        <v>1.2842769729758401</v>
      </c>
      <c r="F98" s="6">
        <v>4.1935660934213503</v>
      </c>
      <c r="G98" s="6">
        <v>30.913076938722199</v>
      </c>
      <c r="H98" s="6">
        <v>2.0120096956879099</v>
      </c>
      <c r="I98" s="6">
        <v>3.69962213739664</v>
      </c>
      <c r="J98" s="6">
        <v>32.474805261293596</v>
      </c>
      <c r="K98" s="6">
        <v>1.5141353251726299</v>
      </c>
      <c r="L98" s="7">
        <v>123</v>
      </c>
    </row>
    <row r="99" spans="5:12" ht="15" customHeight="1">
      <c r="E99" s="6">
        <v>1.2740001114564401</v>
      </c>
      <c r="F99" s="6">
        <v>4.2108520892632999</v>
      </c>
      <c r="G99" s="6">
        <v>26.678325441129601</v>
      </c>
      <c r="H99" s="6">
        <v>2.0712948390211201</v>
      </c>
      <c r="I99" s="6">
        <v>3.24419608377598</v>
      </c>
      <c r="J99" s="6">
        <v>32.613667912037201</v>
      </c>
      <c r="K99" s="6">
        <v>1.5091173539254701</v>
      </c>
      <c r="L99" s="7">
        <v>122</v>
      </c>
    </row>
    <row r="100" spans="5:12" ht="15" customHeight="1">
      <c r="E100" s="6">
        <v>1.4082941500262101</v>
      </c>
      <c r="F100" s="6">
        <v>4.1953649719012898</v>
      </c>
      <c r="G100" s="6">
        <v>27.5056756146971</v>
      </c>
      <c r="H100" s="6">
        <v>2.0041883072941999</v>
      </c>
      <c r="I100" s="6">
        <v>3.5060593156275299</v>
      </c>
      <c r="J100" s="6">
        <v>34.385781317234098</v>
      </c>
      <c r="K100" s="6">
        <v>1.5076881509064299</v>
      </c>
      <c r="L100" s="7">
        <v>121</v>
      </c>
    </row>
    <row r="101" spans="5:12" ht="15" customHeight="1">
      <c r="E101" s="6">
        <v>1.2334988375737801</v>
      </c>
      <c r="F101" s="6">
        <v>4.1928986984151502</v>
      </c>
      <c r="G101" s="6">
        <v>27.5935181223435</v>
      </c>
      <c r="H101" s="6">
        <v>2.0132477579552099</v>
      </c>
      <c r="I101" s="6">
        <v>3.02733867004443</v>
      </c>
      <c r="J101" s="6">
        <v>32.836775230095697</v>
      </c>
      <c r="K101" s="6">
        <v>1.50016830796047</v>
      </c>
      <c r="L101" s="7">
        <v>120</v>
      </c>
    </row>
    <row r="102" spans="5:12" ht="15" customHeight="1">
      <c r="E102" s="6">
        <v>1.2991941180689099</v>
      </c>
      <c r="F102" s="6">
        <v>4.2295847599732301</v>
      </c>
      <c r="G102" s="6">
        <v>26.363595177309598</v>
      </c>
      <c r="H102" s="6">
        <v>1.97733677398314</v>
      </c>
      <c r="I102" s="6">
        <v>3.2128816974010102</v>
      </c>
      <c r="J102" s="6">
        <v>33.7408062264387</v>
      </c>
      <c r="K102" s="6">
        <v>1.50333963348254</v>
      </c>
      <c r="L102" s="7">
        <v>119</v>
      </c>
    </row>
    <row r="103" spans="5:12" ht="15" customHeight="1">
      <c r="E103" s="6">
        <v>1.5106559620434601</v>
      </c>
      <c r="F103" s="6">
        <v>4.19530849917978</v>
      </c>
      <c r="G103" s="6">
        <v>26.524317843612099</v>
      </c>
      <c r="H103" s="6">
        <v>2.01244785684887</v>
      </c>
      <c r="I103" s="6">
        <v>3.50496292530707</v>
      </c>
      <c r="J103" s="6">
        <v>32.356339366522299</v>
      </c>
      <c r="K103" s="6">
        <v>1.49498193412547</v>
      </c>
      <c r="L103" s="7">
        <v>118</v>
      </c>
    </row>
    <row r="104" spans="5:12" ht="15" customHeight="1">
      <c r="E104" s="6">
        <v>1.4325143128753901</v>
      </c>
      <c r="F104" s="6">
        <v>4.2570647544919602</v>
      </c>
      <c r="G104" s="6">
        <v>26.040912134143099</v>
      </c>
      <c r="H104" s="6">
        <v>1.9248611104279501</v>
      </c>
      <c r="I104" s="6">
        <v>4.0677772630880398</v>
      </c>
      <c r="J104" s="6">
        <v>35.373425126461399</v>
      </c>
      <c r="K104" s="6">
        <v>1.48779685366739</v>
      </c>
      <c r="L104" s="7">
        <v>117</v>
      </c>
    </row>
    <row r="105" spans="5:12" ht="15" customHeight="1">
      <c r="E105" s="6">
        <v>1.4065941977190499</v>
      </c>
      <c r="F105" s="6">
        <v>4.1779718432553601</v>
      </c>
      <c r="G105" s="6">
        <v>27.740935637027398</v>
      </c>
      <c r="H105" s="6">
        <v>1.9820660088381099</v>
      </c>
      <c r="I105" s="6">
        <v>3.8185472770793498</v>
      </c>
      <c r="J105" s="6">
        <v>32.727782369022002</v>
      </c>
      <c r="K105" s="6">
        <v>1.4712834148089899</v>
      </c>
      <c r="L105" s="7">
        <v>116</v>
      </c>
    </row>
    <row r="106" spans="5:12" ht="15" customHeight="1">
      <c r="E106" s="6">
        <v>1.4164668231898001</v>
      </c>
      <c r="F106" s="6">
        <v>4.24939765607553</v>
      </c>
      <c r="G106" s="6">
        <v>28.3602926276169</v>
      </c>
      <c r="H106" s="6">
        <v>1.97449442782511</v>
      </c>
      <c r="I106" s="6">
        <v>3.4128050798282401</v>
      </c>
      <c r="J106" s="6">
        <v>32.740884248702301</v>
      </c>
      <c r="K106" s="6">
        <v>1.47405297174302</v>
      </c>
      <c r="L106" s="7">
        <v>115</v>
      </c>
    </row>
    <row r="107" spans="5:12" ht="15" customHeight="1">
      <c r="E107" s="6">
        <v>1.3354663089496399</v>
      </c>
      <c r="F107" s="6">
        <v>4.1908086568464098</v>
      </c>
      <c r="G107" s="6">
        <v>27.644096433146402</v>
      </c>
      <c r="H107" s="6">
        <v>2.0789967546475401</v>
      </c>
      <c r="I107" s="6">
        <v>3.7625070032662098</v>
      </c>
      <c r="J107" s="6">
        <v>33.082259518131103</v>
      </c>
      <c r="K107" s="6">
        <v>1.47268841660893</v>
      </c>
      <c r="L107" s="7">
        <v>114</v>
      </c>
    </row>
    <row r="108" spans="5:12" ht="15" customHeight="1">
      <c r="E108" s="6">
        <v>1.5505429509137201</v>
      </c>
      <c r="F108" s="6">
        <v>4.20679569683523</v>
      </c>
      <c r="G108" s="6">
        <v>25.371160234624501</v>
      </c>
      <c r="H108" s="6">
        <v>2.1529269555310702</v>
      </c>
      <c r="I108" s="6">
        <v>3.5506020306482799</v>
      </c>
      <c r="J108" s="6">
        <v>34.830137822003998</v>
      </c>
      <c r="K108" s="6">
        <v>1.45799640721278</v>
      </c>
      <c r="L108" s="7">
        <v>113</v>
      </c>
    </row>
    <row r="109" spans="5:12" ht="15" customHeight="1">
      <c r="E109" s="6">
        <v>1.3142504970540601</v>
      </c>
      <c r="F109" s="6">
        <v>4.1064776293874701</v>
      </c>
      <c r="G109" s="6">
        <v>26.8463775265561</v>
      </c>
      <c r="H109" s="6">
        <v>1.9868844060930599</v>
      </c>
      <c r="I109" s="6">
        <v>3.7344631060272202</v>
      </c>
      <c r="J109" s="6">
        <v>32.585107806287297</v>
      </c>
      <c r="K109" s="6">
        <v>1.4621553030996499</v>
      </c>
      <c r="L109" s="7">
        <v>112</v>
      </c>
    </row>
    <row r="110" spans="5:12" ht="15" customHeight="1">
      <c r="E110" s="6">
        <v>1.44227429252259</v>
      </c>
      <c r="F110" s="6">
        <v>4.1967743122678796</v>
      </c>
      <c r="G110" s="6">
        <v>26.399674883445101</v>
      </c>
      <c r="H110" s="6">
        <v>1.8102583639666201</v>
      </c>
      <c r="I110" s="6">
        <v>3.9127171007943899</v>
      </c>
      <c r="J110" s="6">
        <v>34.030947908818298</v>
      </c>
      <c r="K110" s="6">
        <v>1.45061549419585</v>
      </c>
      <c r="L110" s="7">
        <v>111</v>
      </c>
    </row>
    <row r="111" spans="5:12" ht="15" customHeight="1">
      <c r="E111" s="6">
        <v>1.1961935832736099</v>
      </c>
      <c r="F111" s="6">
        <v>4.1861566491084696</v>
      </c>
      <c r="G111" s="6">
        <v>26.090912244822299</v>
      </c>
      <c r="H111" s="6">
        <v>1.8394033089586601</v>
      </c>
      <c r="I111" s="6">
        <v>3.4966106499451302</v>
      </c>
      <c r="J111" s="6">
        <v>33.340046225527303</v>
      </c>
      <c r="K111" s="6">
        <v>1.4462356747677201</v>
      </c>
      <c r="L111" s="7">
        <v>110</v>
      </c>
    </row>
    <row r="112" spans="5:12" ht="15" customHeight="1">
      <c r="E112" s="6">
        <v>1.60313972151483</v>
      </c>
      <c r="F112" s="6">
        <v>4.2647943146993699</v>
      </c>
      <c r="G112" s="6">
        <v>27.773165252656099</v>
      </c>
      <c r="H112" s="6">
        <v>2.1895122291331002</v>
      </c>
      <c r="I112" s="6">
        <v>3.5567364434816202</v>
      </c>
      <c r="J112" s="6">
        <v>35.899616058171397</v>
      </c>
      <c r="K112" s="6">
        <v>1.4497039388691499</v>
      </c>
      <c r="L112" s="7">
        <v>109</v>
      </c>
    </row>
    <row r="113" spans="5:12" ht="15" customHeight="1">
      <c r="E113" s="6">
        <v>1.4736257947759199</v>
      </c>
      <c r="F113" s="6">
        <v>4.1668254722595801</v>
      </c>
      <c r="G113" s="6">
        <v>27.747780807450699</v>
      </c>
      <c r="H113" s="6">
        <v>1.8263990243359201</v>
      </c>
      <c r="I113" s="6">
        <v>3.5515292862311201</v>
      </c>
      <c r="J113" s="6">
        <v>32.6466656886629</v>
      </c>
      <c r="K113" s="6">
        <v>1.4299294287875799</v>
      </c>
      <c r="L113" s="7">
        <v>108</v>
      </c>
    </row>
    <row r="114" spans="5:12" ht="15" customHeight="1">
      <c r="E114" s="6">
        <v>1.2142889050335799</v>
      </c>
      <c r="F114" s="6">
        <v>4.1473328352084904</v>
      </c>
      <c r="G114" s="6">
        <v>27.784999799649299</v>
      </c>
      <c r="H114" s="6">
        <v>2.0136861058525599</v>
      </c>
      <c r="I114" s="6">
        <v>2.8395649010158501</v>
      </c>
      <c r="J114" s="6">
        <v>35.331979829140899</v>
      </c>
      <c r="K114" s="6">
        <v>1.44114625814952</v>
      </c>
      <c r="L114" s="7">
        <v>107</v>
      </c>
    </row>
    <row r="115" spans="5:12" ht="15" customHeight="1">
      <c r="E115" s="6">
        <v>1.2022955422505399</v>
      </c>
      <c r="F115" s="6">
        <v>4.2214326133265203</v>
      </c>
      <c r="G115" s="6">
        <v>24.459696242065199</v>
      </c>
      <c r="H115" s="6">
        <v>2.0747590125669801</v>
      </c>
      <c r="I115" s="6">
        <v>3.3213205954660698</v>
      </c>
      <c r="J115" s="6">
        <v>35.029984013979799</v>
      </c>
      <c r="K115" s="6">
        <v>1.4312065207106099</v>
      </c>
      <c r="L115" s="7">
        <v>106</v>
      </c>
    </row>
    <row r="116" spans="5:12" ht="15" customHeight="1">
      <c r="E116" s="6">
        <v>1.4194807171887101</v>
      </c>
      <c r="F116" s="6">
        <v>4.2479276275128601</v>
      </c>
      <c r="G116" s="6">
        <v>27.661603993492101</v>
      </c>
      <c r="H116" s="6">
        <v>2.0428131635956501</v>
      </c>
      <c r="I116" s="6">
        <v>3.6578799778114801</v>
      </c>
      <c r="J116" s="6">
        <v>30.535574338252399</v>
      </c>
      <c r="K116" s="6">
        <v>1.4209074237894801</v>
      </c>
      <c r="L116" s="7">
        <v>105</v>
      </c>
    </row>
    <row r="117" spans="5:12" ht="15" customHeight="1">
      <c r="E117" s="6">
        <v>1.3739190306612601</v>
      </c>
      <c r="F117" s="6">
        <v>4.2653621193168796</v>
      </c>
      <c r="G117" s="6">
        <v>25.433378620598798</v>
      </c>
      <c r="H117" s="6">
        <v>2.0068525773721602</v>
      </c>
      <c r="I117" s="6">
        <v>3.418912934472</v>
      </c>
      <c r="J117" s="6">
        <v>30.739105985239899</v>
      </c>
      <c r="K117" s="6">
        <v>1.42185621469196</v>
      </c>
      <c r="L117" s="7">
        <v>104</v>
      </c>
    </row>
    <row r="118" spans="5:12" ht="15" customHeight="1">
      <c r="E118" s="6">
        <v>1.3501993716028999</v>
      </c>
      <c r="F118" s="6">
        <v>4.1996906736311903</v>
      </c>
      <c r="G118" s="6">
        <v>28.010833625651198</v>
      </c>
      <c r="H118" s="6">
        <v>2.01018733163902</v>
      </c>
      <c r="I118" s="6">
        <v>3.2522096591558798</v>
      </c>
      <c r="J118" s="6">
        <v>32.660639553015201</v>
      </c>
      <c r="K118" s="6">
        <v>1.41979098295856</v>
      </c>
      <c r="L118" s="7">
        <v>103</v>
      </c>
    </row>
    <row r="119" spans="5:12" ht="15" customHeight="1">
      <c r="E119" s="6">
        <v>1.33663237674074</v>
      </c>
      <c r="F119" s="6">
        <v>4.2359068768577703</v>
      </c>
      <c r="G119" s="6">
        <v>27.954662527952099</v>
      </c>
      <c r="H119" s="6">
        <v>2.1475174160605701</v>
      </c>
      <c r="I119" s="6">
        <v>3.1144584778767501</v>
      </c>
      <c r="J119" s="6">
        <v>32.4360305116464</v>
      </c>
      <c r="K119" s="6">
        <v>1.40910915509038</v>
      </c>
      <c r="L119" s="7">
        <v>102</v>
      </c>
    </row>
    <row r="120" spans="5:12" ht="15" customHeight="1">
      <c r="E120" s="6">
        <v>1.2577336735384801</v>
      </c>
      <c r="F120" s="6">
        <v>4.1933680543054104</v>
      </c>
      <c r="G120" s="6">
        <v>26.874592576487299</v>
      </c>
      <c r="H120" s="6">
        <v>1.9897801086657501</v>
      </c>
      <c r="I120" s="6">
        <v>3.4876245811626299</v>
      </c>
      <c r="J120" s="6">
        <v>33.532713179380202</v>
      </c>
      <c r="K120" s="6">
        <v>1.40118241704111</v>
      </c>
      <c r="L120" s="7">
        <v>101</v>
      </c>
    </row>
    <row r="121" spans="5:12" ht="15" customHeight="1">
      <c r="E121" s="6">
        <v>1.37484317987758</v>
      </c>
      <c r="F121" s="6">
        <v>4.2002423476350703</v>
      </c>
      <c r="G121" s="6">
        <v>28.015182536650101</v>
      </c>
      <c r="H121" s="6">
        <v>1.91754448515813</v>
      </c>
      <c r="I121" s="6">
        <v>3.5065065239128699</v>
      </c>
      <c r="J121" s="6">
        <v>33.755226407625202</v>
      </c>
      <c r="K121" s="6">
        <v>1.4041543458096299</v>
      </c>
      <c r="L121" s="7">
        <v>100</v>
      </c>
    </row>
    <row r="122" spans="5:12" ht="15" customHeight="1">
      <c r="E122" s="6">
        <v>1.4736792960099201</v>
      </c>
      <c r="F122" s="6">
        <v>4.1608029135178599</v>
      </c>
      <c r="G122" s="6">
        <v>28.421448470906501</v>
      </c>
      <c r="H122" s="6">
        <v>1.9434425892079601</v>
      </c>
      <c r="I122" s="6">
        <v>3.4556745378230098</v>
      </c>
      <c r="J122" s="6">
        <v>31.930095122181498</v>
      </c>
      <c r="K122" s="6">
        <v>1.39022743391387</v>
      </c>
      <c r="L122" s="7">
        <v>99</v>
      </c>
    </row>
    <row r="123" spans="5:12" ht="15" customHeight="1">
      <c r="E123" s="6">
        <v>1.43475327598629</v>
      </c>
      <c r="F123" s="6">
        <v>4.3491769737876904</v>
      </c>
      <c r="G123" s="6">
        <v>27.423234817943399</v>
      </c>
      <c r="H123" s="6">
        <v>2.00834086670588</v>
      </c>
      <c r="I123" s="6">
        <v>3.6107422780465699</v>
      </c>
      <c r="J123" s="6">
        <v>33.997494445593198</v>
      </c>
      <c r="K123" s="6">
        <v>1.3898663340803601</v>
      </c>
      <c r="L123" s="7">
        <v>98</v>
      </c>
    </row>
    <row r="124" spans="5:12" ht="15" customHeight="1">
      <c r="E124" s="6">
        <v>1.5403481149175999</v>
      </c>
      <c r="F124" s="6">
        <v>4.2222858194012396</v>
      </c>
      <c r="G124" s="6">
        <v>25.577362884365201</v>
      </c>
      <c r="H124" s="6">
        <v>2.0948300619281102</v>
      </c>
      <c r="I124" s="6">
        <v>3.26107970511171</v>
      </c>
      <c r="J124" s="6">
        <v>33.692524751342901</v>
      </c>
      <c r="K124" s="6">
        <v>1.3791159628040801</v>
      </c>
      <c r="L124" s="7">
        <v>97</v>
      </c>
    </row>
    <row r="125" spans="5:12" ht="15" customHeight="1">
      <c r="E125" s="6">
        <v>1.1702785845504999</v>
      </c>
      <c r="F125" s="6">
        <v>4.1558539181235998</v>
      </c>
      <c r="G125" s="6">
        <v>25.7606306808337</v>
      </c>
      <c r="H125" s="6">
        <v>1.96316075560745</v>
      </c>
      <c r="I125" s="6">
        <v>3.51339669377432</v>
      </c>
      <c r="J125" s="6">
        <v>31.8075705603149</v>
      </c>
      <c r="K125" s="6">
        <v>1.3781698591096501</v>
      </c>
      <c r="L125" s="7">
        <v>96</v>
      </c>
    </row>
    <row r="126" spans="5:12" ht="15" customHeight="1">
      <c r="E126" s="6">
        <v>1.4706719173746501</v>
      </c>
      <c r="F126" s="6">
        <v>4.2179913330106897</v>
      </c>
      <c r="G126" s="6">
        <v>27.2504406916755</v>
      </c>
      <c r="H126" s="6">
        <v>2.0098504141179001</v>
      </c>
      <c r="I126" s="6">
        <v>2.8839673168517099</v>
      </c>
      <c r="J126" s="6">
        <v>31.679855432348301</v>
      </c>
      <c r="K126" s="6">
        <v>1.3765651018596901</v>
      </c>
      <c r="L126" s="7">
        <v>95</v>
      </c>
    </row>
    <row r="127" spans="5:12" ht="15" customHeight="1">
      <c r="E127" s="6">
        <v>1.48331321502318</v>
      </c>
      <c r="F127" s="6">
        <v>4.1749701581268504</v>
      </c>
      <c r="G127" s="6">
        <v>30.066330393301399</v>
      </c>
      <c r="H127" s="6">
        <v>2.07182706949708</v>
      </c>
      <c r="I127" s="6">
        <v>3.63446578433792</v>
      </c>
      <c r="J127" s="6">
        <v>34.644765513162497</v>
      </c>
      <c r="K127" s="6">
        <v>1.3683996037066399</v>
      </c>
      <c r="L127" s="7">
        <v>94</v>
      </c>
    </row>
    <row r="128" spans="5:12" ht="15" customHeight="1">
      <c r="E128" s="6">
        <v>1.2811341945955099</v>
      </c>
      <c r="F128" s="6">
        <v>4.1773590123284903</v>
      </c>
      <c r="G128" s="6">
        <v>30.6060241853355</v>
      </c>
      <c r="H128" s="6">
        <v>2.1262416052105602</v>
      </c>
      <c r="I128" s="6">
        <v>3.50208996510829</v>
      </c>
      <c r="J128" s="6">
        <v>34.126082713999999</v>
      </c>
      <c r="K128" s="6">
        <v>1.36057496787516</v>
      </c>
      <c r="L128" s="7">
        <v>93</v>
      </c>
    </row>
    <row r="129" spans="5:12" ht="15" customHeight="1">
      <c r="E129" s="6">
        <v>1.3874104661220601</v>
      </c>
      <c r="F129" s="6">
        <v>4.2206858757589396</v>
      </c>
      <c r="G129" s="6">
        <v>26.808447245952699</v>
      </c>
      <c r="H129" s="6">
        <v>1.9488266867117801</v>
      </c>
      <c r="I129" s="6">
        <v>3.5252986472836998</v>
      </c>
      <c r="J129" s="6">
        <v>37.192134992869399</v>
      </c>
      <c r="K129" s="6">
        <v>1.35991042528364</v>
      </c>
      <c r="L129" s="7">
        <v>92</v>
      </c>
    </row>
    <row r="130" spans="5:12" ht="15" customHeight="1">
      <c r="E130" s="6">
        <v>1.42711416464342</v>
      </c>
      <c r="F130" s="6">
        <v>4.1744360817244601</v>
      </c>
      <c r="G130" s="6">
        <v>24.8048406203316</v>
      </c>
      <c r="H130" s="6">
        <v>2.14621352365111</v>
      </c>
      <c r="I130" s="6">
        <v>3.7488991119798398</v>
      </c>
      <c r="J130" s="6">
        <v>34.124911910428601</v>
      </c>
      <c r="K130" s="6">
        <v>1.35093329627639</v>
      </c>
      <c r="L130" s="7">
        <v>91</v>
      </c>
    </row>
    <row r="131" spans="5:12" ht="15" customHeight="1">
      <c r="E131" s="6">
        <v>1.28895529929</v>
      </c>
      <c r="F131" s="6">
        <v>4.2549619303635797</v>
      </c>
      <c r="G131" s="6">
        <v>27.096369664367199</v>
      </c>
      <c r="H131" s="6">
        <v>2.1170911974107098</v>
      </c>
      <c r="I131" s="6">
        <v>4.0413345569502201</v>
      </c>
      <c r="J131" s="6">
        <v>33.938228620516497</v>
      </c>
      <c r="K131" s="6">
        <v>1.35567947016461</v>
      </c>
      <c r="L131" s="7">
        <v>90</v>
      </c>
    </row>
    <row r="132" spans="5:12" ht="15" customHeight="1">
      <c r="E132" s="6">
        <v>1.4198465733919401</v>
      </c>
      <c r="F132" s="6">
        <v>4.2699381688924003</v>
      </c>
      <c r="G132" s="6">
        <v>25.317892353862302</v>
      </c>
      <c r="H132" s="6">
        <v>2.1207961329580902</v>
      </c>
      <c r="I132" s="6">
        <v>3.7070038430258601</v>
      </c>
      <c r="J132" s="6">
        <v>33.108669273678899</v>
      </c>
      <c r="K132" s="6">
        <v>1.3540205708973401</v>
      </c>
      <c r="L132" s="7">
        <v>89</v>
      </c>
    </row>
    <row r="133" spans="5:12" ht="15" customHeight="1">
      <c r="E133" s="6">
        <v>1.2911505193847901</v>
      </c>
      <c r="F133" s="6">
        <v>4.1909872814373603</v>
      </c>
      <c r="G133" s="6">
        <v>28.031046134968602</v>
      </c>
      <c r="H133" s="6">
        <v>1.9257156750802999</v>
      </c>
      <c r="I133" s="6">
        <v>3.5353360543538299</v>
      </c>
      <c r="J133" s="6">
        <v>36.702779805216402</v>
      </c>
      <c r="K133" s="6">
        <v>1.34176246077001</v>
      </c>
      <c r="L133" s="7">
        <v>88</v>
      </c>
    </row>
    <row r="134" spans="5:12" ht="15" customHeight="1">
      <c r="E134" s="6">
        <v>1.2677543242334699</v>
      </c>
      <c r="F134" s="6">
        <v>4.1973240884242804</v>
      </c>
      <c r="G134" s="6">
        <v>28.557066098531401</v>
      </c>
      <c r="H134" s="6">
        <v>1.9967191297217901</v>
      </c>
      <c r="I134" s="6">
        <v>3.2253257774756001</v>
      </c>
      <c r="J134" s="6">
        <v>32.482790855976297</v>
      </c>
      <c r="K134" s="6">
        <v>1.33919751323143</v>
      </c>
      <c r="L134" s="7">
        <v>87</v>
      </c>
    </row>
    <row r="135" spans="5:12" ht="15" customHeight="1">
      <c r="E135" s="6">
        <v>1.29886860417218</v>
      </c>
      <c r="F135" s="6">
        <v>4.2461627771071804</v>
      </c>
      <c r="G135" s="6">
        <v>27.1317280416906</v>
      </c>
      <c r="H135" s="6">
        <v>1.9443794951112401</v>
      </c>
      <c r="I135" s="6">
        <v>3.9814503247232</v>
      </c>
      <c r="J135" s="6">
        <v>30.802646025025201</v>
      </c>
      <c r="K135" s="6">
        <v>1.3288989613955</v>
      </c>
      <c r="L135" s="7">
        <v>86</v>
      </c>
    </row>
    <row r="136" spans="5:12" ht="15" customHeight="1">
      <c r="E136" s="6">
        <v>1.42032644307717</v>
      </c>
      <c r="F136" s="6">
        <v>4.1857095342154498</v>
      </c>
      <c r="G136" s="6">
        <v>26.326881842928099</v>
      </c>
      <c r="H136" s="6">
        <v>2.0338757493386499</v>
      </c>
      <c r="I136" s="6">
        <v>3.3697403778998201</v>
      </c>
      <c r="J136" s="6">
        <v>33.440926699203501</v>
      </c>
      <c r="K136" s="6">
        <v>1.3320122269204799</v>
      </c>
      <c r="L136" s="7">
        <v>85</v>
      </c>
    </row>
    <row r="137" spans="5:12" ht="15" customHeight="1">
      <c r="E137" s="6">
        <v>1.4693990429931101</v>
      </c>
      <c r="F137" s="6">
        <v>4.1434745484427902</v>
      </c>
      <c r="G137" s="6">
        <v>25.192021442560701</v>
      </c>
      <c r="H137" s="6">
        <v>1.9424577272646499</v>
      </c>
      <c r="I137" s="6">
        <v>3.3705725785472</v>
      </c>
      <c r="J137" s="6">
        <v>30.8941996965298</v>
      </c>
      <c r="K137" s="6">
        <v>1.3223353171901999</v>
      </c>
      <c r="L137" s="7">
        <v>84</v>
      </c>
    </row>
    <row r="138" spans="5:12" ht="15" customHeight="1">
      <c r="E138" s="6">
        <v>1.2407418701584101</v>
      </c>
      <c r="F138" s="6">
        <v>4.1909496267753497</v>
      </c>
      <c r="G138" s="6">
        <v>27.813749097468602</v>
      </c>
      <c r="H138" s="6">
        <v>1.8723506435783499</v>
      </c>
      <c r="I138" s="6">
        <v>3.4790248612375301</v>
      </c>
      <c r="J138" s="6">
        <v>31.242309556555</v>
      </c>
      <c r="K138" s="6">
        <v>1.3121088006930699</v>
      </c>
      <c r="L138" s="7">
        <v>83</v>
      </c>
    </row>
    <row r="139" spans="5:12" ht="15" customHeight="1">
      <c r="E139" s="6">
        <v>1.33395309721577</v>
      </c>
      <c r="F139" s="6">
        <v>4.2206981578539997</v>
      </c>
      <c r="G139" s="6">
        <v>26.381682266055002</v>
      </c>
      <c r="H139" s="6">
        <v>1.82850216858724</v>
      </c>
      <c r="I139" s="6">
        <v>3.3361803210467502</v>
      </c>
      <c r="J139" s="6">
        <v>31.659291397132701</v>
      </c>
      <c r="K139" s="6">
        <v>1.3044134273413399</v>
      </c>
      <c r="L139" s="7">
        <v>82</v>
      </c>
    </row>
    <row r="140" spans="5:12" ht="15" customHeight="1">
      <c r="E140" s="6">
        <v>1.34047943862837</v>
      </c>
      <c r="F140" s="6">
        <v>4.19721035340066</v>
      </c>
      <c r="G140" s="6">
        <v>25.966632153890401</v>
      </c>
      <c r="H140" s="6">
        <v>2.1170790287633099</v>
      </c>
      <c r="I140" s="6">
        <v>3.91895736422217</v>
      </c>
      <c r="J140" s="6">
        <v>33.267554798250501</v>
      </c>
      <c r="K140" s="6">
        <v>1.3200310955375101</v>
      </c>
      <c r="L140" s="7">
        <v>81</v>
      </c>
    </row>
    <row r="141" spans="5:12" ht="15" customHeight="1">
      <c r="E141" s="6">
        <v>1.5003398571634201</v>
      </c>
      <c r="F141" s="6">
        <v>4.22162622019653</v>
      </c>
      <c r="G141" s="6">
        <v>29.581380094844501</v>
      </c>
      <c r="H141" s="6">
        <v>2.0462440415955299</v>
      </c>
      <c r="I141" s="6">
        <v>3.41718297783139</v>
      </c>
      <c r="J141" s="6">
        <v>31.611538541185102</v>
      </c>
      <c r="K141" s="6">
        <v>1.2988478422597201</v>
      </c>
      <c r="L141" s="7">
        <v>80</v>
      </c>
    </row>
    <row r="142" spans="5:12" ht="15" customHeight="1">
      <c r="E142" s="6">
        <v>1.29435949059889</v>
      </c>
      <c r="F142" s="6">
        <v>4.2481518806703402</v>
      </c>
      <c r="G142" s="6">
        <v>26.3060267550017</v>
      </c>
      <c r="H142" s="6">
        <v>2.0610634569451798</v>
      </c>
      <c r="I142" s="6">
        <v>3.3543724328444902</v>
      </c>
      <c r="J142" s="6">
        <v>34.098480629858997</v>
      </c>
      <c r="K142" s="6">
        <v>1.30254101736836</v>
      </c>
      <c r="L142" s="7">
        <v>79</v>
      </c>
    </row>
    <row r="143" spans="5:12" ht="15" customHeight="1">
      <c r="E143" s="6">
        <v>1.3001158605367</v>
      </c>
      <c r="F143" s="6">
        <v>4.2975167207817702</v>
      </c>
      <c r="G143" s="6">
        <v>25.1666132826665</v>
      </c>
      <c r="H143" s="6">
        <v>1.8432252147391801</v>
      </c>
      <c r="I143" s="6">
        <v>4.0120881459967803</v>
      </c>
      <c r="J143" s="6">
        <v>31.789534480412801</v>
      </c>
      <c r="K143" s="6">
        <v>1.28703659861903</v>
      </c>
      <c r="L143" s="7">
        <v>78</v>
      </c>
    </row>
    <row r="144" spans="5:12" ht="15" customHeight="1">
      <c r="E144" s="6">
        <v>1.5053971092776199</v>
      </c>
      <c r="F144" s="6">
        <v>4.2486901271606996</v>
      </c>
      <c r="G144" s="6">
        <v>26.511192190173599</v>
      </c>
      <c r="H144" s="6">
        <v>2.04433974348437</v>
      </c>
      <c r="I144" s="6">
        <v>3.74078479785247</v>
      </c>
      <c r="J144" s="6">
        <v>32.026290606688399</v>
      </c>
      <c r="K144" s="6">
        <v>1.2858482913589999</v>
      </c>
      <c r="L144" s="7">
        <v>77</v>
      </c>
    </row>
    <row r="145" spans="5:12" ht="15" customHeight="1">
      <c r="E145" s="6">
        <v>1.48669521563386</v>
      </c>
      <c r="F145" s="6">
        <v>4.1767824523048596</v>
      </c>
      <c r="G145" s="6">
        <v>28.1245736573741</v>
      </c>
      <c r="H145" s="6">
        <v>1.9917387496023999</v>
      </c>
      <c r="I145" s="6">
        <v>3.43076737844823</v>
      </c>
      <c r="J145" s="6">
        <v>33.990821693823598</v>
      </c>
      <c r="K145" s="6">
        <v>1.2883588376763999</v>
      </c>
      <c r="L145" s="7">
        <v>76</v>
      </c>
    </row>
    <row r="146" spans="5:12" ht="15" customHeight="1">
      <c r="E146" s="6">
        <v>1.4834825990000799</v>
      </c>
      <c r="F146" s="6">
        <v>4.2548446853762796</v>
      </c>
      <c r="G146" s="6">
        <v>29.020476934453999</v>
      </c>
      <c r="H146" s="6">
        <v>1.96041514534235</v>
      </c>
      <c r="I146" s="6">
        <v>3.5059159452733102</v>
      </c>
      <c r="J146" s="6">
        <v>34.262697667493299</v>
      </c>
      <c r="K146" s="6">
        <v>1.27834130214115</v>
      </c>
      <c r="L146" s="7">
        <v>75</v>
      </c>
    </row>
    <row r="147" spans="5:12" ht="15" customHeight="1">
      <c r="E147" s="6">
        <v>1.27701324604713</v>
      </c>
      <c r="F147" s="6">
        <v>4.15865771331171</v>
      </c>
      <c r="G147" s="6">
        <v>28.914577609167999</v>
      </c>
      <c r="H147" s="6">
        <v>1.9368451727839999</v>
      </c>
      <c r="I147" s="6">
        <v>3.54605587551473</v>
      </c>
      <c r="J147" s="6">
        <v>34.384763419195203</v>
      </c>
      <c r="K147" s="6">
        <v>1.2654316566259201</v>
      </c>
      <c r="L147" s="7">
        <v>74</v>
      </c>
    </row>
    <row r="148" spans="5:12" ht="15" customHeight="1">
      <c r="E148" s="6">
        <v>1.5098901813308401</v>
      </c>
      <c r="F148" s="6">
        <v>4.2459925667615401</v>
      </c>
      <c r="G148" s="6">
        <v>29.4207102598006</v>
      </c>
      <c r="H148" s="6">
        <v>2.00719290271571</v>
      </c>
      <c r="I148" s="6">
        <v>4.1925834828797699</v>
      </c>
      <c r="J148" s="6">
        <v>35.935563578388802</v>
      </c>
      <c r="K148" s="6">
        <v>1.26243800078282</v>
      </c>
      <c r="L148" s="7">
        <v>73</v>
      </c>
    </row>
    <row r="149" spans="5:12" ht="15" customHeight="1">
      <c r="E149" s="6">
        <v>1.27836391474656</v>
      </c>
      <c r="F149" s="6">
        <v>4.0738892788124303</v>
      </c>
      <c r="G149" s="6">
        <v>28.751084545128101</v>
      </c>
      <c r="H149" s="6">
        <v>2.0440028353736501</v>
      </c>
      <c r="I149" s="6">
        <v>3.1163520695557798</v>
      </c>
      <c r="J149" s="6">
        <v>38.012612563702902</v>
      </c>
      <c r="K149" s="6">
        <v>1.2483884438400601</v>
      </c>
      <c r="L149" s="7">
        <v>72</v>
      </c>
    </row>
    <row r="150" spans="5:12" ht="15" customHeight="1">
      <c r="E150" s="6">
        <v>1.3725816164939799</v>
      </c>
      <c r="F150" s="6">
        <v>4.1883254986595899</v>
      </c>
      <c r="G150" s="6">
        <v>22.565304370805801</v>
      </c>
      <c r="H150" s="6">
        <v>2.0482745860468099</v>
      </c>
      <c r="I150" s="6">
        <v>3.54444903975046</v>
      </c>
      <c r="J150" s="6">
        <v>34.131498097766801</v>
      </c>
      <c r="K150" s="6">
        <v>1.26050940497346</v>
      </c>
      <c r="L150" s="7">
        <v>71</v>
      </c>
    </row>
    <row r="151" spans="5:12" ht="15" customHeight="1">
      <c r="E151" s="6">
        <v>1.2886308533697799</v>
      </c>
      <c r="F151" s="6">
        <v>4.27329979893402</v>
      </c>
      <c r="G151" s="6">
        <v>25.752069313415799</v>
      </c>
      <c r="H151" s="6">
        <v>1.89360218110511</v>
      </c>
      <c r="I151" s="6">
        <v>3.3054785819177601</v>
      </c>
      <c r="J151" s="6">
        <v>34.882500238111199</v>
      </c>
      <c r="K151" s="6">
        <v>1.25796817083846</v>
      </c>
      <c r="L151" s="7">
        <v>70</v>
      </c>
    </row>
    <row r="152" spans="5:12" ht="15" customHeight="1">
      <c r="E152" s="6">
        <v>1.52741186346195</v>
      </c>
      <c r="F152" s="6">
        <v>4.2497105748033803</v>
      </c>
      <c r="G152" s="6">
        <v>27.884383392250299</v>
      </c>
      <c r="H152" s="6">
        <v>2.2087248147351999</v>
      </c>
      <c r="I152" s="6">
        <v>3.5499154189414002</v>
      </c>
      <c r="J152" s="6">
        <v>33.304435525490199</v>
      </c>
      <c r="K152" s="6">
        <v>1.2417868691099101</v>
      </c>
      <c r="L152" s="7">
        <v>69</v>
      </c>
    </row>
    <row r="153" spans="5:12" ht="15" customHeight="1">
      <c r="E153" s="6">
        <v>1.35507395560946</v>
      </c>
      <c r="F153" s="6">
        <v>4.2050855480256804</v>
      </c>
      <c r="G153" s="6">
        <v>26.361006481689198</v>
      </c>
      <c r="H153" s="6">
        <v>2.0178263296114101</v>
      </c>
      <c r="I153" s="6">
        <v>3.27603261533771</v>
      </c>
      <c r="J153" s="6">
        <v>31.712816561604399</v>
      </c>
      <c r="K153" s="6">
        <v>1.2476111633089999</v>
      </c>
      <c r="L153" s="7">
        <v>68</v>
      </c>
    </row>
    <row r="154" spans="5:12" ht="15" customHeight="1">
      <c r="E154" s="6">
        <v>1.4881536661155199</v>
      </c>
      <c r="F154" s="6">
        <v>4.1767980084577401</v>
      </c>
      <c r="G154" s="6">
        <v>25.300588118362501</v>
      </c>
      <c r="H154" s="6">
        <v>2.0399096793323999</v>
      </c>
      <c r="I154" s="6">
        <v>3.3764975264269999</v>
      </c>
      <c r="J154" s="6">
        <v>34.310001828162903</v>
      </c>
      <c r="K154" s="6">
        <v>1.2329464917206701</v>
      </c>
      <c r="L154" s="7">
        <v>67</v>
      </c>
    </row>
    <row r="155" spans="5:12" ht="15" customHeight="1">
      <c r="E155" s="6">
        <v>1.2985757496544801</v>
      </c>
      <c r="F155" s="6">
        <v>4.1901234102626601</v>
      </c>
      <c r="G155" s="6">
        <v>27.201249512205099</v>
      </c>
      <c r="H155" s="6">
        <v>1.78144507995791</v>
      </c>
      <c r="I155" s="6">
        <v>4.0914780586408996</v>
      </c>
      <c r="J155" s="6">
        <v>34.437203778699299</v>
      </c>
      <c r="K155" s="6">
        <v>1.2309484898446299</v>
      </c>
      <c r="L155" s="7">
        <v>66</v>
      </c>
    </row>
    <row r="156" spans="5:12" ht="15" customHeight="1">
      <c r="E156" s="6">
        <v>1.4807738869118099</v>
      </c>
      <c r="F156" s="6">
        <v>4.1677797110693202</v>
      </c>
      <c r="G156" s="6">
        <v>26.366712685344101</v>
      </c>
      <c r="H156" s="6">
        <v>2.0191544674792499</v>
      </c>
      <c r="I156" s="6">
        <v>2.8854240010346701</v>
      </c>
      <c r="J156" s="6">
        <v>30.407095450400199</v>
      </c>
      <c r="K156" s="6">
        <v>1.23039796855579</v>
      </c>
      <c r="L156" s="7">
        <v>65</v>
      </c>
    </row>
    <row r="157" spans="5:12" ht="15" customHeight="1">
      <c r="E157" s="6">
        <v>1.46661731909954</v>
      </c>
      <c r="F157" s="6">
        <v>4.2221229404480498</v>
      </c>
      <c r="G157" s="6">
        <v>28.805531874200799</v>
      </c>
      <c r="H157" s="6">
        <v>2.0322875366308999</v>
      </c>
      <c r="I157" s="6">
        <v>4.0003008219601197</v>
      </c>
      <c r="J157" s="6">
        <v>32.238154757310902</v>
      </c>
      <c r="K157" s="6">
        <v>1.22069747248098</v>
      </c>
      <c r="L157" s="7">
        <v>64</v>
      </c>
    </row>
    <row r="158" spans="5:12" ht="15" customHeight="1">
      <c r="E158" s="6">
        <v>1.4451369926536599</v>
      </c>
      <c r="F158" s="6">
        <v>4.1984578546798401</v>
      </c>
      <c r="G158" s="6">
        <v>27.0413220672209</v>
      </c>
      <c r="H158" s="6">
        <v>2.0082582807099398</v>
      </c>
      <c r="I158" s="6">
        <v>3.4994495147251601</v>
      </c>
      <c r="J158" s="6">
        <v>31.646980232172801</v>
      </c>
      <c r="K158" s="6">
        <v>1.2103077127124</v>
      </c>
      <c r="L158" s="7">
        <v>63</v>
      </c>
    </row>
    <row r="159" spans="5:12" ht="15" customHeight="1">
      <c r="E159" s="6">
        <v>1.41688935148893</v>
      </c>
      <c r="F159" s="6">
        <v>4.0993054798477999</v>
      </c>
      <c r="G159" s="6">
        <v>28.008820679462801</v>
      </c>
      <c r="H159" s="6">
        <v>2.1981784758875298</v>
      </c>
      <c r="I159" s="6">
        <v>3.3382152553609798</v>
      </c>
      <c r="J159" s="6">
        <v>33.112068527137403</v>
      </c>
      <c r="K159" s="6">
        <v>1.20662090741726</v>
      </c>
      <c r="L159" s="7">
        <v>62</v>
      </c>
    </row>
    <row r="160" spans="5:12" ht="15" customHeight="1">
      <c r="E160" s="6">
        <v>1.37278157655587</v>
      </c>
      <c r="F160" s="6">
        <v>4.2312649478099704</v>
      </c>
      <c r="G160" s="6">
        <v>29.726962893737799</v>
      </c>
      <c r="H160" s="6">
        <v>2.07455044015799</v>
      </c>
      <c r="I160" s="6">
        <v>3.49732323972305</v>
      </c>
      <c r="J160" s="6">
        <v>35.131491879220199</v>
      </c>
      <c r="K160" s="6">
        <v>1.20572372183432</v>
      </c>
      <c r="L160" s="7">
        <v>61</v>
      </c>
    </row>
    <row r="161" spans="5:12" ht="15" customHeight="1">
      <c r="E161" s="6">
        <v>1.3621614568617</v>
      </c>
      <c r="F161" s="6">
        <v>4.1897522238405802</v>
      </c>
      <c r="G161" s="6">
        <v>25.684098546956701</v>
      </c>
      <c r="H161" s="6">
        <v>1.9517149837661201</v>
      </c>
      <c r="I161" s="6">
        <v>3.3489964352402</v>
      </c>
      <c r="J161" s="6">
        <v>35.739686567644398</v>
      </c>
      <c r="K161" s="6">
        <v>1.20117070839391</v>
      </c>
      <c r="L161" s="7">
        <v>60</v>
      </c>
    </row>
    <row r="162" spans="5:12" ht="15" customHeight="1">
      <c r="E162" s="6">
        <v>1.4085500745483699</v>
      </c>
      <c r="F162" s="6">
        <v>4.1977396283128803</v>
      </c>
      <c r="G162" s="6">
        <v>25.3676471297779</v>
      </c>
      <c r="H162" s="6">
        <v>2.1545962025808598</v>
      </c>
      <c r="I162" s="6">
        <v>3.5628262865163798</v>
      </c>
      <c r="J162" s="6">
        <v>32.385500849078703</v>
      </c>
      <c r="K162" s="6">
        <v>1.1919067298058601</v>
      </c>
      <c r="L162" s="7">
        <v>59</v>
      </c>
    </row>
    <row r="163" spans="5:12" ht="15" customHeight="1">
      <c r="E163" s="6">
        <v>1.4029037179316299</v>
      </c>
      <c r="F163" s="6">
        <v>4.1934501663614601</v>
      </c>
      <c r="G163" s="6">
        <v>26.8544140214238</v>
      </c>
      <c r="H163" s="6">
        <v>2.0543622305157498</v>
      </c>
      <c r="I163" s="6">
        <v>3.9596402663292798</v>
      </c>
      <c r="J163" s="6">
        <v>34.4286901325966</v>
      </c>
      <c r="K163" s="6">
        <v>1.1906763988515401</v>
      </c>
      <c r="L163" s="7">
        <v>58</v>
      </c>
    </row>
    <row r="164" spans="5:12" ht="15" customHeight="1">
      <c r="E164" s="6">
        <v>1.4511311421456099</v>
      </c>
      <c r="F164" s="6">
        <v>4.1532625786628801</v>
      </c>
      <c r="G164" s="6">
        <v>27.014353189936902</v>
      </c>
      <c r="H164" s="6">
        <v>1.95692564576765</v>
      </c>
      <c r="I164" s="6">
        <v>3.6117215947519101</v>
      </c>
      <c r="J164" s="6">
        <v>35.5036946458779</v>
      </c>
      <c r="K164" s="6">
        <v>1.18594935026807</v>
      </c>
      <c r="L164" s="7">
        <v>57</v>
      </c>
    </row>
    <row r="165" spans="5:12" ht="15" customHeight="1">
      <c r="E165" s="6">
        <v>1.38607730500849</v>
      </c>
      <c r="F165" s="6">
        <v>4.2695944550574501</v>
      </c>
      <c r="G165" s="6">
        <v>27.5519851276661</v>
      </c>
      <c r="H165" s="6">
        <v>2.0034707832035799</v>
      </c>
      <c r="I165" s="6">
        <v>3.50665739379515</v>
      </c>
      <c r="J165" s="6">
        <v>37.669763274759298</v>
      </c>
      <c r="K165" s="6">
        <v>1.18609111783494</v>
      </c>
      <c r="L165" s="7">
        <v>56</v>
      </c>
    </row>
    <row r="166" spans="5:12" ht="15" customHeight="1">
      <c r="E166" s="6">
        <v>1.16482501831934</v>
      </c>
      <c r="F166" s="6">
        <v>4.255896579062</v>
      </c>
      <c r="G166" s="6">
        <v>25.865586892535699</v>
      </c>
      <c r="H166" s="6">
        <v>1.8739008762378799</v>
      </c>
      <c r="I166" s="6">
        <v>3.45014349131363</v>
      </c>
      <c r="J166" s="6">
        <v>32.6362813666072</v>
      </c>
      <c r="K166" s="6">
        <v>1.1691864208876801</v>
      </c>
      <c r="L166" s="7">
        <v>55</v>
      </c>
    </row>
    <row r="167" spans="5:12" ht="15" customHeight="1">
      <c r="E167" s="6">
        <v>1.3855437447025001</v>
      </c>
      <c r="F167" s="6">
        <v>4.2125984449105802</v>
      </c>
      <c r="G167" s="6">
        <v>28.159509968716801</v>
      </c>
      <c r="H167" s="6">
        <v>2.0113076427170702</v>
      </c>
      <c r="I167" s="6">
        <v>3.56874590353523</v>
      </c>
      <c r="J167" s="6">
        <v>31.750554833410298</v>
      </c>
      <c r="K167" s="6">
        <v>1.1660408873524599</v>
      </c>
      <c r="L167" s="7">
        <v>54</v>
      </c>
    </row>
    <row r="168" spans="5:12" ht="15" customHeight="1">
      <c r="E168" s="6">
        <v>1.4295946603549201</v>
      </c>
      <c r="F168" s="6">
        <v>4.1753133591666103</v>
      </c>
      <c r="G168" s="6">
        <v>27.188022152507799</v>
      </c>
      <c r="H168" s="6">
        <v>1.91517523852455</v>
      </c>
      <c r="I168" s="6">
        <v>3.57787328862748</v>
      </c>
      <c r="J168" s="6">
        <v>29.935584268463</v>
      </c>
      <c r="K168" s="6">
        <v>1.16417892791592</v>
      </c>
      <c r="L168" s="7">
        <v>53</v>
      </c>
    </row>
    <row r="169" spans="5:12" ht="15" customHeight="1">
      <c r="E169" s="6">
        <v>1.31723474681262</v>
      </c>
      <c r="F169" s="6">
        <v>4.1389707870665697</v>
      </c>
      <c r="G169" s="6">
        <v>24.637701620239199</v>
      </c>
      <c r="H169" s="6">
        <v>2.0628368285489498</v>
      </c>
      <c r="I169" s="6">
        <v>3.1910595551906198</v>
      </c>
      <c r="J169" s="6">
        <v>29.9754177401148</v>
      </c>
      <c r="K169" s="6">
        <v>1.1569003213686799</v>
      </c>
      <c r="L169" s="7">
        <v>52</v>
      </c>
    </row>
    <row r="170" spans="5:12" ht="15" customHeight="1">
      <c r="E170" s="6">
        <v>1.39721755594632</v>
      </c>
      <c r="F170" s="6">
        <v>4.1830036094784298</v>
      </c>
      <c r="G170" s="6">
        <v>28.396566832769398</v>
      </c>
      <c r="H170" s="6">
        <v>1.9973056153733599</v>
      </c>
      <c r="I170" s="6">
        <v>3.7858181724742299</v>
      </c>
      <c r="J170" s="6">
        <v>31.643628373785099</v>
      </c>
      <c r="K170" s="6">
        <v>1.1598368128632199</v>
      </c>
      <c r="L170" s="7">
        <v>51</v>
      </c>
    </row>
    <row r="171" spans="5:12" ht="15" customHeight="1">
      <c r="E171" s="6">
        <v>1.49679561945948</v>
      </c>
      <c r="F171" s="6">
        <v>4.2281765536194902</v>
      </c>
      <c r="G171" s="6">
        <v>25.678361336955401</v>
      </c>
      <c r="H171" s="6">
        <v>2.1398110937001702</v>
      </c>
      <c r="I171" s="6">
        <v>3.6686576253040601</v>
      </c>
      <c r="J171" s="6">
        <v>32.119506902845899</v>
      </c>
      <c r="K171" s="6">
        <v>1.14194168824669</v>
      </c>
      <c r="L171" s="7">
        <v>50</v>
      </c>
    </row>
    <row r="172" spans="5:12" ht="15" customHeight="1">
      <c r="E172" s="6">
        <v>1.4941756315363299</v>
      </c>
      <c r="F172" s="6">
        <v>4.1786140738733701</v>
      </c>
      <c r="G172" s="6">
        <v>26.469976284313098</v>
      </c>
      <c r="H172" s="6">
        <v>1.9948707203111999</v>
      </c>
      <c r="I172" s="6">
        <v>3.81204297668515</v>
      </c>
      <c r="J172" s="6">
        <v>37.210901709781702</v>
      </c>
      <c r="K172" s="6">
        <v>1.1510513918710901</v>
      </c>
      <c r="L172" s="7">
        <v>49</v>
      </c>
    </row>
    <row r="173" spans="5:12" ht="15" customHeight="1">
      <c r="E173" s="6">
        <v>1.4433296956231201</v>
      </c>
      <c r="F173" s="6">
        <v>4.1908376269518097</v>
      </c>
      <c r="G173" s="6">
        <v>24.169128300513002</v>
      </c>
      <c r="H173" s="6">
        <v>2.0665107359210899</v>
      </c>
      <c r="I173" s="6">
        <v>2.6293574657741901</v>
      </c>
      <c r="J173" s="6">
        <v>33.047549541591103</v>
      </c>
      <c r="K173" s="6">
        <v>1.1341704829734101</v>
      </c>
      <c r="L173" s="7">
        <v>48</v>
      </c>
    </row>
    <row r="174" spans="5:12" ht="15" customHeight="1">
      <c r="E174" s="6">
        <v>1.4329663190789901</v>
      </c>
      <c r="F174" s="6">
        <v>4.0350777977823604</v>
      </c>
      <c r="G174" s="6">
        <v>27.860088945822898</v>
      </c>
      <c r="H174" s="6">
        <v>2.0312571884386599</v>
      </c>
      <c r="I174" s="6">
        <v>3.3626778052600899</v>
      </c>
      <c r="J174" s="6">
        <v>30.245143257981201</v>
      </c>
      <c r="K174" s="6">
        <v>1.13259936139474</v>
      </c>
      <c r="L174" s="7">
        <v>47</v>
      </c>
    </row>
    <row r="175" spans="5:12" ht="15" customHeight="1">
      <c r="E175" s="6">
        <v>1.5265974214832001</v>
      </c>
      <c r="F175" s="6">
        <v>4.1389333857187998</v>
      </c>
      <c r="G175" s="6">
        <v>27.725460959979099</v>
      </c>
      <c r="H175" s="6">
        <v>1.83778377090553</v>
      </c>
      <c r="I175" s="6">
        <v>3.78412118196499</v>
      </c>
      <c r="J175" s="6">
        <v>31.902049796388699</v>
      </c>
      <c r="K175" s="6">
        <v>1.13315906338127</v>
      </c>
      <c r="L175" s="7">
        <v>46</v>
      </c>
    </row>
    <row r="176" spans="5:12" ht="15" customHeight="1">
      <c r="E176" s="6">
        <v>1.6683972787432799</v>
      </c>
      <c r="F176" s="6">
        <v>4.1529381736022097</v>
      </c>
      <c r="G176" s="6">
        <v>25.851010745974101</v>
      </c>
      <c r="H176" s="6">
        <v>2.02658102115163</v>
      </c>
      <c r="I176" s="6">
        <v>3.60842219352197</v>
      </c>
      <c r="J176" s="6">
        <v>31.518536211005902</v>
      </c>
      <c r="K176" s="6">
        <v>1.1166007046053701</v>
      </c>
      <c r="L176" s="7">
        <v>45</v>
      </c>
    </row>
    <row r="177" spans="5:12" ht="15" customHeight="1">
      <c r="E177" s="6">
        <v>1.50611820122203</v>
      </c>
      <c r="F177" s="6">
        <v>4.2151839680705203</v>
      </c>
      <c r="G177" s="6">
        <v>24.6883940176461</v>
      </c>
      <c r="H177" s="6">
        <v>2.1123306646842002</v>
      </c>
      <c r="I177" s="6">
        <v>3.3261176215269499</v>
      </c>
      <c r="J177" s="6">
        <v>31.413897617323901</v>
      </c>
      <c r="K177" s="6">
        <v>1.1262063460801499</v>
      </c>
      <c r="L177" s="7">
        <v>44</v>
      </c>
    </row>
    <row r="178" spans="5:12" ht="15" customHeight="1">
      <c r="E178" s="6">
        <v>1.40421682296452</v>
      </c>
      <c r="F178" s="6">
        <v>4.1865477115757699</v>
      </c>
      <c r="G178" s="6">
        <v>25.297263207209799</v>
      </c>
      <c r="H178" s="6">
        <v>2.0048354094108598</v>
      </c>
      <c r="I178" s="6">
        <v>3.9684596114323001</v>
      </c>
      <c r="J178" s="6">
        <v>35.400807126028397</v>
      </c>
      <c r="K178" s="6">
        <v>1.1159587710799801</v>
      </c>
      <c r="L178" s="7">
        <v>43</v>
      </c>
    </row>
    <row r="179" spans="5:12" ht="15" customHeight="1">
      <c r="E179" s="6">
        <v>1.2097535776932999</v>
      </c>
      <c r="F179" s="6">
        <v>4.2879973168440104</v>
      </c>
      <c r="G179" s="6">
        <v>26.752890244440799</v>
      </c>
      <c r="H179" s="6">
        <v>2.0021936936284899</v>
      </c>
      <c r="I179" s="6">
        <v>3.8449878336585899</v>
      </c>
      <c r="J179" s="6">
        <v>32.4895657647793</v>
      </c>
      <c r="K179" s="6">
        <v>1.1077723041013601</v>
      </c>
      <c r="L179" s="7">
        <v>42</v>
      </c>
    </row>
    <row r="180" spans="5:12" ht="15" customHeight="1">
      <c r="E180" s="6">
        <v>1.17599017398447</v>
      </c>
      <c r="F180" s="6">
        <v>4.2066198199416096</v>
      </c>
      <c r="G180" s="6">
        <v>26.100568504084698</v>
      </c>
      <c r="H180" s="6">
        <v>2.0709178844052398</v>
      </c>
      <c r="I180" s="6">
        <v>3.3251589052675801</v>
      </c>
      <c r="J180" s="6">
        <v>32.982670350586602</v>
      </c>
      <c r="K180" s="6">
        <v>1.1075336381818499</v>
      </c>
      <c r="L180" s="7">
        <v>41</v>
      </c>
    </row>
    <row r="181" spans="5:12" ht="15" customHeight="1">
      <c r="E181" s="6">
        <v>1.4825638750305801</v>
      </c>
      <c r="F181" s="6">
        <v>4.2004066235233601</v>
      </c>
      <c r="G181" s="6">
        <v>28.5211873696237</v>
      </c>
      <c r="H181" s="6">
        <v>1.89770822022724</v>
      </c>
      <c r="I181" s="6">
        <v>3.1356987118114201</v>
      </c>
      <c r="J181" s="6">
        <v>31.683838535240799</v>
      </c>
      <c r="K181" s="6">
        <v>1.1005891332447699</v>
      </c>
      <c r="L181" s="7">
        <v>40</v>
      </c>
    </row>
    <row r="182" spans="5:12" ht="15" customHeight="1">
      <c r="E182" s="6">
        <v>1.59228654873224</v>
      </c>
      <c r="F182" s="6">
        <v>4.1299920215321499</v>
      </c>
      <c r="G182" s="6">
        <v>27.584795171979302</v>
      </c>
      <c r="H182" s="6">
        <v>2.0655863549462001</v>
      </c>
      <c r="I182" s="6">
        <v>3.9522603285927098</v>
      </c>
      <c r="J182" s="6">
        <v>33.431325408930199</v>
      </c>
      <c r="K182" s="6">
        <v>1.0925908994500499</v>
      </c>
      <c r="L182" s="7">
        <v>39</v>
      </c>
    </row>
    <row r="183" spans="5:12" ht="15" customHeight="1">
      <c r="E183" s="6">
        <v>1.41578196963841</v>
      </c>
      <c r="F183" s="6">
        <v>4.2355596364301702</v>
      </c>
      <c r="G183" s="6">
        <v>27.747688472624301</v>
      </c>
      <c r="H183" s="6">
        <v>1.87809272055754</v>
      </c>
      <c r="I183" s="6">
        <v>4.0783971017831</v>
      </c>
      <c r="J183" s="6">
        <v>33.631342318974802</v>
      </c>
      <c r="K183" s="6">
        <v>1.08745668538867</v>
      </c>
      <c r="L183" s="7">
        <v>38</v>
      </c>
    </row>
    <row r="184" spans="5:12" ht="15" customHeight="1">
      <c r="E184" s="6">
        <v>1.3648820432273201</v>
      </c>
      <c r="F184" s="6">
        <v>4.2567377925666099</v>
      </c>
      <c r="G184" s="6">
        <v>24.573292978479</v>
      </c>
      <c r="H184" s="6">
        <v>2.0191817324747299</v>
      </c>
      <c r="I184" s="6">
        <v>3.6807638587912601</v>
      </c>
      <c r="J184" s="6">
        <v>34.674805218179699</v>
      </c>
      <c r="K184" s="6">
        <v>1.0875799613219801</v>
      </c>
      <c r="L184" s="7">
        <v>37</v>
      </c>
    </row>
    <row r="185" spans="5:12" ht="15" customHeight="1">
      <c r="E185" s="6">
        <v>1.2846231708865901</v>
      </c>
      <c r="F185" s="6">
        <v>4.12485654294023</v>
      </c>
      <c r="G185" s="6">
        <v>25.770110648288298</v>
      </c>
      <c r="H185" s="6">
        <v>1.9229931559407301</v>
      </c>
      <c r="I185" s="6">
        <v>2.48485702726791</v>
      </c>
      <c r="J185" s="6">
        <v>31.922697282880801</v>
      </c>
      <c r="K185" s="6">
        <v>1.0758400758042801</v>
      </c>
      <c r="L185" s="7">
        <v>36</v>
      </c>
    </row>
    <row r="186" spans="5:12" ht="15" customHeight="1">
      <c r="E186" s="6">
        <v>1.4575056652901099</v>
      </c>
      <c r="F186" s="6">
        <v>4.15477080649221</v>
      </c>
      <c r="G186" s="6">
        <v>29.833511749289102</v>
      </c>
      <c r="H186" s="6">
        <v>2.0593886561352202</v>
      </c>
      <c r="I186" s="6">
        <v>3.41807783056634</v>
      </c>
      <c r="J186" s="6">
        <v>35.599636610117201</v>
      </c>
      <c r="K186" s="6">
        <v>1.07245461574927</v>
      </c>
      <c r="L186" s="7">
        <v>35</v>
      </c>
    </row>
    <row r="187" spans="5:12" ht="15" customHeight="1">
      <c r="E187" s="6">
        <v>1.40215372380264</v>
      </c>
      <c r="F187" s="6">
        <v>4.1691219260005798</v>
      </c>
      <c r="G187" s="6">
        <v>27.796010023609199</v>
      </c>
      <c r="H187" s="6">
        <v>2.0375785488683098</v>
      </c>
      <c r="I187" s="6">
        <v>3.2722408501726301</v>
      </c>
      <c r="J187" s="6">
        <v>31.596156428812101</v>
      </c>
      <c r="K187" s="6">
        <v>1.07635399138113</v>
      </c>
      <c r="L187" s="7">
        <v>34</v>
      </c>
    </row>
    <row r="188" spans="5:12" ht="15" customHeight="1">
      <c r="E188" s="6">
        <v>1.5085573826530401</v>
      </c>
      <c r="F188" s="6">
        <v>4.2020085744323596</v>
      </c>
      <c r="G188" s="6">
        <v>27.726673128288699</v>
      </c>
      <c r="H188" s="6">
        <v>1.8772379676523001</v>
      </c>
      <c r="I188" s="6">
        <v>3.4518745906504398</v>
      </c>
      <c r="J188" s="6">
        <v>33.585906424502497</v>
      </c>
      <c r="K188" s="6">
        <v>1.0716852276453801</v>
      </c>
      <c r="L188" s="7">
        <v>33</v>
      </c>
    </row>
    <row r="189" spans="5:12" ht="15" customHeight="1">
      <c r="E189" s="6">
        <v>1.4744428437645201</v>
      </c>
      <c r="F189" s="6">
        <v>4.1573700381674996</v>
      </c>
      <c r="G189" s="6">
        <v>27.118962534587201</v>
      </c>
      <c r="H189" s="6">
        <v>2.0586262060644902</v>
      </c>
      <c r="I189" s="6">
        <v>3.6615834249071599</v>
      </c>
      <c r="J189" s="6">
        <v>34.670682563524103</v>
      </c>
      <c r="K189" s="6">
        <v>1.06351297069658</v>
      </c>
      <c r="L189" s="7">
        <v>32</v>
      </c>
    </row>
    <row r="190" spans="5:12" ht="15" customHeight="1">
      <c r="E190" s="6">
        <v>1.37508804357711</v>
      </c>
      <c r="F190" s="6">
        <v>4.1422940489426203</v>
      </c>
      <c r="G190" s="6">
        <v>24.940794161293098</v>
      </c>
      <c r="H190" s="6">
        <v>2.1267770841843601</v>
      </c>
      <c r="I190" s="6">
        <v>3.3117126218898001</v>
      </c>
      <c r="J190" s="6">
        <v>31.286670686032501</v>
      </c>
      <c r="K190" s="6">
        <v>1.0597700685575899</v>
      </c>
      <c r="L190" s="7">
        <v>31</v>
      </c>
    </row>
    <row r="191" spans="5:12" ht="15" customHeight="1">
      <c r="E191" s="6">
        <v>1.2507200730169299</v>
      </c>
      <c r="F191" s="6">
        <v>4.1635896231335803</v>
      </c>
      <c r="G191" s="6">
        <v>28.722917477042401</v>
      </c>
      <c r="H191" s="6">
        <v>2.0119319652424301</v>
      </c>
      <c r="I191" s="6">
        <v>3.2172987498433199</v>
      </c>
      <c r="J191" s="6">
        <v>31.568073857884901</v>
      </c>
      <c r="K191" s="6">
        <v>1.04898695509911</v>
      </c>
      <c r="L191" s="7">
        <v>30</v>
      </c>
    </row>
    <row r="192" spans="5:12" ht="15" customHeight="1">
      <c r="E192" s="6">
        <v>1.2984906298009899</v>
      </c>
      <c r="F192" s="6">
        <v>4.1403189489364598</v>
      </c>
      <c r="G192" s="6">
        <v>27.128925111233801</v>
      </c>
      <c r="H192" s="6">
        <v>1.9315921929659099</v>
      </c>
      <c r="I192" s="6">
        <v>3.9157439700277501</v>
      </c>
      <c r="J192" s="6">
        <v>31.048025511030598</v>
      </c>
      <c r="K192" s="6">
        <v>1.03639652953848</v>
      </c>
      <c r="L192" s="7">
        <v>29</v>
      </c>
    </row>
    <row r="193" spans="5:12" ht="15" customHeight="1">
      <c r="E193" s="6">
        <v>1.43855596041501</v>
      </c>
      <c r="F193" s="6">
        <v>4.2683849063666699</v>
      </c>
      <c r="G193" s="6">
        <v>26.6126550220072</v>
      </c>
      <c r="H193" s="6">
        <v>1.99841527854451</v>
      </c>
      <c r="I193" s="6">
        <v>3.2910256734728098</v>
      </c>
      <c r="J193" s="6">
        <v>34.675376658142902</v>
      </c>
      <c r="K193" s="6">
        <v>1.04163261048751</v>
      </c>
      <c r="L193" s="7">
        <v>28</v>
      </c>
    </row>
    <row r="194" spans="5:12" ht="15" customHeight="1">
      <c r="E194" s="6">
        <v>1.3515397505553799</v>
      </c>
      <c r="F194" s="6">
        <v>4.2261858913802701</v>
      </c>
      <c r="G194" s="6">
        <v>24.458251520813999</v>
      </c>
      <c r="H194" s="6">
        <v>2.0179814091014898</v>
      </c>
      <c r="I194" s="6">
        <v>2.9987508268673602</v>
      </c>
      <c r="J194" s="6">
        <v>33.674863952443403</v>
      </c>
      <c r="K194" s="6">
        <v>1.0360377963288701</v>
      </c>
      <c r="L194" s="7">
        <v>27</v>
      </c>
    </row>
    <row r="195" spans="5:12" ht="15" customHeight="1">
      <c r="E195" s="6">
        <v>1.5117390125036501</v>
      </c>
      <c r="F195" s="6">
        <v>4.1426566557379996</v>
      </c>
      <c r="G195" s="6">
        <v>26.217298580703101</v>
      </c>
      <c r="H195" s="6">
        <v>1.89111118882088</v>
      </c>
      <c r="I195" s="6">
        <v>3.12351992433695</v>
      </c>
      <c r="J195" s="6">
        <v>30.9762624560536</v>
      </c>
      <c r="K195" s="6">
        <v>1.0326681133434299</v>
      </c>
      <c r="L195" s="7">
        <v>26</v>
      </c>
    </row>
    <row r="196" spans="5:12" ht="15" customHeight="1">
      <c r="E196" s="6">
        <v>1.4328850664022299</v>
      </c>
      <c r="F196" s="6">
        <v>4.2729857496614398</v>
      </c>
      <c r="G196" s="6">
        <v>26.091265816141199</v>
      </c>
      <c r="H196" s="6">
        <v>2.1567936138940098</v>
      </c>
      <c r="I196" s="6">
        <v>3.4916558648204998</v>
      </c>
      <c r="J196" s="6">
        <v>34.971255280688098</v>
      </c>
      <c r="K196" s="6">
        <v>1.02789237985214</v>
      </c>
      <c r="L196" s="7">
        <v>25</v>
      </c>
    </row>
    <row r="197" spans="5:12" ht="15" customHeight="1">
      <c r="E197" s="6">
        <v>1.45589906337464</v>
      </c>
      <c r="F197" s="6">
        <v>4.1785734921018003</v>
      </c>
      <c r="G197" s="6">
        <v>26.382857196774001</v>
      </c>
      <c r="H197" s="6">
        <v>2.0497160916456099</v>
      </c>
      <c r="I197" s="6">
        <v>3.0780027753265502</v>
      </c>
      <c r="J197" s="6">
        <v>37.7202430644559</v>
      </c>
      <c r="K197" s="6">
        <v>1.02041493354373</v>
      </c>
      <c r="L197" s="7">
        <v>24</v>
      </c>
    </row>
    <row r="198" spans="5:12" ht="15" customHeight="1">
      <c r="E198" s="6">
        <v>1.4045539424917</v>
      </c>
      <c r="F198" s="6">
        <v>4.1224282109691304</v>
      </c>
      <c r="G198" s="6">
        <v>28.6929100620439</v>
      </c>
      <c r="H198" s="6">
        <v>2.03719891594376</v>
      </c>
      <c r="I198" s="6">
        <v>3.8020500319157602</v>
      </c>
      <c r="J198" s="6">
        <v>31.8479911089937</v>
      </c>
      <c r="K198" s="6">
        <v>1.0177385508376999</v>
      </c>
      <c r="L198" s="7">
        <v>23</v>
      </c>
    </row>
    <row r="199" spans="5:12" ht="15" customHeight="1">
      <c r="E199" s="6">
        <v>1.3926736576574501</v>
      </c>
      <c r="F199" s="6">
        <v>4.2072904024198499</v>
      </c>
      <c r="G199" s="6">
        <v>29.195358634119501</v>
      </c>
      <c r="H199" s="6">
        <v>2.13716558075365</v>
      </c>
      <c r="I199" s="6">
        <v>3.0720961650987699</v>
      </c>
      <c r="J199" s="6">
        <v>35.336848294061703</v>
      </c>
      <c r="K199" s="6">
        <v>1.0155830626281901</v>
      </c>
      <c r="L199" s="7">
        <v>22</v>
      </c>
    </row>
    <row r="200" spans="5:12" ht="15" customHeight="1">
      <c r="E200" s="6">
        <v>1.3498789817888299</v>
      </c>
      <c r="F200" s="6">
        <v>4.2272744009560599</v>
      </c>
      <c r="G200" s="6">
        <v>27.258127293629499</v>
      </c>
      <c r="H200" s="6">
        <v>2.0215164888947599</v>
      </c>
      <c r="I200" s="6">
        <v>2.9501281581103398</v>
      </c>
      <c r="J200" s="6">
        <v>33.335470748521701</v>
      </c>
      <c r="K200" s="6">
        <v>1.0116661798948601</v>
      </c>
      <c r="L200" s="7">
        <v>21</v>
      </c>
    </row>
    <row r="201" spans="5:12" ht="15" customHeight="1">
      <c r="E201" s="6">
        <v>1.38159356417657</v>
      </c>
      <c r="F201" s="6">
        <v>4.1603713326970198</v>
      </c>
      <c r="G201" s="6">
        <v>28.349200203051399</v>
      </c>
      <c r="H201" s="6">
        <v>1.77245366040626</v>
      </c>
      <c r="I201" s="6">
        <v>3.7450083800158902</v>
      </c>
      <c r="J201" s="6">
        <v>30.103205828175401</v>
      </c>
      <c r="K201" s="6">
        <v>1.01109597052056</v>
      </c>
      <c r="L201" s="7">
        <v>20</v>
      </c>
    </row>
    <row r="202" spans="5:12" ht="15" customHeight="1">
      <c r="E202" s="6">
        <v>1.45097565023913</v>
      </c>
      <c r="F202" s="6">
        <v>4.1858820965020103</v>
      </c>
      <c r="G202" s="6">
        <v>26.0736262350235</v>
      </c>
      <c r="H202" s="6">
        <v>2.0199586818705302</v>
      </c>
      <c r="I202" s="6">
        <v>3.2126195240931898</v>
      </c>
      <c r="J202" s="6">
        <v>33.453729994362298</v>
      </c>
      <c r="K202" s="6">
        <v>0.99713100819936995</v>
      </c>
      <c r="L202" s="7">
        <v>19</v>
      </c>
    </row>
    <row r="203" spans="5:12" ht="15" customHeight="1">
      <c r="E203" s="6">
        <v>1.40255055973595</v>
      </c>
      <c r="F203" s="6">
        <v>4.2627213339619496</v>
      </c>
      <c r="G203" s="6">
        <v>25.535385418589598</v>
      </c>
      <c r="H203" s="6">
        <v>2.0028555379189901</v>
      </c>
      <c r="I203" s="6">
        <v>3.1058954169650801</v>
      </c>
      <c r="J203" s="6">
        <v>32.649522561779399</v>
      </c>
      <c r="K203" s="6">
        <v>0.99181034898417397</v>
      </c>
      <c r="L203" s="7">
        <v>18</v>
      </c>
    </row>
    <row r="204" spans="5:12" ht="15" customHeight="1">
      <c r="E204" s="6">
        <v>1.40337552713377</v>
      </c>
      <c r="F204" s="6">
        <v>4.26588664590418</v>
      </c>
      <c r="G204" s="6">
        <v>27.3274895718232</v>
      </c>
      <c r="H204" s="6">
        <v>2.0351377396881198</v>
      </c>
      <c r="I204" s="6">
        <v>3.9864917460234102</v>
      </c>
      <c r="J204" s="6">
        <v>32.658142678887998</v>
      </c>
      <c r="K204" s="6">
        <v>0.97842822307452804</v>
      </c>
      <c r="L204" s="7">
        <v>17</v>
      </c>
    </row>
    <row r="205" spans="5:12" ht="15" customHeight="1">
      <c r="E205" s="6">
        <v>1.3343177084343101</v>
      </c>
      <c r="F205" s="6">
        <v>4.21802681514911</v>
      </c>
      <c r="G205" s="6">
        <v>23.575033501872198</v>
      </c>
      <c r="H205" s="6">
        <v>1.7948213853998001</v>
      </c>
      <c r="I205" s="6">
        <v>2.7501055870100699</v>
      </c>
      <c r="J205" s="6">
        <v>34.712955498949398</v>
      </c>
      <c r="K205" s="6">
        <v>0.97927962736683605</v>
      </c>
      <c r="L205" s="7">
        <v>16</v>
      </c>
    </row>
    <row r="206" spans="5:12" ht="15" customHeight="1">
      <c r="E206" s="6">
        <v>1.4878197223587699</v>
      </c>
      <c r="F206" s="6">
        <v>4.1896414324233504</v>
      </c>
      <c r="G206" s="6">
        <v>29.730859518855802</v>
      </c>
      <c r="H206" s="6">
        <v>1.9256564668140499</v>
      </c>
      <c r="I206" s="6">
        <v>3.7360925574204198</v>
      </c>
      <c r="J206" s="6">
        <v>35.438873790797601</v>
      </c>
      <c r="K206" s="6">
        <v>0.96782971523291195</v>
      </c>
      <c r="L206" s="7">
        <v>15</v>
      </c>
    </row>
    <row r="207" spans="5:12" ht="15" customHeight="1">
      <c r="E207" s="6">
        <v>1.4933455430065301</v>
      </c>
      <c r="F207" s="6">
        <v>4.2413940552173299</v>
      </c>
      <c r="G207" s="6">
        <v>24.524052444903699</v>
      </c>
      <c r="H207" s="6">
        <v>2.13574787892304</v>
      </c>
      <c r="I207" s="6">
        <v>3.2917127666786401</v>
      </c>
      <c r="J207" s="6">
        <v>31.5010948977231</v>
      </c>
      <c r="K207" s="6">
        <v>0.968216004794487</v>
      </c>
      <c r="L207" s="7">
        <v>14</v>
      </c>
    </row>
    <row r="208" spans="5:12" ht="15" customHeight="1">
      <c r="E208" s="6">
        <v>1.4758299690250201</v>
      </c>
      <c r="F208" s="6">
        <v>4.2419119641249496</v>
      </c>
      <c r="G208" s="6">
        <v>25.5512511297887</v>
      </c>
      <c r="H208" s="6">
        <v>1.9950961867930801</v>
      </c>
      <c r="I208" s="6">
        <v>3.6752554162403199</v>
      </c>
      <c r="J208" s="6">
        <v>32.763898256367099</v>
      </c>
      <c r="K208" s="6">
        <v>0.96307086010278797</v>
      </c>
      <c r="L208" s="7">
        <v>13</v>
      </c>
    </row>
    <row r="209" spans="5:12" ht="15" customHeight="1">
      <c r="E209" s="6">
        <v>1.40767091317861</v>
      </c>
      <c r="F209" s="6">
        <v>4.1839657876164402</v>
      </c>
      <c r="G209" s="6">
        <v>27.011407819630701</v>
      </c>
      <c r="H209" s="6">
        <v>1.9425954702935699</v>
      </c>
      <c r="I209" s="6">
        <v>3.6414311126308698</v>
      </c>
      <c r="J209" s="6">
        <v>33.883384816066503</v>
      </c>
      <c r="K209" s="6">
        <v>0.95510217982093204</v>
      </c>
      <c r="L209" s="7">
        <v>12</v>
      </c>
    </row>
    <row r="210" spans="5:12" ht="15" customHeight="1">
      <c r="E210" s="6">
        <v>1.4093419726679599</v>
      </c>
      <c r="F210" s="6">
        <v>4.1953449232322999</v>
      </c>
      <c r="G210" s="6">
        <v>26.203721772809899</v>
      </c>
      <c r="H210" s="6">
        <v>2.0079445127201199</v>
      </c>
      <c r="I210" s="6">
        <v>3.16978858251339</v>
      </c>
      <c r="J210" s="6">
        <v>34.802968992846203</v>
      </c>
      <c r="K210" s="6">
        <v>0.95466423477936102</v>
      </c>
      <c r="L210" s="7">
        <v>11</v>
      </c>
    </row>
    <row r="211" spans="5:12" ht="15" customHeight="1">
      <c r="E211" s="6">
        <v>1.5305620091897001</v>
      </c>
      <c r="F211" s="6">
        <v>4.2111948936798296</v>
      </c>
      <c r="G211" s="6">
        <v>25.352543430123799</v>
      </c>
      <c r="H211" s="6">
        <v>2.0304122893872201</v>
      </c>
      <c r="I211" s="6">
        <v>3.8887972903880299</v>
      </c>
      <c r="J211" s="6">
        <v>35.165896747408702</v>
      </c>
      <c r="K211" s="6">
        <v>0.95595187666431702</v>
      </c>
      <c r="L211" s="7">
        <v>10</v>
      </c>
    </row>
    <row r="212" spans="5:12" ht="15" customHeight="1">
      <c r="E212" s="6">
        <v>1.2387544193311599</v>
      </c>
      <c r="F212" s="6">
        <v>4.1803958334618398</v>
      </c>
      <c r="G212" s="6">
        <v>26.765416271865998</v>
      </c>
      <c r="H212" s="6">
        <v>1.9502898424466799</v>
      </c>
      <c r="I212" s="6">
        <v>3.6071192554014799</v>
      </c>
      <c r="J212" s="6">
        <v>32.0887599409389</v>
      </c>
      <c r="K212" s="6">
        <v>0.93485376434366196</v>
      </c>
      <c r="L212" s="7">
        <v>9</v>
      </c>
    </row>
    <row r="213" spans="5:12" ht="15" customHeight="1">
      <c r="E213" s="6">
        <v>1.25741458423241</v>
      </c>
      <c r="F213" s="6">
        <v>4.2368010368142199</v>
      </c>
      <c r="G213" s="6">
        <v>27.274143329154199</v>
      </c>
      <c r="H213" s="6">
        <v>1.8527539665914201</v>
      </c>
      <c r="I213" s="6">
        <v>3.3200076519219301</v>
      </c>
      <c r="J213" s="6">
        <v>33.903767939292301</v>
      </c>
      <c r="K213" s="6">
        <v>0.94600375534468195</v>
      </c>
      <c r="L213" s="7">
        <v>8</v>
      </c>
    </row>
    <row r="214" spans="5:12" ht="15" customHeight="1">
      <c r="E214" s="6">
        <v>1.3883900618201099</v>
      </c>
      <c r="F214" s="6">
        <v>4.2451699112182002</v>
      </c>
      <c r="G214" s="6">
        <v>30.481103652988001</v>
      </c>
      <c r="H214" s="6">
        <v>2.1064140533045501</v>
      </c>
      <c r="I214" s="6">
        <v>3.2379724003908499</v>
      </c>
      <c r="J214" s="6">
        <v>33.744181234650597</v>
      </c>
      <c r="K214" s="6">
        <v>0.93158499272177997</v>
      </c>
      <c r="L214" s="7">
        <v>7</v>
      </c>
    </row>
    <row r="215" spans="5:12" ht="15" customHeight="1">
      <c r="E215" s="6">
        <v>1.4014678314904001</v>
      </c>
      <c r="F215" s="6">
        <v>4.2327217895414</v>
      </c>
      <c r="G215" s="6">
        <v>27.944506643075499</v>
      </c>
      <c r="H215" s="6">
        <v>1.9507528726419301</v>
      </c>
      <c r="I215" s="6">
        <v>3.8051095681108098</v>
      </c>
      <c r="J215" s="6">
        <v>33.040647061317998</v>
      </c>
      <c r="K215" s="6">
        <v>0.93509924751777995</v>
      </c>
      <c r="L215" s="7">
        <v>6</v>
      </c>
    </row>
    <row r="216" spans="5:12" ht="15" customHeight="1">
      <c r="E216" s="6">
        <v>1.4071535842924401</v>
      </c>
      <c r="F216" s="6">
        <v>4.2163595255105299</v>
      </c>
      <c r="G216" s="6">
        <v>27.949007404624702</v>
      </c>
      <c r="H216" s="6">
        <v>2.06501304128924</v>
      </c>
      <c r="I216" s="6">
        <v>3.7346714223019202</v>
      </c>
      <c r="J216" s="6">
        <v>32.054334491514197</v>
      </c>
      <c r="K216" s="6">
        <v>0.92534970123810301</v>
      </c>
      <c r="L216" s="7">
        <v>5</v>
      </c>
    </row>
    <row r="217" spans="5:12" ht="15" customHeight="1">
      <c r="E217" s="6">
        <v>1.34282173838895</v>
      </c>
      <c r="F217" s="6">
        <v>4.2164190720052801</v>
      </c>
      <c r="G217" s="6">
        <v>25.498437957003599</v>
      </c>
      <c r="H217" s="6">
        <v>1.96057317221022</v>
      </c>
      <c r="I217" s="6">
        <v>3.17801122191038</v>
      </c>
      <c r="J217" s="6">
        <v>36.350405584031797</v>
      </c>
      <c r="K217" s="6">
        <v>0.91988506638944001</v>
      </c>
      <c r="L217" s="7">
        <v>4</v>
      </c>
    </row>
    <row r="218" spans="5:12" ht="15" customHeight="1">
      <c r="E218" s="6">
        <v>1.4249668306563701</v>
      </c>
      <c r="F218" s="6">
        <v>4.1555497129639001</v>
      </c>
      <c r="G218" s="6">
        <v>25.2060016172655</v>
      </c>
      <c r="H218" s="6">
        <v>2.16191620994497</v>
      </c>
      <c r="I218" s="6">
        <v>3.5906474992018</v>
      </c>
      <c r="J218" s="6">
        <v>32.888621255339501</v>
      </c>
      <c r="K218" s="6">
        <v>0.90718454515149904</v>
      </c>
      <c r="L218" s="7">
        <v>3</v>
      </c>
    </row>
    <row r="219" spans="5:12" ht="15" customHeight="1">
      <c r="E219" s="6">
        <v>1.4616337539432001</v>
      </c>
      <c r="F219" s="6">
        <v>4.27827776358279</v>
      </c>
      <c r="G219" s="6">
        <v>28.1802561541137</v>
      </c>
      <c r="H219" s="6">
        <v>2.0470314883093002</v>
      </c>
      <c r="I219" s="6">
        <v>3.24645463832347</v>
      </c>
      <c r="J219" s="6">
        <v>31.478522994247101</v>
      </c>
      <c r="K219" s="6">
        <v>0.91202738108119197</v>
      </c>
      <c r="L219" s="7">
        <v>2</v>
      </c>
    </row>
    <row r="220" spans="5:12" ht="15" customHeight="1">
      <c r="E220" s="6">
        <v>1.2149948087486599</v>
      </c>
      <c r="F220" s="6">
        <v>4.2175242493963596</v>
      </c>
      <c r="G220" s="6">
        <v>27.1688408669457</v>
      </c>
      <c r="H220" s="6">
        <v>1.76038139402439</v>
      </c>
      <c r="I220" s="6">
        <v>3.6238971775046398</v>
      </c>
      <c r="J220" s="6">
        <v>33.314325998084101</v>
      </c>
      <c r="K220" s="6">
        <v>0.91094424260616103</v>
      </c>
      <c r="L220" s="7">
        <v>1</v>
      </c>
    </row>
    <row r="221" spans="5:12" ht="15" customHeight="1">
      <c r="E221" s="6">
        <v>1.3655012089806799</v>
      </c>
      <c r="F221" s="6">
        <v>4.2349003005804997</v>
      </c>
      <c r="G221" s="6">
        <v>26.316386953354201</v>
      </c>
      <c r="H221" s="6">
        <v>1.9350761938880501</v>
      </c>
      <c r="I221" s="6">
        <v>3.7344132448367802</v>
      </c>
      <c r="J221" s="6">
        <v>33.640988267053899</v>
      </c>
      <c r="K221" s="6">
        <v>0.89826164680689202</v>
      </c>
      <c r="L221" s="7">
        <v>0</v>
      </c>
    </row>
    <row r="222" spans="5:12" ht="15" customHeight="1">
      <c r="E222" s="6">
        <v>1.45944075656391</v>
      </c>
      <c r="F222" s="6">
        <v>4.1987435730228801</v>
      </c>
      <c r="G222" s="6">
        <v>26.5215067208336</v>
      </c>
      <c r="H222" s="6">
        <v>1.95821030971407</v>
      </c>
      <c r="I222" s="6">
        <v>3.6685688687921698</v>
      </c>
      <c r="J222" s="6">
        <v>31.198080297611501</v>
      </c>
      <c r="K222" s="6">
        <v>1.9936917393798099</v>
      </c>
      <c r="L222" s="7">
        <v>209</v>
      </c>
    </row>
    <row r="223" spans="5:12" ht="15" customHeight="1">
      <c r="E223" s="6">
        <v>1.4095727908095199</v>
      </c>
      <c r="F223" s="6">
        <v>4.1981968812364796</v>
      </c>
      <c r="G223" s="6">
        <v>23.529263751458</v>
      </c>
      <c r="H223" s="6">
        <v>2.0307420903374598</v>
      </c>
      <c r="I223" s="6">
        <v>3.1871734738384401</v>
      </c>
      <c r="J223" s="6">
        <v>34.750710135163402</v>
      </c>
      <c r="K223" s="6">
        <v>1.97944341970965</v>
      </c>
      <c r="L223" s="7">
        <v>208</v>
      </c>
    </row>
    <row r="224" spans="5:12" ht="15" customHeight="1">
      <c r="E224" s="6">
        <v>1.38487793998493</v>
      </c>
      <c r="F224" s="6">
        <v>4.2522278733910301</v>
      </c>
      <c r="G224" s="6">
        <v>25.1106881565638</v>
      </c>
      <c r="H224" s="6">
        <v>1.99102989747337</v>
      </c>
      <c r="I224" s="6">
        <v>3.5613281623921802</v>
      </c>
      <c r="J224" s="6">
        <v>34.574028814247598</v>
      </c>
      <c r="K224" s="6">
        <v>1.9882766783577599</v>
      </c>
      <c r="L224" s="7">
        <v>207</v>
      </c>
    </row>
    <row r="225" spans="5:12" ht="15" customHeight="1">
      <c r="E225" s="6">
        <v>1.1835636920254</v>
      </c>
      <c r="F225" s="6">
        <v>4.15225359437515</v>
      </c>
      <c r="G225" s="6">
        <v>30.2950214673108</v>
      </c>
      <c r="H225" s="6">
        <v>1.8850114111184899</v>
      </c>
      <c r="I225" s="6">
        <v>3.9159149777896198</v>
      </c>
      <c r="J225" s="6">
        <v>30.3535100195631</v>
      </c>
      <c r="K225" s="6">
        <v>1.9790416412352501</v>
      </c>
      <c r="L225" s="7">
        <v>206</v>
      </c>
    </row>
    <row r="226" spans="5:12" ht="15" customHeight="1">
      <c r="E226" s="6">
        <v>1.55868821654332</v>
      </c>
      <c r="F226" s="6">
        <v>4.2754185374854501</v>
      </c>
      <c r="G226" s="6">
        <v>25.088332674052001</v>
      </c>
      <c r="H226" s="6">
        <v>2.0053074466378802</v>
      </c>
      <c r="I226" s="6">
        <v>3.3403950901024602</v>
      </c>
      <c r="J226" s="6">
        <v>34.754754542301299</v>
      </c>
      <c r="K226" s="6">
        <v>1.9770444968012899</v>
      </c>
      <c r="L226" s="7">
        <v>205</v>
      </c>
    </row>
    <row r="227" spans="5:12" ht="15" customHeight="1">
      <c r="E227" s="6">
        <v>1.2601770115897599</v>
      </c>
      <c r="F227" s="6">
        <v>4.2105033122222597</v>
      </c>
      <c r="G227" s="6">
        <v>26.901204211484998</v>
      </c>
      <c r="H227" s="6">
        <v>1.83584128383171</v>
      </c>
      <c r="I227" s="6">
        <v>3.1052937220474299</v>
      </c>
      <c r="J227" s="6">
        <v>30.568286068360901</v>
      </c>
      <c r="K227" s="6">
        <v>1.9683462114271799</v>
      </c>
      <c r="L227" s="7">
        <v>204</v>
      </c>
    </row>
    <row r="228" spans="5:12" ht="15" customHeight="1">
      <c r="E228" s="6">
        <v>1.4959929463561901</v>
      </c>
      <c r="F228" s="6">
        <v>4.1566009160239599</v>
      </c>
      <c r="G228" s="6">
        <v>27.4646851469433</v>
      </c>
      <c r="H228" s="6">
        <v>1.9958569533594599</v>
      </c>
      <c r="I228" s="6">
        <v>3.5782854210653201</v>
      </c>
      <c r="J228" s="6">
        <v>32.599851619867202</v>
      </c>
      <c r="K228" s="6">
        <v>1.967038085692</v>
      </c>
      <c r="L228" s="7">
        <v>203</v>
      </c>
    </row>
    <row r="229" spans="5:12" ht="15" customHeight="1">
      <c r="E229" s="6">
        <v>1.4731510718571801</v>
      </c>
      <c r="F229" s="6">
        <v>4.1651717793187899</v>
      </c>
      <c r="G229" s="6">
        <v>29.637871479884101</v>
      </c>
      <c r="H229" s="6">
        <v>2.0131946582348301</v>
      </c>
      <c r="I229" s="6">
        <v>3.8046102697539301</v>
      </c>
      <c r="J229" s="6">
        <v>32.554212117412497</v>
      </c>
      <c r="K229" s="6">
        <v>1.95944663325053</v>
      </c>
      <c r="L229" s="7">
        <v>202</v>
      </c>
    </row>
    <row r="230" spans="5:12" ht="15" customHeight="1">
      <c r="E230" s="6">
        <v>1.5028987055560401</v>
      </c>
      <c r="F230" s="6">
        <v>4.1426605884789902</v>
      </c>
      <c r="G230" s="6">
        <v>27.8393181259325</v>
      </c>
      <c r="H230" s="6">
        <v>2.1342853763931502</v>
      </c>
      <c r="I230" s="6">
        <v>3.8804339206224898</v>
      </c>
      <c r="J230" s="6">
        <v>34.469247163198901</v>
      </c>
      <c r="K230" s="6">
        <v>1.9506690662575501</v>
      </c>
      <c r="L230" s="7">
        <v>201</v>
      </c>
    </row>
    <row r="231" spans="5:12" ht="15" customHeight="1">
      <c r="E231" s="6">
        <v>1.2752866577994</v>
      </c>
      <c r="F231" s="6">
        <v>4.2134912398015603</v>
      </c>
      <c r="G231" s="6">
        <v>23.093347827764799</v>
      </c>
      <c r="H231" s="6">
        <v>1.9625258650759501</v>
      </c>
      <c r="I231" s="6">
        <v>3.32710210990692</v>
      </c>
      <c r="J231" s="6">
        <v>32.571327796263901</v>
      </c>
      <c r="K231" s="6">
        <v>1.94993089499534</v>
      </c>
      <c r="L231" s="7">
        <v>200</v>
      </c>
    </row>
    <row r="232" spans="5:12" ht="15" customHeight="1">
      <c r="E232" s="6">
        <v>1.53531297934246</v>
      </c>
      <c r="F232" s="6">
        <v>4.1443904176846296</v>
      </c>
      <c r="G232" s="6">
        <v>26.931174885149499</v>
      </c>
      <c r="H232" s="6">
        <v>2.02614410186681</v>
      </c>
      <c r="I232" s="6">
        <v>3.3304194609315401</v>
      </c>
      <c r="J232" s="6">
        <v>31.500359356707499</v>
      </c>
      <c r="K232" s="6">
        <v>1.9543251006892099</v>
      </c>
      <c r="L232" s="7">
        <v>199</v>
      </c>
    </row>
    <row r="233" spans="5:12" ht="15" customHeight="1">
      <c r="E233" s="6">
        <v>1.3328606522302699</v>
      </c>
      <c r="F233" s="6">
        <v>4.2554921900528697</v>
      </c>
      <c r="G233" s="6">
        <v>24.3501109553894</v>
      </c>
      <c r="H233" s="6">
        <v>1.88793079037692</v>
      </c>
      <c r="I233" s="6">
        <v>3.3959484981143699</v>
      </c>
      <c r="J233" s="6">
        <v>31.524331903923699</v>
      </c>
      <c r="K233" s="6">
        <v>1.9476377858917</v>
      </c>
      <c r="L233" s="7">
        <v>198</v>
      </c>
    </row>
    <row r="234" spans="5:12" ht="15" customHeight="1">
      <c r="E234" s="6">
        <v>1.4986050552466501</v>
      </c>
      <c r="F234" s="6">
        <v>4.1216385037133296</v>
      </c>
      <c r="G234" s="6">
        <v>28.985998640325299</v>
      </c>
      <c r="H234" s="6">
        <v>2.0522933131441801</v>
      </c>
      <c r="I234" s="6">
        <v>3.32179302821352</v>
      </c>
      <c r="J234" s="6">
        <v>30.3664966128587</v>
      </c>
      <c r="K234" s="6">
        <v>1.93814426782808</v>
      </c>
      <c r="L234" s="7">
        <v>197</v>
      </c>
    </row>
    <row r="235" spans="5:12" ht="15" customHeight="1">
      <c r="E235" s="6">
        <v>1.3874809206102701</v>
      </c>
      <c r="F235" s="6">
        <v>4.2301980028338804</v>
      </c>
      <c r="G235" s="6">
        <v>28.943748297319399</v>
      </c>
      <c r="H235" s="6">
        <v>2.0847518319139802</v>
      </c>
      <c r="I235" s="6">
        <v>3.7669269359208801</v>
      </c>
      <c r="J235" s="6">
        <v>33.427135578631798</v>
      </c>
      <c r="K235" s="6">
        <v>1.9258009174024999</v>
      </c>
      <c r="L235" s="7">
        <v>196</v>
      </c>
    </row>
    <row r="236" spans="5:12" ht="15" customHeight="1">
      <c r="E236" s="6">
        <v>1.3432014908182399</v>
      </c>
      <c r="F236" s="6">
        <v>4.2007911288353297</v>
      </c>
      <c r="G236" s="6">
        <v>28.6397993635143</v>
      </c>
      <c r="H236" s="6">
        <v>2.0355844511383698</v>
      </c>
      <c r="I236" s="6">
        <v>3.6231916547465199</v>
      </c>
      <c r="J236" s="6">
        <v>30.775168339191001</v>
      </c>
      <c r="K236" s="6">
        <v>1.9290206823938101</v>
      </c>
      <c r="L236" s="7">
        <v>195</v>
      </c>
    </row>
    <row r="237" spans="5:12" ht="15" customHeight="1">
      <c r="E237" s="6">
        <v>1.45833258747127</v>
      </c>
      <c r="F237" s="6">
        <v>4.2212801908975504</v>
      </c>
      <c r="G237" s="6">
        <v>23.7412209466004</v>
      </c>
      <c r="H237" s="6">
        <v>2.0108432671038798</v>
      </c>
      <c r="I237" s="6">
        <v>3.59033841506026</v>
      </c>
      <c r="J237" s="6">
        <v>29.856374534150099</v>
      </c>
      <c r="K237" s="6">
        <v>1.91759369568662</v>
      </c>
      <c r="L237" s="7">
        <v>194</v>
      </c>
    </row>
    <row r="238" spans="5:12" ht="15" customHeight="1">
      <c r="E238" s="6">
        <v>1.4549349171716901</v>
      </c>
      <c r="F238" s="6">
        <v>4.1154764460238802</v>
      </c>
      <c r="G238" s="6">
        <v>28.675867659424</v>
      </c>
      <c r="H238" s="6">
        <v>2.2414571452212799</v>
      </c>
      <c r="I238" s="6">
        <v>3.7505278378760698</v>
      </c>
      <c r="J238" s="6">
        <v>31.2367848599906</v>
      </c>
      <c r="K238" s="6">
        <v>1.9171847500808501</v>
      </c>
      <c r="L238" s="7">
        <v>193</v>
      </c>
    </row>
    <row r="239" spans="5:12" ht="15" customHeight="1">
      <c r="E239" s="6">
        <v>1.3984993556484699</v>
      </c>
      <c r="F239" s="6">
        <v>4.2365684383495399</v>
      </c>
      <c r="G239" s="6">
        <v>25.455219471058101</v>
      </c>
      <c r="H239" s="6">
        <v>2.00181251130202</v>
      </c>
      <c r="I239" s="6">
        <v>3.5704176529273601</v>
      </c>
      <c r="J239" s="6">
        <v>36.8317822541147</v>
      </c>
      <c r="K239" s="6">
        <v>1.9114996647039999</v>
      </c>
      <c r="L239" s="7">
        <v>192</v>
      </c>
    </row>
    <row r="240" spans="5:12" ht="15" customHeight="1">
      <c r="E240" s="6">
        <v>1.5366482457933901</v>
      </c>
      <c r="F240" s="6">
        <v>4.2190920136098704</v>
      </c>
      <c r="G240" s="6">
        <v>25.760795954797299</v>
      </c>
      <c r="H240" s="6">
        <v>1.98234849345388</v>
      </c>
      <c r="I240" s="6">
        <v>3.4657494468448098</v>
      </c>
      <c r="J240" s="6">
        <v>31.762395027581299</v>
      </c>
      <c r="K240" s="6">
        <v>1.9110065354666299</v>
      </c>
      <c r="L240" s="7">
        <v>191</v>
      </c>
    </row>
    <row r="241" spans="5:12" ht="15" customHeight="1">
      <c r="E241" s="6">
        <v>1.3753537335611601</v>
      </c>
      <c r="F241" s="6">
        <v>4.0964041376218203</v>
      </c>
      <c r="G241" s="6">
        <v>24.8958922487591</v>
      </c>
      <c r="H241" s="6">
        <v>1.99167249541647</v>
      </c>
      <c r="I241" s="6">
        <v>3.7343975988463698</v>
      </c>
      <c r="J241" s="6">
        <v>33.713423531066397</v>
      </c>
      <c r="K241" s="6">
        <v>1.89596467454619</v>
      </c>
      <c r="L241" s="7">
        <v>190</v>
      </c>
    </row>
    <row r="242" spans="5:12" ht="15" customHeight="1">
      <c r="E242" s="6">
        <v>1.3987593666609499</v>
      </c>
      <c r="F242" s="6">
        <v>4.2233048662526702</v>
      </c>
      <c r="G242" s="6">
        <v>29.066854856845602</v>
      </c>
      <c r="H242" s="6">
        <v>2.0739123751687698</v>
      </c>
      <c r="I242" s="6">
        <v>3.3279352249859699</v>
      </c>
      <c r="J242" s="6">
        <v>33.225578719653498</v>
      </c>
      <c r="K242" s="6">
        <v>1.90041743267959</v>
      </c>
      <c r="L242" s="7">
        <v>189</v>
      </c>
    </row>
    <row r="243" spans="5:12" ht="15" customHeight="1">
      <c r="E243" s="6">
        <v>1.49337116964919</v>
      </c>
      <c r="F243" s="6">
        <v>4.1626474304120302</v>
      </c>
      <c r="G243" s="6">
        <v>25.640426298617701</v>
      </c>
      <c r="H243" s="6">
        <v>1.94262750714979</v>
      </c>
      <c r="I243" s="6">
        <v>3.26421132271859</v>
      </c>
      <c r="J243" s="6">
        <v>30.2750674244054</v>
      </c>
      <c r="K243" s="6">
        <v>1.88784590444968</v>
      </c>
      <c r="L243" s="7">
        <v>188</v>
      </c>
    </row>
    <row r="244" spans="5:12" ht="15" customHeight="1">
      <c r="E244" s="6">
        <v>1.5528982336163599</v>
      </c>
      <c r="F244" s="6">
        <v>4.12908703714516</v>
      </c>
      <c r="G244" s="6">
        <v>25.681095506137101</v>
      </c>
      <c r="H244" s="6">
        <v>1.88649717573279</v>
      </c>
      <c r="I244" s="6">
        <v>3.5996336296590998</v>
      </c>
      <c r="J244" s="6">
        <v>29.816482157210501</v>
      </c>
      <c r="K244" s="6">
        <v>1.8936995674447199</v>
      </c>
      <c r="L244" s="7">
        <v>187</v>
      </c>
    </row>
    <row r="245" spans="5:12" ht="15" customHeight="1">
      <c r="E245" s="6">
        <v>1.28283730090758</v>
      </c>
      <c r="F245" s="6">
        <v>4.1572377232483904</v>
      </c>
      <c r="G245" s="6">
        <v>26.4126278698728</v>
      </c>
      <c r="H245" s="6">
        <v>1.94830494403779</v>
      </c>
      <c r="I245" s="6">
        <v>4.12276920594703</v>
      </c>
      <c r="J245" s="6">
        <v>32.829567409004</v>
      </c>
      <c r="K245" s="6">
        <v>1.88293292486664</v>
      </c>
      <c r="L245" s="7">
        <v>186</v>
      </c>
    </row>
    <row r="246" spans="5:12" ht="15" customHeight="1">
      <c r="E246" s="6">
        <v>1.5152736068039101</v>
      </c>
      <c r="F246" s="6">
        <v>4.2266576125208699</v>
      </c>
      <c r="G246" s="6">
        <v>26.3497848382124</v>
      </c>
      <c r="H246" s="6">
        <v>2.0003067092575502</v>
      </c>
      <c r="I246" s="6">
        <v>4.1345636942776398</v>
      </c>
      <c r="J246" s="6">
        <v>35.141085959960598</v>
      </c>
      <c r="K246" s="6">
        <v>1.8682602703345601</v>
      </c>
      <c r="L246" s="7">
        <v>185</v>
      </c>
    </row>
    <row r="247" spans="5:12" ht="15" customHeight="1">
      <c r="E247" s="6">
        <v>1.19009770442982</v>
      </c>
      <c r="F247" s="6">
        <v>4.1532609596564498</v>
      </c>
      <c r="G247" s="6">
        <v>24.0813521407248</v>
      </c>
      <c r="H247" s="6">
        <v>2.15114031264747</v>
      </c>
      <c r="I247" s="6">
        <v>3.68815239978484</v>
      </c>
      <c r="J247" s="6">
        <v>34.249925117367397</v>
      </c>
      <c r="K247" s="6">
        <v>1.8696214760160601</v>
      </c>
      <c r="L247" s="7">
        <v>184</v>
      </c>
    </row>
    <row r="248" spans="5:12" ht="15" customHeight="1">
      <c r="E248" s="6">
        <v>1.58323073333047</v>
      </c>
      <c r="F248" s="6">
        <v>4.1373008123188599</v>
      </c>
      <c r="G248" s="6">
        <v>27.6934678552002</v>
      </c>
      <c r="H248" s="6">
        <v>2.05833717598076</v>
      </c>
      <c r="I248" s="6">
        <v>3.4282505414520101</v>
      </c>
      <c r="J248" s="6">
        <v>33.316950207085497</v>
      </c>
      <c r="K248" s="6">
        <v>1.8594545071702799</v>
      </c>
      <c r="L248" s="7">
        <v>183</v>
      </c>
    </row>
    <row r="249" spans="5:12" ht="15" customHeight="1">
      <c r="E249" s="6">
        <v>1.3419892217338201</v>
      </c>
      <c r="F249" s="6">
        <v>4.2262672027044399</v>
      </c>
      <c r="G249" s="6">
        <v>27.103007646276701</v>
      </c>
      <c r="H249" s="6">
        <v>2.0693420822245501</v>
      </c>
      <c r="I249" s="6">
        <v>3.5702953720838702</v>
      </c>
      <c r="J249" s="6">
        <v>31.278604329415199</v>
      </c>
      <c r="K249" s="6">
        <v>1.85588032525941</v>
      </c>
      <c r="L249" s="7">
        <v>182</v>
      </c>
    </row>
    <row r="250" spans="5:12" ht="15" customHeight="1">
      <c r="E250" s="6">
        <v>1.3366477289356</v>
      </c>
      <c r="F250" s="6">
        <v>4.1585785569801201</v>
      </c>
      <c r="G250" s="6">
        <v>28.176348718177199</v>
      </c>
      <c r="H250" s="6">
        <v>2.1086781721502801</v>
      </c>
      <c r="I250" s="6">
        <v>2.8935221676698202</v>
      </c>
      <c r="J250" s="6">
        <v>33.734776799638801</v>
      </c>
      <c r="K250" s="6">
        <v>1.84782760619172</v>
      </c>
      <c r="L250" s="7">
        <v>181</v>
      </c>
    </row>
    <row r="251" spans="5:12" ht="15" customHeight="1">
      <c r="E251" s="6">
        <v>1.33524376263585</v>
      </c>
      <c r="F251" s="6">
        <v>4.1927070147045997</v>
      </c>
      <c r="G251" s="6">
        <v>28.627273447457</v>
      </c>
      <c r="H251" s="6">
        <v>2.0845669698187601</v>
      </c>
      <c r="I251" s="6">
        <v>3.1206903814138101</v>
      </c>
      <c r="J251" s="6">
        <v>32.296712580161902</v>
      </c>
      <c r="K251" s="6">
        <v>1.84615243333964</v>
      </c>
      <c r="L251" s="7">
        <v>180</v>
      </c>
    </row>
    <row r="252" spans="5:12" ht="15" customHeight="1">
      <c r="E252" s="6">
        <v>1.4517975551206299</v>
      </c>
      <c r="F252" s="6">
        <v>4.13210152682987</v>
      </c>
      <c r="G252" s="6">
        <v>26.661239481056999</v>
      </c>
      <c r="H252" s="6">
        <v>1.9430015969279799</v>
      </c>
      <c r="I252" s="6">
        <v>3.57585390907842</v>
      </c>
      <c r="J252" s="6">
        <v>33.217421773725903</v>
      </c>
      <c r="K252" s="6">
        <v>1.8498597843851601</v>
      </c>
      <c r="L252" s="7">
        <v>179</v>
      </c>
    </row>
    <row r="253" spans="5:12" ht="15" customHeight="1">
      <c r="E253" s="6">
        <v>1.5128543669322401</v>
      </c>
      <c r="F253" s="6">
        <v>4.2481795657743699</v>
      </c>
      <c r="G253" s="6">
        <v>26.291246499159602</v>
      </c>
      <c r="H253" s="6">
        <v>1.93962756130224</v>
      </c>
      <c r="I253" s="6">
        <v>3.1306214555004801</v>
      </c>
      <c r="J253" s="6">
        <v>33.252901120670899</v>
      </c>
      <c r="K253" s="6">
        <v>1.8446616335056201</v>
      </c>
      <c r="L253" s="7">
        <v>178</v>
      </c>
    </row>
    <row r="254" spans="5:12" ht="15" customHeight="1">
      <c r="E254" s="6">
        <v>1.31211697228846</v>
      </c>
      <c r="F254" s="6">
        <v>4.2144975073603703</v>
      </c>
      <c r="G254" s="6">
        <v>26.454818675712598</v>
      </c>
      <c r="H254" s="6">
        <v>1.8810567512754901</v>
      </c>
      <c r="I254" s="6">
        <v>3.3937758369328899</v>
      </c>
      <c r="J254" s="6">
        <v>34.4086601486311</v>
      </c>
      <c r="K254" s="6">
        <v>1.82861072620496</v>
      </c>
      <c r="L254" s="7">
        <v>177</v>
      </c>
    </row>
    <row r="255" spans="5:12" ht="15" customHeight="1">
      <c r="E255" s="6">
        <v>1.3972186840265901</v>
      </c>
      <c r="F255" s="6">
        <v>4.2869071414963003</v>
      </c>
      <c r="G255" s="6">
        <v>24.690956659364801</v>
      </c>
      <c r="H255" s="6">
        <v>2.0204831862184198</v>
      </c>
      <c r="I255" s="6">
        <v>3.6118659489270901</v>
      </c>
      <c r="J255" s="6">
        <v>35.969199040889102</v>
      </c>
      <c r="K255" s="6">
        <v>1.8301854471278001</v>
      </c>
      <c r="L255" s="7">
        <v>176</v>
      </c>
    </row>
    <row r="256" spans="5:12" ht="15" customHeight="1">
      <c r="E256" s="6">
        <v>1.42308960068757</v>
      </c>
      <c r="F256" s="6">
        <v>4.2512599587753801</v>
      </c>
      <c r="G256" s="6">
        <v>24.574917784718998</v>
      </c>
      <c r="H256" s="6">
        <v>2.1055383563429801</v>
      </c>
      <c r="I256" s="6">
        <v>3.5110856818542699</v>
      </c>
      <c r="J256" s="6">
        <v>29.978872034472001</v>
      </c>
      <c r="K256" s="6">
        <v>1.81858856947958</v>
      </c>
      <c r="L256" s="7">
        <v>175</v>
      </c>
    </row>
    <row r="257" spans="5:12" ht="15" customHeight="1">
      <c r="E257" s="6">
        <v>1.4220357733937601</v>
      </c>
      <c r="F257" s="6">
        <v>4.1560371232112701</v>
      </c>
      <c r="G257" s="6">
        <v>26.283268655738901</v>
      </c>
      <c r="H257" s="6">
        <v>1.8486345020271</v>
      </c>
      <c r="I257" s="6">
        <v>3.2066472791916101</v>
      </c>
      <c r="J257" s="6">
        <v>34.188973102470101</v>
      </c>
      <c r="K257" s="6">
        <v>1.8219360185393201</v>
      </c>
      <c r="L257" s="7">
        <v>174</v>
      </c>
    </row>
    <row r="258" spans="5:12" ht="15" customHeight="1">
      <c r="E258" s="6">
        <v>1.2478904102311601</v>
      </c>
      <c r="F258" s="6">
        <v>4.2292963214896204</v>
      </c>
      <c r="G258" s="6">
        <v>24.777713893991201</v>
      </c>
      <c r="H258" s="6">
        <v>1.9778020147750199</v>
      </c>
      <c r="I258" s="6">
        <v>2.98265571372281</v>
      </c>
      <c r="J258" s="6">
        <v>31.193862052684299</v>
      </c>
      <c r="K258" s="6">
        <v>1.8218436461281899</v>
      </c>
      <c r="L258" s="7">
        <v>173</v>
      </c>
    </row>
    <row r="259" spans="5:12" ht="15" customHeight="1">
      <c r="E259" s="6">
        <v>1.3735751844492201</v>
      </c>
      <c r="F259" s="6">
        <v>4.1670844432087204</v>
      </c>
      <c r="G259" s="6">
        <v>28.643161165912101</v>
      </c>
      <c r="H259" s="6">
        <v>2.1381388624023199</v>
      </c>
      <c r="I259" s="6">
        <v>3.8415951315291901</v>
      </c>
      <c r="J259" s="6">
        <v>35.026155648263298</v>
      </c>
      <c r="K259" s="6">
        <v>1.8188572335528701</v>
      </c>
      <c r="L259" s="7">
        <v>172</v>
      </c>
    </row>
    <row r="260" spans="5:12" ht="15" customHeight="1">
      <c r="E260" s="6">
        <v>1.46853062521488</v>
      </c>
      <c r="F260" s="6">
        <v>4.1663261827777696</v>
      </c>
      <c r="G260" s="6">
        <v>24.749267008319801</v>
      </c>
      <c r="H260" s="6">
        <v>2.0468560604827002</v>
      </c>
      <c r="I260" s="6">
        <v>3.3858965515741999</v>
      </c>
      <c r="J260" s="6">
        <v>31.3153538440686</v>
      </c>
      <c r="K260" s="6">
        <v>1.8094286324445801</v>
      </c>
      <c r="L260" s="7">
        <v>171</v>
      </c>
    </row>
    <row r="261" spans="5:12" ht="15" customHeight="1">
      <c r="E261" s="6">
        <v>1.22594280402922</v>
      </c>
      <c r="F261" s="6">
        <v>4.1924674109293196</v>
      </c>
      <c r="G261" s="6">
        <v>23.597122189122</v>
      </c>
      <c r="H261" s="6">
        <v>2.1426062013607301</v>
      </c>
      <c r="I261" s="6">
        <v>3.0408711040448901</v>
      </c>
      <c r="J261" s="6">
        <v>32.1161098451283</v>
      </c>
      <c r="K261" s="6">
        <v>1.79987099238915</v>
      </c>
      <c r="L261" s="7">
        <v>170</v>
      </c>
    </row>
    <row r="262" spans="5:12" ht="15" customHeight="1">
      <c r="E262" s="6">
        <v>1.3197699344265701</v>
      </c>
      <c r="F262" s="6">
        <v>4.1972257326984304</v>
      </c>
      <c r="G262" s="6">
        <v>26.580109384191498</v>
      </c>
      <c r="H262" s="6">
        <v>1.95791509552439</v>
      </c>
      <c r="I262" s="6">
        <v>3.6719827850455999</v>
      </c>
      <c r="J262" s="6">
        <v>36.386503506275297</v>
      </c>
      <c r="K262" s="6">
        <v>1.79401879573529</v>
      </c>
      <c r="L262" s="7">
        <v>169</v>
      </c>
    </row>
    <row r="263" spans="5:12" ht="15" customHeight="1">
      <c r="E263" s="6">
        <v>1.15548531370765</v>
      </c>
      <c r="F263" s="6">
        <v>4.2152982913760804</v>
      </c>
      <c r="G263" s="6">
        <v>25.893104910101901</v>
      </c>
      <c r="H263" s="6">
        <v>1.99082177600947</v>
      </c>
      <c r="I263" s="6">
        <v>3.2994520755643202</v>
      </c>
      <c r="J263" s="6">
        <v>35.068959387122803</v>
      </c>
      <c r="K263" s="6">
        <v>1.78978093082434</v>
      </c>
      <c r="L263" s="7">
        <v>168</v>
      </c>
    </row>
    <row r="264" spans="5:12" ht="15" customHeight="1">
      <c r="E264" s="6">
        <v>1.3744783136832099</v>
      </c>
      <c r="F264" s="6">
        <v>4.1336377929517996</v>
      </c>
      <c r="G264" s="6">
        <v>24.175912887036301</v>
      </c>
      <c r="H264" s="6">
        <v>1.9170726569049401</v>
      </c>
      <c r="I264" s="6">
        <v>3.7184755461841199</v>
      </c>
      <c r="J264" s="6">
        <v>33.087403839833499</v>
      </c>
      <c r="K264" s="6">
        <v>1.78733909199202</v>
      </c>
      <c r="L264" s="7">
        <v>167</v>
      </c>
    </row>
    <row r="265" spans="5:12" ht="15" customHeight="1">
      <c r="E265" s="6">
        <v>1.3529182736043699</v>
      </c>
      <c r="F265" s="6">
        <v>4.2419807656208004</v>
      </c>
      <c r="G265" s="6">
        <v>25.5562748699416</v>
      </c>
      <c r="H265" s="6">
        <v>2.1137284121764699</v>
      </c>
      <c r="I265" s="6">
        <v>3.89148379542705</v>
      </c>
      <c r="J265" s="6">
        <v>32.032763864736197</v>
      </c>
      <c r="K265" s="6">
        <v>1.7775220917753001</v>
      </c>
      <c r="L265" s="7">
        <v>166</v>
      </c>
    </row>
    <row r="266" spans="5:12" ht="15" customHeight="1">
      <c r="E266" s="6">
        <v>1.5023269616400801</v>
      </c>
      <c r="F266" s="6">
        <v>4.26076137438241</v>
      </c>
      <c r="G266" s="6">
        <v>27.076231502768898</v>
      </c>
      <c r="H266" s="6">
        <v>2.0676215709936501</v>
      </c>
      <c r="I266" s="6">
        <v>3.0749602348648599</v>
      </c>
      <c r="J266" s="6">
        <v>32.570404508997498</v>
      </c>
      <c r="K266" s="6">
        <v>1.7776361584768201</v>
      </c>
      <c r="L266" s="7">
        <v>165</v>
      </c>
    </row>
    <row r="267" spans="5:12" ht="15" customHeight="1">
      <c r="E267" s="6">
        <v>1.36031518170815</v>
      </c>
      <c r="F267" s="6">
        <v>4.1648844082286196</v>
      </c>
      <c r="G267" s="6">
        <v>27.158819463475201</v>
      </c>
      <c r="H267" s="6">
        <v>1.9714798671856899</v>
      </c>
      <c r="I267" s="6">
        <v>3.2995382728001901</v>
      </c>
      <c r="J267" s="6">
        <v>31.167166623901998</v>
      </c>
      <c r="K267" s="6">
        <v>1.77690078407693</v>
      </c>
      <c r="L267" s="7">
        <v>164</v>
      </c>
    </row>
    <row r="268" spans="5:12" ht="15" customHeight="1">
      <c r="E268" s="6">
        <v>1.55138584205527</v>
      </c>
      <c r="F268" s="6">
        <v>4.1851638365667103</v>
      </c>
      <c r="G268" s="6">
        <v>28.120595931017899</v>
      </c>
      <c r="H268" s="6">
        <v>1.9048206994496399</v>
      </c>
      <c r="I268" s="6">
        <v>3.47486241793399</v>
      </c>
      <c r="J268" s="6">
        <v>31.543818033198399</v>
      </c>
      <c r="K268" s="6">
        <v>1.771827905461</v>
      </c>
      <c r="L268" s="7">
        <v>163</v>
      </c>
    </row>
    <row r="269" spans="5:12" ht="15" customHeight="1">
      <c r="E269" s="6">
        <v>1.21588769450131</v>
      </c>
      <c r="F269" s="6">
        <v>4.2040375667662504</v>
      </c>
      <c r="G269" s="6">
        <v>28.355951004817602</v>
      </c>
      <c r="H269" s="6">
        <v>1.9436411721139299</v>
      </c>
      <c r="I269" s="6">
        <v>3.4840061259497301</v>
      </c>
      <c r="J269" s="6">
        <v>28.290244153347398</v>
      </c>
      <c r="K269" s="6">
        <v>1.7622756700501501</v>
      </c>
      <c r="L269" s="7">
        <v>162</v>
      </c>
    </row>
    <row r="270" spans="5:12" ht="15" customHeight="1">
      <c r="E270" s="6">
        <v>1.2592421581325099</v>
      </c>
      <c r="F270" s="6">
        <v>4.2959178843618799</v>
      </c>
      <c r="G270" s="6">
        <v>28.584740712671799</v>
      </c>
      <c r="H270" s="6">
        <v>2.0138306078236399</v>
      </c>
      <c r="I270" s="6">
        <v>3.3145624499977902</v>
      </c>
      <c r="J270" s="6">
        <v>31.979539431036599</v>
      </c>
      <c r="K270" s="6">
        <v>1.7547111973148499</v>
      </c>
      <c r="L270" s="7">
        <v>161</v>
      </c>
    </row>
    <row r="271" spans="5:12" ht="15" customHeight="1">
      <c r="E271" s="6">
        <v>1.23949002812511</v>
      </c>
      <c r="F271" s="6">
        <v>4.1721102964272401</v>
      </c>
      <c r="G271" s="6">
        <v>28.367920783742299</v>
      </c>
      <c r="H271" s="6">
        <v>2.0347137270559901</v>
      </c>
      <c r="I271" s="6">
        <v>3.1542767398527101</v>
      </c>
      <c r="J271" s="6">
        <v>33.4677899521405</v>
      </c>
      <c r="K271" s="6">
        <v>1.74705875417894</v>
      </c>
      <c r="L271" s="7">
        <v>160</v>
      </c>
    </row>
    <row r="272" spans="5:12" ht="15" customHeight="1">
      <c r="E272" s="6">
        <v>1.43256859208771</v>
      </c>
      <c r="F272" s="6">
        <v>4.1840539586566896</v>
      </c>
      <c r="G272" s="6">
        <v>29.475977238018</v>
      </c>
      <c r="H272" s="6">
        <v>2.0136447384675602</v>
      </c>
      <c r="I272" s="6">
        <v>3.5378424760904799</v>
      </c>
      <c r="J272" s="6">
        <v>35.975089185012003</v>
      </c>
      <c r="K272" s="6">
        <v>1.75041388601502</v>
      </c>
      <c r="L272" s="7">
        <v>159</v>
      </c>
    </row>
    <row r="273" spans="5:12" ht="15" customHeight="1">
      <c r="E273" s="6">
        <v>1.58757351521123</v>
      </c>
      <c r="F273" s="6">
        <v>4.1735231955816001</v>
      </c>
      <c r="G273" s="6">
        <v>27.420041131904298</v>
      </c>
      <c r="H273" s="6">
        <v>2.0332080532969701</v>
      </c>
      <c r="I273" s="6">
        <v>3.7169256715523198</v>
      </c>
      <c r="J273" s="6">
        <v>30.564363471607901</v>
      </c>
      <c r="K273" s="6">
        <v>1.73630304794798</v>
      </c>
      <c r="L273" s="7">
        <v>158</v>
      </c>
    </row>
    <row r="274" spans="5:12" ht="15" customHeight="1">
      <c r="E274" s="6">
        <v>1.3184842354003901</v>
      </c>
      <c r="F274" s="6">
        <v>4.1699009893307704</v>
      </c>
      <c r="G274" s="6">
        <v>26.9855602698327</v>
      </c>
      <c r="H274" s="6">
        <v>1.9200054209831501</v>
      </c>
      <c r="I274" s="6">
        <v>3.15462449689604</v>
      </c>
      <c r="J274" s="6">
        <v>33.277716220614103</v>
      </c>
      <c r="K274" s="6">
        <v>1.7322996730867399</v>
      </c>
      <c r="L274" s="7">
        <v>157</v>
      </c>
    </row>
    <row r="275" spans="5:12" ht="15" customHeight="1">
      <c r="E275" s="6">
        <v>1.26630835494567</v>
      </c>
      <c r="F275" s="6">
        <v>4.1161162020111703</v>
      </c>
      <c r="G275" s="6">
        <v>25.5734524954721</v>
      </c>
      <c r="H275" s="6">
        <v>1.89291552382552</v>
      </c>
      <c r="I275" s="6">
        <v>3.19018356936777</v>
      </c>
      <c r="J275" s="6">
        <v>30.841460221734899</v>
      </c>
      <c r="K275" s="6">
        <v>1.73478396278097</v>
      </c>
      <c r="L275" s="7">
        <v>156</v>
      </c>
    </row>
    <row r="276" spans="5:12" ht="15" customHeight="1">
      <c r="E276" s="6">
        <v>1.2423842672529299</v>
      </c>
      <c r="F276" s="6">
        <v>4.1449489569834599</v>
      </c>
      <c r="G276" s="6">
        <v>26.2692195701236</v>
      </c>
      <c r="H276" s="6">
        <v>2.1142737579294901</v>
      </c>
      <c r="I276" s="6">
        <v>3.1615832604267502</v>
      </c>
      <c r="J276" s="6">
        <v>32.157594717849101</v>
      </c>
      <c r="K276" s="6">
        <v>1.7220229822289901</v>
      </c>
      <c r="L276" s="7">
        <v>155</v>
      </c>
    </row>
    <row r="277" spans="5:12" ht="15" customHeight="1">
      <c r="E277" s="6">
        <v>1.4663455724305601</v>
      </c>
      <c r="F277" s="6">
        <v>4.1964229964661097</v>
      </c>
      <c r="G277" s="6">
        <v>28.7033816405661</v>
      </c>
      <c r="H277" s="6">
        <v>1.96775475129949</v>
      </c>
      <c r="I277" s="6">
        <v>3.5244395368186598</v>
      </c>
      <c r="J277" s="6">
        <v>30.577636440398599</v>
      </c>
      <c r="K277" s="6">
        <v>1.7213110682291399</v>
      </c>
      <c r="L277" s="7">
        <v>154</v>
      </c>
    </row>
    <row r="278" spans="5:12" ht="15" customHeight="1">
      <c r="E278" s="6">
        <v>1.3718811989666899</v>
      </c>
      <c r="F278" s="6">
        <v>4.2245493226585404</v>
      </c>
      <c r="G278" s="6">
        <v>28.246299711375698</v>
      </c>
      <c r="H278" s="6">
        <v>2.1215483769157899</v>
      </c>
      <c r="I278" s="6">
        <v>3.4916220627662402</v>
      </c>
      <c r="J278" s="6">
        <v>32.412345260685598</v>
      </c>
      <c r="K278" s="6">
        <v>1.7166447901731301</v>
      </c>
      <c r="L278" s="7">
        <v>153</v>
      </c>
    </row>
    <row r="279" spans="5:12" ht="15" customHeight="1">
      <c r="E279" s="6">
        <v>1.3825039158866801</v>
      </c>
      <c r="F279" s="6">
        <v>4.1209806616159401</v>
      </c>
      <c r="G279" s="6">
        <v>29.245684701542</v>
      </c>
      <c r="H279" s="6">
        <v>1.9835819530838299</v>
      </c>
      <c r="I279" s="6">
        <v>3.9727587811301501</v>
      </c>
      <c r="J279" s="6">
        <v>31.041479628122001</v>
      </c>
      <c r="K279" s="6">
        <v>1.70441389147496</v>
      </c>
      <c r="L279" s="7">
        <v>152</v>
      </c>
    </row>
    <row r="280" spans="5:12" ht="15" customHeight="1">
      <c r="E280" s="6">
        <v>1.25282171827263</v>
      </c>
      <c r="F280" s="6">
        <v>4.2578479506331002</v>
      </c>
      <c r="G280" s="6">
        <v>28.135812017061799</v>
      </c>
      <c r="H280" s="6">
        <v>2.1012620584757902</v>
      </c>
      <c r="I280" s="6">
        <v>3.5564910975973998</v>
      </c>
      <c r="J280" s="6">
        <v>33.3432867482136</v>
      </c>
      <c r="K280" s="6">
        <v>1.70439837464586</v>
      </c>
      <c r="L280" s="7">
        <v>151</v>
      </c>
    </row>
    <row r="281" spans="5:12" ht="15" customHeight="1">
      <c r="E281" s="6">
        <v>1.3580812987456401</v>
      </c>
      <c r="F281" s="6">
        <v>4.2567928757446296</v>
      </c>
      <c r="G281" s="6">
        <v>27.995932093913801</v>
      </c>
      <c r="H281" s="6">
        <v>2.0577865069335299</v>
      </c>
      <c r="I281" s="6">
        <v>3.3812276497327298</v>
      </c>
      <c r="J281" s="6">
        <v>35.3224232315252</v>
      </c>
      <c r="K281" s="6">
        <v>1.70266858156921</v>
      </c>
      <c r="L281" s="7">
        <v>150</v>
      </c>
    </row>
    <row r="282" spans="5:12" ht="15" customHeight="1">
      <c r="E282" s="6">
        <v>1.2914691732886601</v>
      </c>
      <c r="F282" s="6">
        <v>4.2237262842294703</v>
      </c>
      <c r="G282" s="6">
        <v>25.148673124944999</v>
      </c>
      <c r="H282" s="6">
        <v>2.0016148682699302</v>
      </c>
      <c r="I282" s="6">
        <v>3.56683639311971</v>
      </c>
      <c r="J282" s="6">
        <v>32.002085602033297</v>
      </c>
      <c r="K282" s="6">
        <v>1.6822146884076099</v>
      </c>
      <c r="L282" s="7">
        <v>149</v>
      </c>
    </row>
    <row r="283" spans="5:12" ht="15" customHeight="1">
      <c r="E283" s="6">
        <v>1.42972391370629</v>
      </c>
      <c r="F283" s="6">
        <v>4.1617517028961997</v>
      </c>
      <c r="G283" s="6">
        <v>26.0032566200105</v>
      </c>
      <c r="H283" s="6">
        <v>1.98555010012883</v>
      </c>
      <c r="I283" s="6">
        <v>3.7110386770900199</v>
      </c>
      <c r="J283" s="6">
        <v>36.682639218668399</v>
      </c>
      <c r="K283" s="6">
        <v>1.6905138406164999</v>
      </c>
      <c r="L283" s="7">
        <v>148</v>
      </c>
    </row>
    <row r="284" spans="5:12" ht="15" customHeight="1">
      <c r="E284" s="6">
        <v>1.4935586765272799</v>
      </c>
      <c r="F284" s="6">
        <v>4.1862112533804101</v>
      </c>
      <c r="G284" s="6">
        <v>29.692768662554201</v>
      </c>
      <c r="H284" s="6">
        <v>2.1146951831658201</v>
      </c>
      <c r="I284" s="6">
        <v>3.2348548967361399</v>
      </c>
      <c r="J284" s="6">
        <v>34.397866069728501</v>
      </c>
      <c r="K284" s="6">
        <v>1.68265232926187</v>
      </c>
      <c r="L284" s="7">
        <v>147</v>
      </c>
    </row>
    <row r="285" spans="5:12" ht="15" customHeight="1">
      <c r="E285" s="6">
        <v>1.3654055833952401</v>
      </c>
      <c r="F285" s="6">
        <v>4.1997788946846102</v>
      </c>
      <c r="G285" s="6">
        <v>27.3537201824976</v>
      </c>
      <c r="H285" s="6">
        <v>2.01625661040856</v>
      </c>
      <c r="I285" s="6">
        <v>3.2228353873194799</v>
      </c>
      <c r="J285" s="6">
        <v>32.693429392133702</v>
      </c>
      <c r="K285" s="6">
        <v>1.69206654593243</v>
      </c>
      <c r="L285" s="7">
        <v>146</v>
      </c>
    </row>
    <row r="286" spans="5:12" ht="15" customHeight="1">
      <c r="E286" s="6">
        <v>1.45754332310735</v>
      </c>
      <c r="F286" s="6">
        <v>4.15625827913302</v>
      </c>
      <c r="G286" s="6">
        <v>27.511001034424801</v>
      </c>
      <c r="H286" s="6">
        <v>1.89196893454241</v>
      </c>
      <c r="I286" s="6">
        <v>3.3313246799719902</v>
      </c>
      <c r="J286" s="6">
        <v>36.548543657409098</v>
      </c>
      <c r="K286" s="6">
        <v>1.6800098087315201</v>
      </c>
      <c r="L286" s="7">
        <v>145</v>
      </c>
    </row>
    <row r="287" spans="5:12" ht="15" customHeight="1">
      <c r="E287" s="6">
        <v>1.53528367838153</v>
      </c>
      <c r="F287" s="6">
        <v>4.2234958113263499</v>
      </c>
      <c r="G287" s="6">
        <v>28.4261802587076</v>
      </c>
      <c r="H287" s="6">
        <v>1.94593561971411</v>
      </c>
      <c r="I287" s="6">
        <v>3.2634790737498598</v>
      </c>
      <c r="J287" s="6">
        <v>31.757504341590799</v>
      </c>
      <c r="K287" s="6">
        <v>1.6716649766187099</v>
      </c>
      <c r="L287" s="7">
        <v>144</v>
      </c>
    </row>
    <row r="288" spans="5:12" ht="15" customHeight="1">
      <c r="E288" s="6">
        <v>1.37439936663225</v>
      </c>
      <c r="F288" s="6">
        <v>4.1976297096725697</v>
      </c>
      <c r="G288" s="6">
        <v>26.998032147675598</v>
      </c>
      <c r="H288" s="6">
        <v>1.88069754383779</v>
      </c>
      <c r="I288" s="6">
        <v>3.7359699896899299</v>
      </c>
      <c r="J288" s="6">
        <v>32.360457821454403</v>
      </c>
      <c r="K288" s="6">
        <v>1.6643344994631799</v>
      </c>
      <c r="L288" s="7">
        <v>143</v>
      </c>
    </row>
    <row r="289" spans="5:12" ht="15" customHeight="1">
      <c r="E289" s="6">
        <v>1.2796908947513299</v>
      </c>
      <c r="F289" s="6">
        <v>4.3337854411339602</v>
      </c>
      <c r="G289" s="6">
        <v>28.056234403984199</v>
      </c>
      <c r="H289" s="6">
        <v>1.9300573891042001</v>
      </c>
      <c r="I289" s="6">
        <v>3.68457685112265</v>
      </c>
      <c r="J289" s="6">
        <v>34.344860203655301</v>
      </c>
      <c r="K289" s="6">
        <v>1.6583530511961</v>
      </c>
      <c r="L289" s="7">
        <v>142</v>
      </c>
    </row>
    <row r="290" spans="5:12" ht="15" customHeight="1">
      <c r="E290" s="6">
        <v>1.40165362785418</v>
      </c>
      <c r="F290" s="6">
        <v>4.1926955699073298</v>
      </c>
      <c r="G290" s="6">
        <v>26.9189692965803</v>
      </c>
      <c r="H290" s="6">
        <v>1.89381450649621</v>
      </c>
      <c r="I290" s="6">
        <v>3.7041931947974902</v>
      </c>
      <c r="J290" s="6">
        <v>28.7230696266767</v>
      </c>
      <c r="K290" s="6">
        <v>1.65393362177475</v>
      </c>
      <c r="L290" s="7">
        <v>141</v>
      </c>
    </row>
    <row r="291" spans="5:12" ht="15" customHeight="1">
      <c r="E291" s="6">
        <v>1.2813975395710999</v>
      </c>
      <c r="F291" s="6">
        <v>4.1735962099409898</v>
      </c>
      <c r="G291" s="6">
        <v>30.000461074011199</v>
      </c>
      <c r="H291" s="6">
        <v>1.9771069488209601</v>
      </c>
      <c r="I291" s="6">
        <v>3.1773465490986701</v>
      </c>
      <c r="J291" s="6">
        <v>32.328078748717999</v>
      </c>
      <c r="K291" s="6">
        <v>1.6587287279748999</v>
      </c>
      <c r="L291" s="7">
        <v>140</v>
      </c>
    </row>
    <row r="292" spans="5:12" ht="15" customHeight="1">
      <c r="E292" s="6">
        <v>1.4237528712579399</v>
      </c>
      <c r="F292" s="6">
        <v>4.2033469625346003</v>
      </c>
      <c r="G292" s="6">
        <v>25.1005684297917</v>
      </c>
      <c r="H292" s="6">
        <v>2.0529507837962999</v>
      </c>
      <c r="I292" s="6">
        <v>3.34526738645976</v>
      </c>
      <c r="J292" s="6">
        <v>34.165471881481203</v>
      </c>
      <c r="K292" s="6">
        <v>1.6457942401486201</v>
      </c>
      <c r="L292" s="7">
        <v>139</v>
      </c>
    </row>
    <row r="293" spans="5:12" ht="15" customHeight="1">
      <c r="E293" s="6">
        <v>1.39734897984287</v>
      </c>
      <c r="F293" s="6">
        <v>4.1458290538140998</v>
      </c>
      <c r="G293" s="6">
        <v>25.41127106894</v>
      </c>
      <c r="H293" s="6">
        <v>1.9412794015906401</v>
      </c>
      <c r="I293" s="6">
        <v>3.3461172622605502</v>
      </c>
      <c r="J293" s="6">
        <v>31.119366895744999</v>
      </c>
      <c r="K293" s="6">
        <v>1.64778488165343</v>
      </c>
      <c r="L293" s="7">
        <v>138</v>
      </c>
    </row>
    <row r="294" spans="5:12" ht="15" customHeight="1">
      <c r="E294" s="6">
        <v>1.55386878391206</v>
      </c>
      <c r="F294" s="6">
        <v>4.2146301917284701</v>
      </c>
      <c r="G294" s="6">
        <v>26.395561256399098</v>
      </c>
      <c r="H294" s="6">
        <v>2.0322765751099401</v>
      </c>
      <c r="I294" s="6">
        <v>2.8442881254620902</v>
      </c>
      <c r="J294" s="6">
        <v>33.877835408729403</v>
      </c>
      <c r="K294" s="6">
        <v>1.6334920010541401</v>
      </c>
      <c r="L294" s="7">
        <v>137</v>
      </c>
    </row>
    <row r="295" spans="5:12" ht="15" customHeight="1">
      <c r="E295" s="6">
        <v>1.3881408296101501</v>
      </c>
      <c r="F295" s="6">
        <v>4.1594232820228703</v>
      </c>
      <c r="G295" s="6">
        <v>26.710482748733899</v>
      </c>
      <c r="H295" s="6">
        <v>2.0224356653775999</v>
      </c>
      <c r="I295" s="6">
        <v>3.3959592434925501</v>
      </c>
      <c r="J295" s="6">
        <v>35.235678161066701</v>
      </c>
      <c r="K295" s="6">
        <v>1.6318227081832499</v>
      </c>
      <c r="L295" s="7">
        <v>136</v>
      </c>
    </row>
    <row r="296" spans="5:12" ht="15" customHeight="1">
      <c r="E296" s="6">
        <v>1.56881485360193</v>
      </c>
      <c r="F296" s="6">
        <v>4.2398067512235498</v>
      </c>
      <c r="G296" s="6">
        <v>28.010901520036501</v>
      </c>
      <c r="H296" s="6">
        <v>1.9845960638108799</v>
      </c>
      <c r="I296" s="6">
        <v>3.5580158680302101</v>
      </c>
      <c r="J296" s="6">
        <v>31.969842158591099</v>
      </c>
      <c r="K296" s="6">
        <v>1.6338869310617301</v>
      </c>
      <c r="L296" s="7">
        <v>135</v>
      </c>
    </row>
    <row r="297" spans="5:12" ht="15" customHeight="1">
      <c r="E297" s="6">
        <v>1.44081573644528</v>
      </c>
      <c r="F297" s="6">
        <v>4.1766205552170197</v>
      </c>
      <c r="G297" s="6">
        <v>28.0176181228274</v>
      </c>
      <c r="H297" s="6">
        <v>2.2089047571265299</v>
      </c>
      <c r="I297" s="6">
        <v>3.5946239714294901</v>
      </c>
      <c r="J297" s="6">
        <v>32.294157700518198</v>
      </c>
      <c r="K297" s="6">
        <v>1.6226679595853599</v>
      </c>
      <c r="L297" s="7">
        <v>134</v>
      </c>
    </row>
    <row r="298" spans="5:12" ht="15" customHeight="1">
      <c r="E298" s="6">
        <v>1.3220847433952301</v>
      </c>
      <c r="F298" s="6">
        <v>4.2288523196594801</v>
      </c>
      <c r="G298" s="6">
        <v>27.6969764194771</v>
      </c>
      <c r="H298" s="6">
        <v>1.9711028677593201</v>
      </c>
      <c r="I298" s="6">
        <v>3.6873327055773202</v>
      </c>
      <c r="J298" s="6">
        <v>35.701761729799301</v>
      </c>
      <c r="K298" s="6">
        <v>1.6125537343484799</v>
      </c>
      <c r="L298" s="7">
        <v>133</v>
      </c>
    </row>
    <row r="299" spans="5:12" ht="15" customHeight="1">
      <c r="E299" s="6">
        <v>1.2562080597812699</v>
      </c>
      <c r="F299" s="6">
        <v>4.2350568516278697</v>
      </c>
      <c r="G299" s="6">
        <v>28.2829347613138</v>
      </c>
      <c r="H299" s="6">
        <v>2.0715756854340599</v>
      </c>
      <c r="I299" s="6">
        <v>3.6120532307136899</v>
      </c>
      <c r="J299" s="6">
        <v>31.730336656806301</v>
      </c>
      <c r="K299" s="6">
        <v>1.61344753949235</v>
      </c>
      <c r="L299" s="7">
        <v>132</v>
      </c>
    </row>
    <row r="300" spans="5:12" ht="15" customHeight="1">
      <c r="E300" s="6">
        <v>1.44650040113669</v>
      </c>
      <c r="F300" s="6">
        <v>4.1369973273704304</v>
      </c>
      <c r="G300" s="6">
        <v>26.243308361985399</v>
      </c>
      <c r="H300" s="6">
        <v>2.0482246400588102</v>
      </c>
      <c r="I300" s="6">
        <v>3.3373080718327399</v>
      </c>
      <c r="J300" s="6">
        <v>33.152816383584998</v>
      </c>
      <c r="K300" s="6">
        <v>1.60376488811221</v>
      </c>
      <c r="L300" s="7">
        <v>131</v>
      </c>
    </row>
    <row r="301" spans="5:12" ht="15" customHeight="1">
      <c r="E301" s="6">
        <v>1.3720652627562899</v>
      </c>
      <c r="F301" s="6">
        <v>4.2056980028929001</v>
      </c>
      <c r="G301" s="6">
        <v>29.775045929373999</v>
      </c>
      <c r="H301" s="6">
        <v>2.0669065192630098</v>
      </c>
      <c r="I301" s="6">
        <v>3.4882295524495399</v>
      </c>
      <c r="J301" s="6">
        <v>32.9224949478686</v>
      </c>
      <c r="K301" s="6">
        <v>1.59814919709132</v>
      </c>
      <c r="L301" s="7">
        <v>130</v>
      </c>
    </row>
    <row r="302" spans="5:12" ht="15" customHeight="1">
      <c r="E302" s="6">
        <v>1.31158190306888</v>
      </c>
      <c r="F302" s="6">
        <v>4.1661503174050099</v>
      </c>
      <c r="G302" s="6">
        <v>26.017863385461499</v>
      </c>
      <c r="H302" s="6">
        <v>1.9229605599053501</v>
      </c>
      <c r="I302" s="6">
        <v>3.4001356735651398</v>
      </c>
      <c r="J302" s="6">
        <v>30.448012684946299</v>
      </c>
      <c r="K302" s="6">
        <v>1.59580481169627</v>
      </c>
      <c r="L302" s="7">
        <v>129</v>
      </c>
    </row>
    <row r="303" spans="5:12" ht="15" customHeight="1">
      <c r="E303" s="6">
        <v>1.3681113005094201</v>
      </c>
      <c r="F303" s="6">
        <v>4.2110998858848303</v>
      </c>
      <c r="G303" s="6">
        <v>26.0224637530367</v>
      </c>
      <c r="H303" s="6">
        <v>1.9891290848440899</v>
      </c>
      <c r="I303" s="6">
        <v>3.8459658367729102</v>
      </c>
      <c r="J303" s="6">
        <v>33.586860789364898</v>
      </c>
      <c r="K303" s="6">
        <v>1.5918330715212401</v>
      </c>
      <c r="L303" s="7">
        <v>128</v>
      </c>
    </row>
    <row r="304" spans="5:12" ht="15" customHeight="1">
      <c r="E304" s="6">
        <v>1.4143459673591701</v>
      </c>
      <c r="F304" s="6">
        <v>4.2562326748511898</v>
      </c>
      <c r="G304" s="6">
        <v>25.8386726099938</v>
      </c>
      <c r="H304" s="6">
        <v>1.9961635437715</v>
      </c>
      <c r="I304" s="6">
        <v>3.6121519465680998</v>
      </c>
      <c r="J304" s="6">
        <v>34.171652965606</v>
      </c>
      <c r="K304" s="6">
        <v>1.58294024445119</v>
      </c>
      <c r="L304" s="7">
        <v>127</v>
      </c>
    </row>
    <row r="305" spans="5:12" ht="15" customHeight="1">
      <c r="E305" s="6">
        <v>1.39702560174802</v>
      </c>
      <c r="F305" s="6">
        <v>4.2641741667379298</v>
      </c>
      <c r="G305" s="6">
        <v>24.7434900671912</v>
      </c>
      <c r="H305" s="6">
        <v>2.0298165434764499</v>
      </c>
      <c r="I305" s="6">
        <v>3.81335711140306</v>
      </c>
      <c r="J305" s="6">
        <v>33.334247654112303</v>
      </c>
      <c r="K305" s="6">
        <v>1.5826387288885599</v>
      </c>
      <c r="L305" s="7">
        <v>126</v>
      </c>
    </row>
    <row r="306" spans="5:12" ht="15" customHeight="1">
      <c r="E306" s="6">
        <v>1.51669160718367</v>
      </c>
      <c r="F306" s="6">
        <v>4.1783266217846702</v>
      </c>
      <c r="G306" s="6">
        <v>26.8464931939771</v>
      </c>
      <c r="H306" s="6">
        <v>2.0718089603321701</v>
      </c>
      <c r="I306" s="6">
        <v>3.7741160624133498</v>
      </c>
      <c r="J306" s="6">
        <v>31.993918728443202</v>
      </c>
      <c r="K306" s="6">
        <v>1.5789535227518099</v>
      </c>
      <c r="L306" s="7">
        <v>125</v>
      </c>
    </row>
    <row r="307" spans="5:12" ht="15" customHeight="1">
      <c r="E307" s="6">
        <v>1.27405623003256</v>
      </c>
      <c r="F307" s="6">
        <v>4.2087788925789598</v>
      </c>
      <c r="G307" s="6">
        <v>28.873529242638</v>
      </c>
      <c r="H307" s="6">
        <v>2.05948801081247</v>
      </c>
      <c r="I307" s="6">
        <v>3.5931499407343899</v>
      </c>
      <c r="J307" s="6">
        <v>32.011959017656501</v>
      </c>
      <c r="K307" s="6">
        <v>1.56544429102107</v>
      </c>
      <c r="L307" s="7">
        <v>124</v>
      </c>
    </row>
    <row r="308" spans="5:12" ht="15" customHeight="1">
      <c r="E308" s="6">
        <v>1.4118516818332301</v>
      </c>
      <c r="F308" s="6">
        <v>4.2014623218571003</v>
      </c>
      <c r="G308" s="6">
        <v>25.923716047572899</v>
      </c>
      <c r="H308" s="6">
        <v>2.12646709791915</v>
      </c>
      <c r="I308" s="6">
        <v>3.4734728508977599</v>
      </c>
      <c r="J308" s="6">
        <v>33.564458147122799</v>
      </c>
      <c r="K308" s="6">
        <v>1.56192094911327</v>
      </c>
      <c r="L308" s="7">
        <v>123</v>
      </c>
    </row>
    <row r="309" spans="5:12" ht="15" customHeight="1">
      <c r="E309" s="6">
        <v>1.26260258628658</v>
      </c>
      <c r="F309" s="6">
        <v>4.14079991287855</v>
      </c>
      <c r="G309" s="6">
        <v>26.5010277579789</v>
      </c>
      <c r="H309" s="6">
        <v>2.1075247958300398</v>
      </c>
      <c r="I309" s="6">
        <v>3.6524653597699901</v>
      </c>
      <c r="J309" s="6">
        <v>34.823664530144903</v>
      </c>
      <c r="K309" s="6">
        <v>1.5538701404742601</v>
      </c>
      <c r="L309" s="7">
        <v>122</v>
      </c>
    </row>
    <row r="310" spans="5:12" ht="15" customHeight="1">
      <c r="E310" s="6">
        <v>1.53689671463372</v>
      </c>
      <c r="F310" s="6">
        <v>4.2253319178274404</v>
      </c>
      <c r="G310" s="6">
        <v>26.686220782122799</v>
      </c>
      <c r="H310" s="6">
        <v>2.0893022767694198</v>
      </c>
      <c r="I310" s="6">
        <v>3.4769233472267702</v>
      </c>
      <c r="J310" s="6">
        <v>34.209122770077599</v>
      </c>
      <c r="K310" s="6">
        <v>1.55984350366866</v>
      </c>
      <c r="L310" s="7">
        <v>121</v>
      </c>
    </row>
    <row r="311" spans="5:12" ht="15" customHeight="1">
      <c r="E311" s="6">
        <v>1.4558411824183599</v>
      </c>
      <c r="F311" s="6">
        <v>4.2284973830106303</v>
      </c>
      <c r="G311" s="6">
        <v>26.313767960374499</v>
      </c>
      <c r="H311" s="6">
        <v>2.1066286657122002</v>
      </c>
      <c r="I311" s="6">
        <v>4.0185758073284399</v>
      </c>
      <c r="J311" s="6">
        <v>32.977852678712601</v>
      </c>
      <c r="K311" s="6">
        <v>1.55231648454993</v>
      </c>
      <c r="L311" s="7">
        <v>120</v>
      </c>
    </row>
    <row r="312" spans="5:12" ht="15" customHeight="1">
      <c r="E312" s="6">
        <v>1.2913589320543</v>
      </c>
      <c r="F312" s="6">
        <v>4.1626530169981901</v>
      </c>
      <c r="G312" s="6">
        <v>27.361718208924</v>
      </c>
      <c r="H312" s="6">
        <v>2.0607349937091599</v>
      </c>
      <c r="I312" s="6">
        <v>3.1792559407560499</v>
      </c>
      <c r="J312" s="6">
        <v>33.032031611289703</v>
      </c>
      <c r="K312" s="6">
        <v>1.5400353993162701</v>
      </c>
      <c r="L312" s="7">
        <v>119</v>
      </c>
    </row>
    <row r="313" spans="5:12" ht="15" customHeight="1">
      <c r="E313" s="6">
        <v>1.4425684144900299</v>
      </c>
      <c r="F313" s="6">
        <v>4.2276358234443601</v>
      </c>
      <c r="G313" s="6">
        <v>28.6198278470101</v>
      </c>
      <c r="H313" s="6">
        <v>1.97654722980327</v>
      </c>
      <c r="I313" s="6">
        <v>3.3633335327304401</v>
      </c>
      <c r="J313" s="6">
        <v>33.385760946575999</v>
      </c>
      <c r="K313" s="6">
        <v>1.54326402735059</v>
      </c>
      <c r="L313" s="7">
        <v>118</v>
      </c>
    </row>
    <row r="314" spans="5:12" ht="15" customHeight="1">
      <c r="E314" s="6">
        <v>1.5940962770879501</v>
      </c>
      <c r="F314" s="6">
        <v>4.3098461767281897</v>
      </c>
      <c r="G314" s="6">
        <v>27.268867604149001</v>
      </c>
      <c r="H314" s="6">
        <v>1.9685728653268999</v>
      </c>
      <c r="I314" s="6">
        <v>3.3957683634203599</v>
      </c>
      <c r="J314" s="6">
        <v>34.622529799642898</v>
      </c>
      <c r="K314" s="6">
        <v>1.5300113512915801</v>
      </c>
      <c r="L314" s="7">
        <v>117</v>
      </c>
    </row>
    <row r="315" spans="5:12" ht="15" customHeight="1">
      <c r="E315" s="6">
        <v>1.3335542831963101</v>
      </c>
      <c r="F315" s="6">
        <v>4.1879965935886201</v>
      </c>
      <c r="G315" s="6">
        <v>27.012820397749</v>
      </c>
      <c r="H315" s="6">
        <v>2.0794738365930501</v>
      </c>
      <c r="I315" s="6">
        <v>3.4502964779186298</v>
      </c>
      <c r="J315" s="6">
        <v>31.536012361603198</v>
      </c>
      <c r="K315" s="6">
        <v>1.5347260407041501</v>
      </c>
      <c r="L315" s="7">
        <v>116</v>
      </c>
    </row>
    <row r="316" spans="5:12" ht="15" customHeight="1">
      <c r="E316" s="6">
        <v>1.28037751614629</v>
      </c>
      <c r="F316" s="6">
        <v>4.2358628700755796</v>
      </c>
      <c r="G316" s="6">
        <v>24.8545966681652</v>
      </c>
      <c r="H316" s="6">
        <v>1.8250966784762099</v>
      </c>
      <c r="I316" s="6">
        <v>4.0208975143920096</v>
      </c>
      <c r="J316" s="6">
        <v>31.065412063624599</v>
      </c>
      <c r="K316" s="6">
        <v>1.51986953800615</v>
      </c>
      <c r="L316" s="7">
        <v>115</v>
      </c>
    </row>
    <row r="317" spans="5:12" ht="15" customHeight="1">
      <c r="E317" s="6">
        <v>1.5842487873401501</v>
      </c>
      <c r="F317" s="6">
        <v>4.2154605789806299</v>
      </c>
      <c r="G317" s="6">
        <v>27.252432558156698</v>
      </c>
      <c r="H317" s="6">
        <v>2.0485911603426898</v>
      </c>
      <c r="I317" s="6">
        <v>3.3119512652066301</v>
      </c>
      <c r="J317" s="6">
        <v>30.089927670479</v>
      </c>
      <c r="K317" s="6">
        <v>1.53191839776715</v>
      </c>
      <c r="L317" s="7">
        <v>114</v>
      </c>
    </row>
    <row r="318" spans="5:12" ht="15" customHeight="1">
      <c r="E318" s="6">
        <v>1.5224453170322101</v>
      </c>
      <c r="F318" s="6">
        <v>4.1801097969128396</v>
      </c>
      <c r="G318" s="6">
        <v>25.162146773228301</v>
      </c>
      <c r="H318" s="6">
        <v>1.8012103379134199</v>
      </c>
      <c r="I318" s="6">
        <v>3.7514777656868099</v>
      </c>
      <c r="J318" s="6">
        <v>35.721000368278702</v>
      </c>
      <c r="K318" s="6">
        <v>1.51832589343737</v>
      </c>
      <c r="L318" s="7">
        <v>113</v>
      </c>
    </row>
    <row r="319" spans="5:12" ht="15" customHeight="1">
      <c r="E319" s="6">
        <v>1.3032798048868099</v>
      </c>
      <c r="F319" s="6">
        <v>4.2348100420161803</v>
      </c>
      <c r="G319" s="6">
        <v>30.775819741147501</v>
      </c>
      <c r="H319" s="6">
        <v>2.1398842165321801</v>
      </c>
      <c r="I319" s="6">
        <v>3.3700992780799401</v>
      </c>
      <c r="J319" s="6">
        <v>35.206657829311403</v>
      </c>
      <c r="K319" s="6">
        <v>1.51116054474677</v>
      </c>
      <c r="L319" s="7">
        <v>112</v>
      </c>
    </row>
    <row r="320" spans="5:12" ht="15" customHeight="1">
      <c r="E320" s="6">
        <v>1.4172034551536301</v>
      </c>
      <c r="F320" s="6">
        <v>4.1286588504439701</v>
      </c>
      <c r="G320" s="6">
        <v>26.1796152336901</v>
      </c>
      <c r="H320" s="6">
        <v>2.0569844298322502</v>
      </c>
      <c r="I320" s="6">
        <v>3.2446918322833498</v>
      </c>
      <c r="J320" s="6">
        <v>32.095927397205799</v>
      </c>
      <c r="K320" s="6">
        <v>1.50707651268569</v>
      </c>
      <c r="L320" s="7">
        <v>111</v>
      </c>
    </row>
    <row r="321" spans="5:12" ht="15" customHeight="1">
      <c r="E321" s="6">
        <v>1.34028213443143</v>
      </c>
      <c r="F321" s="6">
        <v>4.1591489653452003</v>
      </c>
      <c r="G321" s="6">
        <v>27.237687769370002</v>
      </c>
      <c r="H321" s="6">
        <v>1.9727435149657</v>
      </c>
      <c r="I321" s="6">
        <v>3.5450758501714801</v>
      </c>
      <c r="J321" s="6">
        <v>34.264988700491202</v>
      </c>
      <c r="K321" s="6">
        <v>1.5045283202537401</v>
      </c>
      <c r="L321" s="7">
        <v>110</v>
      </c>
    </row>
    <row r="322" spans="5:12" ht="15" customHeight="1">
      <c r="E322" s="6">
        <v>1.5046226980439701</v>
      </c>
      <c r="F322" s="6">
        <v>4.1978488899867799</v>
      </c>
      <c r="G322" s="6">
        <v>26.644508687976199</v>
      </c>
      <c r="H322" s="6">
        <v>1.8610807111458401</v>
      </c>
      <c r="I322" s="6">
        <v>3.68831521071042</v>
      </c>
      <c r="J322" s="6">
        <v>36.312409109595997</v>
      </c>
      <c r="K322" s="6">
        <v>1.4948530608939301</v>
      </c>
      <c r="L322" s="7">
        <v>109</v>
      </c>
    </row>
    <row r="323" spans="5:12" ht="15" customHeight="1">
      <c r="E323" s="6">
        <v>1.44270154849434</v>
      </c>
      <c r="F323" s="6">
        <v>4.2040142724714098</v>
      </c>
      <c r="G323" s="6">
        <v>29.556201127896902</v>
      </c>
      <c r="H323" s="6">
        <v>1.9878010301914</v>
      </c>
      <c r="I323" s="6">
        <v>3.0892851571539102</v>
      </c>
      <c r="J323" s="6">
        <v>29.689758455112798</v>
      </c>
      <c r="K323" s="6">
        <v>1.48594514054323</v>
      </c>
      <c r="L323" s="7">
        <v>108</v>
      </c>
    </row>
    <row r="324" spans="5:12" ht="15" customHeight="1">
      <c r="E324" s="6">
        <v>1.4979512986207599</v>
      </c>
      <c r="F324" s="6">
        <v>4.2104080315505596</v>
      </c>
      <c r="G324" s="6">
        <v>26.804197577606299</v>
      </c>
      <c r="H324" s="6">
        <v>2.2892325794275599</v>
      </c>
      <c r="I324" s="6">
        <v>3.44551619548273</v>
      </c>
      <c r="J324" s="6">
        <v>33.620236735865198</v>
      </c>
      <c r="K324" s="6">
        <v>1.4862128632667799</v>
      </c>
      <c r="L324" s="7">
        <v>107</v>
      </c>
    </row>
    <row r="325" spans="5:12" ht="15" customHeight="1">
      <c r="E325" s="6">
        <v>1.3208223664138501</v>
      </c>
      <c r="F325" s="6">
        <v>4.2718469319495904</v>
      </c>
      <c r="G325" s="6">
        <v>27.722511098057399</v>
      </c>
      <c r="H325" s="6">
        <v>2.0109311775411198</v>
      </c>
      <c r="I325" s="6">
        <v>2.9548986432833302</v>
      </c>
      <c r="J325" s="6">
        <v>34.869870674329803</v>
      </c>
      <c r="K325" s="6">
        <v>1.47974497338873</v>
      </c>
      <c r="L325" s="7">
        <v>106</v>
      </c>
    </row>
    <row r="326" spans="5:12" ht="15" customHeight="1">
      <c r="E326" s="6">
        <v>1.42388314053923</v>
      </c>
      <c r="F326" s="6">
        <v>4.1618892227845397</v>
      </c>
      <c r="G326" s="6">
        <v>26.4362681561846</v>
      </c>
      <c r="H326" s="6">
        <v>1.8021705549812801</v>
      </c>
      <c r="I326" s="6">
        <v>3.0622150952399201</v>
      </c>
      <c r="J326" s="6">
        <v>30.728353645866498</v>
      </c>
      <c r="K326" s="6">
        <v>1.4697368952033301</v>
      </c>
      <c r="L326" s="7">
        <v>105</v>
      </c>
    </row>
    <row r="327" spans="5:12" ht="15" customHeight="1">
      <c r="E327" s="6">
        <v>1.48530771310455</v>
      </c>
      <c r="F327" s="6">
        <v>4.2550642528470801</v>
      </c>
      <c r="G327" s="6">
        <v>26.401560884777702</v>
      </c>
      <c r="H327" s="6">
        <v>2.0653524932985099</v>
      </c>
      <c r="I327" s="6">
        <v>3.3585521613149298</v>
      </c>
      <c r="J327" s="6">
        <v>32.288446634006803</v>
      </c>
      <c r="K327" s="6">
        <v>1.46580014331205</v>
      </c>
      <c r="L327" s="7">
        <v>104</v>
      </c>
    </row>
    <row r="328" spans="5:12" ht="15" customHeight="1">
      <c r="E328" s="6">
        <v>1.3977519696177201</v>
      </c>
      <c r="F328" s="6">
        <v>4.2014630107884301</v>
      </c>
      <c r="G328" s="6">
        <v>27.330645000582098</v>
      </c>
      <c r="H328" s="6">
        <v>2.1914180952905502</v>
      </c>
      <c r="I328" s="6">
        <v>3.7563919209541998</v>
      </c>
      <c r="J328" s="6">
        <v>35.058351595792402</v>
      </c>
      <c r="K328" s="6">
        <v>1.47240975449043</v>
      </c>
      <c r="L328" s="7">
        <v>103</v>
      </c>
    </row>
    <row r="329" spans="5:12" ht="15" customHeight="1">
      <c r="E329" s="6">
        <v>1.4756846007572699</v>
      </c>
      <c r="F329" s="6">
        <v>4.1215266499616199</v>
      </c>
      <c r="G329" s="6">
        <v>26.770648868249499</v>
      </c>
      <c r="H329" s="6">
        <v>1.94092734963048</v>
      </c>
      <c r="I329" s="6">
        <v>3.8940973866053499</v>
      </c>
      <c r="J329" s="6">
        <v>32.215101706719601</v>
      </c>
      <c r="K329" s="6">
        <v>1.46770721756399</v>
      </c>
      <c r="L329" s="7">
        <v>102</v>
      </c>
    </row>
    <row r="330" spans="5:12" ht="15" customHeight="1">
      <c r="E330" s="6">
        <v>1.5598648702996301</v>
      </c>
      <c r="F330" s="6">
        <v>4.0957673167973896</v>
      </c>
      <c r="G330" s="6">
        <v>26.627173813886198</v>
      </c>
      <c r="H330" s="6">
        <v>2.0507516689086001</v>
      </c>
      <c r="I330" s="6">
        <v>2.9656019525319799</v>
      </c>
      <c r="J330" s="6">
        <v>32.097606700097302</v>
      </c>
      <c r="K330" s="6">
        <v>1.4563227664707801</v>
      </c>
      <c r="L330" s="7">
        <v>101</v>
      </c>
    </row>
    <row r="331" spans="5:12" ht="15" customHeight="1">
      <c r="E331" s="6">
        <v>1.37688995689932</v>
      </c>
      <c r="F331" s="6">
        <v>4.1551598207650597</v>
      </c>
      <c r="G331" s="6">
        <v>26.417154895397498</v>
      </c>
      <c r="H331" s="6">
        <v>1.9060480894427601</v>
      </c>
      <c r="I331" s="6">
        <v>3.7907094369525001</v>
      </c>
      <c r="J331" s="6">
        <v>33.974622001161897</v>
      </c>
      <c r="K331" s="6">
        <v>1.43964261068026</v>
      </c>
      <c r="L331" s="7">
        <v>100</v>
      </c>
    </row>
    <row r="332" spans="5:12" ht="15" customHeight="1">
      <c r="E332" s="6">
        <v>1.32845323299697</v>
      </c>
      <c r="F332" s="6">
        <v>4.2777031116911202</v>
      </c>
      <c r="G332" s="6">
        <v>27.969256022583899</v>
      </c>
      <c r="H332" s="6">
        <v>1.90009981953235</v>
      </c>
      <c r="I332" s="6">
        <v>3.1074597657268699</v>
      </c>
      <c r="J332" s="6">
        <v>37.086456937900302</v>
      </c>
      <c r="K332" s="6">
        <v>1.45641634904025</v>
      </c>
      <c r="L332" s="7">
        <v>99</v>
      </c>
    </row>
    <row r="333" spans="5:12" ht="15" customHeight="1">
      <c r="E333" s="6">
        <v>1.2821076302694101</v>
      </c>
      <c r="F333" s="6">
        <v>4.2462074124341296</v>
      </c>
      <c r="G333" s="6">
        <v>26.2294064071911</v>
      </c>
      <c r="H333" s="6">
        <v>2.0220462556668002</v>
      </c>
      <c r="I333" s="6">
        <v>3.1103684182993598</v>
      </c>
      <c r="J333" s="6">
        <v>35.884718452742199</v>
      </c>
      <c r="K333" s="6">
        <v>1.43563192230093</v>
      </c>
      <c r="L333" s="7">
        <v>98</v>
      </c>
    </row>
    <row r="334" spans="5:12" ht="15" customHeight="1">
      <c r="E334" s="6">
        <v>1.4808655218083</v>
      </c>
      <c r="F334" s="6">
        <v>4.1619822382830103</v>
      </c>
      <c r="G334" s="6">
        <v>25.6564579833103</v>
      </c>
      <c r="H334" s="6">
        <v>2.0323614676694399</v>
      </c>
      <c r="I334" s="6">
        <v>3.2806354982057599</v>
      </c>
      <c r="J334" s="6">
        <v>31.991812572982901</v>
      </c>
      <c r="K334" s="6">
        <v>1.4321881810477499</v>
      </c>
      <c r="L334" s="7">
        <v>97</v>
      </c>
    </row>
    <row r="335" spans="5:12" ht="15" customHeight="1">
      <c r="E335" s="6">
        <v>1.6052689949094201</v>
      </c>
      <c r="F335" s="6">
        <v>4.3592333804149703</v>
      </c>
      <c r="G335" s="6">
        <v>30.4870627693711</v>
      </c>
      <c r="H335" s="6">
        <v>1.93104418666539</v>
      </c>
      <c r="I335" s="6">
        <v>3.4540015954686698</v>
      </c>
      <c r="J335" s="6">
        <v>33.610049181100898</v>
      </c>
      <c r="K335" s="6">
        <v>1.4273689333241799</v>
      </c>
      <c r="L335" s="7">
        <v>96</v>
      </c>
    </row>
    <row r="336" spans="5:12" ht="15" customHeight="1">
      <c r="E336" s="6">
        <v>1.4775782854925299</v>
      </c>
      <c r="F336" s="6">
        <v>4.24299370935283</v>
      </c>
      <c r="G336" s="6">
        <v>28.957435332166</v>
      </c>
      <c r="H336" s="6">
        <v>1.7024379308311901</v>
      </c>
      <c r="I336" s="6">
        <v>4.06443853586633</v>
      </c>
      <c r="J336" s="6">
        <v>31.719565067983702</v>
      </c>
      <c r="K336" s="6">
        <v>1.4288967990767301</v>
      </c>
      <c r="L336" s="7">
        <v>95</v>
      </c>
    </row>
    <row r="337" spans="5:12" ht="15" customHeight="1">
      <c r="E337" s="6">
        <v>1.42009292335574</v>
      </c>
      <c r="F337" s="6">
        <v>4.1462462583058901</v>
      </c>
      <c r="G337" s="6">
        <v>27.706824387224898</v>
      </c>
      <c r="H337" s="6">
        <v>1.84962233639972</v>
      </c>
      <c r="I337" s="6">
        <v>3.6204610063148301</v>
      </c>
      <c r="J337" s="6">
        <v>32.2681728477381</v>
      </c>
      <c r="K337" s="6">
        <v>1.41971098586603</v>
      </c>
      <c r="L337" s="7">
        <v>94</v>
      </c>
    </row>
    <row r="338" spans="5:12" ht="15" customHeight="1">
      <c r="E338" s="6">
        <v>1.45213904440686</v>
      </c>
      <c r="F338" s="6">
        <v>4.1129998722066299</v>
      </c>
      <c r="G338" s="6">
        <v>25.5173127106804</v>
      </c>
      <c r="H338" s="6">
        <v>2.23380700509228</v>
      </c>
      <c r="I338" s="6">
        <v>3.36654274545152</v>
      </c>
      <c r="J338" s="6">
        <v>34.7279288997455</v>
      </c>
      <c r="K338" s="6">
        <v>1.4096515518838999</v>
      </c>
      <c r="L338" s="7">
        <v>93</v>
      </c>
    </row>
    <row r="339" spans="5:12" ht="15" customHeight="1">
      <c r="E339" s="6">
        <v>1.28434485292881</v>
      </c>
      <c r="F339" s="6">
        <v>4.2027239031659702</v>
      </c>
      <c r="G339" s="6">
        <v>26.069650984846501</v>
      </c>
      <c r="H339" s="6">
        <v>2.0825773988515501</v>
      </c>
      <c r="I339" s="6">
        <v>3.5926091084037499</v>
      </c>
      <c r="J339" s="6">
        <v>35.543390590639397</v>
      </c>
      <c r="K339" s="6">
        <v>1.41575001070564</v>
      </c>
      <c r="L339" s="7">
        <v>92</v>
      </c>
    </row>
    <row r="340" spans="5:12" ht="15" customHeight="1">
      <c r="E340" s="6">
        <v>1.3750820519668201</v>
      </c>
      <c r="F340" s="6">
        <v>4.17345090322745</v>
      </c>
      <c r="G340" s="6">
        <v>27.385688091309301</v>
      </c>
      <c r="H340" s="6">
        <v>1.96100818718557</v>
      </c>
      <c r="I340" s="6">
        <v>3.5751017558099898</v>
      </c>
      <c r="J340" s="6">
        <v>32.831042747899097</v>
      </c>
      <c r="K340" s="6">
        <v>1.39897156230487</v>
      </c>
      <c r="L340" s="7">
        <v>91</v>
      </c>
    </row>
    <row r="341" spans="5:12" ht="15" customHeight="1">
      <c r="E341" s="6">
        <v>1.0008587052284601</v>
      </c>
      <c r="F341" s="6">
        <v>4.3193642357381004</v>
      </c>
      <c r="G341" s="6">
        <v>27.772925989960701</v>
      </c>
      <c r="H341" s="6">
        <v>2.0276134498878902</v>
      </c>
      <c r="I341" s="6">
        <v>3.2382325015372402</v>
      </c>
      <c r="J341" s="6">
        <v>31.607655804053</v>
      </c>
      <c r="K341" s="6">
        <v>1.39815510309821</v>
      </c>
      <c r="L341" s="7">
        <v>90</v>
      </c>
    </row>
    <row r="342" spans="5:12" ht="15" customHeight="1">
      <c r="E342" s="6">
        <v>1.4590356592287399</v>
      </c>
      <c r="F342" s="6">
        <v>4.1782756095348601</v>
      </c>
      <c r="G342" s="6">
        <v>26.471129081628899</v>
      </c>
      <c r="H342" s="6">
        <v>2.1287569307830401</v>
      </c>
      <c r="I342" s="6">
        <v>3.3689143520950302</v>
      </c>
      <c r="J342" s="6">
        <v>32.105563605926797</v>
      </c>
      <c r="K342" s="6">
        <v>1.3986929625718201</v>
      </c>
      <c r="L342" s="7">
        <v>89</v>
      </c>
    </row>
    <row r="343" spans="5:12" ht="15" customHeight="1">
      <c r="E343" s="6">
        <v>1.2372176825277399</v>
      </c>
      <c r="F343" s="6">
        <v>4.1899304524972898</v>
      </c>
      <c r="G343" s="6">
        <v>28.954549938307299</v>
      </c>
      <c r="H343" s="6">
        <v>2.0340223022787902</v>
      </c>
      <c r="I343" s="6">
        <v>3.30259260927222</v>
      </c>
      <c r="J343" s="6">
        <v>32.576784511361403</v>
      </c>
      <c r="K343" s="6">
        <v>1.38931919714231</v>
      </c>
      <c r="L343" s="7">
        <v>88</v>
      </c>
    </row>
    <row r="344" spans="5:12" ht="15" customHeight="1">
      <c r="E344" s="6">
        <v>1.44292819928865</v>
      </c>
      <c r="F344" s="6">
        <v>4.1381948302554701</v>
      </c>
      <c r="G344" s="6">
        <v>27.794459931059802</v>
      </c>
      <c r="H344" s="6">
        <v>1.9806397474780599</v>
      </c>
      <c r="I344" s="6">
        <v>3.6961600314070302</v>
      </c>
      <c r="J344" s="6">
        <v>36.888477179916897</v>
      </c>
      <c r="K344" s="6">
        <v>1.38895580883363</v>
      </c>
      <c r="L344" s="7">
        <v>87</v>
      </c>
    </row>
    <row r="345" spans="5:12" ht="15" customHeight="1">
      <c r="E345" s="6">
        <v>1.3241517363487401</v>
      </c>
      <c r="F345" s="6">
        <v>4.1711959885660397</v>
      </c>
      <c r="G345" s="6">
        <v>27.4141032653454</v>
      </c>
      <c r="H345" s="6">
        <v>1.7100435263973299</v>
      </c>
      <c r="I345" s="6">
        <v>3.3364277745281701</v>
      </c>
      <c r="J345" s="6">
        <v>32.238849613449297</v>
      </c>
      <c r="K345" s="6">
        <v>1.3714511878626301</v>
      </c>
      <c r="L345" s="7">
        <v>86</v>
      </c>
    </row>
    <row r="346" spans="5:12" ht="15" customHeight="1">
      <c r="E346" s="6">
        <v>1.1863049618417301</v>
      </c>
      <c r="F346" s="6">
        <v>4.1720500816953896</v>
      </c>
      <c r="G346" s="6">
        <v>25.207307975416001</v>
      </c>
      <c r="H346" s="6">
        <v>2.01908566086292</v>
      </c>
      <c r="I346" s="6">
        <v>3.6867869785541099</v>
      </c>
      <c r="J346" s="6">
        <v>30.967043403868502</v>
      </c>
      <c r="K346" s="6">
        <v>1.37606671071363</v>
      </c>
      <c r="L346" s="7">
        <v>85</v>
      </c>
    </row>
    <row r="347" spans="5:12" ht="15" customHeight="1">
      <c r="E347" s="6">
        <v>1.3271430203168</v>
      </c>
      <c r="F347" s="6">
        <v>4.2270054127300201</v>
      </c>
      <c r="G347" s="6">
        <v>25.4179230877164</v>
      </c>
      <c r="H347" s="6">
        <v>1.9362733791495299</v>
      </c>
      <c r="I347" s="6">
        <v>3.9300374486544598</v>
      </c>
      <c r="J347" s="6">
        <v>32.004981847904503</v>
      </c>
      <c r="K347" s="6">
        <v>1.37393631822047</v>
      </c>
      <c r="L347" s="7">
        <v>84</v>
      </c>
    </row>
    <row r="348" spans="5:12" ht="15" customHeight="1">
      <c r="E348" s="6">
        <v>1.6362464645766499</v>
      </c>
      <c r="F348" s="6">
        <v>4.2073341163916398</v>
      </c>
      <c r="G348" s="6">
        <v>26.573895954077699</v>
      </c>
      <c r="H348" s="6">
        <v>2.0435510599603499</v>
      </c>
      <c r="I348" s="6">
        <v>3.1940621691008499</v>
      </c>
      <c r="J348" s="6">
        <v>36.045300279663003</v>
      </c>
      <c r="K348" s="6">
        <v>1.3703740309889201</v>
      </c>
      <c r="L348" s="7">
        <v>83</v>
      </c>
    </row>
    <row r="349" spans="5:12" ht="15" customHeight="1">
      <c r="E349" s="6">
        <v>1.38254068105197</v>
      </c>
      <c r="F349" s="6">
        <v>4.2430087474447697</v>
      </c>
      <c r="G349" s="6">
        <v>25.488139716892501</v>
      </c>
      <c r="H349" s="6">
        <v>2.1815716619429302</v>
      </c>
      <c r="I349" s="6">
        <v>3.3990921636992901</v>
      </c>
      <c r="J349" s="6">
        <v>34.387037521934801</v>
      </c>
      <c r="K349" s="6">
        <v>1.365055633566</v>
      </c>
      <c r="L349" s="7">
        <v>82</v>
      </c>
    </row>
    <row r="350" spans="5:12" ht="15" customHeight="1">
      <c r="E350" s="6">
        <v>1.4092311763143299</v>
      </c>
      <c r="F350" s="6">
        <v>4.1605718225780501</v>
      </c>
      <c r="G350" s="6">
        <v>28.221091978971</v>
      </c>
      <c r="H350" s="6">
        <v>1.97856227146222</v>
      </c>
      <c r="I350" s="6">
        <v>2.92467624294332</v>
      </c>
      <c r="J350" s="6">
        <v>32.965902162675299</v>
      </c>
      <c r="K350" s="6">
        <v>1.35107491483483</v>
      </c>
      <c r="L350" s="7">
        <v>81</v>
      </c>
    </row>
    <row r="351" spans="5:12" ht="15" customHeight="1">
      <c r="E351" s="6">
        <v>1.3613246180171299</v>
      </c>
      <c r="F351" s="6">
        <v>4.2047971593911404</v>
      </c>
      <c r="G351" s="6">
        <v>25.307819471402102</v>
      </c>
      <c r="H351" s="6">
        <v>2.0607580819874101</v>
      </c>
      <c r="I351" s="6">
        <v>3.0553899459965601</v>
      </c>
      <c r="J351" s="6">
        <v>33.514874115884702</v>
      </c>
      <c r="K351" s="6">
        <v>1.3515899480684299</v>
      </c>
      <c r="L351" s="7">
        <v>80</v>
      </c>
    </row>
    <row r="352" spans="5:12" ht="15" customHeight="1">
      <c r="E352" s="6">
        <v>1.3676654969323501</v>
      </c>
      <c r="F352" s="6">
        <v>4.2421652907414504</v>
      </c>
      <c r="G352" s="6">
        <v>28.743706839690901</v>
      </c>
      <c r="H352" s="6">
        <v>1.91897343881187</v>
      </c>
      <c r="I352" s="6">
        <v>3.3376696350368298</v>
      </c>
      <c r="J352" s="6">
        <v>34.432019773474501</v>
      </c>
      <c r="K352" s="6">
        <v>1.3428404657647799</v>
      </c>
      <c r="L352" s="7">
        <v>79</v>
      </c>
    </row>
    <row r="353" spans="5:12" ht="15" customHeight="1">
      <c r="E353" s="6">
        <v>1.45566303266554</v>
      </c>
      <c r="F353" s="6">
        <v>4.2361964062036703</v>
      </c>
      <c r="G353" s="6">
        <v>26.923917728485499</v>
      </c>
      <c r="H353" s="6">
        <v>1.95605931544379</v>
      </c>
      <c r="I353" s="6">
        <v>3.4618308463548102</v>
      </c>
      <c r="J353" s="6">
        <v>35.429442737405402</v>
      </c>
      <c r="K353" s="6">
        <v>1.3415461554709001</v>
      </c>
      <c r="L353" s="7">
        <v>78</v>
      </c>
    </row>
    <row r="354" spans="5:12" ht="15" customHeight="1">
      <c r="E354" s="6">
        <v>1.34946566705871</v>
      </c>
      <c r="F354" s="6">
        <v>4.2268768375220596</v>
      </c>
      <c r="G354" s="6">
        <v>28.8940106922967</v>
      </c>
      <c r="H354" s="6">
        <v>1.9966409287598501</v>
      </c>
      <c r="I354" s="6">
        <v>3.4776232219106702</v>
      </c>
      <c r="J354" s="6">
        <v>36.876673004447198</v>
      </c>
      <c r="K354" s="6">
        <v>1.33628783526173</v>
      </c>
      <c r="L354" s="7">
        <v>77</v>
      </c>
    </row>
    <row r="355" spans="5:12" ht="15" customHeight="1">
      <c r="E355" s="6">
        <v>1.4077828947842701</v>
      </c>
      <c r="F355" s="6">
        <v>4.1640529157730199</v>
      </c>
      <c r="G355" s="6">
        <v>25.352379392846601</v>
      </c>
      <c r="H355" s="6">
        <v>1.96196244821862</v>
      </c>
      <c r="I355" s="6">
        <v>3.6817960959447502</v>
      </c>
      <c r="J355" s="6">
        <v>32.1384701449904</v>
      </c>
      <c r="K355" s="6">
        <v>1.3381014616784801</v>
      </c>
      <c r="L355" s="7">
        <v>76</v>
      </c>
    </row>
    <row r="356" spans="5:12" ht="15" customHeight="1">
      <c r="E356" s="6">
        <v>1.50285189510203</v>
      </c>
      <c r="F356" s="6">
        <v>4.3186458032900701</v>
      </c>
      <c r="G356" s="6">
        <v>23.2136701827447</v>
      </c>
      <c r="H356" s="6">
        <v>1.9885875792060601</v>
      </c>
      <c r="I356" s="6">
        <v>3.32602813988085</v>
      </c>
      <c r="J356" s="6">
        <v>32.746864055285599</v>
      </c>
      <c r="K356" s="6">
        <v>1.3237088112445401</v>
      </c>
      <c r="L356" s="7">
        <v>75</v>
      </c>
    </row>
    <row r="357" spans="5:12" ht="15" customHeight="1">
      <c r="E357" s="6">
        <v>1.33003648569308</v>
      </c>
      <c r="F357" s="6">
        <v>4.1616098927046403</v>
      </c>
      <c r="G357" s="6">
        <v>25.5427561073828</v>
      </c>
      <c r="H357" s="6">
        <v>2.1326019065897599</v>
      </c>
      <c r="I357" s="6">
        <v>2.9928555886759902</v>
      </c>
      <c r="J357" s="6">
        <v>36.387968412728803</v>
      </c>
      <c r="K357" s="6">
        <v>1.3256420236992601</v>
      </c>
      <c r="L357" s="7">
        <v>74</v>
      </c>
    </row>
    <row r="358" spans="5:12" ht="15" customHeight="1">
      <c r="E358" s="6">
        <v>1.4397476060109899</v>
      </c>
      <c r="F358" s="6">
        <v>4.1147536849252901</v>
      </c>
      <c r="G358" s="6">
        <v>28.1016277825115</v>
      </c>
      <c r="H358" s="6">
        <v>1.9990151735877699</v>
      </c>
      <c r="I358" s="6">
        <v>3.2152236337990598</v>
      </c>
      <c r="J358" s="6">
        <v>30.2637008766097</v>
      </c>
      <c r="K358" s="6">
        <v>1.32254187873336</v>
      </c>
      <c r="L358" s="7">
        <v>73</v>
      </c>
    </row>
    <row r="359" spans="5:12" ht="15" customHeight="1">
      <c r="E359" s="6">
        <v>1.3515351433095999</v>
      </c>
      <c r="F359" s="6">
        <v>4.1693924971470198</v>
      </c>
      <c r="G359" s="6">
        <v>25.982806616623499</v>
      </c>
      <c r="H359" s="6">
        <v>2.0307871311361598</v>
      </c>
      <c r="I359" s="6">
        <v>3.7152416589102599</v>
      </c>
      <c r="J359" s="6">
        <v>31.556354238064198</v>
      </c>
      <c r="K359" s="6">
        <v>1.3164746355536201</v>
      </c>
      <c r="L359" s="7">
        <v>72</v>
      </c>
    </row>
    <row r="360" spans="5:12" ht="15" customHeight="1">
      <c r="E360" s="6">
        <v>1.4595012162822201</v>
      </c>
      <c r="F360" s="6">
        <v>4.2628504552548998</v>
      </c>
      <c r="G360" s="6">
        <v>26.625825599178199</v>
      </c>
      <c r="H360" s="6">
        <v>1.9745305229832999</v>
      </c>
      <c r="I360" s="6">
        <v>3.44666277361716</v>
      </c>
      <c r="J360" s="6">
        <v>30.792324750857301</v>
      </c>
      <c r="K360" s="6">
        <v>1.3033931137174699</v>
      </c>
      <c r="L360" s="7">
        <v>71</v>
      </c>
    </row>
    <row r="361" spans="5:12" ht="15" customHeight="1">
      <c r="E361" s="6">
        <v>1.3614247496146099</v>
      </c>
      <c r="F361" s="6">
        <v>4.1912430120830901</v>
      </c>
      <c r="G361" s="6">
        <v>26.001681537756401</v>
      </c>
      <c r="H361" s="6">
        <v>2.15181285392205</v>
      </c>
      <c r="I361" s="6">
        <v>3.4178250766635698</v>
      </c>
      <c r="J361" s="6">
        <v>33.465531367262997</v>
      </c>
      <c r="K361" s="6">
        <v>1.29271122709036</v>
      </c>
      <c r="L361" s="7">
        <v>70</v>
      </c>
    </row>
    <row r="362" spans="5:12" ht="15" customHeight="1">
      <c r="E362" s="6">
        <v>1.3694142281323101</v>
      </c>
      <c r="F362" s="6">
        <v>4.21445173705406</v>
      </c>
      <c r="G362" s="6">
        <v>25.9699188722191</v>
      </c>
      <c r="H362" s="6">
        <v>2.0627270271493301</v>
      </c>
      <c r="I362" s="6">
        <v>4.2424524096673002</v>
      </c>
      <c r="J362" s="6">
        <v>35.199222303678297</v>
      </c>
      <c r="K362" s="6">
        <v>1.2993476403044899</v>
      </c>
      <c r="L362" s="7">
        <v>69</v>
      </c>
    </row>
    <row r="363" spans="5:12" ht="15" customHeight="1">
      <c r="E363" s="6">
        <v>1.59345972839837</v>
      </c>
      <c r="F363" s="6">
        <v>4.23780198843117</v>
      </c>
      <c r="G363" s="6">
        <v>26.6088828337679</v>
      </c>
      <c r="H363" s="6">
        <v>1.95517769583334</v>
      </c>
      <c r="I363" s="6">
        <v>3.2810386841661701</v>
      </c>
      <c r="J363" s="6">
        <v>29.396196589569499</v>
      </c>
      <c r="K363" s="6">
        <v>1.29321212032886</v>
      </c>
      <c r="L363" s="7">
        <v>68</v>
      </c>
    </row>
    <row r="364" spans="5:12" ht="15" customHeight="1">
      <c r="E364" s="6">
        <v>1.2338954694631299</v>
      </c>
      <c r="F364" s="6">
        <v>4.2702134302747004</v>
      </c>
      <c r="G364" s="6">
        <v>26.1484097215689</v>
      </c>
      <c r="H364" s="6">
        <v>2.0408237425058999</v>
      </c>
      <c r="I364" s="6">
        <v>3.70758126865063</v>
      </c>
      <c r="J364" s="6">
        <v>32.988940249318297</v>
      </c>
      <c r="K364" s="6">
        <v>1.28322513544657</v>
      </c>
      <c r="L364" s="7">
        <v>67</v>
      </c>
    </row>
    <row r="365" spans="5:12" ht="15" customHeight="1">
      <c r="E365" s="6">
        <v>1.4565461933081201</v>
      </c>
      <c r="F365" s="6">
        <v>4.2576484702722297</v>
      </c>
      <c r="G365" s="6">
        <v>28.645470073222</v>
      </c>
      <c r="H365" s="6">
        <v>1.9234266822981301</v>
      </c>
      <c r="I365" s="6">
        <v>3.7731121903446998</v>
      </c>
      <c r="J365" s="6">
        <v>34.197822552642101</v>
      </c>
      <c r="K365" s="6">
        <v>1.2779478326129401</v>
      </c>
      <c r="L365" s="7">
        <v>66</v>
      </c>
    </row>
    <row r="366" spans="5:12" ht="15" customHeight="1">
      <c r="E366" s="6">
        <v>1.3248638447364101</v>
      </c>
      <c r="F366" s="6">
        <v>4.2171495530422298</v>
      </c>
      <c r="G366" s="6">
        <v>26.4565989844859</v>
      </c>
      <c r="H366" s="6">
        <v>2.20530989169781</v>
      </c>
      <c r="I366" s="6">
        <v>3.7043372361693701</v>
      </c>
      <c r="J366" s="6">
        <v>33.313928843685098</v>
      </c>
      <c r="K366" s="6">
        <v>1.2738510717595599</v>
      </c>
      <c r="L366" s="7">
        <v>65</v>
      </c>
    </row>
    <row r="367" spans="5:12" ht="15" customHeight="1">
      <c r="E367" s="6">
        <v>1.3725282261268801</v>
      </c>
      <c r="F367" s="6">
        <v>4.19368808033179</v>
      </c>
      <c r="G367" s="6">
        <v>28.767363292592702</v>
      </c>
      <c r="H367" s="6">
        <v>2.0379281541097898</v>
      </c>
      <c r="I367" s="6">
        <v>3.36077329857781</v>
      </c>
      <c r="J367" s="6">
        <v>34.778409409563601</v>
      </c>
      <c r="K367" s="6">
        <v>1.27256359302933</v>
      </c>
      <c r="L367" s="7">
        <v>64</v>
      </c>
    </row>
    <row r="368" spans="5:12" ht="15" customHeight="1">
      <c r="E368" s="6">
        <v>1.5161171404404701</v>
      </c>
      <c r="F368" s="6">
        <v>4.1176900704863204</v>
      </c>
      <c r="G368" s="6">
        <v>27.7598597083255</v>
      </c>
      <c r="H368" s="6">
        <v>1.9225091708372899</v>
      </c>
      <c r="I368" s="6">
        <v>3.6000158920359602</v>
      </c>
      <c r="J368" s="6">
        <v>31.989588486334</v>
      </c>
      <c r="K368" s="6">
        <v>1.2539073780666501</v>
      </c>
      <c r="L368" s="7">
        <v>63</v>
      </c>
    </row>
    <row r="369" spans="5:12" ht="15" customHeight="1">
      <c r="E369" s="6">
        <v>1.27500444603893</v>
      </c>
      <c r="F369" s="6">
        <v>4.2486532540549602</v>
      </c>
      <c r="G369" s="6">
        <v>26.548805947132902</v>
      </c>
      <c r="H369" s="6">
        <v>2.0759470424050401</v>
      </c>
      <c r="I369" s="6">
        <v>3.4758977199175001</v>
      </c>
      <c r="J369" s="6">
        <v>31.238890272293599</v>
      </c>
      <c r="K369" s="6">
        <v>1.2648887804118401</v>
      </c>
      <c r="L369" s="7">
        <v>62</v>
      </c>
    </row>
    <row r="370" spans="5:12" ht="15" customHeight="1">
      <c r="E370" s="6">
        <v>1.42845484185536</v>
      </c>
      <c r="F370" s="6">
        <v>4.2185357610060601</v>
      </c>
      <c r="G370" s="6">
        <v>26.8896117085546</v>
      </c>
      <c r="H370" s="6">
        <v>2.0622775917672098</v>
      </c>
      <c r="I370" s="6">
        <v>3.47808213596028</v>
      </c>
      <c r="J370" s="6">
        <v>32.598322480999698</v>
      </c>
      <c r="K370" s="6">
        <v>1.2567223194080499</v>
      </c>
      <c r="L370" s="7">
        <v>61</v>
      </c>
    </row>
    <row r="371" spans="5:12" ht="15" customHeight="1">
      <c r="E371" s="6">
        <v>1.3876454673315799</v>
      </c>
      <c r="F371" s="6">
        <v>4.3013177724515304</v>
      </c>
      <c r="G371" s="6">
        <v>26.4297756004718</v>
      </c>
      <c r="H371" s="6">
        <v>1.93788629492499</v>
      </c>
      <c r="I371" s="6">
        <v>3.0566252255297099</v>
      </c>
      <c r="J371" s="6">
        <v>32.2052912692237</v>
      </c>
      <c r="K371" s="6">
        <v>1.2528465532628299</v>
      </c>
      <c r="L371" s="7">
        <v>60</v>
      </c>
    </row>
    <row r="372" spans="5:12" ht="15" customHeight="1">
      <c r="E372" s="6">
        <v>1.0993589331034801</v>
      </c>
      <c r="F372" s="6">
        <v>4.1910117577061898</v>
      </c>
      <c r="G372" s="6">
        <v>24.986495861425201</v>
      </c>
      <c r="H372" s="6">
        <v>2.0123380491809799</v>
      </c>
      <c r="I372" s="6">
        <v>3.2315942951757699</v>
      </c>
      <c r="J372" s="6">
        <v>33.518212305891197</v>
      </c>
      <c r="K372" s="6">
        <v>1.24827283881215</v>
      </c>
      <c r="L372" s="7">
        <v>59</v>
      </c>
    </row>
    <row r="373" spans="5:12" ht="15" customHeight="1">
      <c r="E373" s="6">
        <v>1.3451991489789401</v>
      </c>
      <c r="F373" s="6">
        <v>4.2305895031083702</v>
      </c>
      <c r="G373" s="6">
        <v>28.156294071748999</v>
      </c>
      <c r="H373" s="6">
        <v>2.03136808151545</v>
      </c>
      <c r="I373" s="6">
        <v>3.5607012218906799</v>
      </c>
      <c r="J373" s="6">
        <v>32.659496333532999</v>
      </c>
      <c r="K373" s="6">
        <v>1.24803296106419</v>
      </c>
      <c r="L373" s="7">
        <v>58</v>
      </c>
    </row>
    <row r="374" spans="5:12" ht="15" customHeight="1">
      <c r="E374" s="6">
        <v>1.38826031521403</v>
      </c>
      <c r="F374" s="6">
        <v>4.1681707381292501</v>
      </c>
      <c r="G374" s="6">
        <v>27.215094581495599</v>
      </c>
      <c r="H374" s="6">
        <v>2.0631670441395702</v>
      </c>
      <c r="I374" s="6">
        <v>3.4628694075774602</v>
      </c>
      <c r="J374" s="6">
        <v>31.913606357209801</v>
      </c>
      <c r="K374" s="6">
        <v>1.2279985579572701</v>
      </c>
      <c r="L374" s="7">
        <v>57</v>
      </c>
    </row>
    <row r="375" spans="5:12" ht="15" customHeight="1">
      <c r="E375" s="6">
        <v>1.33744262209666</v>
      </c>
      <c r="F375" s="6">
        <v>4.17235578749938</v>
      </c>
      <c r="G375" s="6">
        <v>24.472545624427301</v>
      </c>
      <c r="H375" s="6">
        <v>1.9226959177709899</v>
      </c>
      <c r="I375" s="6">
        <v>3.4238985728142799</v>
      </c>
      <c r="J375" s="6">
        <v>36.618339637374099</v>
      </c>
      <c r="K375" s="6">
        <v>1.2249492881853501</v>
      </c>
      <c r="L375" s="7">
        <v>56</v>
      </c>
    </row>
    <row r="376" spans="5:12" ht="15" customHeight="1">
      <c r="E376" s="6">
        <v>1.3592624375195499</v>
      </c>
      <c r="F376" s="6">
        <v>4.1647355731687297</v>
      </c>
      <c r="G376" s="6">
        <v>26.928569750693399</v>
      </c>
      <c r="H376" s="6">
        <v>2.1503036999192799</v>
      </c>
      <c r="I376" s="6">
        <v>3.0805378629157101</v>
      </c>
      <c r="J376" s="6">
        <v>31.3836355820536</v>
      </c>
      <c r="K376" s="6">
        <v>1.2306360193966499</v>
      </c>
      <c r="L376" s="7">
        <v>55</v>
      </c>
    </row>
    <row r="377" spans="5:12" ht="15" customHeight="1">
      <c r="E377" s="6">
        <v>1.21813084521797</v>
      </c>
      <c r="F377" s="6">
        <v>4.1568717544002203</v>
      </c>
      <c r="G377" s="6">
        <v>26.336864737130899</v>
      </c>
      <c r="H377" s="6">
        <v>2.0858389218556099</v>
      </c>
      <c r="I377" s="6">
        <v>3.8604410786891599</v>
      </c>
      <c r="J377" s="6">
        <v>35.5531279446136</v>
      </c>
      <c r="K377" s="6">
        <v>1.2154246550519701</v>
      </c>
      <c r="L377" s="7">
        <v>54</v>
      </c>
    </row>
    <row r="378" spans="5:12" ht="15" customHeight="1">
      <c r="E378" s="6">
        <v>1.40603199410827</v>
      </c>
      <c r="F378" s="6">
        <v>4.2569106924824602</v>
      </c>
      <c r="G378" s="6">
        <v>24.897964575109601</v>
      </c>
      <c r="H378" s="6">
        <v>1.95945055806959</v>
      </c>
      <c r="I378" s="6">
        <v>3.93010538754501</v>
      </c>
      <c r="J378" s="6">
        <v>33.937456937264997</v>
      </c>
      <c r="K378" s="6">
        <v>1.21391062851009</v>
      </c>
      <c r="L378" s="7">
        <v>53</v>
      </c>
    </row>
    <row r="379" spans="5:12" ht="15" customHeight="1">
      <c r="E379" s="6">
        <v>1.2579799462454899</v>
      </c>
      <c r="F379" s="6">
        <v>4.2009974071587397</v>
      </c>
      <c r="G379" s="6">
        <v>28.0527756476599</v>
      </c>
      <c r="H379" s="6">
        <v>2.11210538318899</v>
      </c>
      <c r="I379" s="6">
        <v>3.3791031234854398</v>
      </c>
      <c r="J379" s="6">
        <v>32.632588305192201</v>
      </c>
      <c r="K379" s="6">
        <v>1.2068010006054199</v>
      </c>
      <c r="L379" s="7">
        <v>52</v>
      </c>
    </row>
    <row r="380" spans="5:12" ht="15" customHeight="1">
      <c r="E380" s="6">
        <v>1.44409569281299</v>
      </c>
      <c r="F380" s="6">
        <v>4.2026090553875797</v>
      </c>
      <c r="G380" s="6">
        <v>26.1799941227471</v>
      </c>
      <c r="H380" s="6">
        <v>1.9929303351211201</v>
      </c>
      <c r="I380" s="6">
        <v>3.78413221167034</v>
      </c>
      <c r="J380" s="6">
        <v>33.689323693396901</v>
      </c>
      <c r="K380" s="6">
        <v>1.201311682836</v>
      </c>
      <c r="L380" s="7">
        <v>51</v>
      </c>
    </row>
    <row r="381" spans="5:12" ht="15" customHeight="1">
      <c r="E381" s="6">
        <v>1.3947815897651901</v>
      </c>
      <c r="F381" s="6">
        <v>4.2551670511216004</v>
      </c>
      <c r="G381" s="6">
        <v>27.2705623063726</v>
      </c>
      <c r="H381" s="6">
        <v>1.95496789560761</v>
      </c>
      <c r="I381" s="6">
        <v>3.6044541528555798</v>
      </c>
      <c r="J381" s="6">
        <v>35.617676817434997</v>
      </c>
      <c r="K381" s="6">
        <v>1.19161741472167</v>
      </c>
      <c r="L381" s="7">
        <v>50</v>
      </c>
    </row>
    <row r="382" spans="5:12" ht="15" customHeight="1">
      <c r="E382" s="6">
        <v>1.4693781986082599</v>
      </c>
      <c r="F382" s="6">
        <v>4.2028139773136397</v>
      </c>
      <c r="G382" s="6">
        <v>27.320802242572601</v>
      </c>
      <c r="H382" s="6">
        <v>1.9928182227483699</v>
      </c>
      <c r="I382" s="6">
        <v>3.7129762665977299</v>
      </c>
      <c r="J382" s="6">
        <v>33.199735542608501</v>
      </c>
      <c r="K382" s="6">
        <v>1.1994798407170999</v>
      </c>
      <c r="L382" s="7">
        <v>49</v>
      </c>
    </row>
    <row r="383" spans="5:12" ht="15" customHeight="1">
      <c r="E383" s="6">
        <v>1.40310008013521</v>
      </c>
      <c r="F383" s="6">
        <v>4.2672830970835598</v>
      </c>
      <c r="G383" s="6">
        <v>26.9785251226143</v>
      </c>
      <c r="H383" s="6">
        <v>2.0546462830143501</v>
      </c>
      <c r="I383" s="6">
        <v>3.8308393218446599</v>
      </c>
      <c r="J383" s="6">
        <v>31.4649283747863</v>
      </c>
      <c r="K383" s="6">
        <v>1.18819089967489</v>
      </c>
      <c r="L383" s="7">
        <v>48</v>
      </c>
    </row>
    <row r="384" spans="5:12" ht="15" customHeight="1">
      <c r="E384" s="6">
        <v>1.4368517465608399</v>
      </c>
      <c r="F384" s="6">
        <v>4.1980975595016403</v>
      </c>
      <c r="G384" s="6">
        <v>27.8341653323813</v>
      </c>
      <c r="H384" s="6">
        <v>2.1162745043383602</v>
      </c>
      <c r="I384" s="6">
        <v>3.6332077684606099</v>
      </c>
      <c r="J384" s="6">
        <v>29.775905629543399</v>
      </c>
      <c r="K384" s="6">
        <v>1.1867854834221201</v>
      </c>
      <c r="L384" s="7">
        <v>47</v>
      </c>
    </row>
    <row r="385" spans="5:12" ht="15" customHeight="1">
      <c r="E385" s="6">
        <v>1.5958765006245701</v>
      </c>
      <c r="F385" s="6">
        <v>4.1773366268163699</v>
      </c>
      <c r="G385" s="6">
        <v>27.508766193072699</v>
      </c>
      <c r="H385" s="6">
        <v>1.98722554363466</v>
      </c>
      <c r="I385" s="6">
        <v>3.6280959095508698</v>
      </c>
      <c r="J385" s="6">
        <v>32.1710754816364</v>
      </c>
      <c r="K385" s="6">
        <v>1.1800302264959399</v>
      </c>
      <c r="L385" s="7">
        <v>46</v>
      </c>
    </row>
    <row r="386" spans="5:12" ht="15" customHeight="1">
      <c r="E386" s="6">
        <v>1.4943346346001301</v>
      </c>
      <c r="F386" s="6">
        <v>4.2011662432894799</v>
      </c>
      <c r="G386" s="6">
        <v>27.660727824385699</v>
      </c>
      <c r="H386" s="6">
        <v>1.7787574432197399</v>
      </c>
      <c r="I386" s="6">
        <v>3.06780739045261</v>
      </c>
      <c r="J386" s="6">
        <v>34.239196079155498</v>
      </c>
      <c r="K386" s="6">
        <v>1.16930120259171</v>
      </c>
      <c r="L386" s="7">
        <v>45</v>
      </c>
    </row>
    <row r="387" spans="5:12" ht="15" customHeight="1">
      <c r="E387" s="6">
        <v>1.4554096483063199</v>
      </c>
      <c r="F387" s="6">
        <v>4.2646493197473996</v>
      </c>
      <c r="G387" s="6">
        <v>30.186380918315201</v>
      </c>
      <c r="H387" s="6">
        <v>1.9644684301817401</v>
      </c>
      <c r="I387" s="6">
        <v>3.5570734543909701</v>
      </c>
      <c r="J387" s="6">
        <v>34.358232709406103</v>
      </c>
      <c r="K387" s="6">
        <v>1.1730940024318099</v>
      </c>
      <c r="L387" s="7">
        <v>44</v>
      </c>
    </row>
    <row r="388" spans="5:12" ht="15" customHeight="1">
      <c r="E388" s="6">
        <v>1.4648177616337199</v>
      </c>
      <c r="F388" s="6">
        <v>4.1478449841857401</v>
      </c>
      <c r="G388" s="6">
        <v>28.162166427862399</v>
      </c>
      <c r="H388" s="6">
        <v>2.1260082865594199</v>
      </c>
      <c r="I388" s="6">
        <v>3.6817198969093101</v>
      </c>
      <c r="J388" s="6">
        <v>33.156996305819199</v>
      </c>
      <c r="K388" s="6">
        <v>1.1765772672513699</v>
      </c>
      <c r="L388" s="7">
        <v>43</v>
      </c>
    </row>
    <row r="389" spans="5:12" ht="15" customHeight="1">
      <c r="E389" s="6">
        <v>1.37269463172515</v>
      </c>
      <c r="F389" s="6">
        <v>4.1149803532527596</v>
      </c>
      <c r="G389" s="6">
        <v>26.4082514816368</v>
      </c>
      <c r="H389" s="6">
        <v>1.8249415643140099</v>
      </c>
      <c r="I389" s="6">
        <v>3.4294684768044399</v>
      </c>
      <c r="J389" s="6">
        <v>34.363505234691601</v>
      </c>
      <c r="K389" s="6">
        <v>1.15450556766085</v>
      </c>
      <c r="L389" s="7">
        <v>42</v>
      </c>
    </row>
    <row r="390" spans="5:12" ht="15" customHeight="1">
      <c r="E390" s="6">
        <v>1.45328343383695</v>
      </c>
      <c r="F390" s="6">
        <v>4.2364951365865098</v>
      </c>
      <c r="G390" s="6">
        <v>25.29154748961</v>
      </c>
      <c r="H390" s="6">
        <v>1.96411957843399</v>
      </c>
      <c r="I390" s="6">
        <v>3.6063284857028099</v>
      </c>
      <c r="J390" s="6">
        <v>34.793818525579702</v>
      </c>
      <c r="K390" s="6">
        <v>1.1611852079874201</v>
      </c>
      <c r="L390" s="7">
        <v>41</v>
      </c>
    </row>
    <row r="391" spans="5:12" ht="15" customHeight="1">
      <c r="E391" s="6">
        <v>1.39376851635556</v>
      </c>
      <c r="F391" s="6">
        <v>4.2678608653492001</v>
      </c>
      <c r="G391" s="6">
        <v>28.427573613694801</v>
      </c>
      <c r="H391" s="6">
        <v>2.0035238280251</v>
      </c>
      <c r="I391" s="6">
        <v>3.5999203224332099</v>
      </c>
      <c r="J391" s="6">
        <v>32.515026861248003</v>
      </c>
      <c r="K391" s="6">
        <v>1.1462214343525601</v>
      </c>
      <c r="L391" s="7">
        <v>40</v>
      </c>
    </row>
    <row r="392" spans="5:12" ht="15" customHeight="1">
      <c r="E392" s="6">
        <v>1.1957166460008699</v>
      </c>
      <c r="F392" s="6">
        <v>4.2324986796429798</v>
      </c>
      <c r="G392" s="6">
        <v>25.596943141064699</v>
      </c>
      <c r="H392" s="6">
        <v>2.0441171151953399</v>
      </c>
      <c r="I392" s="6">
        <v>3.5143144104621</v>
      </c>
      <c r="J392" s="6">
        <v>31.724302747311899</v>
      </c>
      <c r="K392" s="6">
        <v>1.14433262941835</v>
      </c>
      <c r="L392" s="7">
        <v>39</v>
      </c>
    </row>
    <row r="393" spans="5:12" ht="15" customHeight="1">
      <c r="E393" s="6">
        <v>1.3796248166228799</v>
      </c>
      <c r="F393" s="6">
        <v>4.1198020612516801</v>
      </c>
      <c r="G393" s="6">
        <v>26.8374651586184</v>
      </c>
      <c r="H393" s="6">
        <v>2.0058044193306301</v>
      </c>
      <c r="I393" s="6">
        <v>3.28869665717201</v>
      </c>
      <c r="J393" s="6">
        <v>33.429903574222699</v>
      </c>
      <c r="K393" s="6">
        <v>1.1415208462361</v>
      </c>
      <c r="L393" s="7">
        <v>38</v>
      </c>
    </row>
    <row r="394" spans="5:12" ht="15" customHeight="1">
      <c r="E394" s="6">
        <v>1.43593576044064</v>
      </c>
      <c r="F394" s="6">
        <v>4.1765294459776996</v>
      </c>
      <c r="G394" s="6">
        <v>27.342760099980602</v>
      </c>
      <c r="H394" s="6">
        <v>1.9231084228683399</v>
      </c>
      <c r="I394" s="6">
        <v>3.2027894506988299</v>
      </c>
      <c r="J394" s="6">
        <v>33.083406324141102</v>
      </c>
      <c r="K394" s="6">
        <v>1.1348569192397899</v>
      </c>
      <c r="L394" s="7">
        <v>37</v>
      </c>
    </row>
    <row r="395" spans="5:12" ht="15" customHeight="1">
      <c r="E395" s="6">
        <v>1.35392611695956</v>
      </c>
      <c r="F395" s="6">
        <v>4.1773066498877496</v>
      </c>
      <c r="G395" s="6">
        <v>27.817572084752499</v>
      </c>
      <c r="H395" s="6">
        <v>2.04261455536682</v>
      </c>
      <c r="I395" s="6">
        <v>3.4883609002309202</v>
      </c>
      <c r="J395" s="6">
        <v>31.260784743787902</v>
      </c>
      <c r="K395" s="6">
        <v>1.1290668251595799</v>
      </c>
      <c r="L395" s="7">
        <v>36</v>
      </c>
    </row>
    <row r="396" spans="5:12" ht="15" customHeight="1">
      <c r="E396" s="6">
        <v>1.37584049254726</v>
      </c>
      <c r="F396" s="6">
        <v>4.1768177297676896</v>
      </c>
      <c r="G396" s="6">
        <v>26.4397675182705</v>
      </c>
      <c r="H396" s="6">
        <v>2.02505503074432</v>
      </c>
      <c r="I396" s="6">
        <v>3.94979224238809</v>
      </c>
      <c r="J396" s="6">
        <v>34.880799006240899</v>
      </c>
      <c r="K396" s="6">
        <v>1.1292233456324099</v>
      </c>
      <c r="L396" s="7">
        <v>35</v>
      </c>
    </row>
    <row r="397" spans="5:12" ht="15" customHeight="1">
      <c r="E397" s="6">
        <v>1.11930607011658</v>
      </c>
      <c r="F397" s="6">
        <v>4.2200773582508901</v>
      </c>
      <c r="G397" s="6">
        <v>27.986543800850001</v>
      </c>
      <c r="H397" s="6">
        <v>2.0016843314338901</v>
      </c>
      <c r="I397" s="6">
        <v>3.8879031527847601</v>
      </c>
      <c r="J397" s="6">
        <v>33.166932580727497</v>
      </c>
      <c r="K397" s="6">
        <v>1.11713881335714</v>
      </c>
      <c r="L397" s="7">
        <v>34</v>
      </c>
    </row>
    <row r="398" spans="5:12" ht="15" customHeight="1">
      <c r="E398" s="6">
        <v>1.51566763386271</v>
      </c>
      <c r="F398" s="6">
        <v>4.1990351485997399</v>
      </c>
      <c r="G398" s="6">
        <v>25.448293311284701</v>
      </c>
      <c r="H398" s="6">
        <v>2.0159867212493299</v>
      </c>
      <c r="I398" s="6">
        <v>3.08393250939874</v>
      </c>
      <c r="J398" s="6">
        <v>31.433289903662899</v>
      </c>
      <c r="K398" s="6">
        <v>1.1143013651733</v>
      </c>
      <c r="L398" s="7">
        <v>33</v>
      </c>
    </row>
    <row r="399" spans="5:12" ht="15" customHeight="1">
      <c r="E399" s="6">
        <v>1.39030408891274</v>
      </c>
      <c r="F399" s="6">
        <v>4.2312682284654599</v>
      </c>
      <c r="G399" s="6">
        <v>29.8316987859391</v>
      </c>
      <c r="H399" s="6">
        <v>2.0891815587856799</v>
      </c>
      <c r="I399" s="6">
        <v>3.77523852768523</v>
      </c>
      <c r="J399" s="6">
        <v>30.668881252889701</v>
      </c>
      <c r="K399" s="6">
        <v>1.1061723786680899</v>
      </c>
      <c r="L399" s="7">
        <v>32</v>
      </c>
    </row>
    <row r="400" spans="5:12" ht="15" customHeight="1">
      <c r="E400" s="6">
        <v>1.5695332661270101</v>
      </c>
      <c r="F400" s="6">
        <v>4.2282133875569299</v>
      </c>
      <c r="G400" s="6">
        <v>27.298303918722201</v>
      </c>
      <c r="H400" s="6">
        <v>1.8531923263905401</v>
      </c>
      <c r="I400" s="6">
        <v>3.6466242638219701</v>
      </c>
      <c r="J400" s="6">
        <v>33.078638287161702</v>
      </c>
      <c r="K400" s="6">
        <v>1.10885777899205</v>
      </c>
      <c r="L400" s="7">
        <v>31</v>
      </c>
    </row>
    <row r="401" spans="5:12" ht="15" customHeight="1">
      <c r="E401" s="6">
        <v>1.52335335130247</v>
      </c>
      <c r="F401" s="6">
        <v>4.2247577278532704</v>
      </c>
      <c r="G401" s="6">
        <v>25.477088716683301</v>
      </c>
      <c r="H401" s="6">
        <v>1.94548018269823</v>
      </c>
      <c r="I401" s="6">
        <v>3.3124729763408198</v>
      </c>
      <c r="J401" s="6">
        <v>31.3782639470042</v>
      </c>
      <c r="K401" s="6">
        <v>1.10357425729614</v>
      </c>
      <c r="L401" s="7">
        <v>30</v>
      </c>
    </row>
    <row r="402" spans="5:12" ht="15" customHeight="1">
      <c r="E402" s="6">
        <v>1.3886098752979601</v>
      </c>
      <c r="F402" s="6">
        <v>4.2612430859964903</v>
      </c>
      <c r="G402" s="6">
        <v>28.2731932934025</v>
      </c>
      <c r="H402" s="6">
        <v>1.92472380596593</v>
      </c>
      <c r="I402" s="6">
        <v>2.88249570242245</v>
      </c>
      <c r="J402" s="6">
        <v>33.237039591242002</v>
      </c>
      <c r="K402" s="6">
        <v>1.0926257182382799</v>
      </c>
      <c r="L402" s="7">
        <v>29</v>
      </c>
    </row>
    <row r="403" spans="5:12" ht="15" customHeight="1">
      <c r="E403" s="6">
        <v>1.3849560957625</v>
      </c>
      <c r="F403" s="6">
        <v>4.1993004654117998</v>
      </c>
      <c r="G403" s="6">
        <v>28.0771786422075</v>
      </c>
      <c r="H403" s="6">
        <v>2.1050704923816301</v>
      </c>
      <c r="I403" s="6">
        <v>3.4816723178920101</v>
      </c>
      <c r="J403" s="6">
        <v>34.532818765499997</v>
      </c>
      <c r="K403" s="6">
        <v>1.09537681078101</v>
      </c>
      <c r="L403" s="7">
        <v>28</v>
      </c>
    </row>
    <row r="404" spans="5:12" ht="15" customHeight="1">
      <c r="E404" s="6">
        <v>1.5348376873087799</v>
      </c>
      <c r="F404" s="6">
        <v>4.2294689996693897</v>
      </c>
      <c r="G404" s="6">
        <v>30.648762795720501</v>
      </c>
      <c r="H404" s="6">
        <v>2.10110137202558</v>
      </c>
      <c r="I404" s="6">
        <v>3.2956085682916898</v>
      </c>
      <c r="J404" s="6">
        <v>36.622842205118403</v>
      </c>
      <c r="K404" s="6">
        <v>1.0846487728381</v>
      </c>
      <c r="L404" s="7">
        <v>27</v>
      </c>
    </row>
    <row r="405" spans="5:12" ht="15" customHeight="1">
      <c r="E405" s="6">
        <v>1.52280647785571</v>
      </c>
      <c r="F405" s="6">
        <v>4.1428123613105798</v>
      </c>
      <c r="G405" s="6">
        <v>26.432450431868801</v>
      </c>
      <c r="H405" s="6">
        <v>1.9457374697487899</v>
      </c>
      <c r="I405" s="6">
        <v>3.13724483684121</v>
      </c>
      <c r="J405" s="6">
        <v>31.758773324628201</v>
      </c>
      <c r="K405" s="6">
        <v>1.0795034388762801</v>
      </c>
      <c r="L405" s="7">
        <v>26</v>
      </c>
    </row>
    <row r="406" spans="5:12" ht="15" customHeight="1">
      <c r="E406" s="6">
        <v>1.30085186815931</v>
      </c>
      <c r="F406" s="6">
        <v>4.2541894616289602</v>
      </c>
      <c r="G406" s="6">
        <v>25.425354677562598</v>
      </c>
      <c r="H406" s="6">
        <v>1.99888349762563</v>
      </c>
      <c r="I406" s="6">
        <v>3.3297811409660798</v>
      </c>
      <c r="J406" s="6">
        <v>31.648197003453301</v>
      </c>
      <c r="K406" s="6">
        <v>1.07650312191678</v>
      </c>
      <c r="L406" s="7">
        <v>25</v>
      </c>
    </row>
    <row r="407" spans="5:12" ht="15" customHeight="1">
      <c r="E407" s="6">
        <v>1.41978343726919</v>
      </c>
      <c r="F407" s="6">
        <v>4.2694689730514304</v>
      </c>
      <c r="G407" s="6">
        <v>27.9041675532692</v>
      </c>
      <c r="H407" s="6">
        <v>1.95706566901762</v>
      </c>
      <c r="I407" s="6">
        <v>3.87365985601607</v>
      </c>
      <c r="J407" s="6">
        <v>30.335888219996601</v>
      </c>
      <c r="K407" s="6">
        <v>1.0647592415968801</v>
      </c>
      <c r="L407" s="7">
        <v>24</v>
      </c>
    </row>
    <row r="408" spans="5:12" ht="15" customHeight="1">
      <c r="E408" s="6">
        <v>1.53646971648681</v>
      </c>
      <c r="F408" s="6">
        <v>4.1680728536039302</v>
      </c>
      <c r="G408" s="6">
        <v>27.947603388810801</v>
      </c>
      <c r="H408" s="6">
        <v>2.0999610117629302</v>
      </c>
      <c r="I408" s="6">
        <v>3.7929931523926599</v>
      </c>
      <c r="J408" s="6">
        <v>28.423503469169098</v>
      </c>
      <c r="K408" s="6">
        <v>1.0634756822467799</v>
      </c>
      <c r="L408" s="7">
        <v>23</v>
      </c>
    </row>
    <row r="409" spans="5:12" ht="15" customHeight="1">
      <c r="E409" s="6">
        <v>1.41983813990938</v>
      </c>
      <c r="F409" s="6">
        <v>4.1307633336701004</v>
      </c>
      <c r="G409" s="6">
        <v>27.274116295566301</v>
      </c>
      <c r="H409" s="6">
        <v>1.9722769331853101</v>
      </c>
      <c r="I409" s="6">
        <v>3.3521997801305301</v>
      </c>
      <c r="J409" s="6">
        <v>32.039477317636297</v>
      </c>
      <c r="K409" s="6">
        <v>1.06114240141824</v>
      </c>
      <c r="L409" s="7">
        <v>22</v>
      </c>
    </row>
    <row r="410" spans="5:12" ht="15" customHeight="1">
      <c r="E410" s="6">
        <v>1.4762188158571501</v>
      </c>
      <c r="F410" s="6">
        <v>4.2052768869980204</v>
      </c>
      <c r="G410" s="6">
        <v>25.589415594584899</v>
      </c>
      <c r="H410" s="6">
        <v>2.02775055844045</v>
      </c>
      <c r="I410" s="6">
        <v>3.9188172001883501</v>
      </c>
      <c r="J410" s="6">
        <v>35.2834458676857</v>
      </c>
      <c r="K410" s="6">
        <v>1.0552707164549999</v>
      </c>
      <c r="L410" s="7">
        <v>21</v>
      </c>
    </row>
    <row r="411" spans="5:12" ht="15" customHeight="1">
      <c r="E411" s="6">
        <v>1.4141247954199101</v>
      </c>
      <c r="F411" s="6">
        <v>4.12786972058825</v>
      </c>
      <c r="G411" s="6">
        <v>27.173780295351101</v>
      </c>
      <c r="H411" s="6">
        <v>2.0185174827624799</v>
      </c>
      <c r="I411" s="6">
        <v>3.04157326042785</v>
      </c>
      <c r="J411" s="6">
        <v>33.4120010325327</v>
      </c>
      <c r="K411" s="6">
        <v>1.0476976417039601</v>
      </c>
      <c r="L411" s="7">
        <v>20</v>
      </c>
    </row>
    <row r="412" spans="5:12" ht="15" customHeight="1">
      <c r="E412" s="6">
        <v>1.3183690214628601</v>
      </c>
      <c r="F412" s="6">
        <v>4.18569395157673</v>
      </c>
      <c r="G412" s="6">
        <v>27.816348116295199</v>
      </c>
      <c r="H412" s="6">
        <v>1.82131782140904</v>
      </c>
      <c r="I412" s="6">
        <v>3.2966265050666501</v>
      </c>
      <c r="J412" s="6">
        <v>33.810325086720901</v>
      </c>
      <c r="K412" s="6">
        <v>1.04634967467039</v>
      </c>
      <c r="L412" s="7">
        <v>19</v>
      </c>
    </row>
    <row r="413" spans="5:12" ht="15" customHeight="1">
      <c r="E413" s="6">
        <v>1.4683324924577099</v>
      </c>
      <c r="F413" s="6">
        <v>4.20052660570712</v>
      </c>
      <c r="G413" s="6">
        <v>25.6170108893654</v>
      </c>
      <c r="H413" s="6">
        <v>2.0827852836943999</v>
      </c>
      <c r="I413" s="6">
        <v>3.8384230467612301</v>
      </c>
      <c r="J413" s="6">
        <v>30.8013399503009</v>
      </c>
      <c r="K413" s="6">
        <v>1.0313296319858201</v>
      </c>
      <c r="L413" s="7">
        <v>18</v>
      </c>
    </row>
    <row r="414" spans="5:12" ht="15" customHeight="1">
      <c r="E414" s="6">
        <v>1.34665576651819</v>
      </c>
      <c r="F414" s="6">
        <v>4.1978460894700502</v>
      </c>
      <c r="G414" s="6">
        <v>28.605770711076001</v>
      </c>
      <c r="H414" s="6">
        <v>1.9193869496067999</v>
      </c>
      <c r="I414" s="6">
        <v>3.6020504783306899</v>
      </c>
      <c r="J414" s="6">
        <v>31.7597965429784</v>
      </c>
      <c r="K414" s="6">
        <v>1.0361646177036901</v>
      </c>
      <c r="L414" s="7">
        <v>17</v>
      </c>
    </row>
    <row r="415" spans="5:12" ht="15" customHeight="1">
      <c r="E415" s="6">
        <v>1.3935184889580201</v>
      </c>
      <c r="F415" s="6">
        <v>4.2201232570334604</v>
      </c>
      <c r="G415" s="6">
        <v>25.8620216207743</v>
      </c>
      <c r="H415" s="6">
        <v>2.2271365256647102</v>
      </c>
      <c r="I415" s="6">
        <v>3.39169106742371</v>
      </c>
      <c r="J415" s="6">
        <v>33.607027793008598</v>
      </c>
      <c r="K415" s="6">
        <v>1.02704281217517</v>
      </c>
      <c r="L415" s="7">
        <v>16</v>
      </c>
    </row>
    <row r="416" spans="5:12" ht="15" customHeight="1">
      <c r="E416" s="6">
        <v>1.3743260754269599</v>
      </c>
      <c r="F416" s="6">
        <v>4.2291705582837098</v>
      </c>
      <c r="G416" s="6">
        <v>27.2914848715963</v>
      </c>
      <c r="H416" s="6">
        <v>2.1316901002484299</v>
      </c>
      <c r="I416" s="6">
        <v>3.5627283504669198</v>
      </c>
      <c r="J416" s="6">
        <v>32.698226264074698</v>
      </c>
      <c r="K416" s="6">
        <v>1.02719852545718</v>
      </c>
      <c r="L416" s="7">
        <v>15</v>
      </c>
    </row>
    <row r="417" spans="5:12" ht="15" customHeight="1">
      <c r="E417" s="6">
        <v>1.4787136945677299</v>
      </c>
      <c r="F417" s="6">
        <v>4.2452410096330002</v>
      </c>
      <c r="G417" s="6">
        <v>26.512491893412001</v>
      </c>
      <c r="H417" s="6">
        <v>1.8491489444509599</v>
      </c>
      <c r="I417" s="6">
        <v>3.11576989100918</v>
      </c>
      <c r="J417" s="6">
        <v>31.631110305309999</v>
      </c>
      <c r="K417" s="6">
        <v>1.0257902285250999</v>
      </c>
      <c r="L417" s="7">
        <v>14</v>
      </c>
    </row>
    <row r="418" spans="5:12" ht="15" customHeight="1">
      <c r="E418" s="6">
        <v>1.50079234827035</v>
      </c>
      <c r="F418" s="6">
        <v>4.1291039475922204</v>
      </c>
      <c r="G418" s="6">
        <v>26.9637159434882</v>
      </c>
      <c r="H418" s="6">
        <v>2.0861043089150302</v>
      </c>
      <c r="I418" s="6">
        <v>3.1575684055999802</v>
      </c>
      <c r="J418" s="6">
        <v>33.772936772959099</v>
      </c>
      <c r="K418" s="6">
        <v>1.0153933771088901</v>
      </c>
      <c r="L418" s="7">
        <v>13</v>
      </c>
    </row>
    <row r="419" spans="5:12" ht="15" customHeight="1">
      <c r="E419" s="6">
        <v>1.42195427640193</v>
      </c>
      <c r="F419" s="6">
        <v>4.0889647437346097</v>
      </c>
      <c r="G419" s="6">
        <v>24.088622137323199</v>
      </c>
      <c r="H419" s="6">
        <v>1.8474330356352699</v>
      </c>
      <c r="I419" s="6">
        <v>3.1117054922443601</v>
      </c>
      <c r="J419" s="6">
        <v>35.434527420607097</v>
      </c>
      <c r="K419" s="6">
        <v>1.00951475486542</v>
      </c>
      <c r="L419" s="7">
        <v>12</v>
      </c>
    </row>
    <row r="420" spans="5:12" ht="15" customHeight="1">
      <c r="E420" s="6">
        <v>1.5072777396975801</v>
      </c>
      <c r="F420" s="6">
        <v>4.1104999490817402</v>
      </c>
      <c r="G420" s="6">
        <v>26.411736290925401</v>
      </c>
      <c r="H420" s="6">
        <v>2.0878410312362101</v>
      </c>
      <c r="I420" s="6">
        <v>3.3358312932061098</v>
      </c>
      <c r="J420" s="6">
        <v>32.9924815933812</v>
      </c>
      <c r="K420" s="6">
        <v>1.00360759344471</v>
      </c>
      <c r="L420" s="7">
        <v>11</v>
      </c>
    </row>
    <row r="421" spans="5:12" ht="15" customHeight="1">
      <c r="E421" s="6">
        <v>1.48306717508358</v>
      </c>
      <c r="F421" s="6">
        <v>4.1824862136619299</v>
      </c>
      <c r="G421" s="6">
        <v>26.4807202775288</v>
      </c>
      <c r="H421" s="6">
        <v>1.9426634876340401</v>
      </c>
      <c r="I421" s="6">
        <v>3.49428759448555</v>
      </c>
      <c r="J421" s="6">
        <v>33.543657103958402</v>
      </c>
      <c r="K421" s="6">
        <v>0.99176207717540199</v>
      </c>
      <c r="L421" s="7">
        <v>10</v>
      </c>
    </row>
    <row r="422" spans="5:12" ht="15" customHeight="1">
      <c r="E422" s="6">
        <v>1.6116900245747099</v>
      </c>
      <c r="F422" s="6">
        <v>4.2245068110332298</v>
      </c>
      <c r="G422" s="6">
        <v>25.479124571037602</v>
      </c>
      <c r="H422" s="6">
        <v>2.03182592884442</v>
      </c>
      <c r="I422" s="6">
        <v>3.8115387522674702</v>
      </c>
      <c r="J422" s="6">
        <v>31.847295076905901</v>
      </c>
      <c r="K422" s="6">
        <v>0.99968914873708403</v>
      </c>
      <c r="L422" s="7">
        <v>9</v>
      </c>
    </row>
    <row r="423" spans="5:12" ht="15" customHeight="1">
      <c r="E423" s="6">
        <v>1.3427284116514799</v>
      </c>
      <c r="F423" s="6">
        <v>4.1893948452672403</v>
      </c>
      <c r="G423" s="6">
        <v>25.908088505718698</v>
      </c>
      <c r="H423" s="6">
        <v>2.1376660800923899</v>
      </c>
      <c r="I423" s="6">
        <v>4.04446587419653</v>
      </c>
      <c r="J423" s="6">
        <v>32.4292221575881</v>
      </c>
      <c r="K423" s="6">
        <v>0.98826024585487804</v>
      </c>
      <c r="L423" s="7">
        <v>8</v>
      </c>
    </row>
    <row r="424" spans="5:12" ht="15" customHeight="1">
      <c r="E424" s="6">
        <v>1.48820822243516</v>
      </c>
      <c r="F424" s="6">
        <v>4.2369469189169502</v>
      </c>
      <c r="G424" s="6">
        <v>25.703287521431701</v>
      </c>
      <c r="H424" s="6">
        <v>1.7947965367561001</v>
      </c>
      <c r="I424" s="6">
        <v>3.5025495764419698</v>
      </c>
      <c r="J424" s="6">
        <v>31.3798811363936</v>
      </c>
      <c r="K424" s="6">
        <v>0.99618109375695296</v>
      </c>
      <c r="L424" s="7">
        <v>7</v>
      </c>
    </row>
    <row r="425" spans="5:12" ht="15" customHeight="1">
      <c r="E425" s="6">
        <v>1.29917648564711</v>
      </c>
      <c r="F425" s="6">
        <v>4.1168423106668399</v>
      </c>
      <c r="G425" s="6">
        <v>26.801547139304802</v>
      </c>
      <c r="H425" s="6">
        <v>2.03696746777972</v>
      </c>
      <c r="I425" s="6">
        <v>3.9537399308040202</v>
      </c>
      <c r="J425" s="6">
        <v>35.814234696897699</v>
      </c>
      <c r="K425" s="6">
        <v>0.98822881365009696</v>
      </c>
      <c r="L425" s="7">
        <v>6</v>
      </c>
    </row>
    <row r="426" spans="5:12" ht="15" customHeight="1">
      <c r="E426" s="6">
        <v>1.3939165325585701</v>
      </c>
      <c r="F426" s="6">
        <v>4.1720976606528701</v>
      </c>
      <c r="G426" s="6">
        <v>25.7301417506742</v>
      </c>
      <c r="H426" s="6">
        <v>1.80507897890937</v>
      </c>
      <c r="I426" s="6">
        <v>3.4561781429815999</v>
      </c>
      <c r="J426" s="6">
        <v>34.886984475490003</v>
      </c>
      <c r="K426" s="6">
        <v>0.96967417698890801</v>
      </c>
      <c r="L426" s="7">
        <v>5</v>
      </c>
    </row>
    <row r="427" spans="5:12" ht="15" customHeight="1">
      <c r="E427" s="6">
        <v>1.64695154701702</v>
      </c>
      <c r="F427" s="6">
        <v>4.1658149644120002</v>
      </c>
      <c r="G427" s="6">
        <v>27.115821255404001</v>
      </c>
      <c r="H427" s="6">
        <v>1.9925296513347099</v>
      </c>
      <c r="I427" s="6">
        <v>3.5111622301563599</v>
      </c>
      <c r="J427" s="6">
        <v>36.56220282668</v>
      </c>
      <c r="K427" s="6">
        <v>0.96716099676197798</v>
      </c>
      <c r="L427" s="7">
        <v>4</v>
      </c>
    </row>
    <row r="428" spans="5:12" ht="15" customHeight="1">
      <c r="E428" s="6">
        <v>1.39263566737531</v>
      </c>
      <c r="F428" s="6">
        <v>4.1675863058133702</v>
      </c>
      <c r="G428" s="6">
        <v>26.509840669032499</v>
      </c>
      <c r="H428" s="6">
        <v>1.9352863554402899</v>
      </c>
      <c r="I428" s="6">
        <v>3.4792483944769201</v>
      </c>
      <c r="J428" s="6">
        <v>35.537674053299497</v>
      </c>
      <c r="K428" s="6">
        <v>0.96143875194251105</v>
      </c>
      <c r="L428" s="7">
        <v>3</v>
      </c>
    </row>
    <row r="429" spans="5:12" ht="15" customHeight="1">
      <c r="E429" s="6">
        <v>1.4787550024812</v>
      </c>
      <c r="F429" s="6">
        <v>4.2782934056727902</v>
      </c>
      <c r="G429" s="6">
        <v>27.238167404958102</v>
      </c>
      <c r="H429" s="6">
        <v>2.0790613416813102</v>
      </c>
      <c r="I429" s="6">
        <v>3.8337539270377299</v>
      </c>
      <c r="J429" s="6">
        <v>34.909111026706498</v>
      </c>
      <c r="K429" s="6">
        <v>0.95853822331650496</v>
      </c>
      <c r="L429" s="7">
        <v>2</v>
      </c>
    </row>
    <row r="430" spans="5:12" ht="15" customHeight="1">
      <c r="E430" s="6">
        <v>1.2999649998845699</v>
      </c>
      <c r="F430" s="6">
        <v>4.2070641593938598</v>
      </c>
      <c r="G430" s="6">
        <v>21.604784304749501</v>
      </c>
      <c r="H430" s="6">
        <v>1.94718031712688</v>
      </c>
      <c r="I430" s="6">
        <v>3.0489853311561301</v>
      </c>
      <c r="J430" s="6">
        <v>33.7746525225391</v>
      </c>
      <c r="K430" s="6">
        <v>0.95611982931512496</v>
      </c>
      <c r="L430" s="7">
        <v>1</v>
      </c>
    </row>
    <row r="431" spans="5:12" ht="15" customHeight="1">
      <c r="E431" s="6">
        <v>1.5446001675982499</v>
      </c>
      <c r="F431" s="6">
        <v>4.2587278514317202</v>
      </c>
      <c r="G431" s="6">
        <v>29.659675284318201</v>
      </c>
      <c r="H431" s="6">
        <v>1.8674836258041301</v>
      </c>
      <c r="I431" s="6">
        <v>3.6647704221188802</v>
      </c>
      <c r="J431" s="6">
        <v>28.992027137415299</v>
      </c>
      <c r="K431" s="6">
        <v>0.94219503377360703</v>
      </c>
      <c r="L431" s="7">
        <v>0</v>
      </c>
    </row>
    <row r="432" spans="5:12" ht="15" customHeight="1">
      <c r="E432" s="6">
        <v>1.32653915695691</v>
      </c>
      <c r="F432" s="6">
        <v>4.2140892959518901</v>
      </c>
      <c r="G432" s="6">
        <v>27.522684299064601</v>
      </c>
      <c r="H432" s="6">
        <v>2.1095780017850698</v>
      </c>
      <c r="I432" s="6">
        <v>3.4738230203338998</v>
      </c>
      <c r="J432" s="6">
        <v>31.851802015597901</v>
      </c>
      <c r="K432" s="6">
        <v>1.9909057096267899</v>
      </c>
      <c r="L432" s="7">
        <v>249</v>
      </c>
    </row>
    <row r="433" spans="5:12" ht="15" customHeight="1">
      <c r="E433" s="6">
        <v>1.2733136393589599</v>
      </c>
      <c r="F433" s="6">
        <v>4.1524346277392103</v>
      </c>
      <c r="G433" s="6">
        <v>24.0974399033284</v>
      </c>
      <c r="H433" s="6">
        <v>2.1025018359658501</v>
      </c>
      <c r="I433" s="6">
        <v>3.2135790249773399</v>
      </c>
      <c r="J433" s="6">
        <v>32.150560679869798</v>
      </c>
      <c r="K433" s="6">
        <v>1.9887180935584801</v>
      </c>
      <c r="L433" s="7">
        <v>248</v>
      </c>
    </row>
    <row r="434" spans="5:12" ht="15" customHeight="1">
      <c r="E434" s="6">
        <v>1.3143485274182201</v>
      </c>
      <c r="F434" s="6">
        <v>4.2149324785334699</v>
      </c>
      <c r="G434" s="6">
        <v>29.195678225567502</v>
      </c>
      <c r="H434" s="6">
        <v>2.0069442450572499</v>
      </c>
      <c r="I434" s="6">
        <v>2.7821142895843001</v>
      </c>
      <c r="J434" s="6">
        <v>33.650028483490303</v>
      </c>
      <c r="K434" s="6">
        <v>1.9824292744799901</v>
      </c>
      <c r="L434" s="7">
        <v>247</v>
      </c>
    </row>
    <row r="435" spans="5:12" ht="15" customHeight="1">
      <c r="E435" s="6">
        <v>1.3482352870733501</v>
      </c>
      <c r="F435" s="6">
        <v>4.1959359159571301</v>
      </c>
      <c r="G435" s="6">
        <v>27.911951750258801</v>
      </c>
      <c r="H435" s="6">
        <v>2.1209853063020701</v>
      </c>
      <c r="I435" s="6">
        <v>3.6018633057315599</v>
      </c>
      <c r="J435" s="6">
        <v>35.645605492454202</v>
      </c>
      <c r="K435" s="6">
        <v>1.9792880933250601</v>
      </c>
      <c r="L435" s="7">
        <v>246</v>
      </c>
    </row>
    <row r="436" spans="5:12" ht="15" customHeight="1">
      <c r="E436" s="6">
        <v>1.5762080827593401</v>
      </c>
      <c r="F436" s="6">
        <v>4.2365545830912597</v>
      </c>
      <c r="G436" s="6">
        <v>25.515739912082498</v>
      </c>
      <c r="H436" s="6">
        <v>1.8360046090516899</v>
      </c>
      <c r="I436" s="6">
        <v>3.8551106108766402</v>
      </c>
      <c r="J436" s="6">
        <v>32.173114336624202</v>
      </c>
      <c r="K436" s="6">
        <v>1.9788147542860599</v>
      </c>
      <c r="L436" s="7">
        <v>245</v>
      </c>
    </row>
    <row r="437" spans="5:12" ht="15" customHeight="1">
      <c r="E437" s="6">
        <v>1.4963915091659401</v>
      </c>
      <c r="F437" s="6">
        <v>4.2739953833250297</v>
      </c>
      <c r="G437" s="6">
        <v>25.573478748985298</v>
      </c>
      <c r="H437" s="6">
        <v>2.1018658736498201</v>
      </c>
      <c r="I437" s="6">
        <v>3.8717889337442299</v>
      </c>
      <c r="J437" s="6">
        <v>34.103838085608302</v>
      </c>
      <c r="K437" s="6">
        <v>1.970679679244</v>
      </c>
      <c r="L437" s="7">
        <v>244</v>
      </c>
    </row>
    <row r="438" spans="5:12" ht="15" customHeight="1">
      <c r="E438" s="6">
        <v>1.38589407419618</v>
      </c>
      <c r="F438" s="6">
        <v>4.2083726046619798</v>
      </c>
      <c r="G438" s="6">
        <v>25.963294783477501</v>
      </c>
      <c r="H438" s="6">
        <v>1.8623790555522299</v>
      </c>
      <c r="I438" s="6">
        <v>3.0251816212672402</v>
      </c>
      <c r="J438" s="6">
        <v>34.809687384780801</v>
      </c>
      <c r="K438" s="6">
        <v>1.96842319363568</v>
      </c>
      <c r="L438" s="7">
        <v>243</v>
      </c>
    </row>
    <row r="439" spans="5:12" ht="15" customHeight="1">
      <c r="E439" s="6">
        <v>1.38842695484622</v>
      </c>
      <c r="F439" s="6">
        <v>4.24573639512779</v>
      </c>
      <c r="G439" s="6">
        <v>26.895736419556101</v>
      </c>
      <c r="H439" s="6">
        <v>2.0012226888713802</v>
      </c>
      <c r="I439" s="6">
        <v>3.5418027676641999</v>
      </c>
      <c r="J439" s="6">
        <v>35.872274706686397</v>
      </c>
      <c r="K439" s="6">
        <v>1.9552000459513901</v>
      </c>
      <c r="L439" s="7">
        <v>242</v>
      </c>
    </row>
    <row r="440" spans="5:12" ht="15" customHeight="1">
      <c r="E440" s="6">
        <v>1.4602616556846</v>
      </c>
      <c r="F440" s="6">
        <v>4.1343599196663803</v>
      </c>
      <c r="G440" s="6">
        <v>27.236208992789699</v>
      </c>
      <c r="H440" s="6">
        <v>1.8307048562000601</v>
      </c>
      <c r="I440" s="6">
        <v>3.9690657697793301</v>
      </c>
      <c r="J440" s="6">
        <v>32.714968572638099</v>
      </c>
      <c r="K440" s="6">
        <v>1.9641021984482501</v>
      </c>
      <c r="L440" s="7">
        <v>241</v>
      </c>
    </row>
    <row r="441" spans="5:12" ht="15" customHeight="1">
      <c r="E441" s="6">
        <v>1.40227095391134</v>
      </c>
      <c r="F441" s="6">
        <v>4.2686470211252399</v>
      </c>
      <c r="G441" s="6">
        <v>23.981338007311201</v>
      </c>
      <c r="H441" s="6">
        <v>2.1910089937552502</v>
      </c>
      <c r="I441" s="6">
        <v>3.4431135348773401</v>
      </c>
      <c r="J441" s="6">
        <v>31.779152423937099</v>
      </c>
      <c r="K441" s="6">
        <v>1.9480005998354499</v>
      </c>
      <c r="L441" s="7">
        <v>240</v>
      </c>
    </row>
    <row r="442" spans="5:12" ht="15" customHeight="1">
      <c r="E442" s="6">
        <v>1.4482433000083701</v>
      </c>
      <c r="F442" s="6">
        <v>4.1969254909520597</v>
      </c>
      <c r="G442" s="6">
        <v>27.7113013920134</v>
      </c>
      <c r="H442" s="6">
        <v>1.9295016605026201</v>
      </c>
      <c r="I442" s="6">
        <v>3.3564823032340998</v>
      </c>
      <c r="J442" s="6">
        <v>34.345505168909703</v>
      </c>
      <c r="K442" s="6">
        <v>1.94583710461867</v>
      </c>
      <c r="L442" s="7">
        <v>239</v>
      </c>
    </row>
    <row r="443" spans="5:12" ht="15" customHeight="1">
      <c r="E443" s="6">
        <v>1.3506235849483501</v>
      </c>
      <c r="F443" s="6">
        <v>4.1912797589403503</v>
      </c>
      <c r="G443" s="6">
        <v>28.329302628890101</v>
      </c>
      <c r="H443" s="6">
        <v>2.0210943696476198</v>
      </c>
      <c r="I443" s="6">
        <v>3.60052793627949</v>
      </c>
      <c r="J443" s="6">
        <v>31.991715322215601</v>
      </c>
      <c r="K443" s="6">
        <v>1.9469365290303999</v>
      </c>
      <c r="L443" s="7">
        <v>238</v>
      </c>
    </row>
    <row r="444" spans="5:12" ht="15" customHeight="1">
      <c r="E444" s="6">
        <v>1.4358145878178401</v>
      </c>
      <c r="F444" s="6">
        <v>4.2506368203237699</v>
      </c>
      <c r="G444" s="6">
        <v>26.288744178037401</v>
      </c>
      <c r="H444" s="6">
        <v>1.9563115829477</v>
      </c>
      <c r="I444" s="6">
        <v>3.1718806602291201</v>
      </c>
      <c r="J444" s="6">
        <v>33.988347553663502</v>
      </c>
      <c r="K444" s="6">
        <v>1.9406757723763799</v>
      </c>
      <c r="L444" s="7">
        <v>237</v>
      </c>
    </row>
    <row r="445" spans="5:12" ht="15" customHeight="1">
      <c r="E445" s="6">
        <v>1.40644918625962</v>
      </c>
      <c r="F445" s="6">
        <v>4.1685316510083199</v>
      </c>
      <c r="G445" s="6">
        <v>26.889587475812501</v>
      </c>
      <c r="H445" s="6">
        <v>2.0324605962801998</v>
      </c>
      <c r="I445" s="6">
        <v>2.8973108364649298</v>
      </c>
      <c r="J445" s="6">
        <v>33.338180930705697</v>
      </c>
      <c r="K445" s="6">
        <v>1.93236973807526</v>
      </c>
      <c r="L445" s="7">
        <v>236</v>
      </c>
    </row>
    <row r="446" spans="5:12" ht="15" customHeight="1">
      <c r="E446" s="6">
        <v>1.4628420290106401</v>
      </c>
      <c r="F446" s="6">
        <v>4.1617115755862599</v>
      </c>
      <c r="G446" s="6">
        <v>27.295894349448901</v>
      </c>
      <c r="H446" s="6">
        <v>2.3223815258348601</v>
      </c>
      <c r="I446" s="6">
        <v>3.22497707998656</v>
      </c>
      <c r="J446" s="6">
        <v>30.3695264926356</v>
      </c>
      <c r="K446" s="6">
        <v>1.93749320867507</v>
      </c>
      <c r="L446" s="7">
        <v>235</v>
      </c>
    </row>
    <row r="447" spans="5:12" ht="15" customHeight="1">
      <c r="E447" s="6">
        <v>1.5400297698608301</v>
      </c>
      <c r="F447" s="6">
        <v>4.22095912658546</v>
      </c>
      <c r="G447" s="6">
        <v>29.4545950783391</v>
      </c>
      <c r="H447" s="6">
        <v>1.9476933751196099</v>
      </c>
      <c r="I447" s="6">
        <v>3.0162580777893901</v>
      </c>
      <c r="J447" s="6">
        <v>31.549077695165199</v>
      </c>
      <c r="K447" s="6">
        <v>1.91218107348661</v>
      </c>
      <c r="L447" s="7">
        <v>234</v>
      </c>
    </row>
    <row r="448" spans="5:12" ht="15" customHeight="1">
      <c r="E448" s="6">
        <v>1.22748273913563</v>
      </c>
      <c r="F448" s="6">
        <v>4.2035352744325101</v>
      </c>
      <c r="G448" s="6">
        <v>25.336368032331599</v>
      </c>
      <c r="H448" s="6">
        <v>1.8484900361332799</v>
      </c>
      <c r="I448" s="6">
        <v>3.2691459845822899</v>
      </c>
      <c r="J448" s="6">
        <v>32.834213152589101</v>
      </c>
      <c r="K448" s="6">
        <v>1.9139211264429701</v>
      </c>
      <c r="L448" s="7">
        <v>233</v>
      </c>
    </row>
    <row r="449" spans="5:12" ht="15" customHeight="1">
      <c r="E449" s="6">
        <v>1.2838559986915501</v>
      </c>
      <c r="F449" s="6">
        <v>4.14218282461285</v>
      </c>
      <c r="G449" s="6">
        <v>26.290658134661999</v>
      </c>
      <c r="H449" s="6">
        <v>2.1530338429354998</v>
      </c>
      <c r="I449" s="6">
        <v>3.2180571319544802</v>
      </c>
      <c r="J449" s="6">
        <v>31.487330128004199</v>
      </c>
      <c r="K449" s="6">
        <v>1.9113697206676601</v>
      </c>
      <c r="L449" s="7">
        <v>232</v>
      </c>
    </row>
    <row r="450" spans="5:12" ht="15" customHeight="1">
      <c r="E450" s="6">
        <v>1.26745825441323</v>
      </c>
      <c r="F450" s="6">
        <v>4.1961829376000601</v>
      </c>
      <c r="G450" s="6">
        <v>25.6736941308944</v>
      </c>
      <c r="H450" s="6">
        <v>2.1712795139458798</v>
      </c>
      <c r="I450" s="6">
        <v>2.9879474410300899</v>
      </c>
      <c r="J450" s="6">
        <v>34.889040963303401</v>
      </c>
      <c r="K450" s="6">
        <v>1.90265667579144</v>
      </c>
      <c r="L450" s="7">
        <v>231</v>
      </c>
    </row>
    <row r="451" spans="5:12" ht="15" customHeight="1">
      <c r="E451" s="6">
        <v>1.53106238445275</v>
      </c>
      <c r="F451" s="6">
        <v>4.1892022053143201</v>
      </c>
      <c r="G451" s="6">
        <v>25.720475278661802</v>
      </c>
      <c r="H451" s="6">
        <v>2.0943074453826398</v>
      </c>
      <c r="I451" s="6">
        <v>3.1929075169572201</v>
      </c>
      <c r="J451" s="6">
        <v>31.264947713131001</v>
      </c>
      <c r="K451" s="6">
        <v>1.90064665302545</v>
      </c>
      <c r="L451" s="7">
        <v>230</v>
      </c>
    </row>
    <row r="452" spans="5:12" ht="15" customHeight="1">
      <c r="E452" s="6">
        <v>1.3977047513490299</v>
      </c>
      <c r="F452" s="6">
        <v>4.2233192690999202</v>
      </c>
      <c r="G452" s="6">
        <v>28.3842114916932</v>
      </c>
      <c r="H452" s="6">
        <v>2.0677545313448098</v>
      </c>
      <c r="I452" s="6">
        <v>3.7116196974485098</v>
      </c>
      <c r="J452" s="6">
        <v>35.133674786855899</v>
      </c>
      <c r="K452" s="6">
        <v>1.8954448763610401</v>
      </c>
      <c r="L452" s="7">
        <v>229</v>
      </c>
    </row>
    <row r="453" spans="5:12" ht="15" customHeight="1">
      <c r="E453" s="6">
        <v>1.41250471508183</v>
      </c>
      <c r="F453" s="6">
        <v>4.0876319813760196</v>
      </c>
      <c r="G453" s="6">
        <v>27.108417083983799</v>
      </c>
      <c r="H453" s="6">
        <v>1.9451817639171001</v>
      </c>
      <c r="I453" s="6">
        <v>3.3207324025524101</v>
      </c>
      <c r="J453" s="6">
        <v>31.895515125282198</v>
      </c>
      <c r="K453" s="6">
        <v>1.8915612545432201</v>
      </c>
      <c r="L453" s="7">
        <v>228</v>
      </c>
    </row>
    <row r="454" spans="5:12" ht="15" customHeight="1">
      <c r="E454" s="6">
        <v>1.4277181561277399</v>
      </c>
      <c r="F454" s="6">
        <v>4.2167822932943997</v>
      </c>
      <c r="G454" s="6">
        <v>26.2534909801407</v>
      </c>
      <c r="H454" s="6">
        <v>2.05887751371717</v>
      </c>
      <c r="I454" s="6">
        <v>3.2183676264729</v>
      </c>
      <c r="J454" s="6">
        <v>32.778544599036401</v>
      </c>
      <c r="K454" s="6">
        <v>1.8790944719485401</v>
      </c>
      <c r="L454" s="7">
        <v>227</v>
      </c>
    </row>
    <row r="455" spans="5:12" ht="15" customHeight="1">
      <c r="E455" s="6">
        <v>1.3140925352783599</v>
      </c>
      <c r="F455" s="6">
        <v>4.2169047820406202</v>
      </c>
      <c r="G455" s="6">
        <v>27.149406341520901</v>
      </c>
      <c r="H455" s="6">
        <v>2.03086631323835</v>
      </c>
      <c r="I455" s="6">
        <v>2.9948915567054502</v>
      </c>
      <c r="J455" s="6">
        <v>33.779330510931999</v>
      </c>
      <c r="K455" s="6">
        <v>1.88373791159633</v>
      </c>
      <c r="L455" s="7">
        <v>226</v>
      </c>
    </row>
    <row r="456" spans="5:12" ht="15" customHeight="1">
      <c r="E456" s="6">
        <v>1.4273272479868899</v>
      </c>
      <c r="F456" s="6">
        <v>4.2484156643819198</v>
      </c>
      <c r="G456" s="6">
        <v>25.546962522552299</v>
      </c>
      <c r="H456" s="6">
        <v>1.9954233491173701</v>
      </c>
      <c r="I456" s="6">
        <v>3.9122713161926401</v>
      </c>
      <c r="J456" s="6">
        <v>29.377902187382301</v>
      </c>
      <c r="K456" s="6">
        <v>1.87156014608688</v>
      </c>
      <c r="L456" s="7">
        <v>225</v>
      </c>
    </row>
    <row r="457" spans="5:12" ht="15" customHeight="1">
      <c r="E457" s="6">
        <v>1.3882244925409299</v>
      </c>
      <c r="F457" s="6">
        <v>4.1903608821587301</v>
      </c>
      <c r="G457" s="6">
        <v>25.051679356169</v>
      </c>
      <c r="H457" s="6">
        <v>2.0482756144583498</v>
      </c>
      <c r="I457" s="6">
        <v>3.8269939331004799</v>
      </c>
      <c r="J457" s="6">
        <v>33.380948869464703</v>
      </c>
      <c r="K457" s="6">
        <v>1.87161701761859</v>
      </c>
      <c r="L457" s="7">
        <v>224</v>
      </c>
    </row>
    <row r="458" spans="5:12" ht="15" customHeight="1">
      <c r="E458" s="6">
        <v>1.36620829648274</v>
      </c>
      <c r="F458" s="6">
        <v>4.1819911893490804</v>
      </c>
      <c r="G458" s="6">
        <v>26.9703549734141</v>
      </c>
      <c r="H458" s="6">
        <v>2.1860051254541402</v>
      </c>
      <c r="I458" s="6">
        <v>3.4963397414509001</v>
      </c>
      <c r="J458" s="6">
        <v>33.362364565465001</v>
      </c>
      <c r="K458" s="6">
        <v>1.86792258367994</v>
      </c>
      <c r="L458" s="7">
        <v>223</v>
      </c>
    </row>
    <row r="459" spans="5:12" ht="15" customHeight="1">
      <c r="E459" s="6">
        <v>1.58503132385199</v>
      </c>
      <c r="F459" s="6">
        <v>4.2381482016786904</v>
      </c>
      <c r="G459" s="6">
        <v>29.2376416190668</v>
      </c>
      <c r="H459" s="6">
        <v>2.1278969275380399</v>
      </c>
      <c r="I459" s="6">
        <v>3.51179644903248</v>
      </c>
      <c r="J459" s="6">
        <v>34.455275125798401</v>
      </c>
      <c r="K459" s="6">
        <v>1.85265725777702</v>
      </c>
      <c r="L459" s="7">
        <v>222</v>
      </c>
    </row>
    <row r="460" spans="5:12" ht="15" customHeight="1">
      <c r="E460" s="6">
        <v>1.3204169959641301</v>
      </c>
      <c r="F460" s="6">
        <v>4.2023975252755301</v>
      </c>
      <c r="G460" s="6">
        <v>26.688140096953202</v>
      </c>
      <c r="H460" s="6">
        <v>2.0607925015200799</v>
      </c>
      <c r="I460" s="6">
        <v>3.6832003960558302</v>
      </c>
      <c r="J460" s="6">
        <v>30.688258425392</v>
      </c>
      <c r="K460" s="6">
        <v>1.8530106491376801</v>
      </c>
      <c r="L460" s="7">
        <v>221</v>
      </c>
    </row>
    <row r="461" spans="5:12" ht="15" customHeight="1">
      <c r="E461" s="6">
        <v>1.46314770306994</v>
      </c>
      <c r="F461" s="6">
        <v>4.2551057051405801</v>
      </c>
      <c r="G461" s="6">
        <v>25.2833007620793</v>
      </c>
      <c r="H461" s="6">
        <v>1.9735433931434301</v>
      </c>
      <c r="I461" s="6">
        <v>3.40864906373274</v>
      </c>
      <c r="J461" s="6">
        <v>34.488293406981803</v>
      </c>
      <c r="K461" s="6">
        <v>1.8544258607566</v>
      </c>
      <c r="L461" s="7">
        <v>220</v>
      </c>
    </row>
    <row r="462" spans="5:12" ht="15" customHeight="1">
      <c r="E462" s="6">
        <v>1.51194186426639</v>
      </c>
      <c r="F462" s="6">
        <v>4.1871354468190001</v>
      </c>
      <c r="G462" s="6">
        <v>28.010486677750201</v>
      </c>
      <c r="H462" s="6">
        <v>1.9974016828707399</v>
      </c>
      <c r="I462" s="6">
        <v>3.6335847006683299</v>
      </c>
      <c r="J462" s="6">
        <v>31.862042539980902</v>
      </c>
      <c r="K462" s="6">
        <v>1.8522428177432599</v>
      </c>
      <c r="L462" s="7">
        <v>219</v>
      </c>
    </row>
    <row r="463" spans="5:12" ht="15" customHeight="1">
      <c r="E463" s="6">
        <v>1.3565139051403501</v>
      </c>
      <c r="F463" s="6">
        <v>4.1938392821569499</v>
      </c>
      <c r="G463" s="6">
        <v>27.8914248356587</v>
      </c>
      <c r="H463" s="6">
        <v>2.0331289672739099</v>
      </c>
      <c r="I463" s="6">
        <v>3.01850948034174</v>
      </c>
      <c r="J463" s="6">
        <v>35.489719948175598</v>
      </c>
      <c r="K463" s="6">
        <v>1.8424337043893799</v>
      </c>
      <c r="L463" s="7">
        <v>218</v>
      </c>
    </row>
    <row r="464" spans="5:12" ht="15" customHeight="1">
      <c r="E464" s="6">
        <v>1.59512457776422</v>
      </c>
      <c r="F464" s="6">
        <v>4.2154739586205201</v>
      </c>
      <c r="G464" s="6">
        <v>25.1359505443674</v>
      </c>
      <c r="H464" s="6">
        <v>1.99464529962381</v>
      </c>
      <c r="I464" s="6">
        <v>3.1606350375083401</v>
      </c>
      <c r="J464" s="6">
        <v>38.135147892096398</v>
      </c>
      <c r="K464" s="6">
        <v>1.83960875740112</v>
      </c>
      <c r="L464" s="7">
        <v>217</v>
      </c>
    </row>
    <row r="465" spans="5:12" ht="15" customHeight="1">
      <c r="E465" s="6">
        <v>1.44528115070868</v>
      </c>
      <c r="F465" s="6">
        <v>4.22390440855128</v>
      </c>
      <c r="G465" s="6">
        <v>26.413880372958701</v>
      </c>
      <c r="H465" s="6">
        <v>2.09822660405327</v>
      </c>
      <c r="I465" s="6">
        <v>3.9419826624046599</v>
      </c>
      <c r="J465" s="6">
        <v>34.071929350694198</v>
      </c>
      <c r="K465" s="6">
        <v>1.8274387131101399</v>
      </c>
      <c r="L465" s="7">
        <v>216</v>
      </c>
    </row>
    <row r="466" spans="5:12" ht="15" customHeight="1">
      <c r="E466" s="6">
        <v>1.5193726305473301</v>
      </c>
      <c r="F466" s="6">
        <v>4.1793265277544904</v>
      </c>
      <c r="G466" s="6">
        <v>24.8596097976436</v>
      </c>
      <c r="H466" s="6">
        <v>2.0827224180561701</v>
      </c>
      <c r="I466" s="6">
        <v>4.0982807661157201</v>
      </c>
      <c r="J466" s="6">
        <v>33.237811880962902</v>
      </c>
      <c r="K466" s="6">
        <v>1.8232805507249199</v>
      </c>
      <c r="L466" s="7">
        <v>215</v>
      </c>
    </row>
    <row r="467" spans="5:12" ht="15" customHeight="1">
      <c r="E467" s="6">
        <v>1.5391638900033</v>
      </c>
      <c r="F467" s="6">
        <v>4.2755831580685904</v>
      </c>
      <c r="G467" s="6">
        <v>28.8400804253742</v>
      </c>
      <c r="H467" s="6">
        <v>2.1046992329345899</v>
      </c>
      <c r="I467" s="6">
        <v>3.37122631897202</v>
      </c>
      <c r="J467" s="6">
        <v>32.636574832851103</v>
      </c>
      <c r="K467" s="6">
        <v>1.82007258671121</v>
      </c>
      <c r="L467" s="7">
        <v>214</v>
      </c>
    </row>
    <row r="468" spans="5:12" ht="15" customHeight="1">
      <c r="E468" s="6">
        <v>1.1898920810381299</v>
      </c>
      <c r="F468" s="6">
        <v>4.2294635261692504</v>
      </c>
      <c r="G468" s="6">
        <v>24.0848857735851</v>
      </c>
      <c r="H468" s="6">
        <v>2.0747092094137898</v>
      </c>
      <c r="I468" s="6">
        <v>2.8972497449488199</v>
      </c>
      <c r="J468" s="6">
        <v>38.388721405554101</v>
      </c>
      <c r="K468" s="6">
        <v>1.8237568523832</v>
      </c>
      <c r="L468" s="7">
        <v>213</v>
      </c>
    </row>
    <row r="469" spans="5:12" ht="15" customHeight="1">
      <c r="E469" s="6">
        <v>1.2863157166692401</v>
      </c>
      <c r="F469" s="6">
        <v>4.15678840800879</v>
      </c>
      <c r="G469" s="6">
        <v>26.0143609617656</v>
      </c>
      <c r="H469" s="6">
        <v>2.00443768773764</v>
      </c>
      <c r="I469" s="6">
        <v>3.4062490916691601</v>
      </c>
      <c r="J469" s="6">
        <v>29.914774268316599</v>
      </c>
      <c r="K469" s="6">
        <v>1.8167774828083401</v>
      </c>
      <c r="L469" s="7">
        <v>212</v>
      </c>
    </row>
    <row r="470" spans="5:12" ht="15" customHeight="1">
      <c r="E470" s="6">
        <v>1.3422409811774101</v>
      </c>
      <c r="F470" s="6">
        <v>4.2957455961093096</v>
      </c>
      <c r="G470" s="6">
        <v>26.666859459556399</v>
      </c>
      <c r="H470" s="6">
        <v>2.20069355617207</v>
      </c>
      <c r="I470" s="6">
        <v>3.2706694947723798</v>
      </c>
      <c r="J470" s="6">
        <v>31.826417061814599</v>
      </c>
      <c r="K470" s="6">
        <v>1.8047448580274601</v>
      </c>
      <c r="L470" s="7">
        <v>211</v>
      </c>
    </row>
    <row r="471" spans="5:12" ht="15" customHeight="1">
      <c r="E471" s="6">
        <v>1.4362714570694399</v>
      </c>
      <c r="F471" s="6">
        <v>4.1472916591973297</v>
      </c>
      <c r="G471" s="6">
        <v>28.860133355893101</v>
      </c>
      <c r="H471" s="6">
        <v>2.0182071790156599</v>
      </c>
      <c r="I471" s="6">
        <v>4.1629980454711299</v>
      </c>
      <c r="J471" s="6">
        <v>33.437738664668203</v>
      </c>
      <c r="K471" s="6">
        <v>1.8006339889671701</v>
      </c>
      <c r="L471" s="7">
        <v>210</v>
      </c>
    </row>
    <row r="472" spans="5:12" ht="15" customHeight="1">
      <c r="E472" s="6">
        <v>1.40091483993863</v>
      </c>
      <c r="F472" s="6">
        <v>4.16601627988062</v>
      </c>
      <c r="G472" s="6">
        <v>28.607637280100199</v>
      </c>
      <c r="H472" s="6">
        <v>2.0519605192952799</v>
      </c>
      <c r="I472" s="6">
        <v>3.5096898043934699</v>
      </c>
      <c r="J472" s="6">
        <v>31.865282329883101</v>
      </c>
      <c r="K472" s="6">
        <v>1.79601429063455</v>
      </c>
      <c r="L472" s="7">
        <v>209</v>
      </c>
    </row>
    <row r="473" spans="5:12" ht="15" customHeight="1">
      <c r="E473" s="6">
        <v>1.3154560789954399</v>
      </c>
      <c r="F473" s="6">
        <v>4.1728583452347401</v>
      </c>
      <c r="G473" s="6">
        <v>27.032302132633198</v>
      </c>
      <c r="H473" s="6">
        <v>2.0291812601180199</v>
      </c>
      <c r="I473" s="6">
        <v>3.6179363794391901</v>
      </c>
      <c r="J473" s="6">
        <v>33.996578971427802</v>
      </c>
      <c r="K473" s="6">
        <v>1.7897035889307999</v>
      </c>
      <c r="L473" s="7">
        <v>208</v>
      </c>
    </row>
    <row r="474" spans="5:12" ht="15" customHeight="1">
      <c r="E474" s="6">
        <v>1.45014015521303</v>
      </c>
      <c r="F474" s="6">
        <v>4.22191078153429</v>
      </c>
      <c r="G474" s="6">
        <v>24.482832028187101</v>
      </c>
      <c r="H474" s="6">
        <v>1.85741241603587</v>
      </c>
      <c r="I474" s="6">
        <v>3.7669533512347502</v>
      </c>
      <c r="J474" s="6">
        <v>30.6512256074889</v>
      </c>
      <c r="K474" s="6">
        <v>1.7846694190205801</v>
      </c>
      <c r="L474" s="7">
        <v>207</v>
      </c>
    </row>
    <row r="475" spans="5:12" ht="15" customHeight="1">
      <c r="E475" s="6">
        <v>1.2379724941347401</v>
      </c>
      <c r="F475" s="6">
        <v>4.2026418224877098</v>
      </c>
      <c r="G475" s="6">
        <v>26.675519082072</v>
      </c>
      <c r="H475" s="6">
        <v>1.93501444686577</v>
      </c>
      <c r="I475" s="6">
        <v>3.3684162322396798</v>
      </c>
      <c r="J475" s="6">
        <v>32.986452741498702</v>
      </c>
      <c r="K475" s="6">
        <v>1.77289501296031</v>
      </c>
      <c r="L475" s="7">
        <v>206</v>
      </c>
    </row>
    <row r="476" spans="5:12" ht="15" customHeight="1">
      <c r="E476" s="6">
        <v>1.3545809029570799</v>
      </c>
      <c r="F476" s="6">
        <v>4.2158120531316197</v>
      </c>
      <c r="G476" s="6">
        <v>26.515068118557799</v>
      </c>
      <c r="H476" s="6">
        <v>2.0788562759062601</v>
      </c>
      <c r="I476" s="6">
        <v>3.7861750314576499</v>
      </c>
      <c r="J476" s="6">
        <v>33.633689767319602</v>
      </c>
      <c r="K476" s="6">
        <v>1.76441779895726</v>
      </c>
      <c r="L476" s="7">
        <v>205</v>
      </c>
    </row>
    <row r="477" spans="5:12" ht="15" customHeight="1">
      <c r="E477" s="6">
        <v>1.44169365554804</v>
      </c>
      <c r="F477" s="6">
        <v>4.1562130276016598</v>
      </c>
      <c r="G477" s="6">
        <v>26.445414397022301</v>
      </c>
      <c r="H477" s="6">
        <v>1.99242381444159</v>
      </c>
      <c r="I477" s="6">
        <v>3.62763305520614</v>
      </c>
      <c r="J477" s="6">
        <v>33.493319808394197</v>
      </c>
      <c r="K477" s="6">
        <v>1.77221305977322</v>
      </c>
      <c r="L477" s="7">
        <v>204</v>
      </c>
    </row>
    <row r="478" spans="5:12" ht="15" customHeight="1">
      <c r="E478" s="6">
        <v>1.3134162433501599</v>
      </c>
      <c r="F478" s="6">
        <v>4.2216149116976496</v>
      </c>
      <c r="G478" s="6">
        <v>26.484182343550899</v>
      </c>
      <c r="H478" s="6">
        <v>1.9579063074068599</v>
      </c>
      <c r="I478" s="6">
        <v>3.9377351502265698</v>
      </c>
      <c r="J478" s="6">
        <v>36.793273453204797</v>
      </c>
      <c r="K478" s="6">
        <v>1.77330251754849</v>
      </c>
      <c r="L478" s="7">
        <v>203</v>
      </c>
    </row>
    <row r="479" spans="5:12" ht="15" customHeight="1">
      <c r="E479" s="6">
        <v>1.4380980422237599</v>
      </c>
      <c r="F479" s="6">
        <v>4.1483734022825196</v>
      </c>
      <c r="G479" s="6">
        <v>24.527469342456801</v>
      </c>
      <c r="H479" s="6">
        <v>1.89486707849795</v>
      </c>
      <c r="I479" s="6">
        <v>3.4032474591069901</v>
      </c>
      <c r="J479" s="6">
        <v>31.511715570408899</v>
      </c>
      <c r="K479" s="6">
        <v>1.7636130764987299</v>
      </c>
      <c r="L479" s="7">
        <v>202</v>
      </c>
    </row>
    <row r="480" spans="5:12" ht="15" customHeight="1">
      <c r="E480" s="6">
        <v>1.63971168691514</v>
      </c>
      <c r="F480" s="6">
        <v>4.2550269048007303</v>
      </c>
      <c r="G480" s="6">
        <v>28.499856971299199</v>
      </c>
      <c r="H480" s="6">
        <v>2.0171263054889201</v>
      </c>
      <c r="I480" s="6">
        <v>3.76283784795412</v>
      </c>
      <c r="J480" s="6">
        <v>33.417981186154798</v>
      </c>
      <c r="K480" s="6">
        <v>1.7574834220209901</v>
      </c>
      <c r="L480" s="7">
        <v>201</v>
      </c>
    </row>
    <row r="481" spans="5:12" ht="15" customHeight="1">
      <c r="E481" s="6">
        <v>1.4739941315030101</v>
      </c>
      <c r="F481" s="6">
        <v>4.1710944944182904</v>
      </c>
      <c r="G481" s="6">
        <v>25.637178839313201</v>
      </c>
      <c r="H481" s="6">
        <v>1.8429403002218701</v>
      </c>
      <c r="I481" s="6">
        <v>2.7332579393871801</v>
      </c>
      <c r="J481" s="6">
        <v>34.4883559462858</v>
      </c>
      <c r="K481" s="6">
        <v>1.7390843398940801</v>
      </c>
      <c r="L481" s="7">
        <v>200</v>
      </c>
    </row>
    <row r="482" spans="5:12" ht="15" customHeight="1">
      <c r="E482" s="6">
        <v>1.38095521210352</v>
      </c>
      <c r="F482" s="6">
        <v>4.17040061920477</v>
      </c>
      <c r="G482" s="6">
        <v>27.474212346236801</v>
      </c>
      <c r="H482" s="6">
        <v>2.0404958622779401</v>
      </c>
      <c r="I482" s="6">
        <v>3.68402810603855</v>
      </c>
      <c r="J482" s="6">
        <v>32.970867867170298</v>
      </c>
      <c r="K482" s="6">
        <v>1.74444689078405</v>
      </c>
      <c r="L482" s="7">
        <v>199</v>
      </c>
    </row>
    <row r="483" spans="5:12" ht="15" customHeight="1">
      <c r="E483" s="6">
        <v>1.34565744898409</v>
      </c>
      <c r="F483" s="6">
        <v>4.2144720977207397</v>
      </c>
      <c r="G483" s="6">
        <v>24.364512118874099</v>
      </c>
      <c r="H483" s="6">
        <v>2.0617160311923399</v>
      </c>
      <c r="I483" s="6">
        <v>4.3635481184784499</v>
      </c>
      <c r="J483" s="6">
        <v>32.4658536206938</v>
      </c>
      <c r="K483" s="6">
        <v>1.7228305715876699</v>
      </c>
      <c r="L483" s="7">
        <v>198</v>
      </c>
    </row>
    <row r="484" spans="5:12" ht="15" customHeight="1">
      <c r="E484" s="6">
        <v>1.25546282603811</v>
      </c>
      <c r="F484" s="6">
        <v>4.1798193256087401</v>
      </c>
      <c r="G484" s="6">
        <v>30.0346808672994</v>
      </c>
      <c r="H484" s="6">
        <v>2.2425304563940598</v>
      </c>
      <c r="I484" s="6">
        <v>3.4604613032540299</v>
      </c>
      <c r="J484" s="6">
        <v>27.795611266372699</v>
      </c>
      <c r="K484" s="6">
        <v>1.7358920687772199</v>
      </c>
      <c r="L484" s="7">
        <v>197</v>
      </c>
    </row>
    <row r="485" spans="5:12" ht="15" customHeight="1">
      <c r="E485" s="6">
        <v>1.4390786881220201</v>
      </c>
      <c r="F485" s="6">
        <v>4.1862975158214804</v>
      </c>
      <c r="G485" s="6">
        <v>27.432637768343199</v>
      </c>
      <c r="H485" s="6">
        <v>2.0690305948965402</v>
      </c>
      <c r="I485" s="6">
        <v>3.7442322977468798</v>
      </c>
      <c r="J485" s="6">
        <v>35.744322155688103</v>
      </c>
      <c r="K485" s="6">
        <v>1.7282952308289701</v>
      </c>
      <c r="L485" s="7">
        <v>196</v>
      </c>
    </row>
    <row r="486" spans="5:12" ht="15" customHeight="1">
      <c r="E486" s="6">
        <v>1.32034065386558</v>
      </c>
      <c r="F486" s="6">
        <v>4.2491765410341404</v>
      </c>
      <c r="G486" s="6">
        <v>27.271084954775802</v>
      </c>
      <c r="H486" s="6">
        <v>2.13632528928528</v>
      </c>
      <c r="I486" s="6">
        <v>3.2758738792593101</v>
      </c>
      <c r="J486" s="6">
        <v>37.1386634885502</v>
      </c>
      <c r="K486" s="6">
        <v>1.72329631055069</v>
      </c>
      <c r="L486" s="7">
        <v>195</v>
      </c>
    </row>
    <row r="487" spans="5:12" ht="15" customHeight="1">
      <c r="E487" s="6">
        <v>1.3849308246946199</v>
      </c>
      <c r="F487" s="6">
        <v>4.1906660335354902</v>
      </c>
      <c r="G487" s="6">
        <v>25.347738391135199</v>
      </c>
      <c r="H487" s="6">
        <v>2.0667355973711201</v>
      </c>
      <c r="I487" s="6">
        <v>3.2628387725642201</v>
      </c>
      <c r="J487" s="6">
        <v>33.488101758758603</v>
      </c>
      <c r="K487" s="6">
        <v>1.7217064842396601</v>
      </c>
      <c r="L487" s="7">
        <v>194</v>
      </c>
    </row>
    <row r="488" spans="5:12" ht="15" customHeight="1">
      <c r="E488" s="6">
        <v>1.4171771313580299</v>
      </c>
      <c r="F488" s="6">
        <v>4.1864596471457798</v>
      </c>
      <c r="G488" s="6">
        <v>25.6710461453672</v>
      </c>
      <c r="H488" s="6">
        <v>1.85876271555741</v>
      </c>
      <c r="I488" s="6">
        <v>3.6506512216871698</v>
      </c>
      <c r="J488" s="6">
        <v>31.901724912407499</v>
      </c>
      <c r="K488" s="6">
        <v>1.71548624323579</v>
      </c>
      <c r="L488" s="7">
        <v>193</v>
      </c>
    </row>
    <row r="489" spans="5:12" ht="15" customHeight="1">
      <c r="E489" s="6">
        <v>1.3277765535880599</v>
      </c>
      <c r="F489" s="6">
        <v>4.1969075847516004</v>
      </c>
      <c r="G489" s="6">
        <v>26.0393566238258</v>
      </c>
      <c r="H489" s="6">
        <v>1.92848855734623</v>
      </c>
      <c r="I489" s="6">
        <v>3.4878776451942399</v>
      </c>
      <c r="J489" s="6">
        <v>31.586002055678399</v>
      </c>
      <c r="K489" s="6">
        <v>1.71210197917677</v>
      </c>
      <c r="L489" s="7">
        <v>192</v>
      </c>
    </row>
    <row r="490" spans="5:12" ht="15" customHeight="1">
      <c r="E490" s="6">
        <v>1.2531222714199799</v>
      </c>
      <c r="F490" s="6">
        <v>4.1714526573809003</v>
      </c>
      <c r="G490" s="6">
        <v>24.290418217379699</v>
      </c>
      <c r="H490" s="6">
        <v>2.0300775787492902</v>
      </c>
      <c r="I490" s="6">
        <v>3.5682603073631198</v>
      </c>
      <c r="J490" s="6">
        <v>34.232246117665397</v>
      </c>
      <c r="K490" s="6">
        <v>1.6973421963409101</v>
      </c>
      <c r="L490" s="7">
        <v>191</v>
      </c>
    </row>
    <row r="491" spans="5:12" ht="15" customHeight="1">
      <c r="E491" s="6">
        <v>1.4116568455137599</v>
      </c>
      <c r="F491" s="6">
        <v>4.1818157136801801</v>
      </c>
      <c r="G491" s="6">
        <v>26.647881642477799</v>
      </c>
      <c r="H491" s="6">
        <v>2.06606811039839</v>
      </c>
      <c r="I491" s="6">
        <v>3.4707183397034198</v>
      </c>
      <c r="J491" s="6">
        <v>33.5704687516277</v>
      </c>
      <c r="K491" s="6">
        <v>1.7093281093174599</v>
      </c>
      <c r="L491" s="7">
        <v>190</v>
      </c>
    </row>
    <row r="492" spans="5:12" ht="15" customHeight="1">
      <c r="E492" s="6">
        <v>1.50196757549774</v>
      </c>
      <c r="F492" s="6">
        <v>4.2710282699846003</v>
      </c>
      <c r="G492" s="6">
        <v>24.367359381991498</v>
      </c>
      <c r="H492" s="6">
        <v>1.90913149103067</v>
      </c>
      <c r="I492" s="6">
        <v>3.67896590241984</v>
      </c>
      <c r="J492" s="6">
        <v>32.131832594028197</v>
      </c>
      <c r="K492" s="6">
        <v>1.69582091171566</v>
      </c>
      <c r="L492" s="7">
        <v>189</v>
      </c>
    </row>
    <row r="493" spans="5:12" ht="15" customHeight="1">
      <c r="E493" s="6">
        <v>1.28100481616061</v>
      </c>
      <c r="F493" s="6">
        <v>4.2080001662058599</v>
      </c>
      <c r="G493" s="6">
        <v>28.886720743594399</v>
      </c>
      <c r="H493" s="6">
        <v>2.06097240401049</v>
      </c>
      <c r="I493" s="6">
        <v>3.2021068217698598</v>
      </c>
      <c r="J493" s="6">
        <v>33.486346676774602</v>
      </c>
      <c r="K493" s="6">
        <v>1.68280286113678</v>
      </c>
      <c r="L493" s="7">
        <v>188</v>
      </c>
    </row>
    <row r="494" spans="5:12" ht="15" customHeight="1">
      <c r="E494" s="6">
        <v>1.54850000745995</v>
      </c>
      <c r="F494" s="6">
        <v>4.2544337629345099</v>
      </c>
      <c r="G494" s="6">
        <v>27.2489011832849</v>
      </c>
      <c r="H494" s="6">
        <v>1.9733374348029999</v>
      </c>
      <c r="I494" s="6">
        <v>3.3303491474236502</v>
      </c>
      <c r="J494" s="6">
        <v>32.7807279602969</v>
      </c>
      <c r="K494" s="6">
        <v>1.67990785135347</v>
      </c>
      <c r="L494" s="7">
        <v>187</v>
      </c>
    </row>
    <row r="495" spans="5:12" ht="15" customHeight="1">
      <c r="E495" s="6">
        <v>1.4035576565463901</v>
      </c>
      <c r="F495" s="6">
        <v>4.2350001375274999</v>
      </c>
      <c r="G495" s="6">
        <v>27.248602443284302</v>
      </c>
      <c r="H495" s="6">
        <v>1.79138142054787</v>
      </c>
      <c r="I495" s="6">
        <v>3.20904777647503</v>
      </c>
      <c r="J495" s="6">
        <v>29.556984786723898</v>
      </c>
      <c r="K495" s="6">
        <v>1.68003601349432</v>
      </c>
      <c r="L495" s="7">
        <v>186</v>
      </c>
    </row>
    <row r="496" spans="5:12" ht="15" customHeight="1">
      <c r="E496" s="6">
        <v>1.46973756422963</v>
      </c>
      <c r="F496" s="6">
        <v>4.0875600291317102</v>
      </c>
      <c r="G496" s="6">
        <v>29.918892644626901</v>
      </c>
      <c r="H496" s="6">
        <v>1.96051137770422</v>
      </c>
      <c r="I496" s="6">
        <v>3.77096838196378</v>
      </c>
      <c r="J496" s="6">
        <v>28.8867117888589</v>
      </c>
      <c r="K496" s="6">
        <v>1.6756125029178</v>
      </c>
      <c r="L496" s="7">
        <v>185</v>
      </c>
    </row>
    <row r="497" spans="5:12" ht="15" customHeight="1">
      <c r="E497" s="6">
        <v>1.51857189076869</v>
      </c>
      <c r="F497" s="6">
        <v>4.1952224541174399</v>
      </c>
      <c r="G497" s="6">
        <v>24.3998061303596</v>
      </c>
      <c r="H497" s="6">
        <v>2.0116515263102701</v>
      </c>
      <c r="I497" s="6">
        <v>3.75742433961583</v>
      </c>
      <c r="J497" s="6">
        <v>35.444501846783098</v>
      </c>
      <c r="K497" s="6">
        <v>1.6697825725525599</v>
      </c>
      <c r="L497" s="7">
        <v>184</v>
      </c>
    </row>
    <row r="498" spans="5:12" ht="15" customHeight="1">
      <c r="E498" s="6">
        <v>1.4858416716484799</v>
      </c>
      <c r="F498" s="6">
        <v>4.24161657114385</v>
      </c>
      <c r="G498" s="6">
        <v>26.603108611001201</v>
      </c>
      <c r="H498" s="6">
        <v>1.94402885726101</v>
      </c>
      <c r="I498" s="6">
        <v>3.68326327965503</v>
      </c>
      <c r="J498" s="6">
        <v>29.944900282173101</v>
      </c>
      <c r="K498" s="6">
        <v>1.66781521911603</v>
      </c>
      <c r="L498" s="7">
        <v>183</v>
      </c>
    </row>
    <row r="499" spans="5:12" ht="15" customHeight="1">
      <c r="E499" s="6">
        <v>1.4523937051445499</v>
      </c>
      <c r="F499" s="6">
        <v>4.2614580262247497</v>
      </c>
      <c r="G499" s="6">
        <v>25.6812285609697</v>
      </c>
      <c r="H499" s="6">
        <v>1.8485633619513899</v>
      </c>
      <c r="I499" s="6">
        <v>3.12010472910847</v>
      </c>
      <c r="J499" s="6">
        <v>34.484878488314799</v>
      </c>
      <c r="K499" s="6">
        <v>1.65507292117633</v>
      </c>
      <c r="L499" s="7">
        <v>182</v>
      </c>
    </row>
    <row r="500" spans="5:12" ht="15" customHeight="1">
      <c r="E500" s="6">
        <v>1.4102072626886599</v>
      </c>
      <c r="F500" s="6">
        <v>4.2182561837726196</v>
      </c>
      <c r="G500" s="6">
        <v>27.132223939409101</v>
      </c>
      <c r="H500" s="6">
        <v>2.0653549476294399</v>
      </c>
      <c r="I500" s="6">
        <v>3.0569505833250101</v>
      </c>
      <c r="J500" s="6">
        <v>31.045485488006602</v>
      </c>
      <c r="K500" s="6">
        <v>1.65592124640274</v>
      </c>
      <c r="L500" s="7">
        <v>181</v>
      </c>
    </row>
    <row r="501" spans="5:12" ht="15" customHeight="1">
      <c r="E501" s="6">
        <v>1.4134220336093599</v>
      </c>
      <c r="F501" s="6">
        <v>4.2570568745749497</v>
      </c>
      <c r="G501" s="6">
        <v>24.701004672272401</v>
      </c>
      <c r="H501" s="6">
        <v>1.9945733423324199</v>
      </c>
      <c r="I501" s="6">
        <v>3.5990339475385902</v>
      </c>
      <c r="J501" s="6">
        <v>33.650720936293901</v>
      </c>
      <c r="K501" s="6">
        <v>1.64045695998008</v>
      </c>
      <c r="L501" s="7">
        <v>180</v>
      </c>
    </row>
    <row r="502" spans="5:12" ht="15" customHeight="1">
      <c r="E502" s="6">
        <v>1.39386492124624</v>
      </c>
      <c r="F502" s="6">
        <v>4.25198239984356</v>
      </c>
      <c r="G502" s="6">
        <v>24.8044099483715</v>
      </c>
      <c r="H502" s="6">
        <v>1.9829841349625801</v>
      </c>
      <c r="I502" s="6">
        <v>3.1676135631752</v>
      </c>
      <c r="J502" s="6">
        <v>34.415300071536102</v>
      </c>
      <c r="K502" s="6">
        <v>1.64299651158869</v>
      </c>
      <c r="L502" s="7">
        <v>179</v>
      </c>
    </row>
    <row r="503" spans="5:12" ht="15" customHeight="1">
      <c r="E503" s="6">
        <v>1.4064337667675699</v>
      </c>
      <c r="F503" s="6">
        <v>4.2053952591205004</v>
      </c>
      <c r="G503" s="6">
        <v>27.062478541277098</v>
      </c>
      <c r="H503" s="6">
        <v>1.8062238920004801</v>
      </c>
      <c r="I503" s="6">
        <v>3.8990126498342201</v>
      </c>
      <c r="J503" s="6">
        <v>32.8012478629757</v>
      </c>
      <c r="K503" s="6">
        <v>1.6344794720372799</v>
      </c>
      <c r="L503" s="7">
        <v>178</v>
      </c>
    </row>
    <row r="504" spans="5:12" ht="15" customHeight="1">
      <c r="E504" s="6">
        <v>1.4282472176679699</v>
      </c>
      <c r="F504" s="6">
        <v>4.2509337487213399</v>
      </c>
      <c r="G504" s="6">
        <v>28.3148995372208</v>
      </c>
      <c r="H504" s="6">
        <v>1.8490964318983001</v>
      </c>
      <c r="I504" s="6">
        <v>3.6609879869675299</v>
      </c>
      <c r="J504" s="6">
        <v>32.026494777544002</v>
      </c>
      <c r="K504" s="6">
        <v>1.63032675708167</v>
      </c>
      <c r="L504" s="7">
        <v>177</v>
      </c>
    </row>
    <row r="505" spans="5:12" ht="15" customHeight="1">
      <c r="E505" s="6">
        <v>1.5245521843540299</v>
      </c>
      <c r="F505" s="6">
        <v>4.21747421904342</v>
      </c>
      <c r="G505" s="6">
        <v>25.500394395004701</v>
      </c>
      <c r="H505" s="6">
        <v>2.1138133418940801</v>
      </c>
      <c r="I505" s="6">
        <v>3.53932406308222</v>
      </c>
      <c r="J505" s="6">
        <v>32.742636210440899</v>
      </c>
      <c r="K505" s="6">
        <v>1.63657723485173</v>
      </c>
      <c r="L505" s="7">
        <v>176</v>
      </c>
    </row>
    <row r="506" spans="5:12" ht="15" customHeight="1">
      <c r="E506" s="6">
        <v>1.3277292708872901</v>
      </c>
      <c r="F506" s="6">
        <v>4.20891311806679</v>
      </c>
      <c r="G506" s="6">
        <v>25.628278719799798</v>
      </c>
      <c r="H506" s="6">
        <v>2.0484852323455001</v>
      </c>
      <c r="I506" s="6">
        <v>3.3404001649971602</v>
      </c>
      <c r="J506" s="6">
        <v>32.158371566056204</v>
      </c>
      <c r="K506" s="6">
        <v>1.63021124174264</v>
      </c>
      <c r="L506" s="7">
        <v>175</v>
      </c>
    </row>
    <row r="507" spans="5:12" ht="15" customHeight="1">
      <c r="E507" s="6">
        <v>1.37293964223854</v>
      </c>
      <c r="F507" s="6">
        <v>4.2620054216387997</v>
      </c>
      <c r="G507" s="6">
        <v>27.6277309974768</v>
      </c>
      <c r="H507" s="6">
        <v>2.0198959864727599</v>
      </c>
      <c r="I507" s="6">
        <v>3.4343232360564699</v>
      </c>
      <c r="J507" s="6">
        <v>31.561279937608901</v>
      </c>
      <c r="K507" s="6">
        <v>1.6292794619834501</v>
      </c>
      <c r="L507" s="7">
        <v>174</v>
      </c>
    </row>
    <row r="508" spans="5:12" ht="15" customHeight="1">
      <c r="E508" s="6">
        <v>1.43830880180623</v>
      </c>
      <c r="F508" s="6">
        <v>4.17992953886211</v>
      </c>
      <c r="G508" s="6">
        <v>28.1368966787646</v>
      </c>
      <c r="H508" s="6">
        <v>1.9596666758902099</v>
      </c>
      <c r="I508" s="6">
        <v>3.2986733488013198</v>
      </c>
      <c r="J508" s="6">
        <v>36.576137361401003</v>
      </c>
      <c r="K508" s="6">
        <v>1.6110655044323201</v>
      </c>
      <c r="L508" s="7">
        <v>173</v>
      </c>
    </row>
    <row r="509" spans="5:12" ht="15" customHeight="1">
      <c r="E509" s="6">
        <v>1.4069013907492101</v>
      </c>
      <c r="F509" s="6">
        <v>4.0656595031994902</v>
      </c>
      <c r="G509" s="6">
        <v>25.288153366241101</v>
      </c>
      <c r="H509" s="6">
        <v>1.98430812898083</v>
      </c>
      <c r="I509" s="6">
        <v>3.37520994891304</v>
      </c>
      <c r="J509" s="6">
        <v>33.065770223786302</v>
      </c>
      <c r="K509" s="6">
        <v>1.6043267013634901</v>
      </c>
      <c r="L509" s="7">
        <v>172</v>
      </c>
    </row>
    <row r="510" spans="5:12" ht="15" customHeight="1">
      <c r="E510" s="6">
        <v>1.33513020334452</v>
      </c>
      <c r="F510" s="6">
        <v>4.2388182912111398</v>
      </c>
      <c r="G510" s="6">
        <v>29.227748580772399</v>
      </c>
      <c r="H510" s="6">
        <v>1.96738984306872</v>
      </c>
      <c r="I510" s="6">
        <v>3.4486948235083701</v>
      </c>
      <c r="J510" s="6">
        <v>35.567877673534198</v>
      </c>
      <c r="K510" s="6">
        <v>1.6015961442333799</v>
      </c>
      <c r="L510" s="7">
        <v>171</v>
      </c>
    </row>
    <row r="511" spans="5:12" ht="15" customHeight="1">
      <c r="E511" s="6">
        <v>1.45990967926463</v>
      </c>
      <c r="F511" s="6">
        <v>4.2596404221929403</v>
      </c>
      <c r="G511" s="6">
        <v>27.094159930461299</v>
      </c>
      <c r="H511" s="6">
        <v>1.9382007171065401</v>
      </c>
      <c r="I511" s="6">
        <v>3.5154454137919502</v>
      </c>
      <c r="J511" s="6">
        <v>32.990795606652398</v>
      </c>
      <c r="K511" s="6">
        <v>1.6021013186845099</v>
      </c>
      <c r="L511" s="7">
        <v>170</v>
      </c>
    </row>
    <row r="512" spans="5:12" ht="15" customHeight="1">
      <c r="E512" s="6">
        <v>1.3576289476586501</v>
      </c>
      <c r="F512" s="6">
        <v>4.2251288850443496</v>
      </c>
      <c r="G512" s="6">
        <v>28.219789192364601</v>
      </c>
      <c r="H512" s="6">
        <v>1.94825992518042</v>
      </c>
      <c r="I512" s="6">
        <v>3.2762370991501202</v>
      </c>
      <c r="J512" s="6">
        <v>33.269247150605302</v>
      </c>
      <c r="K512" s="6">
        <v>1.59465915948235</v>
      </c>
      <c r="L512" s="7">
        <v>169</v>
      </c>
    </row>
    <row r="513" spans="5:12" ht="15" customHeight="1">
      <c r="E513" s="6">
        <v>1.4502620424486099</v>
      </c>
      <c r="F513" s="6">
        <v>4.1632184996874404</v>
      </c>
      <c r="G513" s="6">
        <v>24.3483532427685</v>
      </c>
      <c r="H513" s="6">
        <v>2.1262278637804699</v>
      </c>
      <c r="I513" s="6">
        <v>4.2758939765875201</v>
      </c>
      <c r="J513" s="6">
        <v>35.974183853843101</v>
      </c>
      <c r="K513" s="6">
        <v>1.5965129266167499</v>
      </c>
      <c r="L513" s="7">
        <v>168</v>
      </c>
    </row>
    <row r="514" spans="5:12" ht="15" customHeight="1">
      <c r="E514" s="6">
        <v>1.3790810850428401</v>
      </c>
      <c r="F514" s="6">
        <v>4.1730344978391596</v>
      </c>
      <c r="G514" s="6">
        <v>25.778394052766298</v>
      </c>
      <c r="H514" s="6">
        <v>2.0453923979868001</v>
      </c>
      <c r="I514" s="6">
        <v>3.48233449223466</v>
      </c>
      <c r="J514" s="6">
        <v>34.306146646195302</v>
      </c>
      <c r="K514" s="6">
        <v>1.59115920524459</v>
      </c>
      <c r="L514" s="7">
        <v>167</v>
      </c>
    </row>
    <row r="515" spans="5:12" ht="15" customHeight="1">
      <c r="E515" s="6">
        <v>1.2089732436993801</v>
      </c>
      <c r="F515" s="6">
        <v>4.23066359418576</v>
      </c>
      <c r="G515" s="6">
        <v>27.901008804114099</v>
      </c>
      <c r="H515" s="6">
        <v>2.0512335281609801</v>
      </c>
      <c r="I515" s="6">
        <v>3.9729559205623501</v>
      </c>
      <c r="J515" s="6">
        <v>33.806435166301299</v>
      </c>
      <c r="K515" s="6">
        <v>1.5805008679519701</v>
      </c>
      <c r="L515" s="7">
        <v>166</v>
      </c>
    </row>
    <row r="516" spans="5:12" ht="15" customHeight="1">
      <c r="E516" s="6">
        <v>1.2881645432572699</v>
      </c>
      <c r="F516" s="6">
        <v>4.2275076314963096</v>
      </c>
      <c r="G516" s="6">
        <v>25.7230531911726</v>
      </c>
      <c r="H516" s="6">
        <v>2.15104973442353</v>
      </c>
      <c r="I516" s="6">
        <v>3.8440199077328798</v>
      </c>
      <c r="J516" s="6">
        <v>35.004783916902802</v>
      </c>
      <c r="K516" s="6">
        <v>1.5707600371570001</v>
      </c>
      <c r="L516" s="7">
        <v>165</v>
      </c>
    </row>
    <row r="517" spans="5:12" ht="15" customHeight="1">
      <c r="E517" s="6">
        <v>1.440301523229</v>
      </c>
      <c r="F517" s="6">
        <v>4.1996532633739001</v>
      </c>
      <c r="G517" s="6">
        <v>27.264956683746099</v>
      </c>
      <c r="H517" s="6">
        <v>1.92231828356684</v>
      </c>
      <c r="I517" s="6">
        <v>4.34776909141309</v>
      </c>
      <c r="J517" s="6">
        <v>35.164467780453897</v>
      </c>
      <c r="K517" s="6">
        <v>1.5698661590535501</v>
      </c>
      <c r="L517" s="7">
        <v>164</v>
      </c>
    </row>
    <row r="518" spans="5:12" ht="15" customHeight="1">
      <c r="E518" s="6">
        <v>1.55661912120057</v>
      </c>
      <c r="F518" s="6">
        <v>4.1815420537073802</v>
      </c>
      <c r="G518" s="6">
        <v>26.096777687234798</v>
      </c>
      <c r="H518" s="6">
        <v>1.8559076132919401</v>
      </c>
      <c r="I518" s="6">
        <v>3.7234794996999998</v>
      </c>
      <c r="J518" s="6">
        <v>32.369839197636402</v>
      </c>
      <c r="K518" s="6">
        <v>1.5660810451271301</v>
      </c>
      <c r="L518" s="7">
        <v>163</v>
      </c>
    </row>
    <row r="519" spans="5:12" ht="15" customHeight="1">
      <c r="E519" s="6">
        <v>1.5644302870935101</v>
      </c>
      <c r="F519" s="6">
        <v>4.2892798682394702</v>
      </c>
      <c r="G519" s="6">
        <v>26.355488703890199</v>
      </c>
      <c r="H519" s="6">
        <v>2.0566098321167798</v>
      </c>
      <c r="I519" s="6">
        <v>3.6655340224631598</v>
      </c>
      <c r="J519" s="6">
        <v>33.807808465152398</v>
      </c>
      <c r="K519" s="6">
        <v>1.5530051387442501</v>
      </c>
      <c r="L519" s="7">
        <v>162</v>
      </c>
    </row>
    <row r="520" spans="5:12" ht="15" customHeight="1">
      <c r="E520" s="6">
        <v>1.5125876271490799</v>
      </c>
      <c r="F520" s="6">
        <v>4.25099854354999</v>
      </c>
      <c r="G520" s="6">
        <v>27.671900997359</v>
      </c>
      <c r="H520" s="6">
        <v>2.06647943420485</v>
      </c>
      <c r="I520" s="6">
        <v>3.39539952945159</v>
      </c>
      <c r="J520" s="6">
        <v>34.107612605463103</v>
      </c>
      <c r="K520" s="6">
        <v>1.55277202325882</v>
      </c>
      <c r="L520" s="7">
        <v>161</v>
      </c>
    </row>
    <row r="521" spans="5:12" ht="15" customHeight="1">
      <c r="E521" s="6">
        <v>1.31342966453929</v>
      </c>
      <c r="F521" s="6">
        <v>4.1958353708339997</v>
      </c>
      <c r="G521" s="6">
        <v>26.889185825416799</v>
      </c>
      <c r="H521" s="6">
        <v>1.88945924435285</v>
      </c>
      <c r="I521" s="6">
        <v>3.7183952582631301</v>
      </c>
      <c r="J521" s="6">
        <v>33.871594642385197</v>
      </c>
      <c r="K521" s="6">
        <v>1.5486247079453801</v>
      </c>
      <c r="L521" s="7">
        <v>160</v>
      </c>
    </row>
    <row r="522" spans="5:12" ht="15" customHeight="1">
      <c r="E522" s="6">
        <v>1.3996138567621299</v>
      </c>
      <c r="F522" s="6">
        <v>4.1590105147361598</v>
      </c>
      <c r="G522" s="6">
        <v>26.264733421911799</v>
      </c>
      <c r="H522" s="6">
        <v>1.95022529941006</v>
      </c>
      <c r="I522" s="6">
        <v>2.9660759514984401</v>
      </c>
      <c r="J522" s="6">
        <v>33.0988327830039</v>
      </c>
      <c r="K522" s="6">
        <v>1.54393721951424</v>
      </c>
      <c r="L522" s="7">
        <v>159</v>
      </c>
    </row>
    <row r="523" spans="5:12" ht="15" customHeight="1">
      <c r="E523" s="6">
        <v>1.37578783614971</v>
      </c>
      <c r="F523" s="6">
        <v>4.2343406710852403</v>
      </c>
      <c r="G523" s="6">
        <v>27.439856629080399</v>
      </c>
      <c r="H523" s="6">
        <v>1.9540536827463</v>
      </c>
      <c r="I523" s="6">
        <v>3.7296785991316299</v>
      </c>
      <c r="J523" s="6">
        <v>35.579230347483701</v>
      </c>
      <c r="K523" s="6">
        <v>1.5417065146714299</v>
      </c>
      <c r="L523" s="7">
        <v>158</v>
      </c>
    </row>
    <row r="524" spans="5:12" ht="15" customHeight="1">
      <c r="E524" s="6">
        <v>1.47701116044032</v>
      </c>
      <c r="F524" s="6">
        <v>4.2079213512650302</v>
      </c>
      <c r="G524" s="6">
        <v>25.6117032494402</v>
      </c>
      <c r="H524" s="6">
        <v>2.0669765553881301</v>
      </c>
      <c r="I524" s="6">
        <v>3.22031059645392</v>
      </c>
      <c r="J524" s="6">
        <v>33.193572928409203</v>
      </c>
      <c r="K524" s="6">
        <v>1.5278736989203701</v>
      </c>
      <c r="L524" s="7">
        <v>157</v>
      </c>
    </row>
    <row r="525" spans="5:12" ht="15" customHeight="1">
      <c r="E525" s="6">
        <v>1.5397103997000201</v>
      </c>
      <c r="F525" s="6">
        <v>4.3192445574946703</v>
      </c>
      <c r="G525" s="6">
        <v>26.209580288225901</v>
      </c>
      <c r="H525" s="6">
        <v>1.9715851040919301</v>
      </c>
      <c r="I525" s="6">
        <v>3.4151878499840098</v>
      </c>
      <c r="J525" s="6">
        <v>32.523656143665299</v>
      </c>
      <c r="K525" s="6">
        <v>1.5365770325858401</v>
      </c>
      <c r="L525" s="7">
        <v>156</v>
      </c>
    </row>
    <row r="526" spans="5:12" ht="15" customHeight="1">
      <c r="E526" s="6">
        <v>1.25648512284609</v>
      </c>
      <c r="F526" s="6">
        <v>4.1611021111505</v>
      </c>
      <c r="G526" s="6">
        <v>26.1351402129166</v>
      </c>
      <c r="H526" s="6">
        <v>1.92852625113811</v>
      </c>
      <c r="I526" s="6">
        <v>3.1911986219155999</v>
      </c>
      <c r="J526" s="6">
        <v>34.746153211857703</v>
      </c>
      <c r="K526" s="6">
        <v>1.53342243449416</v>
      </c>
      <c r="L526" s="7">
        <v>155</v>
      </c>
    </row>
    <row r="527" spans="5:12" ht="15" customHeight="1">
      <c r="E527" s="6">
        <v>1.3149493237612</v>
      </c>
      <c r="F527" s="6">
        <v>4.2496712851066496</v>
      </c>
      <c r="G527" s="6">
        <v>28.836913972507698</v>
      </c>
      <c r="H527" s="6">
        <v>1.97716426380218</v>
      </c>
      <c r="I527" s="6">
        <v>3.5416844246503998</v>
      </c>
      <c r="J527" s="6">
        <v>34.172962570951903</v>
      </c>
      <c r="K527" s="6">
        <v>1.5257637768159</v>
      </c>
      <c r="L527" s="7">
        <v>154</v>
      </c>
    </row>
    <row r="528" spans="5:12" ht="15" customHeight="1">
      <c r="E528" s="6">
        <v>1.7475152476787601</v>
      </c>
      <c r="F528" s="6">
        <v>4.1707801335682104</v>
      </c>
      <c r="G528" s="6">
        <v>29.184422799310202</v>
      </c>
      <c r="H528" s="6">
        <v>1.9596527136980799</v>
      </c>
      <c r="I528" s="6">
        <v>3.0028943731749602</v>
      </c>
      <c r="J528" s="6">
        <v>30.000857654282701</v>
      </c>
      <c r="K528" s="6">
        <v>1.51404535081368</v>
      </c>
      <c r="L528" s="7">
        <v>153</v>
      </c>
    </row>
    <row r="529" spans="5:12" ht="15" customHeight="1">
      <c r="E529" s="6">
        <v>1.2210468592132599</v>
      </c>
      <c r="F529" s="6">
        <v>4.1543929444126002</v>
      </c>
      <c r="G529" s="6">
        <v>25.828532763080901</v>
      </c>
      <c r="H529" s="6">
        <v>2.1733518381476999</v>
      </c>
      <c r="I529" s="6">
        <v>3.9543028092216201</v>
      </c>
      <c r="J529" s="6">
        <v>32.3569573355568</v>
      </c>
      <c r="K529" s="6">
        <v>1.5129399583527201</v>
      </c>
      <c r="L529" s="7">
        <v>152</v>
      </c>
    </row>
    <row r="530" spans="5:12" ht="15" customHeight="1">
      <c r="E530" s="6">
        <v>1.3739374054573601</v>
      </c>
      <c r="F530" s="6">
        <v>4.2259390804247898</v>
      </c>
      <c r="G530" s="6">
        <v>28.1655894771277</v>
      </c>
      <c r="H530" s="6">
        <v>2.1590325210284802</v>
      </c>
      <c r="I530" s="6">
        <v>3.1258227727621102</v>
      </c>
      <c r="J530" s="6">
        <v>32.520340469999901</v>
      </c>
      <c r="K530" s="6">
        <v>1.5099720797242799</v>
      </c>
      <c r="L530" s="7">
        <v>151</v>
      </c>
    </row>
    <row r="531" spans="5:12" ht="15" customHeight="1">
      <c r="E531" s="6">
        <v>1.24792090531921</v>
      </c>
      <c r="F531" s="6">
        <v>4.25528647391977</v>
      </c>
      <c r="G531" s="6">
        <v>26.714676490979301</v>
      </c>
      <c r="H531" s="6">
        <v>2.0401290734721802</v>
      </c>
      <c r="I531" s="6">
        <v>3.3609867367735902</v>
      </c>
      <c r="J531" s="6">
        <v>32.552391550948897</v>
      </c>
      <c r="K531" s="6">
        <v>1.50392747856121</v>
      </c>
      <c r="L531" s="7">
        <v>150</v>
      </c>
    </row>
    <row r="532" spans="5:12" ht="15" customHeight="1">
      <c r="E532" s="6">
        <v>1.2836891352625699</v>
      </c>
      <c r="F532" s="6">
        <v>4.1277373318893504</v>
      </c>
      <c r="G532" s="6">
        <v>25.030217591089901</v>
      </c>
      <c r="H532" s="6">
        <v>1.94250872098539</v>
      </c>
      <c r="I532" s="6">
        <v>3.79222566196268</v>
      </c>
      <c r="J532" s="6">
        <v>33.535395519169001</v>
      </c>
      <c r="K532" s="6">
        <v>1.50038502035884</v>
      </c>
      <c r="L532" s="7">
        <v>149</v>
      </c>
    </row>
    <row r="533" spans="5:12" ht="15" customHeight="1">
      <c r="E533" s="6">
        <v>1.32139415343975</v>
      </c>
      <c r="F533" s="6">
        <v>4.2484662750997799</v>
      </c>
      <c r="G533" s="6">
        <v>29.3027584779317</v>
      </c>
      <c r="H533" s="6">
        <v>1.8759306106384701</v>
      </c>
      <c r="I533" s="6">
        <v>3.7472495077584398</v>
      </c>
      <c r="J533" s="6">
        <v>33.819681221287297</v>
      </c>
      <c r="K533" s="6">
        <v>1.5011731119467699</v>
      </c>
      <c r="L533" s="7">
        <v>148</v>
      </c>
    </row>
    <row r="534" spans="5:12" ht="15" customHeight="1">
      <c r="E534" s="6">
        <v>1.4438789985925899</v>
      </c>
      <c r="F534" s="6">
        <v>4.1940091476277397</v>
      </c>
      <c r="G534" s="6">
        <v>25.617885640467001</v>
      </c>
      <c r="H534" s="6">
        <v>1.9318697764058499</v>
      </c>
      <c r="I534" s="6">
        <v>3.2267514709991798</v>
      </c>
      <c r="J534" s="6">
        <v>36.561244341294703</v>
      </c>
      <c r="K534" s="6">
        <v>1.4896118862339001</v>
      </c>
      <c r="L534" s="7">
        <v>147</v>
      </c>
    </row>
    <row r="535" spans="5:12" ht="15" customHeight="1">
      <c r="E535" s="6">
        <v>1.5576239479090499</v>
      </c>
      <c r="F535" s="6">
        <v>4.24737975039245</v>
      </c>
      <c r="G535" s="6">
        <v>25.7343970617992</v>
      </c>
      <c r="H535" s="6">
        <v>2.0224868103185099</v>
      </c>
      <c r="I535" s="6">
        <v>3.5230664315781399</v>
      </c>
      <c r="J535" s="6">
        <v>29.050469577978401</v>
      </c>
      <c r="K535" s="6">
        <v>1.4851363803030699</v>
      </c>
      <c r="L535" s="7">
        <v>146</v>
      </c>
    </row>
    <row r="536" spans="5:12" ht="15" customHeight="1">
      <c r="E536" s="6">
        <v>1.37899136542455</v>
      </c>
      <c r="F536" s="6">
        <v>4.1774156970882999</v>
      </c>
      <c r="G536" s="6">
        <v>30.233642973778899</v>
      </c>
      <c r="H536" s="6">
        <v>2.1783889414712001</v>
      </c>
      <c r="I536" s="6">
        <v>3.4082442288779</v>
      </c>
      <c r="J536" s="6">
        <v>34.544384782762499</v>
      </c>
      <c r="K536" s="6">
        <v>1.4744990239029201</v>
      </c>
      <c r="L536" s="7">
        <v>145</v>
      </c>
    </row>
    <row r="537" spans="5:12" ht="15" customHeight="1">
      <c r="E537" s="6">
        <v>1.3844874983148401</v>
      </c>
      <c r="F537" s="6">
        <v>4.1992140377695701</v>
      </c>
      <c r="G537" s="6">
        <v>24.389860418312299</v>
      </c>
      <c r="H537" s="6">
        <v>2.2704627772516801</v>
      </c>
      <c r="I537" s="6">
        <v>3.27083141549392</v>
      </c>
      <c r="J537" s="6">
        <v>30.230832750286201</v>
      </c>
      <c r="K537" s="6">
        <v>1.47013891482017</v>
      </c>
      <c r="L537" s="7">
        <v>144</v>
      </c>
    </row>
    <row r="538" spans="5:12" ht="15" customHeight="1">
      <c r="E538" s="6">
        <v>1.2380035808870999</v>
      </c>
      <c r="F538" s="6">
        <v>4.28270500267723</v>
      </c>
      <c r="G538" s="6">
        <v>27.992080337242399</v>
      </c>
      <c r="H538" s="6">
        <v>1.9874929316713199</v>
      </c>
      <c r="I538" s="6">
        <v>3.5050381655272602</v>
      </c>
      <c r="J538" s="6">
        <v>31.798677134264899</v>
      </c>
      <c r="K538" s="6">
        <v>1.46097146882766</v>
      </c>
      <c r="L538" s="7">
        <v>143</v>
      </c>
    </row>
    <row r="539" spans="5:12" ht="15" customHeight="1">
      <c r="E539" s="6">
        <v>1.39654204921674</v>
      </c>
      <c r="F539" s="6">
        <v>4.1917906969989698</v>
      </c>
      <c r="G539" s="6">
        <v>28.220057182430899</v>
      </c>
      <c r="H539" s="6">
        <v>2.00033533577083</v>
      </c>
      <c r="I539" s="6">
        <v>3.5700750704314999</v>
      </c>
      <c r="J539" s="6">
        <v>30.2999619727054</v>
      </c>
      <c r="K539" s="6">
        <v>1.45772301846703</v>
      </c>
      <c r="L539" s="7">
        <v>142</v>
      </c>
    </row>
    <row r="540" spans="5:12" ht="15" customHeight="1">
      <c r="E540" s="6">
        <v>1.3851052467003</v>
      </c>
      <c r="F540" s="6">
        <v>4.2847550946342201</v>
      </c>
      <c r="G540" s="6">
        <v>25.073712166948201</v>
      </c>
      <c r="H540" s="6">
        <v>2.1016403160522499</v>
      </c>
      <c r="I540" s="6">
        <v>3.3283934942842901</v>
      </c>
      <c r="J540" s="6">
        <v>32.816968706826202</v>
      </c>
      <c r="K540" s="6">
        <v>1.46262852279024</v>
      </c>
      <c r="L540" s="7">
        <v>141</v>
      </c>
    </row>
    <row r="541" spans="5:12" ht="15" customHeight="1">
      <c r="E541" s="6">
        <v>1.43132529474355</v>
      </c>
      <c r="F541" s="6">
        <v>4.1993772753245704</v>
      </c>
      <c r="G541" s="6">
        <v>26.498392185379299</v>
      </c>
      <c r="H541" s="6">
        <v>1.8708174515257801</v>
      </c>
      <c r="I541" s="6">
        <v>3.87130218927879</v>
      </c>
      <c r="J541" s="6">
        <v>29.1782656035451</v>
      </c>
      <c r="K541" s="6">
        <v>1.4554045028828499</v>
      </c>
      <c r="L541" s="7">
        <v>140</v>
      </c>
    </row>
    <row r="542" spans="5:12" ht="15" customHeight="1">
      <c r="E542" s="6">
        <v>1.3168402577910201</v>
      </c>
      <c r="F542" s="6">
        <v>4.1485807253089204</v>
      </c>
      <c r="G542" s="6">
        <v>26.337859545671801</v>
      </c>
      <c r="H542" s="6">
        <v>2.0985902164502099</v>
      </c>
      <c r="I542" s="6">
        <v>3.0013622711488299</v>
      </c>
      <c r="J542" s="6">
        <v>33.9743279524507</v>
      </c>
      <c r="K542" s="6">
        <v>1.4508940665443499</v>
      </c>
      <c r="L542" s="7">
        <v>139</v>
      </c>
    </row>
    <row r="543" spans="5:12" ht="15" customHeight="1">
      <c r="E543" s="6">
        <v>1.4236873901590601</v>
      </c>
      <c r="F543" s="6">
        <v>4.3205816214376203</v>
      </c>
      <c r="G543" s="6">
        <v>28.101053633571901</v>
      </c>
      <c r="H543" s="6">
        <v>1.9831831411263201</v>
      </c>
      <c r="I543" s="6">
        <v>3.5224214262309701</v>
      </c>
      <c r="J543" s="6">
        <v>33.963497721646497</v>
      </c>
      <c r="K543" s="6">
        <v>1.43458392157176</v>
      </c>
      <c r="L543" s="7">
        <v>138</v>
      </c>
    </row>
    <row r="544" spans="5:12" ht="15" customHeight="1">
      <c r="E544" s="6">
        <v>1.3806479815789801</v>
      </c>
      <c r="F544" s="6">
        <v>4.23608283635419</v>
      </c>
      <c r="G544" s="6">
        <v>26.859662597786599</v>
      </c>
      <c r="H544" s="6">
        <v>2.0070358677047002</v>
      </c>
      <c r="I544" s="6">
        <v>4.0177997147661797</v>
      </c>
      <c r="J544" s="6">
        <v>34.332566286636599</v>
      </c>
      <c r="K544" s="6">
        <v>1.44362160084532</v>
      </c>
      <c r="L544" s="7">
        <v>137</v>
      </c>
    </row>
    <row r="545" spans="5:12" ht="15" customHeight="1">
      <c r="E545" s="6">
        <v>1.49083219334237</v>
      </c>
      <c r="F545" s="6">
        <v>4.1591277393635</v>
      </c>
      <c r="G545" s="6">
        <v>26.8671146681884</v>
      </c>
      <c r="H545" s="6">
        <v>2.0361956274383699</v>
      </c>
      <c r="I545" s="6">
        <v>3.5720088045613099</v>
      </c>
      <c r="J545" s="6">
        <v>35.311041716904597</v>
      </c>
      <c r="K545" s="6">
        <v>1.42399731799287</v>
      </c>
      <c r="L545" s="7">
        <v>136</v>
      </c>
    </row>
    <row r="546" spans="5:12" ht="15" customHeight="1">
      <c r="E546" s="6">
        <v>1.2196549247041599</v>
      </c>
      <c r="F546" s="6">
        <v>4.2690435704979004</v>
      </c>
      <c r="G546" s="6">
        <v>25.228851581970702</v>
      </c>
      <c r="H546" s="6">
        <v>1.88986749445973</v>
      </c>
      <c r="I546" s="6">
        <v>3.3137287848746402</v>
      </c>
      <c r="J546" s="6">
        <v>30.6952090555213</v>
      </c>
      <c r="K546" s="6">
        <v>1.4269164219708399</v>
      </c>
      <c r="L546" s="7">
        <v>135</v>
      </c>
    </row>
    <row r="547" spans="5:12" ht="15" customHeight="1">
      <c r="E547" s="6">
        <v>1.38576328552248</v>
      </c>
      <c r="F547" s="6">
        <v>4.2148745004294099</v>
      </c>
      <c r="G547" s="6">
        <v>24.086870924326099</v>
      </c>
      <c r="H547" s="6">
        <v>2.0057938201289098</v>
      </c>
      <c r="I547" s="6">
        <v>3.44979868766915</v>
      </c>
      <c r="J547" s="6">
        <v>34.010775136774299</v>
      </c>
      <c r="K547" s="6">
        <v>1.4285765378917199</v>
      </c>
      <c r="L547" s="7">
        <v>134</v>
      </c>
    </row>
    <row r="548" spans="5:12" ht="15" customHeight="1">
      <c r="E548" s="6">
        <v>1.5814071256945099</v>
      </c>
      <c r="F548" s="6">
        <v>4.1412357289957198</v>
      </c>
      <c r="G548" s="6">
        <v>26.840757035086199</v>
      </c>
      <c r="H548" s="6">
        <v>2.2081762455807499</v>
      </c>
      <c r="I548" s="6">
        <v>3.4771349101561801</v>
      </c>
      <c r="J548" s="6">
        <v>34.181836374390301</v>
      </c>
      <c r="K548" s="6">
        <v>1.4127725228924399</v>
      </c>
      <c r="L548" s="7">
        <v>133</v>
      </c>
    </row>
    <row r="549" spans="5:12" ht="15" customHeight="1">
      <c r="E549" s="6">
        <v>1.5183750425159901</v>
      </c>
      <c r="F549" s="6">
        <v>4.2614381521650602</v>
      </c>
      <c r="G549" s="6">
        <v>26.4192726849117</v>
      </c>
      <c r="H549" s="6">
        <v>1.9977762825711001</v>
      </c>
      <c r="I549" s="6">
        <v>3.7259131795774199</v>
      </c>
      <c r="J549" s="6">
        <v>35.155166288261697</v>
      </c>
      <c r="K549" s="6">
        <v>1.4103731138900499</v>
      </c>
      <c r="L549" s="7">
        <v>132</v>
      </c>
    </row>
    <row r="550" spans="5:12" ht="15" customHeight="1">
      <c r="E550" s="6">
        <v>1.4856057240743901</v>
      </c>
      <c r="F550" s="6">
        <v>4.1919200750870402</v>
      </c>
      <c r="G550" s="6">
        <v>26.001555487716299</v>
      </c>
      <c r="H550" s="6">
        <v>2.01471117031778</v>
      </c>
      <c r="I550" s="6">
        <v>3.3429434602642099</v>
      </c>
      <c r="J550" s="6">
        <v>29.064460759263699</v>
      </c>
      <c r="K550" s="6">
        <v>1.4131184259601399</v>
      </c>
      <c r="L550" s="7">
        <v>131</v>
      </c>
    </row>
    <row r="551" spans="5:12" ht="15" customHeight="1">
      <c r="E551" s="6">
        <v>1.2941964538992501</v>
      </c>
      <c r="F551" s="6">
        <v>4.2021139392781999</v>
      </c>
      <c r="G551" s="6">
        <v>27.670913593511798</v>
      </c>
      <c r="H551" s="6">
        <v>1.9968463732702599</v>
      </c>
      <c r="I551" s="6">
        <v>3.3314391835906898</v>
      </c>
      <c r="J551" s="6">
        <v>36.401211373729502</v>
      </c>
      <c r="K551" s="6">
        <v>1.4013475580141399</v>
      </c>
      <c r="L551" s="7">
        <v>130</v>
      </c>
    </row>
    <row r="552" spans="5:12" ht="15" customHeight="1">
      <c r="E552" s="6">
        <v>1.4147308150087601</v>
      </c>
      <c r="F552" s="6">
        <v>4.2134798625066496</v>
      </c>
      <c r="G552" s="6">
        <v>25.805320187376601</v>
      </c>
      <c r="H552" s="6">
        <v>2.0927403579002601</v>
      </c>
      <c r="I552" s="6">
        <v>3.7584334535097002</v>
      </c>
      <c r="J552" s="6">
        <v>29.692443943068799</v>
      </c>
      <c r="K552" s="6">
        <v>1.3985721895960599</v>
      </c>
      <c r="L552" s="7">
        <v>129</v>
      </c>
    </row>
    <row r="553" spans="5:12" ht="15" customHeight="1">
      <c r="E553" s="6">
        <v>1.3793868780142</v>
      </c>
      <c r="F553" s="6">
        <v>4.1326744909369104</v>
      </c>
      <c r="G553" s="6">
        <v>26.3507847262022</v>
      </c>
      <c r="H553" s="6">
        <v>1.99038280269465</v>
      </c>
      <c r="I553" s="6">
        <v>3.2371804658397298</v>
      </c>
      <c r="J553" s="6">
        <v>35.1142487883698</v>
      </c>
      <c r="K553" s="6">
        <v>1.3873084860859499</v>
      </c>
      <c r="L553" s="7">
        <v>128</v>
      </c>
    </row>
    <row r="554" spans="5:12" ht="15" customHeight="1">
      <c r="E554" s="6">
        <v>1.27321022248328</v>
      </c>
      <c r="F554" s="6">
        <v>4.1873379794801098</v>
      </c>
      <c r="G554" s="6">
        <v>30.029340181081199</v>
      </c>
      <c r="H554" s="6">
        <v>1.8800949116100201</v>
      </c>
      <c r="I554" s="6">
        <v>3.53505424118325</v>
      </c>
      <c r="J554" s="6">
        <v>35.824370586717698</v>
      </c>
      <c r="K554" s="6">
        <v>1.38310484711594</v>
      </c>
      <c r="L554" s="7">
        <v>127</v>
      </c>
    </row>
    <row r="555" spans="5:12" ht="15" customHeight="1">
      <c r="E555" s="6">
        <v>1.43951757615708</v>
      </c>
      <c r="F555" s="6">
        <v>4.24153565296624</v>
      </c>
      <c r="G555" s="6">
        <v>25.617122904999501</v>
      </c>
      <c r="H555" s="6">
        <v>1.95870985952981</v>
      </c>
      <c r="I555" s="6">
        <v>3.1759090057943302</v>
      </c>
      <c r="J555" s="6">
        <v>33.907330167167103</v>
      </c>
      <c r="K555" s="6">
        <v>1.38614645269037</v>
      </c>
      <c r="L555" s="7">
        <v>126</v>
      </c>
    </row>
    <row r="556" spans="5:12" ht="15" customHeight="1">
      <c r="E556" s="6">
        <v>1.43227896400414</v>
      </c>
      <c r="F556" s="6">
        <v>4.1555006420209502</v>
      </c>
      <c r="G556" s="6">
        <v>27.779653550006199</v>
      </c>
      <c r="H556" s="6">
        <v>2.0202148361736101</v>
      </c>
      <c r="I556" s="6">
        <v>3.35236147234632</v>
      </c>
      <c r="J556" s="6">
        <v>33.043906660104497</v>
      </c>
      <c r="K556" s="6">
        <v>1.3797597641466799</v>
      </c>
      <c r="L556" s="7">
        <v>125</v>
      </c>
    </row>
    <row r="557" spans="5:12" ht="15" customHeight="1">
      <c r="E557" s="6">
        <v>1.3417579301758999</v>
      </c>
      <c r="F557" s="6">
        <v>4.1137444875757598</v>
      </c>
      <c r="G557" s="6">
        <v>26.525236271983001</v>
      </c>
      <c r="H557" s="6">
        <v>2.0398553141202802</v>
      </c>
      <c r="I557" s="6">
        <v>3.16515881359441</v>
      </c>
      <c r="J557" s="6">
        <v>32.1224703925947</v>
      </c>
      <c r="K557" s="6">
        <v>1.3707221964149601</v>
      </c>
      <c r="L557" s="7">
        <v>124</v>
      </c>
    </row>
    <row r="558" spans="5:12" ht="15" customHeight="1">
      <c r="E558" s="6">
        <v>1.6217360186493099</v>
      </c>
      <c r="F558" s="6">
        <v>4.2118011359093304</v>
      </c>
      <c r="G558" s="6">
        <v>24.538395531416899</v>
      </c>
      <c r="H558" s="6">
        <v>2.0016410098982802</v>
      </c>
      <c r="I558" s="6">
        <v>3.7946517898294299</v>
      </c>
      <c r="J558" s="6">
        <v>32.602096598365797</v>
      </c>
      <c r="K558" s="6">
        <v>1.36152721996874</v>
      </c>
      <c r="L558" s="7">
        <v>123</v>
      </c>
    </row>
    <row r="559" spans="5:12" ht="15" customHeight="1">
      <c r="E559" s="6">
        <v>1.30749228158986</v>
      </c>
      <c r="F559" s="6">
        <v>4.22227875126889</v>
      </c>
      <c r="G559" s="6">
        <v>26.653886754577499</v>
      </c>
      <c r="H559" s="6">
        <v>1.98762562251467</v>
      </c>
      <c r="I559" s="6">
        <v>3.6832873848688799</v>
      </c>
      <c r="J559" s="6">
        <v>33.315967866409302</v>
      </c>
      <c r="K559" s="6">
        <v>1.35804870052047</v>
      </c>
      <c r="L559" s="7">
        <v>122</v>
      </c>
    </row>
    <row r="560" spans="5:12" ht="15" customHeight="1">
      <c r="E560" s="6">
        <v>1.26787081154015</v>
      </c>
      <c r="F560" s="6">
        <v>4.22914587329835</v>
      </c>
      <c r="G560" s="6">
        <v>24.5125138258561</v>
      </c>
      <c r="H560" s="6">
        <v>2.34700174539645</v>
      </c>
      <c r="I560" s="6">
        <v>3.0674109279092501</v>
      </c>
      <c r="J560" s="6">
        <v>36.198284420608402</v>
      </c>
      <c r="K560" s="6">
        <v>1.3481702600663901</v>
      </c>
      <c r="L560" s="7">
        <v>121</v>
      </c>
    </row>
    <row r="561" spans="5:12" ht="15" customHeight="1">
      <c r="E561" s="6">
        <v>1.2673440191485299</v>
      </c>
      <c r="F561" s="6">
        <v>4.2038463474355403</v>
      </c>
      <c r="G561" s="6">
        <v>27.916126426650699</v>
      </c>
      <c r="H561" s="6">
        <v>2.02062198616128</v>
      </c>
      <c r="I561" s="6">
        <v>3.7393195635978702</v>
      </c>
      <c r="J561" s="6">
        <v>32.728442057853101</v>
      </c>
      <c r="K561" s="6">
        <v>1.3548118966804501</v>
      </c>
      <c r="L561" s="7">
        <v>120</v>
      </c>
    </row>
    <row r="562" spans="5:12" ht="15" customHeight="1">
      <c r="E562" s="6">
        <v>1.3030280394861899</v>
      </c>
      <c r="F562" s="6">
        <v>4.1676549416343702</v>
      </c>
      <c r="G562" s="6">
        <v>27.395476725591799</v>
      </c>
      <c r="H562" s="6">
        <v>2.00596878963138</v>
      </c>
      <c r="I562" s="6">
        <v>3.78231782919439</v>
      </c>
      <c r="J562" s="6">
        <v>29.7406913830186</v>
      </c>
      <c r="K562" s="6">
        <v>1.3373203053116201</v>
      </c>
      <c r="L562" s="7">
        <v>119</v>
      </c>
    </row>
    <row r="563" spans="5:12" ht="15" customHeight="1">
      <c r="E563" s="6">
        <v>1.3395582840290201</v>
      </c>
      <c r="F563" s="6">
        <v>4.2069877354130396</v>
      </c>
      <c r="G563" s="6">
        <v>26.445091827769101</v>
      </c>
      <c r="H563" s="6">
        <v>2.0959957675393399</v>
      </c>
      <c r="I563" s="6">
        <v>3.3719988091161701</v>
      </c>
      <c r="J563" s="6">
        <v>34.549392862970201</v>
      </c>
      <c r="K563" s="6">
        <v>1.33958443786937</v>
      </c>
      <c r="L563" s="7">
        <v>118</v>
      </c>
    </row>
    <row r="564" spans="5:12" ht="15" customHeight="1">
      <c r="E564" s="6">
        <v>1.3239003289420599</v>
      </c>
      <c r="F564" s="6">
        <v>4.2402351070236604</v>
      </c>
      <c r="G564" s="6">
        <v>27.0700097303136</v>
      </c>
      <c r="H564" s="6">
        <v>1.98255131673356</v>
      </c>
      <c r="I564" s="6">
        <v>3.4676015535546099</v>
      </c>
      <c r="J564" s="6">
        <v>35.749101998350802</v>
      </c>
      <c r="K564" s="6">
        <v>1.3280013221035001</v>
      </c>
      <c r="L564" s="7">
        <v>117</v>
      </c>
    </row>
    <row r="565" spans="5:12" ht="15" customHeight="1">
      <c r="E565" s="6">
        <v>1.5178911883855</v>
      </c>
      <c r="F565" s="6">
        <v>4.2617623234228397</v>
      </c>
      <c r="G565" s="6">
        <v>26.393748056878898</v>
      </c>
      <c r="H565" s="6">
        <v>2.06318819709705</v>
      </c>
      <c r="I565" s="6">
        <v>3.4722403578561298</v>
      </c>
      <c r="J565" s="6">
        <v>34.726624317288099</v>
      </c>
      <c r="K565" s="6">
        <v>1.3310182214176101</v>
      </c>
      <c r="L565" s="7">
        <v>116</v>
      </c>
    </row>
    <row r="566" spans="5:12" ht="15" customHeight="1">
      <c r="E566" s="6">
        <v>1.4838578194501399</v>
      </c>
      <c r="F566" s="6">
        <v>4.1685613485013304</v>
      </c>
      <c r="G566" s="6">
        <v>29.460819354720101</v>
      </c>
      <c r="H566" s="6">
        <v>1.86617383009744</v>
      </c>
      <c r="I566" s="6">
        <v>3.8673082321592398</v>
      </c>
      <c r="J566" s="6">
        <v>32.344955699427501</v>
      </c>
      <c r="K566" s="6">
        <v>1.32674725021271</v>
      </c>
      <c r="L566" s="7">
        <v>115</v>
      </c>
    </row>
    <row r="567" spans="5:12" ht="15" customHeight="1">
      <c r="E567" s="6">
        <v>1.3606769918682999</v>
      </c>
      <c r="F567" s="6">
        <v>4.2367357583217196</v>
      </c>
      <c r="G567" s="6">
        <v>25.5347821661396</v>
      </c>
      <c r="H567" s="6">
        <v>2.0218461056205399</v>
      </c>
      <c r="I567" s="6">
        <v>2.92327304544339</v>
      </c>
      <c r="J567" s="6">
        <v>34.467243762558603</v>
      </c>
      <c r="K567" s="6">
        <v>1.32347891244713</v>
      </c>
      <c r="L567" s="7">
        <v>114</v>
      </c>
    </row>
    <row r="568" spans="5:12" ht="15" customHeight="1">
      <c r="E568" s="6">
        <v>1.47479505410599</v>
      </c>
      <c r="F568" s="6">
        <v>4.2747794965248298</v>
      </c>
      <c r="G568" s="6">
        <v>28.748802171784899</v>
      </c>
      <c r="H568" s="6">
        <v>2.1602423147824998</v>
      </c>
      <c r="I568" s="6">
        <v>2.7155888222060902</v>
      </c>
      <c r="J568" s="6">
        <v>34.7217548651576</v>
      </c>
      <c r="K568" s="6">
        <v>1.3144299368438801</v>
      </c>
      <c r="L568" s="7">
        <v>113</v>
      </c>
    </row>
    <row r="569" spans="5:12" ht="15" customHeight="1">
      <c r="E569" s="6">
        <v>1.18912984980832</v>
      </c>
      <c r="F569" s="6">
        <v>4.2154643372588101</v>
      </c>
      <c r="G569" s="6">
        <v>26.3305312254017</v>
      </c>
      <c r="H569" s="6">
        <v>1.9511213343848799</v>
      </c>
      <c r="I569" s="6">
        <v>3.0875830647073599</v>
      </c>
      <c r="J569" s="6">
        <v>34.332665840577697</v>
      </c>
      <c r="K569" s="6">
        <v>1.31975732141502</v>
      </c>
      <c r="L569" s="7">
        <v>112</v>
      </c>
    </row>
    <row r="570" spans="5:12" ht="15" customHeight="1">
      <c r="E570" s="6">
        <v>1.3654680009022899</v>
      </c>
      <c r="F570" s="6">
        <v>4.2256231459255602</v>
      </c>
      <c r="G570" s="6">
        <v>25.597006329271601</v>
      </c>
      <c r="H570" s="6">
        <v>1.9582878860663</v>
      </c>
      <c r="I570" s="6">
        <v>3.49606943486573</v>
      </c>
      <c r="J570" s="6">
        <v>33.723531937603497</v>
      </c>
      <c r="K570" s="6">
        <v>1.3012684067734901</v>
      </c>
      <c r="L570" s="7">
        <v>111</v>
      </c>
    </row>
    <row r="571" spans="5:12" ht="15" customHeight="1">
      <c r="E571" s="6">
        <v>1.4085703857862899</v>
      </c>
      <c r="F571" s="6">
        <v>4.12914679845069</v>
      </c>
      <c r="G571" s="6">
        <v>29.0337020407948</v>
      </c>
      <c r="H571" s="6">
        <v>1.83791618511018</v>
      </c>
      <c r="I571" s="6">
        <v>3.3370586770546899</v>
      </c>
      <c r="J571" s="6">
        <v>32.224231861338197</v>
      </c>
      <c r="K571" s="6">
        <v>1.3019713505130699</v>
      </c>
      <c r="L571" s="7">
        <v>110</v>
      </c>
    </row>
    <row r="572" spans="5:12" ht="15" customHeight="1">
      <c r="E572" s="6">
        <v>1.4240988755576001</v>
      </c>
      <c r="F572" s="6">
        <v>4.2969246741126597</v>
      </c>
      <c r="G572" s="6">
        <v>25.797160336324701</v>
      </c>
      <c r="H572" s="6">
        <v>1.8901985003591</v>
      </c>
      <c r="I572" s="6">
        <v>4.2618054066743296</v>
      </c>
      <c r="J572" s="6">
        <v>28.649203417090099</v>
      </c>
      <c r="K572" s="6">
        <v>1.30593292350686</v>
      </c>
      <c r="L572" s="7">
        <v>109</v>
      </c>
    </row>
    <row r="573" spans="5:12" ht="15" customHeight="1">
      <c r="E573" s="6">
        <v>1.41568973243272</v>
      </c>
      <c r="F573" s="6">
        <v>4.2121405833793997</v>
      </c>
      <c r="G573" s="6">
        <v>28.577093862681199</v>
      </c>
      <c r="H573" s="6">
        <v>1.9116184602506801</v>
      </c>
      <c r="I573" s="6">
        <v>3.6729759873224599</v>
      </c>
      <c r="J573" s="6">
        <v>33.903898290660599</v>
      </c>
      <c r="K573" s="6">
        <v>1.2909579959880499</v>
      </c>
      <c r="L573" s="7">
        <v>108</v>
      </c>
    </row>
    <row r="574" spans="5:12" ht="15" customHeight="1">
      <c r="E574" s="6">
        <v>1.31174441112087</v>
      </c>
      <c r="F574" s="6">
        <v>4.2457916534642797</v>
      </c>
      <c r="G574" s="6">
        <v>26.071204066750699</v>
      </c>
      <c r="H574" s="6">
        <v>2.0342395188446698</v>
      </c>
      <c r="I574" s="6">
        <v>3.0175076689898801</v>
      </c>
      <c r="J574" s="6">
        <v>31.207122750053301</v>
      </c>
      <c r="K574" s="6">
        <v>1.2899822749294401</v>
      </c>
      <c r="L574" s="7">
        <v>107</v>
      </c>
    </row>
    <row r="575" spans="5:12" ht="15" customHeight="1">
      <c r="E575" s="6">
        <v>1.41015332459107</v>
      </c>
      <c r="F575" s="6">
        <v>4.1613207674818797</v>
      </c>
      <c r="G575" s="6">
        <v>26.668005475598001</v>
      </c>
      <c r="H575" s="6">
        <v>2.01293698753399</v>
      </c>
      <c r="I575" s="6">
        <v>3.1759494220034199</v>
      </c>
      <c r="J575" s="6">
        <v>31.874059209669301</v>
      </c>
      <c r="K575" s="6">
        <v>1.27940588654857</v>
      </c>
      <c r="L575" s="7">
        <v>106</v>
      </c>
    </row>
    <row r="576" spans="5:12" ht="15" customHeight="1">
      <c r="E576" s="6">
        <v>1.16463434685996</v>
      </c>
      <c r="F576" s="6">
        <v>4.1457612221099804</v>
      </c>
      <c r="G576" s="6">
        <v>25.248044101993099</v>
      </c>
      <c r="H576" s="6">
        <v>2.0174701945292401</v>
      </c>
      <c r="I576" s="6">
        <v>3.4105130233108198</v>
      </c>
      <c r="J576" s="6">
        <v>34.498907796516498</v>
      </c>
      <c r="K576" s="6">
        <v>1.2715733023959801</v>
      </c>
      <c r="L576" s="7">
        <v>105</v>
      </c>
    </row>
    <row r="577" spans="5:12" ht="15" customHeight="1">
      <c r="E577" s="6">
        <v>1.41072043507699</v>
      </c>
      <c r="F577" s="6">
        <v>4.1523061393975196</v>
      </c>
      <c r="G577" s="6">
        <v>25.088825564795101</v>
      </c>
      <c r="H577" s="6">
        <v>2.1342974097069098</v>
      </c>
      <c r="I577" s="6">
        <v>3.79583398245147</v>
      </c>
      <c r="J577" s="6">
        <v>32.380606789591504</v>
      </c>
      <c r="K577" s="6">
        <v>1.2622384936806199</v>
      </c>
      <c r="L577" s="7">
        <v>104</v>
      </c>
    </row>
    <row r="578" spans="5:12" ht="15" customHeight="1">
      <c r="E578" s="6">
        <v>1.4099284116780799</v>
      </c>
      <c r="F578" s="6">
        <v>4.1341347198716401</v>
      </c>
      <c r="G578" s="6">
        <v>25.1930081271463</v>
      </c>
      <c r="H578" s="6">
        <v>2.00547110144384</v>
      </c>
      <c r="I578" s="6">
        <v>3.06797027972104</v>
      </c>
      <c r="J578" s="6">
        <v>37.369144747704802</v>
      </c>
      <c r="K578" s="6">
        <v>1.2688119170502801</v>
      </c>
      <c r="L578" s="7">
        <v>103</v>
      </c>
    </row>
    <row r="579" spans="5:12" ht="15" customHeight="1">
      <c r="E579" s="6">
        <v>1.2929642190013999</v>
      </c>
      <c r="F579" s="6">
        <v>4.09328367859779</v>
      </c>
      <c r="G579" s="6">
        <v>25.823781412820701</v>
      </c>
      <c r="H579" s="6">
        <v>1.8680845401631501</v>
      </c>
      <c r="I579" s="6">
        <v>3.5389062659055801</v>
      </c>
      <c r="J579" s="6">
        <v>31.5167120892837</v>
      </c>
      <c r="K579" s="6">
        <v>1.2661929596539201</v>
      </c>
      <c r="L579" s="7">
        <v>102</v>
      </c>
    </row>
    <row r="580" spans="5:12" ht="15" customHeight="1">
      <c r="E580" s="6">
        <v>1.3062592549983401</v>
      </c>
      <c r="F580" s="6">
        <v>4.284652809762</v>
      </c>
      <c r="G580" s="6">
        <v>29.921536109439501</v>
      </c>
      <c r="H580" s="6">
        <v>1.8707405567317501</v>
      </c>
      <c r="I580" s="6">
        <v>3.82815932449815</v>
      </c>
      <c r="J580" s="6">
        <v>32.0549632399049</v>
      </c>
      <c r="K580" s="6">
        <v>1.2548423995017599</v>
      </c>
      <c r="L580" s="7">
        <v>101</v>
      </c>
    </row>
    <row r="581" spans="5:12" ht="15" customHeight="1">
      <c r="E581" s="6">
        <v>1.31257175254839</v>
      </c>
      <c r="F581" s="6">
        <v>4.1110073885101102</v>
      </c>
      <c r="G581" s="6">
        <v>27.240524828661901</v>
      </c>
      <c r="H581" s="6">
        <v>2.0696964173787902</v>
      </c>
      <c r="I581" s="6">
        <v>3.8647935537482798</v>
      </c>
      <c r="J581" s="6">
        <v>33.579770939796603</v>
      </c>
      <c r="K581" s="6">
        <v>1.2525238523244999</v>
      </c>
      <c r="L581" s="7">
        <v>100</v>
      </c>
    </row>
    <row r="582" spans="5:12" ht="15" customHeight="1">
      <c r="E582" s="6">
        <v>1.3385466712474201</v>
      </c>
      <c r="F582" s="6">
        <v>4.2954492258480403</v>
      </c>
      <c r="G582" s="6">
        <v>25.3482353042744</v>
      </c>
      <c r="H582" s="6">
        <v>1.7838575484975401</v>
      </c>
      <c r="I582" s="6">
        <v>3.9946189229267901</v>
      </c>
      <c r="J582" s="6">
        <v>31.669003721115399</v>
      </c>
      <c r="K582" s="6">
        <v>1.2453069458381001</v>
      </c>
      <c r="L582" s="7">
        <v>99</v>
      </c>
    </row>
    <row r="583" spans="5:12" ht="15" customHeight="1">
      <c r="E583" s="6">
        <v>1.3981339588259301</v>
      </c>
      <c r="F583" s="6">
        <v>4.1712378202832001</v>
      </c>
      <c r="G583" s="6">
        <v>26.1251447855416</v>
      </c>
      <c r="H583" s="6">
        <v>1.9201406801838301</v>
      </c>
      <c r="I583" s="6">
        <v>3.7292021989631601</v>
      </c>
      <c r="J583" s="6">
        <v>33.881881376436198</v>
      </c>
      <c r="K583" s="6">
        <v>1.24340813208703</v>
      </c>
      <c r="L583" s="7">
        <v>98</v>
      </c>
    </row>
    <row r="584" spans="5:12" ht="15" customHeight="1">
      <c r="E584" s="6">
        <v>1.46473237918777</v>
      </c>
      <c r="F584" s="6">
        <v>4.2183766200276098</v>
      </c>
      <c r="G584" s="6">
        <v>26.830962014564602</v>
      </c>
      <c r="H584" s="6">
        <v>2.0497913679648998</v>
      </c>
      <c r="I584" s="6">
        <v>3.7365269211851202</v>
      </c>
      <c r="J584" s="6">
        <v>33.947676677817299</v>
      </c>
      <c r="K584" s="6">
        <v>1.23234029965715</v>
      </c>
      <c r="L584" s="7">
        <v>97</v>
      </c>
    </row>
    <row r="585" spans="5:12" ht="15" customHeight="1">
      <c r="E585" s="6">
        <v>1.4667462885937299</v>
      </c>
      <c r="F585" s="6">
        <v>4.1875001807626999</v>
      </c>
      <c r="G585" s="6">
        <v>25.820431087208799</v>
      </c>
      <c r="H585" s="6">
        <v>1.9629076821022</v>
      </c>
      <c r="I585" s="6">
        <v>3.1761384515584701</v>
      </c>
      <c r="J585" s="6">
        <v>32.6673746331061</v>
      </c>
      <c r="K585" s="6">
        <v>1.2275293779373</v>
      </c>
      <c r="L585" s="7">
        <v>96</v>
      </c>
    </row>
    <row r="586" spans="5:12" ht="15" customHeight="1">
      <c r="E586" s="6">
        <v>1.4539598723081799</v>
      </c>
      <c r="F586" s="6">
        <v>4.2195666043256601</v>
      </c>
      <c r="G586" s="6">
        <v>25.547690465377599</v>
      </c>
      <c r="H586" s="6">
        <v>2.2656435524199101</v>
      </c>
      <c r="I586" s="6">
        <v>3.5387893170817302</v>
      </c>
      <c r="J586" s="6">
        <v>32.762051778925503</v>
      </c>
      <c r="K586" s="6">
        <v>1.2283850615852301</v>
      </c>
      <c r="L586" s="7">
        <v>95</v>
      </c>
    </row>
    <row r="587" spans="5:12" ht="15" customHeight="1">
      <c r="E587" s="6">
        <v>1.4779605436190699</v>
      </c>
      <c r="F587" s="6">
        <v>4.1999134026455103</v>
      </c>
      <c r="G587" s="6">
        <v>28.982299110422701</v>
      </c>
      <c r="H587" s="6">
        <v>2.1114945401831302</v>
      </c>
      <c r="I587" s="6">
        <v>3.1033998614672198</v>
      </c>
      <c r="J587" s="6">
        <v>36.304685586809399</v>
      </c>
      <c r="K587" s="6">
        <v>1.21776099872002</v>
      </c>
      <c r="L587" s="7">
        <v>94</v>
      </c>
    </row>
    <row r="588" spans="5:12" ht="15" customHeight="1">
      <c r="E588" s="6">
        <v>1.3741398782493699</v>
      </c>
      <c r="F588" s="6">
        <v>4.20534379729511</v>
      </c>
      <c r="G588" s="6">
        <v>27.1826542748564</v>
      </c>
      <c r="H588" s="6">
        <v>1.9274165084896799</v>
      </c>
      <c r="I588" s="6">
        <v>3.9109336409735902</v>
      </c>
      <c r="J588" s="6">
        <v>31.150879910778698</v>
      </c>
      <c r="K588" s="6">
        <v>1.2168650961782299</v>
      </c>
      <c r="L588" s="7">
        <v>93</v>
      </c>
    </row>
    <row r="589" spans="5:12" ht="15" customHeight="1">
      <c r="E589" s="6">
        <v>1.41005501532273</v>
      </c>
      <c r="F589" s="6">
        <v>4.2294299050543298</v>
      </c>
      <c r="G589" s="6">
        <v>28.930921181902299</v>
      </c>
      <c r="H589" s="6">
        <v>2.1916481511801398</v>
      </c>
      <c r="I589" s="6">
        <v>3.6858279438452901</v>
      </c>
      <c r="J589" s="6">
        <v>32.375929757370798</v>
      </c>
      <c r="K589" s="6">
        <v>1.2032787470977799</v>
      </c>
      <c r="L589" s="7">
        <v>92</v>
      </c>
    </row>
    <row r="590" spans="5:12" ht="15" customHeight="1">
      <c r="E590" s="6">
        <v>1.5623325616753301</v>
      </c>
      <c r="F590" s="6">
        <v>4.2992370279319099</v>
      </c>
      <c r="G590" s="6">
        <v>26.685853984072601</v>
      </c>
      <c r="H590" s="6">
        <v>2.0447472664181898</v>
      </c>
      <c r="I590" s="6">
        <v>3.49243992711963</v>
      </c>
      <c r="J590" s="6">
        <v>34.213346068822503</v>
      </c>
      <c r="K590" s="6">
        <v>1.2063649361081299</v>
      </c>
      <c r="L590" s="7">
        <v>91</v>
      </c>
    </row>
    <row r="591" spans="5:12" ht="15" customHeight="1">
      <c r="E591" s="6">
        <v>1.25382150124276</v>
      </c>
      <c r="F591" s="6">
        <v>4.1306963989068004</v>
      </c>
      <c r="G591" s="6">
        <v>26.947034191200402</v>
      </c>
      <c r="H591" s="6">
        <v>1.8510371264341501</v>
      </c>
      <c r="I591" s="6">
        <v>2.98306904442398</v>
      </c>
      <c r="J591" s="6">
        <v>33.616782171206602</v>
      </c>
      <c r="K591" s="6">
        <v>1.1925494696788099</v>
      </c>
      <c r="L591" s="7">
        <v>90</v>
      </c>
    </row>
    <row r="592" spans="5:12" ht="15" customHeight="1">
      <c r="E592" s="6">
        <v>1.29890284107231</v>
      </c>
      <c r="F592" s="6">
        <v>4.1594971741413698</v>
      </c>
      <c r="G592" s="6">
        <v>26.952013799087901</v>
      </c>
      <c r="H592" s="6">
        <v>1.98080122044506</v>
      </c>
      <c r="I592" s="6">
        <v>3.0153694554349801</v>
      </c>
      <c r="J592" s="6">
        <v>33.637633846972598</v>
      </c>
      <c r="K592" s="6">
        <v>1.1907364573278401</v>
      </c>
      <c r="L592" s="7">
        <v>89</v>
      </c>
    </row>
    <row r="593" spans="5:12" ht="15" customHeight="1">
      <c r="E593" s="6">
        <v>1.4450227596987799</v>
      </c>
      <c r="F593" s="6">
        <v>4.2114946686642796</v>
      </c>
      <c r="G593" s="6">
        <v>28.599359549088199</v>
      </c>
      <c r="H593" s="6">
        <v>2.0138713641386099</v>
      </c>
      <c r="I593" s="6">
        <v>3.55055999015863</v>
      </c>
      <c r="J593" s="6">
        <v>32.618920035979002</v>
      </c>
      <c r="K593" s="6">
        <v>1.1961807913654601</v>
      </c>
      <c r="L593" s="7">
        <v>88</v>
      </c>
    </row>
    <row r="594" spans="5:12" ht="15" customHeight="1">
      <c r="E594" s="6">
        <v>1.46183379372262</v>
      </c>
      <c r="F594" s="6">
        <v>4.2778505115563004</v>
      </c>
      <c r="G594" s="6">
        <v>27.326463229330699</v>
      </c>
      <c r="H594" s="6">
        <v>1.99880801691611</v>
      </c>
      <c r="I594" s="6">
        <v>3.84389890036292</v>
      </c>
      <c r="J594" s="6">
        <v>32.797447509068697</v>
      </c>
      <c r="K594" s="6">
        <v>1.1839058441655399</v>
      </c>
      <c r="L594" s="7">
        <v>87</v>
      </c>
    </row>
    <row r="595" spans="5:12" ht="15" customHeight="1">
      <c r="E595" s="6">
        <v>1.2486851861049799</v>
      </c>
      <c r="F595" s="6">
        <v>4.2736268571928901</v>
      </c>
      <c r="G595" s="6">
        <v>24.068479896167901</v>
      </c>
      <c r="H595" s="6">
        <v>1.8633512362133799</v>
      </c>
      <c r="I595" s="6">
        <v>3.1779971280701602</v>
      </c>
      <c r="J595" s="6">
        <v>32.260388986013901</v>
      </c>
      <c r="K595" s="6">
        <v>1.17599965417332</v>
      </c>
      <c r="L595" s="7">
        <v>86</v>
      </c>
    </row>
    <row r="596" spans="5:12" ht="15" customHeight="1">
      <c r="E596" s="6">
        <v>1.39859477117801</v>
      </c>
      <c r="F596" s="6">
        <v>4.2072102534690696</v>
      </c>
      <c r="G596" s="6">
        <v>28.832448582545101</v>
      </c>
      <c r="H596" s="6">
        <v>2.0448420047110099</v>
      </c>
      <c r="I596" s="6">
        <v>3.1311117312699999</v>
      </c>
      <c r="J596" s="6">
        <v>32.968271088965203</v>
      </c>
      <c r="K596" s="6">
        <v>1.1781023735605201</v>
      </c>
      <c r="L596" s="7">
        <v>85</v>
      </c>
    </row>
    <row r="597" spans="5:12" ht="15" customHeight="1">
      <c r="E597" s="6">
        <v>1.5449403571727001</v>
      </c>
      <c r="F597" s="6">
        <v>4.1993080690984597</v>
      </c>
      <c r="G597" s="6">
        <v>24.706613161124501</v>
      </c>
      <c r="H597" s="6">
        <v>1.9979538327727999</v>
      </c>
      <c r="I597" s="6">
        <v>3.4222695472027298</v>
      </c>
      <c r="J597" s="6">
        <v>33.894588310130501</v>
      </c>
      <c r="K597" s="6">
        <v>1.1651300048258</v>
      </c>
      <c r="L597" s="7">
        <v>84</v>
      </c>
    </row>
    <row r="598" spans="5:12" ht="15" customHeight="1">
      <c r="E598" s="6">
        <v>1.42324297165486</v>
      </c>
      <c r="F598" s="6">
        <v>4.1701992489253303</v>
      </c>
      <c r="G598" s="6">
        <v>27.057072267350499</v>
      </c>
      <c r="H598" s="6">
        <v>1.8293203158392799</v>
      </c>
      <c r="I598" s="6">
        <v>3.5446605779618001</v>
      </c>
      <c r="J598" s="6">
        <v>31.851396292024901</v>
      </c>
      <c r="K598" s="6">
        <v>1.1646786480006699</v>
      </c>
      <c r="L598" s="7">
        <v>83</v>
      </c>
    </row>
    <row r="599" spans="5:12" ht="15" customHeight="1">
      <c r="E599" s="6">
        <v>1.4265357752493799</v>
      </c>
      <c r="F599" s="6">
        <v>4.2140737895821498</v>
      </c>
      <c r="G599" s="6">
        <v>27.2268429453806</v>
      </c>
      <c r="H599" s="6">
        <v>1.9875727785948001</v>
      </c>
      <c r="I599" s="6">
        <v>3.8114649699282399</v>
      </c>
      <c r="J599" s="6">
        <v>31.610799834996701</v>
      </c>
      <c r="K599" s="6">
        <v>1.16094508952418</v>
      </c>
      <c r="L599" s="7">
        <v>82</v>
      </c>
    </row>
    <row r="600" spans="5:12" ht="15" customHeight="1">
      <c r="E600" s="6">
        <v>1.3639215215702301</v>
      </c>
      <c r="F600" s="6">
        <v>4.1984031269864204</v>
      </c>
      <c r="G600" s="6">
        <v>24.9645447107794</v>
      </c>
      <c r="H600" s="6">
        <v>1.9223910745864301</v>
      </c>
      <c r="I600" s="6">
        <v>3.9036882830383699</v>
      </c>
      <c r="J600" s="6">
        <v>32.091195704130698</v>
      </c>
      <c r="K600" s="6">
        <v>1.14928580095919</v>
      </c>
      <c r="L600" s="7">
        <v>81</v>
      </c>
    </row>
    <row r="601" spans="5:12" ht="15" customHeight="1">
      <c r="E601" s="6">
        <v>1.4253650366177</v>
      </c>
      <c r="F601" s="6">
        <v>4.24550458788777</v>
      </c>
      <c r="G601" s="6">
        <v>28.598757071300099</v>
      </c>
      <c r="H601" s="6">
        <v>2.1280000684920899</v>
      </c>
      <c r="I601" s="6">
        <v>4.1605863612264198</v>
      </c>
      <c r="J601" s="6">
        <v>30.983262588269302</v>
      </c>
      <c r="K601" s="6">
        <v>1.1463454725281801</v>
      </c>
      <c r="L601" s="7">
        <v>80</v>
      </c>
    </row>
    <row r="602" spans="5:12" ht="15" customHeight="1">
      <c r="E602" s="6">
        <v>1.3550115997112999</v>
      </c>
      <c r="F602" s="6">
        <v>4.2479952935616998</v>
      </c>
      <c r="G602" s="6">
        <v>29.074284832117598</v>
      </c>
      <c r="H602" s="6">
        <v>1.93098536483412</v>
      </c>
      <c r="I602" s="6">
        <v>3.67550249289551</v>
      </c>
      <c r="J602" s="6">
        <v>34.813456164302401</v>
      </c>
      <c r="K602" s="6">
        <v>1.14765193347852</v>
      </c>
      <c r="L602" s="7">
        <v>79</v>
      </c>
    </row>
    <row r="603" spans="5:12" ht="15" customHeight="1">
      <c r="E603" s="6">
        <v>1.27659244737257</v>
      </c>
      <c r="F603" s="6">
        <v>4.1917962311096399</v>
      </c>
      <c r="G603" s="6">
        <v>25.372220777529002</v>
      </c>
      <c r="H603" s="6">
        <v>1.9141217511233499</v>
      </c>
      <c r="I603" s="6">
        <v>3.3918863115415401</v>
      </c>
      <c r="J603" s="6">
        <v>33.240470867004902</v>
      </c>
      <c r="K603" s="6">
        <v>1.14450305869866</v>
      </c>
      <c r="L603" s="7">
        <v>78</v>
      </c>
    </row>
    <row r="604" spans="5:12" ht="15" customHeight="1">
      <c r="E604" s="6">
        <v>1.41808572616909</v>
      </c>
      <c r="F604" s="6">
        <v>4.1354940482409104</v>
      </c>
      <c r="G604" s="6">
        <v>28.597793154803501</v>
      </c>
      <c r="H604" s="6">
        <v>1.9896551321512901</v>
      </c>
      <c r="I604" s="6">
        <v>3.8712910262440898</v>
      </c>
      <c r="J604" s="6">
        <v>33.529419138099001</v>
      </c>
      <c r="K604" s="6">
        <v>1.13670676847707</v>
      </c>
      <c r="L604" s="7">
        <v>77</v>
      </c>
    </row>
    <row r="605" spans="5:12" ht="15" customHeight="1">
      <c r="E605" s="6">
        <v>1.3733882894773699</v>
      </c>
      <c r="F605" s="6">
        <v>4.1998145999184704</v>
      </c>
      <c r="G605" s="6">
        <v>24.584191222958999</v>
      </c>
      <c r="H605" s="6">
        <v>1.98871522357178</v>
      </c>
      <c r="I605" s="6">
        <v>3.3050209404327902</v>
      </c>
      <c r="J605" s="6">
        <v>32.3482248822001</v>
      </c>
      <c r="K605" s="6">
        <v>1.1299208193761501</v>
      </c>
      <c r="L605" s="7">
        <v>76</v>
      </c>
    </row>
    <row r="606" spans="5:12" ht="15" customHeight="1">
      <c r="E606" s="6">
        <v>1.3223793174824801</v>
      </c>
      <c r="F606" s="6">
        <v>4.2132511049293999</v>
      </c>
      <c r="G606" s="6">
        <v>26.996088591076699</v>
      </c>
      <c r="H606" s="6">
        <v>2.0483854310324299</v>
      </c>
      <c r="I606" s="6">
        <v>3.50951859660195</v>
      </c>
      <c r="J606" s="6">
        <v>33.273416579260001</v>
      </c>
      <c r="K606" s="6">
        <v>1.1241343458217099</v>
      </c>
      <c r="L606" s="7">
        <v>75</v>
      </c>
    </row>
    <row r="607" spans="5:12" ht="15" customHeight="1">
      <c r="E607" s="6">
        <v>1.5908158218319599</v>
      </c>
      <c r="F607" s="6">
        <v>4.2137056678475098</v>
      </c>
      <c r="G607" s="6">
        <v>26.158008955687599</v>
      </c>
      <c r="H607" s="6">
        <v>1.8887914054367001</v>
      </c>
      <c r="I607" s="6">
        <v>3.2411826475350498</v>
      </c>
      <c r="J607" s="6">
        <v>32.223663063930097</v>
      </c>
      <c r="K607" s="6">
        <v>1.1168736753599</v>
      </c>
      <c r="L607" s="7">
        <v>74</v>
      </c>
    </row>
    <row r="608" spans="5:12" ht="15" customHeight="1">
      <c r="E608" s="6">
        <v>1.49086501515174</v>
      </c>
      <c r="F608" s="6">
        <v>4.1833342934434601</v>
      </c>
      <c r="G608" s="6">
        <v>25.8662244035729</v>
      </c>
      <c r="H608" s="6">
        <v>1.9870828121005799</v>
      </c>
      <c r="I608" s="6">
        <v>3.6830119894580098</v>
      </c>
      <c r="J608" s="6">
        <v>28.850119852451801</v>
      </c>
      <c r="K608" s="6">
        <v>1.1135779404231001</v>
      </c>
      <c r="L608" s="7">
        <v>73</v>
      </c>
    </row>
    <row r="609" spans="5:12" ht="15" customHeight="1">
      <c r="E609" s="6">
        <v>1.62835580932011</v>
      </c>
      <c r="F609" s="6">
        <v>4.1648435971427196</v>
      </c>
      <c r="G609" s="6">
        <v>28.5013051892779</v>
      </c>
      <c r="H609" s="6">
        <v>1.9063432284617501</v>
      </c>
      <c r="I609" s="6">
        <v>4.1388939996393601</v>
      </c>
      <c r="J609" s="6">
        <v>31.932918240133599</v>
      </c>
      <c r="K609" s="6">
        <v>1.1126407787360999</v>
      </c>
      <c r="L609" s="7">
        <v>72</v>
      </c>
    </row>
    <row r="610" spans="5:12" ht="15" customHeight="1">
      <c r="E610" s="6">
        <v>1.5060556598304999</v>
      </c>
      <c r="F610" s="6">
        <v>4.1175756822051399</v>
      </c>
      <c r="G610" s="6">
        <v>25.857334407257699</v>
      </c>
      <c r="H610" s="6">
        <v>2.2038768948688499</v>
      </c>
      <c r="I610" s="6">
        <v>3.4140012901342902</v>
      </c>
      <c r="J610" s="6">
        <v>33.802440342891899</v>
      </c>
      <c r="K610" s="6">
        <v>1.1026666286000899</v>
      </c>
      <c r="L610" s="7">
        <v>71</v>
      </c>
    </row>
    <row r="611" spans="5:12" ht="15" customHeight="1">
      <c r="E611" s="6">
        <v>1.4249526825919501</v>
      </c>
      <c r="F611" s="6">
        <v>4.1923964174940798</v>
      </c>
      <c r="G611" s="6">
        <v>24.873831888891701</v>
      </c>
      <c r="H611" s="6">
        <v>2.04558259511048</v>
      </c>
      <c r="I611" s="6">
        <v>3.4608283962333202</v>
      </c>
      <c r="J611" s="6">
        <v>33.392321220563403</v>
      </c>
      <c r="K611" s="6">
        <v>1.10662037613443</v>
      </c>
      <c r="L611" s="7">
        <v>70</v>
      </c>
    </row>
    <row r="612" spans="5:12" ht="15" customHeight="1">
      <c r="E612" s="6">
        <v>1.3451916020991499</v>
      </c>
      <c r="F612" s="6">
        <v>4.1475577453279104</v>
      </c>
      <c r="G612" s="6">
        <v>24.0891015498425</v>
      </c>
      <c r="H612" s="6">
        <v>1.9111236901608399</v>
      </c>
      <c r="I612" s="6">
        <v>3.5042782314671301</v>
      </c>
      <c r="J612" s="6">
        <v>36.103802428166297</v>
      </c>
      <c r="K612" s="6">
        <v>1.09562223137218</v>
      </c>
      <c r="L612" s="7">
        <v>69</v>
      </c>
    </row>
    <row r="613" spans="5:12" ht="15" customHeight="1">
      <c r="E613" s="6">
        <v>1.38190363075731</v>
      </c>
      <c r="F613" s="6">
        <v>4.1683969040850197</v>
      </c>
      <c r="G613" s="6">
        <v>26.145558780387798</v>
      </c>
      <c r="H613" s="6">
        <v>1.9385419349597901</v>
      </c>
      <c r="I613" s="6">
        <v>3.43991814796009</v>
      </c>
      <c r="J613" s="6">
        <v>33.3667869908857</v>
      </c>
      <c r="K613" s="6">
        <v>1.0816208657112101</v>
      </c>
      <c r="L613" s="7">
        <v>68</v>
      </c>
    </row>
    <row r="614" spans="5:12" ht="15" customHeight="1">
      <c r="E614" s="6">
        <v>1.35472252171642</v>
      </c>
      <c r="F614" s="6">
        <v>4.2646419753650298</v>
      </c>
      <c r="G614" s="6">
        <v>27.4254297969864</v>
      </c>
      <c r="H614" s="6">
        <v>2.0075699800999698</v>
      </c>
      <c r="I614" s="6">
        <v>3.6545608396162299</v>
      </c>
      <c r="J614" s="6">
        <v>33.794283123836102</v>
      </c>
      <c r="K614" s="6">
        <v>1.08687812279052</v>
      </c>
      <c r="L614" s="7">
        <v>67</v>
      </c>
    </row>
    <row r="615" spans="5:12" ht="15" customHeight="1">
      <c r="E615" s="6">
        <v>1.4399969173010101</v>
      </c>
      <c r="F615" s="6">
        <v>4.16067370134523</v>
      </c>
      <c r="G615" s="6">
        <v>27.635395934804901</v>
      </c>
      <c r="H615" s="6">
        <v>2.1148339001828198</v>
      </c>
      <c r="I615" s="6">
        <v>3.3797483192806399</v>
      </c>
      <c r="J615" s="6">
        <v>34.804664746685198</v>
      </c>
      <c r="K615" s="6">
        <v>1.0798409926947501</v>
      </c>
      <c r="L615" s="7">
        <v>66</v>
      </c>
    </row>
    <row r="616" spans="5:12" ht="15" customHeight="1">
      <c r="E616" s="6">
        <v>1.3631157515785699</v>
      </c>
      <c r="F616" s="6">
        <v>4.2240885727228701</v>
      </c>
      <c r="G616" s="6">
        <v>25.591078073515501</v>
      </c>
      <c r="H616" s="6">
        <v>1.89630544673277</v>
      </c>
      <c r="I616" s="6">
        <v>3.8883505171614599</v>
      </c>
      <c r="J616" s="6">
        <v>31.471849955420701</v>
      </c>
      <c r="K616" s="6">
        <v>1.0796390129329001</v>
      </c>
      <c r="L616" s="7">
        <v>65</v>
      </c>
    </row>
    <row r="617" spans="5:12" ht="15" customHeight="1">
      <c r="E617" s="6">
        <v>1.24995999522807</v>
      </c>
      <c r="F617" s="6">
        <v>4.2665621100870501</v>
      </c>
      <c r="G617" s="6">
        <v>27.0008538261316</v>
      </c>
      <c r="H617" s="6">
        <v>1.9207054162319599</v>
      </c>
      <c r="I617" s="6">
        <v>3.4387115068814298</v>
      </c>
      <c r="J617" s="6">
        <v>33.267533306806897</v>
      </c>
      <c r="K617" s="6">
        <v>1.06913186739684</v>
      </c>
      <c r="L617" s="7">
        <v>64</v>
      </c>
    </row>
    <row r="618" spans="5:12" ht="15" customHeight="1">
      <c r="E618" s="6">
        <v>1.14926996150938</v>
      </c>
      <c r="F618" s="6">
        <v>4.18762840009322</v>
      </c>
      <c r="G618" s="6">
        <v>27.542066604599501</v>
      </c>
      <c r="H618" s="6">
        <v>2.1111140007769098</v>
      </c>
      <c r="I618" s="6">
        <v>3.1994435213394401</v>
      </c>
      <c r="J618" s="6">
        <v>31.014725589153102</v>
      </c>
      <c r="K618" s="6">
        <v>1.06692755101286</v>
      </c>
      <c r="L618" s="7">
        <v>63</v>
      </c>
    </row>
    <row r="619" spans="5:12" ht="15" customHeight="1">
      <c r="E619" s="6">
        <v>1.26399515363258</v>
      </c>
      <c r="F619" s="6">
        <v>4.1664794450077398</v>
      </c>
      <c r="G619" s="6">
        <v>27.326450960495801</v>
      </c>
      <c r="H619" s="6">
        <v>2.0962730419903499</v>
      </c>
      <c r="I619" s="6">
        <v>3.6101888729967699</v>
      </c>
      <c r="J619" s="6">
        <v>32.094178172447599</v>
      </c>
      <c r="K619" s="6">
        <v>1.0630940890929901</v>
      </c>
      <c r="L619" s="7">
        <v>62</v>
      </c>
    </row>
    <row r="620" spans="5:12" ht="15" customHeight="1">
      <c r="E620" s="6">
        <v>1.3096407783022499</v>
      </c>
      <c r="F620" s="6">
        <v>4.1900315928747798</v>
      </c>
      <c r="G620" s="6">
        <v>27.277409662437702</v>
      </c>
      <c r="H620" s="6">
        <v>2.0103746358354702</v>
      </c>
      <c r="I620" s="6">
        <v>3.3136135936717102</v>
      </c>
      <c r="J620" s="6">
        <v>33.4768200386047</v>
      </c>
      <c r="K620" s="6">
        <v>1.05751950591754</v>
      </c>
      <c r="L620" s="7">
        <v>61</v>
      </c>
    </row>
    <row r="621" spans="5:12" ht="15" customHeight="1">
      <c r="E621" s="6">
        <v>1.39932228038699</v>
      </c>
      <c r="F621" s="6">
        <v>4.1306763337169103</v>
      </c>
      <c r="G621" s="6">
        <v>26.765855039863101</v>
      </c>
      <c r="H621" s="6">
        <v>1.9888032010088901</v>
      </c>
      <c r="I621" s="6">
        <v>3.4014620222413501</v>
      </c>
      <c r="J621" s="6">
        <v>35.666867607376297</v>
      </c>
      <c r="K621" s="6">
        <v>1.0398120474155299</v>
      </c>
      <c r="L621" s="7">
        <v>60</v>
      </c>
    </row>
    <row r="622" spans="5:12" ht="15" customHeight="1">
      <c r="E622" s="6">
        <v>1.3741856525694101</v>
      </c>
      <c r="F622" s="6">
        <v>4.1507015913070902</v>
      </c>
      <c r="G622" s="6">
        <v>29.412517466951901</v>
      </c>
      <c r="H622" s="6">
        <v>1.9697517943801499</v>
      </c>
      <c r="I622" s="6">
        <v>3.2777036462393201</v>
      </c>
      <c r="J622" s="6">
        <v>34.326830855951599</v>
      </c>
      <c r="K622" s="6">
        <v>1.0435458012147201</v>
      </c>
      <c r="L622" s="7">
        <v>59</v>
      </c>
    </row>
    <row r="623" spans="5:12" ht="15" customHeight="1">
      <c r="E623" s="6">
        <v>1.4221904151800999</v>
      </c>
      <c r="F623" s="6">
        <v>4.22630081161316</v>
      </c>
      <c r="G623" s="6">
        <v>29.6844795037869</v>
      </c>
      <c r="H623" s="6">
        <v>1.9677774818493801</v>
      </c>
      <c r="I623" s="6">
        <v>3.8677229946941698</v>
      </c>
      <c r="J623" s="6">
        <v>32.2122951499151</v>
      </c>
      <c r="K623" s="6">
        <v>1.0369047463279299</v>
      </c>
      <c r="L623" s="7">
        <v>58</v>
      </c>
    </row>
    <row r="624" spans="5:12" ht="15" customHeight="1">
      <c r="E624" s="6">
        <v>1.26860635891901</v>
      </c>
      <c r="F624" s="6">
        <v>4.2200721293534</v>
      </c>
      <c r="G624" s="6">
        <v>27.3881157440142</v>
      </c>
      <c r="H624" s="6">
        <v>2.0652121464579198</v>
      </c>
      <c r="I624" s="6">
        <v>3.8787403702803598</v>
      </c>
      <c r="J624" s="6">
        <v>33.622182401588702</v>
      </c>
      <c r="K624" s="6">
        <v>1.0319970804322001</v>
      </c>
      <c r="L624" s="7">
        <v>57</v>
      </c>
    </row>
    <row r="625" spans="5:12" ht="15" customHeight="1">
      <c r="E625" s="6">
        <v>1.5538465279493401</v>
      </c>
      <c r="F625" s="6">
        <v>4.1389001468369804</v>
      </c>
      <c r="G625" s="6">
        <v>27.583995448267</v>
      </c>
      <c r="H625" s="6">
        <v>2.0675214828438002</v>
      </c>
      <c r="I625" s="6">
        <v>3.7693941291759998</v>
      </c>
      <c r="J625" s="6">
        <v>35.003422757984197</v>
      </c>
      <c r="K625" s="6">
        <v>1.0324481343015199</v>
      </c>
      <c r="L625" s="7">
        <v>56</v>
      </c>
    </row>
    <row r="626" spans="5:12" ht="15" customHeight="1">
      <c r="E626" s="6">
        <v>1.36094905811179</v>
      </c>
      <c r="F626" s="6">
        <v>4.1845930689192796</v>
      </c>
      <c r="G626" s="6">
        <v>25.965742093816498</v>
      </c>
      <c r="H626" s="6">
        <v>1.99607440961307</v>
      </c>
      <c r="I626" s="6">
        <v>3.63043893954594</v>
      </c>
      <c r="J626" s="6">
        <v>30.6686323608468</v>
      </c>
      <c r="K626" s="6">
        <v>1.02725529716583</v>
      </c>
      <c r="L626" s="7">
        <v>55</v>
      </c>
    </row>
    <row r="627" spans="5:12" ht="15" customHeight="1">
      <c r="E627" s="6">
        <v>1.3678960631767401</v>
      </c>
      <c r="F627" s="6">
        <v>4.2073453729227301</v>
      </c>
      <c r="G627" s="6">
        <v>27.307496118034301</v>
      </c>
      <c r="H627" s="6">
        <v>2.15441920661315</v>
      </c>
      <c r="I627" s="6">
        <v>3.3103925102127598</v>
      </c>
      <c r="J627" s="6">
        <v>30.909815535742599</v>
      </c>
      <c r="K627" s="6">
        <v>1.01059773830553</v>
      </c>
      <c r="L627" s="7">
        <v>54</v>
      </c>
    </row>
    <row r="628" spans="5:12" ht="15" customHeight="1">
      <c r="E628" s="6">
        <v>1.4114360874971199</v>
      </c>
      <c r="F628" s="6">
        <v>4.2245752496639</v>
      </c>
      <c r="G628" s="6">
        <v>23.8225415454882</v>
      </c>
      <c r="H628" s="6">
        <v>2.1394162084945099</v>
      </c>
      <c r="I628" s="6">
        <v>2.81472240292047</v>
      </c>
      <c r="J628" s="6">
        <v>33.990637211187298</v>
      </c>
      <c r="K628" s="6">
        <v>1.01104772992449</v>
      </c>
      <c r="L628" s="7">
        <v>53</v>
      </c>
    </row>
    <row r="629" spans="5:12" ht="15" customHeight="1">
      <c r="E629" s="6">
        <v>1.4791038444289999</v>
      </c>
      <c r="F629" s="6">
        <v>4.2341737815578204</v>
      </c>
      <c r="G629" s="6">
        <v>24.554464136595399</v>
      </c>
      <c r="H629" s="6">
        <v>1.9919959055004099</v>
      </c>
      <c r="I629" s="6">
        <v>3.3996642505071302</v>
      </c>
      <c r="J629" s="6">
        <v>34.0394556960335</v>
      </c>
      <c r="K629" s="6">
        <v>1.0035119414026901</v>
      </c>
      <c r="L629" s="7">
        <v>52</v>
      </c>
    </row>
    <row r="630" spans="5:12" ht="15" customHeight="1">
      <c r="E630" s="6">
        <v>1.47564751075226</v>
      </c>
      <c r="F630" s="6">
        <v>4.1787798438640102</v>
      </c>
      <c r="G630" s="6">
        <v>26.929509139019601</v>
      </c>
      <c r="H630" s="6">
        <v>2.0317877488553799</v>
      </c>
      <c r="I630" s="6">
        <v>3.8146528015920902</v>
      </c>
      <c r="J630" s="6">
        <v>32.198632684482597</v>
      </c>
      <c r="K630" s="6">
        <v>0.99398500868510498</v>
      </c>
      <c r="L630" s="7">
        <v>51</v>
      </c>
    </row>
    <row r="631" spans="5:12" ht="15" customHeight="1">
      <c r="E631" s="6">
        <v>1.36116773059598</v>
      </c>
      <c r="F631" s="6">
        <v>4.2268305710564702</v>
      </c>
      <c r="G631" s="6">
        <v>26.584181381711801</v>
      </c>
      <c r="H631" s="6">
        <v>2.1562939948731099</v>
      </c>
      <c r="I631" s="6">
        <v>3.19991295974804</v>
      </c>
      <c r="J631" s="6">
        <v>32.619145910348202</v>
      </c>
      <c r="K631" s="6">
        <v>1.00238530852814</v>
      </c>
      <c r="L631" s="7">
        <v>50</v>
      </c>
    </row>
    <row r="632" spans="5:12" ht="15" customHeight="1">
      <c r="E632" s="6">
        <v>1.34820173103318</v>
      </c>
      <c r="F632" s="6">
        <v>4.1534337560486696</v>
      </c>
      <c r="G632" s="6">
        <v>26.064314013697398</v>
      </c>
      <c r="H632" s="6">
        <v>2.00818250205386</v>
      </c>
      <c r="I632" s="6">
        <v>3.5173483879010701</v>
      </c>
      <c r="J632" s="6">
        <v>34.835571310042297</v>
      </c>
      <c r="K632" s="6">
        <v>0.99551706001125895</v>
      </c>
      <c r="L632" s="7">
        <v>49</v>
      </c>
    </row>
    <row r="633" spans="5:12" ht="15" customHeight="1">
      <c r="E633" s="6">
        <v>1.47785466493798</v>
      </c>
      <c r="F633" s="6">
        <v>4.2348049860914303</v>
      </c>
      <c r="G633" s="6">
        <v>25.620383803163701</v>
      </c>
      <c r="H633" s="6">
        <v>2.0786026233469701</v>
      </c>
      <c r="I633" s="6">
        <v>3.4067118552954998</v>
      </c>
      <c r="J633" s="6">
        <v>33.279450440272598</v>
      </c>
      <c r="K633" s="6">
        <v>0.98065207579490499</v>
      </c>
      <c r="L633" s="7">
        <v>48</v>
      </c>
    </row>
    <row r="634" spans="5:12" ht="15" customHeight="1">
      <c r="E634" s="6">
        <v>1.50347048679744</v>
      </c>
      <c r="F634" s="6">
        <v>4.24110710569225</v>
      </c>
      <c r="G634" s="6">
        <v>27.060500324736399</v>
      </c>
      <c r="H634" s="6">
        <v>2.0512529219882398</v>
      </c>
      <c r="I634" s="6">
        <v>3.2568029901114901</v>
      </c>
      <c r="J634" s="6">
        <v>34.453375937712501</v>
      </c>
      <c r="K634" s="6">
        <v>0.975392443019795</v>
      </c>
      <c r="L634" s="7">
        <v>47</v>
      </c>
    </row>
    <row r="635" spans="5:12" ht="15" customHeight="1">
      <c r="E635" s="6">
        <v>1.3651321197435</v>
      </c>
      <c r="F635" s="6">
        <v>4.1439764916490098</v>
      </c>
      <c r="G635" s="6">
        <v>25.746049776895099</v>
      </c>
      <c r="H635" s="6">
        <v>2.0240688647212499</v>
      </c>
      <c r="I635" s="6">
        <v>3.3654018018709002</v>
      </c>
      <c r="J635" s="6">
        <v>34.031408007232997</v>
      </c>
      <c r="K635" s="6">
        <v>0.98535337419982005</v>
      </c>
      <c r="L635" s="7">
        <v>46</v>
      </c>
    </row>
    <row r="636" spans="5:12" ht="15" customHeight="1">
      <c r="E636" s="6">
        <v>1.48804223761196</v>
      </c>
      <c r="F636" s="6">
        <v>4.2404824739212001</v>
      </c>
      <c r="G636" s="6">
        <v>28.856160187118601</v>
      </c>
      <c r="H636" s="6">
        <v>1.9831388697752901</v>
      </c>
      <c r="I636" s="6">
        <v>3.8693435728179102</v>
      </c>
      <c r="J636" s="6">
        <v>29.8853386364862</v>
      </c>
      <c r="K636" s="6">
        <v>0.97426826016022605</v>
      </c>
      <c r="L636" s="7">
        <v>45</v>
      </c>
    </row>
    <row r="637" spans="5:12" ht="15" customHeight="1">
      <c r="E637" s="6">
        <v>1.36336180647991</v>
      </c>
      <c r="F637" s="6">
        <v>4.1570469954080798</v>
      </c>
      <c r="G637" s="6">
        <v>29.192679621100101</v>
      </c>
      <c r="H637" s="6">
        <v>2.0879354144692002</v>
      </c>
      <c r="I637" s="6">
        <v>3.13991749955512</v>
      </c>
      <c r="J637" s="6">
        <v>33.387157966850197</v>
      </c>
      <c r="K637" s="6">
        <v>0.967584586094697</v>
      </c>
      <c r="L637" s="7">
        <v>44</v>
      </c>
    </row>
    <row r="638" spans="5:12" ht="15" customHeight="1">
      <c r="E638" s="6">
        <v>1.47600218945551</v>
      </c>
      <c r="F638" s="6">
        <v>4.2092224160167904</v>
      </c>
      <c r="G638" s="6">
        <v>28.1137328020422</v>
      </c>
      <c r="H638" s="6">
        <v>2.2100531924926798</v>
      </c>
      <c r="I638" s="6">
        <v>3.4681655461407601</v>
      </c>
      <c r="J638" s="6">
        <v>33.464666205660897</v>
      </c>
      <c r="K638" s="6">
        <v>0.96622192266120399</v>
      </c>
      <c r="L638" s="7">
        <v>43</v>
      </c>
    </row>
    <row r="639" spans="5:12" ht="15" customHeight="1">
      <c r="E639" s="6">
        <v>1.3385854581248799</v>
      </c>
      <c r="F639" s="6">
        <v>4.2021118817746697</v>
      </c>
      <c r="G639" s="6">
        <v>26.852982593175401</v>
      </c>
      <c r="H639" s="6">
        <v>2.1681515686021999</v>
      </c>
      <c r="I639" s="6">
        <v>3.3028029979747502</v>
      </c>
      <c r="J639" s="6">
        <v>32.4801630680793</v>
      </c>
      <c r="K639" s="6">
        <v>0.96009711422877397</v>
      </c>
      <c r="L639" s="7">
        <v>42</v>
      </c>
    </row>
    <row r="640" spans="5:12" ht="15" customHeight="1">
      <c r="E640" s="6">
        <v>1.30783289565564</v>
      </c>
      <c r="F640" s="6">
        <v>4.1369766019045704</v>
      </c>
      <c r="G640" s="6">
        <v>28.0543592779653</v>
      </c>
      <c r="H640" s="6">
        <v>1.9742585376873301</v>
      </c>
      <c r="I640" s="6">
        <v>3.0151773022175199</v>
      </c>
      <c r="J640" s="6">
        <v>33.084582492166199</v>
      </c>
      <c r="K640" s="6">
        <v>0.95100046709118202</v>
      </c>
      <c r="L640" s="7">
        <v>41</v>
      </c>
    </row>
    <row r="641" spans="5:12" ht="15" customHeight="1">
      <c r="E641" s="6">
        <v>1.27156915928891</v>
      </c>
      <c r="F641" s="6">
        <v>4.3002684873196797</v>
      </c>
      <c r="G641" s="6">
        <v>27.493657781602099</v>
      </c>
      <c r="H641" s="6">
        <v>2.0330473420465101</v>
      </c>
      <c r="I641" s="6">
        <v>3.4932639006317001</v>
      </c>
      <c r="J641" s="6">
        <v>30.651554203888299</v>
      </c>
      <c r="K641" s="6">
        <v>0.95547257756542503</v>
      </c>
      <c r="L641" s="7">
        <v>40</v>
      </c>
    </row>
    <row r="642" spans="5:12" ht="15" customHeight="1">
      <c r="E642" s="6">
        <v>1.5113326103649001</v>
      </c>
      <c r="F642" s="6">
        <v>4.2638956638667196</v>
      </c>
      <c r="G642" s="6">
        <v>28.747268796019998</v>
      </c>
      <c r="H642" s="6">
        <v>1.83110547669491</v>
      </c>
      <c r="I642" s="6">
        <v>3.2449962223401201</v>
      </c>
      <c r="J642" s="6">
        <v>31.9921978761896</v>
      </c>
      <c r="K642" s="6">
        <v>0.92932539327363695</v>
      </c>
      <c r="L642" s="7">
        <v>39</v>
      </c>
    </row>
    <row r="643" spans="5:12" ht="15" customHeight="1">
      <c r="E643" s="6">
        <v>1.39874388540168</v>
      </c>
      <c r="F643" s="6">
        <v>4.1906365161814598</v>
      </c>
      <c r="G643" s="6">
        <v>26.134994862545401</v>
      </c>
      <c r="H643" s="6">
        <v>1.9567419956333301</v>
      </c>
      <c r="I643" s="6">
        <v>3.47951448790108</v>
      </c>
      <c r="J643" s="6">
        <v>28.909717651272501</v>
      </c>
      <c r="K643" s="6">
        <v>0.94770265699254497</v>
      </c>
      <c r="L643" s="7">
        <v>38</v>
      </c>
    </row>
    <row r="644" spans="5:12" ht="15" customHeight="1">
      <c r="E644" s="6">
        <v>1.68960175827224</v>
      </c>
      <c r="F644" s="6">
        <v>4.2270843988656104</v>
      </c>
      <c r="G644" s="6">
        <v>24.754823008959701</v>
      </c>
      <c r="H644" s="6">
        <v>1.93385532529661</v>
      </c>
      <c r="I644" s="6">
        <v>3.03831233037966</v>
      </c>
      <c r="J644" s="6">
        <v>32.0816575995565</v>
      </c>
      <c r="K644" s="6">
        <v>0.92961392216254302</v>
      </c>
      <c r="L644" s="7">
        <v>37</v>
      </c>
    </row>
    <row r="645" spans="5:12" ht="15" customHeight="1">
      <c r="E645" s="6">
        <v>1.20753806430855</v>
      </c>
      <c r="F645" s="6">
        <v>4.19339204654848</v>
      </c>
      <c r="G645" s="6">
        <v>29.479802451181499</v>
      </c>
      <c r="H645" s="6">
        <v>2.08516380201729</v>
      </c>
      <c r="I645" s="6">
        <v>3.7917895441864</v>
      </c>
      <c r="J645" s="6">
        <v>33.887573302222201</v>
      </c>
      <c r="K645" s="6">
        <v>0.926767291601442</v>
      </c>
      <c r="L645" s="7">
        <v>36</v>
      </c>
    </row>
    <row r="646" spans="5:12" ht="15" customHeight="1">
      <c r="E646" s="6">
        <v>1.4423247458828099</v>
      </c>
      <c r="F646" s="6">
        <v>4.2224444755323898</v>
      </c>
      <c r="G646" s="6">
        <v>25.832124766681599</v>
      </c>
      <c r="H646" s="6">
        <v>1.92281379823113</v>
      </c>
      <c r="I646" s="6">
        <v>3.0552288602258599</v>
      </c>
      <c r="J646" s="6">
        <v>30.722749164718099</v>
      </c>
      <c r="K646" s="6">
        <v>0.91964371049642502</v>
      </c>
      <c r="L646" s="7">
        <v>35</v>
      </c>
    </row>
    <row r="647" spans="5:12" ht="15" customHeight="1">
      <c r="E647" s="6">
        <v>1.34637793958996</v>
      </c>
      <c r="F647" s="6">
        <v>4.2742723316560696</v>
      </c>
      <c r="G647" s="6">
        <v>26.871479182351099</v>
      </c>
      <c r="H647" s="6">
        <v>2.1191329088392101</v>
      </c>
      <c r="I647" s="6">
        <v>3.7764911383255502</v>
      </c>
      <c r="J647" s="6">
        <v>33.664149893311802</v>
      </c>
      <c r="K647" s="6">
        <v>0.923677357335844</v>
      </c>
      <c r="L647" s="7">
        <v>34</v>
      </c>
    </row>
    <row r="648" spans="5:12" ht="15" customHeight="1">
      <c r="E648" s="6">
        <v>1.4328381387884901</v>
      </c>
      <c r="F648" s="6">
        <v>4.2015717330254496</v>
      </c>
      <c r="G648" s="6">
        <v>28.000808344618299</v>
      </c>
      <c r="H648" s="6">
        <v>2.0208472803487401</v>
      </c>
      <c r="I648" s="6">
        <v>3.3834210004434899</v>
      </c>
      <c r="J648" s="6">
        <v>30.301335589290399</v>
      </c>
      <c r="K648" s="6">
        <v>0.91174607125432805</v>
      </c>
      <c r="L648" s="7">
        <v>33</v>
      </c>
    </row>
    <row r="649" spans="5:12" ht="15" customHeight="1">
      <c r="E649" s="6">
        <v>1.6493484324599601</v>
      </c>
      <c r="F649" s="6">
        <v>4.2306237825138302</v>
      </c>
      <c r="G649" s="6">
        <v>28.026538862581202</v>
      </c>
      <c r="H649" s="6">
        <v>1.9823296363910701</v>
      </c>
      <c r="I649" s="6">
        <v>3.3393784876084198</v>
      </c>
      <c r="J649" s="6">
        <v>32.620050685262001</v>
      </c>
      <c r="K649" s="6">
        <v>0.90222314465100995</v>
      </c>
      <c r="L649" s="7">
        <v>32</v>
      </c>
    </row>
    <row r="650" spans="5:12" ht="15" customHeight="1">
      <c r="E650" s="6">
        <v>1.38332569525432</v>
      </c>
      <c r="F650" s="6">
        <v>4.2754426081945001</v>
      </c>
      <c r="G650" s="6">
        <v>27.1300796646597</v>
      </c>
      <c r="H650" s="6">
        <v>1.9396025277476301</v>
      </c>
      <c r="I650" s="6">
        <v>3.7473682756631002</v>
      </c>
      <c r="J650" s="6">
        <v>36.080377780112698</v>
      </c>
      <c r="K650" s="6">
        <v>0.90119170150793004</v>
      </c>
      <c r="L650" s="7">
        <v>31</v>
      </c>
    </row>
    <row r="651" spans="5:12" ht="15" customHeight="1">
      <c r="E651" s="6">
        <v>1.4604931418267399</v>
      </c>
      <c r="F651" s="6">
        <v>4.2116120523540497</v>
      </c>
      <c r="G651" s="6">
        <v>26.496900525594</v>
      </c>
      <c r="H651" s="6">
        <v>2.07350643674472</v>
      </c>
      <c r="I651" s="6">
        <v>3.8602726036895199</v>
      </c>
      <c r="J651" s="6">
        <v>33.173439279256797</v>
      </c>
      <c r="K651" s="6">
        <v>0.90660924540321197</v>
      </c>
      <c r="L651" s="7">
        <v>30</v>
      </c>
    </row>
    <row r="652" spans="5:12" ht="15" customHeight="1">
      <c r="E652" s="6">
        <v>1.27829588253075</v>
      </c>
      <c r="F652" s="6">
        <v>4.2107510909865198</v>
      </c>
      <c r="G652" s="6">
        <v>28.508676770178202</v>
      </c>
      <c r="H652" s="6">
        <v>2.1117631451083101</v>
      </c>
      <c r="I652" s="6">
        <v>3.7551896269835301</v>
      </c>
      <c r="J652" s="6">
        <v>33.315625152506101</v>
      </c>
      <c r="K652" s="6">
        <v>0.88827197362985899</v>
      </c>
      <c r="L652" s="7">
        <v>29</v>
      </c>
    </row>
    <row r="653" spans="5:12" ht="15" customHeight="1">
      <c r="E653" s="6">
        <v>1.19155894316945</v>
      </c>
      <c r="F653" s="6">
        <v>4.2666158114634696</v>
      </c>
      <c r="G653" s="6">
        <v>26.410966861867799</v>
      </c>
      <c r="H653" s="6">
        <v>2.2466073516415599</v>
      </c>
      <c r="I653" s="6">
        <v>3.1519173915040799</v>
      </c>
      <c r="J653" s="6">
        <v>33.400635478350097</v>
      </c>
      <c r="K653" s="6">
        <v>0.89649640445294898</v>
      </c>
      <c r="L653" s="7">
        <v>28</v>
      </c>
    </row>
    <row r="654" spans="5:12" ht="15" customHeight="1">
      <c r="E654" s="6">
        <v>1.4800243140257301</v>
      </c>
      <c r="F654" s="6">
        <v>4.1460768385443103</v>
      </c>
      <c r="G654" s="6">
        <v>27.797440969564398</v>
      </c>
      <c r="H654" s="6">
        <v>1.87032400449418</v>
      </c>
      <c r="I654" s="6">
        <v>3.5126874444259499</v>
      </c>
      <c r="J654" s="6">
        <v>30.558806809997701</v>
      </c>
      <c r="K654" s="6">
        <v>0.88278346425296195</v>
      </c>
      <c r="L654" s="7">
        <v>27</v>
      </c>
    </row>
    <row r="655" spans="5:12" ht="15" customHeight="1">
      <c r="E655" s="6">
        <v>1.4704971450739199</v>
      </c>
      <c r="F655" s="6">
        <v>4.1605282480113503</v>
      </c>
      <c r="G655" s="6">
        <v>28.3975846309216</v>
      </c>
      <c r="H655" s="6">
        <v>1.88755352422098</v>
      </c>
      <c r="I655" s="6">
        <v>3.9437355474879201</v>
      </c>
      <c r="J655" s="6">
        <v>37.4455375835757</v>
      </c>
      <c r="K655" s="6">
        <v>0.887045711926017</v>
      </c>
      <c r="L655" s="7">
        <v>26</v>
      </c>
    </row>
    <row r="656" spans="5:12" ht="15" customHeight="1">
      <c r="E656" s="6">
        <v>1.2593694266917601</v>
      </c>
      <c r="F656" s="6">
        <v>4.15708771429503</v>
      </c>
      <c r="G656" s="6">
        <v>26.5453001931761</v>
      </c>
      <c r="H656" s="6">
        <v>1.9892793251049801</v>
      </c>
      <c r="I656" s="6">
        <v>3.0350645722558598</v>
      </c>
      <c r="J656" s="6">
        <v>33.490741426103398</v>
      </c>
      <c r="K656" s="6">
        <v>0.87228578892034503</v>
      </c>
      <c r="L656" s="7">
        <v>25</v>
      </c>
    </row>
    <row r="657" spans="5:12" ht="15" customHeight="1">
      <c r="E657" s="6">
        <v>1.56350068144704</v>
      </c>
      <c r="F657" s="6">
        <v>4.1289240846203503</v>
      </c>
      <c r="G657" s="6">
        <v>29.9684016985086</v>
      </c>
      <c r="H657" s="6">
        <v>2.1342430659743199</v>
      </c>
      <c r="I657" s="6">
        <v>3.16724846857303</v>
      </c>
      <c r="J657" s="6">
        <v>33.937700445529302</v>
      </c>
      <c r="K657" s="6">
        <v>0.87276237957602898</v>
      </c>
      <c r="L657" s="7">
        <v>24</v>
      </c>
    </row>
    <row r="658" spans="5:12" ht="15" customHeight="1">
      <c r="E658" s="6">
        <v>1.6094780400072399</v>
      </c>
      <c r="F658" s="6">
        <v>4.2586264752025098</v>
      </c>
      <c r="G658" s="6">
        <v>26.931967272992999</v>
      </c>
      <c r="H658" s="6">
        <v>1.9251700212354299</v>
      </c>
      <c r="I658" s="6">
        <v>3.5676116491963001</v>
      </c>
      <c r="J658" s="6">
        <v>32.844669464350801</v>
      </c>
      <c r="K658" s="6">
        <v>0.86592052637116501</v>
      </c>
      <c r="L658" s="7">
        <v>23</v>
      </c>
    </row>
    <row r="659" spans="5:12" ht="15" customHeight="1">
      <c r="E659" s="6">
        <v>1.27872409397299</v>
      </c>
      <c r="F659" s="6">
        <v>4.2054837626046604</v>
      </c>
      <c r="G659" s="6">
        <v>29.0250972765485</v>
      </c>
      <c r="H659" s="6">
        <v>2.1942868560724902</v>
      </c>
      <c r="I659" s="6">
        <v>3.3671421655174498</v>
      </c>
      <c r="J659" s="6">
        <v>32.3269489232732</v>
      </c>
      <c r="K659" s="6">
        <v>0.85334834838636797</v>
      </c>
      <c r="L659" s="7">
        <v>22</v>
      </c>
    </row>
    <row r="660" spans="5:12" ht="15" customHeight="1">
      <c r="E660" s="6">
        <v>1.49743750938844</v>
      </c>
      <c r="F660" s="6">
        <v>4.1539639172495804</v>
      </c>
      <c r="G660" s="6">
        <v>27.1348629489841</v>
      </c>
      <c r="H660" s="6">
        <v>2.07145238797106</v>
      </c>
      <c r="I660" s="6">
        <v>4.1636727213146703</v>
      </c>
      <c r="J660" s="6">
        <v>32.498914785194501</v>
      </c>
      <c r="K660" s="6">
        <v>0.85271450875728905</v>
      </c>
      <c r="L660" s="7">
        <v>21</v>
      </c>
    </row>
    <row r="661" spans="5:12" ht="15" customHeight="1">
      <c r="E661" s="6">
        <v>1.49354904635393</v>
      </c>
      <c r="F661" s="6">
        <v>4.1902655934209401</v>
      </c>
      <c r="G661" s="6">
        <v>26.4875727884463</v>
      </c>
      <c r="H661" s="6">
        <v>1.9607594514872699</v>
      </c>
      <c r="I661" s="6">
        <v>3.4944657228894198</v>
      </c>
      <c r="J661" s="6">
        <v>33.286418600098301</v>
      </c>
      <c r="K661" s="6">
        <v>0.84988300276871898</v>
      </c>
      <c r="L661" s="7">
        <v>20</v>
      </c>
    </row>
    <row r="662" spans="5:12" ht="15" customHeight="1">
      <c r="E662" s="6">
        <v>1.5030517719408401</v>
      </c>
      <c r="F662" s="6">
        <v>4.1920699535795203</v>
      </c>
      <c r="G662" s="6">
        <v>26.396497806110101</v>
      </c>
      <c r="H662" s="6">
        <v>1.9383509564544299</v>
      </c>
      <c r="I662" s="6">
        <v>3.4802040802872898</v>
      </c>
      <c r="J662" s="6">
        <v>34.611131633516003</v>
      </c>
      <c r="K662" s="6">
        <v>0.85152718705154695</v>
      </c>
      <c r="L662" s="7">
        <v>19</v>
      </c>
    </row>
    <row r="663" spans="5:12" ht="15" customHeight="1">
      <c r="E663" s="6">
        <v>1.51300450034954</v>
      </c>
      <c r="F663" s="6">
        <v>4.1720806835252802</v>
      </c>
      <c r="G663" s="6">
        <v>29.287782850987298</v>
      </c>
      <c r="H663" s="6">
        <v>2.1303372786675201</v>
      </c>
      <c r="I663" s="6">
        <v>3.6179910714021402</v>
      </c>
      <c r="J663" s="6">
        <v>33.7481534742005</v>
      </c>
      <c r="K663" s="6">
        <v>0.84015150568385</v>
      </c>
      <c r="L663" s="7">
        <v>18</v>
      </c>
    </row>
    <row r="664" spans="5:12" ht="15" customHeight="1">
      <c r="E664" s="6">
        <v>1.3080180449783201</v>
      </c>
      <c r="F664" s="6">
        <v>4.2347842075497804</v>
      </c>
      <c r="G664" s="6">
        <v>26.48711586109</v>
      </c>
      <c r="H664" s="6">
        <v>1.9952291623604499</v>
      </c>
      <c r="I664" s="6">
        <v>3.1219252332783398</v>
      </c>
      <c r="J664" s="6">
        <v>32.382835135628603</v>
      </c>
      <c r="K664" s="6">
        <v>0.83426259892661903</v>
      </c>
      <c r="L664" s="7">
        <v>17</v>
      </c>
    </row>
    <row r="665" spans="5:12" ht="15" customHeight="1">
      <c r="E665" s="6">
        <v>1.3856959693803901</v>
      </c>
      <c r="F665" s="6">
        <v>4.1928654451948599</v>
      </c>
      <c r="G665" s="6">
        <v>25.037951623331999</v>
      </c>
      <c r="H665" s="6">
        <v>2.1339642772014802</v>
      </c>
      <c r="I665" s="6">
        <v>3.2935180728130802</v>
      </c>
      <c r="J665" s="6">
        <v>35.439492899477798</v>
      </c>
      <c r="K665" s="6">
        <v>0.82069967332690397</v>
      </c>
      <c r="L665" s="7">
        <v>16</v>
      </c>
    </row>
    <row r="666" spans="5:12" ht="15" customHeight="1">
      <c r="E666" s="6">
        <v>1.5708232270202001</v>
      </c>
      <c r="F666" s="6">
        <v>4.2524587210208997</v>
      </c>
      <c r="G666" s="6">
        <v>28.281977458753101</v>
      </c>
      <c r="H666" s="6">
        <v>1.85708481401138</v>
      </c>
      <c r="I666" s="6">
        <v>3.1209031290745601</v>
      </c>
      <c r="J666" s="6">
        <v>35.053177417651</v>
      </c>
      <c r="K666" s="6">
        <v>0.82616741530402604</v>
      </c>
      <c r="L666" s="7">
        <v>15</v>
      </c>
    </row>
    <row r="667" spans="5:12" ht="15" customHeight="1">
      <c r="E667" s="6">
        <v>1.5155814108199599</v>
      </c>
      <c r="F667" s="6">
        <v>4.2341870598231397</v>
      </c>
      <c r="G667" s="6">
        <v>27.1187508435887</v>
      </c>
      <c r="H667" s="6">
        <v>2.0252759287507902</v>
      </c>
      <c r="I667" s="6">
        <v>2.9302166985401699</v>
      </c>
      <c r="J667" s="6">
        <v>33.271316444944098</v>
      </c>
      <c r="K667" s="6">
        <v>0.81636005432022096</v>
      </c>
      <c r="L667" s="7">
        <v>14</v>
      </c>
    </row>
    <row r="668" spans="5:12" ht="15" customHeight="1">
      <c r="E668" s="6">
        <v>1.37623545285557</v>
      </c>
      <c r="F668" s="6">
        <v>4.2637775310663404</v>
      </c>
      <c r="G668" s="6">
        <v>29.187096807208999</v>
      </c>
      <c r="H668" s="6">
        <v>2.0214927934146001</v>
      </c>
      <c r="I668" s="6">
        <v>3.4940973077361699</v>
      </c>
      <c r="J668" s="6">
        <v>35.633749146433502</v>
      </c>
      <c r="K668" s="6">
        <v>0.81502692177877001</v>
      </c>
      <c r="L668" s="7">
        <v>13</v>
      </c>
    </row>
    <row r="669" spans="5:12" ht="15" customHeight="1">
      <c r="E669" s="6">
        <v>1.2357088585217599</v>
      </c>
      <c r="F669" s="6">
        <v>4.1583994009689897</v>
      </c>
      <c r="G669" s="6">
        <v>27.0517530190263</v>
      </c>
      <c r="H669" s="6">
        <v>2.1081345451073501</v>
      </c>
      <c r="I669" s="6">
        <v>3.7088970980681499</v>
      </c>
      <c r="J669" s="6">
        <v>32.887003432830703</v>
      </c>
      <c r="K669" s="6">
        <v>0.81050485841781295</v>
      </c>
      <c r="L669" s="7">
        <v>12</v>
      </c>
    </row>
    <row r="670" spans="5:12" ht="15" customHeight="1">
      <c r="E670" s="6">
        <v>1.36347183172312</v>
      </c>
      <c r="F670" s="6">
        <v>4.1893262399583904</v>
      </c>
      <c r="G670" s="6">
        <v>26.2107683905184</v>
      </c>
      <c r="H670" s="6">
        <v>1.9448308120640201</v>
      </c>
      <c r="I670" s="6">
        <v>3.7511922955469599</v>
      </c>
      <c r="J670" s="6">
        <v>31.499298351379799</v>
      </c>
      <c r="K670" s="6">
        <v>0.80833866926456299</v>
      </c>
      <c r="L670" s="7">
        <v>11</v>
      </c>
    </row>
    <row r="671" spans="5:12" ht="15" customHeight="1">
      <c r="E671" s="6">
        <v>1.3679699999016</v>
      </c>
      <c r="F671" s="6">
        <v>4.26763192259188</v>
      </c>
      <c r="G671" s="6">
        <v>28.569091513692399</v>
      </c>
      <c r="H671" s="6">
        <v>2.0205650203987999</v>
      </c>
      <c r="I671" s="6">
        <v>3.6536651440455699</v>
      </c>
      <c r="J671" s="6">
        <v>32.260300471402601</v>
      </c>
      <c r="K671" s="6">
        <v>0.80518447193861997</v>
      </c>
      <c r="L671" s="7">
        <v>10</v>
      </c>
    </row>
    <row r="672" spans="5:12" ht="15" customHeight="1">
      <c r="E672" s="6">
        <v>1.57770433142651</v>
      </c>
      <c r="F672" s="6">
        <v>4.25877643180959</v>
      </c>
      <c r="G672" s="6">
        <v>28.295081551180498</v>
      </c>
      <c r="H672" s="6">
        <v>2.14085056807646</v>
      </c>
      <c r="I672" s="6">
        <v>3.7282714380683899</v>
      </c>
      <c r="J672" s="6">
        <v>35.101512845178199</v>
      </c>
      <c r="K672" s="6">
        <v>0.79226349026425702</v>
      </c>
      <c r="L672" s="7">
        <v>9</v>
      </c>
    </row>
    <row r="673" spans="5:12" ht="15" customHeight="1">
      <c r="E673" s="6">
        <v>1.32921810449753</v>
      </c>
      <c r="F673" s="6">
        <v>4.2055324969797896</v>
      </c>
      <c r="G673" s="6">
        <v>29.5858205043716</v>
      </c>
      <c r="H673" s="6">
        <v>2.1049475507533399</v>
      </c>
      <c r="I673" s="6">
        <v>3.33508324953059</v>
      </c>
      <c r="J673" s="6">
        <v>32.494409336364697</v>
      </c>
      <c r="K673" s="6">
        <v>0.79610129959926701</v>
      </c>
      <c r="L673" s="7">
        <v>8</v>
      </c>
    </row>
    <row r="674" spans="5:12" ht="15" customHeight="1">
      <c r="E674" s="6">
        <v>1.5725245142006501</v>
      </c>
      <c r="F674" s="6">
        <v>4.2869535119295898</v>
      </c>
      <c r="G674" s="6">
        <v>27.754137329037199</v>
      </c>
      <c r="H674" s="6">
        <v>2.0111990327156999</v>
      </c>
      <c r="I674" s="6">
        <v>3.60991292850255</v>
      </c>
      <c r="J674" s="6">
        <v>36.489255536737602</v>
      </c>
      <c r="K674" s="6">
        <v>0.78813736393683398</v>
      </c>
      <c r="L674" s="7">
        <v>7</v>
      </c>
    </row>
    <row r="675" spans="5:12" ht="15" customHeight="1">
      <c r="E675" s="6">
        <v>1.3561254674884999</v>
      </c>
      <c r="F675" s="6">
        <v>4.1216617881180397</v>
      </c>
      <c r="G675" s="6">
        <v>26.651306379628402</v>
      </c>
      <c r="H675" s="6">
        <v>1.89143430820943</v>
      </c>
      <c r="I675" s="6">
        <v>4.0661690884801303</v>
      </c>
      <c r="J675" s="6">
        <v>32.366849600054401</v>
      </c>
      <c r="K675" s="6">
        <v>0.78084775882758495</v>
      </c>
      <c r="L675" s="7">
        <v>6</v>
      </c>
    </row>
    <row r="676" spans="5:12" ht="15" customHeight="1">
      <c r="E676" s="6">
        <v>1.3021210180446099</v>
      </c>
      <c r="F676" s="6">
        <v>4.1789464043400297</v>
      </c>
      <c r="G676" s="6">
        <v>25.092503440537399</v>
      </c>
      <c r="H676" s="6">
        <v>2.1043288534378202</v>
      </c>
      <c r="I676" s="6">
        <v>3.6840179470924999</v>
      </c>
      <c r="J676" s="6">
        <v>32.702047605229097</v>
      </c>
      <c r="K676" s="6">
        <v>0.77830867005597704</v>
      </c>
      <c r="L676" s="7">
        <v>5</v>
      </c>
    </row>
    <row r="677" spans="5:12" ht="15" customHeight="1">
      <c r="E677" s="6">
        <v>1.38140612563203</v>
      </c>
      <c r="F677" s="6">
        <v>4.2102305076814197</v>
      </c>
      <c r="G677" s="6">
        <v>25.5108769128231</v>
      </c>
      <c r="H677" s="6">
        <v>2.0376120436746699</v>
      </c>
      <c r="I677" s="6">
        <v>3.2980423360340398</v>
      </c>
      <c r="J677" s="6">
        <v>34.281705881687103</v>
      </c>
      <c r="K677" s="6">
        <v>0.76197044048538198</v>
      </c>
      <c r="L677" s="7">
        <v>4</v>
      </c>
    </row>
    <row r="678" spans="5:12" ht="15" customHeight="1">
      <c r="E678" s="6">
        <v>1.42818327113142</v>
      </c>
      <c r="F678" s="6">
        <v>4.2099030793162298</v>
      </c>
      <c r="G678" s="6">
        <v>28.080145158452499</v>
      </c>
      <c r="H678" s="6">
        <v>1.9728054470471601</v>
      </c>
      <c r="I678" s="6">
        <v>3.6983085138755798</v>
      </c>
      <c r="J678" s="6">
        <v>30.898516340208499</v>
      </c>
      <c r="K678" s="6">
        <v>0.76590276502719801</v>
      </c>
      <c r="L678" s="7">
        <v>3</v>
      </c>
    </row>
    <row r="679" spans="5:12" ht="15" customHeight="1">
      <c r="E679" s="6">
        <v>1.34540970714021</v>
      </c>
      <c r="F679" s="6">
        <v>4.2142560302138401</v>
      </c>
      <c r="G679" s="6">
        <v>29.098463226638899</v>
      </c>
      <c r="H679" s="6">
        <v>1.9677155918331</v>
      </c>
      <c r="I679" s="6">
        <v>3.9420910218014602</v>
      </c>
      <c r="J679" s="6">
        <v>30.828397156886101</v>
      </c>
      <c r="K679" s="6">
        <v>0.76201011610608105</v>
      </c>
      <c r="L679" s="7">
        <v>2</v>
      </c>
    </row>
    <row r="680" spans="5:12" ht="15" customHeight="1">
      <c r="E680" s="6">
        <v>1.4074497810794799</v>
      </c>
      <c r="F680" s="6">
        <v>4.1845945401262599</v>
      </c>
      <c r="G680" s="6">
        <v>26.736025180159199</v>
      </c>
      <c r="H680" s="6">
        <v>1.9795351407164401</v>
      </c>
      <c r="I680" s="6">
        <v>3.02564569918257</v>
      </c>
      <c r="J680" s="6">
        <v>32.303220300501202</v>
      </c>
      <c r="K680" s="6">
        <v>0.757443860761984</v>
      </c>
      <c r="L680" s="7">
        <v>1</v>
      </c>
    </row>
    <row r="681" spans="5:12" ht="15" customHeight="1">
      <c r="E681" s="6">
        <v>1.40636756869931</v>
      </c>
      <c r="F681" s="6">
        <v>4.1863217195884701</v>
      </c>
      <c r="G681" s="6">
        <v>28.726129683543601</v>
      </c>
      <c r="H681" s="6">
        <v>1.8863752850095401</v>
      </c>
      <c r="I681" s="6">
        <v>3.4249516081007498</v>
      </c>
      <c r="J681" s="6">
        <v>33.988588008823399</v>
      </c>
      <c r="K681" s="6">
        <v>0.75097186448962805</v>
      </c>
      <c r="L681" s="7">
        <v>0</v>
      </c>
    </row>
    <row r="682" spans="5:12" ht="15" customHeight="1"/>
    <row r="683" spans="5:12" ht="15" customHeight="1"/>
    <row r="684" spans="5:12" ht="15" customHeight="1"/>
    <row r="685" spans="5:12" ht="15" customHeight="1"/>
    <row r="686" spans="5:12" ht="15" customHeight="1"/>
    <row r="687" spans="5:12" ht="15" customHeight="1"/>
    <row r="688" spans="5:12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Views>
    <sheetView workbookViewId="0">
      <selection activeCell="M20" sqref="M20"/>
    </sheetView>
  </sheetViews>
  <sheetFormatPr defaultRowHeight="14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1.6493484324599601</v>
      </c>
      <c r="B2">
        <v>4.2306237825138302</v>
      </c>
      <c r="C2">
        <v>28.026538862581202</v>
      </c>
      <c r="D2">
        <v>1.9823296363910701</v>
      </c>
      <c r="E2">
        <v>3.3393784876084198</v>
      </c>
      <c r="F2">
        <v>32.620050685262001</v>
      </c>
      <c r="G2">
        <v>0.90222314465100995</v>
      </c>
      <c r="H2">
        <v>32</v>
      </c>
    </row>
    <row r="3" spans="1:8">
      <c r="A3">
        <v>1.62835580932011</v>
      </c>
      <c r="B3">
        <v>4.1648435971427196</v>
      </c>
      <c r="C3">
        <v>28.5013051892779</v>
      </c>
      <c r="D3">
        <v>1.9063432284617501</v>
      </c>
      <c r="E3">
        <v>4.1388939996393601</v>
      </c>
      <c r="F3">
        <v>31.932918240133599</v>
      </c>
      <c r="G3">
        <v>1.1126407787360999</v>
      </c>
      <c r="H3">
        <v>72</v>
      </c>
    </row>
    <row r="4" spans="1:8">
      <c r="A4">
        <v>1.46472164659459</v>
      </c>
      <c r="B4">
        <v>4.1967575343030301</v>
      </c>
      <c r="C4">
        <v>25.875028692567899</v>
      </c>
      <c r="D4">
        <v>1.97895147900579</v>
      </c>
      <c r="E4">
        <v>3.24646045240647</v>
      </c>
      <c r="F4">
        <v>31.8884350280746</v>
      </c>
      <c r="G4">
        <v>1.67208038872447</v>
      </c>
      <c r="H4">
        <v>156</v>
      </c>
    </row>
    <row r="5" spans="1:8">
      <c r="A5">
        <v>1.34028213443143</v>
      </c>
      <c r="B5">
        <v>4.1591489653452003</v>
      </c>
      <c r="C5">
        <v>27.237687769370002</v>
      </c>
      <c r="D5">
        <v>1.9727435149657</v>
      </c>
      <c r="E5">
        <v>3.5450758501714801</v>
      </c>
      <c r="F5">
        <v>34.264988700491202</v>
      </c>
      <c r="G5">
        <v>1.5045283202537401</v>
      </c>
      <c r="H5">
        <v>110</v>
      </c>
    </row>
    <row r="6" spans="1:8">
      <c r="A6">
        <v>1.5106559620434601</v>
      </c>
      <c r="B6">
        <v>4.19530849917978</v>
      </c>
      <c r="C6">
        <v>26.524317843612099</v>
      </c>
      <c r="D6">
        <v>2.01244785684887</v>
      </c>
      <c r="E6">
        <v>3.50496292530707</v>
      </c>
      <c r="F6">
        <v>32.356339366522299</v>
      </c>
      <c r="G6">
        <v>1.49498193412547</v>
      </c>
      <c r="H6">
        <v>118</v>
      </c>
    </row>
    <row r="7" spans="1:8">
      <c r="A7">
        <v>1.3806479815789801</v>
      </c>
      <c r="B7">
        <v>4.23608283635419</v>
      </c>
      <c r="C7">
        <v>26.859662597786599</v>
      </c>
      <c r="D7">
        <v>2.0070358677047002</v>
      </c>
      <c r="E7">
        <v>4.0177997147661797</v>
      </c>
      <c r="F7">
        <v>34.332566286636599</v>
      </c>
      <c r="G7">
        <v>1.44362160084532</v>
      </c>
      <c r="H7">
        <v>137</v>
      </c>
    </row>
    <row r="8" spans="1:8">
      <c r="A8">
        <v>1.3197699344265701</v>
      </c>
      <c r="B8">
        <v>4.1972257326984304</v>
      </c>
      <c r="C8">
        <v>26.580109384191498</v>
      </c>
      <c r="D8">
        <v>1.95791509552439</v>
      </c>
      <c r="E8">
        <v>3.6719827850455999</v>
      </c>
      <c r="F8">
        <v>36.386503506275297</v>
      </c>
      <c r="G8">
        <v>1.79401879573529</v>
      </c>
      <c r="H8">
        <v>169</v>
      </c>
    </row>
    <row r="9" spans="1:8">
      <c r="A9">
        <v>1.3855437447025001</v>
      </c>
      <c r="B9">
        <v>4.2125984449105802</v>
      </c>
      <c r="C9">
        <v>28.159509968716801</v>
      </c>
      <c r="D9">
        <v>2.0113076427170702</v>
      </c>
      <c r="E9">
        <v>3.56874590353523</v>
      </c>
      <c r="F9">
        <v>31.750554833410298</v>
      </c>
      <c r="G9">
        <v>1.1660408873524599</v>
      </c>
      <c r="H9">
        <v>54</v>
      </c>
    </row>
    <row r="10" spans="1:8">
      <c r="A10">
        <v>1.49354904635393</v>
      </c>
      <c r="B10">
        <v>4.1902655934209401</v>
      </c>
      <c r="C10">
        <v>26.4875727884463</v>
      </c>
      <c r="D10">
        <v>1.9607594514872699</v>
      </c>
      <c r="E10">
        <v>3.4944657228894198</v>
      </c>
      <c r="F10">
        <v>33.286418600098301</v>
      </c>
      <c r="G10">
        <v>0.84988300276871898</v>
      </c>
      <c r="H10">
        <v>20</v>
      </c>
    </row>
    <row r="11" spans="1:8">
      <c r="A11">
        <v>1.3849308246946199</v>
      </c>
      <c r="B11">
        <v>4.1906660335354902</v>
      </c>
      <c r="C11">
        <v>25.347738391135199</v>
      </c>
      <c r="D11">
        <v>2.0667355973711201</v>
      </c>
      <c r="E11">
        <v>3.2628387725642201</v>
      </c>
      <c r="F11">
        <v>33.488101758758603</v>
      </c>
      <c r="G11">
        <v>1.7217064842396601</v>
      </c>
      <c r="H11">
        <v>194</v>
      </c>
    </row>
    <row r="12" spans="1:8">
      <c r="A12">
        <v>1.4775782854925299</v>
      </c>
      <c r="B12">
        <v>4.24299370935283</v>
      </c>
      <c r="C12">
        <v>28.957435332166</v>
      </c>
      <c r="D12">
        <v>1.7024379308311901</v>
      </c>
      <c r="E12">
        <v>4.06443853586633</v>
      </c>
      <c r="F12">
        <v>31.719565067983702</v>
      </c>
      <c r="G12">
        <v>1.4288967990767301</v>
      </c>
      <c r="H12">
        <v>95</v>
      </c>
    </row>
    <row r="13" spans="1:8">
      <c r="A13">
        <v>1.4093419726679599</v>
      </c>
      <c r="B13">
        <v>4.1953449232322999</v>
      </c>
      <c r="C13">
        <v>26.203721772809899</v>
      </c>
      <c r="D13">
        <v>2.0079445127201199</v>
      </c>
      <c r="E13">
        <v>3.16978858251339</v>
      </c>
      <c r="F13">
        <v>34.802968992846203</v>
      </c>
      <c r="G13">
        <v>0.95466423477936102</v>
      </c>
      <c r="H13">
        <v>11</v>
      </c>
    </row>
    <row r="14" spans="1:8">
      <c r="A14">
        <v>1.3432014908182399</v>
      </c>
      <c r="B14">
        <v>4.2007911288353297</v>
      </c>
      <c r="C14">
        <v>28.6397993635143</v>
      </c>
      <c r="D14">
        <v>2.0355844511383698</v>
      </c>
      <c r="E14">
        <v>3.6231916547465199</v>
      </c>
      <c r="F14">
        <v>30.775168339191001</v>
      </c>
      <c r="G14">
        <v>1.9290206823938101</v>
      </c>
      <c r="H14">
        <v>195</v>
      </c>
    </row>
    <row r="15" spans="1:8">
      <c r="A15">
        <v>1.4397476060109899</v>
      </c>
      <c r="B15">
        <v>4.1147536849252901</v>
      </c>
      <c r="C15">
        <v>28.1016277825115</v>
      </c>
      <c r="D15">
        <v>1.9990151735877699</v>
      </c>
      <c r="E15">
        <v>3.2152236337990598</v>
      </c>
      <c r="F15">
        <v>30.2637008766097</v>
      </c>
      <c r="G15">
        <v>1.32254187873336</v>
      </c>
      <c r="H15">
        <v>73</v>
      </c>
    </row>
    <row r="16" spans="1:8">
      <c r="A16">
        <v>1.2911505193847901</v>
      </c>
      <c r="B16">
        <v>4.1909872814373603</v>
      </c>
      <c r="C16">
        <v>28.031046134968602</v>
      </c>
      <c r="D16">
        <v>1.9257156750802999</v>
      </c>
      <c r="E16">
        <v>3.5353360543538299</v>
      </c>
      <c r="F16">
        <v>36.702779805216402</v>
      </c>
      <c r="G16">
        <v>1.34176246077001</v>
      </c>
      <c r="H16">
        <v>88</v>
      </c>
    </row>
    <row r="17" spans="1:8">
      <c r="A17">
        <v>1.4663455724305601</v>
      </c>
      <c r="B17">
        <v>4.1964229964661097</v>
      </c>
      <c r="C17">
        <v>28.7033816405661</v>
      </c>
      <c r="D17">
        <v>1.96775475129949</v>
      </c>
      <c r="E17">
        <v>3.5244395368186598</v>
      </c>
      <c r="F17">
        <v>30.577636440398599</v>
      </c>
      <c r="G17">
        <v>1.7213110682291399</v>
      </c>
      <c r="H17">
        <v>154</v>
      </c>
    </row>
    <row r="18" spans="1:8">
      <c r="A18">
        <v>1.5305620091897001</v>
      </c>
      <c r="B18">
        <v>4.2111948936798296</v>
      </c>
      <c r="C18">
        <v>25.352543430123799</v>
      </c>
      <c r="D18">
        <v>2.0304122893872201</v>
      </c>
      <c r="E18">
        <v>3.8887972903880299</v>
      </c>
      <c r="F18">
        <v>35.165896747408702</v>
      </c>
      <c r="G18">
        <v>0.95595187666431702</v>
      </c>
      <c r="H18">
        <v>10</v>
      </c>
    </row>
    <row r="19" spans="1:8">
      <c r="A19">
        <v>1.49339731653321</v>
      </c>
      <c r="B19">
        <v>4.2016710131849901</v>
      </c>
      <c r="C19">
        <v>24.430718842948298</v>
      </c>
      <c r="D19">
        <v>1.98762764311775</v>
      </c>
      <c r="E19">
        <v>3.7374569809468801</v>
      </c>
      <c r="F19">
        <v>34.021415447559598</v>
      </c>
      <c r="G19">
        <v>1.7138919058589399</v>
      </c>
      <c r="H19">
        <v>164</v>
      </c>
    </row>
    <row r="20" spans="1:8">
      <c r="A20">
        <v>1.2387544193311599</v>
      </c>
      <c r="B20">
        <v>4.1803958334618398</v>
      </c>
      <c r="C20">
        <v>26.765416271865998</v>
      </c>
      <c r="D20">
        <v>1.9502898424466799</v>
      </c>
      <c r="E20">
        <v>3.6071192554014799</v>
      </c>
      <c r="F20">
        <v>32.0887599409389</v>
      </c>
      <c r="G20">
        <v>0.93485376434366196</v>
      </c>
      <c r="H20">
        <v>9</v>
      </c>
    </row>
    <row r="21" spans="1:8">
      <c r="A21">
        <v>1.55386878391206</v>
      </c>
      <c r="B21">
        <v>4.2146301917284701</v>
      </c>
      <c r="C21">
        <v>26.395561256399098</v>
      </c>
      <c r="D21">
        <v>2.0322765751099401</v>
      </c>
      <c r="E21">
        <v>2.8442881254620902</v>
      </c>
      <c r="F21">
        <v>33.877835408729403</v>
      </c>
      <c r="G21">
        <v>1.6334920010541401</v>
      </c>
      <c r="H21">
        <v>137</v>
      </c>
    </row>
    <row r="22" spans="1:8">
      <c r="A22">
        <v>1.25546282603811</v>
      </c>
      <c r="B22">
        <v>4.1798193256087401</v>
      </c>
      <c r="C22">
        <v>30.0346808672994</v>
      </c>
      <c r="D22">
        <v>2.2425304563940598</v>
      </c>
      <c r="E22">
        <v>3.4604613032540299</v>
      </c>
      <c r="F22">
        <v>27.795611266372699</v>
      </c>
      <c r="G22">
        <v>1.7358920687772199</v>
      </c>
      <c r="H22">
        <v>197</v>
      </c>
    </row>
    <row r="23" spans="1:8">
      <c r="A23">
        <v>1.46507889070931</v>
      </c>
      <c r="B23">
        <v>4.2618129677525998</v>
      </c>
      <c r="C23">
        <v>26.021358493114299</v>
      </c>
      <c r="D23">
        <v>1.9899265658221399</v>
      </c>
      <c r="E23">
        <v>3.4305148546553101</v>
      </c>
      <c r="F23">
        <v>32.949301278425203</v>
      </c>
      <c r="G23">
        <v>1.6209557307114899</v>
      </c>
      <c r="H23">
        <v>142</v>
      </c>
    </row>
    <row r="24" spans="1:8">
      <c r="A24">
        <v>1.1835636920254</v>
      </c>
      <c r="B24">
        <v>4.15225359437515</v>
      </c>
      <c r="C24">
        <v>30.2950214673108</v>
      </c>
      <c r="D24">
        <v>1.8850114111184899</v>
      </c>
      <c r="E24">
        <v>3.9159149777896198</v>
      </c>
      <c r="F24">
        <v>30.3535100195631</v>
      </c>
      <c r="G24">
        <v>1.9790416412352501</v>
      </c>
      <c r="H24">
        <v>206</v>
      </c>
    </row>
    <row r="25" spans="1:8">
      <c r="A25">
        <v>1.3220847433952301</v>
      </c>
      <c r="B25">
        <v>4.2288523196594801</v>
      </c>
      <c r="C25">
        <v>27.6969764194771</v>
      </c>
      <c r="D25">
        <v>1.9711028677593201</v>
      </c>
      <c r="E25">
        <v>3.6873327055773202</v>
      </c>
      <c r="F25">
        <v>35.701761729799301</v>
      </c>
      <c r="G25">
        <v>1.6125537343484799</v>
      </c>
      <c r="H25">
        <v>133</v>
      </c>
    </row>
    <row r="26" spans="1:8">
      <c r="A26">
        <v>1.4077828947842701</v>
      </c>
      <c r="B26">
        <v>4.1640529157730199</v>
      </c>
      <c r="C26">
        <v>25.352379392846601</v>
      </c>
      <c r="D26">
        <v>1.96196244821862</v>
      </c>
      <c r="E26">
        <v>3.6817960959447502</v>
      </c>
      <c r="F26">
        <v>32.1384701449904</v>
      </c>
      <c r="G26">
        <v>1.3381014616784801</v>
      </c>
      <c r="H26">
        <v>76</v>
      </c>
    </row>
    <row r="27" spans="1:8">
      <c r="A27">
        <v>1.3518457147457601</v>
      </c>
      <c r="B27">
        <v>4.2261166178057001</v>
      </c>
      <c r="C27">
        <v>26.461198303662801</v>
      </c>
      <c r="D27">
        <v>1.9927624632412899</v>
      </c>
      <c r="E27">
        <v>3.2307874178356402</v>
      </c>
      <c r="F27">
        <v>31.295148904218198</v>
      </c>
      <c r="G27">
        <v>1.72093416186621</v>
      </c>
      <c r="H27">
        <v>165</v>
      </c>
    </row>
    <row r="28" spans="1:8">
      <c r="A28">
        <v>1.4736792960099201</v>
      </c>
      <c r="B28">
        <v>4.1608029135178599</v>
      </c>
      <c r="C28">
        <v>28.421448470906501</v>
      </c>
      <c r="D28">
        <v>1.9434425892079601</v>
      </c>
      <c r="E28">
        <v>3.4556745378230098</v>
      </c>
      <c r="F28">
        <v>31.930095122181498</v>
      </c>
      <c r="G28">
        <v>1.39022743391387</v>
      </c>
      <c r="H28">
        <v>99</v>
      </c>
    </row>
    <row r="29" spans="1:8">
      <c r="A29">
        <v>1.26399515363258</v>
      </c>
      <c r="B29">
        <v>4.1664794450077398</v>
      </c>
      <c r="C29">
        <v>27.326450960495801</v>
      </c>
      <c r="D29">
        <v>2.0962730419903499</v>
      </c>
      <c r="E29">
        <v>3.6101888729967699</v>
      </c>
      <c r="F29">
        <v>32.094178172447599</v>
      </c>
      <c r="G29">
        <v>1.0630940890929901</v>
      </c>
      <c r="H29">
        <v>62</v>
      </c>
    </row>
    <row r="30" spans="1:8">
      <c r="A30">
        <v>1.4237528712579399</v>
      </c>
      <c r="B30">
        <v>4.2033469625346003</v>
      </c>
      <c r="C30">
        <v>25.1005684297917</v>
      </c>
      <c r="D30">
        <v>2.0529507837962999</v>
      </c>
      <c r="E30">
        <v>3.34526738645976</v>
      </c>
      <c r="F30">
        <v>34.165471881481203</v>
      </c>
      <c r="G30">
        <v>1.6457942401486201</v>
      </c>
      <c r="H30">
        <v>139</v>
      </c>
    </row>
    <row r="31" spans="1:8">
      <c r="A31">
        <v>1.45944075656391</v>
      </c>
      <c r="B31">
        <v>4.1987435730228801</v>
      </c>
      <c r="C31">
        <v>26.5215067208336</v>
      </c>
      <c r="D31">
        <v>1.95821030971407</v>
      </c>
      <c r="E31">
        <v>3.6685688687921698</v>
      </c>
      <c r="F31">
        <v>31.198080297611501</v>
      </c>
      <c r="G31">
        <v>1.9936917393798099</v>
      </c>
      <c r="H31">
        <v>209</v>
      </c>
    </row>
    <row r="32" spans="1:8">
      <c r="A32">
        <v>1.29890284107231</v>
      </c>
      <c r="B32">
        <v>4.1594971741413698</v>
      </c>
      <c r="C32">
        <v>26.952013799087901</v>
      </c>
      <c r="D32">
        <v>1.98080122044506</v>
      </c>
      <c r="E32">
        <v>3.0153694554349801</v>
      </c>
      <c r="F32">
        <v>33.637633846972598</v>
      </c>
      <c r="G32">
        <v>1.1907364573278401</v>
      </c>
      <c r="H32">
        <v>89</v>
      </c>
    </row>
    <row r="33" spans="1:8">
      <c r="A33">
        <v>1.4172034551536301</v>
      </c>
      <c r="B33">
        <v>4.1286588504439701</v>
      </c>
      <c r="C33">
        <v>26.1796152336901</v>
      </c>
      <c r="D33">
        <v>2.0569844298322502</v>
      </c>
      <c r="E33">
        <v>3.2446918322833498</v>
      </c>
      <c r="F33">
        <v>32.095927397205799</v>
      </c>
      <c r="G33">
        <v>1.50707651268569</v>
      </c>
      <c r="H33">
        <v>111</v>
      </c>
    </row>
    <row r="34" spans="1:8">
      <c r="A34">
        <v>1.41978343726919</v>
      </c>
      <c r="B34">
        <v>4.2694689730514304</v>
      </c>
      <c r="C34">
        <v>27.9041675532692</v>
      </c>
      <c r="D34">
        <v>1.95706566901762</v>
      </c>
      <c r="E34">
        <v>3.87365985601607</v>
      </c>
      <c r="F34">
        <v>30.335888219996601</v>
      </c>
      <c r="G34">
        <v>1.0647592415968801</v>
      </c>
      <c r="H34">
        <v>24</v>
      </c>
    </row>
    <row r="35" spans="1:8">
      <c r="A35">
        <v>1.3408873827636201</v>
      </c>
      <c r="B35">
        <v>4.2298883206838296</v>
      </c>
      <c r="C35">
        <v>24.380107338174</v>
      </c>
      <c r="D35">
        <v>2.0720556237469299</v>
      </c>
      <c r="E35">
        <v>3.3114956848381301</v>
      </c>
      <c r="F35">
        <v>33.414561346789696</v>
      </c>
      <c r="G35">
        <v>1.6188514250491699</v>
      </c>
      <c r="H35">
        <v>143</v>
      </c>
    </row>
    <row r="36" spans="1:8">
      <c r="A36">
        <v>1.3096407783022499</v>
      </c>
      <c r="B36">
        <v>4.1900315928747798</v>
      </c>
      <c r="C36">
        <v>27.277409662437702</v>
      </c>
      <c r="D36">
        <v>2.0103746358354702</v>
      </c>
      <c r="E36">
        <v>3.3136135936717102</v>
      </c>
      <c r="F36">
        <v>33.4768200386047</v>
      </c>
      <c r="G36">
        <v>1.05751950591754</v>
      </c>
      <c r="H36">
        <v>61</v>
      </c>
    </row>
    <row r="37" spans="1:8">
      <c r="A37">
        <v>1.2913589320543</v>
      </c>
      <c r="B37">
        <v>4.1626530169981901</v>
      </c>
      <c r="C37">
        <v>27.361718208924</v>
      </c>
      <c r="D37">
        <v>2.0607349937091599</v>
      </c>
      <c r="E37">
        <v>3.1792559407560499</v>
      </c>
      <c r="F37">
        <v>33.032031611289703</v>
      </c>
      <c r="G37">
        <v>1.5400353993162701</v>
      </c>
      <c r="H37">
        <v>119</v>
      </c>
    </row>
    <row r="38" spans="1:8">
      <c r="A38">
        <v>1.2863157166692401</v>
      </c>
      <c r="B38">
        <v>4.15678840800879</v>
      </c>
      <c r="C38">
        <v>26.0143609617656</v>
      </c>
      <c r="D38">
        <v>2.00443768773764</v>
      </c>
      <c r="E38">
        <v>3.4062490916691601</v>
      </c>
      <c r="F38">
        <v>29.914774268316599</v>
      </c>
      <c r="G38">
        <v>1.8167774828083401</v>
      </c>
      <c r="H38">
        <v>212</v>
      </c>
    </row>
    <row r="39" spans="1:8">
      <c r="A39">
        <v>1.4630454364207801</v>
      </c>
      <c r="B39">
        <v>4.2004994032567202</v>
      </c>
      <c r="C39">
        <v>26.225643675090001</v>
      </c>
      <c r="D39">
        <v>2.1737253223983002</v>
      </c>
      <c r="E39">
        <v>2.7496903966424799</v>
      </c>
      <c r="F39">
        <v>34.533813523158301</v>
      </c>
      <c r="G39">
        <v>1.5443858126044501</v>
      </c>
      <c r="H39">
        <v>129</v>
      </c>
    </row>
    <row r="40" spans="1:8">
      <c r="A40">
        <v>1.38140612563203</v>
      </c>
      <c r="B40">
        <v>4.2102305076814197</v>
      </c>
      <c r="C40">
        <v>25.5108769128231</v>
      </c>
      <c r="D40">
        <v>2.0376120436746699</v>
      </c>
      <c r="E40">
        <v>3.2980423360340398</v>
      </c>
      <c r="F40">
        <v>34.281705881687103</v>
      </c>
      <c r="G40">
        <v>0.76197044048538198</v>
      </c>
      <c r="H40">
        <v>4</v>
      </c>
    </row>
    <row r="41" spans="1:8">
      <c r="A41">
        <v>1.5446001675982499</v>
      </c>
      <c r="B41">
        <v>4.2587278514317202</v>
      </c>
      <c r="C41">
        <v>29.659675284318201</v>
      </c>
      <c r="D41">
        <v>1.8674836258041301</v>
      </c>
      <c r="E41">
        <v>3.6647704221188802</v>
      </c>
      <c r="F41">
        <v>28.992027137415299</v>
      </c>
      <c r="G41">
        <v>0.94219503377360703</v>
      </c>
      <c r="H41">
        <v>0</v>
      </c>
    </row>
    <row r="42" spans="1:8">
      <c r="A42">
        <v>1.38077392350761</v>
      </c>
      <c r="B42">
        <v>4.1935269435387497</v>
      </c>
      <c r="C42">
        <v>28.099781137918399</v>
      </c>
      <c r="D42">
        <v>2.07065937292532</v>
      </c>
      <c r="E42">
        <v>3.3751761581587698</v>
      </c>
      <c r="F42">
        <v>34.465212404096299</v>
      </c>
      <c r="G42">
        <v>1.6064911943067299</v>
      </c>
      <c r="H42">
        <v>141</v>
      </c>
    </row>
    <row r="43" spans="1:8">
      <c r="A43">
        <v>1.2357088585217599</v>
      </c>
      <c r="B43">
        <v>4.1583994009689897</v>
      </c>
      <c r="C43">
        <v>27.0517530190263</v>
      </c>
      <c r="D43">
        <v>2.1081345451073501</v>
      </c>
      <c r="E43">
        <v>3.7088970980681499</v>
      </c>
      <c r="F43">
        <v>32.887003432830703</v>
      </c>
      <c r="G43">
        <v>0.81050485841781295</v>
      </c>
      <c r="H43">
        <v>12</v>
      </c>
    </row>
    <row r="44" spans="1:8">
      <c r="A44">
        <v>1.51597377241419</v>
      </c>
      <c r="B44">
        <v>4.1972209968299801</v>
      </c>
      <c r="C44">
        <v>27.1903307109488</v>
      </c>
      <c r="D44">
        <v>1.9835742714912099</v>
      </c>
      <c r="E44">
        <v>3.72627014120018</v>
      </c>
      <c r="F44">
        <v>28.619731133118101</v>
      </c>
      <c r="G44">
        <v>1.93981145249537</v>
      </c>
      <c r="H44">
        <v>209</v>
      </c>
    </row>
    <row r="45" spans="1:8">
      <c r="A45">
        <v>1.3385466712474201</v>
      </c>
      <c r="B45">
        <v>4.2954492258480403</v>
      </c>
      <c r="C45">
        <v>25.3482353042744</v>
      </c>
      <c r="D45">
        <v>1.7838575484975401</v>
      </c>
      <c r="E45">
        <v>3.9946189229267901</v>
      </c>
      <c r="F45">
        <v>31.669003721115399</v>
      </c>
      <c r="G45">
        <v>1.2453069458381001</v>
      </c>
      <c r="H45">
        <v>99</v>
      </c>
    </row>
    <row r="46" spans="1:8">
      <c r="A46">
        <v>1.16482501831934</v>
      </c>
      <c r="B46">
        <v>4.255896579062</v>
      </c>
      <c r="C46">
        <v>25.865586892535699</v>
      </c>
      <c r="D46">
        <v>1.8739008762378799</v>
      </c>
      <c r="E46">
        <v>3.45014349131363</v>
      </c>
      <c r="F46">
        <v>32.6362813666072</v>
      </c>
      <c r="G46">
        <v>1.1691864208876801</v>
      </c>
      <c r="H46">
        <v>55</v>
      </c>
    </row>
    <row r="47" spans="1:8">
      <c r="A47">
        <v>1.5060556598304999</v>
      </c>
      <c r="B47">
        <v>4.1175756822051399</v>
      </c>
      <c r="C47">
        <v>25.857334407257699</v>
      </c>
      <c r="D47">
        <v>2.2038768948688499</v>
      </c>
      <c r="E47">
        <v>3.4140012901342902</v>
      </c>
      <c r="F47">
        <v>33.802440342891899</v>
      </c>
      <c r="G47">
        <v>1.1026666286000899</v>
      </c>
      <c r="H47">
        <v>71</v>
      </c>
    </row>
    <row r="48" spans="1:8">
      <c r="A48">
        <v>1.26787081154015</v>
      </c>
      <c r="B48">
        <v>4.22914587329835</v>
      </c>
      <c r="C48">
        <v>24.5125138258561</v>
      </c>
      <c r="D48">
        <v>2.34700174539645</v>
      </c>
      <c r="E48">
        <v>3.0674109279092501</v>
      </c>
      <c r="F48">
        <v>36.198284420608402</v>
      </c>
      <c r="G48">
        <v>1.3481702600663901</v>
      </c>
      <c r="H48">
        <v>121</v>
      </c>
    </row>
    <row r="49" spans="1:8">
      <c r="A49">
        <v>1.42818327113142</v>
      </c>
      <c r="B49">
        <v>4.2099030793162298</v>
      </c>
      <c r="C49">
        <v>28.080145158452499</v>
      </c>
      <c r="D49">
        <v>1.9728054470471601</v>
      </c>
      <c r="E49">
        <v>3.6983085138755798</v>
      </c>
      <c r="F49">
        <v>30.898516340208499</v>
      </c>
      <c r="G49">
        <v>0.76590276502719801</v>
      </c>
      <c r="H49">
        <v>3</v>
      </c>
    </row>
    <row r="50" spans="1:8">
      <c r="A50">
        <v>1.48805896798281</v>
      </c>
      <c r="B50">
        <v>4.1376603685647702</v>
      </c>
      <c r="C50">
        <v>27.7379265104057</v>
      </c>
      <c r="D50">
        <v>2.1363962979202902</v>
      </c>
      <c r="E50">
        <v>3.8012861201025001</v>
      </c>
      <c r="F50">
        <v>31.207222567612099</v>
      </c>
      <c r="G50">
        <v>1.8440256213731201</v>
      </c>
      <c r="H50">
        <v>188</v>
      </c>
    </row>
    <row r="51" spans="1:8">
      <c r="A51">
        <v>1.32921810449753</v>
      </c>
      <c r="B51">
        <v>4.2055324969797896</v>
      </c>
      <c r="C51">
        <v>29.5858205043716</v>
      </c>
      <c r="D51">
        <v>2.1049475507533399</v>
      </c>
      <c r="E51">
        <v>3.33508324953059</v>
      </c>
      <c r="F51">
        <v>32.494409336364697</v>
      </c>
      <c r="G51">
        <v>0.79610129959926701</v>
      </c>
      <c r="H51">
        <v>8</v>
      </c>
    </row>
    <row r="52" spans="1:8">
      <c r="A52">
        <v>1.38095521210352</v>
      </c>
      <c r="B52">
        <v>4.17040061920477</v>
      </c>
      <c r="C52">
        <v>27.474212346236801</v>
      </c>
      <c r="D52">
        <v>2.0404958622779401</v>
      </c>
      <c r="E52">
        <v>3.68402810603855</v>
      </c>
      <c r="F52">
        <v>32.970867867170298</v>
      </c>
      <c r="G52">
        <v>1.74444689078405</v>
      </c>
      <c r="H52">
        <v>199</v>
      </c>
    </row>
    <row r="53" spans="1:8">
      <c r="A53">
        <v>1.5576239479090499</v>
      </c>
      <c r="B53">
        <v>4.24737975039245</v>
      </c>
      <c r="C53">
        <v>25.7343970617992</v>
      </c>
      <c r="D53">
        <v>2.0224868103185099</v>
      </c>
      <c r="E53">
        <v>3.5230664315781399</v>
      </c>
      <c r="F53">
        <v>29.050469577978401</v>
      </c>
      <c r="G53">
        <v>1.4851363803030699</v>
      </c>
      <c r="H53">
        <v>146</v>
      </c>
    </row>
    <row r="54" spans="1:8">
      <c r="A54">
        <v>1.2813975395710999</v>
      </c>
      <c r="B54">
        <v>4.1735962099409898</v>
      </c>
      <c r="C54">
        <v>30.000461074011199</v>
      </c>
      <c r="D54">
        <v>1.9771069488209601</v>
      </c>
      <c r="E54">
        <v>3.1773465490986701</v>
      </c>
      <c r="F54">
        <v>32.328078748717999</v>
      </c>
      <c r="G54">
        <v>1.6587287279748999</v>
      </c>
      <c r="H54">
        <v>140</v>
      </c>
    </row>
    <row r="55" spans="1:8">
      <c r="A55">
        <v>1.38159356417657</v>
      </c>
      <c r="B55">
        <v>4.1603713326970198</v>
      </c>
      <c r="C55">
        <v>28.349200203051399</v>
      </c>
      <c r="D55">
        <v>1.77245366040626</v>
      </c>
      <c r="E55">
        <v>3.7450083800158902</v>
      </c>
      <c r="F55">
        <v>30.103205828175401</v>
      </c>
      <c r="G55">
        <v>1.01109597052056</v>
      </c>
      <c r="H55">
        <v>20</v>
      </c>
    </row>
    <row r="56" spans="1:8">
      <c r="A56">
        <v>1.41808572616909</v>
      </c>
      <c r="B56">
        <v>4.1354940482409104</v>
      </c>
      <c r="C56">
        <v>28.597793154803501</v>
      </c>
      <c r="D56">
        <v>1.9896551321512901</v>
      </c>
      <c r="E56">
        <v>3.8712910262440898</v>
      </c>
      <c r="F56">
        <v>33.529419138099001</v>
      </c>
      <c r="G56">
        <v>1.13670676847707</v>
      </c>
      <c r="H56">
        <v>77</v>
      </c>
    </row>
    <row r="57" spans="1:8">
      <c r="A57">
        <v>1.40310008013521</v>
      </c>
      <c r="B57">
        <v>4.2672830970835598</v>
      </c>
      <c r="C57">
        <v>26.9785251226143</v>
      </c>
      <c r="D57">
        <v>2.0546462830143501</v>
      </c>
      <c r="E57">
        <v>3.8308393218446599</v>
      </c>
      <c r="F57">
        <v>31.4649283747863</v>
      </c>
      <c r="G57">
        <v>1.18819089967489</v>
      </c>
      <c r="H57">
        <v>48</v>
      </c>
    </row>
    <row r="58" spans="1:8">
      <c r="A58">
        <v>1.2577336735384801</v>
      </c>
      <c r="B58">
        <v>4.1933680543054104</v>
      </c>
      <c r="C58">
        <v>26.874592576487299</v>
      </c>
      <c r="D58">
        <v>1.9897801086657501</v>
      </c>
      <c r="E58">
        <v>3.4876245811626299</v>
      </c>
      <c r="F58">
        <v>33.532713179380202</v>
      </c>
      <c r="G58">
        <v>1.40118241704111</v>
      </c>
      <c r="H58">
        <v>101</v>
      </c>
    </row>
    <row r="59" spans="1:8">
      <c r="A59">
        <v>1.4693990429931101</v>
      </c>
      <c r="B59">
        <v>4.1434745484427902</v>
      </c>
      <c r="C59">
        <v>25.192021442560701</v>
      </c>
      <c r="D59">
        <v>1.9424577272646499</v>
      </c>
      <c r="E59">
        <v>3.3705725785472</v>
      </c>
      <c r="F59">
        <v>30.8941996965298</v>
      </c>
      <c r="G59">
        <v>1.3223353171901999</v>
      </c>
      <c r="H59">
        <v>84</v>
      </c>
    </row>
    <row r="60" spans="1:8">
      <c r="A60">
        <v>1.51857189076869</v>
      </c>
      <c r="B60">
        <v>4.1952224541174399</v>
      </c>
      <c r="C60">
        <v>24.3998061303596</v>
      </c>
      <c r="D60">
        <v>2.0116515263102701</v>
      </c>
      <c r="E60">
        <v>3.75742433961583</v>
      </c>
      <c r="F60">
        <v>35.444501846783098</v>
      </c>
      <c r="G60">
        <v>1.6697825725525599</v>
      </c>
      <c r="H60">
        <v>184</v>
      </c>
    </row>
    <row r="61" spans="1:8">
      <c r="A61">
        <v>1.4202715381739801</v>
      </c>
      <c r="B61">
        <v>4.2763229059182297</v>
      </c>
      <c r="C61">
        <v>25.407910461384901</v>
      </c>
      <c r="D61">
        <v>1.94210535495942</v>
      </c>
      <c r="E61">
        <v>3.2144328080146298</v>
      </c>
      <c r="F61">
        <v>35.134800643918403</v>
      </c>
      <c r="G61">
        <v>1.9842521628299401</v>
      </c>
      <c r="H61">
        <v>217</v>
      </c>
    </row>
    <row r="62" spans="1:8">
      <c r="A62">
        <v>1.4118516818332301</v>
      </c>
      <c r="B62">
        <v>4.2014623218571003</v>
      </c>
      <c r="C62">
        <v>25.923716047572899</v>
      </c>
      <c r="D62">
        <v>2.12646709791915</v>
      </c>
      <c r="E62">
        <v>3.4734728508977599</v>
      </c>
      <c r="F62">
        <v>33.564458147122799</v>
      </c>
      <c r="G62">
        <v>1.56192094911327</v>
      </c>
      <c r="H62">
        <v>123</v>
      </c>
    </row>
    <row r="63" spans="1:8">
      <c r="A63">
        <v>1.4384203517417899</v>
      </c>
      <c r="B63">
        <v>4.2137525236050903</v>
      </c>
      <c r="C63">
        <v>27.3954924351549</v>
      </c>
      <c r="D63">
        <v>2.0167790711756899</v>
      </c>
      <c r="E63">
        <v>3.0444493199606599</v>
      </c>
      <c r="F63">
        <v>34.232735491546499</v>
      </c>
      <c r="G63">
        <v>1.5947425111620599</v>
      </c>
      <c r="H63">
        <v>138</v>
      </c>
    </row>
    <row r="64" spans="1:8">
      <c r="A64">
        <v>1.3062592549983401</v>
      </c>
      <c r="B64">
        <v>4.284652809762</v>
      </c>
      <c r="C64">
        <v>29.921536109439501</v>
      </c>
      <c r="D64">
        <v>1.8707405567317501</v>
      </c>
      <c r="E64">
        <v>3.82815932449815</v>
      </c>
      <c r="F64">
        <v>32.0549632399049</v>
      </c>
      <c r="G64">
        <v>1.2548423995017599</v>
      </c>
      <c r="H64">
        <v>101</v>
      </c>
    </row>
    <row r="65" spans="1:8">
      <c r="A65">
        <v>1.4143459673591701</v>
      </c>
      <c r="B65">
        <v>4.2562326748511898</v>
      </c>
      <c r="C65">
        <v>25.8386726099938</v>
      </c>
      <c r="D65">
        <v>1.9961635437715</v>
      </c>
      <c r="E65">
        <v>3.6121519465680998</v>
      </c>
      <c r="F65">
        <v>34.171652965606</v>
      </c>
      <c r="G65">
        <v>1.58294024445119</v>
      </c>
      <c r="H65">
        <v>127</v>
      </c>
    </row>
    <row r="66" spans="1:8">
      <c r="A66">
        <v>1.42195427640193</v>
      </c>
      <c r="B66">
        <v>4.0889647437346097</v>
      </c>
      <c r="C66">
        <v>24.088622137323199</v>
      </c>
      <c r="D66">
        <v>1.8474330356352699</v>
      </c>
      <c r="E66">
        <v>3.1117054922443601</v>
      </c>
      <c r="F66">
        <v>35.434527420607097</v>
      </c>
      <c r="G66">
        <v>1.00951475486542</v>
      </c>
      <c r="H66">
        <v>12</v>
      </c>
    </row>
    <row r="67" spans="1:8">
      <c r="A67">
        <v>1.45328343383695</v>
      </c>
      <c r="B67">
        <v>4.2364951365865098</v>
      </c>
      <c r="C67">
        <v>25.29154748961</v>
      </c>
      <c r="D67">
        <v>1.96411957843399</v>
      </c>
      <c r="E67">
        <v>3.6063284857028099</v>
      </c>
      <c r="F67">
        <v>34.793818525579702</v>
      </c>
      <c r="G67">
        <v>1.1611852079874201</v>
      </c>
      <c r="H67">
        <v>41</v>
      </c>
    </row>
    <row r="68" spans="1:8">
      <c r="A68">
        <v>1.6362464645766499</v>
      </c>
      <c r="B68">
        <v>4.2073341163916398</v>
      </c>
      <c r="C68">
        <v>26.573895954077699</v>
      </c>
      <c r="D68">
        <v>2.0435510599603499</v>
      </c>
      <c r="E68">
        <v>3.1940621691008499</v>
      </c>
      <c r="F68">
        <v>36.045300279663003</v>
      </c>
      <c r="G68">
        <v>1.3703740309889201</v>
      </c>
      <c r="H68">
        <v>83</v>
      </c>
    </row>
    <row r="69" spans="1:8">
      <c r="A69">
        <v>1.2210468592132599</v>
      </c>
      <c r="B69">
        <v>4.1543929444126002</v>
      </c>
      <c r="C69">
        <v>25.828532763080901</v>
      </c>
      <c r="D69">
        <v>2.1733518381476999</v>
      </c>
      <c r="E69">
        <v>3.9543028092216201</v>
      </c>
      <c r="F69">
        <v>32.3569573355568</v>
      </c>
      <c r="G69">
        <v>1.5129399583527201</v>
      </c>
      <c r="H69">
        <v>152</v>
      </c>
    </row>
    <row r="70" spans="1:8">
      <c r="A70">
        <v>1.22594280402922</v>
      </c>
      <c r="B70">
        <v>4.1924674109293196</v>
      </c>
      <c r="C70">
        <v>23.597122189122</v>
      </c>
      <c r="D70">
        <v>2.1426062013607301</v>
      </c>
      <c r="E70">
        <v>3.0408711040448901</v>
      </c>
      <c r="F70">
        <v>32.1161098451283</v>
      </c>
      <c r="G70">
        <v>1.79987099238915</v>
      </c>
      <c r="H70">
        <v>170</v>
      </c>
    </row>
    <row r="71" spans="1:8">
      <c r="A71">
        <v>1.3515397505553799</v>
      </c>
      <c r="B71">
        <v>4.2261858913802701</v>
      </c>
      <c r="C71">
        <v>24.458251520813999</v>
      </c>
      <c r="D71">
        <v>2.0179814091014898</v>
      </c>
      <c r="E71">
        <v>2.9987508268673602</v>
      </c>
      <c r="F71">
        <v>33.674863952443403</v>
      </c>
      <c r="G71">
        <v>1.0360377963288701</v>
      </c>
      <c r="H71">
        <v>27</v>
      </c>
    </row>
    <row r="72" spans="1:8">
      <c r="A72">
        <v>1.4665044418664299</v>
      </c>
      <c r="B72">
        <v>4.2071833848804898</v>
      </c>
      <c r="C72">
        <v>25.8044913491964</v>
      </c>
      <c r="D72">
        <v>2.0217552407551298</v>
      </c>
      <c r="E72">
        <v>3.7084854898622899</v>
      </c>
      <c r="F72">
        <v>33.397781339025101</v>
      </c>
      <c r="G72">
        <v>1.6374274527983901</v>
      </c>
      <c r="H72">
        <v>147</v>
      </c>
    </row>
    <row r="73" spans="1:8">
      <c r="A73">
        <v>1.3977519696177201</v>
      </c>
      <c r="B73">
        <v>4.2014630107884301</v>
      </c>
      <c r="C73">
        <v>27.330645000582098</v>
      </c>
      <c r="D73">
        <v>2.1914180952905502</v>
      </c>
      <c r="E73">
        <v>3.7563919209541998</v>
      </c>
      <c r="F73">
        <v>35.058351595792402</v>
      </c>
      <c r="G73">
        <v>1.47240975449043</v>
      </c>
      <c r="H73">
        <v>103</v>
      </c>
    </row>
    <row r="74" spans="1:8">
      <c r="A74">
        <v>1.3825039158866801</v>
      </c>
      <c r="B74">
        <v>4.1209806616159401</v>
      </c>
      <c r="C74">
        <v>29.245684701542</v>
      </c>
      <c r="D74">
        <v>1.9835819530838299</v>
      </c>
      <c r="E74">
        <v>3.9727587811301501</v>
      </c>
      <c r="F74">
        <v>31.041479628122001</v>
      </c>
      <c r="G74">
        <v>1.70441389147496</v>
      </c>
      <c r="H74">
        <v>152</v>
      </c>
    </row>
    <row r="75" spans="1:8">
      <c r="A75">
        <v>1.56881485360193</v>
      </c>
      <c r="B75">
        <v>4.2398067512235498</v>
      </c>
      <c r="C75">
        <v>28.010901520036501</v>
      </c>
      <c r="D75">
        <v>1.9845960638108799</v>
      </c>
      <c r="E75">
        <v>3.5580158680302101</v>
      </c>
      <c r="F75">
        <v>31.969842158591099</v>
      </c>
      <c r="G75">
        <v>1.6338869310617301</v>
      </c>
      <c r="H75">
        <v>135</v>
      </c>
    </row>
    <row r="76" spans="1:8">
      <c r="A76">
        <v>1.47852044769589</v>
      </c>
      <c r="B76">
        <v>4.1370412650710504</v>
      </c>
      <c r="C76">
        <v>26.302409205313001</v>
      </c>
      <c r="D76">
        <v>2.1037266580726302</v>
      </c>
      <c r="E76">
        <v>3.2746974240203501</v>
      </c>
      <c r="F76">
        <v>31.950306509707701</v>
      </c>
      <c r="G76">
        <v>1.6918244345927</v>
      </c>
      <c r="H76">
        <v>159</v>
      </c>
    </row>
    <row r="77" spans="1:8">
      <c r="A77">
        <v>1.45833258747127</v>
      </c>
      <c r="B77">
        <v>4.2212801908975504</v>
      </c>
      <c r="C77">
        <v>23.7412209466004</v>
      </c>
      <c r="D77">
        <v>2.0108432671038798</v>
      </c>
      <c r="E77">
        <v>3.59033841506026</v>
      </c>
      <c r="F77">
        <v>29.856374534150099</v>
      </c>
      <c r="G77">
        <v>1.91759369568662</v>
      </c>
      <c r="H77">
        <v>194</v>
      </c>
    </row>
    <row r="78" spans="1:8">
      <c r="A78">
        <v>1.3125375394411101</v>
      </c>
      <c r="B78">
        <v>4.21232266283016</v>
      </c>
      <c r="C78">
        <v>26.256010962627801</v>
      </c>
      <c r="D78">
        <v>2.1285603852719399</v>
      </c>
      <c r="E78">
        <v>3.3745533188320702</v>
      </c>
      <c r="F78">
        <v>34.523504527205603</v>
      </c>
      <c r="G78">
        <v>1.8399530815448999</v>
      </c>
      <c r="H78">
        <v>189</v>
      </c>
    </row>
    <row r="79" spans="1:8">
      <c r="A79">
        <v>1.4569990520618099</v>
      </c>
      <c r="B79">
        <v>4.2579633773346002</v>
      </c>
      <c r="C79">
        <v>27.0961510849862</v>
      </c>
      <c r="D79">
        <v>1.9803337150161799</v>
      </c>
      <c r="E79">
        <v>3.5341927339202699</v>
      </c>
      <c r="F79">
        <v>35.112379161649898</v>
      </c>
      <c r="G79">
        <v>1.6441951700494499</v>
      </c>
      <c r="H79">
        <v>150</v>
      </c>
    </row>
    <row r="80" spans="1:8">
      <c r="A80">
        <v>1.6052689949094201</v>
      </c>
      <c r="B80">
        <v>4.3592333804149703</v>
      </c>
      <c r="C80">
        <v>30.4870627693711</v>
      </c>
      <c r="D80">
        <v>1.93104418666539</v>
      </c>
      <c r="E80">
        <v>3.4540015954686698</v>
      </c>
      <c r="F80">
        <v>33.610049181100898</v>
      </c>
      <c r="G80">
        <v>1.4273689333241799</v>
      </c>
      <c r="H80">
        <v>96</v>
      </c>
    </row>
    <row r="81" spans="1:8">
      <c r="A81">
        <v>1.3883900618201099</v>
      </c>
      <c r="B81">
        <v>4.2451699112182002</v>
      </c>
      <c r="C81">
        <v>30.481103652988001</v>
      </c>
      <c r="D81">
        <v>2.1064140533045501</v>
      </c>
      <c r="E81">
        <v>3.2379724003908499</v>
      </c>
      <c r="F81">
        <v>33.744181234650597</v>
      </c>
      <c r="G81">
        <v>0.93158499272177997</v>
      </c>
      <c r="H81">
        <v>7</v>
      </c>
    </row>
    <row r="82" spans="1:8">
      <c r="A82">
        <v>1.53259915848196</v>
      </c>
      <c r="B82">
        <v>4.2157133034804604</v>
      </c>
      <c r="C82">
        <v>27.218614552020298</v>
      </c>
      <c r="D82">
        <v>2.0687286909239799</v>
      </c>
      <c r="E82">
        <v>3.5364254592192301</v>
      </c>
      <c r="F82">
        <v>34.557346116679398</v>
      </c>
      <c r="G82">
        <v>1.76521675950043</v>
      </c>
      <c r="H82">
        <v>175</v>
      </c>
    </row>
    <row r="83" spans="1:8">
      <c r="A83">
        <v>1.4277456875896299</v>
      </c>
      <c r="B83">
        <v>4.1454813369264203</v>
      </c>
      <c r="C83">
        <v>28.489622091934901</v>
      </c>
      <c r="D83">
        <v>1.9669930844904</v>
      </c>
      <c r="E83">
        <v>3.7081553010575399</v>
      </c>
      <c r="F83">
        <v>37.055079355353101</v>
      </c>
      <c r="G83">
        <v>1.6381897366709199</v>
      </c>
      <c r="H83">
        <v>149</v>
      </c>
    </row>
    <row r="84" spans="1:8">
      <c r="A84">
        <v>1.31158190306888</v>
      </c>
      <c r="B84">
        <v>4.1661503174050099</v>
      </c>
      <c r="C84">
        <v>26.017863385461499</v>
      </c>
      <c r="D84">
        <v>1.9229605599053501</v>
      </c>
      <c r="E84">
        <v>3.4001356735651398</v>
      </c>
      <c r="F84">
        <v>30.448012684946299</v>
      </c>
      <c r="G84">
        <v>1.59580481169627</v>
      </c>
      <c r="H84">
        <v>129</v>
      </c>
    </row>
    <row r="85" spans="1:8">
      <c r="A85">
        <v>1.3735751844492201</v>
      </c>
      <c r="B85">
        <v>4.1670844432087204</v>
      </c>
      <c r="C85">
        <v>28.643161165912101</v>
      </c>
      <c r="D85">
        <v>2.1381388624023199</v>
      </c>
      <c r="E85">
        <v>3.8415951315291901</v>
      </c>
      <c r="F85">
        <v>35.026155648263298</v>
      </c>
      <c r="G85">
        <v>1.8188572335528701</v>
      </c>
      <c r="H85">
        <v>172</v>
      </c>
    </row>
    <row r="86" spans="1:8">
      <c r="A86">
        <v>1.40421682296452</v>
      </c>
      <c r="B86">
        <v>4.1865477115757699</v>
      </c>
      <c r="C86">
        <v>25.297263207209799</v>
      </c>
      <c r="D86">
        <v>2.0048354094108598</v>
      </c>
      <c r="E86">
        <v>3.9684596114323001</v>
      </c>
      <c r="F86">
        <v>35.400807126028397</v>
      </c>
      <c r="G86">
        <v>1.1159587710799801</v>
      </c>
      <c r="H86">
        <v>43</v>
      </c>
    </row>
    <row r="87" spans="1:8">
      <c r="A87">
        <v>1.2677543242334699</v>
      </c>
      <c r="B87">
        <v>4.1973240884242804</v>
      </c>
      <c r="C87">
        <v>28.557066098531401</v>
      </c>
      <c r="D87">
        <v>1.9967191297217901</v>
      </c>
      <c r="E87">
        <v>3.2253257774756001</v>
      </c>
      <c r="F87">
        <v>32.482790855976297</v>
      </c>
      <c r="G87">
        <v>1.33919751323143</v>
      </c>
      <c r="H87">
        <v>87</v>
      </c>
    </row>
    <row r="88" spans="1:8">
      <c r="A88">
        <v>1.11930607011658</v>
      </c>
      <c r="B88">
        <v>4.2200773582508901</v>
      </c>
      <c r="C88">
        <v>27.986543800850001</v>
      </c>
      <c r="D88">
        <v>2.0016843314338901</v>
      </c>
      <c r="E88">
        <v>3.8879031527847601</v>
      </c>
      <c r="F88">
        <v>33.166932580727497</v>
      </c>
      <c r="G88">
        <v>1.11713881335714</v>
      </c>
      <c r="H88">
        <v>34</v>
      </c>
    </row>
    <row r="89" spans="1:8">
      <c r="A89">
        <v>1.6683972787432799</v>
      </c>
      <c r="B89">
        <v>4.1529381736022097</v>
      </c>
      <c r="C89">
        <v>25.851010745974101</v>
      </c>
      <c r="D89">
        <v>2.02658102115163</v>
      </c>
      <c r="E89">
        <v>3.60842219352197</v>
      </c>
      <c r="F89">
        <v>31.518536211005902</v>
      </c>
      <c r="G89">
        <v>1.1166007046053701</v>
      </c>
      <c r="H89">
        <v>45</v>
      </c>
    </row>
    <row r="90" spans="1:8">
      <c r="A90">
        <v>1.4253650366177</v>
      </c>
      <c r="B90">
        <v>4.24550458788777</v>
      </c>
      <c r="C90">
        <v>28.598757071300099</v>
      </c>
      <c r="D90">
        <v>2.1280000684920899</v>
      </c>
      <c r="E90">
        <v>4.1605863612264198</v>
      </c>
      <c r="F90">
        <v>30.983262588269302</v>
      </c>
      <c r="G90">
        <v>1.1463454725281801</v>
      </c>
      <c r="H90">
        <v>80</v>
      </c>
    </row>
    <row r="91" spans="1:8">
      <c r="A91">
        <v>1.1961935832736099</v>
      </c>
      <c r="B91">
        <v>4.1861566491084696</v>
      </c>
      <c r="C91">
        <v>26.090912244822299</v>
      </c>
      <c r="D91">
        <v>1.8394033089586601</v>
      </c>
      <c r="E91">
        <v>3.4966106499451302</v>
      </c>
      <c r="F91">
        <v>33.340046225527303</v>
      </c>
      <c r="G91">
        <v>1.4462356747677201</v>
      </c>
      <c r="H91">
        <v>110</v>
      </c>
    </row>
    <row r="92" spans="1:8">
      <c r="A92">
        <v>1.4604672505669201</v>
      </c>
      <c r="B92">
        <v>4.2484355991518497</v>
      </c>
      <c r="C92">
        <v>25.008823193666501</v>
      </c>
      <c r="D92">
        <v>2.0033079571352599</v>
      </c>
      <c r="E92">
        <v>3.6928430487784398</v>
      </c>
      <c r="F92">
        <v>35.3366857124091</v>
      </c>
      <c r="G92">
        <v>1.67165933088371</v>
      </c>
      <c r="H92">
        <v>154</v>
      </c>
    </row>
    <row r="93" spans="1:8">
      <c r="A93">
        <v>1.2579799462454899</v>
      </c>
      <c r="B93">
        <v>4.2009974071587397</v>
      </c>
      <c r="C93">
        <v>28.0527756476599</v>
      </c>
      <c r="D93">
        <v>2.11210538318899</v>
      </c>
      <c r="E93">
        <v>3.3791031234854398</v>
      </c>
      <c r="F93">
        <v>32.632588305192201</v>
      </c>
      <c r="G93">
        <v>1.2068010006054199</v>
      </c>
      <c r="H93">
        <v>52</v>
      </c>
    </row>
    <row r="94" spans="1:8">
      <c r="A94">
        <v>1.3797580959399001</v>
      </c>
      <c r="B94">
        <v>4.1828303302713499</v>
      </c>
      <c r="C94">
        <v>25.440809477401</v>
      </c>
      <c r="D94">
        <v>1.9746275803003699</v>
      </c>
      <c r="E94">
        <v>3.7662835291726999</v>
      </c>
      <c r="F94">
        <v>32.5070279004578</v>
      </c>
      <c r="G94">
        <v>1.7480940593532399</v>
      </c>
      <c r="H94">
        <v>170</v>
      </c>
    </row>
    <row r="95" spans="1:8">
      <c r="A95">
        <v>1.5193726305473301</v>
      </c>
      <c r="B95">
        <v>4.1793265277544904</v>
      </c>
      <c r="C95">
        <v>24.8596097976436</v>
      </c>
      <c r="D95">
        <v>2.0827224180561701</v>
      </c>
      <c r="E95">
        <v>4.0982807661157201</v>
      </c>
      <c r="F95">
        <v>33.237811880962902</v>
      </c>
      <c r="G95">
        <v>1.8232805507249199</v>
      </c>
      <c r="H95">
        <v>215</v>
      </c>
    </row>
    <row r="96" spans="1:8">
      <c r="A96">
        <v>1.2338954694631299</v>
      </c>
      <c r="B96">
        <v>4.2702134302747004</v>
      </c>
      <c r="C96">
        <v>26.1484097215689</v>
      </c>
      <c r="D96">
        <v>2.0408237425058999</v>
      </c>
      <c r="E96">
        <v>3.70758126865063</v>
      </c>
      <c r="F96">
        <v>32.988940249318297</v>
      </c>
      <c r="G96">
        <v>1.28322513544657</v>
      </c>
      <c r="H96">
        <v>67</v>
      </c>
    </row>
    <row r="97" spans="1:8">
      <c r="A97">
        <v>1.4878675232234999</v>
      </c>
      <c r="B97">
        <v>4.2268130081251503</v>
      </c>
      <c r="C97">
        <v>26.965558248202999</v>
      </c>
      <c r="D97">
        <v>1.98906243442254</v>
      </c>
      <c r="E97">
        <v>3.73974806142667</v>
      </c>
      <c r="F97">
        <v>31.0953353876112</v>
      </c>
      <c r="G97">
        <v>1.79855834900569</v>
      </c>
      <c r="H97">
        <v>180</v>
      </c>
    </row>
    <row r="98" spans="1:8">
      <c r="A98">
        <v>1.5598648702996301</v>
      </c>
      <c r="B98">
        <v>4.0957673167973896</v>
      </c>
      <c r="C98">
        <v>26.627173813886198</v>
      </c>
      <c r="D98">
        <v>2.0507516689086001</v>
      </c>
      <c r="E98">
        <v>2.9656019525319799</v>
      </c>
      <c r="F98">
        <v>32.097606700097302</v>
      </c>
      <c r="G98">
        <v>1.4563227664707801</v>
      </c>
      <c r="H98">
        <v>101</v>
      </c>
    </row>
    <row r="99" spans="1:8">
      <c r="A99">
        <v>1.41578196963841</v>
      </c>
      <c r="B99">
        <v>4.2355596364301702</v>
      </c>
      <c r="C99">
        <v>27.747688472624301</v>
      </c>
      <c r="D99">
        <v>1.87809272055754</v>
      </c>
      <c r="E99">
        <v>4.0783971017831</v>
      </c>
      <c r="F99">
        <v>33.631342318974802</v>
      </c>
      <c r="G99">
        <v>1.08745668538867</v>
      </c>
      <c r="H99">
        <v>38</v>
      </c>
    </row>
    <row r="100" spans="1:8">
      <c r="A100">
        <v>1.3748132833559601</v>
      </c>
      <c r="B100">
        <v>4.2224300235790002</v>
      </c>
      <c r="C100">
        <v>25.977103555972398</v>
      </c>
      <c r="D100">
        <v>1.97078726973743</v>
      </c>
      <c r="E100">
        <v>3.5490989829317501</v>
      </c>
      <c r="F100">
        <v>33.230227254112997</v>
      </c>
      <c r="G100">
        <v>1.9656976901358301</v>
      </c>
      <c r="H100">
        <v>213</v>
      </c>
    </row>
    <row r="101" spans="1:8">
      <c r="A101">
        <v>1.27701324604713</v>
      </c>
      <c r="B101">
        <v>4.15865771331171</v>
      </c>
      <c r="C101">
        <v>28.914577609167999</v>
      </c>
      <c r="D101">
        <v>1.9368451727839999</v>
      </c>
      <c r="E101">
        <v>3.54605587551473</v>
      </c>
      <c r="F101">
        <v>34.384763419195203</v>
      </c>
      <c r="G101">
        <v>1.2654316566259201</v>
      </c>
      <c r="H101">
        <v>74</v>
      </c>
    </row>
    <row r="102" spans="1:8">
      <c r="A102">
        <v>1.36031518170815</v>
      </c>
      <c r="B102">
        <v>4.1648844082286196</v>
      </c>
      <c r="C102">
        <v>27.158819463475201</v>
      </c>
      <c r="D102">
        <v>1.9714798671856899</v>
      </c>
      <c r="E102">
        <v>3.2995382728001901</v>
      </c>
      <c r="F102">
        <v>31.167166623901998</v>
      </c>
      <c r="G102">
        <v>1.77690078407693</v>
      </c>
      <c r="H102">
        <v>164</v>
      </c>
    </row>
    <row r="103" spans="1:8">
      <c r="A103">
        <v>1.2531222714199799</v>
      </c>
      <c r="B103">
        <v>4.1714526573809003</v>
      </c>
      <c r="C103">
        <v>24.290418217379699</v>
      </c>
      <c r="D103">
        <v>2.0300775787492902</v>
      </c>
      <c r="E103">
        <v>3.5682603073631198</v>
      </c>
      <c r="F103">
        <v>34.232246117665397</v>
      </c>
      <c r="G103">
        <v>1.6973421963409101</v>
      </c>
      <c r="H103">
        <v>191</v>
      </c>
    </row>
    <row r="104" spans="1:8">
      <c r="A104">
        <v>1.2407418701584101</v>
      </c>
      <c r="B104">
        <v>4.1909496267753497</v>
      </c>
      <c r="C104">
        <v>27.813749097468602</v>
      </c>
      <c r="D104">
        <v>1.8723506435783499</v>
      </c>
      <c r="E104">
        <v>3.4790248612375301</v>
      </c>
      <c r="F104">
        <v>31.242309556555</v>
      </c>
      <c r="G104">
        <v>1.3121088006930699</v>
      </c>
      <c r="H104">
        <v>83</v>
      </c>
    </row>
    <row r="105" spans="1:8">
      <c r="A105">
        <v>1.4800243140257301</v>
      </c>
      <c r="B105">
        <v>4.1460768385443103</v>
      </c>
      <c r="C105">
        <v>27.797440969564398</v>
      </c>
      <c r="D105">
        <v>1.87032400449418</v>
      </c>
      <c r="E105">
        <v>3.5126874444259499</v>
      </c>
      <c r="F105">
        <v>30.558806809997701</v>
      </c>
      <c r="G105">
        <v>0.88278346425296195</v>
      </c>
      <c r="H105">
        <v>27</v>
      </c>
    </row>
    <row r="106" spans="1:8">
      <c r="A106">
        <v>1.4590356592287399</v>
      </c>
      <c r="B106">
        <v>4.1782756095348601</v>
      </c>
      <c r="C106">
        <v>26.471129081628899</v>
      </c>
      <c r="D106">
        <v>2.1287569307830401</v>
      </c>
      <c r="E106">
        <v>3.3689143520950302</v>
      </c>
      <c r="F106">
        <v>32.105563605926797</v>
      </c>
      <c r="G106">
        <v>1.3986929625718201</v>
      </c>
      <c r="H106">
        <v>89</v>
      </c>
    </row>
    <row r="107" spans="1:8">
      <c r="A107">
        <v>1.47600218945551</v>
      </c>
      <c r="B107">
        <v>4.2092224160167904</v>
      </c>
      <c r="C107">
        <v>28.1137328020422</v>
      </c>
      <c r="D107">
        <v>2.2100531924926798</v>
      </c>
      <c r="E107">
        <v>3.4681655461407601</v>
      </c>
      <c r="F107">
        <v>33.464666205660897</v>
      </c>
      <c r="G107">
        <v>0.96622192266120399</v>
      </c>
      <c r="H107">
        <v>43</v>
      </c>
    </row>
    <row r="108" spans="1:8">
      <c r="A108">
        <v>1.3328606522302699</v>
      </c>
      <c r="B108">
        <v>4.2554921900528697</v>
      </c>
      <c r="C108">
        <v>24.3501109553894</v>
      </c>
      <c r="D108">
        <v>1.88793079037692</v>
      </c>
      <c r="E108">
        <v>3.3959484981143699</v>
      </c>
      <c r="F108">
        <v>31.524331903923699</v>
      </c>
      <c r="G108">
        <v>1.9476377858917</v>
      </c>
      <c r="H108">
        <v>198</v>
      </c>
    </row>
    <row r="109" spans="1:8">
      <c r="A109">
        <v>1.6050717867769</v>
      </c>
      <c r="B109">
        <v>4.2791167185824097</v>
      </c>
      <c r="C109">
        <v>28.3016593671443</v>
      </c>
      <c r="D109">
        <v>1.9840641429569701</v>
      </c>
      <c r="E109">
        <v>3.12979675852749</v>
      </c>
      <c r="F109">
        <v>31.920489194900298</v>
      </c>
      <c r="G109">
        <v>1.5689657060311499</v>
      </c>
      <c r="H109">
        <v>133</v>
      </c>
    </row>
    <row r="110" spans="1:8">
      <c r="A110">
        <v>1.4856057240743901</v>
      </c>
      <c r="B110">
        <v>4.1919200750870402</v>
      </c>
      <c r="C110">
        <v>26.001555487716299</v>
      </c>
      <c r="D110">
        <v>2.01471117031778</v>
      </c>
      <c r="E110">
        <v>3.3429434602642099</v>
      </c>
      <c r="F110">
        <v>29.064460759263699</v>
      </c>
      <c r="G110">
        <v>1.4131184259601399</v>
      </c>
      <c r="H110">
        <v>131</v>
      </c>
    </row>
    <row r="111" spans="1:8">
      <c r="A111">
        <v>1.52335335130247</v>
      </c>
      <c r="B111">
        <v>4.2247577278532704</v>
      </c>
      <c r="C111">
        <v>25.477088716683301</v>
      </c>
      <c r="D111">
        <v>1.94548018269823</v>
      </c>
      <c r="E111">
        <v>3.3124729763408198</v>
      </c>
      <c r="F111">
        <v>31.3782639470042</v>
      </c>
      <c r="G111">
        <v>1.10357425729614</v>
      </c>
      <c r="H111">
        <v>30</v>
      </c>
    </row>
    <row r="112" spans="1:8">
      <c r="A112">
        <v>1.3648820432273201</v>
      </c>
      <c r="B112">
        <v>4.2567377925666099</v>
      </c>
      <c r="C112">
        <v>24.573292978479</v>
      </c>
      <c r="D112">
        <v>2.0191817324747299</v>
      </c>
      <c r="E112">
        <v>3.6807638587912601</v>
      </c>
      <c r="F112">
        <v>34.674805218179699</v>
      </c>
      <c r="G112">
        <v>1.0875799613219801</v>
      </c>
      <c r="H112">
        <v>37</v>
      </c>
    </row>
    <row r="113" spans="1:8">
      <c r="A113">
        <v>1.47785466493798</v>
      </c>
      <c r="B113">
        <v>4.2348049860914303</v>
      </c>
      <c r="C113">
        <v>25.620383803163701</v>
      </c>
      <c r="D113">
        <v>2.0786026233469701</v>
      </c>
      <c r="E113">
        <v>3.4067118552954998</v>
      </c>
      <c r="F113">
        <v>33.279450440272598</v>
      </c>
      <c r="G113">
        <v>0.98065207579490499</v>
      </c>
      <c r="H113">
        <v>48</v>
      </c>
    </row>
    <row r="114" spans="1:8">
      <c r="A114">
        <v>1.53106238445275</v>
      </c>
      <c r="B114">
        <v>4.1892022053143201</v>
      </c>
      <c r="C114">
        <v>25.720475278661802</v>
      </c>
      <c r="D114">
        <v>2.0943074453826398</v>
      </c>
      <c r="E114">
        <v>3.1929075169572201</v>
      </c>
      <c r="F114">
        <v>31.264947713131001</v>
      </c>
      <c r="G114">
        <v>1.90064665302545</v>
      </c>
      <c r="H114">
        <v>230</v>
      </c>
    </row>
    <row r="115" spans="1:8">
      <c r="A115">
        <v>1.7475152476787601</v>
      </c>
      <c r="B115">
        <v>4.1707801335682104</v>
      </c>
      <c r="C115">
        <v>29.184422799310202</v>
      </c>
      <c r="D115">
        <v>1.9596527136980799</v>
      </c>
      <c r="E115">
        <v>3.0028943731749602</v>
      </c>
      <c r="F115">
        <v>30.000857654282701</v>
      </c>
      <c r="G115">
        <v>1.51404535081368</v>
      </c>
      <c r="H115">
        <v>153</v>
      </c>
    </row>
    <row r="116" spans="1:8">
      <c r="A116">
        <v>1.31730247588842</v>
      </c>
      <c r="B116">
        <v>4.1208166442063296</v>
      </c>
      <c r="C116">
        <v>28.724750331685001</v>
      </c>
      <c r="D116">
        <v>1.9081953469772801</v>
      </c>
      <c r="E116">
        <v>3.65156894786131</v>
      </c>
      <c r="F116">
        <v>33.716190473455001</v>
      </c>
      <c r="G116">
        <v>1.7861200806324999</v>
      </c>
      <c r="H116">
        <v>178</v>
      </c>
    </row>
    <row r="117" spans="1:8">
      <c r="A117">
        <v>1.37578783614971</v>
      </c>
      <c r="B117">
        <v>4.2343406710852403</v>
      </c>
      <c r="C117">
        <v>27.439856629080399</v>
      </c>
      <c r="D117">
        <v>1.9540536827463</v>
      </c>
      <c r="E117">
        <v>3.7296785991316299</v>
      </c>
      <c r="F117">
        <v>35.579230347483701</v>
      </c>
      <c r="G117">
        <v>1.5417065146714299</v>
      </c>
      <c r="H117">
        <v>158</v>
      </c>
    </row>
    <row r="118" spans="1:8">
      <c r="A118">
        <v>1.44227429252259</v>
      </c>
      <c r="B118">
        <v>4.1967743122678796</v>
      </c>
      <c r="C118">
        <v>26.399674883445101</v>
      </c>
      <c r="D118">
        <v>1.8102583639666201</v>
      </c>
      <c r="E118">
        <v>3.9127171007943899</v>
      </c>
      <c r="F118">
        <v>34.030947908818298</v>
      </c>
      <c r="G118">
        <v>1.45061549419585</v>
      </c>
      <c r="H118">
        <v>111</v>
      </c>
    </row>
    <row r="119" spans="1:8">
      <c r="A119">
        <v>1.4368517465608399</v>
      </c>
      <c r="B119">
        <v>4.1980975595016403</v>
      </c>
      <c r="C119">
        <v>27.8341653323813</v>
      </c>
      <c r="D119">
        <v>2.1162745043383602</v>
      </c>
      <c r="E119">
        <v>3.6332077684606099</v>
      </c>
      <c r="F119">
        <v>29.775905629543399</v>
      </c>
      <c r="G119">
        <v>1.1867854834221201</v>
      </c>
      <c r="H119">
        <v>47</v>
      </c>
    </row>
    <row r="120" spans="1:8">
      <c r="A120">
        <v>1.4636484073053</v>
      </c>
      <c r="B120">
        <v>4.1619175051921697</v>
      </c>
      <c r="C120">
        <v>27.301732440740899</v>
      </c>
      <c r="D120">
        <v>1.91193305274756</v>
      </c>
      <c r="E120">
        <v>3.8262341870133199</v>
      </c>
      <c r="F120">
        <v>34.9394154473908</v>
      </c>
      <c r="G120">
        <v>1.7138991845817799</v>
      </c>
      <c r="H120">
        <v>163</v>
      </c>
    </row>
    <row r="121" spans="1:8">
      <c r="A121">
        <v>1.25741458423241</v>
      </c>
      <c r="B121">
        <v>4.2368010368142199</v>
      </c>
      <c r="C121">
        <v>27.274143329154199</v>
      </c>
      <c r="D121">
        <v>1.8527539665914201</v>
      </c>
      <c r="E121">
        <v>3.3200076519219301</v>
      </c>
      <c r="F121">
        <v>33.903767939292301</v>
      </c>
      <c r="G121">
        <v>0.94600375534468195</v>
      </c>
      <c r="H121">
        <v>8</v>
      </c>
    </row>
    <row r="122" spans="1:8">
      <c r="A122">
        <v>1.3720652627562899</v>
      </c>
      <c r="B122">
        <v>4.2056980028929001</v>
      </c>
      <c r="C122">
        <v>29.775045929373999</v>
      </c>
      <c r="D122">
        <v>2.0669065192630098</v>
      </c>
      <c r="E122">
        <v>3.4882295524495399</v>
      </c>
      <c r="F122">
        <v>32.9224949478686</v>
      </c>
      <c r="G122">
        <v>1.59814919709132</v>
      </c>
      <c r="H122">
        <v>130</v>
      </c>
    </row>
    <row r="123" spans="1:8">
      <c r="A123">
        <v>1.39734897984287</v>
      </c>
      <c r="B123">
        <v>4.1458290538140998</v>
      </c>
      <c r="C123">
        <v>25.41127106894</v>
      </c>
      <c r="D123">
        <v>1.9412794015906401</v>
      </c>
      <c r="E123">
        <v>3.3461172622605502</v>
      </c>
      <c r="F123">
        <v>31.119366895744999</v>
      </c>
      <c r="G123">
        <v>1.64778488165343</v>
      </c>
      <c r="H123">
        <v>138</v>
      </c>
    </row>
    <row r="124" spans="1:8">
      <c r="A124">
        <v>1.3741398782493699</v>
      </c>
      <c r="B124">
        <v>4.20534379729511</v>
      </c>
      <c r="C124">
        <v>27.1826542748564</v>
      </c>
      <c r="D124">
        <v>1.9274165084896799</v>
      </c>
      <c r="E124">
        <v>3.9109336409735902</v>
      </c>
      <c r="F124">
        <v>31.150879910778698</v>
      </c>
      <c r="G124">
        <v>1.2168650961782299</v>
      </c>
      <c r="H124">
        <v>93</v>
      </c>
    </row>
    <row r="125" spans="1:8">
      <c r="A125">
        <v>1.27321022248328</v>
      </c>
      <c r="B125">
        <v>4.1873379794801098</v>
      </c>
      <c r="C125">
        <v>30.029340181081199</v>
      </c>
      <c r="D125">
        <v>1.8800949116100201</v>
      </c>
      <c r="E125">
        <v>3.53505424118325</v>
      </c>
      <c r="F125">
        <v>35.824370586717698</v>
      </c>
      <c r="G125">
        <v>1.38310484711594</v>
      </c>
      <c r="H125">
        <v>127</v>
      </c>
    </row>
    <row r="126" spans="1:8">
      <c r="A126">
        <v>1.5397103997000201</v>
      </c>
      <c r="B126">
        <v>4.3192445574946703</v>
      </c>
      <c r="C126">
        <v>26.209580288225901</v>
      </c>
      <c r="D126">
        <v>1.9715851040919301</v>
      </c>
      <c r="E126">
        <v>3.4151878499840098</v>
      </c>
      <c r="F126">
        <v>32.523656143665299</v>
      </c>
      <c r="G126">
        <v>1.5365770325858401</v>
      </c>
      <c r="H126">
        <v>156</v>
      </c>
    </row>
    <row r="127" spans="1:8">
      <c r="A127">
        <v>1.29886860417218</v>
      </c>
      <c r="B127">
        <v>4.2461627771071804</v>
      </c>
      <c r="C127">
        <v>27.1317280416906</v>
      </c>
      <c r="D127">
        <v>1.9443794951112401</v>
      </c>
      <c r="E127">
        <v>3.9814503247232</v>
      </c>
      <c r="F127">
        <v>30.802646025025201</v>
      </c>
      <c r="G127">
        <v>1.3288989613955</v>
      </c>
      <c r="H127">
        <v>86</v>
      </c>
    </row>
    <row r="128" spans="1:8">
      <c r="A128">
        <v>1.53307256001743</v>
      </c>
      <c r="B128">
        <v>4.2736128288381101</v>
      </c>
      <c r="C128">
        <v>28.4950132695026</v>
      </c>
      <c r="D128">
        <v>1.9335541616877701</v>
      </c>
      <c r="E128">
        <v>3.5771349268455799</v>
      </c>
      <c r="F128">
        <v>34.832288924954497</v>
      </c>
      <c r="G128">
        <v>1.8783020419890499</v>
      </c>
      <c r="H128">
        <v>195</v>
      </c>
    </row>
    <row r="129" spans="1:8">
      <c r="A129">
        <v>1.51669160718367</v>
      </c>
      <c r="B129">
        <v>4.1783266217846702</v>
      </c>
      <c r="C129">
        <v>26.8464931939771</v>
      </c>
      <c r="D129">
        <v>2.0718089603321701</v>
      </c>
      <c r="E129">
        <v>3.7741160624133498</v>
      </c>
      <c r="F129">
        <v>31.993918728443202</v>
      </c>
      <c r="G129">
        <v>1.5789535227518099</v>
      </c>
      <c r="H129">
        <v>125</v>
      </c>
    </row>
    <row r="130" spans="1:8">
      <c r="A130">
        <v>1.3725816164939799</v>
      </c>
      <c r="B130">
        <v>4.1883254986595899</v>
      </c>
      <c r="C130">
        <v>22.565304370805801</v>
      </c>
      <c r="D130">
        <v>2.0482745860468099</v>
      </c>
      <c r="E130">
        <v>3.54444903975046</v>
      </c>
      <c r="F130">
        <v>34.131498097766801</v>
      </c>
      <c r="G130">
        <v>1.26050940497346</v>
      </c>
      <c r="H130">
        <v>71</v>
      </c>
    </row>
    <row r="131" spans="1:8">
      <c r="A131">
        <v>1.4014678314904001</v>
      </c>
      <c r="B131">
        <v>4.2327217895414</v>
      </c>
      <c r="C131">
        <v>27.944506643075499</v>
      </c>
      <c r="D131">
        <v>1.9507528726419301</v>
      </c>
      <c r="E131">
        <v>3.8051095681108098</v>
      </c>
      <c r="F131">
        <v>33.040647061317998</v>
      </c>
      <c r="G131">
        <v>0.93509924751777995</v>
      </c>
      <c r="H131">
        <v>6</v>
      </c>
    </row>
    <row r="132" spans="1:8">
      <c r="A132">
        <v>1.58757351521123</v>
      </c>
      <c r="B132">
        <v>4.1735231955816001</v>
      </c>
      <c r="C132">
        <v>27.420041131904298</v>
      </c>
      <c r="D132">
        <v>2.0332080532969701</v>
      </c>
      <c r="E132">
        <v>3.7169256715523198</v>
      </c>
      <c r="F132">
        <v>30.564363471607901</v>
      </c>
      <c r="G132">
        <v>1.73630304794798</v>
      </c>
      <c r="H132">
        <v>158</v>
      </c>
    </row>
    <row r="133" spans="1:8">
      <c r="A133">
        <v>1.60313972151483</v>
      </c>
      <c r="B133">
        <v>4.2647943146993699</v>
      </c>
      <c r="C133">
        <v>27.773165252656099</v>
      </c>
      <c r="D133">
        <v>2.1895122291331002</v>
      </c>
      <c r="E133">
        <v>3.5567364434816202</v>
      </c>
      <c r="F133">
        <v>35.899616058171397</v>
      </c>
      <c r="G133">
        <v>1.4497039388691499</v>
      </c>
      <c r="H133">
        <v>109</v>
      </c>
    </row>
    <row r="134" spans="1:8">
      <c r="A134">
        <v>1.40611961637067</v>
      </c>
      <c r="B134">
        <v>4.1922874540845898</v>
      </c>
      <c r="C134">
        <v>25.366270850623799</v>
      </c>
      <c r="D134">
        <v>2.13249358542756</v>
      </c>
      <c r="E134">
        <v>3.1166789320536998</v>
      </c>
      <c r="F134">
        <v>34.776281023676802</v>
      </c>
      <c r="G134">
        <v>1.5903042497145601</v>
      </c>
      <c r="H134">
        <v>137</v>
      </c>
    </row>
    <row r="135" spans="1:8">
      <c r="A135">
        <v>1.38003723052459</v>
      </c>
      <c r="B135">
        <v>4.2389568666238899</v>
      </c>
      <c r="C135">
        <v>28.6246196627174</v>
      </c>
      <c r="D135">
        <v>1.98415952768635</v>
      </c>
      <c r="E135">
        <v>2.8714198980929702</v>
      </c>
      <c r="F135">
        <v>33.8096141464382</v>
      </c>
      <c r="G135">
        <v>1.7371851833232499</v>
      </c>
      <c r="H135">
        <v>168</v>
      </c>
    </row>
    <row r="136" spans="1:8">
      <c r="A136">
        <v>1.2999649998845699</v>
      </c>
      <c r="B136">
        <v>4.2070641593938598</v>
      </c>
      <c r="C136">
        <v>21.604784304749501</v>
      </c>
      <c r="D136">
        <v>1.94718031712688</v>
      </c>
      <c r="E136">
        <v>3.0489853311561301</v>
      </c>
      <c r="F136">
        <v>33.7746525225391</v>
      </c>
      <c r="G136">
        <v>0.95611982931512496</v>
      </c>
      <c r="H136">
        <v>1</v>
      </c>
    </row>
    <row r="137" spans="1:8">
      <c r="A137">
        <v>1.4085703857862899</v>
      </c>
      <c r="B137">
        <v>4.12914679845069</v>
      </c>
      <c r="C137">
        <v>29.0337020407948</v>
      </c>
      <c r="D137">
        <v>1.83791618511018</v>
      </c>
      <c r="E137">
        <v>3.3370586770546899</v>
      </c>
      <c r="F137">
        <v>32.224231861338197</v>
      </c>
      <c r="G137">
        <v>1.3019713505130699</v>
      </c>
      <c r="H137">
        <v>110</v>
      </c>
    </row>
    <row r="138" spans="1:8">
      <c r="A138">
        <v>1.4074497810794799</v>
      </c>
      <c r="B138">
        <v>4.1845945401262599</v>
      </c>
      <c r="C138">
        <v>26.736025180159199</v>
      </c>
      <c r="D138">
        <v>1.9795351407164401</v>
      </c>
      <c r="E138">
        <v>3.02564569918257</v>
      </c>
      <c r="F138">
        <v>32.303220300501202</v>
      </c>
      <c r="G138">
        <v>0.757443860761984</v>
      </c>
      <c r="H138">
        <v>1</v>
      </c>
    </row>
    <row r="139" spans="1:8">
      <c r="A139">
        <v>1.26745825441323</v>
      </c>
      <c r="B139">
        <v>4.1961829376000601</v>
      </c>
      <c r="C139">
        <v>25.6736941308944</v>
      </c>
      <c r="D139">
        <v>2.1712795139458798</v>
      </c>
      <c r="E139">
        <v>2.9879474410300899</v>
      </c>
      <c r="F139">
        <v>34.889040963303401</v>
      </c>
      <c r="G139">
        <v>1.90265667579144</v>
      </c>
      <c r="H139">
        <v>231</v>
      </c>
    </row>
    <row r="140" spans="1:8">
      <c r="A140">
        <v>1.3561254674884999</v>
      </c>
      <c r="B140">
        <v>4.1216617881180397</v>
      </c>
      <c r="C140">
        <v>26.651306379628402</v>
      </c>
      <c r="D140">
        <v>1.89143430820943</v>
      </c>
      <c r="E140">
        <v>4.0661690884801303</v>
      </c>
      <c r="F140">
        <v>32.366849600054401</v>
      </c>
      <c r="G140">
        <v>0.78084775882758495</v>
      </c>
      <c r="H140">
        <v>6</v>
      </c>
    </row>
    <row r="141" spans="1:8">
      <c r="A141">
        <v>1.56856043753917</v>
      </c>
      <c r="B141">
        <v>4.1381437411296398</v>
      </c>
      <c r="C141">
        <v>27.271251336255698</v>
      </c>
      <c r="D141">
        <v>1.9908818710796401</v>
      </c>
      <c r="E141">
        <v>4.1798099356859</v>
      </c>
      <c r="F141">
        <v>26.848457296418001</v>
      </c>
      <c r="G141">
        <v>1.90736380083138</v>
      </c>
      <c r="H141">
        <v>201</v>
      </c>
    </row>
    <row r="142" spans="1:8">
      <c r="A142">
        <v>1.63971168691514</v>
      </c>
      <c r="B142">
        <v>4.2550269048007303</v>
      </c>
      <c r="C142">
        <v>28.499856971299199</v>
      </c>
      <c r="D142">
        <v>2.0171263054889201</v>
      </c>
      <c r="E142">
        <v>3.76283784795412</v>
      </c>
      <c r="F142">
        <v>33.417981186154798</v>
      </c>
      <c r="G142">
        <v>1.7574834220209901</v>
      </c>
      <c r="H142">
        <v>201</v>
      </c>
    </row>
    <row r="143" spans="1:8">
      <c r="A143">
        <v>1.4277181561277399</v>
      </c>
      <c r="B143">
        <v>4.2167822932943997</v>
      </c>
      <c r="C143">
        <v>26.2534909801407</v>
      </c>
      <c r="D143">
        <v>2.05887751371717</v>
      </c>
      <c r="E143">
        <v>3.2183676264729</v>
      </c>
      <c r="F143">
        <v>32.778544599036401</v>
      </c>
      <c r="G143">
        <v>1.8790944719485401</v>
      </c>
      <c r="H143">
        <v>227</v>
      </c>
    </row>
    <row r="144" spans="1:8">
      <c r="A144">
        <v>1.39874388540168</v>
      </c>
      <c r="B144">
        <v>4.1906365161814598</v>
      </c>
      <c r="C144">
        <v>26.134994862545401</v>
      </c>
      <c r="D144">
        <v>1.9567419956333301</v>
      </c>
      <c r="E144">
        <v>3.47951448790108</v>
      </c>
      <c r="F144">
        <v>28.909717651272501</v>
      </c>
      <c r="G144">
        <v>0.94770265699254497</v>
      </c>
      <c r="H144">
        <v>38</v>
      </c>
    </row>
    <row r="145" spans="1:8">
      <c r="A145">
        <v>1.46460614126389</v>
      </c>
      <c r="B145">
        <v>4.1631671257327998</v>
      </c>
      <c r="C145">
        <v>26.815537304003598</v>
      </c>
      <c r="D145">
        <v>2.4112256604458602</v>
      </c>
      <c r="E145">
        <v>3.7908525063673002</v>
      </c>
      <c r="F145">
        <v>36.334689706776402</v>
      </c>
      <c r="G145">
        <v>1.69629371504244</v>
      </c>
      <c r="H145">
        <v>158</v>
      </c>
    </row>
    <row r="146" spans="1:8">
      <c r="A146">
        <v>1.46661731909954</v>
      </c>
      <c r="B146">
        <v>4.2221229404480498</v>
      </c>
      <c r="C146">
        <v>28.805531874200799</v>
      </c>
      <c r="D146">
        <v>2.0322875366308999</v>
      </c>
      <c r="E146">
        <v>4.0003008219601197</v>
      </c>
      <c r="F146">
        <v>32.238154757310902</v>
      </c>
      <c r="G146">
        <v>1.22069747248098</v>
      </c>
      <c r="H146">
        <v>64</v>
      </c>
    </row>
    <row r="147" spans="1:8">
      <c r="A147">
        <v>1.4565461933081201</v>
      </c>
      <c r="B147">
        <v>4.2576484702722297</v>
      </c>
      <c r="C147">
        <v>28.645470073222</v>
      </c>
      <c r="D147">
        <v>1.9234266822981301</v>
      </c>
      <c r="E147">
        <v>3.7731121903446998</v>
      </c>
      <c r="F147">
        <v>34.197822552642101</v>
      </c>
      <c r="G147">
        <v>1.2779478326129401</v>
      </c>
      <c r="H147">
        <v>66</v>
      </c>
    </row>
    <row r="148" spans="1:8">
      <c r="A148">
        <v>1.41182607668213</v>
      </c>
      <c r="B148">
        <v>4.2439530991785404</v>
      </c>
      <c r="C148">
        <v>28.168071725634402</v>
      </c>
      <c r="D148">
        <v>1.95758026367802</v>
      </c>
      <c r="E148">
        <v>3.1349165892348099</v>
      </c>
      <c r="F148">
        <v>29.577412866486899</v>
      </c>
      <c r="G148">
        <v>1.85775887429185</v>
      </c>
      <c r="H148">
        <v>190</v>
      </c>
    </row>
    <row r="149" spans="1:8">
      <c r="A149">
        <v>1.37439936663225</v>
      </c>
      <c r="B149">
        <v>4.1976297096725697</v>
      </c>
      <c r="C149">
        <v>26.998032147675598</v>
      </c>
      <c r="D149">
        <v>1.88069754383779</v>
      </c>
      <c r="E149">
        <v>3.7359699896899299</v>
      </c>
      <c r="F149">
        <v>32.360457821454403</v>
      </c>
      <c r="G149">
        <v>1.6643344994631799</v>
      </c>
      <c r="H149">
        <v>143</v>
      </c>
    </row>
    <row r="150" spans="1:8">
      <c r="A150">
        <v>1.37278157655587</v>
      </c>
      <c r="B150">
        <v>4.2312649478099704</v>
      </c>
      <c r="C150">
        <v>29.726962893737799</v>
      </c>
      <c r="D150">
        <v>2.07455044015799</v>
      </c>
      <c r="E150">
        <v>3.49732323972305</v>
      </c>
      <c r="F150">
        <v>35.131491879220199</v>
      </c>
      <c r="G150">
        <v>1.20572372183432</v>
      </c>
      <c r="H150">
        <v>61</v>
      </c>
    </row>
    <row r="151" spans="1:8">
      <c r="A151">
        <v>1.3790810850428401</v>
      </c>
      <c r="B151">
        <v>4.1730344978391596</v>
      </c>
      <c r="C151">
        <v>25.778394052766298</v>
      </c>
      <c r="D151">
        <v>2.0453923979868001</v>
      </c>
      <c r="E151">
        <v>3.48233449223466</v>
      </c>
      <c r="F151">
        <v>34.306146646195302</v>
      </c>
      <c r="G151">
        <v>1.59115920524459</v>
      </c>
      <c r="H151">
        <v>167</v>
      </c>
    </row>
    <row r="152" spans="1:8">
      <c r="A152">
        <v>1.2836891352625699</v>
      </c>
      <c r="B152">
        <v>4.1277373318893504</v>
      </c>
      <c r="C152">
        <v>25.030217591089901</v>
      </c>
      <c r="D152">
        <v>1.94250872098539</v>
      </c>
      <c r="E152">
        <v>3.79222566196268</v>
      </c>
      <c r="F152">
        <v>33.535395519169001</v>
      </c>
      <c r="G152">
        <v>1.50038502035884</v>
      </c>
      <c r="H152">
        <v>149</v>
      </c>
    </row>
    <row r="153" spans="1:8">
      <c r="A153">
        <v>1.6116900245747099</v>
      </c>
      <c r="B153">
        <v>4.2245068110332298</v>
      </c>
      <c r="C153">
        <v>25.479124571037602</v>
      </c>
      <c r="D153">
        <v>2.03182592884442</v>
      </c>
      <c r="E153">
        <v>3.8115387522674702</v>
      </c>
      <c r="F153">
        <v>31.847295076905901</v>
      </c>
      <c r="G153">
        <v>0.99968914873708403</v>
      </c>
      <c r="H153">
        <v>9</v>
      </c>
    </row>
    <row r="154" spans="1:8">
      <c r="A154">
        <v>1.4523937051445499</v>
      </c>
      <c r="B154">
        <v>4.2614580262247497</v>
      </c>
      <c r="C154">
        <v>25.6812285609697</v>
      </c>
      <c r="D154">
        <v>1.8485633619513899</v>
      </c>
      <c r="E154">
        <v>3.12010472910847</v>
      </c>
      <c r="F154">
        <v>34.484878488314799</v>
      </c>
      <c r="G154">
        <v>1.65507292117633</v>
      </c>
      <c r="H154">
        <v>182</v>
      </c>
    </row>
    <row r="155" spans="1:8">
      <c r="A155">
        <v>1.33003648569308</v>
      </c>
      <c r="B155">
        <v>4.1616098927046403</v>
      </c>
      <c r="C155">
        <v>25.5427561073828</v>
      </c>
      <c r="D155">
        <v>2.1326019065897599</v>
      </c>
      <c r="E155">
        <v>2.9928555886759902</v>
      </c>
      <c r="F155">
        <v>36.387968412728803</v>
      </c>
      <c r="G155">
        <v>1.3256420236992601</v>
      </c>
      <c r="H155">
        <v>74</v>
      </c>
    </row>
    <row r="156" spans="1:8">
      <c r="A156">
        <v>1.2196549247041599</v>
      </c>
      <c r="B156">
        <v>4.2690435704979004</v>
      </c>
      <c r="C156">
        <v>25.228851581970702</v>
      </c>
      <c r="D156">
        <v>1.88986749445973</v>
      </c>
      <c r="E156">
        <v>3.3137287848746402</v>
      </c>
      <c r="F156">
        <v>30.6952090555213</v>
      </c>
      <c r="G156">
        <v>1.4269164219708399</v>
      </c>
      <c r="H156">
        <v>135</v>
      </c>
    </row>
    <row r="157" spans="1:8">
      <c r="A157">
        <v>1.20753806430855</v>
      </c>
      <c r="B157">
        <v>4.19339204654848</v>
      </c>
      <c r="C157">
        <v>29.479802451181499</v>
      </c>
      <c r="D157">
        <v>2.08516380201729</v>
      </c>
      <c r="E157">
        <v>3.7917895441864</v>
      </c>
      <c r="F157">
        <v>33.887573302222201</v>
      </c>
      <c r="G157">
        <v>0.926767291601442</v>
      </c>
      <c r="H157">
        <v>36</v>
      </c>
    </row>
    <row r="158" spans="1:8">
      <c r="A158">
        <v>1.34282173838895</v>
      </c>
      <c r="B158">
        <v>4.2164190720052801</v>
      </c>
      <c r="C158">
        <v>25.498437957003599</v>
      </c>
      <c r="D158">
        <v>1.96057317221022</v>
      </c>
      <c r="E158">
        <v>3.17801122191038</v>
      </c>
      <c r="F158">
        <v>36.350405584031797</v>
      </c>
      <c r="G158">
        <v>0.91988506638944001</v>
      </c>
      <c r="H158">
        <v>4</v>
      </c>
    </row>
    <row r="159" spans="1:8">
      <c r="A159">
        <v>1.28037751614629</v>
      </c>
      <c r="B159">
        <v>4.2358628700755796</v>
      </c>
      <c r="C159">
        <v>24.8545966681652</v>
      </c>
      <c r="D159">
        <v>1.8250966784762099</v>
      </c>
      <c r="E159">
        <v>4.0208975143920096</v>
      </c>
      <c r="F159">
        <v>31.065412063624599</v>
      </c>
      <c r="G159">
        <v>1.51986953800615</v>
      </c>
      <c r="H159">
        <v>115</v>
      </c>
    </row>
    <row r="160" spans="1:8">
      <c r="A160">
        <v>1.3613246180171299</v>
      </c>
      <c r="B160">
        <v>4.2047971593911404</v>
      </c>
      <c r="C160">
        <v>25.307819471402102</v>
      </c>
      <c r="D160">
        <v>2.0607580819874101</v>
      </c>
      <c r="E160">
        <v>3.0553899459965601</v>
      </c>
      <c r="F160">
        <v>33.514874115884702</v>
      </c>
      <c r="G160">
        <v>1.3515899480684299</v>
      </c>
      <c r="H160">
        <v>80</v>
      </c>
    </row>
    <row r="161" spans="1:8">
      <c r="A161">
        <v>1.4878197223587699</v>
      </c>
      <c r="B161">
        <v>4.1896414324233504</v>
      </c>
      <c r="C161">
        <v>29.730859518855802</v>
      </c>
      <c r="D161">
        <v>1.9256564668140499</v>
      </c>
      <c r="E161">
        <v>3.7360925574204198</v>
      </c>
      <c r="F161">
        <v>35.438873790797601</v>
      </c>
      <c r="G161">
        <v>0.96782971523291195</v>
      </c>
      <c r="H161">
        <v>15</v>
      </c>
    </row>
    <row r="162" spans="1:8">
      <c r="A162">
        <v>1.22748273913563</v>
      </c>
      <c r="B162">
        <v>4.2035352744325101</v>
      </c>
      <c r="C162">
        <v>25.336368032331599</v>
      </c>
      <c r="D162">
        <v>1.8484900361332799</v>
      </c>
      <c r="E162">
        <v>3.2691459845822899</v>
      </c>
      <c r="F162">
        <v>32.834213152589101</v>
      </c>
      <c r="G162">
        <v>1.9139211264429701</v>
      </c>
      <c r="H162">
        <v>233</v>
      </c>
    </row>
    <row r="163" spans="1:8">
      <c r="A163">
        <v>1.2149948087486599</v>
      </c>
      <c r="B163">
        <v>4.2175242493963596</v>
      </c>
      <c r="C163">
        <v>27.1688408669457</v>
      </c>
      <c r="D163">
        <v>1.76038139402439</v>
      </c>
      <c r="E163">
        <v>3.6238971775046398</v>
      </c>
      <c r="F163">
        <v>33.314325998084101</v>
      </c>
      <c r="G163">
        <v>0.91094424260616103</v>
      </c>
      <c r="H163">
        <v>1</v>
      </c>
    </row>
    <row r="164" spans="1:8">
      <c r="A164">
        <v>1.3385854581248799</v>
      </c>
      <c r="B164">
        <v>4.2021118817746697</v>
      </c>
      <c r="C164">
        <v>26.852982593175401</v>
      </c>
      <c r="D164">
        <v>2.1681515686021999</v>
      </c>
      <c r="E164">
        <v>3.3028029979747502</v>
      </c>
      <c r="F164">
        <v>32.4801630680793</v>
      </c>
      <c r="G164">
        <v>0.96009711422877397</v>
      </c>
      <c r="H164">
        <v>42</v>
      </c>
    </row>
    <row r="165" spans="1:8">
      <c r="A165">
        <v>1.38607730500849</v>
      </c>
      <c r="B165">
        <v>4.2695944550574501</v>
      </c>
      <c r="C165">
        <v>27.5519851276661</v>
      </c>
      <c r="D165">
        <v>2.0034707832035799</v>
      </c>
      <c r="E165">
        <v>3.50665739379515</v>
      </c>
      <c r="F165">
        <v>37.669763274759298</v>
      </c>
      <c r="G165">
        <v>1.18609111783494</v>
      </c>
      <c r="H165">
        <v>56</v>
      </c>
    </row>
    <row r="166" spans="1:8">
      <c r="A166">
        <v>1.21813084521797</v>
      </c>
      <c r="B166">
        <v>4.1568717544002203</v>
      </c>
      <c r="C166">
        <v>26.336864737130899</v>
      </c>
      <c r="D166">
        <v>2.0858389218556099</v>
      </c>
      <c r="E166">
        <v>3.8604410786891599</v>
      </c>
      <c r="F166">
        <v>35.5531279446136</v>
      </c>
      <c r="G166">
        <v>1.2154246550519701</v>
      </c>
      <c r="H166">
        <v>54</v>
      </c>
    </row>
    <row r="167" spans="1:8">
      <c r="A167">
        <v>1.39859477117801</v>
      </c>
      <c r="B167">
        <v>4.2072102534690696</v>
      </c>
      <c r="C167">
        <v>28.832448582545101</v>
      </c>
      <c r="D167">
        <v>2.0448420047110099</v>
      </c>
      <c r="E167">
        <v>3.1311117312699999</v>
      </c>
      <c r="F167">
        <v>32.968271088965203</v>
      </c>
      <c r="G167">
        <v>1.1781023735605201</v>
      </c>
      <c r="H167">
        <v>85</v>
      </c>
    </row>
    <row r="168" spans="1:8">
      <c r="A168">
        <v>1.3427284116514799</v>
      </c>
      <c r="B168">
        <v>4.1893948452672403</v>
      </c>
      <c r="C168">
        <v>25.908088505718698</v>
      </c>
      <c r="D168">
        <v>2.1376660800923899</v>
      </c>
      <c r="E168">
        <v>4.04446587419653</v>
      </c>
      <c r="F168">
        <v>32.4292221575881</v>
      </c>
      <c r="G168">
        <v>0.98826024585487804</v>
      </c>
      <c r="H168">
        <v>8</v>
      </c>
    </row>
    <row r="169" spans="1:8">
      <c r="A169">
        <v>1.4808655218083</v>
      </c>
      <c r="B169">
        <v>4.1619822382830103</v>
      </c>
      <c r="C169">
        <v>25.6564579833103</v>
      </c>
      <c r="D169">
        <v>2.0323614676694399</v>
      </c>
      <c r="E169">
        <v>3.2806354982057599</v>
      </c>
      <c r="F169">
        <v>31.991812572982901</v>
      </c>
      <c r="G169">
        <v>1.4321881810477499</v>
      </c>
      <c r="H169">
        <v>97</v>
      </c>
    </row>
    <row r="170" spans="1:8">
      <c r="A170">
        <v>1.3981339588259301</v>
      </c>
      <c r="B170">
        <v>4.1712378202832001</v>
      </c>
      <c r="C170">
        <v>26.1251447855416</v>
      </c>
      <c r="D170">
        <v>1.9201406801838301</v>
      </c>
      <c r="E170">
        <v>3.7292021989631601</v>
      </c>
      <c r="F170">
        <v>33.881881376436198</v>
      </c>
      <c r="G170">
        <v>1.24340813208703</v>
      </c>
      <c r="H170">
        <v>98</v>
      </c>
    </row>
    <row r="171" spans="1:8">
      <c r="A171">
        <v>1.35392611695956</v>
      </c>
      <c r="B171">
        <v>4.1773066498877496</v>
      </c>
      <c r="C171">
        <v>27.817572084752499</v>
      </c>
      <c r="D171">
        <v>2.04261455536682</v>
      </c>
      <c r="E171">
        <v>3.4883609002309202</v>
      </c>
      <c r="F171">
        <v>31.260784743787902</v>
      </c>
      <c r="G171">
        <v>1.1290668251595799</v>
      </c>
      <c r="H171">
        <v>36</v>
      </c>
    </row>
    <row r="172" spans="1:8">
      <c r="A172">
        <v>1.4164668231898001</v>
      </c>
      <c r="B172">
        <v>4.24939765607553</v>
      </c>
      <c r="C172">
        <v>28.3602926276169</v>
      </c>
      <c r="D172">
        <v>1.97449442782511</v>
      </c>
      <c r="E172">
        <v>3.4128050798282401</v>
      </c>
      <c r="F172">
        <v>32.740884248702301</v>
      </c>
      <c r="G172">
        <v>1.47405297174302</v>
      </c>
      <c r="H172">
        <v>115</v>
      </c>
    </row>
    <row r="173" spans="1:8">
      <c r="A173">
        <v>1.4194807171887101</v>
      </c>
      <c r="B173">
        <v>4.2479276275128601</v>
      </c>
      <c r="C173">
        <v>27.661603993492101</v>
      </c>
      <c r="D173">
        <v>2.0428131635956501</v>
      </c>
      <c r="E173">
        <v>3.6578799778114801</v>
      </c>
      <c r="F173">
        <v>30.535574338252399</v>
      </c>
      <c r="G173">
        <v>1.4209074237894801</v>
      </c>
      <c r="H173">
        <v>105</v>
      </c>
    </row>
    <row r="174" spans="1:8">
      <c r="A174">
        <v>1.4249526825919501</v>
      </c>
      <c r="B174">
        <v>4.1923964174940798</v>
      </c>
      <c r="C174">
        <v>24.873831888891701</v>
      </c>
      <c r="D174">
        <v>2.04558259511048</v>
      </c>
      <c r="E174">
        <v>3.4608283962333202</v>
      </c>
      <c r="F174">
        <v>33.392321220563403</v>
      </c>
      <c r="G174">
        <v>1.10662037613443</v>
      </c>
      <c r="H174">
        <v>70</v>
      </c>
    </row>
    <row r="175" spans="1:8">
      <c r="A175">
        <v>1.4779605436190699</v>
      </c>
      <c r="B175">
        <v>4.1999134026455103</v>
      </c>
      <c r="C175">
        <v>28.982299110422701</v>
      </c>
      <c r="D175">
        <v>2.1114945401831302</v>
      </c>
      <c r="E175">
        <v>3.1033998614672198</v>
      </c>
      <c r="F175">
        <v>36.304685586809399</v>
      </c>
      <c r="G175">
        <v>1.21776099872002</v>
      </c>
      <c r="H175">
        <v>94</v>
      </c>
    </row>
    <row r="176" spans="1:8">
      <c r="A176">
        <v>1.4517975551206299</v>
      </c>
      <c r="B176">
        <v>4.13210152682987</v>
      </c>
      <c r="C176">
        <v>26.661239481056999</v>
      </c>
      <c r="D176">
        <v>1.9430015969279799</v>
      </c>
      <c r="E176">
        <v>3.57585390907842</v>
      </c>
      <c r="F176">
        <v>33.217421773725903</v>
      </c>
      <c r="G176">
        <v>1.8498597843851601</v>
      </c>
      <c r="H176">
        <v>179</v>
      </c>
    </row>
    <row r="177" spans="1:8">
      <c r="A177">
        <v>1.46973756422963</v>
      </c>
      <c r="B177">
        <v>4.0875600291317102</v>
      </c>
      <c r="C177">
        <v>29.918892644626901</v>
      </c>
      <c r="D177">
        <v>1.96051137770422</v>
      </c>
      <c r="E177">
        <v>3.77096838196378</v>
      </c>
      <c r="F177">
        <v>28.8867117888589</v>
      </c>
      <c r="G177">
        <v>1.6756125029178</v>
      </c>
      <c r="H177">
        <v>185</v>
      </c>
    </row>
    <row r="178" spans="1:8">
      <c r="A178">
        <v>1.4275827958681699</v>
      </c>
      <c r="B178">
        <v>4.1865809576204303</v>
      </c>
      <c r="C178">
        <v>27.246253376971499</v>
      </c>
      <c r="D178">
        <v>1.89046273290186</v>
      </c>
      <c r="E178">
        <v>3.5183972240366002</v>
      </c>
      <c r="F178">
        <v>34.4275091622359</v>
      </c>
      <c r="G178">
        <v>1.95915940483809</v>
      </c>
      <c r="H178">
        <v>212</v>
      </c>
    </row>
    <row r="179" spans="1:8">
      <c r="A179">
        <v>1.25546117122433</v>
      </c>
      <c r="B179">
        <v>4.2217164810607102</v>
      </c>
      <c r="C179">
        <v>27.630150210617</v>
      </c>
      <c r="D179">
        <v>1.9848560035601499</v>
      </c>
      <c r="E179">
        <v>3.6437437061923701</v>
      </c>
      <c r="F179">
        <v>32.453004019338003</v>
      </c>
      <c r="G179">
        <v>1.5498633139885301</v>
      </c>
      <c r="H179">
        <v>130</v>
      </c>
    </row>
    <row r="180" spans="1:8">
      <c r="A180">
        <v>1.55661912120057</v>
      </c>
      <c r="B180">
        <v>4.1815420537073802</v>
      </c>
      <c r="C180">
        <v>26.096777687234798</v>
      </c>
      <c r="D180">
        <v>1.8559076132919401</v>
      </c>
      <c r="E180">
        <v>3.7234794996999998</v>
      </c>
      <c r="F180">
        <v>32.369839197636402</v>
      </c>
      <c r="G180">
        <v>1.5660810451271301</v>
      </c>
      <c r="H180">
        <v>163</v>
      </c>
    </row>
    <row r="181" spans="1:8">
      <c r="A181">
        <v>1.50196757549774</v>
      </c>
      <c r="B181">
        <v>4.2710282699846003</v>
      </c>
      <c r="C181">
        <v>24.367359381991498</v>
      </c>
      <c r="D181">
        <v>1.90913149103067</v>
      </c>
      <c r="E181">
        <v>3.67896590241984</v>
      </c>
      <c r="F181">
        <v>32.131832594028197</v>
      </c>
      <c r="G181">
        <v>1.69582091171566</v>
      </c>
      <c r="H181">
        <v>189</v>
      </c>
    </row>
    <row r="182" spans="1:8">
      <c r="A182">
        <v>1.26860635891901</v>
      </c>
      <c r="B182">
        <v>4.2200721293534</v>
      </c>
      <c r="C182">
        <v>27.3881157440142</v>
      </c>
      <c r="D182">
        <v>2.0652121464579198</v>
      </c>
      <c r="E182">
        <v>3.8787403702803598</v>
      </c>
      <c r="F182">
        <v>33.622182401588702</v>
      </c>
      <c r="G182">
        <v>1.0319970804322001</v>
      </c>
      <c r="H182">
        <v>57</v>
      </c>
    </row>
    <row r="183" spans="1:8">
      <c r="A183">
        <v>1.36347183172312</v>
      </c>
      <c r="B183">
        <v>4.1893262399583904</v>
      </c>
      <c r="C183">
        <v>26.2107683905184</v>
      </c>
      <c r="D183">
        <v>1.9448308120640201</v>
      </c>
      <c r="E183">
        <v>3.7511922955469599</v>
      </c>
      <c r="F183">
        <v>31.499298351379799</v>
      </c>
      <c r="G183">
        <v>0.80833866926456299</v>
      </c>
      <c r="H183">
        <v>11</v>
      </c>
    </row>
    <row r="184" spans="1:8">
      <c r="A184">
        <v>1.3676654969323501</v>
      </c>
      <c r="B184">
        <v>4.2421652907414504</v>
      </c>
      <c r="C184">
        <v>28.743706839690901</v>
      </c>
      <c r="D184">
        <v>1.91897343881187</v>
      </c>
      <c r="E184">
        <v>3.3376696350368298</v>
      </c>
      <c r="F184">
        <v>34.432019773474501</v>
      </c>
      <c r="G184">
        <v>1.3428404657647799</v>
      </c>
      <c r="H184">
        <v>79</v>
      </c>
    </row>
    <row r="185" spans="1:8">
      <c r="A185">
        <v>1.3451916020991499</v>
      </c>
      <c r="B185">
        <v>4.1475577453279104</v>
      </c>
      <c r="C185">
        <v>24.0891015498425</v>
      </c>
      <c r="D185">
        <v>1.9111236901608399</v>
      </c>
      <c r="E185">
        <v>3.5042782314671301</v>
      </c>
      <c r="F185">
        <v>36.103802428166297</v>
      </c>
      <c r="G185">
        <v>1.09562223137218</v>
      </c>
      <c r="H185">
        <v>69</v>
      </c>
    </row>
    <row r="186" spans="1:8">
      <c r="A186">
        <v>1.29435949059889</v>
      </c>
      <c r="B186">
        <v>4.2481518806703402</v>
      </c>
      <c r="C186">
        <v>26.3060267550017</v>
      </c>
      <c r="D186">
        <v>2.0610634569451798</v>
      </c>
      <c r="E186">
        <v>3.3543724328444902</v>
      </c>
      <c r="F186">
        <v>34.098480629858997</v>
      </c>
      <c r="G186">
        <v>1.30254101736836</v>
      </c>
      <c r="H186">
        <v>79</v>
      </c>
    </row>
    <row r="187" spans="1:8">
      <c r="A187">
        <v>1.5152736068039101</v>
      </c>
      <c r="B187">
        <v>4.2266576125208699</v>
      </c>
      <c r="C187">
        <v>26.3497848382124</v>
      </c>
      <c r="D187">
        <v>2.0003067092575502</v>
      </c>
      <c r="E187">
        <v>4.1345636942776398</v>
      </c>
      <c r="F187">
        <v>35.141085959960598</v>
      </c>
      <c r="G187">
        <v>1.8682602703345601</v>
      </c>
      <c r="H187">
        <v>185</v>
      </c>
    </row>
    <row r="188" spans="1:8">
      <c r="A188">
        <v>1.29815749204922</v>
      </c>
      <c r="B188">
        <v>4.1752734650502399</v>
      </c>
      <c r="C188">
        <v>28.112496015121199</v>
      </c>
      <c r="D188">
        <v>2.19968656437121</v>
      </c>
      <c r="E188">
        <v>3.88413668246652</v>
      </c>
      <c r="F188">
        <v>36.1421689532893</v>
      </c>
      <c r="G188">
        <v>1.7743753925214101</v>
      </c>
      <c r="H188">
        <v>176</v>
      </c>
    </row>
    <row r="189" spans="1:8">
      <c r="A189">
        <v>1.52063181639205</v>
      </c>
      <c r="B189">
        <v>4.1780213037185296</v>
      </c>
      <c r="C189">
        <v>26.8916447976607</v>
      </c>
      <c r="D189">
        <v>2.0202052960952899</v>
      </c>
      <c r="E189">
        <v>3.6575577631992999</v>
      </c>
      <c r="F189">
        <v>33.443990428419298</v>
      </c>
      <c r="G189">
        <v>1.77499052422634</v>
      </c>
      <c r="H189">
        <v>177</v>
      </c>
    </row>
    <row r="190" spans="1:8">
      <c r="A190">
        <v>1.34303263933784</v>
      </c>
      <c r="B190">
        <v>4.1348954732497303</v>
      </c>
      <c r="C190">
        <v>25.925190244108201</v>
      </c>
      <c r="D190">
        <v>2.0924207916231898</v>
      </c>
      <c r="E190">
        <v>3.8192885454452798</v>
      </c>
      <c r="F190">
        <v>33.1021830388841</v>
      </c>
      <c r="G190">
        <v>1.6336620945529301</v>
      </c>
      <c r="H190">
        <v>146</v>
      </c>
    </row>
    <row r="191" spans="1:8">
      <c r="A191">
        <v>1.31723474681262</v>
      </c>
      <c r="B191">
        <v>4.1389707870665697</v>
      </c>
      <c r="C191">
        <v>24.637701620239199</v>
      </c>
      <c r="D191">
        <v>2.0628368285489498</v>
      </c>
      <c r="E191">
        <v>3.1910595551906198</v>
      </c>
      <c r="F191">
        <v>29.9754177401148</v>
      </c>
      <c r="G191">
        <v>1.1569003213686799</v>
      </c>
      <c r="H191">
        <v>52</v>
      </c>
    </row>
    <row r="192" spans="1:8">
      <c r="A192">
        <v>1.5391638900033</v>
      </c>
      <c r="B192">
        <v>4.2755831580685904</v>
      </c>
      <c r="C192">
        <v>28.8400804253742</v>
      </c>
      <c r="D192">
        <v>2.1046992329345899</v>
      </c>
      <c r="E192">
        <v>3.37122631897202</v>
      </c>
      <c r="F192">
        <v>32.636574832851103</v>
      </c>
      <c r="G192">
        <v>1.82007258671121</v>
      </c>
      <c r="H192">
        <v>214</v>
      </c>
    </row>
    <row r="193" spans="1:8">
      <c r="A193">
        <v>1.46183379372262</v>
      </c>
      <c r="B193">
        <v>4.2778505115563004</v>
      </c>
      <c r="C193">
        <v>27.326463229330699</v>
      </c>
      <c r="D193">
        <v>1.99880801691611</v>
      </c>
      <c r="E193">
        <v>3.84389890036292</v>
      </c>
      <c r="F193">
        <v>32.797447509068697</v>
      </c>
      <c r="G193">
        <v>1.1839058441655399</v>
      </c>
      <c r="H193">
        <v>87</v>
      </c>
    </row>
    <row r="194" spans="1:8">
      <c r="A194">
        <v>1.2361660851652601</v>
      </c>
      <c r="B194">
        <v>4.2361802648315097</v>
      </c>
      <c r="C194">
        <v>24.4399079648108</v>
      </c>
      <c r="D194">
        <v>1.95996665502927</v>
      </c>
      <c r="E194">
        <v>3.30028403266585</v>
      </c>
      <c r="F194">
        <v>30.2855226129264</v>
      </c>
      <c r="G194">
        <v>1.66637809615924</v>
      </c>
      <c r="H194">
        <v>153</v>
      </c>
    </row>
    <row r="195" spans="1:8">
      <c r="A195">
        <v>1.5214232772046801</v>
      </c>
      <c r="B195">
        <v>4.2048621323656397</v>
      </c>
      <c r="C195">
        <v>28.401882467287098</v>
      </c>
      <c r="D195">
        <v>1.8885074334315199</v>
      </c>
      <c r="E195">
        <v>3.9569039702359898</v>
      </c>
      <c r="F195">
        <v>32.633557595557399</v>
      </c>
      <c r="G195">
        <v>1.94583311907168</v>
      </c>
      <c r="H195">
        <v>208</v>
      </c>
    </row>
    <row r="196" spans="1:8">
      <c r="A196">
        <v>1.2380035808870999</v>
      </c>
      <c r="B196">
        <v>4.28270500267723</v>
      </c>
      <c r="C196">
        <v>27.992080337242399</v>
      </c>
      <c r="D196">
        <v>1.9874929316713199</v>
      </c>
      <c r="E196">
        <v>3.5050381655272602</v>
      </c>
      <c r="F196">
        <v>31.798677134264899</v>
      </c>
      <c r="G196">
        <v>1.46097146882766</v>
      </c>
      <c r="H196">
        <v>143</v>
      </c>
    </row>
    <row r="197" spans="1:8">
      <c r="A197">
        <v>1.4604931418267399</v>
      </c>
      <c r="B197">
        <v>4.2116120523540497</v>
      </c>
      <c r="C197">
        <v>26.496900525594</v>
      </c>
      <c r="D197">
        <v>2.07350643674472</v>
      </c>
      <c r="E197">
        <v>3.8602726036895199</v>
      </c>
      <c r="F197">
        <v>33.173439279256797</v>
      </c>
      <c r="G197">
        <v>0.90660924540321197</v>
      </c>
      <c r="H197">
        <v>30</v>
      </c>
    </row>
    <row r="198" spans="1:8">
      <c r="A198">
        <v>1.3366477289356</v>
      </c>
      <c r="B198">
        <v>4.1585785569801201</v>
      </c>
      <c r="C198">
        <v>28.176348718177199</v>
      </c>
      <c r="D198">
        <v>2.1086781721502801</v>
      </c>
      <c r="E198">
        <v>2.8935221676698202</v>
      </c>
      <c r="F198">
        <v>33.734776799638801</v>
      </c>
      <c r="G198">
        <v>1.84782760619172</v>
      </c>
      <c r="H198">
        <v>181</v>
      </c>
    </row>
    <row r="199" spans="1:8">
      <c r="A199">
        <v>1.35472252171642</v>
      </c>
      <c r="B199">
        <v>4.2646419753650298</v>
      </c>
      <c r="C199">
        <v>27.4254297969864</v>
      </c>
      <c r="D199">
        <v>2.0075699800999698</v>
      </c>
      <c r="E199">
        <v>3.6545608396162299</v>
      </c>
      <c r="F199">
        <v>33.794283123836102</v>
      </c>
      <c r="G199">
        <v>1.08687812279052</v>
      </c>
      <c r="H199">
        <v>67</v>
      </c>
    </row>
    <row r="200" spans="1:8">
      <c r="A200">
        <v>1.1863049618417301</v>
      </c>
      <c r="B200">
        <v>4.1720500816953896</v>
      </c>
      <c r="C200">
        <v>25.207307975416001</v>
      </c>
      <c r="D200">
        <v>2.01908566086292</v>
      </c>
      <c r="E200">
        <v>3.6867869785541099</v>
      </c>
      <c r="F200">
        <v>30.967043403868502</v>
      </c>
      <c r="G200">
        <v>1.37606671071363</v>
      </c>
      <c r="H200">
        <v>85</v>
      </c>
    </row>
    <row r="201" spans="1:8">
      <c r="A201">
        <v>1.4731510718571801</v>
      </c>
      <c r="B201">
        <v>4.1651717793187899</v>
      </c>
      <c r="C201">
        <v>29.637871479884101</v>
      </c>
      <c r="D201">
        <v>2.0131946582348301</v>
      </c>
      <c r="E201">
        <v>3.8046102697539301</v>
      </c>
      <c r="F201">
        <v>32.554212117412497</v>
      </c>
      <c r="G201">
        <v>1.95944663325053</v>
      </c>
      <c r="H201">
        <v>202</v>
      </c>
    </row>
    <row r="202" spans="1:8">
      <c r="A202">
        <v>1.42972391370629</v>
      </c>
      <c r="B202">
        <v>4.1617517028961997</v>
      </c>
      <c r="C202">
        <v>26.0032566200105</v>
      </c>
      <c r="D202">
        <v>1.98555010012883</v>
      </c>
      <c r="E202">
        <v>3.7110386770900199</v>
      </c>
      <c r="F202">
        <v>36.682639218668399</v>
      </c>
      <c r="G202">
        <v>1.6905138406164999</v>
      </c>
      <c r="H202">
        <v>148</v>
      </c>
    </row>
    <row r="203" spans="1:8">
      <c r="A203">
        <v>1.30085186815931</v>
      </c>
      <c r="B203">
        <v>4.2541894616289602</v>
      </c>
      <c r="C203">
        <v>25.425354677562598</v>
      </c>
      <c r="D203">
        <v>1.99888349762563</v>
      </c>
      <c r="E203">
        <v>3.3297811409660798</v>
      </c>
      <c r="F203">
        <v>31.648197003453301</v>
      </c>
      <c r="G203">
        <v>1.07650312191678</v>
      </c>
      <c r="H203">
        <v>25</v>
      </c>
    </row>
    <row r="204" spans="1:8">
      <c r="A204">
        <v>1.2097535776932999</v>
      </c>
      <c r="B204">
        <v>4.2879973168440104</v>
      </c>
      <c r="C204">
        <v>26.752890244440799</v>
      </c>
      <c r="D204">
        <v>2.0021936936284899</v>
      </c>
      <c r="E204">
        <v>3.8449878336585899</v>
      </c>
      <c r="F204">
        <v>32.4895657647793</v>
      </c>
      <c r="G204">
        <v>1.1077723041013601</v>
      </c>
      <c r="H204">
        <v>42</v>
      </c>
    </row>
    <row r="205" spans="1:8">
      <c r="A205">
        <v>1.4134220336093599</v>
      </c>
      <c r="B205">
        <v>4.2570568745749497</v>
      </c>
      <c r="C205">
        <v>24.701004672272401</v>
      </c>
      <c r="D205">
        <v>1.9945733423324199</v>
      </c>
      <c r="E205">
        <v>3.5990339475385902</v>
      </c>
      <c r="F205">
        <v>33.650720936293901</v>
      </c>
      <c r="G205">
        <v>1.64045695998008</v>
      </c>
      <c r="H205">
        <v>180</v>
      </c>
    </row>
    <row r="206" spans="1:8">
      <c r="A206">
        <v>1.5538465279493401</v>
      </c>
      <c r="B206">
        <v>4.1389001468369804</v>
      </c>
      <c r="C206">
        <v>27.583995448267</v>
      </c>
      <c r="D206">
        <v>2.0675214828438002</v>
      </c>
      <c r="E206">
        <v>3.7693941291759998</v>
      </c>
      <c r="F206">
        <v>35.003422757984197</v>
      </c>
      <c r="G206">
        <v>1.0324481343015199</v>
      </c>
      <c r="H206">
        <v>56</v>
      </c>
    </row>
    <row r="207" spans="1:8">
      <c r="A207">
        <v>1.3625618903114001</v>
      </c>
      <c r="B207">
        <v>4.2165511480781204</v>
      </c>
      <c r="C207">
        <v>25.953672305999099</v>
      </c>
      <c r="D207">
        <v>2.0358416091890899</v>
      </c>
      <c r="E207">
        <v>3.5977644677441099</v>
      </c>
      <c r="F207">
        <v>32.301259794179799</v>
      </c>
      <c r="G207">
        <v>1.5780228710530499</v>
      </c>
      <c r="H207">
        <v>136</v>
      </c>
    </row>
    <row r="208" spans="1:8">
      <c r="A208">
        <v>1.38589407419618</v>
      </c>
      <c r="B208">
        <v>4.2083726046619798</v>
      </c>
      <c r="C208">
        <v>25.963294783477501</v>
      </c>
      <c r="D208">
        <v>1.8623790555522299</v>
      </c>
      <c r="E208">
        <v>3.0251816212672402</v>
      </c>
      <c r="F208">
        <v>34.809687384780801</v>
      </c>
      <c r="G208">
        <v>1.96842319363568</v>
      </c>
      <c r="H208">
        <v>243</v>
      </c>
    </row>
    <row r="209" spans="1:8">
      <c r="A209">
        <v>1.2372176825277399</v>
      </c>
      <c r="B209">
        <v>4.1899304524972898</v>
      </c>
      <c r="C209">
        <v>28.954549938307299</v>
      </c>
      <c r="D209">
        <v>2.0340223022787902</v>
      </c>
      <c r="E209">
        <v>3.30259260927222</v>
      </c>
      <c r="F209">
        <v>32.576784511361403</v>
      </c>
      <c r="G209">
        <v>1.38931919714231</v>
      </c>
      <c r="H209">
        <v>88</v>
      </c>
    </row>
    <row r="210" spans="1:8">
      <c r="A210">
        <v>1.2379724941347401</v>
      </c>
      <c r="B210">
        <v>4.2026418224877098</v>
      </c>
      <c r="C210">
        <v>26.675519082072</v>
      </c>
      <c r="D210">
        <v>1.93501444686577</v>
      </c>
      <c r="E210">
        <v>3.3684162322396798</v>
      </c>
      <c r="F210">
        <v>32.986452741498702</v>
      </c>
      <c r="G210">
        <v>1.77289501296031</v>
      </c>
      <c r="H210">
        <v>206</v>
      </c>
    </row>
    <row r="211" spans="1:8">
      <c r="A211">
        <v>1.4047738725096399</v>
      </c>
      <c r="B211">
        <v>4.1418779706976201</v>
      </c>
      <c r="C211">
        <v>26.5658732219444</v>
      </c>
      <c r="D211">
        <v>1.92300431184333</v>
      </c>
      <c r="E211">
        <v>3.4741768222052398</v>
      </c>
      <c r="F211">
        <v>30.946405133560301</v>
      </c>
      <c r="G211">
        <v>1.59977337294956</v>
      </c>
      <c r="H211">
        <v>140</v>
      </c>
    </row>
    <row r="212" spans="1:8">
      <c r="A212">
        <v>1.51050923158628</v>
      </c>
      <c r="B212">
        <v>4.1875906932434201</v>
      </c>
      <c r="C212">
        <v>27.967208115222199</v>
      </c>
      <c r="D212">
        <v>2.1716882187190301</v>
      </c>
      <c r="E212">
        <v>3.4919894260003002</v>
      </c>
      <c r="F212">
        <v>31.512481662098299</v>
      </c>
      <c r="G212">
        <v>1.8836367253907</v>
      </c>
      <c r="H212">
        <v>196</v>
      </c>
    </row>
    <row r="213" spans="1:8">
      <c r="A213">
        <v>1.54944412002191</v>
      </c>
      <c r="B213">
        <v>4.1802435371719797</v>
      </c>
      <c r="C213">
        <v>26.609922324682199</v>
      </c>
      <c r="D213">
        <v>2.05843387243246</v>
      </c>
      <c r="E213">
        <v>3.5802958799850901</v>
      </c>
      <c r="F213">
        <v>29.7709343817933</v>
      </c>
      <c r="G213">
        <v>1.9222265853240901</v>
      </c>
      <c r="H213">
        <v>204</v>
      </c>
    </row>
    <row r="214" spans="1:8">
      <c r="A214">
        <v>1.27500444603893</v>
      </c>
      <c r="B214">
        <v>4.2486532540549602</v>
      </c>
      <c r="C214">
        <v>26.548805947132902</v>
      </c>
      <c r="D214">
        <v>2.0759470424050401</v>
      </c>
      <c r="E214">
        <v>3.4758977199175001</v>
      </c>
      <c r="F214">
        <v>31.238890272293599</v>
      </c>
      <c r="G214">
        <v>1.2648887804118401</v>
      </c>
      <c r="H214">
        <v>62</v>
      </c>
    </row>
    <row r="215" spans="1:8">
      <c r="A215">
        <v>1.3750820519668201</v>
      </c>
      <c r="B215">
        <v>4.17345090322745</v>
      </c>
      <c r="C215">
        <v>27.385688091309301</v>
      </c>
      <c r="D215">
        <v>1.96100818718557</v>
      </c>
      <c r="E215">
        <v>3.5751017558099898</v>
      </c>
      <c r="F215">
        <v>32.831042747899097</v>
      </c>
      <c r="G215">
        <v>1.39897156230487</v>
      </c>
      <c r="H215">
        <v>91</v>
      </c>
    </row>
    <row r="216" spans="1:8">
      <c r="A216">
        <v>1.36620829648274</v>
      </c>
      <c r="B216">
        <v>4.1819911893490804</v>
      </c>
      <c r="C216">
        <v>26.9703549734141</v>
      </c>
      <c r="D216">
        <v>2.1860051254541402</v>
      </c>
      <c r="E216">
        <v>3.4963397414509001</v>
      </c>
      <c r="F216">
        <v>33.362364565465001</v>
      </c>
      <c r="G216">
        <v>1.86792258367994</v>
      </c>
      <c r="H216">
        <v>223</v>
      </c>
    </row>
    <row r="217" spans="1:8">
      <c r="A217">
        <v>1.5023269616400801</v>
      </c>
      <c r="B217">
        <v>4.26076137438241</v>
      </c>
      <c r="C217">
        <v>27.076231502768898</v>
      </c>
      <c r="D217">
        <v>2.0676215709936501</v>
      </c>
      <c r="E217">
        <v>3.0749602348648599</v>
      </c>
      <c r="F217">
        <v>32.570404508997498</v>
      </c>
      <c r="G217">
        <v>1.7776361584768201</v>
      </c>
      <c r="H217">
        <v>165</v>
      </c>
    </row>
    <row r="218" spans="1:8">
      <c r="A218">
        <v>1.3876454673315799</v>
      </c>
      <c r="B218">
        <v>4.3013177724515304</v>
      </c>
      <c r="C218">
        <v>26.4297756004718</v>
      </c>
      <c r="D218">
        <v>1.93788629492499</v>
      </c>
      <c r="E218">
        <v>3.0566252255297099</v>
      </c>
      <c r="F218">
        <v>32.2052912692237</v>
      </c>
      <c r="G218">
        <v>1.2528465532628299</v>
      </c>
      <c r="H218">
        <v>60</v>
      </c>
    </row>
    <row r="219" spans="1:8">
      <c r="A219">
        <v>1.25282171827263</v>
      </c>
      <c r="B219">
        <v>4.2578479506331002</v>
      </c>
      <c r="C219">
        <v>28.135812017061799</v>
      </c>
      <c r="D219">
        <v>2.1012620584757902</v>
      </c>
      <c r="E219">
        <v>3.5564910975973998</v>
      </c>
      <c r="F219">
        <v>33.3432867482136</v>
      </c>
      <c r="G219">
        <v>1.70439837464586</v>
      </c>
      <c r="H219">
        <v>151</v>
      </c>
    </row>
    <row r="220" spans="1:8">
      <c r="A220">
        <v>1.33395309721577</v>
      </c>
      <c r="B220">
        <v>4.2206981578539997</v>
      </c>
      <c r="C220">
        <v>26.381682266055002</v>
      </c>
      <c r="D220">
        <v>1.82850216858724</v>
      </c>
      <c r="E220">
        <v>3.3361803210467502</v>
      </c>
      <c r="F220">
        <v>31.659291397132701</v>
      </c>
      <c r="G220">
        <v>1.3044134273413399</v>
      </c>
      <c r="H220">
        <v>82</v>
      </c>
    </row>
    <row r="221" spans="1:8">
      <c r="A221">
        <v>1.41250471508183</v>
      </c>
      <c r="B221">
        <v>4.0876319813760196</v>
      </c>
      <c r="C221">
        <v>27.108417083983799</v>
      </c>
      <c r="D221">
        <v>1.9451817639171001</v>
      </c>
      <c r="E221">
        <v>3.3207324025524101</v>
      </c>
      <c r="F221">
        <v>31.895515125282198</v>
      </c>
      <c r="G221">
        <v>1.8915612545432201</v>
      </c>
      <c r="H221">
        <v>228</v>
      </c>
    </row>
    <row r="222" spans="1:8">
      <c r="A222">
        <v>1.41858885862746</v>
      </c>
      <c r="B222">
        <v>4.1724865880833697</v>
      </c>
      <c r="C222">
        <v>26.515707248396598</v>
      </c>
      <c r="D222">
        <v>2.03226413408197</v>
      </c>
      <c r="E222">
        <v>3.52122611768247</v>
      </c>
      <c r="F222">
        <v>32.735939103219302</v>
      </c>
      <c r="G222">
        <v>1.8276520153865199</v>
      </c>
      <c r="H222">
        <v>186</v>
      </c>
    </row>
    <row r="223" spans="1:8">
      <c r="A223">
        <v>1.3419892217338201</v>
      </c>
      <c r="B223">
        <v>4.2262672027044399</v>
      </c>
      <c r="C223">
        <v>27.103007646276701</v>
      </c>
      <c r="D223">
        <v>2.0693420822245501</v>
      </c>
      <c r="E223">
        <v>3.5702953720838702</v>
      </c>
      <c r="F223">
        <v>31.278604329415199</v>
      </c>
      <c r="G223">
        <v>1.85588032525941</v>
      </c>
      <c r="H223">
        <v>182</v>
      </c>
    </row>
    <row r="224" spans="1:8">
      <c r="A224">
        <v>1.34820173103318</v>
      </c>
      <c r="B224">
        <v>4.1534337560486696</v>
      </c>
      <c r="C224">
        <v>26.064314013697398</v>
      </c>
      <c r="D224">
        <v>2.00818250205386</v>
      </c>
      <c r="E224">
        <v>3.5173483879010701</v>
      </c>
      <c r="F224">
        <v>34.835571310042297</v>
      </c>
      <c r="G224">
        <v>0.99551706001125895</v>
      </c>
      <c r="H224">
        <v>49</v>
      </c>
    </row>
    <row r="225" spans="1:8">
      <c r="A225">
        <v>1.28263204234299</v>
      </c>
      <c r="B225">
        <v>4.1865427282365104</v>
      </c>
      <c r="C225">
        <v>28.467759003156001</v>
      </c>
      <c r="D225">
        <v>1.96649824873561</v>
      </c>
      <c r="E225">
        <v>3.9017166394587801</v>
      </c>
      <c r="F225">
        <v>33.574660587492403</v>
      </c>
      <c r="G225">
        <v>1.9511820972370399</v>
      </c>
      <c r="H225">
        <v>210</v>
      </c>
    </row>
    <row r="226" spans="1:8">
      <c r="A226">
        <v>1.4005280934779401</v>
      </c>
      <c r="B226">
        <v>4.1435342977257896</v>
      </c>
      <c r="C226">
        <v>26.379482526171</v>
      </c>
      <c r="D226">
        <v>2.0314058149866199</v>
      </c>
      <c r="E226">
        <v>3.5956982598480498</v>
      </c>
      <c r="F226">
        <v>33.197983253554199</v>
      </c>
      <c r="G226">
        <v>1.8859545821271599</v>
      </c>
      <c r="H226">
        <v>197</v>
      </c>
    </row>
    <row r="227" spans="1:8">
      <c r="A227">
        <v>1.4035576565463901</v>
      </c>
      <c r="B227">
        <v>4.2350001375274999</v>
      </c>
      <c r="C227">
        <v>27.248602443284302</v>
      </c>
      <c r="D227">
        <v>1.79138142054787</v>
      </c>
      <c r="E227">
        <v>3.20904777647503</v>
      </c>
      <c r="F227">
        <v>29.556984786723898</v>
      </c>
      <c r="G227">
        <v>1.68003601349432</v>
      </c>
      <c r="H227">
        <v>186</v>
      </c>
    </row>
    <row r="228" spans="1:8">
      <c r="A228">
        <v>1.4095727908095199</v>
      </c>
      <c r="B228">
        <v>4.1981968812364796</v>
      </c>
      <c r="C228">
        <v>23.529263751458</v>
      </c>
      <c r="D228">
        <v>2.0307420903374598</v>
      </c>
      <c r="E228">
        <v>3.1871734738384401</v>
      </c>
      <c r="F228">
        <v>34.750710135163402</v>
      </c>
      <c r="G228">
        <v>1.97944341970965</v>
      </c>
      <c r="H228">
        <v>208</v>
      </c>
    </row>
    <row r="229" spans="1:8">
      <c r="A229">
        <v>1.1957166460008699</v>
      </c>
      <c r="B229">
        <v>4.2324986796429798</v>
      </c>
      <c r="C229">
        <v>25.596943141064699</v>
      </c>
      <c r="D229">
        <v>2.0441171151953399</v>
      </c>
      <c r="E229">
        <v>3.5143144104621</v>
      </c>
      <c r="F229">
        <v>31.724302747311899</v>
      </c>
      <c r="G229">
        <v>1.14433262941835</v>
      </c>
      <c r="H229">
        <v>39</v>
      </c>
    </row>
    <row r="230" spans="1:8">
      <c r="A230">
        <v>1.5155814108199599</v>
      </c>
      <c r="B230">
        <v>4.2341870598231397</v>
      </c>
      <c r="C230">
        <v>27.1187508435887</v>
      </c>
      <c r="D230">
        <v>2.0252759287507902</v>
      </c>
      <c r="E230">
        <v>2.9302166985401699</v>
      </c>
      <c r="F230">
        <v>33.271316444944098</v>
      </c>
      <c r="G230">
        <v>0.81636005432022096</v>
      </c>
      <c r="H230">
        <v>14</v>
      </c>
    </row>
    <row r="231" spans="1:8">
      <c r="A231">
        <v>1.42009292335574</v>
      </c>
      <c r="B231">
        <v>4.1462462583058901</v>
      </c>
      <c r="C231">
        <v>27.706824387224898</v>
      </c>
      <c r="D231">
        <v>1.84962233639972</v>
      </c>
      <c r="E231">
        <v>3.6204610063148301</v>
      </c>
      <c r="F231">
        <v>32.2681728477381</v>
      </c>
      <c r="G231">
        <v>1.41971098586603</v>
      </c>
      <c r="H231">
        <v>94</v>
      </c>
    </row>
    <row r="232" spans="1:8">
      <c r="A232">
        <v>1.2554672274252301</v>
      </c>
      <c r="B232">
        <v>4.1030138411622401</v>
      </c>
      <c r="C232">
        <v>26.508996417377698</v>
      </c>
      <c r="D232">
        <v>1.8982321100919399</v>
      </c>
      <c r="E232">
        <v>3.4998291063344298</v>
      </c>
      <c r="F232">
        <v>32.989509530153299</v>
      </c>
      <c r="G232">
        <v>1.57399849133777</v>
      </c>
      <c r="H232">
        <v>135</v>
      </c>
    </row>
    <row r="233" spans="1:8">
      <c r="A233">
        <v>1.39386492124624</v>
      </c>
      <c r="B233">
        <v>4.25198239984356</v>
      </c>
      <c r="C233">
        <v>24.8044099483715</v>
      </c>
      <c r="D233">
        <v>1.9829841349625801</v>
      </c>
      <c r="E233">
        <v>3.1676135631752</v>
      </c>
      <c r="F233">
        <v>34.415300071536102</v>
      </c>
      <c r="G233">
        <v>1.64299651158869</v>
      </c>
      <c r="H233">
        <v>179</v>
      </c>
    </row>
    <row r="234" spans="1:8">
      <c r="A234">
        <v>1.3739374054573601</v>
      </c>
      <c r="B234">
        <v>4.2259390804247898</v>
      </c>
      <c r="C234">
        <v>28.1655894771277</v>
      </c>
      <c r="D234">
        <v>2.1590325210284802</v>
      </c>
      <c r="E234">
        <v>3.1258227727621102</v>
      </c>
      <c r="F234">
        <v>32.520340469999901</v>
      </c>
      <c r="G234">
        <v>1.5099720797242799</v>
      </c>
      <c r="H234">
        <v>151</v>
      </c>
    </row>
    <row r="235" spans="1:8">
      <c r="A235">
        <v>1.49083219334237</v>
      </c>
      <c r="B235">
        <v>4.1591277393635</v>
      </c>
      <c r="C235">
        <v>26.8671146681884</v>
      </c>
      <c r="D235">
        <v>2.0361956274383699</v>
      </c>
      <c r="E235">
        <v>3.5720088045613099</v>
      </c>
      <c r="F235">
        <v>35.311041716904597</v>
      </c>
      <c r="G235">
        <v>1.42399731799287</v>
      </c>
      <c r="H235">
        <v>136</v>
      </c>
    </row>
    <row r="236" spans="1:8">
      <c r="A236">
        <v>1.33524376263585</v>
      </c>
      <c r="B236">
        <v>4.1927070147045997</v>
      </c>
      <c r="C236">
        <v>28.627273447457</v>
      </c>
      <c r="D236">
        <v>2.0845669698187601</v>
      </c>
      <c r="E236">
        <v>3.1206903814138101</v>
      </c>
      <c r="F236">
        <v>32.296712580161902</v>
      </c>
      <c r="G236">
        <v>1.84615243333964</v>
      </c>
      <c r="H236">
        <v>180</v>
      </c>
    </row>
    <row r="237" spans="1:8">
      <c r="A237">
        <v>1.3343177084343101</v>
      </c>
      <c r="B237">
        <v>4.21802681514911</v>
      </c>
      <c r="C237">
        <v>23.575033501872198</v>
      </c>
      <c r="D237">
        <v>1.7948213853998001</v>
      </c>
      <c r="E237">
        <v>2.7501055870100699</v>
      </c>
      <c r="F237">
        <v>34.712955498949398</v>
      </c>
      <c r="G237">
        <v>0.97927962736683605</v>
      </c>
      <c r="H237">
        <v>16</v>
      </c>
    </row>
    <row r="238" spans="1:8">
      <c r="A238">
        <v>1.4045539424917</v>
      </c>
      <c r="B238">
        <v>4.1224282109691304</v>
      </c>
      <c r="C238">
        <v>28.6929100620439</v>
      </c>
      <c r="D238">
        <v>2.03719891594376</v>
      </c>
      <c r="E238">
        <v>3.8020500319157602</v>
      </c>
      <c r="F238">
        <v>31.8479911089937</v>
      </c>
      <c r="G238">
        <v>1.0177385508376999</v>
      </c>
      <c r="H238">
        <v>23</v>
      </c>
    </row>
    <row r="239" spans="1:8">
      <c r="A239">
        <v>1.34946566705871</v>
      </c>
      <c r="B239">
        <v>4.2268768375220596</v>
      </c>
      <c r="C239">
        <v>28.8940106922967</v>
      </c>
      <c r="D239">
        <v>1.9966409287598501</v>
      </c>
      <c r="E239">
        <v>3.4776232219106702</v>
      </c>
      <c r="F239">
        <v>36.876673004447198</v>
      </c>
      <c r="G239">
        <v>1.33628783526173</v>
      </c>
      <c r="H239">
        <v>77</v>
      </c>
    </row>
    <row r="240" spans="1:8">
      <c r="A240">
        <v>1.31342966453929</v>
      </c>
      <c r="B240">
        <v>4.1958353708339997</v>
      </c>
      <c r="C240">
        <v>26.889185825416799</v>
      </c>
      <c r="D240">
        <v>1.88945924435285</v>
      </c>
      <c r="E240">
        <v>3.7183952582631301</v>
      </c>
      <c r="F240">
        <v>33.871594642385197</v>
      </c>
      <c r="G240">
        <v>1.5486247079453801</v>
      </c>
      <c r="H240">
        <v>160</v>
      </c>
    </row>
    <row r="241" spans="1:8">
      <c r="A241">
        <v>1.5142022032328599</v>
      </c>
      <c r="B241">
        <v>4.1724623798837097</v>
      </c>
      <c r="C241">
        <v>27.944954653667299</v>
      </c>
      <c r="D241">
        <v>2.1066115847155</v>
      </c>
      <c r="E241">
        <v>3.71607496788917</v>
      </c>
      <c r="F241">
        <v>32.841994123495901</v>
      </c>
      <c r="G241">
        <v>1.5235277792874</v>
      </c>
      <c r="H241">
        <v>126</v>
      </c>
    </row>
    <row r="242" spans="1:8">
      <c r="A242">
        <v>1.45754332310735</v>
      </c>
      <c r="B242">
        <v>4.15625827913302</v>
      </c>
      <c r="C242">
        <v>27.511001034424801</v>
      </c>
      <c r="D242">
        <v>1.89196893454241</v>
      </c>
      <c r="E242">
        <v>3.3313246799719902</v>
      </c>
      <c r="F242">
        <v>36.548543657409098</v>
      </c>
      <c r="G242">
        <v>1.6800098087315201</v>
      </c>
      <c r="H242">
        <v>145</v>
      </c>
    </row>
    <row r="243" spans="1:8">
      <c r="A243">
        <v>1.2478904102311601</v>
      </c>
      <c r="B243">
        <v>4.2292963214896204</v>
      </c>
      <c r="C243">
        <v>24.777713893991201</v>
      </c>
      <c r="D243">
        <v>1.9778020147750199</v>
      </c>
      <c r="E243">
        <v>2.98265571372281</v>
      </c>
      <c r="F243">
        <v>31.193862052684299</v>
      </c>
      <c r="G243">
        <v>1.8218436461281899</v>
      </c>
      <c r="H243">
        <v>173</v>
      </c>
    </row>
    <row r="244" spans="1:8">
      <c r="A244">
        <v>1.59345972839837</v>
      </c>
      <c r="B244">
        <v>4.23780198843117</v>
      </c>
      <c r="C244">
        <v>26.6088828337679</v>
      </c>
      <c r="D244">
        <v>1.95517769583334</v>
      </c>
      <c r="E244">
        <v>3.2810386841661701</v>
      </c>
      <c r="F244">
        <v>29.396196589569499</v>
      </c>
      <c r="G244">
        <v>1.29321212032886</v>
      </c>
      <c r="H244">
        <v>68</v>
      </c>
    </row>
    <row r="245" spans="1:8">
      <c r="A245">
        <v>1.3741856525694101</v>
      </c>
      <c r="B245">
        <v>4.1507015913070902</v>
      </c>
      <c r="C245">
        <v>29.412517466951901</v>
      </c>
      <c r="D245">
        <v>1.9697517943801499</v>
      </c>
      <c r="E245">
        <v>3.2777036462393201</v>
      </c>
      <c r="F245">
        <v>34.326830855951599</v>
      </c>
      <c r="G245">
        <v>1.0435458012147201</v>
      </c>
      <c r="H245">
        <v>59</v>
      </c>
    </row>
    <row r="246" spans="1:8">
      <c r="A246">
        <v>1.3471728635189999</v>
      </c>
      <c r="B246">
        <v>4.2091936974641797</v>
      </c>
      <c r="C246">
        <v>28.119929585952999</v>
      </c>
      <c r="D246">
        <v>1.94273235660233</v>
      </c>
      <c r="E246">
        <v>3.49479350521645</v>
      </c>
      <c r="F246">
        <v>30.039762070451001</v>
      </c>
      <c r="G246">
        <v>1.85652647603498</v>
      </c>
      <c r="H246">
        <v>191</v>
      </c>
    </row>
    <row r="247" spans="1:8">
      <c r="A247">
        <v>1.4575056652901099</v>
      </c>
      <c r="B247">
        <v>4.15477080649221</v>
      </c>
      <c r="C247">
        <v>29.833511749289102</v>
      </c>
      <c r="D247">
        <v>2.0593886561352202</v>
      </c>
      <c r="E247">
        <v>3.41807783056634</v>
      </c>
      <c r="F247">
        <v>35.599636610117201</v>
      </c>
      <c r="G247">
        <v>1.07245461574927</v>
      </c>
      <c r="H247">
        <v>35</v>
      </c>
    </row>
    <row r="248" spans="1:8">
      <c r="A248">
        <v>1.5183750425159901</v>
      </c>
      <c r="B248">
        <v>4.2614381521650602</v>
      </c>
      <c r="C248">
        <v>26.4192726849117</v>
      </c>
      <c r="D248">
        <v>1.9977762825711001</v>
      </c>
      <c r="E248">
        <v>3.7259131795774199</v>
      </c>
      <c r="F248">
        <v>35.155166288261697</v>
      </c>
      <c r="G248">
        <v>1.4103731138900499</v>
      </c>
      <c r="H248">
        <v>132</v>
      </c>
    </row>
    <row r="249" spans="1:8">
      <c r="A249">
        <v>1.4756846007572699</v>
      </c>
      <c r="B249">
        <v>4.1215266499616199</v>
      </c>
      <c r="C249">
        <v>26.770648868249499</v>
      </c>
      <c r="D249">
        <v>1.94092734963048</v>
      </c>
      <c r="E249">
        <v>3.8940973866053499</v>
      </c>
      <c r="F249">
        <v>32.215101706719601</v>
      </c>
      <c r="G249">
        <v>1.46770721756399</v>
      </c>
      <c r="H249">
        <v>102</v>
      </c>
    </row>
    <row r="250" spans="1:8">
      <c r="A250">
        <v>1.17599017398447</v>
      </c>
      <c r="B250">
        <v>4.2066198199416096</v>
      </c>
      <c r="C250">
        <v>26.100568504084698</v>
      </c>
      <c r="D250">
        <v>2.0709178844052398</v>
      </c>
      <c r="E250">
        <v>3.3251589052675801</v>
      </c>
      <c r="F250">
        <v>32.982670350586602</v>
      </c>
      <c r="G250">
        <v>1.1075336381818499</v>
      </c>
      <c r="H250">
        <v>41</v>
      </c>
    </row>
    <row r="251" spans="1:8">
      <c r="A251">
        <v>1.37623545285557</v>
      </c>
      <c r="B251">
        <v>4.2637775310663404</v>
      </c>
      <c r="C251">
        <v>29.187096807208999</v>
      </c>
      <c r="D251">
        <v>2.0214927934146001</v>
      </c>
      <c r="E251">
        <v>3.4940973077361699</v>
      </c>
      <c r="F251">
        <v>35.633749146433502</v>
      </c>
      <c r="G251">
        <v>0.81502692177877001</v>
      </c>
      <c r="H251">
        <v>13</v>
      </c>
    </row>
    <row r="252" spans="1:8">
      <c r="A252">
        <v>1.2985757496544801</v>
      </c>
      <c r="B252">
        <v>4.1901234102626601</v>
      </c>
      <c r="C252">
        <v>27.201249512205099</v>
      </c>
      <c r="D252">
        <v>1.78144507995791</v>
      </c>
      <c r="E252">
        <v>4.0914780586408996</v>
      </c>
      <c r="F252">
        <v>34.437203778699299</v>
      </c>
      <c r="G252">
        <v>1.2309484898446299</v>
      </c>
      <c r="H252">
        <v>66</v>
      </c>
    </row>
    <row r="253" spans="1:8">
      <c r="A253">
        <v>1.3797039798164601</v>
      </c>
      <c r="B253">
        <v>4.20742480132159</v>
      </c>
      <c r="C253">
        <v>26.810051779016899</v>
      </c>
      <c r="D253">
        <v>2.1724108317189499</v>
      </c>
      <c r="E253">
        <v>3.3610564282673501</v>
      </c>
      <c r="F253">
        <v>32.351291639585497</v>
      </c>
      <c r="G253">
        <v>1.6190703940748301</v>
      </c>
      <c r="H253">
        <v>144</v>
      </c>
    </row>
    <row r="254" spans="1:8">
      <c r="A254">
        <v>1.5178911883855</v>
      </c>
      <c r="B254">
        <v>4.2617623234228397</v>
      </c>
      <c r="C254">
        <v>26.393748056878898</v>
      </c>
      <c r="D254">
        <v>2.06318819709705</v>
      </c>
      <c r="E254">
        <v>3.4722403578561298</v>
      </c>
      <c r="F254">
        <v>34.726624317288099</v>
      </c>
      <c r="G254">
        <v>1.3310182214176101</v>
      </c>
      <c r="H254">
        <v>116</v>
      </c>
    </row>
    <row r="255" spans="1:8">
      <c r="A255">
        <v>1.5046226980439701</v>
      </c>
      <c r="B255">
        <v>4.1978488899867799</v>
      </c>
      <c r="C255">
        <v>26.644508687976199</v>
      </c>
      <c r="D255">
        <v>1.8610807111458401</v>
      </c>
      <c r="E255">
        <v>3.68831521071042</v>
      </c>
      <c r="F255">
        <v>36.312409109595997</v>
      </c>
      <c r="G255">
        <v>1.4948530608939301</v>
      </c>
      <c r="H255">
        <v>109</v>
      </c>
    </row>
    <row r="256" spans="1:8">
      <c r="A256">
        <v>1.3290785866520101</v>
      </c>
      <c r="B256">
        <v>4.2354282188561401</v>
      </c>
      <c r="C256">
        <v>29.938150113229799</v>
      </c>
      <c r="D256">
        <v>1.8815776638082899</v>
      </c>
      <c r="E256">
        <v>3.5779125264063798</v>
      </c>
      <c r="F256">
        <v>33.333679600418002</v>
      </c>
      <c r="G256">
        <v>1.5370306562508</v>
      </c>
      <c r="H256">
        <v>127</v>
      </c>
    </row>
    <row r="257" spans="1:8">
      <c r="A257">
        <v>1.5125876271490799</v>
      </c>
      <c r="B257">
        <v>4.25099854354999</v>
      </c>
      <c r="C257">
        <v>27.671900997359</v>
      </c>
      <c r="D257">
        <v>2.06647943420485</v>
      </c>
      <c r="E257">
        <v>3.39539952945159</v>
      </c>
      <c r="F257">
        <v>34.107612605463103</v>
      </c>
      <c r="G257">
        <v>1.55277202325882</v>
      </c>
      <c r="H257">
        <v>161</v>
      </c>
    </row>
    <row r="258" spans="1:8">
      <c r="A258">
        <v>1.2797394414044401</v>
      </c>
      <c r="B258">
        <v>4.2190001982886498</v>
      </c>
      <c r="C258">
        <v>27.654545363436199</v>
      </c>
      <c r="D258">
        <v>2.0415374252998602</v>
      </c>
      <c r="E258">
        <v>3.4491531778389102</v>
      </c>
      <c r="F258">
        <v>32.230173739867098</v>
      </c>
      <c r="G258">
        <v>1.6559072982464</v>
      </c>
      <c r="H258">
        <v>151</v>
      </c>
    </row>
    <row r="259" spans="1:8">
      <c r="A259">
        <v>1.4762188158571501</v>
      </c>
      <c r="B259">
        <v>4.2052768869980204</v>
      </c>
      <c r="C259">
        <v>25.589415594584899</v>
      </c>
      <c r="D259">
        <v>2.02775055844045</v>
      </c>
      <c r="E259">
        <v>3.9188172001883501</v>
      </c>
      <c r="F259">
        <v>35.2834458676857</v>
      </c>
      <c r="G259">
        <v>1.0552707164549999</v>
      </c>
      <c r="H259">
        <v>21</v>
      </c>
    </row>
    <row r="260" spans="1:8">
      <c r="A260">
        <v>1.37508804357711</v>
      </c>
      <c r="B260">
        <v>4.1422940489426203</v>
      </c>
      <c r="C260">
        <v>24.940794161293098</v>
      </c>
      <c r="D260">
        <v>2.1267770841843601</v>
      </c>
      <c r="E260">
        <v>3.3117126218898001</v>
      </c>
      <c r="F260">
        <v>31.286670686032501</v>
      </c>
      <c r="G260">
        <v>1.0597700685575899</v>
      </c>
      <c r="H260">
        <v>31</v>
      </c>
    </row>
    <row r="261" spans="1:8">
      <c r="A261">
        <v>1.4549349171716901</v>
      </c>
      <c r="B261">
        <v>4.1154764460238802</v>
      </c>
      <c r="C261">
        <v>28.675867659424</v>
      </c>
      <c r="D261">
        <v>2.2414571452212799</v>
      </c>
      <c r="E261">
        <v>3.7505278378760698</v>
      </c>
      <c r="F261">
        <v>31.2367848599906</v>
      </c>
      <c r="G261">
        <v>1.9171847500808501</v>
      </c>
      <c r="H261">
        <v>193</v>
      </c>
    </row>
    <row r="262" spans="1:8">
      <c r="A262">
        <v>1.30280422886989</v>
      </c>
      <c r="B262">
        <v>4.2936428434281799</v>
      </c>
      <c r="C262">
        <v>24.028171074911999</v>
      </c>
      <c r="D262">
        <v>2.06023259174489</v>
      </c>
      <c r="E262">
        <v>3.52746318635457</v>
      </c>
      <c r="F262">
        <v>34.386156229277503</v>
      </c>
      <c r="G262">
        <v>1.55939717237414</v>
      </c>
      <c r="H262">
        <v>131</v>
      </c>
    </row>
    <row r="263" spans="1:8">
      <c r="A263">
        <v>1.41015332459107</v>
      </c>
      <c r="B263">
        <v>4.1613207674818797</v>
      </c>
      <c r="C263">
        <v>26.668005475598001</v>
      </c>
      <c r="D263">
        <v>2.01293698753399</v>
      </c>
      <c r="E263">
        <v>3.1759494220034199</v>
      </c>
      <c r="F263">
        <v>31.874059209669301</v>
      </c>
      <c r="G263">
        <v>1.27940588654857</v>
      </c>
      <c r="H263">
        <v>106</v>
      </c>
    </row>
    <row r="264" spans="1:8">
      <c r="A264">
        <v>1.33663237674074</v>
      </c>
      <c r="B264">
        <v>4.2359068768577703</v>
      </c>
      <c r="C264">
        <v>27.954662527952099</v>
      </c>
      <c r="D264">
        <v>2.1475174160605701</v>
      </c>
      <c r="E264">
        <v>3.1144584778767501</v>
      </c>
      <c r="F264">
        <v>32.4360305116464</v>
      </c>
      <c r="G264">
        <v>1.40910915509038</v>
      </c>
      <c r="H264">
        <v>102</v>
      </c>
    </row>
    <row r="265" spans="1:8">
      <c r="A265">
        <v>1.4450227596987799</v>
      </c>
      <c r="B265">
        <v>4.2114946686642796</v>
      </c>
      <c r="C265">
        <v>28.599359549088199</v>
      </c>
      <c r="D265">
        <v>2.0138713641386099</v>
      </c>
      <c r="E265">
        <v>3.55055999015863</v>
      </c>
      <c r="F265">
        <v>32.618920035979002</v>
      </c>
      <c r="G265">
        <v>1.1961807913654601</v>
      </c>
      <c r="H265">
        <v>88</v>
      </c>
    </row>
    <row r="266" spans="1:8">
      <c r="A266">
        <v>1.30749228158986</v>
      </c>
      <c r="B266">
        <v>4.22227875126889</v>
      </c>
      <c r="C266">
        <v>26.653886754577499</v>
      </c>
      <c r="D266">
        <v>1.98762562251467</v>
      </c>
      <c r="E266">
        <v>3.6832873848688799</v>
      </c>
      <c r="F266">
        <v>33.315967866409302</v>
      </c>
      <c r="G266">
        <v>1.35804870052047</v>
      </c>
      <c r="H266">
        <v>122</v>
      </c>
    </row>
    <row r="267" spans="1:8">
      <c r="A267">
        <v>1.5366482457933901</v>
      </c>
      <c r="B267">
        <v>4.2190920136098704</v>
      </c>
      <c r="C267">
        <v>25.760795954797299</v>
      </c>
      <c r="D267">
        <v>1.98234849345388</v>
      </c>
      <c r="E267">
        <v>3.4657494468448098</v>
      </c>
      <c r="F267">
        <v>31.762395027581299</v>
      </c>
      <c r="G267">
        <v>1.9110065354666299</v>
      </c>
      <c r="H267">
        <v>191</v>
      </c>
    </row>
    <row r="268" spans="1:8">
      <c r="A268">
        <v>1.44014691053355</v>
      </c>
      <c r="B268">
        <v>4.2546817949318099</v>
      </c>
      <c r="C268">
        <v>23.988732759361302</v>
      </c>
      <c r="D268">
        <v>1.89440678042364</v>
      </c>
      <c r="E268">
        <v>3.2735225424933501</v>
      </c>
      <c r="F268">
        <v>32.980834191948901</v>
      </c>
      <c r="G268">
        <v>1.98619579599679</v>
      </c>
      <c r="H268">
        <v>219</v>
      </c>
    </row>
    <row r="269" spans="1:8">
      <c r="A269">
        <v>1.5725245142006501</v>
      </c>
      <c r="B269">
        <v>4.2869535119295898</v>
      </c>
      <c r="C269">
        <v>27.754137329037199</v>
      </c>
      <c r="D269">
        <v>2.0111990327156999</v>
      </c>
      <c r="E269">
        <v>3.60991292850255</v>
      </c>
      <c r="F269">
        <v>36.489255536737602</v>
      </c>
      <c r="G269">
        <v>0.78813736393683398</v>
      </c>
      <c r="H269">
        <v>7</v>
      </c>
    </row>
    <row r="270" spans="1:8">
      <c r="A270">
        <v>1.36336180647991</v>
      </c>
      <c r="B270">
        <v>4.1570469954080798</v>
      </c>
      <c r="C270">
        <v>29.192679621100101</v>
      </c>
      <c r="D270">
        <v>2.0879354144692002</v>
      </c>
      <c r="E270">
        <v>3.13991749955512</v>
      </c>
      <c r="F270">
        <v>33.387157966850197</v>
      </c>
      <c r="G270">
        <v>0.967584586094697</v>
      </c>
      <c r="H270">
        <v>44</v>
      </c>
    </row>
    <row r="271" spans="1:8">
      <c r="A271">
        <v>1.58503132385199</v>
      </c>
      <c r="B271">
        <v>4.2381482016786904</v>
      </c>
      <c r="C271">
        <v>29.2376416190668</v>
      </c>
      <c r="D271">
        <v>2.1278969275380399</v>
      </c>
      <c r="E271">
        <v>3.51179644903248</v>
      </c>
      <c r="F271">
        <v>34.455275125798401</v>
      </c>
      <c r="G271">
        <v>1.85265725777702</v>
      </c>
      <c r="H271">
        <v>222</v>
      </c>
    </row>
    <row r="272" spans="1:8">
      <c r="A272">
        <v>1.37688995689932</v>
      </c>
      <c r="B272">
        <v>4.1551598207650597</v>
      </c>
      <c r="C272">
        <v>26.417154895397498</v>
      </c>
      <c r="D272">
        <v>1.9060480894427601</v>
      </c>
      <c r="E272">
        <v>3.7907094369525001</v>
      </c>
      <c r="F272">
        <v>33.974622001161897</v>
      </c>
      <c r="G272">
        <v>1.43964261068026</v>
      </c>
      <c r="H272">
        <v>100</v>
      </c>
    </row>
    <row r="273" spans="1:8">
      <c r="A273">
        <v>1.3501993716028999</v>
      </c>
      <c r="B273">
        <v>4.1996906736311903</v>
      </c>
      <c r="C273">
        <v>28.010833625651198</v>
      </c>
      <c r="D273">
        <v>2.01018733163902</v>
      </c>
      <c r="E273">
        <v>3.2522096591558798</v>
      </c>
      <c r="F273">
        <v>32.660639553015201</v>
      </c>
      <c r="G273">
        <v>1.41979098295856</v>
      </c>
      <c r="H273">
        <v>103</v>
      </c>
    </row>
    <row r="274" spans="1:8">
      <c r="A274">
        <v>1.5028987055560401</v>
      </c>
      <c r="B274">
        <v>4.1426605884789902</v>
      </c>
      <c r="C274">
        <v>27.8393181259325</v>
      </c>
      <c r="D274">
        <v>2.1342853763931502</v>
      </c>
      <c r="E274">
        <v>3.8804339206224898</v>
      </c>
      <c r="F274">
        <v>34.469247163198901</v>
      </c>
      <c r="G274">
        <v>1.9506690662575501</v>
      </c>
      <c r="H274">
        <v>201</v>
      </c>
    </row>
    <row r="275" spans="1:8">
      <c r="A275">
        <v>1.4739941315030101</v>
      </c>
      <c r="B275">
        <v>4.1710944944182904</v>
      </c>
      <c r="C275">
        <v>25.637178839313201</v>
      </c>
      <c r="D275">
        <v>1.8429403002218701</v>
      </c>
      <c r="E275">
        <v>2.7332579393871801</v>
      </c>
      <c r="F275">
        <v>34.4883559462858</v>
      </c>
      <c r="G275">
        <v>1.7390843398940801</v>
      </c>
      <c r="H275">
        <v>200</v>
      </c>
    </row>
    <row r="276" spans="1:8">
      <c r="A276">
        <v>1.3080180449783201</v>
      </c>
      <c r="B276">
        <v>4.2347842075497804</v>
      </c>
      <c r="C276">
        <v>26.48711586109</v>
      </c>
      <c r="D276">
        <v>1.9952291623604499</v>
      </c>
      <c r="E276">
        <v>3.1219252332783398</v>
      </c>
      <c r="F276">
        <v>32.382835135628603</v>
      </c>
      <c r="G276">
        <v>0.83426259892661903</v>
      </c>
      <c r="H276">
        <v>17</v>
      </c>
    </row>
    <row r="277" spans="1:8">
      <c r="A277">
        <v>1.2423842672529299</v>
      </c>
      <c r="B277">
        <v>4.1449489569834599</v>
      </c>
      <c r="C277">
        <v>26.2692195701236</v>
      </c>
      <c r="D277">
        <v>2.1142737579294901</v>
      </c>
      <c r="E277">
        <v>3.1615832604267502</v>
      </c>
      <c r="F277">
        <v>32.157594717849101</v>
      </c>
      <c r="G277">
        <v>1.7220229822289901</v>
      </c>
      <c r="H277">
        <v>155</v>
      </c>
    </row>
    <row r="278" spans="1:8">
      <c r="A278">
        <v>1.64695154701702</v>
      </c>
      <c r="B278">
        <v>4.1658149644120002</v>
      </c>
      <c r="C278">
        <v>27.115821255404001</v>
      </c>
      <c r="D278">
        <v>1.9925296513347099</v>
      </c>
      <c r="E278">
        <v>3.5111622301563599</v>
      </c>
      <c r="F278">
        <v>36.56220282668</v>
      </c>
      <c r="G278">
        <v>0.96716099676197798</v>
      </c>
      <c r="H278">
        <v>4</v>
      </c>
    </row>
    <row r="279" spans="1:8">
      <c r="A279">
        <v>1.4834825990000799</v>
      </c>
      <c r="B279">
        <v>4.2548446853762796</v>
      </c>
      <c r="C279">
        <v>29.020476934453999</v>
      </c>
      <c r="D279">
        <v>1.96041514534235</v>
      </c>
      <c r="E279">
        <v>3.5059159452733102</v>
      </c>
      <c r="F279">
        <v>34.262697667493299</v>
      </c>
      <c r="G279">
        <v>1.27834130214115</v>
      </c>
      <c r="H279">
        <v>75</v>
      </c>
    </row>
    <row r="280" spans="1:8">
      <c r="A280">
        <v>1.40644918625962</v>
      </c>
      <c r="B280">
        <v>4.1685316510083199</v>
      </c>
      <c r="C280">
        <v>26.889587475812501</v>
      </c>
      <c r="D280">
        <v>2.0324605962801998</v>
      </c>
      <c r="E280">
        <v>2.8973108364649298</v>
      </c>
      <c r="F280">
        <v>33.338180930705697</v>
      </c>
      <c r="G280">
        <v>1.93236973807526</v>
      </c>
      <c r="H280">
        <v>236</v>
      </c>
    </row>
    <row r="281" spans="1:8">
      <c r="A281">
        <v>1.3694142281323101</v>
      </c>
      <c r="B281">
        <v>4.21445173705406</v>
      </c>
      <c r="C281">
        <v>25.9699188722191</v>
      </c>
      <c r="D281">
        <v>2.0627270271493301</v>
      </c>
      <c r="E281">
        <v>4.2424524096673002</v>
      </c>
      <c r="F281">
        <v>35.199222303678297</v>
      </c>
      <c r="G281">
        <v>1.2993476403044899</v>
      </c>
      <c r="H281">
        <v>69</v>
      </c>
    </row>
    <row r="282" spans="1:8">
      <c r="A282">
        <v>1.4399969173010101</v>
      </c>
      <c r="B282">
        <v>4.16067370134523</v>
      </c>
      <c r="C282">
        <v>27.635395934804901</v>
      </c>
      <c r="D282">
        <v>2.1148339001828198</v>
      </c>
      <c r="E282">
        <v>3.3797483192806399</v>
      </c>
      <c r="F282">
        <v>34.804664746685198</v>
      </c>
      <c r="G282">
        <v>1.0798409926947501</v>
      </c>
      <c r="H282">
        <v>66</v>
      </c>
    </row>
    <row r="283" spans="1:8">
      <c r="A283">
        <v>1.34565744898409</v>
      </c>
      <c r="B283">
        <v>4.2144720977207397</v>
      </c>
      <c r="C283">
        <v>24.364512118874099</v>
      </c>
      <c r="D283">
        <v>2.0617160311923399</v>
      </c>
      <c r="E283">
        <v>4.3635481184784499</v>
      </c>
      <c r="F283">
        <v>32.4658536206938</v>
      </c>
      <c r="G283">
        <v>1.7228305715876699</v>
      </c>
      <c r="H283">
        <v>198</v>
      </c>
    </row>
    <row r="284" spans="1:8">
      <c r="A284">
        <v>1.2592421581325099</v>
      </c>
      <c r="B284">
        <v>4.2959178843618799</v>
      </c>
      <c r="C284">
        <v>28.584740712671799</v>
      </c>
      <c r="D284">
        <v>2.0138306078236399</v>
      </c>
      <c r="E284">
        <v>3.3145624499977902</v>
      </c>
      <c r="F284">
        <v>31.979539431036599</v>
      </c>
      <c r="G284">
        <v>1.7547111973148499</v>
      </c>
      <c r="H284">
        <v>161</v>
      </c>
    </row>
    <row r="285" spans="1:8">
      <c r="A285">
        <v>1.2838559986915501</v>
      </c>
      <c r="B285">
        <v>4.14218282461285</v>
      </c>
      <c r="C285">
        <v>26.290658134661999</v>
      </c>
      <c r="D285">
        <v>2.1530338429354998</v>
      </c>
      <c r="E285">
        <v>3.2180571319544802</v>
      </c>
      <c r="F285">
        <v>31.487330128004199</v>
      </c>
      <c r="G285">
        <v>1.9113697206676601</v>
      </c>
      <c r="H285">
        <v>232</v>
      </c>
    </row>
    <row r="286" spans="1:8">
      <c r="A286">
        <v>1.3993743777402301</v>
      </c>
      <c r="B286">
        <v>4.14724744904297</v>
      </c>
      <c r="C286">
        <v>27.807074583096799</v>
      </c>
      <c r="D286">
        <v>1.95571005739151</v>
      </c>
      <c r="E286">
        <v>4.0031971444207901</v>
      </c>
      <c r="F286">
        <v>33.787433724872102</v>
      </c>
      <c r="G286">
        <v>1.7643911298664401</v>
      </c>
      <c r="H286">
        <v>173</v>
      </c>
    </row>
    <row r="287" spans="1:8">
      <c r="A287">
        <v>1.15548531370765</v>
      </c>
      <c r="B287">
        <v>4.2152982913760804</v>
      </c>
      <c r="C287">
        <v>25.893104910101901</v>
      </c>
      <c r="D287">
        <v>1.99082177600947</v>
      </c>
      <c r="E287">
        <v>3.2994520755643202</v>
      </c>
      <c r="F287">
        <v>35.068959387122803</v>
      </c>
      <c r="G287">
        <v>1.78978093082434</v>
      </c>
      <c r="H287">
        <v>168</v>
      </c>
    </row>
    <row r="288" spans="1:8">
      <c r="A288">
        <v>1.45589906337464</v>
      </c>
      <c r="B288">
        <v>4.1785734921018003</v>
      </c>
      <c r="C288">
        <v>26.382857196774001</v>
      </c>
      <c r="D288">
        <v>2.0497160916456099</v>
      </c>
      <c r="E288">
        <v>3.0780027753265502</v>
      </c>
      <c r="F288">
        <v>37.7202430644559</v>
      </c>
      <c r="G288">
        <v>1.02041493354373</v>
      </c>
      <c r="H288">
        <v>24</v>
      </c>
    </row>
    <row r="289" spans="1:8">
      <c r="A289">
        <v>1.40636756869931</v>
      </c>
      <c r="B289">
        <v>4.1863217195884701</v>
      </c>
      <c r="C289">
        <v>28.726129683543601</v>
      </c>
      <c r="D289">
        <v>1.8863752850095401</v>
      </c>
      <c r="E289">
        <v>3.4249516081007498</v>
      </c>
      <c r="F289">
        <v>33.988588008823399</v>
      </c>
      <c r="G289">
        <v>0.75097186448962805</v>
      </c>
      <c r="H289">
        <v>0</v>
      </c>
    </row>
    <row r="290" spans="1:8">
      <c r="A290">
        <v>1.18912984980832</v>
      </c>
      <c r="B290">
        <v>4.2154643372588101</v>
      </c>
      <c r="C290">
        <v>26.3305312254017</v>
      </c>
      <c r="D290">
        <v>1.9511213343848799</v>
      </c>
      <c r="E290">
        <v>3.0875830647073599</v>
      </c>
      <c r="F290">
        <v>34.332665840577697</v>
      </c>
      <c r="G290">
        <v>1.31975732141502</v>
      </c>
      <c r="H290">
        <v>112</v>
      </c>
    </row>
    <row r="291" spans="1:8">
      <c r="A291">
        <v>1.3142504970540601</v>
      </c>
      <c r="B291">
        <v>4.1064776293874701</v>
      </c>
      <c r="C291">
        <v>26.8463775265561</v>
      </c>
      <c r="D291">
        <v>1.9868844060930599</v>
      </c>
      <c r="E291">
        <v>3.7344631060272202</v>
      </c>
      <c r="F291">
        <v>32.585107806287297</v>
      </c>
      <c r="G291">
        <v>1.4621553030996499</v>
      </c>
      <c r="H291">
        <v>112</v>
      </c>
    </row>
    <row r="292" spans="1:8">
      <c r="A292">
        <v>1.4628420290106401</v>
      </c>
      <c r="B292">
        <v>4.1617115755862599</v>
      </c>
      <c r="C292">
        <v>27.295894349448901</v>
      </c>
      <c r="D292">
        <v>2.3223815258348601</v>
      </c>
      <c r="E292">
        <v>3.22497707998656</v>
      </c>
      <c r="F292">
        <v>30.3695264926356</v>
      </c>
      <c r="G292">
        <v>1.93749320867507</v>
      </c>
      <c r="H292">
        <v>235</v>
      </c>
    </row>
    <row r="293" spans="1:8">
      <c r="A293">
        <v>1.4069013907492101</v>
      </c>
      <c r="B293">
        <v>4.0656595031994902</v>
      </c>
      <c r="C293">
        <v>25.288153366241101</v>
      </c>
      <c r="D293">
        <v>1.98430812898083</v>
      </c>
      <c r="E293">
        <v>3.37520994891304</v>
      </c>
      <c r="F293">
        <v>33.065770223786302</v>
      </c>
      <c r="G293">
        <v>1.6043267013634901</v>
      </c>
      <c r="H293">
        <v>172</v>
      </c>
    </row>
    <row r="294" spans="1:8">
      <c r="A294">
        <v>1.4425684144900299</v>
      </c>
      <c r="B294">
        <v>4.2276358234443601</v>
      </c>
      <c r="C294">
        <v>28.6198278470101</v>
      </c>
      <c r="D294">
        <v>1.97654722980327</v>
      </c>
      <c r="E294">
        <v>3.3633335327304401</v>
      </c>
      <c r="F294">
        <v>33.385760946575999</v>
      </c>
      <c r="G294">
        <v>1.54326402735059</v>
      </c>
      <c r="H294">
        <v>118</v>
      </c>
    </row>
    <row r="295" spans="1:8">
      <c r="A295">
        <v>1.2991941180689099</v>
      </c>
      <c r="B295">
        <v>4.2295847599732301</v>
      </c>
      <c r="C295">
        <v>26.363595177309598</v>
      </c>
      <c r="D295">
        <v>1.97733677398314</v>
      </c>
      <c r="E295">
        <v>3.2128816974010102</v>
      </c>
      <c r="F295">
        <v>33.7408062264387</v>
      </c>
      <c r="G295">
        <v>1.50333963348254</v>
      </c>
      <c r="H295">
        <v>119</v>
      </c>
    </row>
    <row r="296" spans="1:8">
      <c r="A296">
        <v>1.59512457776422</v>
      </c>
      <c r="B296">
        <v>4.2154739586205201</v>
      </c>
      <c r="C296">
        <v>25.1359505443674</v>
      </c>
      <c r="D296">
        <v>1.99464529962381</v>
      </c>
      <c r="E296">
        <v>3.1606350375083401</v>
      </c>
      <c r="F296">
        <v>38.135147892096398</v>
      </c>
      <c r="G296">
        <v>1.83960875740112</v>
      </c>
      <c r="H296">
        <v>217</v>
      </c>
    </row>
    <row r="297" spans="1:8">
      <c r="A297">
        <v>1.49086501515174</v>
      </c>
      <c r="B297">
        <v>4.1833342934434601</v>
      </c>
      <c r="C297">
        <v>25.8662244035729</v>
      </c>
      <c r="D297">
        <v>1.9870828121005799</v>
      </c>
      <c r="E297">
        <v>3.6830119894580098</v>
      </c>
      <c r="F297">
        <v>28.850119852451801</v>
      </c>
      <c r="G297">
        <v>1.1135779404231001</v>
      </c>
      <c r="H297">
        <v>73</v>
      </c>
    </row>
    <row r="298" spans="1:8">
      <c r="A298">
        <v>1.44270154849434</v>
      </c>
      <c r="B298">
        <v>4.2040142724714098</v>
      </c>
      <c r="C298">
        <v>29.556201127896902</v>
      </c>
      <c r="D298">
        <v>1.9878010301914</v>
      </c>
      <c r="E298">
        <v>3.0892851571539102</v>
      </c>
      <c r="F298">
        <v>29.689758455112798</v>
      </c>
      <c r="G298">
        <v>1.48594514054323</v>
      </c>
      <c r="H298">
        <v>108</v>
      </c>
    </row>
    <row r="299" spans="1:8">
      <c r="A299">
        <v>1.4825638750305801</v>
      </c>
      <c r="B299">
        <v>4.2004066235233601</v>
      </c>
      <c r="C299">
        <v>28.5211873696237</v>
      </c>
      <c r="D299">
        <v>1.89770822022724</v>
      </c>
      <c r="E299">
        <v>3.1356987118114201</v>
      </c>
      <c r="F299">
        <v>31.683838535240799</v>
      </c>
      <c r="G299">
        <v>1.1005891332447699</v>
      </c>
      <c r="H299">
        <v>40</v>
      </c>
    </row>
    <row r="300" spans="1:8">
      <c r="A300">
        <v>1.45213904440686</v>
      </c>
      <c r="B300">
        <v>4.1129998722066299</v>
      </c>
      <c r="C300">
        <v>25.5173127106804</v>
      </c>
      <c r="D300">
        <v>2.23380700509228</v>
      </c>
      <c r="E300">
        <v>3.36654274545152</v>
      </c>
      <c r="F300">
        <v>34.7279288997455</v>
      </c>
      <c r="G300">
        <v>1.4096515518838999</v>
      </c>
      <c r="H300">
        <v>93</v>
      </c>
    </row>
    <row r="301" spans="1:8">
      <c r="A301">
        <v>1.2886308533697799</v>
      </c>
      <c r="B301">
        <v>4.27329979893402</v>
      </c>
      <c r="C301">
        <v>25.752069313415799</v>
      </c>
      <c r="D301">
        <v>1.89360218110511</v>
      </c>
      <c r="E301">
        <v>3.3054785819177601</v>
      </c>
      <c r="F301">
        <v>34.882500238111199</v>
      </c>
      <c r="G301">
        <v>1.25796817083846</v>
      </c>
      <c r="H301">
        <v>70</v>
      </c>
    </row>
    <row r="302" spans="1:8">
      <c r="A302">
        <v>1.4706719173746501</v>
      </c>
      <c r="B302">
        <v>4.2179913330106897</v>
      </c>
      <c r="C302">
        <v>27.2504406916755</v>
      </c>
      <c r="D302">
        <v>2.0098504141179001</v>
      </c>
      <c r="E302">
        <v>2.8839673168517099</v>
      </c>
      <c r="F302">
        <v>31.679855432348301</v>
      </c>
      <c r="G302">
        <v>1.3765651018596901</v>
      </c>
      <c r="H302">
        <v>95</v>
      </c>
    </row>
    <row r="303" spans="1:8">
      <c r="A303">
        <v>1.43132529474355</v>
      </c>
      <c r="B303">
        <v>4.1993772753245704</v>
      </c>
      <c r="C303">
        <v>26.498392185379299</v>
      </c>
      <c r="D303">
        <v>1.8708174515257801</v>
      </c>
      <c r="E303">
        <v>3.87130218927879</v>
      </c>
      <c r="F303">
        <v>29.1782656035451</v>
      </c>
      <c r="G303">
        <v>1.4554045028828499</v>
      </c>
      <c r="H303">
        <v>140</v>
      </c>
    </row>
    <row r="304" spans="1:8">
      <c r="A304">
        <v>1.41005501532273</v>
      </c>
      <c r="B304">
        <v>4.2294299050543298</v>
      </c>
      <c r="C304">
        <v>28.930921181902299</v>
      </c>
      <c r="D304">
        <v>2.1916481511801398</v>
      </c>
      <c r="E304">
        <v>3.6858279438452901</v>
      </c>
      <c r="F304">
        <v>32.375929757370798</v>
      </c>
      <c r="G304">
        <v>1.2032787470977799</v>
      </c>
      <c r="H304">
        <v>92</v>
      </c>
    </row>
    <row r="305" spans="1:8">
      <c r="A305">
        <v>1.40215372380264</v>
      </c>
      <c r="B305">
        <v>4.1691219260005798</v>
      </c>
      <c r="C305">
        <v>27.796010023609199</v>
      </c>
      <c r="D305">
        <v>2.0375785488683098</v>
      </c>
      <c r="E305">
        <v>3.2722408501726301</v>
      </c>
      <c r="F305">
        <v>31.596156428812101</v>
      </c>
      <c r="G305">
        <v>1.07635399138113</v>
      </c>
      <c r="H305">
        <v>34</v>
      </c>
    </row>
    <row r="306" spans="1:8">
      <c r="A306">
        <v>1.34665576651819</v>
      </c>
      <c r="B306">
        <v>4.1978460894700502</v>
      </c>
      <c r="C306">
        <v>28.605770711076001</v>
      </c>
      <c r="D306">
        <v>1.9193869496067999</v>
      </c>
      <c r="E306">
        <v>3.6020504783306899</v>
      </c>
      <c r="F306">
        <v>31.7597965429784</v>
      </c>
      <c r="G306">
        <v>1.0361646177036901</v>
      </c>
      <c r="H306">
        <v>17</v>
      </c>
    </row>
    <row r="307" spans="1:8">
      <c r="A307">
        <v>1.4693781986082599</v>
      </c>
      <c r="B307">
        <v>4.2028139773136397</v>
      </c>
      <c r="C307">
        <v>27.320802242572601</v>
      </c>
      <c r="D307">
        <v>1.9928182227483699</v>
      </c>
      <c r="E307">
        <v>3.7129762665977299</v>
      </c>
      <c r="F307">
        <v>33.199735542608501</v>
      </c>
      <c r="G307">
        <v>1.1994798407170999</v>
      </c>
      <c r="H307">
        <v>49</v>
      </c>
    </row>
    <row r="308" spans="1:8">
      <c r="A308">
        <v>1.57770433142651</v>
      </c>
      <c r="B308">
        <v>4.25877643180959</v>
      </c>
      <c r="C308">
        <v>28.295081551180498</v>
      </c>
      <c r="D308">
        <v>2.14085056807646</v>
      </c>
      <c r="E308">
        <v>3.7282714380683899</v>
      </c>
      <c r="F308">
        <v>35.101512845178199</v>
      </c>
      <c r="G308">
        <v>0.79226349026425702</v>
      </c>
      <c r="H308">
        <v>9</v>
      </c>
    </row>
    <row r="309" spans="1:8">
      <c r="A309">
        <v>1.2821076302694101</v>
      </c>
      <c r="B309">
        <v>4.2462074124341296</v>
      </c>
      <c r="C309">
        <v>26.2294064071911</v>
      </c>
      <c r="D309">
        <v>2.0220462556668002</v>
      </c>
      <c r="E309">
        <v>3.1103684182993598</v>
      </c>
      <c r="F309">
        <v>35.884718452742199</v>
      </c>
      <c r="G309">
        <v>1.43563192230093</v>
      </c>
      <c r="H309">
        <v>98</v>
      </c>
    </row>
    <row r="310" spans="1:8">
      <c r="A310">
        <v>1.4114360874971199</v>
      </c>
      <c r="B310">
        <v>4.2245752496639</v>
      </c>
      <c r="C310">
        <v>23.8225415454882</v>
      </c>
      <c r="D310">
        <v>2.1394162084945099</v>
      </c>
      <c r="E310">
        <v>2.81472240292047</v>
      </c>
      <c r="F310">
        <v>33.990637211187298</v>
      </c>
      <c r="G310">
        <v>1.01104772992449</v>
      </c>
      <c r="H310">
        <v>53</v>
      </c>
    </row>
    <row r="311" spans="1:8">
      <c r="A311">
        <v>1.5053971092776199</v>
      </c>
      <c r="B311">
        <v>4.2486901271606996</v>
      </c>
      <c r="C311">
        <v>26.511192190173599</v>
      </c>
      <c r="D311">
        <v>2.04433974348437</v>
      </c>
      <c r="E311">
        <v>3.74078479785247</v>
      </c>
      <c r="F311">
        <v>32.026290606688399</v>
      </c>
      <c r="G311">
        <v>1.2858482913589999</v>
      </c>
      <c r="H311">
        <v>77</v>
      </c>
    </row>
    <row r="312" spans="1:8">
      <c r="A312">
        <v>1.3001158605367</v>
      </c>
      <c r="B312">
        <v>4.2975167207817702</v>
      </c>
      <c r="C312">
        <v>25.1666132826665</v>
      </c>
      <c r="D312">
        <v>1.8432252147391801</v>
      </c>
      <c r="E312">
        <v>4.0120881459967803</v>
      </c>
      <c r="F312">
        <v>31.789534480412801</v>
      </c>
      <c r="G312">
        <v>1.28703659861903</v>
      </c>
      <c r="H312">
        <v>78</v>
      </c>
    </row>
    <row r="313" spans="1:8">
      <c r="A313">
        <v>1.4265357752493799</v>
      </c>
      <c r="B313">
        <v>4.2140737895821498</v>
      </c>
      <c r="C313">
        <v>27.2268429453806</v>
      </c>
      <c r="D313">
        <v>1.9875727785948001</v>
      </c>
      <c r="E313">
        <v>3.8114649699282399</v>
      </c>
      <c r="F313">
        <v>31.610799834996701</v>
      </c>
      <c r="G313">
        <v>1.16094508952418</v>
      </c>
      <c r="H313">
        <v>82</v>
      </c>
    </row>
    <row r="314" spans="1:8">
      <c r="A314">
        <v>1.426717598795</v>
      </c>
      <c r="B314">
        <v>4.2069025430450502</v>
      </c>
      <c r="C314">
        <v>27.8323614606477</v>
      </c>
      <c r="D314">
        <v>2.0019980609192198</v>
      </c>
      <c r="E314">
        <v>4.0284078708111704</v>
      </c>
      <c r="F314">
        <v>31.4435330080073</v>
      </c>
      <c r="G314">
        <v>1.89966320312169</v>
      </c>
      <c r="H314">
        <v>200</v>
      </c>
    </row>
    <row r="315" spans="1:8">
      <c r="A315">
        <v>1.4329663190789901</v>
      </c>
      <c r="B315">
        <v>4.0350777977823604</v>
      </c>
      <c r="C315">
        <v>27.860088945822898</v>
      </c>
      <c r="D315">
        <v>2.0312571884386599</v>
      </c>
      <c r="E315">
        <v>3.3626778052600899</v>
      </c>
      <c r="F315">
        <v>30.245143257981201</v>
      </c>
      <c r="G315">
        <v>1.13259936139474</v>
      </c>
      <c r="H315">
        <v>47</v>
      </c>
    </row>
    <row r="316" spans="1:8">
      <c r="A316">
        <v>1.3793868780142</v>
      </c>
      <c r="B316">
        <v>4.1326744909369104</v>
      </c>
      <c r="C316">
        <v>26.3507847262022</v>
      </c>
      <c r="D316">
        <v>1.99038280269465</v>
      </c>
      <c r="E316">
        <v>3.2371804658397298</v>
      </c>
      <c r="F316">
        <v>35.1142487883698</v>
      </c>
      <c r="G316">
        <v>1.3873084860859499</v>
      </c>
      <c r="H316">
        <v>128</v>
      </c>
    </row>
    <row r="317" spans="1:8">
      <c r="A317">
        <v>1.5940962770879501</v>
      </c>
      <c r="B317">
        <v>4.3098461767281897</v>
      </c>
      <c r="C317">
        <v>27.268867604149001</v>
      </c>
      <c r="D317">
        <v>1.9685728653268999</v>
      </c>
      <c r="E317">
        <v>3.3957683634203599</v>
      </c>
      <c r="F317">
        <v>34.622529799642898</v>
      </c>
      <c r="G317">
        <v>1.5300113512915801</v>
      </c>
      <c r="H317">
        <v>117</v>
      </c>
    </row>
    <row r="318" spans="1:8">
      <c r="A318">
        <v>1.50347048679744</v>
      </c>
      <c r="B318">
        <v>4.24110710569225</v>
      </c>
      <c r="C318">
        <v>27.060500324736399</v>
      </c>
      <c r="D318">
        <v>2.0512529219882398</v>
      </c>
      <c r="E318">
        <v>3.2568029901114901</v>
      </c>
      <c r="F318">
        <v>34.453375937712501</v>
      </c>
      <c r="G318">
        <v>0.975392443019795</v>
      </c>
      <c r="H318">
        <v>47</v>
      </c>
    </row>
    <row r="319" spans="1:8">
      <c r="A319">
        <v>1.3474639605550001</v>
      </c>
      <c r="B319">
        <v>4.1677282989370799</v>
      </c>
      <c r="C319">
        <v>24.3345859347471</v>
      </c>
      <c r="D319">
        <v>1.85471830270095</v>
      </c>
      <c r="E319">
        <v>4.19159182635262</v>
      </c>
      <c r="F319">
        <v>33.500879057454199</v>
      </c>
      <c r="G319">
        <v>1.9383533977456699</v>
      </c>
      <c r="H319">
        <v>207</v>
      </c>
    </row>
    <row r="320" spans="1:8">
      <c r="A320">
        <v>1.27405623003256</v>
      </c>
      <c r="B320">
        <v>4.2087788925789598</v>
      </c>
      <c r="C320">
        <v>28.873529242638</v>
      </c>
      <c r="D320">
        <v>2.05948801081247</v>
      </c>
      <c r="E320">
        <v>3.5931499407343899</v>
      </c>
      <c r="F320">
        <v>32.011959017656501</v>
      </c>
      <c r="G320">
        <v>1.56544429102107</v>
      </c>
      <c r="H320">
        <v>124</v>
      </c>
    </row>
    <row r="321" spans="1:8">
      <c r="A321">
        <v>1.4889763851962901</v>
      </c>
      <c r="B321">
        <v>4.2591232238996497</v>
      </c>
      <c r="C321">
        <v>29.2958684796805</v>
      </c>
      <c r="D321">
        <v>2.0122766176034901</v>
      </c>
      <c r="E321">
        <v>3.5199095867265302</v>
      </c>
      <c r="F321">
        <v>33.056393193512498</v>
      </c>
      <c r="G321">
        <v>1.86903860292373</v>
      </c>
      <c r="H321">
        <v>194</v>
      </c>
    </row>
    <row r="322" spans="1:8">
      <c r="A322">
        <v>1.4064337667675699</v>
      </c>
      <c r="B322">
        <v>4.2053952591205004</v>
      </c>
      <c r="C322">
        <v>27.062478541277098</v>
      </c>
      <c r="D322">
        <v>1.8062238920004801</v>
      </c>
      <c r="E322">
        <v>3.8990126498342201</v>
      </c>
      <c r="F322">
        <v>32.8012478629757</v>
      </c>
      <c r="G322">
        <v>1.6344794720372799</v>
      </c>
      <c r="H322">
        <v>178</v>
      </c>
    </row>
    <row r="323" spans="1:8">
      <c r="A323">
        <v>1.49679561945948</v>
      </c>
      <c r="B323">
        <v>4.2281765536194902</v>
      </c>
      <c r="C323">
        <v>25.678361336955401</v>
      </c>
      <c r="D323">
        <v>2.1398110937001702</v>
      </c>
      <c r="E323">
        <v>3.6686576253040601</v>
      </c>
      <c r="F323">
        <v>32.119506902845899</v>
      </c>
      <c r="G323">
        <v>1.14194168824669</v>
      </c>
      <c r="H323">
        <v>50</v>
      </c>
    </row>
    <row r="324" spans="1:8">
      <c r="A324">
        <v>1.2673440191485299</v>
      </c>
      <c r="B324">
        <v>4.2038463474355403</v>
      </c>
      <c r="C324">
        <v>27.916126426650699</v>
      </c>
      <c r="D324">
        <v>2.02062198616128</v>
      </c>
      <c r="E324">
        <v>3.7393195635978702</v>
      </c>
      <c r="F324">
        <v>32.728442057853101</v>
      </c>
      <c r="G324">
        <v>1.3548118966804501</v>
      </c>
      <c r="H324">
        <v>120</v>
      </c>
    </row>
    <row r="325" spans="1:8">
      <c r="A325">
        <v>1.24995999522807</v>
      </c>
      <c r="B325">
        <v>4.2665621100870501</v>
      </c>
      <c r="C325">
        <v>27.0008538261316</v>
      </c>
      <c r="D325">
        <v>1.9207054162319599</v>
      </c>
      <c r="E325">
        <v>3.4387115068814298</v>
      </c>
      <c r="F325">
        <v>33.267533306806897</v>
      </c>
      <c r="G325">
        <v>1.06913186739684</v>
      </c>
      <c r="H325">
        <v>64</v>
      </c>
    </row>
    <row r="326" spans="1:8">
      <c r="A326">
        <v>1.19009770442982</v>
      </c>
      <c r="B326">
        <v>4.1532609596564498</v>
      </c>
      <c r="C326">
        <v>24.0813521407248</v>
      </c>
      <c r="D326">
        <v>2.15114031264747</v>
      </c>
      <c r="E326">
        <v>3.68815239978484</v>
      </c>
      <c r="F326">
        <v>34.249925117367397</v>
      </c>
      <c r="G326">
        <v>1.8696214760160601</v>
      </c>
      <c r="H326">
        <v>184</v>
      </c>
    </row>
    <row r="327" spans="1:8">
      <c r="A327">
        <v>1.44650040113669</v>
      </c>
      <c r="B327">
        <v>4.1369973273704304</v>
      </c>
      <c r="C327">
        <v>26.243308361985399</v>
      </c>
      <c r="D327">
        <v>2.0482246400588102</v>
      </c>
      <c r="E327">
        <v>3.3373080718327399</v>
      </c>
      <c r="F327">
        <v>33.152816383584998</v>
      </c>
      <c r="G327">
        <v>1.60376488811221</v>
      </c>
      <c r="H327">
        <v>131</v>
      </c>
    </row>
    <row r="328" spans="1:8">
      <c r="A328">
        <v>1.4667462885937299</v>
      </c>
      <c r="B328">
        <v>4.1875001807626999</v>
      </c>
      <c r="C328">
        <v>25.820431087208799</v>
      </c>
      <c r="D328">
        <v>1.9629076821022</v>
      </c>
      <c r="E328">
        <v>3.1761384515584701</v>
      </c>
      <c r="F328">
        <v>32.6673746331061</v>
      </c>
      <c r="G328">
        <v>1.2275293779373</v>
      </c>
      <c r="H328">
        <v>96</v>
      </c>
    </row>
    <row r="329" spans="1:8">
      <c r="A329">
        <v>1.3184842354003901</v>
      </c>
      <c r="B329">
        <v>4.1699009893307704</v>
      </c>
      <c r="C329">
        <v>26.9855602698327</v>
      </c>
      <c r="D329">
        <v>1.9200054209831501</v>
      </c>
      <c r="E329">
        <v>3.15462449689604</v>
      </c>
      <c r="F329">
        <v>33.277716220614103</v>
      </c>
      <c r="G329">
        <v>1.7322996730867399</v>
      </c>
      <c r="H329">
        <v>157</v>
      </c>
    </row>
    <row r="330" spans="1:8">
      <c r="A330">
        <v>1.4807738869118099</v>
      </c>
      <c r="B330">
        <v>4.1677797110693202</v>
      </c>
      <c r="C330">
        <v>26.366712685344101</v>
      </c>
      <c r="D330">
        <v>2.0191544674792499</v>
      </c>
      <c r="E330">
        <v>2.8854240010346701</v>
      </c>
      <c r="F330">
        <v>30.407095450400199</v>
      </c>
      <c r="G330">
        <v>1.23039796855579</v>
      </c>
      <c r="H330">
        <v>65</v>
      </c>
    </row>
    <row r="331" spans="1:8">
      <c r="A331">
        <v>1.2811341945955099</v>
      </c>
      <c r="B331">
        <v>4.1773590123284903</v>
      </c>
      <c r="C331">
        <v>30.6060241853355</v>
      </c>
      <c r="D331">
        <v>2.1262416052105602</v>
      </c>
      <c r="E331">
        <v>3.50208996510829</v>
      </c>
      <c r="F331">
        <v>34.126082713999999</v>
      </c>
      <c r="G331">
        <v>1.36057496787516</v>
      </c>
      <c r="H331">
        <v>93</v>
      </c>
    </row>
    <row r="332" spans="1:8">
      <c r="A332">
        <v>1.3140925352783599</v>
      </c>
      <c r="B332">
        <v>4.2169047820406202</v>
      </c>
      <c r="C332">
        <v>27.149406341520901</v>
      </c>
      <c r="D332">
        <v>2.03086631323835</v>
      </c>
      <c r="E332">
        <v>2.9948915567054502</v>
      </c>
      <c r="F332">
        <v>33.779330510931999</v>
      </c>
      <c r="G332">
        <v>1.88373791159633</v>
      </c>
      <c r="H332">
        <v>226</v>
      </c>
    </row>
    <row r="333" spans="1:8">
      <c r="A333">
        <v>1.2796908947513299</v>
      </c>
      <c r="B333">
        <v>4.3337854411339602</v>
      </c>
      <c r="C333">
        <v>28.056234403984199</v>
      </c>
      <c r="D333">
        <v>1.9300573891042001</v>
      </c>
      <c r="E333">
        <v>3.68457685112265</v>
      </c>
      <c r="F333">
        <v>34.344860203655301</v>
      </c>
      <c r="G333">
        <v>1.6583530511961</v>
      </c>
      <c r="H333">
        <v>142</v>
      </c>
    </row>
    <row r="334" spans="1:8">
      <c r="A334">
        <v>1.2022955422505399</v>
      </c>
      <c r="B334">
        <v>4.2214326133265203</v>
      </c>
      <c r="C334">
        <v>24.459696242065199</v>
      </c>
      <c r="D334">
        <v>2.0747590125669801</v>
      </c>
      <c r="E334">
        <v>3.3213205954660698</v>
      </c>
      <c r="F334">
        <v>35.029984013979799</v>
      </c>
      <c r="G334">
        <v>1.4312065207106099</v>
      </c>
      <c r="H334">
        <v>106</v>
      </c>
    </row>
    <row r="335" spans="1:8">
      <c r="A335">
        <v>1.50285189510203</v>
      </c>
      <c r="B335">
        <v>4.3186458032900701</v>
      </c>
      <c r="C335">
        <v>23.2136701827447</v>
      </c>
      <c r="D335">
        <v>1.9885875792060601</v>
      </c>
      <c r="E335">
        <v>3.32602813988085</v>
      </c>
      <c r="F335">
        <v>32.746864055285599</v>
      </c>
      <c r="G335">
        <v>1.3237088112445401</v>
      </c>
      <c r="H335">
        <v>75</v>
      </c>
    </row>
    <row r="336" spans="1:8">
      <c r="A336">
        <v>1.5265974214832001</v>
      </c>
      <c r="B336">
        <v>4.1389333857187998</v>
      </c>
      <c r="C336">
        <v>27.725460959979099</v>
      </c>
      <c r="D336">
        <v>1.83778377090553</v>
      </c>
      <c r="E336">
        <v>3.78412118196499</v>
      </c>
      <c r="F336">
        <v>31.902049796388699</v>
      </c>
      <c r="G336">
        <v>1.13315906338127</v>
      </c>
      <c r="H336">
        <v>46</v>
      </c>
    </row>
    <row r="337" spans="1:8">
      <c r="A337">
        <v>1.44292819928865</v>
      </c>
      <c r="B337">
        <v>4.1381948302554701</v>
      </c>
      <c r="C337">
        <v>27.794459931059802</v>
      </c>
      <c r="D337">
        <v>1.9806397474780599</v>
      </c>
      <c r="E337">
        <v>3.6961600314070302</v>
      </c>
      <c r="F337">
        <v>36.888477179916897</v>
      </c>
      <c r="G337">
        <v>1.38895580883363</v>
      </c>
      <c r="H337">
        <v>87</v>
      </c>
    </row>
    <row r="338" spans="1:8">
      <c r="A338">
        <v>1.1738565674532</v>
      </c>
      <c r="B338">
        <v>4.2821718885039202</v>
      </c>
      <c r="C338">
        <v>26.619909353670501</v>
      </c>
      <c r="D338">
        <v>1.9454556450381399</v>
      </c>
      <c r="E338">
        <v>3.3086017552932798</v>
      </c>
      <c r="F338">
        <v>29.592316084055501</v>
      </c>
      <c r="G338">
        <v>1.7038543639382</v>
      </c>
      <c r="H338">
        <v>162</v>
      </c>
    </row>
    <row r="339" spans="1:8">
      <c r="A339">
        <v>1.39263566737531</v>
      </c>
      <c r="B339">
        <v>4.1675863058133702</v>
      </c>
      <c r="C339">
        <v>26.509840669032499</v>
      </c>
      <c r="D339">
        <v>1.9352863554402899</v>
      </c>
      <c r="E339">
        <v>3.4792483944769201</v>
      </c>
      <c r="F339">
        <v>35.537674053299497</v>
      </c>
      <c r="G339">
        <v>0.96143875194251105</v>
      </c>
      <c r="H339">
        <v>3</v>
      </c>
    </row>
    <row r="340" spans="1:8">
      <c r="A340">
        <v>1.38487793998493</v>
      </c>
      <c r="B340">
        <v>4.2522278733910301</v>
      </c>
      <c r="C340">
        <v>25.1106881565638</v>
      </c>
      <c r="D340">
        <v>1.99102989747337</v>
      </c>
      <c r="E340">
        <v>3.5613281623921802</v>
      </c>
      <c r="F340">
        <v>34.574028814247598</v>
      </c>
      <c r="G340">
        <v>1.9882766783577599</v>
      </c>
      <c r="H340">
        <v>207</v>
      </c>
    </row>
    <row r="341" spans="1:8">
      <c r="A341">
        <v>1.2914691732886601</v>
      </c>
      <c r="B341">
        <v>4.2237262842294703</v>
      </c>
      <c r="C341">
        <v>25.148673124944999</v>
      </c>
      <c r="D341">
        <v>2.0016148682699302</v>
      </c>
      <c r="E341">
        <v>3.56683639311971</v>
      </c>
      <c r="F341">
        <v>32.002085602033297</v>
      </c>
      <c r="G341">
        <v>1.6822146884076099</v>
      </c>
      <c r="H341">
        <v>149</v>
      </c>
    </row>
    <row r="342" spans="1:8">
      <c r="A342">
        <v>1.32679761245085</v>
      </c>
      <c r="B342">
        <v>4.1860738038904604</v>
      </c>
      <c r="C342">
        <v>26.679397723828501</v>
      </c>
      <c r="D342">
        <v>1.89444836866248</v>
      </c>
      <c r="E342">
        <v>3.5722912844461598</v>
      </c>
      <c r="F342">
        <v>31.6336239084645</v>
      </c>
      <c r="G342">
        <v>1.91176056785584</v>
      </c>
      <c r="H342">
        <v>202</v>
      </c>
    </row>
    <row r="343" spans="1:8">
      <c r="A343">
        <v>1.4171771313580299</v>
      </c>
      <c r="B343">
        <v>4.1864596471457798</v>
      </c>
      <c r="C343">
        <v>25.6710461453672</v>
      </c>
      <c r="D343">
        <v>1.85876271555741</v>
      </c>
      <c r="E343">
        <v>3.6506512216871698</v>
      </c>
      <c r="F343">
        <v>31.901724912407499</v>
      </c>
      <c r="G343">
        <v>1.71548624323579</v>
      </c>
      <c r="H343">
        <v>193</v>
      </c>
    </row>
    <row r="344" spans="1:8">
      <c r="A344">
        <v>1.4979512986207599</v>
      </c>
      <c r="B344">
        <v>4.2104080315505596</v>
      </c>
      <c r="C344">
        <v>26.804197577606299</v>
      </c>
      <c r="D344">
        <v>2.2892325794275599</v>
      </c>
      <c r="E344">
        <v>3.44551619548273</v>
      </c>
      <c r="F344">
        <v>33.620236735865198</v>
      </c>
      <c r="G344">
        <v>1.4862128632667799</v>
      </c>
      <c r="H344">
        <v>107</v>
      </c>
    </row>
    <row r="345" spans="1:8">
      <c r="A345">
        <v>1.4220357733937601</v>
      </c>
      <c r="B345">
        <v>4.1560371232112701</v>
      </c>
      <c r="C345">
        <v>26.283268655738901</v>
      </c>
      <c r="D345">
        <v>1.8486345020271</v>
      </c>
      <c r="E345">
        <v>3.2066472791916101</v>
      </c>
      <c r="F345">
        <v>34.188973102470101</v>
      </c>
      <c r="G345">
        <v>1.8219360185393201</v>
      </c>
      <c r="H345">
        <v>174</v>
      </c>
    </row>
    <row r="346" spans="1:8">
      <c r="A346">
        <v>1.32139415343975</v>
      </c>
      <c r="B346">
        <v>4.2484662750997799</v>
      </c>
      <c r="C346">
        <v>29.3027584779317</v>
      </c>
      <c r="D346">
        <v>1.8759306106384701</v>
      </c>
      <c r="E346">
        <v>3.7472495077584398</v>
      </c>
      <c r="F346">
        <v>33.819681221287297</v>
      </c>
      <c r="G346">
        <v>1.5011731119467699</v>
      </c>
      <c r="H346">
        <v>148</v>
      </c>
    </row>
    <row r="347" spans="1:8">
      <c r="A347">
        <v>1.27829588253075</v>
      </c>
      <c r="B347">
        <v>4.2107510909865198</v>
      </c>
      <c r="C347">
        <v>28.508676770178202</v>
      </c>
      <c r="D347">
        <v>2.1117631451083101</v>
      </c>
      <c r="E347">
        <v>3.7551896269835301</v>
      </c>
      <c r="F347">
        <v>33.315625152506101</v>
      </c>
      <c r="G347">
        <v>0.88827197362985899</v>
      </c>
      <c r="H347">
        <v>29</v>
      </c>
    </row>
    <row r="348" spans="1:8">
      <c r="A348">
        <v>1.2984906298009899</v>
      </c>
      <c r="B348">
        <v>4.1403189489364598</v>
      </c>
      <c r="C348">
        <v>27.128925111233801</v>
      </c>
      <c r="D348">
        <v>1.9315921929659099</v>
      </c>
      <c r="E348">
        <v>3.9157439700277501</v>
      </c>
      <c r="F348">
        <v>31.048025511030598</v>
      </c>
      <c r="G348">
        <v>1.03639652953848</v>
      </c>
      <c r="H348">
        <v>29</v>
      </c>
    </row>
    <row r="349" spans="1:8">
      <c r="A349">
        <v>1.48820822243516</v>
      </c>
      <c r="B349">
        <v>4.2369469189169502</v>
      </c>
      <c r="C349">
        <v>25.703287521431701</v>
      </c>
      <c r="D349">
        <v>1.7947965367561001</v>
      </c>
      <c r="E349">
        <v>3.5025495764419698</v>
      </c>
      <c r="F349">
        <v>31.3798811363936</v>
      </c>
      <c r="G349">
        <v>0.99618109375695296</v>
      </c>
      <c r="H349">
        <v>7</v>
      </c>
    </row>
    <row r="350" spans="1:8">
      <c r="A350">
        <v>1.3639215215702301</v>
      </c>
      <c r="B350">
        <v>4.1984031269864204</v>
      </c>
      <c r="C350">
        <v>24.9645447107794</v>
      </c>
      <c r="D350">
        <v>1.9223910745864301</v>
      </c>
      <c r="E350">
        <v>3.9036882830383699</v>
      </c>
      <c r="F350">
        <v>32.091195704130698</v>
      </c>
      <c r="G350">
        <v>1.14928580095919</v>
      </c>
      <c r="H350">
        <v>81</v>
      </c>
    </row>
    <row r="351" spans="1:8">
      <c r="A351">
        <v>1.3515351433095999</v>
      </c>
      <c r="B351">
        <v>4.1693924971470198</v>
      </c>
      <c r="C351">
        <v>25.982806616623499</v>
      </c>
      <c r="D351">
        <v>2.0307871311361598</v>
      </c>
      <c r="E351">
        <v>3.7152416589102599</v>
      </c>
      <c r="F351">
        <v>31.556354238064198</v>
      </c>
      <c r="G351">
        <v>1.3164746355536201</v>
      </c>
      <c r="H351">
        <v>72</v>
      </c>
    </row>
    <row r="352" spans="1:8">
      <c r="A352">
        <v>1.1848421138279199</v>
      </c>
      <c r="B352">
        <v>4.1498714064303499</v>
      </c>
      <c r="C352">
        <v>28.766163695050999</v>
      </c>
      <c r="D352">
        <v>2.0637723392132701</v>
      </c>
      <c r="E352">
        <v>3.1224416237257402</v>
      </c>
      <c r="F352">
        <v>33.943731478290303</v>
      </c>
      <c r="G352">
        <v>1.52282406787441</v>
      </c>
      <c r="H352">
        <v>125</v>
      </c>
    </row>
    <row r="353" spans="1:8">
      <c r="A353">
        <v>1.59228654873224</v>
      </c>
      <c r="B353">
        <v>4.1299920215321499</v>
      </c>
      <c r="C353">
        <v>27.584795171979302</v>
      </c>
      <c r="D353">
        <v>2.0655863549462001</v>
      </c>
      <c r="E353">
        <v>3.9522603285927098</v>
      </c>
      <c r="F353">
        <v>33.431325408930199</v>
      </c>
      <c r="G353">
        <v>1.0925908994500499</v>
      </c>
      <c r="H353">
        <v>39</v>
      </c>
    </row>
    <row r="354" spans="1:8">
      <c r="A354">
        <v>1.3681113005094201</v>
      </c>
      <c r="B354">
        <v>4.2110998858848303</v>
      </c>
      <c r="C354">
        <v>26.0224637530367</v>
      </c>
      <c r="D354">
        <v>1.9891290848440899</v>
      </c>
      <c r="E354">
        <v>3.8459658367729102</v>
      </c>
      <c r="F354">
        <v>33.586860789364898</v>
      </c>
      <c r="G354">
        <v>1.5918330715212401</v>
      </c>
      <c r="H354">
        <v>128</v>
      </c>
    </row>
    <row r="355" spans="1:8">
      <c r="A355">
        <v>1.4683324924577099</v>
      </c>
      <c r="B355">
        <v>4.20052660570712</v>
      </c>
      <c r="C355">
        <v>25.6170108893654</v>
      </c>
      <c r="D355">
        <v>2.0827852836943999</v>
      </c>
      <c r="E355">
        <v>3.8384230467612301</v>
      </c>
      <c r="F355">
        <v>30.8013399503009</v>
      </c>
      <c r="G355">
        <v>1.0313296319858201</v>
      </c>
      <c r="H355">
        <v>18</v>
      </c>
    </row>
    <row r="356" spans="1:8">
      <c r="A356">
        <v>1.42324297165486</v>
      </c>
      <c r="B356">
        <v>4.1701992489253303</v>
      </c>
      <c r="C356">
        <v>27.057072267350499</v>
      </c>
      <c r="D356">
        <v>1.8293203158392799</v>
      </c>
      <c r="E356">
        <v>3.5446605779618001</v>
      </c>
      <c r="F356">
        <v>31.851396292024901</v>
      </c>
      <c r="G356">
        <v>1.1646786480006699</v>
      </c>
      <c r="H356">
        <v>83</v>
      </c>
    </row>
    <row r="357" spans="1:8">
      <c r="A357">
        <v>1.38842695484622</v>
      </c>
      <c r="B357">
        <v>4.24573639512779</v>
      </c>
      <c r="C357">
        <v>26.895736419556101</v>
      </c>
      <c r="D357">
        <v>2.0012226888713802</v>
      </c>
      <c r="E357">
        <v>3.5418027676641999</v>
      </c>
      <c r="F357">
        <v>35.872274706686397</v>
      </c>
      <c r="G357">
        <v>1.9552000459513901</v>
      </c>
      <c r="H357">
        <v>242</v>
      </c>
    </row>
    <row r="358" spans="1:8">
      <c r="A358">
        <v>1.5762080827593401</v>
      </c>
      <c r="B358">
        <v>4.2365545830912597</v>
      </c>
      <c r="C358">
        <v>25.515739912082498</v>
      </c>
      <c r="D358">
        <v>1.8360046090516899</v>
      </c>
      <c r="E358">
        <v>3.8551106108766402</v>
      </c>
      <c r="F358">
        <v>32.173114336624202</v>
      </c>
      <c r="G358">
        <v>1.9788147542860599</v>
      </c>
      <c r="H358">
        <v>245</v>
      </c>
    </row>
    <row r="359" spans="1:8">
      <c r="A359">
        <v>1.49743750938844</v>
      </c>
      <c r="B359">
        <v>4.1539639172495804</v>
      </c>
      <c r="C359">
        <v>27.1348629489841</v>
      </c>
      <c r="D359">
        <v>2.07145238797106</v>
      </c>
      <c r="E359">
        <v>4.1636727213146703</v>
      </c>
      <c r="F359">
        <v>32.498914785194501</v>
      </c>
      <c r="G359">
        <v>0.85271450875728905</v>
      </c>
      <c r="H359">
        <v>21</v>
      </c>
    </row>
    <row r="360" spans="1:8">
      <c r="A360">
        <v>1.50914753716123</v>
      </c>
      <c r="B360">
        <v>4.1466963960629402</v>
      </c>
      <c r="C360">
        <v>26.483647397908701</v>
      </c>
      <c r="D360">
        <v>2.04643307866478</v>
      </c>
      <c r="E360">
        <v>2.9739163378996301</v>
      </c>
      <c r="F360">
        <v>35.172358635933001</v>
      </c>
      <c r="G360">
        <v>1.97629892956694</v>
      </c>
      <c r="H360">
        <v>214</v>
      </c>
    </row>
    <row r="361" spans="1:8">
      <c r="A361">
        <v>1.28288286167704</v>
      </c>
      <c r="B361">
        <v>4.2411632043770098</v>
      </c>
      <c r="C361">
        <v>26.275704973384901</v>
      </c>
      <c r="D361">
        <v>2.0692087797276799</v>
      </c>
      <c r="E361">
        <v>3.9426003387917401</v>
      </c>
      <c r="F361">
        <v>31.922036035565199</v>
      </c>
      <c r="G361">
        <v>1.7647375246852399</v>
      </c>
      <c r="H361">
        <v>174</v>
      </c>
    </row>
    <row r="362" spans="1:8">
      <c r="A362">
        <v>1.47701116044032</v>
      </c>
      <c r="B362">
        <v>4.2079213512650302</v>
      </c>
      <c r="C362">
        <v>25.6117032494402</v>
      </c>
      <c r="D362">
        <v>2.0669765553881301</v>
      </c>
      <c r="E362">
        <v>3.22031059645392</v>
      </c>
      <c r="F362">
        <v>33.193572928409203</v>
      </c>
      <c r="G362">
        <v>1.5278736989203701</v>
      </c>
      <c r="H362">
        <v>157</v>
      </c>
    </row>
    <row r="363" spans="1:8">
      <c r="A363">
        <v>1.2089732436993801</v>
      </c>
      <c r="B363">
        <v>4.23066359418576</v>
      </c>
      <c r="C363">
        <v>27.901008804114099</v>
      </c>
      <c r="D363">
        <v>2.0512335281609801</v>
      </c>
      <c r="E363">
        <v>3.9729559205623501</v>
      </c>
      <c r="F363">
        <v>33.806435166301299</v>
      </c>
      <c r="G363">
        <v>1.5805008679519701</v>
      </c>
      <c r="H363">
        <v>166</v>
      </c>
    </row>
    <row r="364" spans="1:8">
      <c r="A364">
        <v>1.43830880180623</v>
      </c>
      <c r="B364">
        <v>4.17992953886211</v>
      </c>
      <c r="C364">
        <v>28.1368966787646</v>
      </c>
      <c r="D364">
        <v>1.9596666758902099</v>
      </c>
      <c r="E364">
        <v>3.2986733488013198</v>
      </c>
      <c r="F364">
        <v>36.576137361401003</v>
      </c>
      <c r="G364">
        <v>1.6110655044323201</v>
      </c>
      <c r="H364">
        <v>173</v>
      </c>
    </row>
    <row r="365" spans="1:8">
      <c r="A365">
        <v>1.35816658374906</v>
      </c>
      <c r="B365">
        <v>4.2120712745928701</v>
      </c>
      <c r="C365">
        <v>27.0589624862343</v>
      </c>
      <c r="D365">
        <v>1.9509866774036599</v>
      </c>
      <c r="E365">
        <v>3.8072056213002798</v>
      </c>
      <c r="F365">
        <v>31.7955644192077</v>
      </c>
      <c r="G365">
        <v>1.9165565675916001</v>
      </c>
      <c r="H365">
        <v>203</v>
      </c>
    </row>
    <row r="366" spans="1:8">
      <c r="A366">
        <v>1.3834020760002299</v>
      </c>
      <c r="B366">
        <v>4.2721916392982697</v>
      </c>
      <c r="C366">
        <v>24.8934043531989</v>
      </c>
      <c r="D366">
        <v>2.0281380608974602</v>
      </c>
      <c r="E366">
        <v>3.77893725960713</v>
      </c>
      <c r="F366">
        <v>31.316880612027301</v>
      </c>
      <c r="G366">
        <v>1.7599957137434099</v>
      </c>
      <c r="H366">
        <v>171</v>
      </c>
    </row>
    <row r="367" spans="1:8">
      <c r="A367">
        <v>1.6094780400072399</v>
      </c>
      <c r="B367">
        <v>4.2586264752025098</v>
      </c>
      <c r="C367">
        <v>26.931967272992999</v>
      </c>
      <c r="D367">
        <v>1.9251700212354299</v>
      </c>
      <c r="E367">
        <v>3.5676116491963001</v>
      </c>
      <c r="F367">
        <v>32.844669464350801</v>
      </c>
      <c r="G367">
        <v>0.86592052637116501</v>
      </c>
      <c r="H367">
        <v>23</v>
      </c>
    </row>
    <row r="368" spans="1:8">
      <c r="A368">
        <v>1.4221904151800999</v>
      </c>
      <c r="B368">
        <v>4.22630081161316</v>
      </c>
      <c r="C368">
        <v>29.6844795037869</v>
      </c>
      <c r="D368">
        <v>1.9677774818493801</v>
      </c>
      <c r="E368">
        <v>3.8677229946941698</v>
      </c>
      <c r="F368">
        <v>32.2122951499151</v>
      </c>
      <c r="G368">
        <v>1.0369047463279299</v>
      </c>
      <c r="H368">
        <v>58</v>
      </c>
    </row>
    <row r="369" spans="1:8">
      <c r="A369">
        <v>1.3376796067819601</v>
      </c>
      <c r="B369">
        <v>4.2366965409483299</v>
      </c>
      <c r="C369">
        <v>27.0697567360478</v>
      </c>
      <c r="D369">
        <v>2.0735773736298002</v>
      </c>
      <c r="E369">
        <v>3.13452853768925</v>
      </c>
      <c r="F369">
        <v>32.082988090686797</v>
      </c>
      <c r="G369">
        <v>1.9692362357516799</v>
      </c>
      <c r="H369">
        <v>216</v>
      </c>
    </row>
    <row r="370" spans="1:8">
      <c r="A370">
        <v>1.3143485274182201</v>
      </c>
      <c r="B370">
        <v>4.2149324785334699</v>
      </c>
      <c r="C370">
        <v>29.195678225567502</v>
      </c>
      <c r="D370">
        <v>2.0069442450572499</v>
      </c>
      <c r="E370">
        <v>2.7821142895843001</v>
      </c>
      <c r="F370">
        <v>33.650028483490303</v>
      </c>
      <c r="G370">
        <v>1.9824292744799901</v>
      </c>
      <c r="H370">
        <v>247</v>
      </c>
    </row>
    <row r="371" spans="1:8">
      <c r="A371">
        <v>1.51566763386271</v>
      </c>
      <c r="B371">
        <v>4.1990351485997399</v>
      </c>
      <c r="C371">
        <v>25.448293311284701</v>
      </c>
      <c r="D371">
        <v>2.0159867212493299</v>
      </c>
      <c r="E371">
        <v>3.08393250939874</v>
      </c>
      <c r="F371">
        <v>31.433289903662899</v>
      </c>
      <c r="G371">
        <v>1.1143013651733</v>
      </c>
      <c r="H371">
        <v>33</v>
      </c>
    </row>
    <row r="372" spans="1:8">
      <c r="A372">
        <v>1.5224453170322101</v>
      </c>
      <c r="B372">
        <v>4.1801097969128396</v>
      </c>
      <c r="C372">
        <v>25.162146773228301</v>
      </c>
      <c r="D372">
        <v>1.8012103379134199</v>
      </c>
      <c r="E372">
        <v>3.7514777656868099</v>
      </c>
      <c r="F372">
        <v>35.721000368278702</v>
      </c>
      <c r="G372">
        <v>1.51832589343737</v>
      </c>
      <c r="H372">
        <v>113</v>
      </c>
    </row>
    <row r="373" spans="1:8">
      <c r="A373">
        <v>1.3678960631767401</v>
      </c>
      <c r="B373">
        <v>4.2073453729227301</v>
      </c>
      <c r="C373">
        <v>27.307496118034301</v>
      </c>
      <c r="D373">
        <v>2.15441920661315</v>
      </c>
      <c r="E373">
        <v>3.3103925102127598</v>
      </c>
      <c r="F373">
        <v>30.909815535742599</v>
      </c>
      <c r="G373">
        <v>1.01059773830553</v>
      </c>
      <c r="H373">
        <v>54</v>
      </c>
    </row>
    <row r="374" spans="1:8">
      <c r="A374">
        <v>1.3654055833952401</v>
      </c>
      <c r="B374">
        <v>4.1997788946846102</v>
      </c>
      <c r="C374">
        <v>27.3537201824976</v>
      </c>
      <c r="D374">
        <v>2.01625661040856</v>
      </c>
      <c r="E374">
        <v>3.2228353873194799</v>
      </c>
      <c r="F374">
        <v>32.693429392133702</v>
      </c>
      <c r="G374">
        <v>1.69206654593243</v>
      </c>
      <c r="H374">
        <v>146</v>
      </c>
    </row>
    <row r="375" spans="1:8">
      <c r="A375">
        <v>1.4390786881220201</v>
      </c>
      <c r="B375">
        <v>4.1862975158214804</v>
      </c>
      <c r="C375">
        <v>27.432637768343199</v>
      </c>
      <c r="D375">
        <v>2.0690305948965402</v>
      </c>
      <c r="E375">
        <v>3.7442322977468798</v>
      </c>
      <c r="F375">
        <v>35.744322155688103</v>
      </c>
      <c r="G375">
        <v>1.7282952308289701</v>
      </c>
      <c r="H375">
        <v>196</v>
      </c>
    </row>
    <row r="376" spans="1:8">
      <c r="A376">
        <v>1.53528367838153</v>
      </c>
      <c r="B376">
        <v>4.2234958113263499</v>
      </c>
      <c r="C376">
        <v>28.4261802587076</v>
      </c>
      <c r="D376">
        <v>1.94593561971411</v>
      </c>
      <c r="E376">
        <v>3.2634790737498598</v>
      </c>
      <c r="F376">
        <v>31.757504341590799</v>
      </c>
      <c r="G376">
        <v>1.6716649766187099</v>
      </c>
      <c r="H376">
        <v>144</v>
      </c>
    </row>
    <row r="377" spans="1:8">
      <c r="A377">
        <v>1.5695332661270101</v>
      </c>
      <c r="B377">
        <v>4.2282133875569299</v>
      </c>
      <c r="C377">
        <v>27.298303918722201</v>
      </c>
      <c r="D377">
        <v>1.8531923263905401</v>
      </c>
      <c r="E377">
        <v>3.6466242638219701</v>
      </c>
      <c r="F377">
        <v>33.078638287161702</v>
      </c>
      <c r="G377">
        <v>1.10885777899205</v>
      </c>
      <c r="H377">
        <v>31</v>
      </c>
    </row>
    <row r="378" spans="1:8">
      <c r="A378">
        <v>1.2601770115897599</v>
      </c>
      <c r="B378">
        <v>4.2105033122222597</v>
      </c>
      <c r="C378">
        <v>26.901204211484998</v>
      </c>
      <c r="D378">
        <v>1.83584128383171</v>
      </c>
      <c r="E378">
        <v>3.1052937220474299</v>
      </c>
      <c r="F378">
        <v>30.568286068360901</v>
      </c>
      <c r="G378">
        <v>1.9683462114271799</v>
      </c>
      <c r="H378">
        <v>204</v>
      </c>
    </row>
    <row r="379" spans="1:8">
      <c r="A379">
        <v>1.49045732535825</v>
      </c>
      <c r="B379">
        <v>4.2043468173259102</v>
      </c>
      <c r="C379">
        <v>25.915638014465799</v>
      </c>
      <c r="D379">
        <v>1.92322081164671</v>
      </c>
      <c r="E379">
        <v>3.4580562752347701</v>
      </c>
      <c r="F379">
        <v>32.311392207444499</v>
      </c>
      <c r="G379">
        <v>1.8712057465115499</v>
      </c>
      <c r="H379">
        <v>193</v>
      </c>
    </row>
    <row r="380" spans="1:8">
      <c r="A380">
        <v>1.3844874983148401</v>
      </c>
      <c r="B380">
        <v>4.1992140377695701</v>
      </c>
      <c r="C380">
        <v>24.389860418312299</v>
      </c>
      <c r="D380">
        <v>2.2704627772516801</v>
      </c>
      <c r="E380">
        <v>3.27083141549392</v>
      </c>
      <c r="F380">
        <v>30.230832750286201</v>
      </c>
      <c r="G380">
        <v>1.47013891482017</v>
      </c>
      <c r="H380">
        <v>144</v>
      </c>
    </row>
    <row r="381" spans="1:8">
      <c r="A381">
        <v>1.3529182736043699</v>
      </c>
      <c r="B381">
        <v>4.2419807656208004</v>
      </c>
      <c r="C381">
        <v>25.5562748699416</v>
      </c>
      <c r="D381">
        <v>2.1137284121764699</v>
      </c>
      <c r="E381">
        <v>3.89148379542705</v>
      </c>
      <c r="F381">
        <v>32.032763864736197</v>
      </c>
      <c r="G381">
        <v>1.7775220917753001</v>
      </c>
      <c r="H381">
        <v>166</v>
      </c>
    </row>
    <row r="382" spans="1:8">
      <c r="A382">
        <v>1.45593549589576</v>
      </c>
      <c r="B382">
        <v>4.2104922729193204</v>
      </c>
      <c r="C382">
        <v>26.174234234432301</v>
      </c>
      <c r="D382">
        <v>1.8943614064894601</v>
      </c>
      <c r="E382">
        <v>4.0084718191898103</v>
      </c>
      <c r="F382">
        <v>34.143762514277199</v>
      </c>
      <c r="G382">
        <v>1.7398243143946499</v>
      </c>
      <c r="H382">
        <v>169</v>
      </c>
    </row>
    <row r="383" spans="1:8">
      <c r="A383">
        <v>1.3248638447364101</v>
      </c>
      <c r="B383">
        <v>4.2171495530422298</v>
      </c>
      <c r="C383">
        <v>26.4565989844859</v>
      </c>
      <c r="D383">
        <v>2.20530989169781</v>
      </c>
      <c r="E383">
        <v>3.7043372361693701</v>
      </c>
      <c r="F383">
        <v>33.313928843685098</v>
      </c>
      <c r="G383">
        <v>1.2738510717595599</v>
      </c>
      <c r="H383">
        <v>65</v>
      </c>
    </row>
    <row r="384" spans="1:8">
      <c r="A384">
        <v>1.2752866577994</v>
      </c>
      <c r="B384">
        <v>4.2134912398015603</v>
      </c>
      <c r="C384">
        <v>23.093347827764799</v>
      </c>
      <c r="D384">
        <v>1.9625258650759501</v>
      </c>
      <c r="E384">
        <v>3.32710210990692</v>
      </c>
      <c r="F384">
        <v>32.571327796263901</v>
      </c>
      <c r="G384">
        <v>1.94993089499534</v>
      </c>
      <c r="H384">
        <v>200</v>
      </c>
    </row>
    <row r="385" spans="1:8">
      <c r="A385">
        <v>1.4610834416099701</v>
      </c>
      <c r="B385">
        <v>4.3016880184526602</v>
      </c>
      <c r="C385">
        <v>25.291983834374701</v>
      </c>
      <c r="D385">
        <v>1.86931396564465</v>
      </c>
      <c r="E385">
        <v>3.5943382657145402</v>
      </c>
      <c r="F385">
        <v>32.412971184953101</v>
      </c>
      <c r="G385">
        <v>1.81049855647976</v>
      </c>
      <c r="H385">
        <v>182</v>
      </c>
    </row>
    <row r="386" spans="1:8">
      <c r="A386">
        <v>1.41688935148893</v>
      </c>
      <c r="B386">
        <v>4.0993054798477999</v>
      </c>
      <c r="C386">
        <v>28.008820679462801</v>
      </c>
      <c r="D386">
        <v>2.1981784758875298</v>
      </c>
      <c r="E386">
        <v>3.3382152553609798</v>
      </c>
      <c r="F386">
        <v>33.112068527137403</v>
      </c>
      <c r="G386">
        <v>1.20662090741726</v>
      </c>
      <c r="H386">
        <v>62</v>
      </c>
    </row>
    <row r="387" spans="1:8">
      <c r="A387">
        <v>1.3984993556484699</v>
      </c>
      <c r="B387">
        <v>4.2365684383495399</v>
      </c>
      <c r="C387">
        <v>25.455219471058101</v>
      </c>
      <c r="D387">
        <v>2.00181251130202</v>
      </c>
      <c r="E387">
        <v>3.5704176529273601</v>
      </c>
      <c r="F387">
        <v>36.8317822541147</v>
      </c>
      <c r="G387">
        <v>1.9114996647039999</v>
      </c>
      <c r="H387">
        <v>192</v>
      </c>
    </row>
    <row r="388" spans="1:8">
      <c r="A388">
        <v>1.19155894316945</v>
      </c>
      <c r="B388">
        <v>4.2666158114634696</v>
      </c>
      <c r="C388">
        <v>26.410966861867799</v>
      </c>
      <c r="D388">
        <v>2.2466073516415599</v>
      </c>
      <c r="E388">
        <v>3.1519173915040799</v>
      </c>
      <c r="F388">
        <v>33.400635478350097</v>
      </c>
      <c r="G388">
        <v>0.89649640445294898</v>
      </c>
      <c r="H388">
        <v>28</v>
      </c>
    </row>
    <row r="389" spans="1:8">
      <c r="A389">
        <v>1.3592624375195499</v>
      </c>
      <c r="B389">
        <v>4.1647355731687297</v>
      </c>
      <c r="C389">
        <v>26.928569750693399</v>
      </c>
      <c r="D389">
        <v>2.1503036999192799</v>
      </c>
      <c r="E389">
        <v>3.0805378629157101</v>
      </c>
      <c r="F389">
        <v>31.3836355820536</v>
      </c>
      <c r="G389">
        <v>1.2306360193966499</v>
      </c>
      <c r="H389">
        <v>55</v>
      </c>
    </row>
    <row r="390" spans="1:8">
      <c r="A390">
        <v>1.0993589331034801</v>
      </c>
      <c r="B390">
        <v>4.1910117577061898</v>
      </c>
      <c r="C390">
        <v>24.986495861425201</v>
      </c>
      <c r="D390">
        <v>2.0123380491809799</v>
      </c>
      <c r="E390">
        <v>3.2315942951757699</v>
      </c>
      <c r="F390">
        <v>33.518212305891197</v>
      </c>
      <c r="G390">
        <v>1.24827283881215</v>
      </c>
      <c r="H390">
        <v>59</v>
      </c>
    </row>
    <row r="391" spans="1:8">
      <c r="A391">
        <v>1.50611820122203</v>
      </c>
      <c r="B391">
        <v>4.2151839680705203</v>
      </c>
      <c r="C391">
        <v>24.6883940176461</v>
      </c>
      <c r="D391">
        <v>2.1123306646842002</v>
      </c>
      <c r="E391">
        <v>3.3261176215269499</v>
      </c>
      <c r="F391">
        <v>31.413897617323901</v>
      </c>
      <c r="G391">
        <v>1.1262063460801499</v>
      </c>
      <c r="H391">
        <v>44</v>
      </c>
    </row>
    <row r="392" spans="1:8">
      <c r="A392">
        <v>1.16463434685996</v>
      </c>
      <c r="B392">
        <v>4.1457612221099804</v>
      </c>
      <c r="C392">
        <v>25.248044101993099</v>
      </c>
      <c r="D392">
        <v>2.0174701945292401</v>
      </c>
      <c r="E392">
        <v>3.4105130233108198</v>
      </c>
      <c r="F392">
        <v>34.498907796516498</v>
      </c>
      <c r="G392">
        <v>1.2715733023959801</v>
      </c>
      <c r="H392">
        <v>105</v>
      </c>
    </row>
    <row r="393" spans="1:8">
      <c r="A393">
        <v>1.3654680009022899</v>
      </c>
      <c r="B393">
        <v>4.2256231459255602</v>
      </c>
      <c r="C393">
        <v>25.597006329271601</v>
      </c>
      <c r="D393">
        <v>1.9582878860663</v>
      </c>
      <c r="E393">
        <v>3.49606943486573</v>
      </c>
      <c r="F393">
        <v>33.723531937603497</v>
      </c>
      <c r="G393">
        <v>1.3012684067734901</v>
      </c>
      <c r="H393">
        <v>111</v>
      </c>
    </row>
    <row r="394" spans="1:8">
      <c r="A394">
        <v>1.4328850664022299</v>
      </c>
      <c r="B394">
        <v>4.2729857496614398</v>
      </c>
      <c r="C394">
        <v>26.091265816141199</v>
      </c>
      <c r="D394">
        <v>2.1567936138940098</v>
      </c>
      <c r="E394">
        <v>3.4916558648204998</v>
      </c>
      <c r="F394">
        <v>34.971255280688098</v>
      </c>
      <c r="G394">
        <v>1.02789237985214</v>
      </c>
      <c r="H394">
        <v>25</v>
      </c>
    </row>
    <row r="395" spans="1:8">
      <c r="A395">
        <v>1.4099284116780799</v>
      </c>
      <c r="B395">
        <v>4.1341347198716401</v>
      </c>
      <c r="C395">
        <v>25.1930081271463</v>
      </c>
      <c r="D395">
        <v>2.00547110144384</v>
      </c>
      <c r="E395">
        <v>3.06797027972104</v>
      </c>
      <c r="F395">
        <v>37.369144747704802</v>
      </c>
      <c r="G395">
        <v>1.2688119170502801</v>
      </c>
      <c r="H395">
        <v>103</v>
      </c>
    </row>
    <row r="396" spans="1:8">
      <c r="A396">
        <v>1.4539598723081799</v>
      </c>
      <c r="B396">
        <v>4.2195666043256601</v>
      </c>
      <c r="C396">
        <v>25.547690465377599</v>
      </c>
      <c r="D396">
        <v>2.2656435524199101</v>
      </c>
      <c r="E396">
        <v>3.5387893170817302</v>
      </c>
      <c r="F396">
        <v>32.762051778925503</v>
      </c>
      <c r="G396">
        <v>1.2283850615852301</v>
      </c>
      <c r="H396">
        <v>95</v>
      </c>
    </row>
    <row r="397" spans="1:8">
      <c r="A397">
        <v>1.4141247954199101</v>
      </c>
      <c r="B397">
        <v>4.12786972058825</v>
      </c>
      <c r="C397">
        <v>27.173780295351101</v>
      </c>
      <c r="D397">
        <v>2.0185174827624799</v>
      </c>
      <c r="E397">
        <v>3.04157326042785</v>
      </c>
      <c r="F397">
        <v>33.4120010325327</v>
      </c>
      <c r="G397">
        <v>1.0476976417039601</v>
      </c>
      <c r="H397">
        <v>20</v>
      </c>
    </row>
    <row r="398" spans="1:8">
      <c r="A398">
        <v>1.2733136393589599</v>
      </c>
      <c r="B398">
        <v>4.1524346277392103</v>
      </c>
      <c r="C398">
        <v>24.0974399033284</v>
      </c>
      <c r="D398">
        <v>2.1025018359658501</v>
      </c>
      <c r="E398">
        <v>3.2135790249773399</v>
      </c>
      <c r="F398">
        <v>32.150560679869798</v>
      </c>
      <c r="G398">
        <v>1.9887180935584801</v>
      </c>
      <c r="H398">
        <v>248</v>
      </c>
    </row>
    <row r="399" spans="1:8">
      <c r="A399">
        <v>1.56350068144704</v>
      </c>
      <c r="B399">
        <v>4.1289240846203503</v>
      </c>
      <c r="C399">
        <v>29.9684016985086</v>
      </c>
      <c r="D399">
        <v>2.1342430659743199</v>
      </c>
      <c r="E399">
        <v>3.16724846857303</v>
      </c>
      <c r="F399">
        <v>33.937700445529302</v>
      </c>
      <c r="G399">
        <v>0.87276237957602898</v>
      </c>
      <c r="H399">
        <v>24</v>
      </c>
    </row>
    <row r="400" spans="1:8">
      <c r="A400">
        <v>1.47564751075226</v>
      </c>
      <c r="B400">
        <v>4.1787798438640102</v>
      </c>
      <c r="C400">
        <v>26.929509139019601</v>
      </c>
      <c r="D400">
        <v>2.0317877488553799</v>
      </c>
      <c r="E400">
        <v>3.8146528015920902</v>
      </c>
      <c r="F400">
        <v>32.198632684482597</v>
      </c>
      <c r="G400">
        <v>0.99398500868510498</v>
      </c>
      <c r="H400">
        <v>51</v>
      </c>
    </row>
    <row r="401" spans="1:8">
      <c r="A401">
        <v>1.46473237918777</v>
      </c>
      <c r="B401">
        <v>4.2183766200276098</v>
      </c>
      <c r="C401">
        <v>26.830962014564602</v>
      </c>
      <c r="D401">
        <v>2.0497913679648998</v>
      </c>
      <c r="E401">
        <v>3.7365269211851202</v>
      </c>
      <c r="F401">
        <v>33.947676677817299</v>
      </c>
      <c r="G401">
        <v>1.23234029965715</v>
      </c>
      <c r="H401">
        <v>97</v>
      </c>
    </row>
    <row r="402" spans="1:8">
      <c r="A402">
        <v>1.19463610465785</v>
      </c>
      <c r="B402">
        <v>4.2377183487488201</v>
      </c>
      <c r="C402">
        <v>29.242262757816</v>
      </c>
      <c r="D402">
        <v>2.03431272373123</v>
      </c>
      <c r="E402">
        <v>3.8086010099629601</v>
      </c>
      <c r="F402">
        <v>34.763193816502302</v>
      </c>
      <c r="G402">
        <v>1.6643182665578899</v>
      </c>
      <c r="H402">
        <v>152</v>
      </c>
    </row>
    <row r="403" spans="1:8">
      <c r="A403">
        <v>1.3939165325585701</v>
      </c>
      <c r="B403">
        <v>4.1720976606528701</v>
      </c>
      <c r="C403">
        <v>25.7301417506742</v>
      </c>
      <c r="D403">
        <v>1.80507897890937</v>
      </c>
      <c r="E403">
        <v>3.4561781429815999</v>
      </c>
      <c r="F403">
        <v>34.886984475490003</v>
      </c>
      <c r="G403">
        <v>0.96967417698890801</v>
      </c>
      <c r="H403">
        <v>5</v>
      </c>
    </row>
    <row r="404" spans="1:8">
      <c r="A404">
        <v>1.39721755594632</v>
      </c>
      <c r="B404">
        <v>4.1830036094784298</v>
      </c>
      <c r="C404">
        <v>28.396566832769398</v>
      </c>
      <c r="D404">
        <v>1.9973056153733599</v>
      </c>
      <c r="E404">
        <v>3.7858181724742299</v>
      </c>
      <c r="F404">
        <v>31.643628373785099</v>
      </c>
      <c r="G404">
        <v>1.1598368128632199</v>
      </c>
      <c r="H404">
        <v>51</v>
      </c>
    </row>
    <row r="405" spans="1:8">
      <c r="A405">
        <v>1.32653915695691</v>
      </c>
      <c r="B405">
        <v>4.2140892959518901</v>
      </c>
      <c r="C405">
        <v>27.522684299064601</v>
      </c>
      <c r="D405">
        <v>2.1095780017850698</v>
      </c>
      <c r="E405">
        <v>3.4738230203338998</v>
      </c>
      <c r="F405">
        <v>31.851802015597901</v>
      </c>
      <c r="G405">
        <v>1.9909057096267899</v>
      </c>
      <c r="H405">
        <v>249</v>
      </c>
    </row>
    <row r="406" spans="1:8">
      <c r="A406">
        <v>1.4511311421456099</v>
      </c>
      <c r="B406">
        <v>4.1532625786628801</v>
      </c>
      <c r="C406">
        <v>27.014353189936902</v>
      </c>
      <c r="D406">
        <v>1.95692564576765</v>
      </c>
      <c r="E406">
        <v>3.6117215947519101</v>
      </c>
      <c r="F406">
        <v>35.5036946458779</v>
      </c>
      <c r="G406">
        <v>1.18594935026807</v>
      </c>
      <c r="H406">
        <v>57</v>
      </c>
    </row>
    <row r="407" spans="1:8">
      <c r="A407">
        <v>1.4558411824183599</v>
      </c>
      <c r="B407">
        <v>4.2284973830106303</v>
      </c>
      <c r="C407">
        <v>26.313767960374499</v>
      </c>
      <c r="D407">
        <v>2.1066286657122002</v>
      </c>
      <c r="E407">
        <v>4.0185758073284399</v>
      </c>
      <c r="F407">
        <v>32.977852678712601</v>
      </c>
      <c r="G407">
        <v>1.55231648454993</v>
      </c>
      <c r="H407">
        <v>120</v>
      </c>
    </row>
    <row r="408" spans="1:8">
      <c r="A408">
        <v>1.5117390125036501</v>
      </c>
      <c r="B408">
        <v>4.1426566557379996</v>
      </c>
      <c r="C408">
        <v>26.217298580703101</v>
      </c>
      <c r="D408">
        <v>1.89111118882088</v>
      </c>
      <c r="E408">
        <v>3.12351992433695</v>
      </c>
      <c r="F408">
        <v>30.9762624560536</v>
      </c>
      <c r="G408">
        <v>1.0326681133434299</v>
      </c>
      <c r="H408">
        <v>26</v>
      </c>
    </row>
    <row r="409" spans="1:8">
      <c r="A409">
        <v>1.4704971450739199</v>
      </c>
      <c r="B409">
        <v>4.1605282480113503</v>
      </c>
      <c r="C409">
        <v>28.3975846309216</v>
      </c>
      <c r="D409">
        <v>1.88755352422098</v>
      </c>
      <c r="E409">
        <v>3.9437355474879201</v>
      </c>
      <c r="F409">
        <v>37.4455375835757</v>
      </c>
      <c r="G409">
        <v>0.887045711926017</v>
      </c>
      <c r="H409">
        <v>26</v>
      </c>
    </row>
    <row r="410" spans="1:8">
      <c r="A410">
        <v>1.3725282261268801</v>
      </c>
      <c r="B410">
        <v>4.19368808033179</v>
      </c>
      <c r="C410">
        <v>28.767363292592702</v>
      </c>
      <c r="D410">
        <v>2.0379281541097898</v>
      </c>
      <c r="E410">
        <v>3.36077329857781</v>
      </c>
      <c r="F410">
        <v>34.778409409563601</v>
      </c>
      <c r="G410">
        <v>1.27256359302933</v>
      </c>
      <c r="H410">
        <v>64</v>
      </c>
    </row>
    <row r="411" spans="1:8">
      <c r="A411">
        <v>1.5958765006245701</v>
      </c>
      <c r="B411">
        <v>4.1773366268163699</v>
      </c>
      <c r="C411">
        <v>27.508766193072699</v>
      </c>
      <c r="D411">
        <v>1.98722554363466</v>
      </c>
      <c r="E411">
        <v>3.6280959095508698</v>
      </c>
      <c r="F411">
        <v>32.1710754816364</v>
      </c>
      <c r="G411">
        <v>1.1800302264959399</v>
      </c>
      <c r="H411">
        <v>46</v>
      </c>
    </row>
    <row r="412" spans="1:8">
      <c r="A412">
        <v>1.38190363075731</v>
      </c>
      <c r="B412">
        <v>4.1683969040850197</v>
      </c>
      <c r="C412">
        <v>26.145558780387798</v>
      </c>
      <c r="D412">
        <v>1.9385419349597901</v>
      </c>
      <c r="E412">
        <v>3.43991814796009</v>
      </c>
      <c r="F412">
        <v>33.3667869908857</v>
      </c>
      <c r="G412">
        <v>1.0816208657112101</v>
      </c>
      <c r="H412">
        <v>68</v>
      </c>
    </row>
    <row r="413" spans="1:8">
      <c r="A413">
        <v>1.4380980422237599</v>
      </c>
      <c r="B413">
        <v>4.1483734022825196</v>
      </c>
      <c r="C413">
        <v>24.527469342456801</v>
      </c>
      <c r="D413">
        <v>1.89486707849795</v>
      </c>
      <c r="E413">
        <v>3.4032474591069901</v>
      </c>
      <c r="F413">
        <v>31.511715570408899</v>
      </c>
      <c r="G413">
        <v>1.7636130764987299</v>
      </c>
      <c r="H413">
        <v>202</v>
      </c>
    </row>
    <row r="414" spans="1:8">
      <c r="A414">
        <v>1.4881536661155199</v>
      </c>
      <c r="B414">
        <v>4.1767980084577401</v>
      </c>
      <c r="C414">
        <v>25.300588118362501</v>
      </c>
      <c r="D414">
        <v>2.0399096793323999</v>
      </c>
      <c r="E414">
        <v>3.3764975264269999</v>
      </c>
      <c r="F414">
        <v>34.310001828162903</v>
      </c>
      <c r="G414">
        <v>1.2329464917206701</v>
      </c>
      <c r="H414">
        <v>67</v>
      </c>
    </row>
    <row r="415" spans="1:8">
      <c r="A415">
        <v>1.36094905811179</v>
      </c>
      <c r="B415">
        <v>4.1845930689192796</v>
      </c>
      <c r="C415">
        <v>25.965742093816498</v>
      </c>
      <c r="D415">
        <v>1.99607440961307</v>
      </c>
      <c r="E415">
        <v>3.63043893954594</v>
      </c>
      <c r="F415">
        <v>30.6686323608468</v>
      </c>
      <c r="G415">
        <v>1.02725529716583</v>
      </c>
      <c r="H415">
        <v>55</v>
      </c>
    </row>
    <row r="416" spans="1:8">
      <c r="A416">
        <v>1.5400297698608301</v>
      </c>
      <c r="B416">
        <v>4.22095912658546</v>
      </c>
      <c r="C416">
        <v>29.4545950783391</v>
      </c>
      <c r="D416">
        <v>1.9476933751196099</v>
      </c>
      <c r="E416">
        <v>3.0162580777893901</v>
      </c>
      <c r="F416">
        <v>31.549077695165199</v>
      </c>
      <c r="G416">
        <v>1.91218107348661</v>
      </c>
      <c r="H416">
        <v>234</v>
      </c>
    </row>
    <row r="417" spans="1:8">
      <c r="A417">
        <v>1.4959929463561901</v>
      </c>
      <c r="B417">
        <v>4.1566009160239599</v>
      </c>
      <c r="C417">
        <v>27.4646851469433</v>
      </c>
      <c r="D417">
        <v>1.9958569533594599</v>
      </c>
      <c r="E417">
        <v>3.5782854210653201</v>
      </c>
      <c r="F417">
        <v>32.599851619867202</v>
      </c>
      <c r="G417">
        <v>1.967038085692</v>
      </c>
      <c r="H417">
        <v>203</v>
      </c>
    </row>
    <row r="418" spans="1:8">
      <c r="A418">
        <v>1.40227095391134</v>
      </c>
      <c r="B418">
        <v>4.2686470211252399</v>
      </c>
      <c r="C418">
        <v>23.981338007311201</v>
      </c>
      <c r="D418">
        <v>2.1910089937552502</v>
      </c>
      <c r="E418">
        <v>3.4431135348773401</v>
      </c>
      <c r="F418">
        <v>31.779152423937099</v>
      </c>
      <c r="G418">
        <v>1.9480005998354499</v>
      </c>
      <c r="H418">
        <v>240</v>
      </c>
    </row>
    <row r="419" spans="1:8">
      <c r="A419">
        <v>1.38576328552248</v>
      </c>
      <c r="B419">
        <v>4.2148745004294099</v>
      </c>
      <c r="C419">
        <v>24.086870924326099</v>
      </c>
      <c r="D419">
        <v>2.0057938201289098</v>
      </c>
      <c r="E419">
        <v>3.44979868766915</v>
      </c>
      <c r="F419">
        <v>34.010775136774299</v>
      </c>
      <c r="G419">
        <v>1.4285765378917199</v>
      </c>
      <c r="H419">
        <v>134</v>
      </c>
    </row>
    <row r="420" spans="1:8">
      <c r="A420">
        <v>1.4065941977190499</v>
      </c>
      <c r="B420">
        <v>4.1779718432553601</v>
      </c>
      <c r="C420">
        <v>27.740935637027398</v>
      </c>
      <c r="D420">
        <v>1.9820660088381099</v>
      </c>
      <c r="E420">
        <v>3.8185472770793498</v>
      </c>
      <c r="F420">
        <v>32.727782369022002</v>
      </c>
      <c r="G420">
        <v>1.4712834148089899</v>
      </c>
      <c r="H420">
        <v>116</v>
      </c>
    </row>
    <row r="421" spans="1:8">
      <c r="A421">
        <v>1.4236873901590601</v>
      </c>
      <c r="B421">
        <v>4.3205816214376203</v>
      </c>
      <c r="C421">
        <v>28.101053633571901</v>
      </c>
      <c r="D421">
        <v>1.9831831411263201</v>
      </c>
      <c r="E421">
        <v>3.5224214262309701</v>
      </c>
      <c r="F421">
        <v>33.963497721646497</v>
      </c>
      <c r="G421">
        <v>1.43458392157176</v>
      </c>
      <c r="H421">
        <v>138</v>
      </c>
    </row>
    <row r="422" spans="1:8">
      <c r="A422">
        <v>1.440301523229</v>
      </c>
      <c r="B422">
        <v>4.1996532633739001</v>
      </c>
      <c r="C422">
        <v>27.264956683746099</v>
      </c>
      <c r="D422">
        <v>1.92231828356684</v>
      </c>
      <c r="E422">
        <v>4.34776909141309</v>
      </c>
      <c r="F422">
        <v>35.164467780453897</v>
      </c>
      <c r="G422">
        <v>1.5698661590535501</v>
      </c>
      <c r="H422">
        <v>164</v>
      </c>
    </row>
    <row r="423" spans="1:8">
      <c r="A423">
        <v>1.52150357350917</v>
      </c>
      <c r="B423">
        <v>4.1439789058864198</v>
      </c>
      <c r="C423">
        <v>26.558677300898498</v>
      </c>
      <c r="D423">
        <v>1.75713730896529</v>
      </c>
      <c r="E423">
        <v>3.5135879132998702</v>
      </c>
      <c r="F423">
        <v>30.9821659120473</v>
      </c>
      <c r="G423">
        <v>1.6285920688676301</v>
      </c>
      <c r="H423">
        <v>145</v>
      </c>
    </row>
    <row r="424" spans="1:8">
      <c r="A424">
        <v>1.3739190306612601</v>
      </c>
      <c r="B424">
        <v>4.2653621193168796</v>
      </c>
      <c r="C424">
        <v>25.433378620598798</v>
      </c>
      <c r="D424">
        <v>2.0068525773721602</v>
      </c>
      <c r="E424">
        <v>3.418912934472</v>
      </c>
      <c r="F424">
        <v>30.739105985239899</v>
      </c>
      <c r="G424">
        <v>1.42185621469196</v>
      </c>
      <c r="H424">
        <v>104</v>
      </c>
    </row>
    <row r="425" spans="1:8">
      <c r="A425">
        <v>1.41983813990938</v>
      </c>
      <c r="B425">
        <v>4.1307633336701004</v>
      </c>
      <c r="C425">
        <v>27.274116295566301</v>
      </c>
      <c r="D425">
        <v>1.9722769331853101</v>
      </c>
      <c r="E425">
        <v>3.3521997801305301</v>
      </c>
      <c r="F425">
        <v>32.039477317636297</v>
      </c>
      <c r="G425">
        <v>1.06114240141824</v>
      </c>
      <c r="H425">
        <v>22</v>
      </c>
    </row>
    <row r="426" spans="1:8">
      <c r="A426">
        <v>1.2593694266917601</v>
      </c>
      <c r="B426">
        <v>4.15708771429503</v>
      </c>
      <c r="C426">
        <v>26.5453001931761</v>
      </c>
      <c r="D426">
        <v>1.9892793251049801</v>
      </c>
      <c r="E426">
        <v>3.0350645722558598</v>
      </c>
      <c r="F426">
        <v>33.490741426103398</v>
      </c>
      <c r="G426">
        <v>0.87228578892034503</v>
      </c>
      <c r="H426">
        <v>25</v>
      </c>
    </row>
    <row r="427" spans="1:8">
      <c r="A427">
        <v>1.37484317987758</v>
      </c>
      <c r="B427">
        <v>4.2002423476350703</v>
      </c>
      <c r="C427">
        <v>28.015182536650101</v>
      </c>
      <c r="D427">
        <v>1.91754448515813</v>
      </c>
      <c r="E427">
        <v>3.5065065239128699</v>
      </c>
      <c r="F427">
        <v>33.755226407625202</v>
      </c>
      <c r="G427">
        <v>1.4041543458096299</v>
      </c>
      <c r="H427">
        <v>100</v>
      </c>
    </row>
    <row r="428" spans="1:8">
      <c r="A428">
        <v>1.43695392706442</v>
      </c>
      <c r="B428">
        <v>4.2104343525347296</v>
      </c>
      <c r="C428">
        <v>26.658983572248399</v>
      </c>
      <c r="D428">
        <v>1.9470751731038201</v>
      </c>
      <c r="E428">
        <v>4.0094299130747801</v>
      </c>
      <c r="F428">
        <v>29.538273291152301</v>
      </c>
      <c r="G428">
        <v>1.73232385806945</v>
      </c>
      <c r="H428">
        <v>166</v>
      </c>
    </row>
    <row r="429" spans="1:8">
      <c r="A429">
        <v>1.35507395560946</v>
      </c>
      <c r="B429">
        <v>4.2050855480256804</v>
      </c>
      <c r="C429">
        <v>26.361006481689198</v>
      </c>
      <c r="D429">
        <v>2.0178263296114101</v>
      </c>
      <c r="E429">
        <v>3.27603261533771</v>
      </c>
      <c r="F429">
        <v>31.712816561604399</v>
      </c>
      <c r="G429">
        <v>1.2476111633089999</v>
      </c>
      <c r="H429">
        <v>68</v>
      </c>
    </row>
    <row r="430" spans="1:8">
      <c r="A430">
        <v>1.52280647785571</v>
      </c>
      <c r="B430">
        <v>4.1428123613105798</v>
      </c>
      <c r="C430">
        <v>26.432450431868801</v>
      </c>
      <c r="D430">
        <v>1.9457374697487899</v>
      </c>
      <c r="E430">
        <v>3.13724483684121</v>
      </c>
      <c r="F430">
        <v>31.758773324628201</v>
      </c>
      <c r="G430">
        <v>1.0795034388762801</v>
      </c>
      <c r="H430">
        <v>26</v>
      </c>
    </row>
    <row r="431" spans="1:8">
      <c r="A431">
        <v>1.27156915928891</v>
      </c>
      <c r="B431">
        <v>4.3002684873196797</v>
      </c>
      <c r="C431">
        <v>27.493657781602099</v>
      </c>
      <c r="D431">
        <v>2.0330473420465101</v>
      </c>
      <c r="E431">
        <v>3.4932639006317001</v>
      </c>
      <c r="F431">
        <v>30.651554203888299</v>
      </c>
      <c r="G431">
        <v>0.95547257756542503</v>
      </c>
      <c r="H431">
        <v>40</v>
      </c>
    </row>
    <row r="432" spans="1:8">
      <c r="A432">
        <v>1.40767091317861</v>
      </c>
      <c r="B432">
        <v>4.1839657876164402</v>
      </c>
      <c r="C432">
        <v>27.011407819630701</v>
      </c>
      <c r="D432">
        <v>1.9425954702935699</v>
      </c>
      <c r="E432">
        <v>3.6414311126308698</v>
      </c>
      <c r="F432">
        <v>33.883384816066503</v>
      </c>
      <c r="G432">
        <v>0.95510217982093204</v>
      </c>
      <c r="H432">
        <v>12</v>
      </c>
    </row>
    <row r="433" spans="1:8">
      <c r="A433">
        <v>1.4438789985925899</v>
      </c>
      <c r="B433">
        <v>4.1940091476277397</v>
      </c>
      <c r="C433">
        <v>25.617885640467001</v>
      </c>
      <c r="D433">
        <v>1.9318697764058499</v>
      </c>
      <c r="E433">
        <v>3.2267514709991798</v>
      </c>
      <c r="F433">
        <v>36.561244341294703</v>
      </c>
      <c r="G433">
        <v>1.4896118862339001</v>
      </c>
      <c r="H433">
        <v>147</v>
      </c>
    </row>
    <row r="434" spans="1:8">
      <c r="A434">
        <v>1.3422409811774101</v>
      </c>
      <c r="B434">
        <v>4.2957455961093096</v>
      </c>
      <c r="C434">
        <v>26.666859459556399</v>
      </c>
      <c r="D434">
        <v>2.20069355617207</v>
      </c>
      <c r="E434">
        <v>3.2706694947723798</v>
      </c>
      <c r="F434">
        <v>31.826417061814599</v>
      </c>
      <c r="G434">
        <v>1.8047448580274601</v>
      </c>
      <c r="H434">
        <v>211</v>
      </c>
    </row>
    <row r="435" spans="1:8">
      <c r="A435">
        <v>1.3277765535880599</v>
      </c>
      <c r="B435">
        <v>4.1969075847516004</v>
      </c>
      <c r="C435">
        <v>26.0393566238258</v>
      </c>
      <c r="D435">
        <v>1.92848855734623</v>
      </c>
      <c r="E435">
        <v>3.4878776451942399</v>
      </c>
      <c r="F435">
        <v>31.586002055678399</v>
      </c>
      <c r="G435">
        <v>1.71210197917677</v>
      </c>
      <c r="H435">
        <v>192</v>
      </c>
    </row>
    <row r="436" spans="1:8">
      <c r="A436">
        <v>1.3149493237612</v>
      </c>
      <c r="B436">
        <v>4.2496712851066496</v>
      </c>
      <c r="C436">
        <v>28.836913972507698</v>
      </c>
      <c r="D436">
        <v>1.97716426380218</v>
      </c>
      <c r="E436">
        <v>3.5416844246503998</v>
      </c>
      <c r="F436">
        <v>34.172962570951903</v>
      </c>
      <c r="G436">
        <v>1.5257637768159</v>
      </c>
      <c r="H436">
        <v>154</v>
      </c>
    </row>
    <row r="437" spans="1:8">
      <c r="A437">
        <v>1.57159772504415</v>
      </c>
      <c r="B437">
        <v>4.1860826674559402</v>
      </c>
      <c r="C437">
        <v>28.165409783532802</v>
      </c>
      <c r="D437">
        <v>1.8347594758110299</v>
      </c>
      <c r="E437">
        <v>3.8021984497000401</v>
      </c>
      <c r="F437">
        <v>32.187053466896998</v>
      </c>
      <c r="G437">
        <v>1.9575073099467699</v>
      </c>
      <c r="H437">
        <v>211</v>
      </c>
    </row>
    <row r="438" spans="1:8">
      <c r="A438">
        <v>1.5113326103649001</v>
      </c>
      <c r="B438">
        <v>4.2638956638667196</v>
      </c>
      <c r="C438">
        <v>28.747268796019998</v>
      </c>
      <c r="D438">
        <v>1.83110547669491</v>
      </c>
      <c r="E438">
        <v>3.2449962223401201</v>
      </c>
      <c r="F438">
        <v>31.9921978761896</v>
      </c>
      <c r="G438">
        <v>0.92932539327363695</v>
      </c>
      <c r="H438">
        <v>39</v>
      </c>
    </row>
    <row r="439" spans="1:8">
      <c r="A439">
        <v>1.3937065835575499</v>
      </c>
      <c r="B439">
        <v>4.2095307982969397</v>
      </c>
      <c r="C439">
        <v>26.112270112239099</v>
      </c>
      <c r="D439">
        <v>1.9851772836459001</v>
      </c>
      <c r="E439">
        <v>3.8882148636221898</v>
      </c>
      <c r="F439">
        <v>34.082943041588102</v>
      </c>
      <c r="G439">
        <v>1.8110581701692601</v>
      </c>
      <c r="H439">
        <v>183</v>
      </c>
    </row>
    <row r="440" spans="1:8">
      <c r="A440">
        <v>1.5003398571634201</v>
      </c>
      <c r="B440">
        <v>4.22162622019653</v>
      </c>
      <c r="C440">
        <v>29.581380094844501</v>
      </c>
      <c r="D440">
        <v>2.0462440415955299</v>
      </c>
      <c r="E440">
        <v>3.41718297783139</v>
      </c>
      <c r="F440">
        <v>31.611538541185102</v>
      </c>
      <c r="G440">
        <v>1.2988478422597201</v>
      </c>
      <c r="H440">
        <v>80</v>
      </c>
    </row>
    <row r="441" spans="1:8">
      <c r="A441">
        <v>1.3972186840265901</v>
      </c>
      <c r="B441">
        <v>4.2869071414963003</v>
      </c>
      <c r="C441">
        <v>24.690956659364801</v>
      </c>
      <c r="D441">
        <v>2.0204831862184198</v>
      </c>
      <c r="E441">
        <v>3.6118659489270901</v>
      </c>
      <c r="F441">
        <v>35.969199040889102</v>
      </c>
      <c r="G441">
        <v>1.8301854471278001</v>
      </c>
      <c r="H441">
        <v>176</v>
      </c>
    </row>
    <row r="442" spans="1:8">
      <c r="A442">
        <v>1.39702560174802</v>
      </c>
      <c r="B442">
        <v>4.2641741667379298</v>
      </c>
      <c r="C442">
        <v>24.7434900671912</v>
      </c>
      <c r="D442">
        <v>2.0298165434764499</v>
      </c>
      <c r="E442">
        <v>3.81335711140306</v>
      </c>
      <c r="F442">
        <v>33.334247654112303</v>
      </c>
      <c r="G442">
        <v>1.5826387288885599</v>
      </c>
      <c r="H442">
        <v>126</v>
      </c>
    </row>
    <row r="443" spans="1:8">
      <c r="A443">
        <v>1.4502620424486099</v>
      </c>
      <c r="B443">
        <v>4.1632184996874404</v>
      </c>
      <c r="C443">
        <v>24.3483532427685</v>
      </c>
      <c r="D443">
        <v>2.1262278637804699</v>
      </c>
      <c r="E443">
        <v>4.2758939765875201</v>
      </c>
      <c r="F443">
        <v>35.974183853843101</v>
      </c>
      <c r="G443">
        <v>1.5965129266167499</v>
      </c>
      <c r="H443">
        <v>168</v>
      </c>
    </row>
    <row r="444" spans="1:8">
      <c r="A444">
        <v>1.2881645432572699</v>
      </c>
      <c r="B444">
        <v>4.2275076314963096</v>
      </c>
      <c r="C444">
        <v>25.7230531911726</v>
      </c>
      <c r="D444">
        <v>2.15104973442353</v>
      </c>
      <c r="E444">
        <v>3.8440199077328798</v>
      </c>
      <c r="F444">
        <v>35.004783916902802</v>
      </c>
      <c r="G444">
        <v>1.5707600371570001</v>
      </c>
      <c r="H444">
        <v>165</v>
      </c>
    </row>
    <row r="445" spans="1:8">
      <c r="A445">
        <v>1.42845484185536</v>
      </c>
      <c r="B445">
        <v>4.2185357610060601</v>
      </c>
      <c r="C445">
        <v>26.8896117085546</v>
      </c>
      <c r="D445">
        <v>2.0622775917672098</v>
      </c>
      <c r="E445">
        <v>3.47808213596028</v>
      </c>
      <c r="F445">
        <v>32.598322480999698</v>
      </c>
      <c r="G445">
        <v>1.2567223194080499</v>
      </c>
      <c r="H445">
        <v>61</v>
      </c>
    </row>
    <row r="446" spans="1:8">
      <c r="A446">
        <v>1.44110427927832</v>
      </c>
      <c r="B446">
        <v>4.1037033124129598</v>
      </c>
      <c r="C446">
        <v>25.523565381218699</v>
      </c>
      <c r="D446">
        <v>2.1490849667404701</v>
      </c>
      <c r="E446">
        <v>3.31211859442497</v>
      </c>
      <c r="F446">
        <v>33.119764073735801</v>
      </c>
      <c r="G446">
        <v>1.7095079930019501</v>
      </c>
      <c r="H446">
        <v>160</v>
      </c>
    </row>
    <row r="447" spans="1:8">
      <c r="A447">
        <v>1.4736257947759199</v>
      </c>
      <c r="B447">
        <v>4.1668254722595801</v>
      </c>
      <c r="C447">
        <v>27.747780807450699</v>
      </c>
      <c r="D447">
        <v>1.8263990243359201</v>
      </c>
      <c r="E447">
        <v>3.5515292862311201</v>
      </c>
      <c r="F447">
        <v>32.6466656886629</v>
      </c>
      <c r="G447">
        <v>1.4299294287875799</v>
      </c>
      <c r="H447">
        <v>108</v>
      </c>
    </row>
    <row r="448" spans="1:8">
      <c r="A448">
        <v>1.40091483993863</v>
      </c>
      <c r="B448">
        <v>4.16601627988062</v>
      </c>
      <c r="C448">
        <v>28.607637280100199</v>
      </c>
      <c r="D448">
        <v>2.0519605192952799</v>
      </c>
      <c r="E448">
        <v>3.5096898043934699</v>
      </c>
      <c r="F448">
        <v>31.865282329883101</v>
      </c>
      <c r="G448">
        <v>1.79601429063455</v>
      </c>
      <c r="H448">
        <v>209</v>
      </c>
    </row>
    <row r="449" spans="1:8">
      <c r="A449">
        <v>1.6217360186493099</v>
      </c>
      <c r="B449">
        <v>4.2118011359093304</v>
      </c>
      <c r="C449">
        <v>24.538395531416899</v>
      </c>
      <c r="D449">
        <v>2.0016410098982802</v>
      </c>
      <c r="E449">
        <v>3.7946517898294299</v>
      </c>
      <c r="F449">
        <v>32.602096598365797</v>
      </c>
      <c r="G449">
        <v>1.36152721996874</v>
      </c>
      <c r="H449">
        <v>123</v>
      </c>
    </row>
    <row r="450" spans="1:8">
      <c r="A450">
        <v>1.38332569525432</v>
      </c>
      <c r="B450">
        <v>4.2754426081945001</v>
      </c>
      <c r="C450">
        <v>27.1300796646597</v>
      </c>
      <c r="D450">
        <v>1.9396025277476301</v>
      </c>
      <c r="E450">
        <v>3.7473682756631002</v>
      </c>
      <c r="F450">
        <v>36.080377780112698</v>
      </c>
      <c r="G450">
        <v>0.90119170150793004</v>
      </c>
      <c r="H450">
        <v>31</v>
      </c>
    </row>
    <row r="451" spans="1:8">
      <c r="A451">
        <v>1.3744783136832099</v>
      </c>
      <c r="B451">
        <v>4.1336377929517996</v>
      </c>
      <c r="C451">
        <v>24.175912887036301</v>
      </c>
      <c r="D451">
        <v>1.9170726569049401</v>
      </c>
      <c r="E451">
        <v>3.7184755461841199</v>
      </c>
      <c r="F451">
        <v>33.087403839833499</v>
      </c>
      <c r="G451">
        <v>1.78733909199202</v>
      </c>
      <c r="H451">
        <v>167</v>
      </c>
    </row>
    <row r="452" spans="1:8">
      <c r="A452">
        <v>1.4240988755576001</v>
      </c>
      <c r="B452">
        <v>4.2969246741126597</v>
      </c>
      <c r="C452">
        <v>25.797160336324701</v>
      </c>
      <c r="D452">
        <v>1.8901985003591</v>
      </c>
      <c r="E452">
        <v>4.2618054066743296</v>
      </c>
      <c r="F452">
        <v>28.649203417090099</v>
      </c>
      <c r="G452">
        <v>1.30593292350686</v>
      </c>
      <c r="H452">
        <v>109</v>
      </c>
    </row>
    <row r="453" spans="1:8">
      <c r="A453">
        <v>1.2562080597812699</v>
      </c>
      <c r="B453">
        <v>4.2350568516278697</v>
      </c>
      <c r="C453">
        <v>28.2829347613138</v>
      </c>
      <c r="D453">
        <v>2.0715756854340599</v>
      </c>
      <c r="E453">
        <v>3.6120532307136899</v>
      </c>
      <c r="F453">
        <v>31.730336656806301</v>
      </c>
      <c r="G453">
        <v>1.61344753949235</v>
      </c>
      <c r="H453">
        <v>132</v>
      </c>
    </row>
    <row r="454" spans="1:8">
      <c r="A454">
        <v>1.3743260754269599</v>
      </c>
      <c r="B454">
        <v>4.2291705582837098</v>
      </c>
      <c r="C454">
        <v>27.2914848715963</v>
      </c>
      <c r="D454">
        <v>2.1316901002484299</v>
      </c>
      <c r="E454">
        <v>3.5627283504669198</v>
      </c>
      <c r="F454">
        <v>32.698226264074698</v>
      </c>
      <c r="G454">
        <v>1.02719852545718</v>
      </c>
      <c r="H454">
        <v>15</v>
      </c>
    </row>
    <row r="455" spans="1:8">
      <c r="A455">
        <v>1.52741186346195</v>
      </c>
      <c r="B455">
        <v>4.2497105748033803</v>
      </c>
      <c r="C455">
        <v>27.884383392250299</v>
      </c>
      <c r="D455">
        <v>2.2087248147351999</v>
      </c>
      <c r="E455">
        <v>3.5499154189414002</v>
      </c>
      <c r="F455">
        <v>33.304435525490199</v>
      </c>
      <c r="G455">
        <v>1.2417868691099101</v>
      </c>
      <c r="H455">
        <v>69</v>
      </c>
    </row>
    <row r="456" spans="1:8">
      <c r="A456">
        <v>1.3482352870733501</v>
      </c>
      <c r="B456">
        <v>4.1959359159571301</v>
      </c>
      <c r="C456">
        <v>27.911951750258801</v>
      </c>
      <c r="D456">
        <v>2.1209853063020701</v>
      </c>
      <c r="E456">
        <v>3.6018633057315599</v>
      </c>
      <c r="F456">
        <v>35.645605492454202</v>
      </c>
      <c r="G456">
        <v>1.9792880933250601</v>
      </c>
      <c r="H456">
        <v>246</v>
      </c>
    </row>
    <row r="457" spans="1:8">
      <c r="A457">
        <v>1.4482433000083701</v>
      </c>
      <c r="B457">
        <v>4.1969254909520597</v>
      </c>
      <c r="C457">
        <v>27.7113013920134</v>
      </c>
      <c r="D457">
        <v>1.9295016605026201</v>
      </c>
      <c r="E457">
        <v>3.3564823032340998</v>
      </c>
      <c r="F457">
        <v>34.345505168909703</v>
      </c>
      <c r="G457">
        <v>1.94583710461867</v>
      </c>
      <c r="H457">
        <v>239</v>
      </c>
    </row>
    <row r="458" spans="1:8">
      <c r="A458">
        <v>1.55138584205527</v>
      </c>
      <c r="B458">
        <v>4.1851638365667103</v>
      </c>
      <c r="C458">
        <v>28.120595931017899</v>
      </c>
      <c r="D458">
        <v>1.9048206994496399</v>
      </c>
      <c r="E458">
        <v>3.47486241793399</v>
      </c>
      <c r="F458">
        <v>31.543818033198399</v>
      </c>
      <c r="G458">
        <v>1.771827905461</v>
      </c>
      <c r="H458">
        <v>163</v>
      </c>
    </row>
    <row r="459" spans="1:8">
      <c r="A459">
        <v>1.25382150124276</v>
      </c>
      <c r="B459">
        <v>4.1306963989068004</v>
      </c>
      <c r="C459">
        <v>26.947034191200402</v>
      </c>
      <c r="D459">
        <v>1.8510371264341501</v>
      </c>
      <c r="E459">
        <v>2.98306904442398</v>
      </c>
      <c r="F459">
        <v>33.616782171206602</v>
      </c>
      <c r="G459">
        <v>1.1925494696788099</v>
      </c>
      <c r="H459">
        <v>90</v>
      </c>
    </row>
    <row r="460" spans="1:8">
      <c r="A460">
        <v>1.3614247496146099</v>
      </c>
      <c r="B460">
        <v>4.1912430120830901</v>
      </c>
      <c r="C460">
        <v>26.001681537756401</v>
      </c>
      <c r="D460">
        <v>2.15181285392205</v>
      </c>
      <c r="E460">
        <v>3.4178250766635698</v>
      </c>
      <c r="F460">
        <v>33.465531367262997</v>
      </c>
      <c r="G460">
        <v>1.29271122709036</v>
      </c>
      <c r="H460">
        <v>70</v>
      </c>
    </row>
    <row r="461" spans="1:8">
      <c r="A461">
        <v>1.27659244737257</v>
      </c>
      <c r="B461">
        <v>4.1917962311096399</v>
      </c>
      <c r="C461">
        <v>25.372220777529002</v>
      </c>
      <c r="D461">
        <v>1.9141217511233499</v>
      </c>
      <c r="E461">
        <v>3.3918863115415401</v>
      </c>
      <c r="F461">
        <v>33.240470867004902</v>
      </c>
      <c r="G461">
        <v>1.14450305869866</v>
      </c>
      <c r="H461">
        <v>78</v>
      </c>
    </row>
    <row r="462" spans="1:8">
      <c r="A462">
        <v>1.4434756848672701</v>
      </c>
      <c r="B462">
        <v>4.1019772842052102</v>
      </c>
      <c r="C462">
        <v>26.620524764206799</v>
      </c>
      <c r="D462">
        <v>2.0178208556811099</v>
      </c>
      <c r="E462">
        <v>3.6368736491011</v>
      </c>
      <c r="F462">
        <v>33.295952297912798</v>
      </c>
      <c r="G462">
        <v>1.8097314516266501</v>
      </c>
      <c r="H462">
        <v>181</v>
      </c>
    </row>
    <row r="463" spans="1:8">
      <c r="A463">
        <v>1.3874104661220601</v>
      </c>
      <c r="B463">
        <v>4.2206858757589396</v>
      </c>
      <c r="C463">
        <v>26.808447245952699</v>
      </c>
      <c r="D463">
        <v>1.9488266867117801</v>
      </c>
      <c r="E463">
        <v>3.5252986472836998</v>
      </c>
      <c r="F463">
        <v>37.192134992869399</v>
      </c>
      <c r="G463">
        <v>1.35991042528364</v>
      </c>
      <c r="H463">
        <v>92</v>
      </c>
    </row>
    <row r="464" spans="1:8">
      <c r="A464">
        <v>1.29917648564711</v>
      </c>
      <c r="B464">
        <v>4.1168423106668399</v>
      </c>
      <c r="C464">
        <v>26.801547139304802</v>
      </c>
      <c r="D464">
        <v>2.03696746777972</v>
      </c>
      <c r="E464">
        <v>3.9537399308040202</v>
      </c>
      <c r="F464">
        <v>35.814234696897699</v>
      </c>
      <c r="G464">
        <v>0.98822881365009696</v>
      </c>
      <c r="H464">
        <v>6</v>
      </c>
    </row>
    <row r="465" spans="1:8">
      <c r="A465">
        <v>1.50079234827035</v>
      </c>
      <c r="B465">
        <v>4.1291039475922204</v>
      </c>
      <c r="C465">
        <v>26.9637159434882</v>
      </c>
      <c r="D465">
        <v>2.0861043089150302</v>
      </c>
      <c r="E465">
        <v>3.1575684055999802</v>
      </c>
      <c r="F465">
        <v>33.772936772959099</v>
      </c>
      <c r="G465">
        <v>1.0153933771088901</v>
      </c>
      <c r="H465">
        <v>13</v>
      </c>
    </row>
    <row r="466" spans="1:8">
      <c r="A466">
        <v>1.26260258628658</v>
      </c>
      <c r="B466">
        <v>4.14079991287855</v>
      </c>
      <c r="C466">
        <v>26.5010277579789</v>
      </c>
      <c r="D466">
        <v>2.1075247958300398</v>
      </c>
      <c r="E466">
        <v>3.6524653597699901</v>
      </c>
      <c r="F466">
        <v>34.823664530144903</v>
      </c>
      <c r="G466">
        <v>1.5538701404742601</v>
      </c>
      <c r="H466">
        <v>122</v>
      </c>
    </row>
    <row r="467" spans="1:8">
      <c r="A467">
        <v>1.3498789817888299</v>
      </c>
      <c r="B467">
        <v>4.2272744009560599</v>
      </c>
      <c r="C467">
        <v>27.258127293629499</v>
      </c>
      <c r="D467">
        <v>2.0215164888947599</v>
      </c>
      <c r="E467">
        <v>2.9501281581103398</v>
      </c>
      <c r="F467">
        <v>33.335470748521701</v>
      </c>
      <c r="G467">
        <v>1.0116661798948601</v>
      </c>
      <c r="H467">
        <v>21</v>
      </c>
    </row>
    <row r="468" spans="1:8">
      <c r="A468">
        <v>1.45566303266554</v>
      </c>
      <c r="B468">
        <v>4.2361964062036703</v>
      </c>
      <c r="C468">
        <v>26.923917728485499</v>
      </c>
      <c r="D468">
        <v>1.95605931544379</v>
      </c>
      <c r="E468">
        <v>3.4618308463548102</v>
      </c>
      <c r="F468">
        <v>35.429442737405402</v>
      </c>
      <c r="G468">
        <v>1.3415461554709001</v>
      </c>
      <c r="H468">
        <v>78</v>
      </c>
    </row>
    <row r="469" spans="1:8">
      <c r="A469">
        <v>1.34637793958996</v>
      </c>
      <c r="B469">
        <v>4.2742723316560696</v>
      </c>
      <c r="C469">
        <v>26.871479182351099</v>
      </c>
      <c r="D469">
        <v>2.1191329088392101</v>
      </c>
      <c r="E469">
        <v>3.7764911383255502</v>
      </c>
      <c r="F469">
        <v>33.664149893311802</v>
      </c>
      <c r="G469">
        <v>0.923677357335844</v>
      </c>
      <c r="H469">
        <v>34</v>
      </c>
    </row>
    <row r="470" spans="1:8">
      <c r="A470">
        <v>1.5098901813308401</v>
      </c>
      <c r="B470">
        <v>4.2459925667615401</v>
      </c>
      <c r="C470">
        <v>29.4207102598006</v>
      </c>
      <c r="D470">
        <v>2.00719290271571</v>
      </c>
      <c r="E470">
        <v>4.1925834828797699</v>
      </c>
      <c r="F470">
        <v>35.935563578388802</v>
      </c>
      <c r="G470">
        <v>1.26243800078282</v>
      </c>
      <c r="H470">
        <v>73</v>
      </c>
    </row>
    <row r="471" spans="1:8">
      <c r="A471">
        <v>1.3977047513490299</v>
      </c>
      <c r="B471">
        <v>4.2233192690999202</v>
      </c>
      <c r="C471">
        <v>28.3842114916932</v>
      </c>
      <c r="D471">
        <v>2.0677545313448098</v>
      </c>
      <c r="E471">
        <v>3.7116196974485098</v>
      </c>
      <c r="F471">
        <v>35.133674786855899</v>
      </c>
      <c r="G471">
        <v>1.8954448763610401</v>
      </c>
      <c r="H471">
        <v>229</v>
      </c>
    </row>
    <row r="472" spans="1:8">
      <c r="A472">
        <v>1.36116773059598</v>
      </c>
      <c r="B472">
        <v>4.2268305710564702</v>
      </c>
      <c r="C472">
        <v>26.584181381711801</v>
      </c>
      <c r="D472">
        <v>2.1562939948731099</v>
      </c>
      <c r="E472">
        <v>3.19991295974804</v>
      </c>
      <c r="F472">
        <v>32.619145910348202</v>
      </c>
      <c r="G472">
        <v>1.00238530852814</v>
      </c>
      <c r="H472">
        <v>50</v>
      </c>
    </row>
    <row r="473" spans="1:8">
      <c r="A473">
        <v>1.4328381387884901</v>
      </c>
      <c r="B473">
        <v>4.2015717330254496</v>
      </c>
      <c r="C473">
        <v>28.000808344618299</v>
      </c>
      <c r="D473">
        <v>2.0208472803487401</v>
      </c>
      <c r="E473">
        <v>3.3834210004434899</v>
      </c>
      <c r="F473">
        <v>30.301335589290399</v>
      </c>
      <c r="G473">
        <v>0.91174607125432805</v>
      </c>
      <c r="H473">
        <v>33</v>
      </c>
    </row>
    <row r="474" spans="1:8">
      <c r="A474">
        <v>1.48306717508358</v>
      </c>
      <c r="B474">
        <v>4.1824862136619299</v>
      </c>
      <c r="C474">
        <v>26.4807202775288</v>
      </c>
      <c r="D474">
        <v>1.9426634876340401</v>
      </c>
      <c r="E474">
        <v>3.49428759448555</v>
      </c>
      <c r="F474">
        <v>33.543657103958402</v>
      </c>
      <c r="G474">
        <v>0.99176207717540199</v>
      </c>
      <c r="H474">
        <v>10</v>
      </c>
    </row>
    <row r="475" spans="1:8">
      <c r="A475">
        <v>1.4358145878178401</v>
      </c>
      <c r="B475">
        <v>4.2506368203237699</v>
      </c>
      <c r="C475">
        <v>26.288744178037401</v>
      </c>
      <c r="D475">
        <v>1.9563115829477</v>
      </c>
      <c r="E475">
        <v>3.1718806602291201</v>
      </c>
      <c r="F475">
        <v>33.988347553663502</v>
      </c>
      <c r="G475">
        <v>1.9406757723763799</v>
      </c>
      <c r="H475">
        <v>237</v>
      </c>
    </row>
    <row r="476" spans="1:8">
      <c r="A476">
        <v>1.3733882894773699</v>
      </c>
      <c r="B476">
        <v>4.1998145999184704</v>
      </c>
      <c r="C476">
        <v>24.584191222958999</v>
      </c>
      <c r="D476">
        <v>1.98871522357178</v>
      </c>
      <c r="E476">
        <v>3.3050209404327902</v>
      </c>
      <c r="F476">
        <v>32.3482248822001</v>
      </c>
      <c r="G476">
        <v>1.1299208193761501</v>
      </c>
      <c r="H476">
        <v>76</v>
      </c>
    </row>
    <row r="477" spans="1:8">
      <c r="A477">
        <v>1.27836391474656</v>
      </c>
      <c r="B477">
        <v>4.0738892788124303</v>
      </c>
      <c r="C477">
        <v>28.751084545128101</v>
      </c>
      <c r="D477">
        <v>2.0440028353736501</v>
      </c>
      <c r="E477">
        <v>3.1163520695557798</v>
      </c>
      <c r="F477">
        <v>38.012612563702902</v>
      </c>
      <c r="G477">
        <v>1.2483884438400601</v>
      </c>
      <c r="H477">
        <v>72</v>
      </c>
    </row>
    <row r="478" spans="1:8">
      <c r="A478">
        <v>1.37899136542455</v>
      </c>
      <c r="B478">
        <v>4.1774156970882999</v>
      </c>
      <c r="C478">
        <v>30.233642973778899</v>
      </c>
      <c r="D478">
        <v>2.1783889414712001</v>
      </c>
      <c r="E478">
        <v>3.4082442288779</v>
      </c>
      <c r="F478">
        <v>34.544384782762499</v>
      </c>
      <c r="G478">
        <v>1.4744990239029201</v>
      </c>
      <c r="H478">
        <v>145</v>
      </c>
    </row>
    <row r="479" spans="1:8">
      <c r="A479">
        <v>1.4092311763143299</v>
      </c>
      <c r="B479">
        <v>4.1605718225780501</v>
      </c>
      <c r="C479">
        <v>28.221091978971</v>
      </c>
      <c r="D479">
        <v>1.97856227146222</v>
      </c>
      <c r="E479">
        <v>2.92467624294332</v>
      </c>
      <c r="F479">
        <v>32.965902162675299</v>
      </c>
      <c r="G479">
        <v>1.35107491483483</v>
      </c>
      <c r="H479">
        <v>81</v>
      </c>
    </row>
    <row r="480" spans="1:8">
      <c r="A480">
        <v>1.44528115070868</v>
      </c>
      <c r="B480">
        <v>4.22390440855128</v>
      </c>
      <c r="C480">
        <v>26.413880372958701</v>
      </c>
      <c r="D480">
        <v>2.09822660405327</v>
      </c>
      <c r="E480">
        <v>3.9419826624046599</v>
      </c>
      <c r="F480">
        <v>34.071929350694198</v>
      </c>
      <c r="G480">
        <v>1.8274387131101399</v>
      </c>
      <c r="H480">
        <v>216</v>
      </c>
    </row>
    <row r="481" spans="1:8">
      <c r="A481">
        <v>1.48530771310455</v>
      </c>
      <c r="B481">
        <v>4.2550642528470801</v>
      </c>
      <c r="C481">
        <v>26.401560884777702</v>
      </c>
      <c r="D481">
        <v>2.0653524932985099</v>
      </c>
      <c r="E481">
        <v>3.3585521613149298</v>
      </c>
      <c r="F481">
        <v>32.288446634006803</v>
      </c>
      <c r="G481">
        <v>1.46580014331205</v>
      </c>
      <c r="H481">
        <v>104</v>
      </c>
    </row>
    <row r="482" spans="1:8">
      <c r="A482">
        <v>1.5085573826530401</v>
      </c>
      <c r="B482">
        <v>4.2020085744323596</v>
      </c>
      <c r="C482">
        <v>27.726673128288699</v>
      </c>
      <c r="D482">
        <v>1.8772379676523001</v>
      </c>
      <c r="E482">
        <v>3.4518745906504398</v>
      </c>
      <c r="F482">
        <v>33.585906424502497</v>
      </c>
      <c r="G482">
        <v>1.0716852276453801</v>
      </c>
      <c r="H482">
        <v>33</v>
      </c>
    </row>
    <row r="483" spans="1:8">
      <c r="A483">
        <v>1.1702785845504999</v>
      </c>
      <c r="B483">
        <v>4.1558539181235998</v>
      </c>
      <c r="C483">
        <v>25.7606306808337</v>
      </c>
      <c r="D483">
        <v>1.96316075560745</v>
      </c>
      <c r="E483">
        <v>3.51339669377432</v>
      </c>
      <c r="F483">
        <v>31.8075705603149</v>
      </c>
      <c r="G483">
        <v>1.3781698591096501</v>
      </c>
      <c r="H483">
        <v>96</v>
      </c>
    </row>
    <row r="484" spans="1:8">
      <c r="A484">
        <v>1.41072043507699</v>
      </c>
      <c r="B484">
        <v>4.1523061393975196</v>
      </c>
      <c r="C484">
        <v>25.088825564795101</v>
      </c>
      <c r="D484">
        <v>2.1342974097069098</v>
      </c>
      <c r="E484">
        <v>3.79583398245147</v>
      </c>
      <c r="F484">
        <v>32.380606789591504</v>
      </c>
      <c r="G484">
        <v>1.2622384936806199</v>
      </c>
      <c r="H484">
        <v>104</v>
      </c>
    </row>
    <row r="485" spans="1:8">
      <c r="A485">
        <v>1.2842769729758401</v>
      </c>
      <c r="B485">
        <v>4.1935660934213503</v>
      </c>
      <c r="C485">
        <v>30.913076938722199</v>
      </c>
      <c r="D485">
        <v>2.0120096956879099</v>
      </c>
      <c r="E485">
        <v>3.69962213739664</v>
      </c>
      <c r="F485">
        <v>32.474805261293596</v>
      </c>
      <c r="G485">
        <v>1.5141353251726299</v>
      </c>
      <c r="H485">
        <v>123</v>
      </c>
    </row>
    <row r="486" spans="1:8">
      <c r="A486">
        <v>1.48669521563386</v>
      </c>
      <c r="B486">
        <v>4.1767824523048596</v>
      </c>
      <c r="C486">
        <v>28.1245736573741</v>
      </c>
      <c r="D486">
        <v>1.9917387496023999</v>
      </c>
      <c r="E486">
        <v>3.43076737844823</v>
      </c>
      <c r="F486">
        <v>33.990821693823598</v>
      </c>
      <c r="G486">
        <v>1.2883588376763999</v>
      </c>
      <c r="H486">
        <v>76</v>
      </c>
    </row>
    <row r="487" spans="1:8">
      <c r="A487">
        <v>1.3753537335611601</v>
      </c>
      <c r="B487">
        <v>4.0964041376218203</v>
      </c>
      <c r="C487">
        <v>24.8958922487591</v>
      </c>
      <c r="D487">
        <v>1.99167249541647</v>
      </c>
      <c r="E487">
        <v>3.7343975988463698</v>
      </c>
      <c r="F487">
        <v>33.713423531066397</v>
      </c>
      <c r="G487">
        <v>1.89596467454619</v>
      </c>
      <c r="H487">
        <v>190</v>
      </c>
    </row>
    <row r="488" spans="1:8">
      <c r="A488">
        <v>1.37584049254726</v>
      </c>
      <c r="B488">
        <v>4.1768177297676896</v>
      </c>
      <c r="C488">
        <v>26.4397675182705</v>
      </c>
      <c r="D488">
        <v>2.02505503074432</v>
      </c>
      <c r="E488">
        <v>3.94979224238809</v>
      </c>
      <c r="F488">
        <v>34.880799006240899</v>
      </c>
      <c r="G488">
        <v>1.1292233456324099</v>
      </c>
      <c r="H488">
        <v>35</v>
      </c>
    </row>
    <row r="489" spans="1:8">
      <c r="A489">
        <v>1.4362714570694399</v>
      </c>
      <c r="B489">
        <v>4.1472916591973297</v>
      </c>
      <c r="C489">
        <v>28.860133355893101</v>
      </c>
      <c r="D489">
        <v>2.0182071790156599</v>
      </c>
      <c r="E489">
        <v>4.1629980454711299</v>
      </c>
      <c r="F489">
        <v>33.437738664668203</v>
      </c>
      <c r="G489">
        <v>1.8006339889671701</v>
      </c>
      <c r="H489">
        <v>210</v>
      </c>
    </row>
    <row r="490" spans="1:8">
      <c r="A490">
        <v>1.5245521843540299</v>
      </c>
      <c r="B490">
        <v>4.21747421904342</v>
      </c>
      <c r="C490">
        <v>25.500394395004701</v>
      </c>
      <c r="D490">
        <v>2.1138133418940801</v>
      </c>
      <c r="E490">
        <v>3.53932406308222</v>
      </c>
      <c r="F490">
        <v>32.742636210440899</v>
      </c>
      <c r="G490">
        <v>1.63657723485173</v>
      </c>
      <c r="H490">
        <v>176</v>
      </c>
    </row>
    <row r="491" spans="1:8">
      <c r="A491">
        <v>1.2740001114564401</v>
      </c>
      <c r="B491">
        <v>4.2108520892632999</v>
      </c>
      <c r="C491">
        <v>26.678325441129601</v>
      </c>
      <c r="D491">
        <v>2.0712948390211201</v>
      </c>
      <c r="E491">
        <v>3.24419608377598</v>
      </c>
      <c r="F491">
        <v>32.613667912037201</v>
      </c>
      <c r="G491">
        <v>1.5091173539254701</v>
      </c>
      <c r="H491">
        <v>122</v>
      </c>
    </row>
    <row r="492" spans="1:8">
      <c r="A492">
        <v>1.3451991489789401</v>
      </c>
      <c r="B492">
        <v>4.2305895031083702</v>
      </c>
      <c r="C492">
        <v>28.156294071748999</v>
      </c>
      <c r="D492">
        <v>2.03136808151545</v>
      </c>
      <c r="E492">
        <v>3.5607012218906799</v>
      </c>
      <c r="F492">
        <v>32.659496333532999</v>
      </c>
      <c r="G492">
        <v>1.24803296106419</v>
      </c>
      <c r="H492">
        <v>58</v>
      </c>
    </row>
    <row r="493" spans="1:8">
      <c r="A493">
        <v>1.42388314053923</v>
      </c>
      <c r="B493">
        <v>4.1618892227845397</v>
      </c>
      <c r="C493">
        <v>26.4362681561846</v>
      </c>
      <c r="D493">
        <v>1.8021705549812801</v>
      </c>
      <c r="E493">
        <v>3.0622150952399201</v>
      </c>
      <c r="F493">
        <v>30.728353645866498</v>
      </c>
      <c r="G493">
        <v>1.4697368952033301</v>
      </c>
      <c r="H493">
        <v>105</v>
      </c>
    </row>
    <row r="494" spans="1:8">
      <c r="A494">
        <v>1.3580812987456401</v>
      </c>
      <c r="B494">
        <v>4.2567928757446296</v>
      </c>
      <c r="C494">
        <v>27.995932093913801</v>
      </c>
      <c r="D494">
        <v>2.0577865069335299</v>
      </c>
      <c r="E494">
        <v>3.3812276497327298</v>
      </c>
      <c r="F494">
        <v>35.3224232315252</v>
      </c>
      <c r="G494">
        <v>1.70266858156921</v>
      </c>
      <c r="H494">
        <v>150</v>
      </c>
    </row>
    <row r="495" spans="1:8">
      <c r="A495">
        <v>1.3881408296101501</v>
      </c>
      <c r="B495">
        <v>4.1594232820228703</v>
      </c>
      <c r="C495">
        <v>26.710482748733899</v>
      </c>
      <c r="D495">
        <v>2.0224356653775999</v>
      </c>
      <c r="E495">
        <v>3.3959592434925501</v>
      </c>
      <c r="F495">
        <v>35.235678161066701</v>
      </c>
      <c r="G495">
        <v>1.6318227081832499</v>
      </c>
      <c r="H495">
        <v>136</v>
      </c>
    </row>
    <row r="496" spans="1:8">
      <c r="A496">
        <v>1.42308960068757</v>
      </c>
      <c r="B496">
        <v>4.2512599587753801</v>
      </c>
      <c r="C496">
        <v>24.574917784718998</v>
      </c>
      <c r="D496">
        <v>2.1055383563429801</v>
      </c>
      <c r="E496">
        <v>3.5110856818542699</v>
      </c>
      <c r="F496">
        <v>29.978872034472001</v>
      </c>
      <c r="G496">
        <v>1.81858856947958</v>
      </c>
      <c r="H496">
        <v>175</v>
      </c>
    </row>
    <row r="497" spans="1:8">
      <c r="A497">
        <v>1.3886098752979601</v>
      </c>
      <c r="B497">
        <v>4.2612430859964903</v>
      </c>
      <c r="C497">
        <v>28.2731932934025</v>
      </c>
      <c r="D497">
        <v>1.92472380596593</v>
      </c>
      <c r="E497">
        <v>2.88249570242245</v>
      </c>
      <c r="F497">
        <v>33.237039591242002</v>
      </c>
      <c r="G497">
        <v>1.0926257182382799</v>
      </c>
      <c r="H497">
        <v>29</v>
      </c>
    </row>
    <row r="498" spans="1:8">
      <c r="A498">
        <v>1.5403481149175999</v>
      </c>
      <c r="B498">
        <v>4.2222858194012396</v>
      </c>
      <c r="C498">
        <v>25.577362884365201</v>
      </c>
      <c r="D498">
        <v>2.0948300619281102</v>
      </c>
      <c r="E498">
        <v>3.26107970511171</v>
      </c>
      <c r="F498">
        <v>33.692524751342901</v>
      </c>
      <c r="G498">
        <v>1.3791159628040801</v>
      </c>
      <c r="H498">
        <v>97</v>
      </c>
    </row>
    <row r="499" spans="1:8">
      <c r="A499">
        <v>1.2846231708865901</v>
      </c>
      <c r="B499">
        <v>4.12485654294023</v>
      </c>
      <c r="C499">
        <v>25.770110648288298</v>
      </c>
      <c r="D499">
        <v>1.9229931559407301</v>
      </c>
      <c r="E499">
        <v>2.48485702726791</v>
      </c>
      <c r="F499">
        <v>31.922697282880801</v>
      </c>
      <c r="G499">
        <v>1.0758400758042801</v>
      </c>
      <c r="H499">
        <v>36</v>
      </c>
    </row>
    <row r="500" spans="1:8">
      <c r="A500">
        <v>1.40337552713377</v>
      </c>
      <c r="B500">
        <v>4.26588664590418</v>
      </c>
      <c r="C500">
        <v>27.3274895718232</v>
      </c>
      <c r="D500">
        <v>2.0351377396881198</v>
      </c>
      <c r="E500">
        <v>3.9864917460234102</v>
      </c>
      <c r="F500">
        <v>32.658142678887998</v>
      </c>
      <c r="G500">
        <v>0.97842822307452804</v>
      </c>
      <c r="H500">
        <v>17</v>
      </c>
    </row>
    <row r="501" spans="1:8">
      <c r="A501">
        <v>1.4602616556846</v>
      </c>
      <c r="B501">
        <v>4.1343599196663803</v>
      </c>
      <c r="C501">
        <v>27.236208992789699</v>
      </c>
      <c r="D501">
        <v>1.8307048562000601</v>
      </c>
      <c r="E501">
        <v>3.9690657697793301</v>
      </c>
      <c r="F501">
        <v>32.714968572638099</v>
      </c>
      <c r="G501">
        <v>1.9641021984482501</v>
      </c>
      <c r="H501">
        <v>241</v>
      </c>
    </row>
    <row r="502" spans="1:8">
      <c r="A502">
        <v>1.3208223664138501</v>
      </c>
      <c r="B502">
        <v>4.2718469319495904</v>
      </c>
      <c r="C502">
        <v>27.722511098057399</v>
      </c>
      <c r="D502">
        <v>2.0109311775411198</v>
      </c>
      <c r="E502">
        <v>2.9548986432833302</v>
      </c>
      <c r="F502">
        <v>34.869870674329803</v>
      </c>
      <c r="G502">
        <v>1.47974497338873</v>
      </c>
      <c r="H502">
        <v>106</v>
      </c>
    </row>
    <row r="503" spans="1:8">
      <c r="A503">
        <v>1.58323073333047</v>
      </c>
      <c r="B503">
        <v>4.1373008123188599</v>
      </c>
      <c r="C503">
        <v>27.6934678552002</v>
      </c>
      <c r="D503">
        <v>2.05833717598076</v>
      </c>
      <c r="E503">
        <v>3.4282505414520101</v>
      </c>
      <c r="F503">
        <v>33.316950207085497</v>
      </c>
      <c r="G503">
        <v>1.8594545071702799</v>
      </c>
      <c r="H503">
        <v>183</v>
      </c>
    </row>
    <row r="504" spans="1:8">
      <c r="A504">
        <v>1.4787136945677299</v>
      </c>
      <c r="B504">
        <v>4.2452410096330002</v>
      </c>
      <c r="C504">
        <v>26.512491893412001</v>
      </c>
      <c r="D504">
        <v>1.8491489444509599</v>
      </c>
      <c r="E504">
        <v>3.11576989100918</v>
      </c>
      <c r="F504">
        <v>31.631110305309999</v>
      </c>
      <c r="G504">
        <v>1.0257902285250999</v>
      </c>
      <c r="H504">
        <v>14</v>
      </c>
    </row>
    <row r="505" spans="1:8">
      <c r="A505">
        <v>1.3926736576574501</v>
      </c>
      <c r="B505">
        <v>4.2072904024198499</v>
      </c>
      <c r="C505">
        <v>29.195358634119501</v>
      </c>
      <c r="D505">
        <v>2.13716558075365</v>
      </c>
      <c r="E505">
        <v>3.0720961650987699</v>
      </c>
      <c r="F505">
        <v>35.336848294061703</v>
      </c>
      <c r="G505">
        <v>1.0155830626281901</v>
      </c>
      <c r="H505">
        <v>22</v>
      </c>
    </row>
    <row r="506" spans="1:8">
      <c r="A506">
        <v>1.2941964538992501</v>
      </c>
      <c r="B506">
        <v>4.2021139392781999</v>
      </c>
      <c r="C506">
        <v>27.670913593511798</v>
      </c>
      <c r="D506">
        <v>1.9968463732702599</v>
      </c>
      <c r="E506">
        <v>3.3314391835906898</v>
      </c>
      <c r="F506">
        <v>36.401211373729502</v>
      </c>
      <c r="G506">
        <v>1.4013475580141399</v>
      </c>
      <c r="H506">
        <v>130</v>
      </c>
    </row>
    <row r="507" spans="1:8">
      <c r="A507">
        <v>1.68960175827224</v>
      </c>
      <c r="B507">
        <v>4.2270843988656104</v>
      </c>
      <c r="C507">
        <v>24.754823008959701</v>
      </c>
      <c r="D507">
        <v>1.93385532529661</v>
      </c>
      <c r="E507">
        <v>3.03831233037966</v>
      </c>
      <c r="F507">
        <v>32.0816575995565</v>
      </c>
      <c r="G507">
        <v>0.92961392216254302</v>
      </c>
      <c r="H507">
        <v>37</v>
      </c>
    </row>
    <row r="508" spans="1:8">
      <c r="A508">
        <v>1.4433296956231201</v>
      </c>
      <c r="B508">
        <v>4.1908376269518097</v>
      </c>
      <c r="C508">
        <v>24.169128300513002</v>
      </c>
      <c r="D508">
        <v>2.0665107359210899</v>
      </c>
      <c r="E508">
        <v>2.6293574657741901</v>
      </c>
      <c r="F508">
        <v>33.047549541591103</v>
      </c>
      <c r="G508">
        <v>1.1341704829734101</v>
      </c>
      <c r="H508">
        <v>48</v>
      </c>
    </row>
    <row r="509" spans="1:8">
      <c r="A509">
        <v>1.3651321197435</v>
      </c>
      <c r="B509">
        <v>4.1439764916490098</v>
      </c>
      <c r="C509">
        <v>25.746049776895099</v>
      </c>
      <c r="D509">
        <v>2.0240688647212499</v>
      </c>
      <c r="E509">
        <v>3.3654018018709002</v>
      </c>
      <c r="F509">
        <v>34.031408007232997</v>
      </c>
      <c r="G509">
        <v>0.98535337419982005</v>
      </c>
      <c r="H509">
        <v>46</v>
      </c>
    </row>
    <row r="510" spans="1:8">
      <c r="A510">
        <v>1.28895529929</v>
      </c>
      <c r="B510">
        <v>4.2549619303635797</v>
      </c>
      <c r="C510">
        <v>27.096369664367199</v>
      </c>
      <c r="D510">
        <v>2.1170911974107098</v>
      </c>
      <c r="E510">
        <v>4.0413345569502201</v>
      </c>
      <c r="F510">
        <v>33.938228620516497</v>
      </c>
      <c r="G510">
        <v>1.35567947016461</v>
      </c>
      <c r="H510">
        <v>90</v>
      </c>
    </row>
    <row r="511" spans="1:8">
      <c r="A511">
        <v>1.48331321502318</v>
      </c>
      <c r="B511">
        <v>4.1749701581268504</v>
      </c>
      <c r="C511">
        <v>30.066330393301399</v>
      </c>
      <c r="D511">
        <v>2.07182706949708</v>
      </c>
      <c r="E511">
        <v>3.63446578433792</v>
      </c>
      <c r="F511">
        <v>34.644765513162497</v>
      </c>
      <c r="G511">
        <v>1.3683996037066399</v>
      </c>
      <c r="H511">
        <v>94</v>
      </c>
    </row>
    <row r="512" spans="1:8">
      <c r="A512">
        <v>1.5348376873087799</v>
      </c>
      <c r="B512">
        <v>4.2294689996693897</v>
      </c>
      <c r="C512">
        <v>30.648762795720501</v>
      </c>
      <c r="D512">
        <v>2.10110137202558</v>
      </c>
      <c r="E512">
        <v>3.2956085682916898</v>
      </c>
      <c r="F512">
        <v>36.622842205118403</v>
      </c>
      <c r="G512">
        <v>1.0846487728381</v>
      </c>
      <c r="H512">
        <v>27</v>
      </c>
    </row>
    <row r="513" spans="1:8">
      <c r="A513">
        <v>1.39654204921674</v>
      </c>
      <c r="B513">
        <v>4.1917906969989698</v>
      </c>
      <c r="C513">
        <v>28.220057182430899</v>
      </c>
      <c r="D513">
        <v>2.00033533577083</v>
      </c>
      <c r="E513">
        <v>3.5700750704314999</v>
      </c>
      <c r="F513">
        <v>30.2999619727054</v>
      </c>
      <c r="G513">
        <v>1.45772301846703</v>
      </c>
      <c r="H513">
        <v>142</v>
      </c>
    </row>
    <row r="514" spans="1:8">
      <c r="A514">
        <v>1.24792090531921</v>
      </c>
      <c r="B514">
        <v>4.25528647391977</v>
      </c>
      <c r="C514">
        <v>26.714676490979301</v>
      </c>
      <c r="D514">
        <v>2.0401290734721802</v>
      </c>
      <c r="E514">
        <v>3.3609867367735902</v>
      </c>
      <c r="F514">
        <v>32.552391550948897</v>
      </c>
      <c r="G514">
        <v>1.50392747856121</v>
      </c>
      <c r="H514">
        <v>150</v>
      </c>
    </row>
    <row r="515" spans="1:8">
      <c r="A515">
        <v>1.3655012089806799</v>
      </c>
      <c r="B515">
        <v>4.2349003005804997</v>
      </c>
      <c r="C515">
        <v>26.316386953354201</v>
      </c>
      <c r="D515">
        <v>1.9350761938880501</v>
      </c>
      <c r="E515">
        <v>3.7344132448367802</v>
      </c>
      <c r="F515">
        <v>33.640988267053899</v>
      </c>
      <c r="G515">
        <v>0.89826164680689202</v>
      </c>
      <c r="H515">
        <v>0</v>
      </c>
    </row>
    <row r="516" spans="1:8">
      <c r="A516">
        <v>1.14926996150938</v>
      </c>
      <c r="B516">
        <v>4.18762840009322</v>
      </c>
      <c r="C516">
        <v>27.542066604599501</v>
      </c>
      <c r="D516">
        <v>2.1111140007769098</v>
      </c>
      <c r="E516">
        <v>3.1994435213394401</v>
      </c>
      <c r="F516">
        <v>31.014725589153102</v>
      </c>
      <c r="G516">
        <v>1.06692755101286</v>
      </c>
      <c r="H516">
        <v>63</v>
      </c>
    </row>
    <row r="517" spans="1:8">
      <c r="A517">
        <v>1.5644302870935101</v>
      </c>
      <c r="B517">
        <v>4.2892798682394702</v>
      </c>
      <c r="C517">
        <v>26.355488703890199</v>
      </c>
      <c r="D517">
        <v>2.0566098321167798</v>
      </c>
      <c r="E517">
        <v>3.6655340224631598</v>
      </c>
      <c r="F517">
        <v>33.807808465152398</v>
      </c>
      <c r="G517">
        <v>1.5530051387442501</v>
      </c>
      <c r="H517">
        <v>162</v>
      </c>
    </row>
    <row r="518" spans="1:8">
      <c r="A518">
        <v>1.39932228038699</v>
      </c>
      <c r="B518">
        <v>4.1306763337169103</v>
      </c>
      <c r="C518">
        <v>26.765855039863101</v>
      </c>
      <c r="D518">
        <v>1.9888032010088901</v>
      </c>
      <c r="E518">
        <v>3.4014620222413501</v>
      </c>
      <c r="F518">
        <v>35.666867607376297</v>
      </c>
      <c r="G518">
        <v>1.0398120474155299</v>
      </c>
      <c r="H518">
        <v>60</v>
      </c>
    </row>
    <row r="519" spans="1:8">
      <c r="A519">
        <v>1.4147308150087601</v>
      </c>
      <c r="B519">
        <v>4.2134798625066496</v>
      </c>
      <c r="C519">
        <v>25.805320187376601</v>
      </c>
      <c r="D519">
        <v>2.0927403579002601</v>
      </c>
      <c r="E519">
        <v>3.7584334535097002</v>
      </c>
      <c r="F519">
        <v>29.692443943068799</v>
      </c>
      <c r="G519">
        <v>1.3985721895960599</v>
      </c>
      <c r="H519">
        <v>129</v>
      </c>
    </row>
    <row r="520" spans="1:8">
      <c r="A520">
        <v>1.4648177616337199</v>
      </c>
      <c r="B520">
        <v>4.1478449841857401</v>
      </c>
      <c r="C520">
        <v>28.162166427862399</v>
      </c>
      <c r="D520">
        <v>2.1260082865594199</v>
      </c>
      <c r="E520">
        <v>3.6817198969093101</v>
      </c>
      <c r="F520">
        <v>33.156996305819199</v>
      </c>
      <c r="G520">
        <v>1.1765772672513699</v>
      </c>
      <c r="H520">
        <v>43</v>
      </c>
    </row>
    <row r="521" spans="1:8">
      <c r="A521">
        <v>1.27872409397299</v>
      </c>
      <c r="B521">
        <v>4.2054837626046604</v>
      </c>
      <c r="C521">
        <v>29.0250972765485</v>
      </c>
      <c r="D521">
        <v>2.1942868560724902</v>
      </c>
      <c r="E521">
        <v>3.3671421655174498</v>
      </c>
      <c r="F521">
        <v>32.3269489232732</v>
      </c>
      <c r="G521">
        <v>0.85334834838636797</v>
      </c>
      <c r="H521">
        <v>22</v>
      </c>
    </row>
    <row r="522" spans="1:8">
      <c r="A522">
        <v>1.45990967926463</v>
      </c>
      <c r="B522">
        <v>4.2596404221929403</v>
      </c>
      <c r="C522">
        <v>27.094159930461299</v>
      </c>
      <c r="D522">
        <v>1.9382007171065401</v>
      </c>
      <c r="E522">
        <v>3.5154454137919502</v>
      </c>
      <c r="F522">
        <v>32.990795606652398</v>
      </c>
      <c r="G522">
        <v>1.6021013186845099</v>
      </c>
      <c r="H522">
        <v>170</v>
      </c>
    </row>
    <row r="523" spans="1:8">
      <c r="A523">
        <v>1.21588769450131</v>
      </c>
      <c r="B523">
        <v>4.2040375667662504</v>
      </c>
      <c r="C523">
        <v>28.355951004817602</v>
      </c>
      <c r="D523">
        <v>1.9436411721139299</v>
      </c>
      <c r="E523">
        <v>3.4840061259497301</v>
      </c>
      <c r="F523">
        <v>28.290244153347398</v>
      </c>
      <c r="G523">
        <v>1.7622756700501501</v>
      </c>
      <c r="H523">
        <v>162</v>
      </c>
    </row>
    <row r="524" spans="1:8">
      <c r="A524">
        <v>1.3506235849483501</v>
      </c>
      <c r="B524">
        <v>4.1912797589403503</v>
      </c>
      <c r="C524">
        <v>28.329302628890101</v>
      </c>
      <c r="D524">
        <v>2.0210943696476198</v>
      </c>
      <c r="E524">
        <v>3.60052793627949</v>
      </c>
      <c r="F524">
        <v>31.991715322215601</v>
      </c>
      <c r="G524">
        <v>1.9469365290303999</v>
      </c>
      <c r="H524">
        <v>238</v>
      </c>
    </row>
    <row r="525" spans="1:8">
      <c r="A525">
        <v>1.4858416716484799</v>
      </c>
      <c r="B525">
        <v>4.24161657114385</v>
      </c>
      <c r="C525">
        <v>26.603108611001201</v>
      </c>
      <c r="D525">
        <v>1.94402885726101</v>
      </c>
      <c r="E525">
        <v>3.68326327965503</v>
      </c>
      <c r="F525">
        <v>29.944900282173101</v>
      </c>
      <c r="G525">
        <v>1.66781521911603</v>
      </c>
      <c r="H525">
        <v>183</v>
      </c>
    </row>
    <row r="526" spans="1:8">
      <c r="A526">
        <v>1.2142889050335799</v>
      </c>
      <c r="B526">
        <v>4.1473328352084904</v>
      </c>
      <c r="C526">
        <v>27.784999799649299</v>
      </c>
      <c r="D526">
        <v>2.0136861058525599</v>
      </c>
      <c r="E526">
        <v>2.8395649010158501</v>
      </c>
      <c r="F526">
        <v>35.331979829140899</v>
      </c>
      <c r="G526">
        <v>1.44114625814952</v>
      </c>
      <c r="H526">
        <v>107</v>
      </c>
    </row>
    <row r="527" spans="1:8">
      <c r="A527">
        <v>1.4986050552466501</v>
      </c>
      <c r="B527">
        <v>4.1216385037133296</v>
      </c>
      <c r="C527">
        <v>28.985998640325299</v>
      </c>
      <c r="D527">
        <v>2.0522933131441801</v>
      </c>
      <c r="E527">
        <v>3.32179302821352</v>
      </c>
      <c r="F527">
        <v>30.3664966128587</v>
      </c>
      <c r="G527">
        <v>1.93814426782808</v>
      </c>
      <c r="H527">
        <v>197</v>
      </c>
    </row>
    <row r="528" spans="1:8">
      <c r="A528">
        <v>1.5623325616753301</v>
      </c>
      <c r="B528">
        <v>4.2992370279319099</v>
      </c>
      <c r="C528">
        <v>26.685853984072601</v>
      </c>
      <c r="D528">
        <v>2.0447472664181898</v>
      </c>
      <c r="E528">
        <v>3.49243992711963</v>
      </c>
      <c r="F528">
        <v>34.213346068822503</v>
      </c>
      <c r="G528">
        <v>1.2063649361081299</v>
      </c>
      <c r="H528">
        <v>91</v>
      </c>
    </row>
    <row r="529" spans="1:8">
      <c r="A529">
        <v>1.33744262209666</v>
      </c>
      <c r="B529">
        <v>4.17235578749938</v>
      </c>
      <c r="C529">
        <v>24.472545624427301</v>
      </c>
      <c r="D529">
        <v>1.9226959177709899</v>
      </c>
      <c r="E529">
        <v>3.4238985728142799</v>
      </c>
      <c r="F529">
        <v>36.618339637374099</v>
      </c>
      <c r="G529">
        <v>1.2249492881853501</v>
      </c>
      <c r="H529">
        <v>56</v>
      </c>
    </row>
    <row r="530" spans="1:8">
      <c r="A530">
        <v>1.3874809206102701</v>
      </c>
      <c r="B530">
        <v>4.2301980028338804</v>
      </c>
      <c r="C530">
        <v>28.943748297319399</v>
      </c>
      <c r="D530">
        <v>2.0847518319139802</v>
      </c>
      <c r="E530">
        <v>3.7669269359208801</v>
      </c>
      <c r="F530">
        <v>33.427135578631798</v>
      </c>
      <c r="G530">
        <v>1.9258009174024999</v>
      </c>
      <c r="H530">
        <v>196</v>
      </c>
    </row>
    <row r="531" spans="1:8">
      <c r="A531">
        <v>1.3851052467003</v>
      </c>
      <c r="B531">
        <v>4.2847550946342201</v>
      </c>
      <c r="C531">
        <v>25.073712166948201</v>
      </c>
      <c r="D531">
        <v>2.1016403160522499</v>
      </c>
      <c r="E531">
        <v>3.3283934942842901</v>
      </c>
      <c r="F531">
        <v>32.816968706826202</v>
      </c>
      <c r="G531">
        <v>1.46262852279024</v>
      </c>
      <c r="H531">
        <v>141</v>
      </c>
    </row>
    <row r="532" spans="1:8">
      <c r="A532">
        <v>1.3032798048868099</v>
      </c>
      <c r="B532">
        <v>4.2348100420161803</v>
      </c>
      <c r="C532">
        <v>30.775819741147501</v>
      </c>
      <c r="D532">
        <v>2.1398842165321801</v>
      </c>
      <c r="E532">
        <v>3.3700992780799401</v>
      </c>
      <c r="F532">
        <v>35.206657829311403</v>
      </c>
      <c r="G532">
        <v>1.51116054474677</v>
      </c>
      <c r="H532">
        <v>112</v>
      </c>
    </row>
    <row r="533" spans="1:8">
      <c r="A533">
        <v>1.3183690214628601</v>
      </c>
      <c r="B533">
        <v>4.18569395157673</v>
      </c>
      <c r="C533">
        <v>27.816348116295199</v>
      </c>
      <c r="D533">
        <v>1.82131782140904</v>
      </c>
      <c r="E533">
        <v>3.2966265050666501</v>
      </c>
      <c r="F533">
        <v>33.810325086720901</v>
      </c>
      <c r="G533">
        <v>1.04634967467039</v>
      </c>
      <c r="H533">
        <v>19</v>
      </c>
    </row>
    <row r="534" spans="1:8">
      <c r="A534">
        <v>1.5908158218319599</v>
      </c>
      <c r="B534">
        <v>4.2137056678475098</v>
      </c>
      <c r="C534">
        <v>26.158008955687599</v>
      </c>
      <c r="D534">
        <v>1.8887914054367001</v>
      </c>
      <c r="E534">
        <v>3.2411826475350498</v>
      </c>
      <c r="F534">
        <v>32.223663063930097</v>
      </c>
      <c r="G534">
        <v>1.1168736753599</v>
      </c>
      <c r="H534">
        <v>74</v>
      </c>
    </row>
    <row r="535" spans="1:8">
      <c r="A535">
        <v>1.4595012162822201</v>
      </c>
      <c r="B535">
        <v>4.2628504552548998</v>
      </c>
      <c r="C535">
        <v>26.625825599178199</v>
      </c>
      <c r="D535">
        <v>1.9745305229832999</v>
      </c>
      <c r="E535">
        <v>3.44666277361716</v>
      </c>
      <c r="F535">
        <v>30.792324750857301</v>
      </c>
      <c r="G535">
        <v>1.3033931137174699</v>
      </c>
      <c r="H535">
        <v>71</v>
      </c>
    </row>
    <row r="536" spans="1:8">
      <c r="A536">
        <v>1.46853062521488</v>
      </c>
      <c r="B536">
        <v>4.1663261827777696</v>
      </c>
      <c r="C536">
        <v>24.749267008319801</v>
      </c>
      <c r="D536">
        <v>2.0468560604827002</v>
      </c>
      <c r="E536">
        <v>3.3858965515741999</v>
      </c>
      <c r="F536">
        <v>31.3153538440686</v>
      </c>
      <c r="G536">
        <v>1.8094286324445801</v>
      </c>
      <c r="H536">
        <v>171</v>
      </c>
    </row>
    <row r="537" spans="1:8">
      <c r="A537">
        <v>1.4935586765272799</v>
      </c>
      <c r="B537">
        <v>4.1862112533804101</v>
      </c>
      <c r="C537">
        <v>29.692768662554201</v>
      </c>
      <c r="D537">
        <v>2.1146951831658201</v>
      </c>
      <c r="E537">
        <v>3.2348548967361399</v>
      </c>
      <c r="F537">
        <v>34.397866069728501</v>
      </c>
      <c r="G537">
        <v>1.68265232926187</v>
      </c>
      <c r="H537">
        <v>147</v>
      </c>
    </row>
    <row r="538" spans="1:8">
      <c r="A538">
        <v>1.40603199410827</v>
      </c>
      <c r="B538">
        <v>4.2569106924824602</v>
      </c>
      <c r="C538">
        <v>24.897964575109601</v>
      </c>
      <c r="D538">
        <v>1.95945055806959</v>
      </c>
      <c r="E538">
        <v>3.93010538754501</v>
      </c>
      <c r="F538">
        <v>33.937456937264997</v>
      </c>
      <c r="G538">
        <v>1.21391062851009</v>
      </c>
      <c r="H538">
        <v>53</v>
      </c>
    </row>
    <row r="539" spans="1:8">
      <c r="A539">
        <v>1.4943346346001301</v>
      </c>
      <c r="B539">
        <v>4.2011662432894799</v>
      </c>
      <c r="C539">
        <v>27.660727824385699</v>
      </c>
      <c r="D539">
        <v>1.7787574432197399</v>
      </c>
      <c r="E539">
        <v>3.06780739045261</v>
      </c>
      <c r="F539">
        <v>34.239196079155498</v>
      </c>
      <c r="G539">
        <v>1.16930120259171</v>
      </c>
      <c r="H539">
        <v>45</v>
      </c>
    </row>
    <row r="540" spans="1:8">
      <c r="A540">
        <v>1.55868821654332</v>
      </c>
      <c r="B540">
        <v>4.2754185374854501</v>
      </c>
      <c r="C540">
        <v>25.088332674052001</v>
      </c>
      <c r="D540">
        <v>2.0053074466378802</v>
      </c>
      <c r="E540">
        <v>3.3403950901024602</v>
      </c>
      <c r="F540">
        <v>34.754754542301299</v>
      </c>
      <c r="G540">
        <v>1.9770444968012899</v>
      </c>
      <c r="H540">
        <v>205</v>
      </c>
    </row>
    <row r="541" spans="1:8">
      <c r="A541">
        <v>1.4423247458828099</v>
      </c>
      <c r="B541">
        <v>4.2224444755323898</v>
      </c>
      <c r="C541">
        <v>25.832124766681599</v>
      </c>
      <c r="D541">
        <v>1.92281379823113</v>
      </c>
      <c r="E541">
        <v>3.0552288602258599</v>
      </c>
      <c r="F541">
        <v>30.722749164718099</v>
      </c>
      <c r="G541">
        <v>0.91964371049642502</v>
      </c>
      <c r="H541">
        <v>35</v>
      </c>
    </row>
    <row r="542" spans="1:8">
      <c r="A542">
        <v>1.43227896400414</v>
      </c>
      <c r="B542">
        <v>4.1555006420209502</v>
      </c>
      <c r="C542">
        <v>27.779653550006199</v>
      </c>
      <c r="D542">
        <v>2.0202148361736101</v>
      </c>
      <c r="E542">
        <v>3.35236147234632</v>
      </c>
      <c r="F542">
        <v>33.043906660104497</v>
      </c>
      <c r="G542">
        <v>1.3797597641466799</v>
      </c>
      <c r="H542">
        <v>125</v>
      </c>
    </row>
    <row r="543" spans="1:8">
      <c r="A543">
        <v>1.45014015521303</v>
      </c>
      <c r="B543">
        <v>4.22191078153429</v>
      </c>
      <c r="C543">
        <v>24.482832028187101</v>
      </c>
      <c r="D543">
        <v>1.85741241603587</v>
      </c>
      <c r="E543">
        <v>3.7669533512347502</v>
      </c>
      <c r="F543">
        <v>30.6512256074889</v>
      </c>
      <c r="G543">
        <v>1.7846694190205801</v>
      </c>
      <c r="H543">
        <v>207</v>
      </c>
    </row>
    <row r="544" spans="1:8">
      <c r="A544">
        <v>1.38254068105197</v>
      </c>
      <c r="B544">
        <v>4.2430087474447697</v>
      </c>
      <c r="C544">
        <v>25.488139716892501</v>
      </c>
      <c r="D544">
        <v>2.1815716619429302</v>
      </c>
      <c r="E544">
        <v>3.3990921636992901</v>
      </c>
      <c r="F544">
        <v>34.387037521934801</v>
      </c>
      <c r="G544">
        <v>1.365055633566</v>
      </c>
      <c r="H544">
        <v>82</v>
      </c>
    </row>
    <row r="545" spans="1:8">
      <c r="A545">
        <v>1.37293964223854</v>
      </c>
      <c r="B545">
        <v>4.2620054216387997</v>
      </c>
      <c r="C545">
        <v>27.6277309974768</v>
      </c>
      <c r="D545">
        <v>2.0198959864727599</v>
      </c>
      <c r="E545">
        <v>3.4343232360564699</v>
      </c>
      <c r="F545">
        <v>31.561279937608901</v>
      </c>
      <c r="G545">
        <v>1.6292794619834501</v>
      </c>
      <c r="H545">
        <v>174</v>
      </c>
    </row>
    <row r="546" spans="1:8">
      <c r="A546">
        <v>1.3679699999016</v>
      </c>
      <c r="B546">
        <v>4.26763192259188</v>
      </c>
      <c r="C546">
        <v>28.569091513692399</v>
      </c>
      <c r="D546">
        <v>2.0205650203987999</v>
      </c>
      <c r="E546">
        <v>3.6536651440455699</v>
      </c>
      <c r="F546">
        <v>32.260300471402601</v>
      </c>
      <c r="G546">
        <v>0.80518447193861997</v>
      </c>
      <c r="H546">
        <v>10</v>
      </c>
    </row>
    <row r="547" spans="1:8">
      <c r="A547">
        <v>1.4791038444289999</v>
      </c>
      <c r="B547">
        <v>4.2341737815578204</v>
      </c>
      <c r="C547">
        <v>24.554464136595399</v>
      </c>
      <c r="D547">
        <v>1.9919959055004099</v>
      </c>
      <c r="E547">
        <v>3.3996642505071302</v>
      </c>
      <c r="F547">
        <v>34.0394556960335</v>
      </c>
      <c r="G547">
        <v>1.0035119414026901</v>
      </c>
      <c r="H547">
        <v>52</v>
      </c>
    </row>
    <row r="548" spans="1:8">
      <c r="A548">
        <v>1.2929642190013999</v>
      </c>
      <c r="B548">
        <v>4.09328367859779</v>
      </c>
      <c r="C548">
        <v>25.823781412820701</v>
      </c>
      <c r="D548">
        <v>1.8680845401631501</v>
      </c>
      <c r="E548">
        <v>3.5389062659055801</v>
      </c>
      <c r="F548">
        <v>31.5167120892837</v>
      </c>
      <c r="G548">
        <v>1.2661929596539201</v>
      </c>
      <c r="H548">
        <v>102</v>
      </c>
    </row>
    <row r="549" spans="1:8">
      <c r="A549">
        <v>1.29435316895592</v>
      </c>
      <c r="B549">
        <v>4.1962822505108601</v>
      </c>
      <c r="C549">
        <v>29.6681516876241</v>
      </c>
      <c r="D549">
        <v>1.8067107372390201</v>
      </c>
      <c r="E549">
        <v>3.5002873747824998</v>
      </c>
      <c r="F549">
        <v>33.752230887860399</v>
      </c>
      <c r="G549">
        <v>1.5716795783903399</v>
      </c>
      <c r="H549">
        <v>134</v>
      </c>
    </row>
    <row r="550" spans="1:8">
      <c r="A550">
        <v>1.5528982336163599</v>
      </c>
      <c r="B550">
        <v>4.12908703714516</v>
      </c>
      <c r="C550">
        <v>25.681095506137101</v>
      </c>
      <c r="D550">
        <v>1.88649717573279</v>
      </c>
      <c r="E550">
        <v>3.5996336296590998</v>
      </c>
      <c r="F550">
        <v>29.816482157210501</v>
      </c>
      <c r="G550">
        <v>1.8936995674447199</v>
      </c>
      <c r="H550">
        <v>187</v>
      </c>
    </row>
    <row r="551" spans="1:8">
      <c r="A551">
        <v>1.3621614568617</v>
      </c>
      <c r="B551">
        <v>4.1897522238405802</v>
      </c>
      <c r="C551">
        <v>25.684098546956701</v>
      </c>
      <c r="D551">
        <v>1.9517149837661201</v>
      </c>
      <c r="E551">
        <v>3.3489964352402</v>
      </c>
      <c r="F551">
        <v>35.739686567644398</v>
      </c>
      <c r="G551">
        <v>1.20117070839391</v>
      </c>
      <c r="H551">
        <v>60</v>
      </c>
    </row>
    <row r="552" spans="1:8">
      <c r="A552">
        <v>1.25648512284609</v>
      </c>
      <c r="B552">
        <v>4.1611021111505</v>
      </c>
      <c r="C552">
        <v>26.1351402129166</v>
      </c>
      <c r="D552">
        <v>1.92852625113811</v>
      </c>
      <c r="E552">
        <v>3.1911986219155999</v>
      </c>
      <c r="F552">
        <v>34.746153211857703</v>
      </c>
      <c r="G552">
        <v>1.53342243449416</v>
      </c>
      <c r="H552">
        <v>155</v>
      </c>
    </row>
    <row r="553" spans="1:8">
      <c r="A553">
        <v>1.69645379849399</v>
      </c>
      <c r="B553">
        <v>4.2513956156254897</v>
      </c>
      <c r="C553">
        <v>24.336094769892</v>
      </c>
      <c r="D553">
        <v>1.9484446060319001</v>
      </c>
      <c r="E553">
        <v>3.3746335202545401</v>
      </c>
      <c r="F553">
        <v>37.010723340816</v>
      </c>
      <c r="G553">
        <v>1.82502317603797</v>
      </c>
      <c r="H553">
        <v>184</v>
      </c>
    </row>
    <row r="554" spans="1:8">
      <c r="A554">
        <v>1.3168402577910201</v>
      </c>
      <c r="B554">
        <v>4.1485807253089204</v>
      </c>
      <c r="C554">
        <v>26.337859545671801</v>
      </c>
      <c r="D554">
        <v>2.0985902164502099</v>
      </c>
      <c r="E554">
        <v>3.0013622711488299</v>
      </c>
      <c r="F554">
        <v>33.9743279524507</v>
      </c>
      <c r="G554">
        <v>1.4508940665443499</v>
      </c>
      <c r="H554">
        <v>139</v>
      </c>
    </row>
    <row r="555" spans="1:8">
      <c r="A555">
        <v>1.4941756315363299</v>
      </c>
      <c r="B555">
        <v>4.1786140738733701</v>
      </c>
      <c r="C555">
        <v>26.469976284313098</v>
      </c>
      <c r="D555">
        <v>1.9948707203111999</v>
      </c>
      <c r="E555">
        <v>3.81204297668515</v>
      </c>
      <c r="F555">
        <v>37.210901709781702</v>
      </c>
      <c r="G555">
        <v>1.1510513918710901</v>
      </c>
      <c r="H555">
        <v>49</v>
      </c>
    </row>
    <row r="556" spans="1:8">
      <c r="A556">
        <v>1.31257175254839</v>
      </c>
      <c r="B556">
        <v>4.1110073885101102</v>
      </c>
      <c r="C556">
        <v>27.240524828661901</v>
      </c>
      <c r="D556">
        <v>2.0696964173787902</v>
      </c>
      <c r="E556">
        <v>3.8647935537482798</v>
      </c>
      <c r="F556">
        <v>33.579770939796603</v>
      </c>
      <c r="G556">
        <v>1.2525238523244999</v>
      </c>
      <c r="H556">
        <v>100</v>
      </c>
    </row>
    <row r="557" spans="1:8">
      <c r="A557">
        <v>1.41568973243272</v>
      </c>
      <c r="B557">
        <v>4.2121405833793997</v>
      </c>
      <c r="C557">
        <v>28.577093862681199</v>
      </c>
      <c r="D557">
        <v>1.9116184602506801</v>
      </c>
      <c r="E557">
        <v>3.6729759873224599</v>
      </c>
      <c r="F557">
        <v>33.903898290660599</v>
      </c>
      <c r="G557">
        <v>1.2909579959880499</v>
      </c>
      <c r="H557">
        <v>108</v>
      </c>
    </row>
    <row r="558" spans="1:8">
      <c r="A558">
        <v>1.30783289565564</v>
      </c>
      <c r="B558">
        <v>4.1369766019045704</v>
      </c>
      <c r="C558">
        <v>28.0543592779653</v>
      </c>
      <c r="D558">
        <v>1.9742585376873301</v>
      </c>
      <c r="E558">
        <v>3.0151773022175199</v>
      </c>
      <c r="F558">
        <v>33.084582492166199</v>
      </c>
      <c r="G558">
        <v>0.95100046709118202</v>
      </c>
      <c r="H558">
        <v>41</v>
      </c>
    </row>
    <row r="559" spans="1:8">
      <c r="A559">
        <v>1.47004823657505</v>
      </c>
      <c r="B559">
        <v>4.1804976957262898</v>
      </c>
      <c r="C559">
        <v>24.073775374031499</v>
      </c>
      <c r="D559">
        <v>2.0102774892709099</v>
      </c>
      <c r="E559">
        <v>3.4956425252202199</v>
      </c>
      <c r="F559">
        <v>34.577632445889201</v>
      </c>
      <c r="G559">
        <v>1.5217115590988</v>
      </c>
      <c r="H559">
        <v>124</v>
      </c>
    </row>
    <row r="560" spans="1:8">
      <c r="A560">
        <v>1.3987593666609499</v>
      </c>
      <c r="B560">
        <v>4.2233048662526702</v>
      </c>
      <c r="C560">
        <v>29.066854856845602</v>
      </c>
      <c r="D560">
        <v>2.0739123751687698</v>
      </c>
      <c r="E560">
        <v>3.3279352249859699</v>
      </c>
      <c r="F560">
        <v>33.225578719653498</v>
      </c>
      <c r="G560">
        <v>1.90041743267959</v>
      </c>
      <c r="H560">
        <v>189</v>
      </c>
    </row>
    <row r="561" spans="1:8">
      <c r="A561">
        <v>1.51194186426639</v>
      </c>
      <c r="B561">
        <v>4.1871354468190001</v>
      </c>
      <c r="C561">
        <v>28.010486677750201</v>
      </c>
      <c r="D561">
        <v>1.9974016828707399</v>
      </c>
      <c r="E561">
        <v>3.6335847006683299</v>
      </c>
      <c r="F561">
        <v>31.862042539980902</v>
      </c>
      <c r="G561">
        <v>1.8522428177432599</v>
      </c>
      <c r="H561">
        <v>219</v>
      </c>
    </row>
    <row r="562" spans="1:8">
      <c r="A562">
        <v>1.43951757615708</v>
      </c>
      <c r="B562">
        <v>4.24153565296624</v>
      </c>
      <c r="C562">
        <v>25.617122904999501</v>
      </c>
      <c r="D562">
        <v>1.95870985952981</v>
      </c>
      <c r="E562">
        <v>3.1759090057943302</v>
      </c>
      <c r="F562">
        <v>33.907330167167103</v>
      </c>
      <c r="G562">
        <v>1.38614645269037</v>
      </c>
      <c r="H562">
        <v>126</v>
      </c>
    </row>
    <row r="563" spans="1:8">
      <c r="A563">
        <v>1.2486851861049799</v>
      </c>
      <c r="B563">
        <v>4.2736268571928901</v>
      </c>
      <c r="C563">
        <v>24.068479896167901</v>
      </c>
      <c r="D563">
        <v>1.8633512362133799</v>
      </c>
      <c r="E563">
        <v>3.1779971280701602</v>
      </c>
      <c r="F563">
        <v>32.260388986013901</v>
      </c>
      <c r="G563">
        <v>1.17599965417332</v>
      </c>
      <c r="H563">
        <v>86</v>
      </c>
    </row>
    <row r="564" spans="1:8">
      <c r="A564">
        <v>1.4758299690250201</v>
      </c>
      <c r="B564">
        <v>4.2419119641249496</v>
      </c>
      <c r="C564">
        <v>25.5512511297887</v>
      </c>
      <c r="D564">
        <v>1.9950961867930801</v>
      </c>
      <c r="E564">
        <v>3.6752554162403199</v>
      </c>
      <c r="F564">
        <v>32.763898256367099</v>
      </c>
      <c r="G564">
        <v>0.96307086010278797</v>
      </c>
      <c r="H564">
        <v>13</v>
      </c>
    </row>
    <row r="565" spans="1:8">
      <c r="A565">
        <v>1.43593576044064</v>
      </c>
      <c r="B565">
        <v>4.1765294459776996</v>
      </c>
      <c r="C565">
        <v>27.342760099980602</v>
      </c>
      <c r="D565">
        <v>1.9231084228683399</v>
      </c>
      <c r="E565">
        <v>3.2027894506988299</v>
      </c>
      <c r="F565">
        <v>33.083406324141102</v>
      </c>
      <c r="G565">
        <v>1.1348569192397899</v>
      </c>
      <c r="H565">
        <v>37</v>
      </c>
    </row>
    <row r="566" spans="1:8">
      <c r="A566">
        <v>1.39030408891274</v>
      </c>
      <c r="B566">
        <v>4.2312682284654599</v>
      </c>
      <c r="C566">
        <v>29.8316987859391</v>
      </c>
      <c r="D566">
        <v>2.0891815587856799</v>
      </c>
      <c r="E566">
        <v>3.77523852768523</v>
      </c>
      <c r="F566">
        <v>30.668881252889701</v>
      </c>
      <c r="G566">
        <v>1.1061723786680899</v>
      </c>
      <c r="H566">
        <v>32</v>
      </c>
    </row>
    <row r="567" spans="1:8">
      <c r="A567">
        <v>1.31174441112087</v>
      </c>
      <c r="B567">
        <v>4.2457916534642797</v>
      </c>
      <c r="C567">
        <v>26.071204066750699</v>
      </c>
      <c r="D567">
        <v>2.0342395188446698</v>
      </c>
      <c r="E567">
        <v>3.0175076689898801</v>
      </c>
      <c r="F567">
        <v>31.207122750053301</v>
      </c>
      <c r="G567">
        <v>1.2899822749294401</v>
      </c>
      <c r="H567">
        <v>107</v>
      </c>
    </row>
    <row r="568" spans="1:8">
      <c r="A568">
        <v>1.4616337539432001</v>
      </c>
      <c r="B568">
        <v>4.27827776358279</v>
      </c>
      <c r="C568">
        <v>28.1802561541137</v>
      </c>
      <c r="D568">
        <v>2.0470314883093002</v>
      </c>
      <c r="E568">
        <v>3.24645463832347</v>
      </c>
      <c r="F568">
        <v>31.478522994247101</v>
      </c>
      <c r="G568">
        <v>0.91202738108119197</v>
      </c>
      <c r="H568">
        <v>2</v>
      </c>
    </row>
    <row r="569" spans="1:8">
      <c r="A569">
        <v>1.2639457007821699</v>
      </c>
      <c r="B569">
        <v>4.14279145380912</v>
      </c>
      <c r="C569">
        <v>26.478353387313401</v>
      </c>
      <c r="D569">
        <v>2.0498849032006099</v>
      </c>
      <c r="E569">
        <v>3.72934136705417</v>
      </c>
      <c r="F569">
        <v>32.483154407141697</v>
      </c>
      <c r="G569">
        <v>1.97486212426159</v>
      </c>
      <c r="H569">
        <v>215</v>
      </c>
    </row>
    <row r="570" spans="1:8">
      <c r="A570">
        <v>1.3223793174824801</v>
      </c>
      <c r="B570">
        <v>4.2132511049293999</v>
      </c>
      <c r="C570">
        <v>26.996088591076699</v>
      </c>
      <c r="D570">
        <v>2.0483854310324299</v>
      </c>
      <c r="E570">
        <v>3.50951859660195</v>
      </c>
      <c r="F570">
        <v>33.273416579260001</v>
      </c>
      <c r="G570">
        <v>1.1241343458217099</v>
      </c>
      <c r="H570">
        <v>75</v>
      </c>
    </row>
    <row r="571" spans="1:8">
      <c r="A571">
        <v>1.5814071256945099</v>
      </c>
      <c r="B571">
        <v>4.1412357289957198</v>
      </c>
      <c r="C571">
        <v>26.840757035086199</v>
      </c>
      <c r="D571">
        <v>2.2081762455807499</v>
      </c>
      <c r="E571">
        <v>3.4771349101561801</v>
      </c>
      <c r="F571">
        <v>34.181836374390301</v>
      </c>
      <c r="G571">
        <v>1.4127725228924399</v>
      </c>
      <c r="H571">
        <v>133</v>
      </c>
    </row>
    <row r="572" spans="1:8">
      <c r="A572">
        <v>1.4082941500262101</v>
      </c>
      <c r="B572">
        <v>4.1953649719012898</v>
      </c>
      <c r="C572">
        <v>27.5056756146971</v>
      </c>
      <c r="D572">
        <v>2.0041883072941999</v>
      </c>
      <c r="E572">
        <v>3.5060593156275299</v>
      </c>
      <c r="F572">
        <v>34.385781317234098</v>
      </c>
      <c r="G572">
        <v>1.5076881509064299</v>
      </c>
      <c r="H572">
        <v>121</v>
      </c>
    </row>
    <row r="573" spans="1:8">
      <c r="A573">
        <v>1.53646971648681</v>
      </c>
      <c r="B573">
        <v>4.1680728536039302</v>
      </c>
      <c r="C573">
        <v>27.947603388810801</v>
      </c>
      <c r="D573">
        <v>2.0999610117629302</v>
      </c>
      <c r="E573">
        <v>3.7929931523926599</v>
      </c>
      <c r="F573">
        <v>28.423503469169098</v>
      </c>
      <c r="G573">
        <v>1.0634756822467799</v>
      </c>
      <c r="H573">
        <v>23</v>
      </c>
    </row>
    <row r="574" spans="1:8">
      <c r="A574">
        <v>1.4282472176679699</v>
      </c>
      <c r="B574">
        <v>4.2509337487213399</v>
      </c>
      <c r="C574">
        <v>28.3148995372208</v>
      </c>
      <c r="D574">
        <v>1.8490964318983001</v>
      </c>
      <c r="E574">
        <v>3.6609879869675299</v>
      </c>
      <c r="F574">
        <v>32.026494777544002</v>
      </c>
      <c r="G574">
        <v>1.63032675708167</v>
      </c>
      <c r="H574">
        <v>177</v>
      </c>
    </row>
    <row r="575" spans="1:8">
      <c r="A575">
        <v>1.27690571459191</v>
      </c>
      <c r="B575">
        <v>4.2521550286291996</v>
      </c>
      <c r="C575">
        <v>28.762415788405701</v>
      </c>
      <c r="D575">
        <v>1.9509846468632299</v>
      </c>
      <c r="E575">
        <v>4.0200055330901501</v>
      </c>
      <c r="F575">
        <v>32.213035707087897</v>
      </c>
      <c r="G575">
        <v>1.7695230365090999</v>
      </c>
      <c r="H575">
        <v>172</v>
      </c>
    </row>
    <row r="576" spans="1:8">
      <c r="A576">
        <v>1.38035761612577</v>
      </c>
      <c r="B576">
        <v>4.2577900039348098</v>
      </c>
      <c r="C576">
        <v>25.885686840753898</v>
      </c>
      <c r="D576">
        <v>2.1166572402323802</v>
      </c>
      <c r="E576">
        <v>3.2267170104459399</v>
      </c>
      <c r="F576">
        <v>35.558024646890303</v>
      </c>
      <c r="G576">
        <v>1.8338549499025401</v>
      </c>
      <c r="H576">
        <v>187</v>
      </c>
    </row>
    <row r="577" spans="1:8">
      <c r="A577">
        <v>1.45097565023913</v>
      </c>
      <c r="B577">
        <v>4.1858820965020103</v>
      </c>
      <c r="C577">
        <v>26.0736262350235</v>
      </c>
      <c r="D577">
        <v>2.0199586818705302</v>
      </c>
      <c r="E577">
        <v>3.2126195240931898</v>
      </c>
      <c r="F577">
        <v>33.453729994362298</v>
      </c>
      <c r="G577">
        <v>0.99713100819936995</v>
      </c>
      <c r="H577">
        <v>19</v>
      </c>
    </row>
    <row r="578" spans="1:8">
      <c r="A578">
        <v>1.42032644307717</v>
      </c>
      <c r="B578">
        <v>4.1857095342154498</v>
      </c>
      <c r="C578">
        <v>26.326881842928099</v>
      </c>
      <c r="D578">
        <v>2.0338757493386499</v>
      </c>
      <c r="E578">
        <v>3.3697403778998201</v>
      </c>
      <c r="F578">
        <v>33.440926699203501</v>
      </c>
      <c r="G578">
        <v>1.3320122269204799</v>
      </c>
      <c r="H578">
        <v>85</v>
      </c>
    </row>
    <row r="579" spans="1:8">
      <c r="A579">
        <v>1.5325603640769201</v>
      </c>
      <c r="B579">
        <v>4.2212459921567698</v>
      </c>
      <c r="C579">
        <v>26.815738204696</v>
      </c>
      <c r="D579">
        <v>1.93146490553379</v>
      </c>
      <c r="E579">
        <v>3.9902882092690199</v>
      </c>
      <c r="F579">
        <v>32.086571793878001</v>
      </c>
      <c r="G579">
        <v>1.8609955932679301</v>
      </c>
      <c r="H579">
        <v>192</v>
      </c>
    </row>
    <row r="580" spans="1:8">
      <c r="A580">
        <v>1.5449403571727001</v>
      </c>
      <c r="B580">
        <v>4.1993080690984597</v>
      </c>
      <c r="C580">
        <v>24.706613161124501</v>
      </c>
      <c r="D580">
        <v>1.9979538327727999</v>
      </c>
      <c r="E580">
        <v>3.4222695472027298</v>
      </c>
      <c r="F580">
        <v>33.894588310130501</v>
      </c>
      <c r="G580">
        <v>1.1651300048258</v>
      </c>
      <c r="H580">
        <v>84</v>
      </c>
    </row>
    <row r="581" spans="1:8">
      <c r="A581">
        <v>1.53531297934246</v>
      </c>
      <c r="B581">
        <v>4.1443904176846296</v>
      </c>
      <c r="C581">
        <v>26.931174885149499</v>
      </c>
      <c r="D581">
        <v>2.02614410186681</v>
      </c>
      <c r="E581">
        <v>3.3304194609315401</v>
      </c>
      <c r="F581">
        <v>31.500359356707499</v>
      </c>
      <c r="G581">
        <v>1.9543251006892099</v>
      </c>
      <c r="H581">
        <v>199</v>
      </c>
    </row>
    <row r="582" spans="1:8">
      <c r="A582">
        <v>1.4116568455137599</v>
      </c>
      <c r="B582">
        <v>4.1818157136801801</v>
      </c>
      <c r="C582">
        <v>26.647881642477799</v>
      </c>
      <c r="D582">
        <v>2.06606811039839</v>
      </c>
      <c r="E582">
        <v>3.4707183397034198</v>
      </c>
      <c r="F582">
        <v>33.5704687516277</v>
      </c>
      <c r="G582">
        <v>1.7093281093174599</v>
      </c>
      <c r="H582">
        <v>190</v>
      </c>
    </row>
    <row r="583" spans="1:8">
      <c r="A583">
        <v>1.44409569281299</v>
      </c>
      <c r="B583">
        <v>4.2026090553875797</v>
      </c>
      <c r="C583">
        <v>26.1799941227471</v>
      </c>
      <c r="D583">
        <v>1.9929303351211201</v>
      </c>
      <c r="E583">
        <v>3.78413221167034</v>
      </c>
      <c r="F583">
        <v>33.689323693396901</v>
      </c>
      <c r="G583">
        <v>1.201311682836</v>
      </c>
      <c r="H583">
        <v>51</v>
      </c>
    </row>
    <row r="584" spans="1:8">
      <c r="A584">
        <v>1.40165362785418</v>
      </c>
      <c r="B584">
        <v>4.1926955699073298</v>
      </c>
      <c r="C584">
        <v>26.9189692965803</v>
      </c>
      <c r="D584">
        <v>1.89381450649621</v>
      </c>
      <c r="E584">
        <v>3.7041931947974902</v>
      </c>
      <c r="F584">
        <v>28.7230696266767</v>
      </c>
      <c r="G584">
        <v>1.65393362177475</v>
      </c>
      <c r="H584">
        <v>141</v>
      </c>
    </row>
    <row r="585" spans="1:8">
      <c r="A585">
        <v>1.5072777396975801</v>
      </c>
      <c r="B585">
        <v>4.1104999490817402</v>
      </c>
      <c r="C585">
        <v>26.411736290925401</v>
      </c>
      <c r="D585">
        <v>2.0878410312362101</v>
      </c>
      <c r="E585">
        <v>3.3358312932061098</v>
      </c>
      <c r="F585">
        <v>32.9924815933812</v>
      </c>
      <c r="G585">
        <v>1.00360759344471</v>
      </c>
      <c r="H585">
        <v>11</v>
      </c>
    </row>
    <row r="586" spans="1:8">
      <c r="A586">
        <v>1.3796248166228799</v>
      </c>
      <c r="B586">
        <v>4.1198020612516801</v>
      </c>
      <c r="C586">
        <v>26.8374651586184</v>
      </c>
      <c r="D586">
        <v>2.0058044193306301</v>
      </c>
      <c r="E586">
        <v>3.28869665717201</v>
      </c>
      <c r="F586">
        <v>33.429903574222699</v>
      </c>
      <c r="G586">
        <v>1.1415208462361</v>
      </c>
      <c r="H586">
        <v>38</v>
      </c>
    </row>
    <row r="587" spans="1:8">
      <c r="A587">
        <v>1.4102072626886599</v>
      </c>
      <c r="B587">
        <v>4.2182561837726196</v>
      </c>
      <c r="C587">
        <v>27.132223939409101</v>
      </c>
      <c r="D587">
        <v>2.0653549476294399</v>
      </c>
      <c r="E587">
        <v>3.0569505833250101</v>
      </c>
      <c r="F587">
        <v>31.045485488006602</v>
      </c>
      <c r="G587">
        <v>1.65592124640274</v>
      </c>
      <c r="H587">
        <v>181</v>
      </c>
    </row>
    <row r="588" spans="1:8">
      <c r="A588">
        <v>1.34047943862837</v>
      </c>
      <c r="B588">
        <v>4.19721035340066</v>
      </c>
      <c r="C588">
        <v>25.966632153890401</v>
      </c>
      <c r="D588">
        <v>2.1170790287633099</v>
      </c>
      <c r="E588">
        <v>3.91895736422217</v>
      </c>
      <c r="F588">
        <v>33.267554798250501</v>
      </c>
      <c r="G588">
        <v>1.3200310955375101</v>
      </c>
      <c r="H588">
        <v>81</v>
      </c>
    </row>
    <row r="589" spans="1:8">
      <c r="A589">
        <v>1.59351976938142</v>
      </c>
      <c r="B589">
        <v>4.2442557691179301</v>
      </c>
      <c r="C589">
        <v>27.741637529450401</v>
      </c>
      <c r="D589">
        <v>2.10970280876507</v>
      </c>
      <c r="E589">
        <v>3.3379169639125399</v>
      </c>
      <c r="F589">
        <v>31.7563142470824</v>
      </c>
      <c r="G589">
        <v>1.68291798876766</v>
      </c>
      <c r="H589">
        <v>157</v>
      </c>
    </row>
    <row r="590" spans="1:8">
      <c r="A590">
        <v>1.3154560789954399</v>
      </c>
      <c r="B590">
        <v>4.1728583452347401</v>
      </c>
      <c r="C590">
        <v>27.032302132633198</v>
      </c>
      <c r="D590">
        <v>2.0291812601180199</v>
      </c>
      <c r="E590">
        <v>3.6179363794391901</v>
      </c>
      <c r="F590">
        <v>33.996578971427802</v>
      </c>
      <c r="G590">
        <v>1.7897035889307999</v>
      </c>
      <c r="H590">
        <v>208</v>
      </c>
    </row>
    <row r="591" spans="1:8">
      <c r="A591">
        <v>1.42711416464342</v>
      </c>
      <c r="B591">
        <v>4.1744360817244601</v>
      </c>
      <c r="C591">
        <v>24.8048406203316</v>
      </c>
      <c r="D591">
        <v>2.14621352365111</v>
      </c>
      <c r="E591">
        <v>3.7488991119798398</v>
      </c>
      <c r="F591">
        <v>34.124911910428601</v>
      </c>
      <c r="G591">
        <v>1.35093329627639</v>
      </c>
      <c r="H591">
        <v>91</v>
      </c>
    </row>
    <row r="592" spans="1:8">
      <c r="A592">
        <v>1.5030517719408401</v>
      </c>
      <c r="B592">
        <v>4.1920699535795203</v>
      </c>
      <c r="C592">
        <v>26.396497806110101</v>
      </c>
      <c r="D592">
        <v>1.9383509564544299</v>
      </c>
      <c r="E592">
        <v>3.4802040802872898</v>
      </c>
      <c r="F592">
        <v>34.611131633516003</v>
      </c>
      <c r="G592">
        <v>0.85152718705154695</v>
      </c>
      <c r="H592">
        <v>19</v>
      </c>
    </row>
    <row r="593" spans="1:8">
      <c r="A593">
        <v>1.3996138567621299</v>
      </c>
      <c r="B593">
        <v>4.1590105147361598</v>
      </c>
      <c r="C593">
        <v>26.264733421911799</v>
      </c>
      <c r="D593">
        <v>1.95022529941006</v>
      </c>
      <c r="E593">
        <v>2.9660759514984401</v>
      </c>
      <c r="F593">
        <v>33.0988327830039</v>
      </c>
      <c r="G593">
        <v>1.54393721951424</v>
      </c>
      <c r="H593">
        <v>159</v>
      </c>
    </row>
    <row r="594" spans="1:8">
      <c r="A594">
        <v>1.3656212350007</v>
      </c>
      <c r="B594">
        <v>4.2254296852250199</v>
      </c>
      <c r="C594">
        <v>28.0397940294826</v>
      </c>
      <c r="D594">
        <v>2.1825444842156898</v>
      </c>
      <c r="E594">
        <v>3.4324643195318698</v>
      </c>
      <c r="F594">
        <v>32.961491600730298</v>
      </c>
      <c r="G594">
        <v>1.6738074060244701</v>
      </c>
      <c r="H594">
        <v>155</v>
      </c>
    </row>
    <row r="595" spans="1:8">
      <c r="A595">
        <v>1.3386508989694601</v>
      </c>
      <c r="B595">
        <v>4.17746812217736</v>
      </c>
      <c r="C595">
        <v>27.468265481794798</v>
      </c>
      <c r="D595">
        <v>2.0957908347103098</v>
      </c>
      <c r="E595">
        <v>3.9319794754327702</v>
      </c>
      <c r="F595">
        <v>35.762206221152702</v>
      </c>
      <c r="G595">
        <v>1.9290872626339499</v>
      </c>
      <c r="H595">
        <v>205</v>
      </c>
    </row>
    <row r="596" spans="1:8">
      <c r="A596">
        <v>1.4451369926536599</v>
      </c>
      <c r="B596">
        <v>4.1984578546798401</v>
      </c>
      <c r="C596">
        <v>27.0413220672209</v>
      </c>
      <c r="D596">
        <v>2.0082582807099398</v>
      </c>
      <c r="E596">
        <v>3.4994495147251601</v>
      </c>
      <c r="F596">
        <v>31.646980232172801</v>
      </c>
      <c r="G596">
        <v>1.2103077127124</v>
      </c>
      <c r="H596">
        <v>63</v>
      </c>
    </row>
    <row r="597" spans="1:8">
      <c r="A597">
        <v>1.2405606151120501</v>
      </c>
      <c r="B597">
        <v>4.2133466723973898</v>
      </c>
      <c r="C597">
        <v>26.1103705512988</v>
      </c>
      <c r="D597">
        <v>2.1364610066999798</v>
      </c>
      <c r="E597">
        <v>3.7334586792563602</v>
      </c>
      <c r="F597">
        <v>33.934436966008199</v>
      </c>
      <c r="G597">
        <v>1.7920944651211701</v>
      </c>
      <c r="H597">
        <v>179</v>
      </c>
    </row>
    <row r="598" spans="1:8">
      <c r="A598">
        <v>1.54850000745995</v>
      </c>
      <c r="B598">
        <v>4.2544337629345099</v>
      </c>
      <c r="C598">
        <v>27.2489011832849</v>
      </c>
      <c r="D598">
        <v>1.9733374348029999</v>
      </c>
      <c r="E598">
        <v>3.3303491474236502</v>
      </c>
      <c r="F598">
        <v>32.7807279602969</v>
      </c>
      <c r="G598">
        <v>1.67990785135347</v>
      </c>
      <c r="H598">
        <v>187</v>
      </c>
    </row>
    <row r="599" spans="1:8">
      <c r="A599">
        <v>1.3947815897651901</v>
      </c>
      <c r="B599">
        <v>4.2551670511216004</v>
      </c>
      <c r="C599">
        <v>27.2705623063726</v>
      </c>
      <c r="D599">
        <v>1.95496789560761</v>
      </c>
      <c r="E599">
        <v>3.6044541528555798</v>
      </c>
      <c r="F599">
        <v>35.617676817434997</v>
      </c>
      <c r="G599">
        <v>1.19161741472167</v>
      </c>
      <c r="H599">
        <v>50</v>
      </c>
    </row>
    <row r="600" spans="1:8">
      <c r="A600">
        <v>1.4744428437645201</v>
      </c>
      <c r="B600">
        <v>4.1573700381674996</v>
      </c>
      <c r="C600">
        <v>27.118962534587201</v>
      </c>
      <c r="D600">
        <v>2.0586262060644902</v>
      </c>
      <c r="E600">
        <v>3.6615834249071599</v>
      </c>
      <c r="F600">
        <v>34.670682563524103</v>
      </c>
      <c r="G600">
        <v>1.06351297069658</v>
      </c>
      <c r="H600">
        <v>32</v>
      </c>
    </row>
    <row r="601" spans="1:8">
      <c r="A601">
        <v>1.4249668306563701</v>
      </c>
      <c r="B601">
        <v>4.1555497129639001</v>
      </c>
      <c r="C601">
        <v>25.2060016172655</v>
      </c>
      <c r="D601">
        <v>2.16191620994497</v>
      </c>
      <c r="E601">
        <v>3.5906474992018</v>
      </c>
      <c r="F601">
        <v>32.888621255339501</v>
      </c>
      <c r="G601">
        <v>0.90718454515149904</v>
      </c>
      <c r="H601">
        <v>3</v>
      </c>
    </row>
    <row r="602" spans="1:8">
      <c r="A602">
        <v>1.451060102877</v>
      </c>
      <c r="B602">
        <v>4.2346602873190404</v>
      </c>
      <c r="C602">
        <v>26.579110376706701</v>
      </c>
      <c r="D602">
        <v>2.0725573705387301</v>
      </c>
      <c r="E602">
        <v>3.76509855399163</v>
      </c>
      <c r="F602">
        <v>33.135781404354802</v>
      </c>
      <c r="G602">
        <v>1.7299871468656001</v>
      </c>
      <c r="H602">
        <v>167</v>
      </c>
    </row>
    <row r="603" spans="1:8">
      <c r="A603">
        <v>1.28434485292881</v>
      </c>
      <c r="B603">
        <v>4.2027239031659702</v>
      </c>
      <c r="C603">
        <v>26.069650984846501</v>
      </c>
      <c r="D603">
        <v>2.0825773988515501</v>
      </c>
      <c r="E603">
        <v>3.5926091084037499</v>
      </c>
      <c r="F603">
        <v>35.543390590639397</v>
      </c>
      <c r="G603">
        <v>1.41575001070564</v>
      </c>
      <c r="H603">
        <v>92</v>
      </c>
    </row>
    <row r="604" spans="1:8">
      <c r="A604">
        <v>1.44081573644528</v>
      </c>
      <c r="B604">
        <v>4.1766205552170197</v>
      </c>
      <c r="C604">
        <v>28.0176181228274</v>
      </c>
      <c r="D604">
        <v>2.2089047571265299</v>
      </c>
      <c r="E604">
        <v>3.5946239714294901</v>
      </c>
      <c r="F604">
        <v>32.294157700518198</v>
      </c>
      <c r="G604">
        <v>1.6226679595853599</v>
      </c>
      <c r="H604">
        <v>134</v>
      </c>
    </row>
    <row r="605" spans="1:8">
      <c r="A605">
        <v>1.5128543669322401</v>
      </c>
      <c r="B605">
        <v>4.2481795657743699</v>
      </c>
      <c r="C605">
        <v>26.291246499159602</v>
      </c>
      <c r="D605">
        <v>1.93962756130224</v>
      </c>
      <c r="E605">
        <v>3.1306214555004801</v>
      </c>
      <c r="F605">
        <v>33.252901120670899</v>
      </c>
      <c r="G605">
        <v>1.8446616335056201</v>
      </c>
      <c r="H605">
        <v>178</v>
      </c>
    </row>
    <row r="606" spans="1:8">
      <c r="A606">
        <v>1.3565139051403501</v>
      </c>
      <c r="B606">
        <v>4.1938392821569499</v>
      </c>
      <c r="C606">
        <v>27.8914248356587</v>
      </c>
      <c r="D606">
        <v>2.0331289672739099</v>
      </c>
      <c r="E606">
        <v>3.01850948034174</v>
      </c>
      <c r="F606">
        <v>35.489719948175598</v>
      </c>
      <c r="G606">
        <v>1.8424337043893799</v>
      </c>
      <c r="H606">
        <v>218</v>
      </c>
    </row>
    <row r="607" spans="1:8">
      <c r="A607">
        <v>1.3882244925409299</v>
      </c>
      <c r="B607">
        <v>4.1903608821587301</v>
      </c>
      <c r="C607">
        <v>25.051679356169</v>
      </c>
      <c r="D607">
        <v>2.0482756144583498</v>
      </c>
      <c r="E607">
        <v>3.8269939331004799</v>
      </c>
      <c r="F607">
        <v>33.380948869464703</v>
      </c>
      <c r="G607">
        <v>1.87161701761859</v>
      </c>
      <c r="H607">
        <v>224</v>
      </c>
    </row>
    <row r="608" spans="1:8">
      <c r="A608">
        <v>1.34540970714021</v>
      </c>
      <c r="B608">
        <v>4.2142560302138401</v>
      </c>
      <c r="C608">
        <v>29.098463226638899</v>
      </c>
      <c r="D608">
        <v>1.9677155918331</v>
      </c>
      <c r="E608">
        <v>3.9420910218014602</v>
      </c>
      <c r="F608">
        <v>30.828397156886101</v>
      </c>
      <c r="G608">
        <v>0.76201011610608105</v>
      </c>
      <c r="H608">
        <v>2</v>
      </c>
    </row>
    <row r="609" spans="1:8">
      <c r="A609">
        <v>1.23949002812511</v>
      </c>
      <c r="B609">
        <v>4.1721102964272401</v>
      </c>
      <c r="C609">
        <v>28.367920783742299</v>
      </c>
      <c r="D609">
        <v>2.0347137270559901</v>
      </c>
      <c r="E609">
        <v>3.1542767398527101</v>
      </c>
      <c r="F609">
        <v>33.4677899521405</v>
      </c>
      <c r="G609">
        <v>1.74705875417894</v>
      </c>
      <c r="H609">
        <v>160</v>
      </c>
    </row>
    <row r="610" spans="1:8">
      <c r="A610">
        <v>1.40255055973595</v>
      </c>
      <c r="B610">
        <v>4.2627213339619496</v>
      </c>
      <c r="C610">
        <v>25.535385418589598</v>
      </c>
      <c r="D610">
        <v>2.0028555379189901</v>
      </c>
      <c r="E610">
        <v>3.1058954169650801</v>
      </c>
      <c r="F610">
        <v>32.649522561779399</v>
      </c>
      <c r="G610">
        <v>0.99181034898417397</v>
      </c>
      <c r="H610">
        <v>18</v>
      </c>
    </row>
    <row r="611" spans="1:8">
      <c r="A611">
        <v>1.4029037179316299</v>
      </c>
      <c r="B611">
        <v>4.1934501663614601</v>
      </c>
      <c r="C611">
        <v>26.8544140214238</v>
      </c>
      <c r="D611">
        <v>2.0543622305157498</v>
      </c>
      <c r="E611">
        <v>3.9596402663292798</v>
      </c>
      <c r="F611">
        <v>34.4286901325966</v>
      </c>
      <c r="G611">
        <v>1.1906763988515401</v>
      </c>
      <c r="H611">
        <v>58</v>
      </c>
    </row>
    <row r="612" spans="1:8">
      <c r="A612">
        <v>1.3417579301758999</v>
      </c>
      <c r="B612">
        <v>4.1137444875757598</v>
      </c>
      <c r="C612">
        <v>26.525236271983001</v>
      </c>
      <c r="D612">
        <v>2.0398553141202802</v>
      </c>
      <c r="E612">
        <v>3.16515881359441</v>
      </c>
      <c r="F612">
        <v>32.1224703925947</v>
      </c>
      <c r="G612">
        <v>1.3707221964149601</v>
      </c>
      <c r="H612">
        <v>124</v>
      </c>
    </row>
    <row r="613" spans="1:8">
      <c r="A613">
        <v>1.3849560957625</v>
      </c>
      <c r="B613">
        <v>4.1993004654117998</v>
      </c>
      <c r="C613">
        <v>28.0771786422075</v>
      </c>
      <c r="D613">
        <v>2.1050704923816301</v>
      </c>
      <c r="E613">
        <v>3.4816723178920101</v>
      </c>
      <c r="F613">
        <v>34.532818765499997</v>
      </c>
      <c r="G613">
        <v>1.09537681078101</v>
      </c>
      <c r="H613">
        <v>28</v>
      </c>
    </row>
    <row r="614" spans="1:8">
      <c r="A614">
        <v>1.3134162433501599</v>
      </c>
      <c r="B614">
        <v>4.2216149116976496</v>
      </c>
      <c r="C614">
        <v>26.484182343550899</v>
      </c>
      <c r="D614">
        <v>1.9579063074068599</v>
      </c>
      <c r="E614">
        <v>3.9377351502265698</v>
      </c>
      <c r="F614">
        <v>36.793273453204797</v>
      </c>
      <c r="G614">
        <v>1.77330251754849</v>
      </c>
      <c r="H614">
        <v>203</v>
      </c>
    </row>
    <row r="615" spans="1:8">
      <c r="A615">
        <v>1.3354663089496399</v>
      </c>
      <c r="B615">
        <v>4.1908086568464098</v>
      </c>
      <c r="C615">
        <v>27.644096433146402</v>
      </c>
      <c r="D615">
        <v>2.0789967546475401</v>
      </c>
      <c r="E615">
        <v>3.7625070032662098</v>
      </c>
      <c r="F615">
        <v>33.082259518131103</v>
      </c>
      <c r="G615">
        <v>1.47268841660893</v>
      </c>
      <c r="H615">
        <v>114</v>
      </c>
    </row>
    <row r="616" spans="1:8">
      <c r="A616">
        <v>1.3606769918682999</v>
      </c>
      <c r="B616">
        <v>4.2367357583217196</v>
      </c>
      <c r="C616">
        <v>25.5347821661396</v>
      </c>
      <c r="D616">
        <v>2.0218461056205399</v>
      </c>
      <c r="E616">
        <v>2.92327304544339</v>
      </c>
      <c r="F616">
        <v>34.467243762558603</v>
      </c>
      <c r="G616">
        <v>1.32347891244713</v>
      </c>
      <c r="H616">
        <v>114</v>
      </c>
    </row>
    <row r="617" spans="1:8">
      <c r="A617">
        <v>1.39376851635556</v>
      </c>
      <c r="B617">
        <v>4.2678608653492001</v>
      </c>
      <c r="C617">
        <v>28.427573613694801</v>
      </c>
      <c r="D617">
        <v>2.0035238280251</v>
      </c>
      <c r="E617">
        <v>3.5999203224332099</v>
      </c>
      <c r="F617">
        <v>32.515026861248003</v>
      </c>
      <c r="G617">
        <v>1.1462214343525601</v>
      </c>
      <c r="H617">
        <v>40</v>
      </c>
    </row>
    <row r="618" spans="1:8">
      <c r="A618">
        <v>1.4165945775339099</v>
      </c>
      <c r="B618">
        <v>4.1598248044491601</v>
      </c>
      <c r="C618">
        <v>25.665347317603601</v>
      </c>
      <c r="D618">
        <v>1.8299494970638199</v>
      </c>
      <c r="E618">
        <v>4.0387406244217203</v>
      </c>
      <c r="F618">
        <v>32.257920178918901</v>
      </c>
      <c r="G618">
        <v>1.9862397074872</v>
      </c>
      <c r="H618">
        <v>218</v>
      </c>
    </row>
    <row r="619" spans="1:8">
      <c r="A619">
        <v>1.48804223761196</v>
      </c>
      <c r="B619">
        <v>4.2404824739212001</v>
      </c>
      <c r="C619">
        <v>28.856160187118601</v>
      </c>
      <c r="D619">
        <v>1.9831388697752901</v>
      </c>
      <c r="E619">
        <v>3.8693435728179102</v>
      </c>
      <c r="F619">
        <v>29.8853386364862</v>
      </c>
      <c r="G619">
        <v>0.97426826016022605</v>
      </c>
      <c r="H619">
        <v>45</v>
      </c>
    </row>
    <row r="620" spans="1:8">
      <c r="A620">
        <v>1.3395582840290201</v>
      </c>
      <c r="B620">
        <v>4.2069877354130396</v>
      </c>
      <c r="C620">
        <v>26.445091827769101</v>
      </c>
      <c r="D620">
        <v>2.0959957675393399</v>
      </c>
      <c r="E620">
        <v>3.3719988091161701</v>
      </c>
      <c r="F620">
        <v>34.549392862970201</v>
      </c>
      <c r="G620">
        <v>1.33958443786937</v>
      </c>
      <c r="H620">
        <v>118</v>
      </c>
    </row>
    <row r="621" spans="1:8">
      <c r="A621">
        <v>1.29950394997341</v>
      </c>
      <c r="B621">
        <v>4.2481259469923103</v>
      </c>
      <c r="C621">
        <v>26.028819008958799</v>
      </c>
      <c r="D621">
        <v>1.90508892025541</v>
      </c>
      <c r="E621">
        <v>3.5439493663153501</v>
      </c>
      <c r="F621">
        <v>29.848937561869601</v>
      </c>
      <c r="G621">
        <v>1.5984154209669399</v>
      </c>
      <c r="H621">
        <v>139</v>
      </c>
    </row>
    <row r="622" spans="1:8">
      <c r="A622">
        <v>1.4933455430065301</v>
      </c>
      <c r="B622">
        <v>4.2413940552173299</v>
      </c>
      <c r="C622">
        <v>24.524052444903699</v>
      </c>
      <c r="D622">
        <v>2.13574787892304</v>
      </c>
      <c r="E622">
        <v>3.2917127666786401</v>
      </c>
      <c r="F622">
        <v>31.5010948977231</v>
      </c>
      <c r="G622">
        <v>0.968216004794487</v>
      </c>
      <c r="H622">
        <v>14</v>
      </c>
    </row>
    <row r="623" spans="1:8">
      <c r="A623">
        <v>1.3800612625898101</v>
      </c>
      <c r="B623">
        <v>4.1721832487052701</v>
      </c>
      <c r="C623">
        <v>24.795294936604201</v>
      </c>
      <c r="D623">
        <v>1.8758965650875901</v>
      </c>
      <c r="E623">
        <v>3.2701428063476099</v>
      </c>
      <c r="F623">
        <v>30.402693816898399</v>
      </c>
      <c r="G623">
        <v>1.8243416628581399</v>
      </c>
      <c r="H623">
        <v>185</v>
      </c>
    </row>
    <row r="624" spans="1:8">
      <c r="A624">
        <v>1.33513020334452</v>
      </c>
      <c r="B624">
        <v>4.2388182912111398</v>
      </c>
      <c r="C624">
        <v>29.227748580772399</v>
      </c>
      <c r="D624">
        <v>1.96738984306872</v>
      </c>
      <c r="E624">
        <v>3.4486948235083701</v>
      </c>
      <c r="F624">
        <v>35.567877673534198</v>
      </c>
      <c r="G624">
        <v>1.6015961442333799</v>
      </c>
      <c r="H624">
        <v>171</v>
      </c>
    </row>
    <row r="625" spans="1:8">
      <c r="A625">
        <v>1.4787550024812</v>
      </c>
      <c r="B625">
        <v>4.2782934056727902</v>
      </c>
      <c r="C625">
        <v>27.238167404958102</v>
      </c>
      <c r="D625">
        <v>2.0790613416813102</v>
      </c>
      <c r="E625">
        <v>3.8337539270377299</v>
      </c>
      <c r="F625">
        <v>34.909111026706498</v>
      </c>
      <c r="G625">
        <v>0.95853822331650496</v>
      </c>
      <c r="H625">
        <v>2</v>
      </c>
    </row>
    <row r="626" spans="1:8">
      <c r="A626">
        <v>1.4273272479868899</v>
      </c>
      <c r="B626">
        <v>4.2484156643819198</v>
      </c>
      <c r="C626">
        <v>25.546962522552299</v>
      </c>
      <c r="D626">
        <v>1.9954233491173701</v>
      </c>
      <c r="E626">
        <v>3.9122713161926401</v>
      </c>
      <c r="F626">
        <v>29.377902187382301</v>
      </c>
      <c r="G626">
        <v>1.87156014608688</v>
      </c>
      <c r="H626">
        <v>225</v>
      </c>
    </row>
    <row r="627" spans="1:8">
      <c r="A627">
        <v>1.5161171404404701</v>
      </c>
      <c r="B627">
        <v>4.1176900704863204</v>
      </c>
      <c r="C627">
        <v>27.7598597083255</v>
      </c>
      <c r="D627">
        <v>1.9225091708372899</v>
      </c>
      <c r="E627">
        <v>3.6000158920359602</v>
      </c>
      <c r="F627">
        <v>31.989588486334</v>
      </c>
      <c r="G627">
        <v>1.2539073780666501</v>
      </c>
      <c r="H627">
        <v>63</v>
      </c>
    </row>
    <row r="628" spans="1:8">
      <c r="A628">
        <v>1.31539596412712</v>
      </c>
      <c r="B628">
        <v>4.11055219094977</v>
      </c>
      <c r="C628">
        <v>25.350753206625701</v>
      </c>
      <c r="D628">
        <v>2.0160450248177901</v>
      </c>
      <c r="E628">
        <v>3.6883260815954002</v>
      </c>
      <c r="F628">
        <v>31.4622601601613</v>
      </c>
      <c r="G628">
        <v>1.5402955691220199</v>
      </c>
      <c r="H628">
        <v>128</v>
      </c>
    </row>
    <row r="629" spans="1:8">
      <c r="A629">
        <v>1.0008587052284601</v>
      </c>
      <c r="B629">
        <v>4.3193642357381004</v>
      </c>
      <c r="C629">
        <v>27.772925989960701</v>
      </c>
      <c r="D629">
        <v>2.0276134498878902</v>
      </c>
      <c r="E629">
        <v>3.2382325015372402</v>
      </c>
      <c r="F629">
        <v>31.607655804053</v>
      </c>
      <c r="G629">
        <v>1.39815510309821</v>
      </c>
      <c r="H629">
        <v>90</v>
      </c>
    </row>
    <row r="630" spans="1:8">
      <c r="A630">
        <v>1.4838578194501399</v>
      </c>
      <c r="B630">
        <v>4.1685613485013304</v>
      </c>
      <c r="C630">
        <v>29.460819354720101</v>
      </c>
      <c r="D630">
        <v>1.86617383009744</v>
      </c>
      <c r="E630">
        <v>3.8673082321592398</v>
      </c>
      <c r="F630">
        <v>32.344955699427501</v>
      </c>
      <c r="G630">
        <v>1.32674725021271</v>
      </c>
      <c r="H630">
        <v>115</v>
      </c>
    </row>
    <row r="631" spans="1:8">
      <c r="A631">
        <v>1.3271430203168</v>
      </c>
      <c r="B631">
        <v>4.2270054127300201</v>
      </c>
      <c r="C631">
        <v>25.4179230877164</v>
      </c>
      <c r="D631">
        <v>1.9362733791495299</v>
      </c>
      <c r="E631">
        <v>3.9300374486544598</v>
      </c>
      <c r="F631">
        <v>32.004981847904503</v>
      </c>
      <c r="G631">
        <v>1.37393631822047</v>
      </c>
      <c r="H631">
        <v>84</v>
      </c>
    </row>
    <row r="632" spans="1:8">
      <c r="A632">
        <v>1.49337116964919</v>
      </c>
      <c r="B632">
        <v>4.1626474304120302</v>
      </c>
      <c r="C632">
        <v>25.640426298617701</v>
      </c>
      <c r="D632">
        <v>1.94262750714979</v>
      </c>
      <c r="E632">
        <v>3.26421132271859</v>
      </c>
      <c r="F632">
        <v>30.2750674244054</v>
      </c>
      <c r="G632">
        <v>1.88784590444968</v>
      </c>
      <c r="H632">
        <v>188</v>
      </c>
    </row>
    <row r="633" spans="1:8">
      <c r="A633">
        <v>1.4410438228339399</v>
      </c>
      <c r="B633">
        <v>4.2039740493028503</v>
      </c>
      <c r="C633">
        <v>24.252692225425601</v>
      </c>
      <c r="D633">
        <v>1.9753489335697001</v>
      </c>
      <c r="E633">
        <v>3.3663186256381401</v>
      </c>
      <c r="F633">
        <v>30.6970621859878</v>
      </c>
      <c r="G633">
        <v>1.9339836360923399</v>
      </c>
      <c r="H633">
        <v>206</v>
      </c>
    </row>
    <row r="634" spans="1:8">
      <c r="A634">
        <v>1.5842487873401501</v>
      </c>
      <c r="B634">
        <v>4.2154605789806299</v>
      </c>
      <c r="C634">
        <v>27.252432558156698</v>
      </c>
      <c r="D634">
        <v>2.0485911603426898</v>
      </c>
      <c r="E634">
        <v>3.3119512652066301</v>
      </c>
      <c r="F634">
        <v>30.089927670479</v>
      </c>
      <c r="G634">
        <v>1.53191839776715</v>
      </c>
      <c r="H634">
        <v>114</v>
      </c>
    </row>
    <row r="635" spans="1:8">
      <c r="A635">
        <v>1.3550115997112999</v>
      </c>
      <c r="B635">
        <v>4.2479952935616998</v>
      </c>
      <c r="C635">
        <v>29.074284832117598</v>
      </c>
      <c r="D635">
        <v>1.93098536483412</v>
      </c>
      <c r="E635">
        <v>3.67550249289551</v>
      </c>
      <c r="F635">
        <v>34.813456164302401</v>
      </c>
      <c r="G635">
        <v>1.14765193347852</v>
      </c>
      <c r="H635">
        <v>79</v>
      </c>
    </row>
    <row r="636" spans="1:8">
      <c r="A636">
        <v>1.37269463172515</v>
      </c>
      <c r="B636">
        <v>4.1149803532527596</v>
      </c>
      <c r="C636">
        <v>26.4082514816368</v>
      </c>
      <c r="D636">
        <v>1.8249415643140099</v>
      </c>
      <c r="E636">
        <v>3.4294684768044399</v>
      </c>
      <c r="F636">
        <v>34.363505234691601</v>
      </c>
      <c r="G636">
        <v>1.15450556766085</v>
      </c>
      <c r="H636">
        <v>42</v>
      </c>
    </row>
    <row r="637" spans="1:8">
      <c r="A637">
        <v>1.26630835494567</v>
      </c>
      <c r="B637">
        <v>4.1161162020111703</v>
      </c>
      <c r="C637">
        <v>25.5734524954721</v>
      </c>
      <c r="D637">
        <v>1.89291552382552</v>
      </c>
      <c r="E637">
        <v>3.19018356936777</v>
      </c>
      <c r="F637">
        <v>30.841460221734899</v>
      </c>
      <c r="G637">
        <v>1.73478396278097</v>
      </c>
      <c r="H637">
        <v>156</v>
      </c>
    </row>
    <row r="638" spans="1:8">
      <c r="A638">
        <v>1.4295946603549201</v>
      </c>
      <c r="B638">
        <v>4.1753133591666103</v>
      </c>
      <c r="C638">
        <v>27.188022152507799</v>
      </c>
      <c r="D638">
        <v>1.91517523852455</v>
      </c>
      <c r="E638">
        <v>3.57787328862748</v>
      </c>
      <c r="F638">
        <v>29.935584268463</v>
      </c>
      <c r="G638">
        <v>1.16417892791592</v>
      </c>
      <c r="H638">
        <v>53</v>
      </c>
    </row>
    <row r="639" spans="1:8">
      <c r="A639">
        <v>1.3021210180446099</v>
      </c>
      <c r="B639">
        <v>4.1789464043400297</v>
      </c>
      <c r="C639">
        <v>25.092503440537399</v>
      </c>
      <c r="D639">
        <v>2.1043288534378202</v>
      </c>
      <c r="E639">
        <v>3.6840179470924999</v>
      </c>
      <c r="F639">
        <v>32.702047605229097</v>
      </c>
      <c r="G639">
        <v>0.77830867005597704</v>
      </c>
      <c r="H639">
        <v>5</v>
      </c>
    </row>
    <row r="640" spans="1:8">
      <c r="A640">
        <v>1.32034065386558</v>
      </c>
      <c r="B640">
        <v>4.2491765410341404</v>
      </c>
      <c r="C640">
        <v>27.271084954775802</v>
      </c>
      <c r="D640">
        <v>2.13632528928528</v>
      </c>
      <c r="E640">
        <v>3.2758738792593101</v>
      </c>
      <c r="F640">
        <v>37.1386634885502</v>
      </c>
      <c r="G640">
        <v>1.72329631055069</v>
      </c>
      <c r="H640">
        <v>195</v>
      </c>
    </row>
    <row r="641" spans="1:8">
      <c r="A641">
        <v>1.5708232270202001</v>
      </c>
      <c r="B641">
        <v>4.2524587210208997</v>
      </c>
      <c r="C641">
        <v>28.281977458753101</v>
      </c>
      <c r="D641">
        <v>1.85708481401138</v>
      </c>
      <c r="E641">
        <v>3.1209031290745601</v>
      </c>
      <c r="F641">
        <v>35.053177417651</v>
      </c>
      <c r="G641">
        <v>0.82616741530402604</v>
      </c>
      <c r="H641">
        <v>15</v>
      </c>
    </row>
    <row r="642" spans="1:8">
      <c r="A642">
        <v>1.3277292708872901</v>
      </c>
      <c r="B642">
        <v>4.20891311806679</v>
      </c>
      <c r="C642">
        <v>25.628278719799798</v>
      </c>
      <c r="D642">
        <v>2.0484852323455001</v>
      </c>
      <c r="E642">
        <v>3.3404001649971602</v>
      </c>
      <c r="F642">
        <v>32.158371566056204</v>
      </c>
      <c r="G642">
        <v>1.63021124174264</v>
      </c>
      <c r="H642">
        <v>175</v>
      </c>
    </row>
    <row r="643" spans="1:8">
      <c r="A643">
        <v>1.28283730090758</v>
      </c>
      <c r="B643">
        <v>4.1572377232483904</v>
      </c>
      <c r="C643">
        <v>26.4126278698728</v>
      </c>
      <c r="D643">
        <v>1.94830494403779</v>
      </c>
      <c r="E643">
        <v>4.12276920594703</v>
      </c>
      <c r="F643">
        <v>32.829567409004</v>
      </c>
      <c r="G643">
        <v>1.88293292486664</v>
      </c>
      <c r="H643">
        <v>186</v>
      </c>
    </row>
    <row r="644" spans="1:8">
      <c r="A644">
        <v>1.47479505410599</v>
      </c>
      <c r="B644">
        <v>4.2747794965248298</v>
      </c>
      <c r="C644">
        <v>28.748802171784899</v>
      </c>
      <c r="D644">
        <v>2.1602423147824998</v>
      </c>
      <c r="E644">
        <v>2.7155888222060902</v>
      </c>
      <c r="F644">
        <v>34.7217548651576</v>
      </c>
      <c r="G644">
        <v>1.3144299368438801</v>
      </c>
      <c r="H644">
        <v>113</v>
      </c>
    </row>
    <row r="645" spans="1:8">
      <c r="A645">
        <v>1.3239003289420599</v>
      </c>
      <c r="B645">
        <v>4.2402351070236604</v>
      </c>
      <c r="C645">
        <v>27.0700097303136</v>
      </c>
      <c r="D645">
        <v>1.98255131673356</v>
      </c>
      <c r="E645">
        <v>3.4676015535546099</v>
      </c>
      <c r="F645">
        <v>35.749101998350802</v>
      </c>
      <c r="G645">
        <v>1.3280013221035001</v>
      </c>
      <c r="H645">
        <v>117</v>
      </c>
    </row>
    <row r="646" spans="1:8">
      <c r="A646">
        <v>1.2507200730169299</v>
      </c>
      <c r="B646">
        <v>4.1635896231335803</v>
      </c>
      <c r="C646">
        <v>28.722917477042401</v>
      </c>
      <c r="D646">
        <v>2.0119319652424301</v>
      </c>
      <c r="E646">
        <v>3.2172987498433199</v>
      </c>
      <c r="F646">
        <v>31.568073857884901</v>
      </c>
      <c r="G646">
        <v>1.04898695509911</v>
      </c>
      <c r="H646">
        <v>30</v>
      </c>
    </row>
    <row r="647" spans="1:8">
      <c r="A647">
        <v>1.44169365554804</v>
      </c>
      <c r="B647">
        <v>4.1562130276016598</v>
      </c>
      <c r="C647">
        <v>26.445414397022301</v>
      </c>
      <c r="D647">
        <v>1.99242381444159</v>
      </c>
      <c r="E647">
        <v>3.62763305520614</v>
      </c>
      <c r="F647">
        <v>33.493319808394197</v>
      </c>
      <c r="G647">
        <v>1.77221305977322</v>
      </c>
      <c r="H647">
        <v>204</v>
      </c>
    </row>
    <row r="648" spans="1:8">
      <c r="A648">
        <v>1.3576289476586501</v>
      </c>
      <c r="B648">
        <v>4.2251288850443496</v>
      </c>
      <c r="C648">
        <v>28.219789192364601</v>
      </c>
      <c r="D648">
        <v>1.94825992518042</v>
      </c>
      <c r="E648">
        <v>3.2762370991501202</v>
      </c>
      <c r="F648">
        <v>33.269247150605302</v>
      </c>
      <c r="G648">
        <v>1.59465915948235</v>
      </c>
      <c r="H648">
        <v>169</v>
      </c>
    </row>
    <row r="649" spans="1:8">
      <c r="A649">
        <v>1.3759179005682201</v>
      </c>
      <c r="B649">
        <v>4.2529376168158297</v>
      </c>
      <c r="C649">
        <v>28.725426794206399</v>
      </c>
      <c r="D649">
        <v>1.9572368653949701</v>
      </c>
      <c r="E649">
        <v>3.4143317767067001</v>
      </c>
      <c r="F649">
        <v>33.729740835932503</v>
      </c>
      <c r="G649">
        <v>1.7009816094230601</v>
      </c>
      <c r="H649">
        <v>161</v>
      </c>
    </row>
    <row r="650" spans="1:8">
      <c r="A650">
        <v>1.3545809029570799</v>
      </c>
      <c r="B650">
        <v>4.2158120531316197</v>
      </c>
      <c r="C650">
        <v>26.515068118557799</v>
      </c>
      <c r="D650">
        <v>2.0788562759062601</v>
      </c>
      <c r="E650">
        <v>3.7861750314576499</v>
      </c>
      <c r="F650">
        <v>33.633689767319602</v>
      </c>
      <c r="G650">
        <v>1.76441779895726</v>
      </c>
      <c r="H650">
        <v>205</v>
      </c>
    </row>
    <row r="651" spans="1:8">
      <c r="A651">
        <v>1.3030280394861899</v>
      </c>
      <c r="B651">
        <v>4.1676549416343702</v>
      </c>
      <c r="C651">
        <v>27.395476725591799</v>
      </c>
      <c r="D651">
        <v>2.00596878963138</v>
      </c>
      <c r="E651">
        <v>3.78231782919439</v>
      </c>
      <c r="F651">
        <v>29.7406913830186</v>
      </c>
      <c r="G651">
        <v>1.3373203053116201</v>
      </c>
      <c r="H651">
        <v>119</v>
      </c>
    </row>
    <row r="652" spans="1:8">
      <c r="A652">
        <v>1.31211697228846</v>
      </c>
      <c r="B652">
        <v>4.2144975073603703</v>
      </c>
      <c r="C652">
        <v>26.454818675712598</v>
      </c>
      <c r="D652">
        <v>1.8810567512754901</v>
      </c>
      <c r="E652">
        <v>3.3937758369328899</v>
      </c>
      <c r="F652">
        <v>34.4086601486311</v>
      </c>
      <c r="G652">
        <v>1.82861072620496</v>
      </c>
      <c r="H652">
        <v>177</v>
      </c>
    </row>
    <row r="653" spans="1:8">
      <c r="A653">
        <v>1.32357544820128</v>
      </c>
      <c r="B653">
        <v>4.1960910405356202</v>
      </c>
      <c r="C653">
        <v>25.6914547730198</v>
      </c>
      <c r="D653">
        <v>1.9191224014677</v>
      </c>
      <c r="E653">
        <v>4.1907259075365504</v>
      </c>
      <c r="F653">
        <v>32.895228059067101</v>
      </c>
      <c r="G653">
        <v>1.8878543960741401</v>
      </c>
      <c r="H653">
        <v>198</v>
      </c>
    </row>
    <row r="654" spans="1:8">
      <c r="A654">
        <v>1.3335542831963101</v>
      </c>
      <c r="B654">
        <v>4.1879965935886201</v>
      </c>
      <c r="C654">
        <v>27.012820397749</v>
      </c>
      <c r="D654">
        <v>2.0794738365930501</v>
      </c>
      <c r="E654">
        <v>3.4502964779186298</v>
      </c>
      <c r="F654">
        <v>31.536012361603198</v>
      </c>
      <c r="G654">
        <v>1.5347260407041501</v>
      </c>
      <c r="H654">
        <v>116</v>
      </c>
    </row>
    <row r="655" spans="1:8">
      <c r="A655">
        <v>1.46314770306994</v>
      </c>
      <c r="B655">
        <v>4.2551057051405801</v>
      </c>
      <c r="C655">
        <v>25.2833007620793</v>
      </c>
      <c r="D655">
        <v>1.9735433931434301</v>
      </c>
      <c r="E655">
        <v>3.40864906373274</v>
      </c>
      <c r="F655">
        <v>34.488293406981803</v>
      </c>
      <c r="G655">
        <v>1.8544258607566</v>
      </c>
      <c r="H655">
        <v>220</v>
      </c>
    </row>
    <row r="656" spans="1:8">
      <c r="A656">
        <v>1.4085500745483699</v>
      </c>
      <c r="B656">
        <v>4.1977396283128803</v>
      </c>
      <c r="C656">
        <v>25.3676471297779</v>
      </c>
      <c r="D656">
        <v>2.1545962025808598</v>
      </c>
      <c r="E656">
        <v>3.5628262865163798</v>
      </c>
      <c r="F656">
        <v>32.385500849078703</v>
      </c>
      <c r="G656">
        <v>1.1919067298058601</v>
      </c>
      <c r="H656">
        <v>59</v>
      </c>
    </row>
    <row r="657" spans="1:8">
      <c r="A657">
        <v>1.3718811989666899</v>
      </c>
      <c r="B657">
        <v>4.2245493226585404</v>
      </c>
      <c r="C657">
        <v>28.246299711375698</v>
      </c>
      <c r="D657">
        <v>2.1215483769157899</v>
      </c>
      <c r="E657">
        <v>3.4916220627662402</v>
      </c>
      <c r="F657">
        <v>32.412345260685598</v>
      </c>
      <c r="G657">
        <v>1.7166447901731301</v>
      </c>
      <c r="H657">
        <v>153</v>
      </c>
    </row>
    <row r="658" spans="1:8">
      <c r="A658">
        <v>1.43855596041501</v>
      </c>
      <c r="B658">
        <v>4.2683849063666699</v>
      </c>
      <c r="C658">
        <v>26.6126550220072</v>
      </c>
      <c r="D658">
        <v>1.99841527854451</v>
      </c>
      <c r="E658">
        <v>3.2910256734728098</v>
      </c>
      <c r="F658">
        <v>34.675376658142902</v>
      </c>
      <c r="G658">
        <v>1.04163261048751</v>
      </c>
      <c r="H658">
        <v>28</v>
      </c>
    </row>
    <row r="659" spans="1:8">
      <c r="A659">
        <v>1.4554096483063199</v>
      </c>
      <c r="B659">
        <v>4.2646493197473996</v>
      </c>
      <c r="C659">
        <v>30.186380918315201</v>
      </c>
      <c r="D659">
        <v>1.9644684301817401</v>
      </c>
      <c r="E659">
        <v>3.5570734543909701</v>
      </c>
      <c r="F659">
        <v>34.358232709406103</v>
      </c>
      <c r="G659">
        <v>1.1730940024318099</v>
      </c>
      <c r="H659">
        <v>44</v>
      </c>
    </row>
    <row r="660" spans="1:8">
      <c r="A660">
        <v>1.3935184889580201</v>
      </c>
      <c r="B660">
        <v>4.2201232570334604</v>
      </c>
      <c r="C660">
        <v>25.8620216207743</v>
      </c>
      <c r="D660">
        <v>2.2271365256647102</v>
      </c>
      <c r="E660">
        <v>3.39169106742371</v>
      </c>
      <c r="F660">
        <v>33.607027793008598</v>
      </c>
      <c r="G660">
        <v>1.02704281217517</v>
      </c>
      <c r="H660">
        <v>16</v>
      </c>
    </row>
    <row r="661" spans="1:8">
      <c r="A661">
        <v>1.28100481616061</v>
      </c>
      <c r="B661">
        <v>4.2080001662058599</v>
      </c>
      <c r="C661">
        <v>28.886720743594399</v>
      </c>
      <c r="D661">
        <v>2.06097240401049</v>
      </c>
      <c r="E661">
        <v>3.2021068217698598</v>
      </c>
      <c r="F661">
        <v>33.486346676774602</v>
      </c>
      <c r="G661">
        <v>1.68280286113678</v>
      </c>
      <c r="H661">
        <v>188</v>
      </c>
    </row>
    <row r="662" spans="1:8">
      <c r="A662">
        <v>1.3241517363487401</v>
      </c>
      <c r="B662">
        <v>4.1711959885660397</v>
      </c>
      <c r="C662">
        <v>27.4141032653454</v>
      </c>
      <c r="D662">
        <v>1.7100435263973299</v>
      </c>
      <c r="E662">
        <v>3.3364277745281701</v>
      </c>
      <c r="F662">
        <v>32.238849613449297</v>
      </c>
      <c r="G662">
        <v>1.3714511878626301</v>
      </c>
      <c r="H662">
        <v>86</v>
      </c>
    </row>
    <row r="663" spans="1:8">
      <c r="A663">
        <v>1.53689671463372</v>
      </c>
      <c r="B663">
        <v>4.2253319178274404</v>
      </c>
      <c r="C663">
        <v>26.686220782122799</v>
      </c>
      <c r="D663">
        <v>2.0893022767694198</v>
      </c>
      <c r="E663">
        <v>3.4769233472267702</v>
      </c>
      <c r="F663">
        <v>34.209122770077599</v>
      </c>
      <c r="G663">
        <v>1.55984350366866</v>
      </c>
      <c r="H663">
        <v>121</v>
      </c>
    </row>
    <row r="664" spans="1:8">
      <c r="A664">
        <v>1.51300450034954</v>
      </c>
      <c r="B664">
        <v>4.1720806835252802</v>
      </c>
      <c r="C664">
        <v>29.287782850987298</v>
      </c>
      <c r="D664">
        <v>2.1303372786675201</v>
      </c>
      <c r="E664">
        <v>3.6179910714021402</v>
      </c>
      <c r="F664">
        <v>33.7481534742005</v>
      </c>
      <c r="G664">
        <v>0.84015150568385</v>
      </c>
      <c r="H664">
        <v>18</v>
      </c>
    </row>
    <row r="665" spans="1:8">
      <c r="A665">
        <v>1.4198465733919401</v>
      </c>
      <c r="B665">
        <v>4.2699381688924003</v>
      </c>
      <c r="C665">
        <v>25.317892353862302</v>
      </c>
      <c r="D665">
        <v>2.1207961329580902</v>
      </c>
      <c r="E665">
        <v>3.7070038430258601</v>
      </c>
      <c r="F665">
        <v>33.108669273678899</v>
      </c>
      <c r="G665">
        <v>1.3540205708973401</v>
      </c>
      <c r="H665">
        <v>89</v>
      </c>
    </row>
    <row r="666" spans="1:8">
      <c r="A666">
        <v>1.3856959693803901</v>
      </c>
      <c r="B666">
        <v>4.1928654451948599</v>
      </c>
      <c r="C666">
        <v>25.037951623331999</v>
      </c>
      <c r="D666">
        <v>2.1339642772014802</v>
      </c>
      <c r="E666">
        <v>3.2935180728130802</v>
      </c>
      <c r="F666">
        <v>35.439492899477798</v>
      </c>
      <c r="G666">
        <v>0.82069967332690397</v>
      </c>
      <c r="H666">
        <v>16</v>
      </c>
    </row>
    <row r="667" spans="1:8">
      <c r="A667">
        <v>1.2334988375737801</v>
      </c>
      <c r="B667">
        <v>4.1928986984151502</v>
      </c>
      <c r="C667">
        <v>27.5935181223435</v>
      </c>
      <c r="D667">
        <v>2.0132477579552099</v>
      </c>
      <c r="E667">
        <v>3.02733867004443</v>
      </c>
      <c r="F667">
        <v>32.836775230095697</v>
      </c>
      <c r="G667">
        <v>1.50016830796047</v>
      </c>
      <c r="H667">
        <v>120</v>
      </c>
    </row>
    <row r="668" spans="1:8">
      <c r="A668">
        <v>1.38826031521403</v>
      </c>
      <c r="B668">
        <v>4.1681707381292501</v>
      </c>
      <c r="C668">
        <v>27.215094581495599</v>
      </c>
      <c r="D668">
        <v>2.0631670441395702</v>
      </c>
      <c r="E668">
        <v>3.4628694075774602</v>
      </c>
      <c r="F668">
        <v>31.913606357209801</v>
      </c>
      <c r="G668">
        <v>1.2279985579572701</v>
      </c>
      <c r="H668">
        <v>57</v>
      </c>
    </row>
    <row r="669" spans="1:8">
      <c r="A669">
        <v>1.6545503081558499</v>
      </c>
      <c r="B669">
        <v>4.2745503520585197</v>
      </c>
      <c r="C669">
        <v>27.678481757484999</v>
      </c>
      <c r="D669">
        <v>1.95401685426334</v>
      </c>
      <c r="E669">
        <v>3.65448639068978</v>
      </c>
      <c r="F669">
        <v>36.232986445162098</v>
      </c>
      <c r="G669">
        <v>1.5620420096379199</v>
      </c>
      <c r="H669">
        <v>132</v>
      </c>
    </row>
    <row r="670" spans="1:8">
      <c r="A670">
        <v>1.3204169959641301</v>
      </c>
      <c r="B670">
        <v>4.2023975252755301</v>
      </c>
      <c r="C670">
        <v>26.688140096953202</v>
      </c>
      <c r="D670">
        <v>2.0607925015200799</v>
      </c>
      <c r="E670">
        <v>3.6832003960558302</v>
      </c>
      <c r="F670">
        <v>30.688258425392</v>
      </c>
      <c r="G670">
        <v>1.8530106491376801</v>
      </c>
      <c r="H670">
        <v>221</v>
      </c>
    </row>
    <row r="671" spans="1:8">
      <c r="A671">
        <v>1.32845323299697</v>
      </c>
      <c r="B671">
        <v>4.2777031116911202</v>
      </c>
      <c r="C671">
        <v>27.969256022583899</v>
      </c>
      <c r="D671">
        <v>1.90009981953235</v>
      </c>
      <c r="E671">
        <v>3.1074597657268699</v>
      </c>
      <c r="F671">
        <v>37.086456937900302</v>
      </c>
      <c r="G671">
        <v>1.45641634904025</v>
      </c>
      <c r="H671">
        <v>99</v>
      </c>
    </row>
    <row r="672" spans="1:8">
      <c r="A672">
        <v>1.4071535842924401</v>
      </c>
      <c r="B672">
        <v>4.2163595255105299</v>
      </c>
      <c r="C672">
        <v>27.949007404624702</v>
      </c>
      <c r="D672">
        <v>2.06501304128924</v>
      </c>
      <c r="E672">
        <v>3.7346714223019202</v>
      </c>
      <c r="F672">
        <v>32.054334491514197</v>
      </c>
      <c r="G672">
        <v>0.92534970123810301</v>
      </c>
      <c r="H672">
        <v>5</v>
      </c>
    </row>
    <row r="673" spans="1:8">
      <c r="A673">
        <v>1.1898920810381299</v>
      </c>
      <c r="B673">
        <v>4.2294635261692504</v>
      </c>
      <c r="C673">
        <v>24.0848857735851</v>
      </c>
      <c r="D673">
        <v>2.0747092094137898</v>
      </c>
      <c r="E673">
        <v>2.8972497449488199</v>
      </c>
      <c r="F673">
        <v>38.388721405554101</v>
      </c>
      <c r="G673">
        <v>1.8237568523832</v>
      </c>
      <c r="H673">
        <v>213</v>
      </c>
    </row>
    <row r="674" spans="1:8">
      <c r="A674">
        <v>1.43475327598629</v>
      </c>
      <c r="B674">
        <v>4.3491769737876904</v>
      </c>
      <c r="C674">
        <v>27.423234817943399</v>
      </c>
      <c r="D674">
        <v>2.00834086670588</v>
      </c>
      <c r="E674">
        <v>3.6107422780465699</v>
      </c>
      <c r="F674">
        <v>33.997494445593198</v>
      </c>
      <c r="G674">
        <v>1.3898663340803601</v>
      </c>
      <c r="H674">
        <v>98</v>
      </c>
    </row>
    <row r="675" spans="1:8">
      <c r="A675">
        <v>1.3631157515785699</v>
      </c>
      <c r="B675">
        <v>4.2240885727228701</v>
      </c>
      <c r="C675">
        <v>25.591078073515501</v>
      </c>
      <c r="D675">
        <v>1.89630544673277</v>
      </c>
      <c r="E675">
        <v>3.8883505171614599</v>
      </c>
      <c r="F675">
        <v>31.471849955420701</v>
      </c>
      <c r="G675">
        <v>1.0796390129329001</v>
      </c>
      <c r="H675">
        <v>65</v>
      </c>
    </row>
    <row r="676" spans="1:8">
      <c r="A676">
        <v>1.45330122268637</v>
      </c>
      <c r="B676">
        <v>4.1983002932615703</v>
      </c>
      <c r="C676">
        <v>25.359424993380902</v>
      </c>
      <c r="D676">
        <v>1.8970148341497799</v>
      </c>
      <c r="E676">
        <v>4.0230477085226104</v>
      </c>
      <c r="F676">
        <v>36.121045121723597</v>
      </c>
      <c r="G676">
        <v>1.8924717619036999</v>
      </c>
      <c r="H676">
        <v>199</v>
      </c>
    </row>
    <row r="677" spans="1:8">
      <c r="A677">
        <v>1.3823074170974201</v>
      </c>
      <c r="B677">
        <v>4.2161014853992702</v>
      </c>
      <c r="C677">
        <v>25.923963139661399</v>
      </c>
      <c r="D677">
        <v>2.1102229491372499</v>
      </c>
      <c r="E677">
        <v>3.8612529153542501</v>
      </c>
      <c r="F677">
        <v>35.421707508855299</v>
      </c>
      <c r="G677">
        <v>1.6416763215832899</v>
      </c>
      <c r="H677">
        <v>148</v>
      </c>
    </row>
    <row r="678" spans="1:8">
      <c r="A678">
        <v>1.5505429509137201</v>
      </c>
      <c r="B678">
        <v>4.20679569683523</v>
      </c>
      <c r="C678">
        <v>25.371160234624501</v>
      </c>
      <c r="D678">
        <v>2.1529269555310702</v>
      </c>
      <c r="E678">
        <v>3.5506020306482799</v>
      </c>
      <c r="F678">
        <v>34.830137822003998</v>
      </c>
      <c r="G678">
        <v>1.45799640721278</v>
      </c>
      <c r="H678">
        <v>113</v>
      </c>
    </row>
    <row r="679" spans="1:8">
      <c r="A679">
        <v>1.43256859208771</v>
      </c>
      <c r="B679">
        <v>4.1840539586566896</v>
      </c>
      <c r="C679">
        <v>29.475977238018</v>
      </c>
      <c r="D679">
        <v>2.0136447384675602</v>
      </c>
      <c r="E679">
        <v>3.5378424760904799</v>
      </c>
      <c r="F679">
        <v>35.975089185012003</v>
      </c>
      <c r="G679">
        <v>1.75041388601502</v>
      </c>
      <c r="H679">
        <v>159</v>
      </c>
    </row>
    <row r="680" spans="1:8">
      <c r="A680">
        <v>1.4963915091659401</v>
      </c>
      <c r="B680">
        <v>4.2739953833250297</v>
      </c>
      <c r="C680">
        <v>25.573478748985298</v>
      </c>
      <c r="D680">
        <v>2.1018658736498201</v>
      </c>
      <c r="E680">
        <v>3.8717889337442299</v>
      </c>
      <c r="F680">
        <v>34.103838085608302</v>
      </c>
      <c r="G680">
        <v>1.970679679244</v>
      </c>
      <c r="H680">
        <v>244</v>
      </c>
    </row>
    <row r="681" spans="1:8">
      <c r="A681">
        <v>1.4325143128753901</v>
      </c>
      <c r="B681">
        <v>4.2570647544919602</v>
      </c>
      <c r="C681">
        <v>26.040912134143099</v>
      </c>
      <c r="D681">
        <v>1.9248611104279501</v>
      </c>
      <c r="E681">
        <v>4.0677772630880398</v>
      </c>
      <c r="F681">
        <v>35.373425126461399</v>
      </c>
      <c r="G681">
        <v>1.48779685366739</v>
      </c>
      <c r="H681">
        <v>117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4" sqref="A4:C4"/>
    </sheetView>
  </sheetViews>
  <sheetFormatPr defaultRowHeight="14.25"/>
  <sheetData>
    <row r="1" spans="1:3">
      <c r="A1" s="11" t="s">
        <v>28</v>
      </c>
      <c r="B1" s="11" t="s">
        <v>29</v>
      </c>
      <c r="C1" s="11" t="s">
        <v>30</v>
      </c>
    </row>
    <row r="2" spans="1:3">
      <c r="A2">
        <v>1</v>
      </c>
      <c r="B2">
        <v>0.90556051282714001</v>
      </c>
      <c r="C2">
        <v>18.8467866273397</v>
      </c>
    </row>
    <row r="3" spans="1:3">
      <c r="A3">
        <v>2</v>
      </c>
      <c r="B3">
        <v>0.92480300095486045</v>
      </c>
      <c r="C3">
        <v>18.3767649612541</v>
      </c>
    </row>
    <row r="4" spans="1:3">
      <c r="A4" s="12">
        <v>3</v>
      </c>
      <c r="B4" s="12">
        <v>0.93206071679745484</v>
      </c>
      <c r="C4" s="12">
        <v>18.07850600607707</v>
      </c>
    </row>
    <row r="5" spans="1:3">
      <c r="A5">
        <v>4</v>
      </c>
      <c r="B5">
        <v>0.91366295867634384</v>
      </c>
      <c r="C5">
        <v>19.607877318597659</v>
      </c>
    </row>
    <row r="6" spans="1:3">
      <c r="A6">
        <v>5</v>
      </c>
      <c r="B6">
        <v>0.9168921063688823</v>
      </c>
      <c r="C6">
        <v>19.556176660795309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Views>
    <sheetView workbookViewId="0"/>
  </sheetViews>
  <sheetFormatPr defaultRowHeight="14.25"/>
  <sheetData>
    <row r="1" spans="1:8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>
        <v>1.6493484324599601</v>
      </c>
      <c r="B2">
        <v>4.2306237825138302</v>
      </c>
      <c r="C2">
        <v>28.026538862581202</v>
      </c>
      <c r="D2">
        <v>1.9823296363910701</v>
      </c>
      <c r="E2">
        <v>3.3393784876084198</v>
      </c>
      <c r="F2">
        <v>32.620050685262001</v>
      </c>
      <c r="G2">
        <v>0.90222314465100995</v>
      </c>
      <c r="H2">
        <v>32</v>
      </c>
    </row>
    <row r="3" spans="1:8">
      <c r="A3">
        <v>1.62835580932011</v>
      </c>
      <c r="B3">
        <v>4.1648435971427196</v>
      </c>
      <c r="C3">
        <v>28.5013051892779</v>
      </c>
      <c r="D3">
        <v>1.9063432284617501</v>
      </c>
      <c r="E3">
        <v>4.1388939996393601</v>
      </c>
      <c r="F3">
        <v>31.932918240133599</v>
      </c>
      <c r="G3">
        <v>1.1126407787360999</v>
      </c>
      <c r="H3">
        <v>72</v>
      </c>
    </row>
    <row r="4" spans="1:8">
      <c r="A4">
        <v>1.46472164659459</v>
      </c>
      <c r="B4">
        <v>4.1967575343030301</v>
      </c>
      <c r="C4">
        <v>25.875028692567899</v>
      </c>
      <c r="D4">
        <v>1.97895147900579</v>
      </c>
      <c r="E4">
        <v>3.24646045240647</v>
      </c>
      <c r="F4">
        <v>31.8884350280746</v>
      </c>
      <c r="G4">
        <v>1.67208038872447</v>
      </c>
      <c r="H4">
        <v>156</v>
      </c>
    </row>
    <row r="5" spans="1:8">
      <c r="A5">
        <v>1.34028213443143</v>
      </c>
      <c r="B5">
        <v>4.1591489653452003</v>
      </c>
      <c r="C5">
        <v>27.237687769370002</v>
      </c>
      <c r="D5">
        <v>1.9727435149657</v>
      </c>
      <c r="E5">
        <v>3.5450758501714801</v>
      </c>
      <c r="F5">
        <v>34.264988700491202</v>
      </c>
      <c r="G5">
        <v>1.5045283202537401</v>
      </c>
      <c r="H5">
        <v>110</v>
      </c>
    </row>
    <row r="6" spans="1:8">
      <c r="A6">
        <v>1.5106559620434601</v>
      </c>
      <c r="B6">
        <v>4.19530849917978</v>
      </c>
      <c r="C6">
        <v>26.524317843612099</v>
      </c>
      <c r="D6">
        <v>2.01244785684887</v>
      </c>
      <c r="E6">
        <v>3.50496292530707</v>
      </c>
      <c r="F6">
        <v>32.356339366522299</v>
      </c>
      <c r="G6">
        <v>1.49498193412547</v>
      </c>
      <c r="H6">
        <v>118</v>
      </c>
    </row>
    <row r="7" spans="1:8">
      <c r="A7">
        <v>1.3806479815789801</v>
      </c>
      <c r="B7">
        <v>4.23608283635419</v>
      </c>
      <c r="C7">
        <v>26.859662597786599</v>
      </c>
      <c r="D7">
        <v>2.0070358677047002</v>
      </c>
      <c r="E7">
        <v>4.0177997147661797</v>
      </c>
      <c r="F7">
        <v>34.332566286636599</v>
      </c>
      <c r="G7">
        <v>1.44362160084532</v>
      </c>
      <c r="H7">
        <v>137</v>
      </c>
    </row>
    <row r="8" spans="1:8">
      <c r="A8">
        <v>1.3197699344265701</v>
      </c>
      <c r="B8">
        <v>4.1972257326984304</v>
      </c>
      <c r="C8">
        <v>26.580109384191498</v>
      </c>
      <c r="D8">
        <v>1.95791509552439</v>
      </c>
      <c r="E8">
        <v>3.6719827850455999</v>
      </c>
      <c r="F8">
        <v>36.386503506275297</v>
      </c>
      <c r="G8">
        <v>1.79401879573529</v>
      </c>
      <c r="H8">
        <v>169</v>
      </c>
    </row>
    <row r="9" spans="1:8">
      <c r="A9">
        <v>1.3855437447025001</v>
      </c>
      <c r="B9">
        <v>4.2125984449105802</v>
      </c>
      <c r="C9">
        <v>28.159509968716801</v>
      </c>
      <c r="D9">
        <v>2.0113076427170702</v>
      </c>
      <c r="E9">
        <v>3.56874590353523</v>
      </c>
      <c r="F9">
        <v>31.750554833410298</v>
      </c>
      <c r="G9">
        <v>1.1660408873524599</v>
      </c>
      <c r="H9">
        <v>54</v>
      </c>
    </row>
    <row r="10" spans="1:8">
      <c r="A10">
        <v>1.49354904635393</v>
      </c>
      <c r="B10">
        <v>4.1902655934209401</v>
      </c>
      <c r="C10">
        <v>26.4875727884463</v>
      </c>
      <c r="D10">
        <v>1.9607594514872699</v>
      </c>
      <c r="E10">
        <v>3.4944657228894198</v>
      </c>
      <c r="F10">
        <v>33.286418600098301</v>
      </c>
      <c r="G10">
        <v>0.84988300276871898</v>
      </c>
      <c r="H10">
        <v>20</v>
      </c>
    </row>
    <row r="11" spans="1:8">
      <c r="A11">
        <v>1.3849308246946199</v>
      </c>
      <c r="B11">
        <v>4.1906660335354902</v>
      </c>
      <c r="C11">
        <v>25.347738391135199</v>
      </c>
      <c r="D11">
        <v>2.0667355973711201</v>
      </c>
      <c r="E11">
        <v>3.2628387725642201</v>
      </c>
      <c r="F11">
        <v>33.488101758758603</v>
      </c>
      <c r="G11">
        <v>1.7217064842396601</v>
      </c>
      <c r="H11">
        <v>194</v>
      </c>
    </row>
    <row r="12" spans="1:8">
      <c r="A12">
        <v>1.4775782854925299</v>
      </c>
      <c r="B12">
        <v>4.24299370935283</v>
      </c>
      <c r="C12">
        <v>28.957435332166</v>
      </c>
      <c r="D12">
        <v>1.7024379308311901</v>
      </c>
      <c r="E12">
        <v>4.06443853586633</v>
      </c>
      <c r="F12">
        <v>31.719565067983702</v>
      </c>
      <c r="G12">
        <v>1.4288967990767301</v>
      </c>
      <c r="H12">
        <v>95</v>
      </c>
    </row>
    <row r="13" spans="1:8">
      <c r="A13">
        <v>1.4093419726679599</v>
      </c>
      <c r="B13">
        <v>4.1953449232322999</v>
      </c>
      <c r="C13">
        <v>26.203721772809899</v>
      </c>
      <c r="D13">
        <v>2.0079445127201199</v>
      </c>
      <c r="E13">
        <v>3.16978858251339</v>
      </c>
      <c r="F13">
        <v>34.802968992846203</v>
      </c>
      <c r="G13">
        <v>0.95466423477936102</v>
      </c>
      <c r="H13">
        <v>11</v>
      </c>
    </row>
    <row r="14" spans="1:8">
      <c r="A14">
        <v>1.3432014908182399</v>
      </c>
      <c r="B14">
        <v>4.2007911288353297</v>
      </c>
      <c r="C14">
        <v>28.6397993635143</v>
      </c>
      <c r="D14">
        <v>2.0355844511383698</v>
      </c>
      <c r="E14">
        <v>3.6231916547465199</v>
      </c>
      <c r="F14">
        <v>30.775168339191001</v>
      </c>
      <c r="G14">
        <v>1.9290206823938101</v>
      </c>
      <c r="H14">
        <v>195</v>
      </c>
    </row>
    <row r="15" spans="1:8">
      <c r="A15">
        <v>1.4397476060109899</v>
      </c>
      <c r="B15">
        <v>4.1147536849252901</v>
      </c>
      <c r="C15">
        <v>28.1016277825115</v>
      </c>
      <c r="D15">
        <v>1.9990151735877699</v>
      </c>
      <c r="E15">
        <v>3.2152236337990598</v>
      </c>
      <c r="F15">
        <v>30.2637008766097</v>
      </c>
      <c r="G15">
        <v>1.32254187873336</v>
      </c>
      <c r="H15">
        <v>73</v>
      </c>
    </row>
    <row r="16" spans="1:8">
      <c r="A16">
        <v>1.2911505193847901</v>
      </c>
      <c r="B16">
        <v>4.1909872814373603</v>
      </c>
      <c r="C16">
        <v>28.031046134968602</v>
      </c>
      <c r="D16">
        <v>1.9257156750802999</v>
      </c>
      <c r="E16">
        <v>3.5353360543538299</v>
      </c>
      <c r="F16">
        <v>36.702779805216402</v>
      </c>
      <c r="G16">
        <v>1.34176246077001</v>
      </c>
      <c r="H16">
        <v>88</v>
      </c>
    </row>
    <row r="17" spans="1:8">
      <c r="A17">
        <v>1.4663455724305601</v>
      </c>
      <c r="B17">
        <v>4.1964229964661097</v>
      </c>
      <c r="C17">
        <v>28.7033816405661</v>
      </c>
      <c r="D17">
        <v>1.96775475129949</v>
      </c>
      <c r="E17">
        <v>3.5244395368186598</v>
      </c>
      <c r="F17">
        <v>30.577636440398599</v>
      </c>
      <c r="G17">
        <v>1.7213110682291399</v>
      </c>
      <c r="H17">
        <v>154</v>
      </c>
    </row>
    <row r="18" spans="1:8">
      <c r="A18">
        <v>1.5305620091897001</v>
      </c>
      <c r="B18">
        <v>4.2111948936798296</v>
      </c>
      <c r="C18">
        <v>25.352543430123799</v>
      </c>
      <c r="D18">
        <v>2.0304122893872201</v>
      </c>
      <c r="E18">
        <v>3.8887972903880299</v>
      </c>
      <c r="F18">
        <v>35.165896747408702</v>
      </c>
      <c r="G18">
        <v>0.95595187666431702</v>
      </c>
      <c r="H18">
        <v>10</v>
      </c>
    </row>
    <row r="19" spans="1:8">
      <c r="A19">
        <v>1.49339731653321</v>
      </c>
      <c r="B19">
        <v>4.2016710131849901</v>
      </c>
      <c r="C19">
        <v>24.430718842948298</v>
      </c>
      <c r="D19">
        <v>1.98762764311775</v>
      </c>
      <c r="E19">
        <v>3.7374569809468801</v>
      </c>
      <c r="F19">
        <v>34.021415447559598</v>
      </c>
      <c r="G19">
        <v>1.7138919058589399</v>
      </c>
      <c r="H19">
        <v>164</v>
      </c>
    </row>
    <row r="20" spans="1:8">
      <c r="A20">
        <v>1.2387544193311599</v>
      </c>
      <c r="B20">
        <v>4.1803958334618398</v>
      </c>
      <c r="C20">
        <v>26.765416271865998</v>
      </c>
      <c r="D20">
        <v>1.9502898424466799</v>
      </c>
      <c r="E20">
        <v>3.6071192554014799</v>
      </c>
      <c r="F20">
        <v>32.0887599409389</v>
      </c>
      <c r="G20">
        <v>0.93485376434366196</v>
      </c>
      <c r="H20">
        <v>9</v>
      </c>
    </row>
    <row r="21" spans="1:8">
      <c r="A21">
        <v>1.55386878391206</v>
      </c>
      <c r="B21">
        <v>4.2146301917284701</v>
      </c>
      <c r="C21">
        <v>26.395561256399098</v>
      </c>
      <c r="D21">
        <v>2.0322765751099401</v>
      </c>
      <c r="E21">
        <v>2.8442881254620902</v>
      </c>
      <c r="F21">
        <v>33.877835408729403</v>
      </c>
      <c r="G21">
        <v>1.6334920010541401</v>
      </c>
      <c r="H21">
        <v>137</v>
      </c>
    </row>
    <row r="22" spans="1:8">
      <c r="A22">
        <v>1.25546282603811</v>
      </c>
      <c r="B22">
        <v>4.1798193256087401</v>
      </c>
      <c r="C22">
        <v>30.0346808672994</v>
      </c>
      <c r="D22">
        <v>2.2425304563940598</v>
      </c>
      <c r="E22">
        <v>3.4604613032540299</v>
      </c>
      <c r="F22">
        <v>27.795611266372699</v>
      </c>
      <c r="G22">
        <v>1.7358920687772199</v>
      </c>
      <c r="H22">
        <v>197</v>
      </c>
    </row>
    <row r="23" spans="1:8">
      <c r="A23">
        <v>1.46507889070931</v>
      </c>
      <c r="B23">
        <v>4.2618129677525998</v>
      </c>
      <c r="C23">
        <v>26.021358493114299</v>
      </c>
      <c r="D23">
        <v>1.9899265658221399</v>
      </c>
      <c r="E23">
        <v>3.4305148546553101</v>
      </c>
      <c r="F23">
        <v>32.949301278425203</v>
      </c>
      <c r="G23">
        <v>1.6209557307114899</v>
      </c>
      <c r="H23">
        <v>142</v>
      </c>
    </row>
    <row r="24" spans="1:8">
      <c r="A24">
        <v>1.1835636920254</v>
      </c>
      <c r="B24">
        <v>4.15225359437515</v>
      </c>
      <c r="C24">
        <v>30.2950214673108</v>
      </c>
      <c r="D24">
        <v>1.8850114111184899</v>
      </c>
      <c r="E24">
        <v>3.9159149777896198</v>
      </c>
      <c r="F24">
        <v>30.3535100195631</v>
      </c>
      <c r="G24">
        <v>1.9790416412352501</v>
      </c>
      <c r="H24">
        <v>206</v>
      </c>
    </row>
    <row r="25" spans="1:8">
      <c r="A25">
        <v>1.3220847433952301</v>
      </c>
      <c r="B25">
        <v>4.2288523196594801</v>
      </c>
      <c r="C25">
        <v>27.6969764194771</v>
      </c>
      <c r="D25">
        <v>1.9711028677593201</v>
      </c>
      <c r="E25">
        <v>3.6873327055773202</v>
      </c>
      <c r="F25">
        <v>35.701761729799301</v>
      </c>
      <c r="G25">
        <v>1.6125537343484799</v>
      </c>
      <c r="H25">
        <v>133</v>
      </c>
    </row>
    <row r="26" spans="1:8">
      <c r="A26">
        <v>1.4077828947842701</v>
      </c>
      <c r="B26">
        <v>4.1640529157730199</v>
      </c>
      <c r="C26">
        <v>25.352379392846601</v>
      </c>
      <c r="D26">
        <v>1.96196244821862</v>
      </c>
      <c r="E26">
        <v>3.6817960959447502</v>
      </c>
      <c r="F26">
        <v>32.1384701449904</v>
      </c>
      <c r="G26">
        <v>1.3381014616784801</v>
      </c>
      <c r="H26">
        <v>76</v>
      </c>
    </row>
    <row r="27" spans="1:8">
      <c r="A27">
        <v>1.3518457147457601</v>
      </c>
      <c r="B27">
        <v>4.2261166178057001</v>
      </c>
      <c r="C27">
        <v>26.461198303662801</v>
      </c>
      <c r="D27">
        <v>1.9927624632412899</v>
      </c>
      <c r="E27">
        <v>3.2307874178356402</v>
      </c>
      <c r="F27">
        <v>31.295148904218198</v>
      </c>
      <c r="G27">
        <v>1.72093416186621</v>
      </c>
      <c r="H27">
        <v>165</v>
      </c>
    </row>
    <row r="28" spans="1:8">
      <c r="A28">
        <v>1.4736792960099201</v>
      </c>
      <c r="B28">
        <v>4.1608029135178599</v>
      </c>
      <c r="C28">
        <v>28.421448470906501</v>
      </c>
      <c r="D28">
        <v>1.9434425892079601</v>
      </c>
      <c r="E28">
        <v>3.4556745378230098</v>
      </c>
      <c r="F28">
        <v>31.930095122181498</v>
      </c>
      <c r="G28">
        <v>1.39022743391387</v>
      </c>
      <c r="H28">
        <v>99</v>
      </c>
    </row>
    <row r="29" spans="1:8">
      <c r="A29">
        <v>1.26399515363258</v>
      </c>
      <c r="B29">
        <v>4.1664794450077398</v>
      </c>
      <c r="C29">
        <v>27.326450960495801</v>
      </c>
      <c r="D29">
        <v>2.0962730419903499</v>
      </c>
      <c r="E29">
        <v>3.6101888729967699</v>
      </c>
      <c r="F29">
        <v>32.094178172447599</v>
      </c>
      <c r="G29">
        <v>1.0630940890929901</v>
      </c>
      <c r="H29">
        <v>62</v>
      </c>
    </row>
    <row r="30" spans="1:8">
      <c r="A30">
        <v>1.4237528712579399</v>
      </c>
      <c r="B30">
        <v>4.2033469625346003</v>
      </c>
      <c r="C30">
        <v>25.1005684297917</v>
      </c>
      <c r="D30">
        <v>2.0529507837962999</v>
      </c>
      <c r="E30">
        <v>3.34526738645976</v>
      </c>
      <c r="F30">
        <v>34.165471881481203</v>
      </c>
      <c r="G30">
        <v>1.6457942401486201</v>
      </c>
      <c r="H30">
        <v>139</v>
      </c>
    </row>
    <row r="31" spans="1:8">
      <c r="A31">
        <v>1.45944075656391</v>
      </c>
      <c r="B31">
        <v>4.1987435730228801</v>
      </c>
      <c r="C31">
        <v>26.5215067208336</v>
      </c>
      <c r="D31">
        <v>1.95821030971407</v>
      </c>
      <c r="E31">
        <v>3.6685688687921698</v>
      </c>
      <c r="F31">
        <v>31.198080297611501</v>
      </c>
      <c r="G31">
        <v>1.9936917393798099</v>
      </c>
      <c r="H31">
        <v>209</v>
      </c>
    </row>
    <row r="32" spans="1:8">
      <c r="A32">
        <v>1.29890284107231</v>
      </c>
      <c r="B32">
        <v>4.1594971741413698</v>
      </c>
      <c r="C32">
        <v>26.952013799087901</v>
      </c>
      <c r="D32">
        <v>1.98080122044506</v>
      </c>
      <c r="E32">
        <v>3.0153694554349801</v>
      </c>
      <c r="F32">
        <v>33.637633846972598</v>
      </c>
      <c r="G32">
        <v>1.1907364573278401</v>
      </c>
      <c r="H32">
        <v>89</v>
      </c>
    </row>
    <row r="33" spans="1:8">
      <c r="A33">
        <v>1.4172034551536301</v>
      </c>
      <c r="B33">
        <v>4.1286588504439701</v>
      </c>
      <c r="C33">
        <v>26.1796152336901</v>
      </c>
      <c r="D33">
        <v>2.0569844298322502</v>
      </c>
      <c r="E33">
        <v>3.2446918322833498</v>
      </c>
      <c r="F33">
        <v>32.095927397205799</v>
      </c>
      <c r="G33">
        <v>1.50707651268569</v>
      </c>
      <c r="H33">
        <v>111</v>
      </c>
    </row>
    <row r="34" spans="1:8">
      <c r="A34">
        <v>1.41978343726919</v>
      </c>
      <c r="B34">
        <v>4.2694689730514304</v>
      </c>
      <c r="C34">
        <v>27.9041675532692</v>
      </c>
      <c r="D34">
        <v>1.95706566901762</v>
      </c>
      <c r="E34">
        <v>3.87365985601607</v>
      </c>
      <c r="F34">
        <v>30.335888219996601</v>
      </c>
      <c r="G34">
        <v>1.0647592415968801</v>
      </c>
      <c r="H34">
        <v>24</v>
      </c>
    </row>
    <row r="35" spans="1:8">
      <c r="A35">
        <v>1.3408873827636201</v>
      </c>
      <c r="B35">
        <v>4.2298883206838296</v>
      </c>
      <c r="C35">
        <v>24.380107338174</v>
      </c>
      <c r="D35">
        <v>2.0720556237469299</v>
      </c>
      <c r="E35">
        <v>3.3114956848381301</v>
      </c>
      <c r="F35">
        <v>33.414561346789696</v>
      </c>
      <c r="G35">
        <v>1.6188514250491699</v>
      </c>
      <c r="H35">
        <v>143</v>
      </c>
    </row>
    <row r="36" spans="1:8">
      <c r="A36">
        <v>1.3096407783022499</v>
      </c>
      <c r="B36">
        <v>4.1900315928747798</v>
      </c>
      <c r="C36">
        <v>27.277409662437702</v>
      </c>
      <c r="D36">
        <v>2.0103746358354702</v>
      </c>
      <c r="E36">
        <v>3.3136135936717102</v>
      </c>
      <c r="F36">
        <v>33.4768200386047</v>
      </c>
      <c r="G36">
        <v>1.05751950591754</v>
      </c>
      <c r="H36">
        <v>61</v>
      </c>
    </row>
    <row r="37" spans="1:8">
      <c r="A37">
        <v>1.2913589320543</v>
      </c>
      <c r="B37">
        <v>4.1626530169981901</v>
      </c>
      <c r="C37">
        <v>27.361718208924</v>
      </c>
      <c r="D37">
        <v>2.0607349937091599</v>
      </c>
      <c r="E37">
        <v>3.1792559407560499</v>
      </c>
      <c r="F37">
        <v>33.032031611289703</v>
      </c>
      <c r="G37">
        <v>1.5400353993162701</v>
      </c>
      <c r="H37">
        <v>119</v>
      </c>
    </row>
    <row r="38" spans="1:8">
      <c r="A38">
        <v>1.2863157166692401</v>
      </c>
      <c r="B38">
        <v>4.15678840800879</v>
      </c>
      <c r="C38">
        <v>26.0143609617656</v>
      </c>
      <c r="D38">
        <v>2.00443768773764</v>
      </c>
      <c r="E38">
        <v>3.4062490916691601</v>
      </c>
      <c r="F38">
        <v>29.914774268316599</v>
      </c>
      <c r="G38">
        <v>1.8167774828083401</v>
      </c>
      <c r="H38">
        <v>212</v>
      </c>
    </row>
    <row r="39" spans="1:8">
      <c r="A39">
        <v>1.4630454364207801</v>
      </c>
      <c r="B39">
        <v>4.2004994032567202</v>
      </c>
      <c r="C39">
        <v>26.225643675090001</v>
      </c>
      <c r="D39">
        <v>2.1737253223983002</v>
      </c>
      <c r="E39">
        <v>2.7496903966424799</v>
      </c>
      <c r="F39">
        <v>34.533813523158301</v>
      </c>
      <c r="G39">
        <v>1.5443858126044501</v>
      </c>
      <c r="H39">
        <v>129</v>
      </c>
    </row>
    <row r="40" spans="1:8">
      <c r="A40">
        <v>1.38140612563203</v>
      </c>
      <c r="B40">
        <v>4.2102305076814197</v>
      </c>
      <c r="C40">
        <v>25.5108769128231</v>
      </c>
      <c r="D40">
        <v>2.0376120436746699</v>
      </c>
      <c r="E40">
        <v>3.2980423360340398</v>
      </c>
      <c r="F40">
        <v>34.281705881687103</v>
      </c>
      <c r="G40">
        <v>0.76197044048538198</v>
      </c>
      <c r="H40">
        <v>4</v>
      </c>
    </row>
    <row r="41" spans="1:8">
      <c r="A41">
        <v>1.5446001675982499</v>
      </c>
      <c r="B41">
        <v>4.2587278514317202</v>
      </c>
      <c r="C41">
        <v>29.659675284318201</v>
      </c>
      <c r="D41">
        <v>1.8674836258041301</v>
      </c>
      <c r="E41">
        <v>3.6647704221188802</v>
      </c>
      <c r="F41">
        <v>28.992027137415299</v>
      </c>
      <c r="G41">
        <v>0.94219503377360703</v>
      </c>
      <c r="H41">
        <v>0</v>
      </c>
    </row>
    <row r="42" spans="1:8">
      <c r="A42">
        <v>1.38077392350761</v>
      </c>
      <c r="B42">
        <v>4.1935269435387497</v>
      </c>
      <c r="C42">
        <v>28.099781137918399</v>
      </c>
      <c r="D42">
        <v>2.07065937292532</v>
      </c>
      <c r="E42">
        <v>3.3751761581587698</v>
      </c>
      <c r="F42">
        <v>34.465212404096299</v>
      </c>
      <c r="G42">
        <v>1.6064911943067299</v>
      </c>
      <c r="H42">
        <v>141</v>
      </c>
    </row>
    <row r="43" spans="1:8">
      <c r="A43">
        <v>1.2357088585217599</v>
      </c>
      <c r="B43">
        <v>4.1583994009689897</v>
      </c>
      <c r="C43">
        <v>27.0517530190263</v>
      </c>
      <c r="D43">
        <v>2.1081345451073501</v>
      </c>
      <c r="E43">
        <v>3.7088970980681499</v>
      </c>
      <c r="F43">
        <v>32.887003432830703</v>
      </c>
      <c r="G43">
        <v>0.81050485841781295</v>
      </c>
      <c r="H43">
        <v>12</v>
      </c>
    </row>
    <row r="44" spans="1:8">
      <c r="A44">
        <v>1.51597377241419</v>
      </c>
      <c r="B44">
        <v>4.1972209968299801</v>
      </c>
      <c r="C44">
        <v>27.1903307109488</v>
      </c>
      <c r="D44">
        <v>1.9835742714912099</v>
      </c>
      <c r="E44">
        <v>3.72627014120018</v>
      </c>
      <c r="F44">
        <v>28.619731133118101</v>
      </c>
      <c r="G44">
        <v>1.93981145249537</v>
      </c>
      <c r="H44">
        <v>209</v>
      </c>
    </row>
    <row r="45" spans="1:8">
      <c r="A45">
        <v>1.3385466712474201</v>
      </c>
      <c r="B45">
        <v>4.2954492258480403</v>
      </c>
      <c r="C45">
        <v>25.3482353042744</v>
      </c>
      <c r="D45">
        <v>1.7838575484975401</v>
      </c>
      <c r="E45">
        <v>3.9946189229267901</v>
      </c>
      <c r="F45">
        <v>31.669003721115399</v>
      </c>
      <c r="G45">
        <v>1.2453069458381001</v>
      </c>
      <c r="H45">
        <v>99</v>
      </c>
    </row>
    <row r="46" spans="1:8">
      <c r="A46">
        <v>1.16482501831934</v>
      </c>
      <c r="B46">
        <v>4.255896579062</v>
      </c>
      <c r="C46">
        <v>25.865586892535699</v>
      </c>
      <c r="D46">
        <v>1.8739008762378799</v>
      </c>
      <c r="E46">
        <v>3.45014349131363</v>
      </c>
      <c r="F46">
        <v>32.6362813666072</v>
      </c>
      <c r="G46">
        <v>1.1691864208876801</v>
      </c>
      <c r="H46">
        <v>55</v>
      </c>
    </row>
    <row r="47" spans="1:8">
      <c r="A47">
        <v>1.5060556598304999</v>
      </c>
      <c r="B47">
        <v>4.1175756822051399</v>
      </c>
      <c r="C47">
        <v>25.857334407257699</v>
      </c>
      <c r="D47">
        <v>2.2038768948688499</v>
      </c>
      <c r="E47">
        <v>3.4140012901342902</v>
      </c>
      <c r="F47">
        <v>33.802440342891899</v>
      </c>
      <c r="G47">
        <v>1.1026666286000899</v>
      </c>
      <c r="H47">
        <v>71</v>
      </c>
    </row>
    <row r="48" spans="1:8">
      <c r="A48">
        <v>1.26787081154015</v>
      </c>
      <c r="B48">
        <v>4.22914587329835</v>
      </c>
      <c r="C48">
        <v>24.5125138258561</v>
      </c>
      <c r="D48">
        <v>2.34700174539645</v>
      </c>
      <c r="E48">
        <v>3.0674109279092501</v>
      </c>
      <c r="F48">
        <v>36.198284420608402</v>
      </c>
      <c r="G48">
        <v>1.3481702600663901</v>
      </c>
      <c r="H48">
        <v>121</v>
      </c>
    </row>
    <row r="49" spans="1:8">
      <c r="A49">
        <v>1.42818327113142</v>
      </c>
      <c r="B49">
        <v>4.2099030793162298</v>
      </c>
      <c r="C49">
        <v>28.080145158452499</v>
      </c>
      <c r="D49">
        <v>1.9728054470471601</v>
      </c>
      <c r="E49">
        <v>3.6983085138755798</v>
      </c>
      <c r="F49">
        <v>30.898516340208499</v>
      </c>
      <c r="G49">
        <v>0.76590276502719801</v>
      </c>
      <c r="H49">
        <v>3</v>
      </c>
    </row>
    <row r="50" spans="1:8">
      <c r="A50">
        <v>1.48805896798281</v>
      </c>
      <c r="B50">
        <v>4.1376603685647702</v>
      </c>
      <c r="C50">
        <v>27.7379265104057</v>
      </c>
      <c r="D50">
        <v>2.1363962979202902</v>
      </c>
      <c r="E50">
        <v>3.8012861201025001</v>
      </c>
      <c r="F50">
        <v>31.207222567612099</v>
      </c>
      <c r="G50">
        <v>1.8440256213731201</v>
      </c>
      <c r="H50">
        <v>188</v>
      </c>
    </row>
    <row r="51" spans="1:8">
      <c r="A51">
        <v>1.32921810449753</v>
      </c>
      <c r="B51">
        <v>4.2055324969797896</v>
      </c>
      <c r="C51">
        <v>29.5858205043716</v>
      </c>
      <c r="D51">
        <v>2.1049475507533399</v>
      </c>
      <c r="E51">
        <v>3.33508324953059</v>
      </c>
      <c r="F51">
        <v>32.494409336364697</v>
      </c>
      <c r="G51">
        <v>0.79610129959926701</v>
      </c>
      <c r="H51">
        <v>8</v>
      </c>
    </row>
    <row r="52" spans="1:8">
      <c r="A52">
        <v>1.38095521210352</v>
      </c>
      <c r="B52">
        <v>4.17040061920477</v>
      </c>
      <c r="C52">
        <v>27.474212346236801</v>
      </c>
      <c r="D52">
        <v>2.0404958622779401</v>
      </c>
      <c r="E52">
        <v>3.68402810603855</v>
      </c>
      <c r="F52">
        <v>32.970867867170298</v>
      </c>
      <c r="G52">
        <v>1.74444689078405</v>
      </c>
      <c r="H52">
        <v>199</v>
      </c>
    </row>
    <row r="53" spans="1:8">
      <c r="A53">
        <v>1.5576239479090499</v>
      </c>
      <c r="B53">
        <v>4.24737975039245</v>
      </c>
      <c r="C53">
        <v>25.7343970617992</v>
      </c>
      <c r="D53">
        <v>2.0224868103185099</v>
      </c>
      <c r="E53">
        <v>3.5230664315781399</v>
      </c>
      <c r="F53">
        <v>29.050469577978401</v>
      </c>
      <c r="G53">
        <v>1.4851363803030699</v>
      </c>
      <c r="H53">
        <v>146</v>
      </c>
    </row>
    <row r="54" spans="1:8">
      <c r="A54">
        <v>1.2813975395710999</v>
      </c>
      <c r="B54">
        <v>4.1735962099409898</v>
      </c>
      <c r="C54">
        <v>30.000461074011199</v>
      </c>
      <c r="D54">
        <v>1.9771069488209601</v>
      </c>
      <c r="E54">
        <v>3.1773465490986701</v>
      </c>
      <c r="F54">
        <v>32.328078748717999</v>
      </c>
      <c r="G54">
        <v>1.6587287279748999</v>
      </c>
      <c r="H54">
        <v>140</v>
      </c>
    </row>
    <row r="55" spans="1:8">
      <c r="A55">
        <v>1.38159356417657</v>
      </c>
      <c r="B55">
        <v>4.1603713326970198</v>
      </c>
      <c r="C55">
        <v>28.349200203051399</v>
      </c>
      <c r="D55">
        <v>1.77245366040626</v>
      </c>
      <c r="E55">
        <v>3.7450083800158902</v>
      </c>
      <c r="F55">
        <v>30.103205828175401</v>
      </c>
      <c r="G55">
        <v>1.01109597052056</v>
      </c>
      <c r="H55">
        <v>20</v>
      </c>
    </row>
    <row r="56" spans="1:8">
      <c r="A56">
        <v>1.41808572616909</v>
      </c>
      <c r="B56">
        <v>4.1354940482409104</v>
      </c>
      <c r="C56">
        <v>28.597793154803501</v>
      </c>
      <c r="D56">
        <v>1.9896551321512901</v>
      </c>
      <c r="E56">
        <v>3.8712910262440898</v>
      </c>
      <c r="F56">
        <v>33.529419138099001</v>
      </c>
      <c r="G56">
        <v>1.13670676847707</v>
      </c>
      <c r="H56">
        <v>77</v>
      </c>
    </row>
    <row r="57" spans="1:8">
      <c r="A57">
        <v>1.40310008013521</v>
      </c>
      <c r="B57">
        <v>4.2672830970835598</v>
      </c>
      <c r="C57">
        <v>26.9785251226143</v>
      </c>
      <c r="D57">
        <v>2.0546462830143501</v>
      </c>
      <c r="E57">
        <v>3.8308393218446599</v>
      </c>
      <c r="F57">
        <v>31.4649283747863</v>
      </c>
      <c r="G57">
        <v>1.18819089967489</v>
      </c>
      <c r="H57">
        <v>48</v>
      </c>
    </row>
    <row r="58" spans="1:8">
      <c r="A58">
        <v>1.2577336735384801</v>
      </c>
      <c r="B58">
        <v>4.1933680543054104</v>
      </c>
      <c r="C58">
        <v>26.874592576487299</v>
      </c>
      <c r="D58">
        <v>1.9897801086657501</v>
      </c>
      <c r="E58">
        <v>3.4876245811626299</v>
      </c>
      <c r="F58">
        <v>33.532713179380202</v>
      </c>
      <c r="G58">
        <v>1.40118241704111</v>
      </c>
      <c r="H58">
        <v>101</v>
      </c>
    </row>
    <row r="59" spans="1:8">
      <c r="A59">
        <v>1.4693990429931101</v>
      </c>
      <c r="B59">
        <v>4.1434745484427902</v>
      </c>
      <c r="C59">
        <v>25.192021442560701</v>
      </c>
      <c r="D59">
        <v>1.9424577272646499</v>
      </c>
      <c r="E59">
        <v>3.3705725785472</v>
      </c>
      <c r="F59">
        <v>30.8941996965298</v>
      </c>
      <c r="G59">
        <v>1.3223353171901999</v>
      </c>
      <c r="H59">
        <v>84</v>
      </c>
    </row>
    <row r="60" spans="1:8">
      <c r="A60">
        <v>1.51857189076869</v>
      </c>
      <c r="B60">
        <v>4.1952224541174399</v>
      </c>
      <c r="C60">
        <v>24.3998061303596</v>
      </c>
      <c r="D60">
        <v>2.0116515263102701</v>
      </c>
      <c r="E60">
        <v>3.75742433961583</v>
      </c>
      <c r="F60">
        <v>35.444501846783098</v>
      </c>
      <c r="G60">
        <v>1.6697825725525599</v>
      </c>
      <c r="H60">
        <v>184</v>
      </c>
    </row>
    <row r="61" spans="1:8">
      <c r="A61">
        <v>1.4202715381739801</v>
      </c>
      <c r="B61">
        <v>4.2763229059182297</v>
      </c>
      <c r="C61">
        <v>25.407910461384901</v>
      </c>
      <c r="D61">
        <v>1.94210535495942</v>
      </c>
      <c r="E61">
        <v>3.2144328080146298</v>
      </c>
      <c r="F61">
        <v>35.134800643918403</v>
      </c>
      <c r="G61">
        <v>1.9842521628299401</v>
      </c>
      <c r="H61">
        <v>217</v>
      </c>
    </row>
    <row r="62" spans="1:8">
      <c r="A62">
        <v>1.4118516818332301</v>
      </c>
      <c r="B62">
        <v>4.2014623218571003</v>
      </c>
      <c r="C62">
        <v>25.923716047572899</v>
      </c>
      <c r="D62">
        <v>2.12646709791915</v>
      </c>
      <c r="E62">
        <v>3.4734728508977599</v>
      </c>
      <c r="F62">
        <v>33.564458147122799</v>
      </c>
      <c r="G62">
        <v>1.56192094911327</v>
      </c>
      <c r="H62">
        <v>123</v>
      </c>
    </row>
    <row r="63" spans="1:8">
      <c r="A63">
        <v>1.4384203517417899</v>
      </c>
      <c r="B63">
        <v>4.2137525236050903</v>
      </c>
      <c r="C63">
        <v>27.3954924351549</v>
      </c>
      <c r="D63">
        <v>2.0167790711756899</v>
      </c>
      <c r="E63">
        <v>3.0444493199606599</v>
      </c>
      <c r="F63">
        <v>34.232735491546499</v>
      </c>
      <c r="G63">
        <v>1.5947425111620599</v>
      </c>
      <c r="H63">
        <v>138</v>
      </c>
    </row>
    <row r="64" spans="1:8">
      <c r="A64">
        <v>1.3062592549983401</v>
      </c>
      <c r="B64">
        <v>4.284652809762</v>
      </c>
      <c r="C64">
        <v>29.921536109439501</v>
      </c>
      <c r="D64">
        <v>1.8707405567317501</v>
      </c>
      <c r="E64">
        <v>3.82815932449815</v>
      </c>
      <c r="F64">
        <v>32.0549632399049</v>
      </c>
      <c r="G64">
        <v>1.2548423995017599</v>
      </c>
      <c r="H64">
        <v>101</v>
      </c>
    </row>
    <row r="65" spans="1:8">
      <c r="A65">
        <v>1.4143459673591701</v>
      </c>
      <c r="B65">
        <v>4.2562326748511898</v>
      </c>
      <c r="C65">
        <v>25.8386726099938</v>
      </c>
      <c r="D65">
        <v>1.9961635437715</v>
      </c>
      <c r="E65">
        <v>3.6121519465680998</v>
      </c>
      <c r="F65">
        <v>34.171652965606</v>
      </c>
      <c r="G65">
        <v>1.58294024445119</v>
      </c>
      <c r="H65">
        <v>127</v>
      </c>
    </row>
    <row r="66" spans="1:8">
      <c r="A66">
        <v>1.42195427640193</v>
      </c>
      <c r="B66">
        <v>4.0889647437346097</v>
      </c>
      <c r="C66">
        <v>24.088622137323199</v>
      </c>
      <c r="D66">
        <v>1.8474330356352699</v>
      </c>
      <c r="E66">
        <v>3.1117054922443601</v>
      </c>
      <c r="F66">
        <v>35.434527420607097</v>
      </c>
      <c r="G66">
        <v>1.00951475486542</v>
      </c>
      <c r="H66">
        <v>12</v>
      </c>
    </row>
    <row r="67" spans="1:8">
      <c r="A67">
        <v>1.45328343383695</v>
      </c>
      <c r="B67">
        <v>4.2364951365865098</v>
      </c>
      <c r="C67">
        <v>25.29154748961</v>
      </c>
      <c r="D67">
        <v>1.96411957843399</v>
      </c>
      <c r="E67">
        <v>3.6063284857028099</v>
      </c>
      <c r="F67">
        <v>34.793818525579702</v>
      </c>
      <c r="G67">
        <v>1.1611852079874201</v>
      </c>
      <c r="H67">
        <v>41</v>
      </c>
    </row>
    <row r="68" spans="1:8">
      <c r="A68">
        <v>1.6362464645766499</v>
      </c>
      <c r="B68">
        <v>4.2073341163916398</v>
      </c>
      <c r="C68">
        <v>26.573895954077699</v>
      </c>
      <c r="D68">
        <v>2.0435510599603499</v>
      </c>
      <c r="E68">
        <v>3.1940621691008499</v>
      </c>
      <c r="F68">
        <v>36.045300279663003</v>
      </c>
      <c r="G68">
        <v>1.3703740309889201</v>
      </c>
      <c r="H68">
        <v>83</v>
      </c>
    </row>
    <row r="69" spans="1:8">
      <c r="A69">
        <v>1.2210468592132599</v>
      </c>
      <c r="B69">
        <v>4.1543929444126002</v>
      </c>
      <c r="C69">
        <v>25.828532763080901</v>
      </c>
      <c r="D69">
        <v>2.1733518381476999</v>
      </c>
      <c r="E69">
        <v>3.9543028092216201</v>
      </c>
      <c r="F69">
        <v>32.3569573355568</v>
      </c>
      <c r="G69">
        <v>1.5129399583527201</v>
      </c>
      <c r="H69">
        <v>152</v>
      </c>
    </row>
    <row r="70" spans="1:8">
      <c r="A70">
        <v>1.22594280402922</v>
      </c>
      <c r="B70">
        <v>4.1924674109293196</v>
      </c>
      <c r="C70">
        <v>23.597122189122</v>
      </c>
      <c r="D70">
        <v>2.1426062013607301</v>
      </c>
      <c r="E70">
        <v>3.0408711040448901</v>
      </c>
      <c r="F70">
        <v>32.1161098451283</v>
      </c>
      <c r="G70">
        <v>1.79987099238915</v>
      </c>
      <c r="H70">
        <v>170</v>
      </c>
    </row>
    <row r="71" spans="1:8">
      <c r="A71">
        <v>1.3515397505553799</v>
      </c>
      <c r="B71">
        <v>4.2261858913802701</v>
      </c>
      <c r="C71">
        <v>24.458251520813999</v>
      </c>
      <c r="D71">
        <v>2.0179814091014898</v>
      </c>
      <c r="E71">
        <v>2.9987508268673602</v>
      </c>
      <c r="F71">
        <v>33.674863952443403</v>
      </c>
      <c r="G71">
        <v>1.0360377963288701</v>
      </c>
      <c r="H71">
        <v>27</v>
      </c>
    </row>
    <row r="72" spans="1:8">
      <c r="A72">
        <v>1.4665044418664299</v>
      </c>
      <c r="B72">
        <v>4.2071833848804898</v>
      </c>
      <c r="C72">
        <v>25.8044913491964</v>
      </c>
      <c r="D72">
        <v>2.0217552407551298</v>
      </c>
      <c r="E72">
        <v>3.7084854898622899</v>
      </c>
      <c r="F72">
        <v>33.397781339025101</v>
      </c>
      <c r="G72">
        <v>1.6374274527983901</v>
      </c>
      <c r="H72">
        <v>147</v>
      </c>
    </row>
    <row r="73" spans="1:8">
      <c r="A73">
        <v>1.3977519696177201</v>
      </c>
      <c r="B73">
        <v>4.2014630107884301</v>
      </c>
      <c r="C73">
        <v>27.330645000582098</v>
      </c>
      <c r="D73">
        <v>2.1914180952905502</v>
      </c>
      <c r="E73">
        <v>3.7563919209541998</v>
      </c>
      <c r="F73">
        <v>35.058351595792402</v>
      </c>
      <c r="G73">
        <v>1.47240975449043</v>
      </c>
      <c r="H73">
        <v>103</v>
      </c>
    </row>
    <row r="74" spans="1:8">
      <c r="A74">
        <v>1.3825039158866801</v>
      </c>
      <c r="B74">
        <v>4.1209806616159401</v>
      </c>
      <c r="C74">
        <v>29.245684701542</v>
      </c>
      <c r="D74">
        <v>1.9835819530838299</v>
      </c>
      <c r="E74">
        <v>3.9727587811301501</v>
      </c>
      <c r="F74">
        <v>31.041479628122001</v>
      </c>
      <c r="G74">
        <v>1.70441389147496</v>
      </c>
      <c r="H74">
        <v>152</v>
      </c>
    </row>
    <row r="75" spans="1:8">
      <c r="A75">
        <v>1.56881485360193</v>
      </c>
      <c r="B75">
        <v>4.2398067512235498</v>
      </c>
      <c r="C75">
        <v>28.010901520036501</v>
      </c>
      <c r="D75">
        <v>1.9845960638108799</v>
      </c>
      <c r="E75">
        <v>3.5580158680302101</v>
      </c>
      <c r="F75">
        <v>31.969842158591099</v>
      </c>
      <c r="G75">
        <v>1.6338869310617301</v>
      </c>
      <c r="H75">
        <v>135</v>
      </c>
    </row>
    <row r="76" spans="1:8">
      <c r="A76">
        <v>1.47852044769589</v>
      </c>
      <c r="B76">
        <v>4.1370412650710504</v>
      </c>
      <c r="C76">
        <v>26.302409205313001</v>
      </c>
      <c r="D76">
        <v>2.1037266580726302</v>
      </c>
      <c r="E76">
        <v>3.2746974240203501</v>
      </c>
      <c r="F76">
        <v>31.950306509707701</v>
      </c>
      <c r="G76">
        <v>1.6918244345927</v>
      </c>
      <c r="H76">
        <v>159</v>
      </c>
    </row>
    <row r="77" spans="1:8">
      <c r="A77">
        <v>1.45833258747127</v>
      </c>
      <c r="B77">
        <v>4.2212801908975504</v>
      </c>
      <c r="C77">
        <v>23.7412209466004</v>
      </c>
      <c r="D77">
        <v>2.0108432671038798</v>
      </c>
      <c r="E77">
        <v>3.59033841506026</v>
      </c>
      <c r="F77">
        <v>29.856374534150099</v>
      </c>
      <c r="G77">
        <v>1.91759369568662</v>
      </c>
      <c r="H77">
        <v>194</v>
      </c>
    </row>
    <row r="78" spans="1:8">
      <c r="A78">
        <v>1.3125375394411101</v>
      </c>
      <c r="B78">
        <v>4.21232266283016</v>
      </c>
      <c r="C78">
        <v>26.256010962627801</v>
      </c>
      <c r="D78">
        <v>2.1285603852719399</v>
      </c>
      <c r="E78">
        <v>3.3745533188320702</v>
      </c>
      <c r="F78">
        <v>34.523504527205603</v>
      </c>
      <c r="G78">
        <v>1.8399530815448999</v>
      </c>
      <c r="H78">
        <v>189</v>
      </c>
    </row>
    <row r="79" spans="1:8">
      <c r="A79">
        <v>1.4569990520618099</v>
      </c>
      <c r="B79">
        <v>4.2579633773346002</v>
      </c>
      <c r="C79">
        <v>27.0961510849862</v>
      </c>
      <c r="D79">
        <v>1.9803337150161799</v>
      </c>
      <c r="E79">
        <v>3.5341927339202699</v>
      </c>
      <c r="F79">
        <v>35.112379161649898</v>
      </c>
      <c r="G79">
        <v>1.6441951700494499</v>
      </c>
      <c r="H79">
        <v>150</v>
      </c>
    </row>
    <row r="80" spans="1:8">
      <c r="A80">
        <v>1.6052689949094201</v>
      </c>
      <c r="B80">
        <v>4.3592333804149703</v>
      </c>
      <c r="C80">
        <v>30.4870627693711</v>
      </c>
      <c r="D80">
        <v>1.93104418666539</v>
      </c>
      <c r="E80">
        <v>3.4540015954686698</v>
      </c>
      <c r="F80">
        <v>33.610049181100898</v>
      </c>
      <c r="G80">
        <v>1.4273689333241799</v>
      </c>
      <c r="H80">
        <v>96</v>
      </c>
    </row>
    <row r="81" spans="1:8">
      <c r="A81">
        <v>1.3883900618201099</v>
      </c>
      <c r="B81">
        <v>4.2451699112182002</v>
      </c>
      <c r="C81">
        <v>30.481103652988001</v>
      </c>
      <c r="D81">
        <v>2.1064140533045501</v>
      </c>
      <c r="E81">
        <v>3.2379724003908499</v>
      </c>
      <c r="F81">
        <v>33.744181234650597</v>
      </c>
      <c r="G81">
        <v>0.93158499272177997</v>
      </c>
      <c r="H81">
        <v>7</v>
      </c>
    </row>
    <row r="82" spans="1:8">
      <c r="A82">
        <v>1.53259915848196</v>
      </c>
      <c r="B82">
        <v>4.2157133034804604</v>
      </c>
      <c r="C82">
        <v>27.218614552020298</v>
      </c>
      <c r="D82">
        <v>2.0687286909239799</v>
      </c>
      <c r="E82">
        <v>3.5364254592192301</v>
      </c>
      <c r="F82">
        <v>34.557346116679398</v>
      </c>
      <c r="G82">
        <v>1.76521675950043</v>
      </c>
      <c r="H82">
        <v>175</v>
      </c>
    </row>
    <row r="83" spans="1:8">
      <c r="A83">
        <v>1.4277456875896299</v>
      </c>
      <c r="B83">
        <v>4.1454813369264203</v>
      </c>
      <c r="C83">
        <v>28.489622091934901</v>
      </c>
      <c r="D83">
        <v>1.9669930844904</v>
      </c>
      <c r="E83">
        <v>3.7081553010575399</v>
      </c>
      <c r="F83">
        <v>37.055079355353101</v>
      </c>
      <c r="G83">
        <v>1.6381897366709199</v>
      </c>
      <c r="H83">
        <v>149</v>
      </c>
    </row>
    <row r="84" spans="1:8">
      <c r="A84">
        <v>1.31158190306888</v>
      </c>
      <c r="B84">
        <v>4.1661503174050099</v>
      </c>
      <c r="C84">
        <v>26.017863385461499</v>
      </c>
      <c r="D84">
        <v>1.9229605599053501</v>
      </c>
      <c r="E84">
        <v>3.4001356735651398</v>
      </c>
      <c r="F84">
        <v>30.448012684946299</v>
      </c>
      <c r="G84">
        <v>1.59580481169627</v>
      </c>
      <c r="H84">
        <v>129</v>
      </c>
    </row>
    <row r="85" spans="1:8">
      <c r="A85">
        <v>1.3735751844492201</v>
      </c>
      <c r="B85">
        <v>4.1670844432087204</v>
      </c>
      <c r="C85">
        <v>28.643161165912101</v>
      </c>
      <c r="D85">
        <v>2.1381388624023199</v>
      </c>
      <c r="E85">
        <v>3.8415951315291901</v>
      </c>
      <c r="F85">
        <v>35.026155648263298</v>
      </c>
      <c r="G85">
        <v>1.8188572335528701</v>
      </c>
      <c r="H85">
        <v>172</v>
      </c>
    </row>
    <row r="86" spans="1:8">
      <c r="A86">
        <v>1.40421682296452</v>
      </c>
      <c r="B86">
        <v>4.1865477115757699</v>
      </c>
      <c r="C86">
        <v>25.297263207209799</v>
      </c>
      <c r="D86">
        <v>2.0048354094108598</v>
      </c>
      <c r="E86">
        <v>3.9684596114323001</v>
      </c>
      <c r="F86">
        <v>35.400807126028397</v>
      </c>
      <c r="G86">
        <v>1.1159587710799801</v>
      </c>
      <c r="H86">
        <v>43</v>
      </c>
    </row>
    <row r="87" spans="1:8">
      <c r="A87">
        <v>1.2677543242334699</v>
      </c>
      <c r="B87">
        <v>4.1973240884242804</v>
      </c>
      <c r="C87">
        <v>28.557066098531401</v>
      </c>
      <c r="D87">
        <v>1.9967191297217901</v>
      </c>
      <c r="E87">
        <v>3.2253257774756001</v>
      </c>
      <c r="F87">
        <v>32.482790855976297</v>
      </c>
      <c r="G87">
        <v>1.33919751323143</v>
      </c>
      <c r="H87">
        <v>87</v>
      </c>
    </row>
    <row r="88" spans="1:8">
      <c r="A88">
        <v>1.11930607011658</v>
      </c>
      <c r="B88">
        <v>4.2200773582508901</v>
      </c>
      <c r="C88">
        <v>27.986543800850001</v>
      </c>
      <c r="D88">
        <v>2.0016843314338901</v>
      </c>
      <c r="E88">
        <v>3.8879031527847601</v>
      </c>
      <c r="F88">
        <v>33.166932580727497</v>
      </c>
      <c r="G88">
        <v>1.11713881335714</v>
      </c>
      <c r="H88">
        <v>34</v>
      </c>
    </row>
    <row r="89" spans="1:8">
      <c r="A89">
        <v>1.6683972787432799</v>
      </c>
      <c r="B89">
        <v>4.1529381736022097</v>
      </c>
      <c r="C89">
        <v>25.851010745974101</v>
      </c>
      <c r="D89">
        <v>2.02658102115163</v>
      </c>
      <c r="E89">
        <v>3.60842219352197</v>
      </c>
      <c r="F89">
        <v>31.518536211005902</v>
      </c>
      <c r="G89">
        <v>1.1166007046053701</v>
      </c>
      <c r="H89">
        <v>45</v>
      </c>
    </row>
    <row r="90" spans="1:8">
      <c r="A90">
        <v>1.4253650366177</v>
      </c>
      <c r="B90">
        <v>4.24550458788777</v>
      </c>
      <c r="C90">
        <v>28.598757071300099</v>
      </c>
      <c r="D90">
        <v>2.1280000684920899</v>
      </c>
      <c r="E90">
        <v>4.1605863612264198</v>
      </c>
      <c r="F90">
        <v>30.983262588269302</v>
      </c>
      <c r="G90">
        <v>1.1463454725281801</v>
      </c>
      <c r="H90">
        <v>80</v>
      </c>
    </row>
    <row r="91" spans="1:8">
      <c r="A91">
        <v>1.1961935832736099</v>
      </c>
      <c r="B91">
        <v>4.1861566491084696</v>
      </c>
      <c r="C91">
        <v>26.090912244822299</v>
      </c>
      <c r="D91">
        <v>1.8394033089586601</v>
      </c>
      <c r="E91">
        <v>3.4966106499451302</v>
      </c>
      <c r="F91">
        <v>33.340046225527303</v>
      </c>
      <c r="G91">
        <v>1.4462356747677201</v>
      </c>
      <c r="H91">
        <v>110</v>
      </c>
    </row>
    <row r="92" spans="1:8">
      <c r="A92">
        <v>1.4604672505669201</v>
      </c>
      <c r="B92">
        <v>4.2484355991518497</v>
      </c>
      <c r="C92">
        <v>25.008823193666501</v>
      </c>
      <c r="D92">
        <v>2.0033079571352599</v>
      </c>
      <c r="E92">
        <v>3.6928430487784398</v>
      </c>
      <c r="F92">
        <v>35.3366857124091</v>
      </c>
      <c r="G92">
        <v>1.67165933088371</v>
      </c>
      <c r="H92">
        <v>154</v>
      </c>
    </row>
    <row r="93" spans="1:8">
      <c r="A93">
        <v>1.2579799462454899</v>
      </c>
      <c r="B93">
        <v>4.2009974071587397</v>
      </c>
      <c r="C93">
        <v>28.0527756476599</v>
      </c>
      <c r="D93">
        <v>2.11210538318899</v>
      </c>
      <c r="E93">
        <v>3.3791031234854398</v>
      </c>
      <c r="F93">
        <v>32.632588305192201</v>
      </c>
      <c r="G93">
        <v>1.2068010006054199</v>
      </c>
      <c r="H93">
        <v>52</v>
      </c>
    </row>
    <row r="94" spans="1:8">
      <c r="A94">
        <v>1.3797580959399001</v>
      </c>
      <c r="B94">
        <v>4.1828303302713499</v>
      </c>
      <c r="C94">
        <v>25.440809477401</v>
      </c>
      <c r="D94">
        <v>1.9746275803003699</v>
      </c>
      <c r="E94">
        <v>3.7662835291726999</v>
      </c>
      <c r="F94">
        <v>32.5070279004578</v>
      </c>
      <c r="G94">
        <v>1.7480940593532399</v>
      </c>
      <c r="H94">
        <v>170</v>
      </c>
    </row>
    <row r="95" spans="1:8">
      <c r="A95">
        <v>1.5193726305473301</v>
      </c>
      <c r="B95">
        <v>4.1793265277544904</v>
      </c>
      <c r="C95">
        <v>24.8596097976436</v>
      </c>
      <c r="D95">
        <v>2.0827224180561701</v>
      </c>
      <c r="E95">
        <v>4.0982807661157201</v>
      </c>
      <c r="F95">
        <v>33.237811880962902</v>
      </c>
      <c r="G95">
        <v>1.8232805507249199</v>
      </c>
      <c r="H95">
        <v>215</v>
      </c>
    </row>
    <row r="96" spans="1:8">
      <c r="A96">
        <v>1.2338954694631299</v>
      </c>
      <c r="B96">
        <v>4.2702134302747004</v>
      </c>
      <c r="C96">
        <v>26.1484097215689</v>
      </c>
      <c r="D96">
        <v>2.0408237425058999</v>
      </c>
      <c r="E96">
        <v>3.70758126865063</v>
      </c>
      <c r="F96">
        <v>32.988940249318297</v>
      </c>
      <c r="G96">
        <v>1.28322513544657</v>
      </c>
      <c r="H96">
        <v>67</v>
      </c>
    </row>
    <row r="97" spans="1:8">
      <c r="A97">
        <v>1.4878675232234999</v>
      </c>
      <c r="B97">
        <v>4.2268130081251503</v>
      </c>
      <c r="C97">
        <v>26.965558248202999</v>
      </c>
      <c r="D97">
        <v>1.98906243442254</v>
      </c>
      <c r="E97">
        <v>3.73974806142667</v>
      </c>
      <c r="F97">
        <v>31.0953353876112</v>
      </c>
      <c r="G97">
        <v>1.79855834900569</v>
      </c>
      <c r="H97">
        <v>180</v>
      </c>
    </row>
    <row r="98" spans="1:8">
      <c r="A98">
        <v>1.5598648702996301</v>
      </c>
      <c r="B98">
        <v>4.0957673167973896</v>
      </c>
      <c r="C98">
        <v>26.627173813886198</v>
      </c>
      <c r="D98">
        <v>2.0507516689086001</v>
      </c>
      <c r="E98">
        <v>2.9656019525319799</v>
      </c>
      <c r="F98">
        <v>32.097606700097302</v>
      </c>
      <c r="G98">
        <v>1.4563227664707801</v>
      </c>
      <c r="H98">
        <v>101</v>
      </c>
    </row>
    <row r="99" spans="1:8">
      <c r="A99">
        <v>1.41578196963841</v>
      </c>
      <c r="B99">
        <v>4.2355596364301702</v>
      </c>
      <c r="C99">
        <v>27.747688472624301</v>
      </c>
      <c r="D99">
        <v>1.87809272055754</v>
      </c>
      <c r="E99">
        <v>4.0783971017831</v>
      </c>
      <c r="F99">
        <v>33.631342318974802</v>
      </c>
      <c r="G99">
        <v>1.08745668538867</v>
      </c>
      <c r="H99">
        <v>38</v>
      </c>
    </row>
    <row r="100" spans="1:8">
      <c r="A100">
        <v>1.3748132833559601</v>
      </c>
      <c r="B100">
        <v>4.2224300235790002</v>
      </c>
      <c r="C100">
        <v>25.977103555972398</v>
      </c>
      <c r="D100">
        <v>1.97078726973743</v>
      </c>
      <c r="E100">
        <v>3.5490989829317501</v>
      </c>
      <c r="F100">
        <v>33.230227254112997</v>
      </c>
      <c r="G100">
        <v>1.9656976901358301</v>
      </c>
      <c r="H100">
        <v>213</v>
      </c>
    </row>
    <row r="101" spans="1:8">
      <c r="A101">
        <v>1.27701324604713</v>
      </c>
      <c r="B101">
        <v>4.15865771331171</v>
      </c>
      <c r="C101">
        <v>28.914577609167999</v>
      </c>
      <c r="D101">
        <v>1.9368451727839999</v>
      </c>
      <c r="E101">
        <v>3.54605587551473</v>
      </c>
      <c r="F101">
        <v>34.384763419195203</v>
      </c>
      <c r="G101">
        <v>1.2654316566259201</v>
      </c>
      <c r="H101">
        <v>74</v>
      </c>
    </row>
    <row r="102" spans="1:8">
      <c r="A102">
        <v>1.36031518170815</v>
      </c>
      <c r="B102">
        <v>4.1648844082286196</v>
      </c>
      <c r="C102">
        <v>27.158819463475201</v>
      </c>
      <c r="D102">
        <v>1.9714798671856899</v>
      </c>
      <c r="E102">
        <v>3.2995382728001901</v>
      </c>
      <c r="F102">
        <v>31.167166623901998</v>
      </c>
      <c r="G102">
        <v>1.77690078407693</v>
      </c>
      <c r="H102">
        <v>164</v>
      </c>
    </row>
    <row r="103" spans="1:8">
      <c r="A103">
        <v>1.2531222714199799</v>
      </c>
      <c r="B103">
        <v>4.1714526573809003</v>
      </c>
      <c r="C103">
        <v>24.290418217379699</v>
      </c>
      <c r="D103">
        <v>2.0300775787492902</v>
      </c>
      <c r="E103">
        <v>3.5682603073631198</v>
      </c>
      <c r="F103">
        <v>34.232246117665397</v>
      </c>
      <c r="G103">
        <v>1.6973421963409101</v>
      </c>
      <c r="H103">
        <v>191</v>
      </c>
    </row>
    <row r="104" spans="1:8">
      <c r="A104">
        <v>1.2407418701584101</v>
      </c>
      <c r="B104">
        <v>4.1909496267753497</v>
      </c>
      <c r="C104">
        <v>27.813749097468602</v>
      </c>
      <c r="D104">
        <v>1.8723506435783499</v>
      </c>
      <c r="E104">
        <v>3.4790248612375301</v>
      </c>
      <c r="F104">
        <v>31.242309556555</v>
      </c>
      <c r="G104">
        <v>1.3121088006930699</v>
      </c>
      <c r="H104">
        <v>83</v>
      </c>
    </row>
    <row r="105" spans="1:8">
      <c r="A105">
        <v>1.4800243140257301</v>
      </c>
      <c r="B105">
        <v>4.1460768385443103</v>
      </c>
      <c r="C105">
        <v>27.797440969564398</v>
      </c>
      <c r="D105">
        <v>1.87032400449418</v>
      </c>
      <c r="E105">
        <v>3.5126874444259499</v>
      </c>
      <c r="F105">
        <v>30.558806809997701</v>
      </c>
      <c r="G105">
        <v>0.88278346425296195</v>
      </c>
      <c r="H105">
        <v>27</v>
      </c>
    </row>
    <row r="106" spans="1:8">
      <c r="A106">
        <v>1.4590356592287399</v>
      </c>
      <c r="B106">
        <v>4.1782756095348601</v>
      </c>
      <c r="C106">
        <v>26.471129081628899</v>
      </c>
      <c r="D106">
        <v>2.1287569307830401</v>
      </c>
      <c r="E106">
        <v>3.3689143520950302</v>
      </c>
      <c r="F106">
        <v>32.105563605926797</v>
      </c>
      <c r="G106">
        <v>1.3986929625718201</v>
      </c>
      <c r="H106">
        <v>89</v>
      </c>
    </row>
    <row r="107" spans="1:8">
      <c r="A107">
        <v>1.47600218945551</v>
      </c>
      <c r="B107">
        <v>4.2092224160167904</v>
      </c>
      <c r="C107">
        <v>28.1137328020422</v>
      </c>
      <c r="D107">
        <v>2.2100531924926798</v>
      </c>
      <c r="E107">
        <v>3.4681655461407601</v>
      </c>
      <c r="F107">
        <v>33.464666205660897</v>
      </c>
      <c r="G107">
        <v>0.96622192266120399</v>
      </c>
      <c r="H107">
        <v>43</v>
      </c>
    </row>
    <row r="108" spans="1:8">
      <c r="A108">
        <v>1.3328606522302699</v>
      </c>
      <c r="B108">
        <v>4.2554921900528697</v>
      </c>
      <c r="C108">
        <v>24.3501109553894</v>
      </c>
      <c r="D108">
        <v>1.88793079037692</v>
      </c>
      <c r="E108">
        <v>3.3959484981143699</v>
      </c>
      <c r="F108">
        <v>31.524331903923699</v>
      </c>
      <c r="G108">
        <v>1.9476377858917</v>
      </c>
      <c r="H108">
        <v>198</v>
      </c>
    </row>
    <row r="109" spans="1:8">
      <c r="A109">
        <v>1.6050717867769</v>
      </c>
      <c r="B109">
        <v>4.2791167185824097</v>
      </c>
      <c r="C109">
        <v>28.3016593671443</v>
      </c>
      <c r="D109">
        <v>1.9840641429569701</v>
      </c>
      <c r="E109">
        <v>3.12979675852749</v>
      </c>
      <c r="F109">
        <v>31.920489194900298</v>
      </c>
      <c r="G109">
        <v>1.5689657060311499</v>
      </c>
      <c r="H109">
        <v>133</v>
      </c>
    </row>
    <row r="110" spans="1:8">
      <c r="A110">
        <v>1.4856057240743901</v>
      </c>
      <c r="B110">
        <v>4.1919200750870402</v>
      </c>
      <c r="C110">
        <v>26.001555487716299</v>
      </c>
      <c r="D110">
        <v>2.01471117031778</v>
      </c>
      <c r="E110">
        <v>3.3429434602642099</v>
      </c>
      <c r="F110">
        <v>29.064460759263699</v>
      </c>
      <c r="G110">
        <v>1.4131184259601399</v>
      </c>
      <c r="H110">
        <v>131</v>
      </c>
    </row>
    <row r="111" spans="1:8">
      <c r="A111">
        <v>1.52335335130247</v>
      </c>
      <c r="B111">
        <v>4.2247577278532704</v>
      </c>
      <c r="C111">
        <v>25.477088716683301</v>
      </c>
      <c r="D111">
        <v>1.94548018269823</v>
      </c>
      <c r="E111">
        <v>3.3124729763408198</v>
      </c>
      <c r="F111">
        <v>31.3782639470042</v>
      </c>
      <c r="G111">
        <v>1.10357425729614</v>
      </c>
      <c r="H111">
        <v>30</v>
      </c>
    </row>
    <row r="112" spans="1:8">
      <c r="A112">
        <v>1.3648820432273201</v>
      </c>
      <c r="B112">
        <v>4.2567377925666099</v>
      </c>
      <c r="C112">
        <v>24.573292978479</v>
      </c>
      <c r="D112">
        <v>2.0191817324747299</v>
      </c>
      <c r="E112">
        <v>3.6807638587912601</v>
      </c>
      <c r="F112">
        <v>34.674805218179699</v>
      </c>
      <c r="G112">
        <v>1.0875799613219801</v>
      </c>
      <c r="H112">
        <v>37</v>
      </c>
    </row>
    <row r="113" spans="1:8">
      <c r="A113">
        <v>1.47785466493798</v>
      </c>
      <c r="B113">
        <v>4.2348049860914303</v>
      </c>
      <c r="C113">
        <v>25.620383803163701</v>
      </c>
      <c r="D113">
        <v>2.0786026233469701</v>
      </c>
      <c r="E113">
        <v>3.4067118552954998</v>
      </c>
      <c r="F113">
        <v>33.279450440272598</v>
      </c>
      <c r="G113">
        <v>0.98065207579490499</v>
      </c>
      <c r="H113">
        <v>48</v>
      </c>
    </row>
    <row r="114" spans="1:8">
      <c r="A114">
        <v>1.53106238445275</v>
      </c>
      <c r="B114">
        <v>4.1892022053143201</v>
      </c>
      <c r="C114">
        <v>25.720475278661802</v>
      </c>
      <c r="D114">
        <v>2.0943074453826398</v>
      </c>
      <c r="E114">
        <v>3.1929075169572201</v>
      </c>
      <c r="F114">
        <v>31.264947713131001</v>
      </c>
      <c r="G114">
        <v>1.90064665302545</v>
      </c>
      <c r="H114">
        <v>230</v>
      </c>
    </row>
    <row r="115" spans="1:8">
      <c r="A115">
        <v>1.7475152476787601</v>
      </c>
      <c r="B115">
        <v>4.1707801335682104</v>
      </c>
      <c r="C115">
        <v>29.184422799310202</v>
      </c>
      <c r="D115">
        <v>1.9596527136980799</v>
      </c>
      <c r="E115">
        <v>3.0028943731749602</v>
      </c>
      <c r="F115">
        <v>30.000857654282701</v>
      </c>
      <c r="G115">
        <v>1.51404535081368</v>
      </c>
      <c r="H115">
        <v>153</v>
      </c>
    </row>
    <row r="116" spans="1:8">
      <c r="A116">
        <v>1.31730247588842</v>
      </c>
      <c r="B116">
        <v>4.1208166442063296</v>
      </c>
      <c r="C116">
        <v>28.724750331685001</v>
      </c>
      <c r="D116">
        <v>1.9081953469772801</v>
      </c>
      <c r="E116">
        <v>3.65156894786131</v>
      </c>
      <c r="F116">
        <v>33.716190473455001</v>
      </c>
      <c r="G116">
        <v>1.7861200806324999</v>
      </c>
      <c r="H116">
        <v>178</v>
      </c>
    </row>
    <row r="117" spans="1:8">
      <c r="A117">
        <v>1.37578783614971</v>
      </c>
      <c r="B117">
        <v>4.2343406710852403</v>
      </c>
      <c r="C117">
        <v>27.439856629080399</v>
      </c>
      <c r="D117">
        <v>1.9540536827463</v>
      </c>
      <c r="E117">
        <v>3.7296785991316299</v>
      </c>
      <c r="F117">
        <v>35.579230347483701</v>
      </c>
      <c r="G117">
        <v>1.5417065146714299</v>
      </c>
      <c r="H117">
        <v>158</v>
      </c>
    </row>
    <row r="118" spans="1:8">
      <c r="A118">
        <v>1.44227429252259</v>
      </c>
      <c r="B118">
        <v>4.1967743122678796</v>
      </c>
      <c r="C118">
        <v>26.399674883445101</v>
      </c>
      <c r="D118">
        <v>1.8102583639666201</v>
      </c>
      <c r="E118">
        <v>3.9127171007943899</v>
      </c>
      <c r="F118">
        <v>34.030947908818298</v>
      </c>
      <c r="G118">
        <v>1.45061549419585</v>
      </c>
      <c r="H118">
        <v>111</v>
      </c>
    </row>
    <row r="119" spans="1:8">
      <c r="A119">
        <v>1.4368517465608399</v>
      </c>
      <c r="B119">
        <v>4.1980975595016403</v>
      </c>
      <c r="C119">
        <v>27.8341653323813</v>
      </c>
      <c r="D119">
        <v>2.1162745043383602</v>
      </c>
      <c r="E119">
        <v>3.6332077684606099</v>
      </c>
      <c r="F119">
        <v>29.775905629543399</v>
      </c>
      <c r="G119">
        <v>1.1867854834221201</v>
      </c>
      <c r="H119">
        <v>47</v>
      </c>
    </row>
    <row r="120" spans="1:8">
      <c r="A120">
        <v>1.4636484073053</v>
      </c>
      <c r="B120">
        <v>4.1619175051921697</v>
      </c>
      <c r="C120">
        <v>27.301732440740899</v>
      </c>
      <c r="D120">
        <v>1.91193305274756</v>
      </c>
      <c r="E120">
        <v>3.8262341870133199</v>
      </c>
      <c r="F120">
        <v>34.9394154473908</v>
      </c>
      <c r="G120">
        <v>1.7138991845817799</v>
      </c>
      <c r="H120">
        <v>163</v>
      </c>
    </row>
    <row r="121" spans="1:8">
      <c r="A121">
        <v>1.25741458423241</v>
      </c>
      <c r="B121">
        <v>4.2368010368142199</v>
      </c>
      <c r="C121">
        <v>27.274143329154199</v>
      </c>
      <c r="D121">
        <v>1.8527539665914201</v>
      </c>
      <c r="E121">
        <v>3.3200076519219301</v>
      </c>
      <c r="F121">
        <v>33.903767939292301</v>
      </c>
      <c r="G121">
        <v>0.94600375534468195</v>
      </c>
      <c r="H121">
        <v>8</v>
      </c>
    </row>
    <row r="122" spans="1:8">
      <c r="A122">
        <v>1.3720652627562899</v>
      </c>
      <c r="B122">
        <v>4.2056980028929001</v>
      </c>
      <c r="C122">
        <v>29.775045929373999</v>
      </c>
      <c r="D122">
        <v>2.0669065192630098</v>
      </c>
      <c r="E122">
        <v>3.4882295524495399</v>
      </c>
      <c r="F122">
        <v>32.9224949478686</v>
      </c>
      <c r="G122">
        <v>1.59814919709132</v>
      </c>
      <c r="H122">
        <v>130</v>
      </c>
    </row>
    <row r="123" spans="1:8">
      <c r="A123">
        <v>1.39734897984287</v>
      </c>
      <c r="B123">
        <v>4.1458290538140998</v>
      </c>
      <c r="C123">
        <v>25.41127106894</v>
      </c>
      <c r="D123">
        <v>1.9412794015906401</v>
      </c>
      <c r="E123">
        <v>3.3461172622605502</v>
      </c>
      <c r="F123">
        <v>31.119366895744999</v>
      </c>
      <c r="G123">
        <v>1.64778488165343</v>
      </c>
      <c r="H123">
        <v>138</v>
      </c>
    </row>
    <row r="124" spans="1:8">
      <c r="A124">
        <v>1.3741398782493699</v>
      </c>
      <c r="B124">
        <v>4.20534379729511</v>
      </c>
      <c r="C124">
        <v>27.1826542748564</v>
      </c>
      <c r="D124">
        <v>1.9274165084896799</v>
      </c>
      <c r="E124">
        <v>3.9109336409735902</v>
      </c>
      <c r="F124">
        <v>31.150879910778698</v>
      </c>
      <c r="G124">
        <v>1.2168650961782299</v>
      </c>
      <c r="H124">
        <v>93</v>
      </c>
    </row>
    <row r="125" spans="1:8">
      <c r="A125">
        <v>1.27321022248328</v>
      </c>
      <c r="B125">
        <v>4.1873379794801098</v>
      </c>
      <c r="C125">
        <v>30.029340181081199</v>
      </c>
      <c r="D125">
        <v>1.8800949116100201</v>
      </c>
      <c r="E125">
        <v>3.53505424118325</v>
      </c>
      <c r="F125">
        <v>35.824370586717698</v>
      </c>
      <c r="G125">
        <v>1.38310484711594</v>
      </c>
      <c r="H125">
        <v>127</v>
      </c>
    </row>
    <row r="126" spans="1:8">
      <c r="A126">
        <v>1.5397103997000201</v>
      </c>
      <c r="B126">
        <v>4.3192445574946703</v>
      </c>
      <c r="C126">
        <v>26.209580288225901</v>
      </c>
      <c r="D126">
        <v>1.9715851040919301</v>
      </c>
      <c r="E126">
        <v>3.4151878499840098</v>
      </c>
      <c r="F126">
        <v>32.523656143665299</v>
      </c>
      <c r="G126">
        <v>1.5365770325858401</v>
      </c>
      <c r="H126">
        <v>156</v>
      </c>
    </row>
    <row r="127" spans="1:8">
      <c r="A127">
        <v>1.29886860417218</v>
      </c>
      <c r="B127">
        <v>4.2461627771071804</v>
      </c>
      <c r="C127">
        <v>27.1317280416906</v>
      </c>
      <c r="D127">
        <v>1.9443794951112401</v>
      </c>
      <c r="E127">
        <v>3.9814503247232</v>
      </c>
      <c r="F127">
        <v>30.802646025025201</v>
      </c>
      <c r="G127">
        <v>1.3288989613955</v>
      </c>
      <c r="H127">
        <v>86</v>
      </c>
    </row>
    <row r="128" spans="1:8">
      <c r="A128">
        <v>1.53307256001743</v>
      </c>
      <c r="B128">
        <v>4.2736128288381101</v>
      </c>
      <c r="C128">
        <v>28.4950132695026</v>
      </c>
      <c r="D128">
        <v>1.9335541616877701</v>
      </c>
      <c r="E128">
        <v>3.5771349268455799</v>
      </c>
      <c r="F128">
        <v>34.832288924954497</v>
      </c>
      <c r="G128">
        <v>1.8783020419890499</v>
      </c>
      <c r="H128">
        <v>195</v>
      </c>
    </row>
    <row r="129" spans="1:8">
      <c r="A129">
        <v>1.51669160718367</v>
      </c>
      <c r="B129">
        <v>4.1783266217846702</v>
      </c>
      <c r="C129">
        <v>26.8464931939771</v>
      </c>
      <c r="D129">
        <v>2.0718089603321701</v>
      </c>
      <c r="E129">
        <v>3.7741160624133498</v>
      </c>
      <c r="F129">
        <v>31.993918728443202</v>
      </c>
      <c r="G129">
        <v>1.5789535227518099</v>
      </c>
      <c r="H129">
        <v>125</v>
      </c>
    </row>
    <row r="130" spans="1:8">
      <c r="A130">
        <v>1.3725816164939799</v>
      </c>
      <c r="B130">
        <v>4.1883254986595899</v>
      </c>
      <c r="C130">
        <v>22.565304370805801</v>
      </c>
      <c r="D130">
        <v>2.0482745860468099</v>
      </c>
      <c r="E130">
        <v>3.54444903975046</v>
      </c>
      <c r="F130">
        <v>34.131498097766801</v>
      </c>
      <c r="G130">
        <v>1.26050940497346</v>
      </c>
      <c r="H130">
        <v>71</v>
      </c>
    </row>
    <row r="131" spans="1:8">
      <c r="A131">
        <v>1.4014678314904001</v>
      </c>
      <c r="B131">
        <v>4.2327217895414</v>
      </c>
      <c r="C131">
        <v>27.944506643075499</v>
      </c>
      <c r="D131">
        <v>1.9507528726419301</v>
      </c>
      <c r="E131">
        <v>3.8051095681108098</v>
      </c>
      <c r="F131">
        <v>33.040647061317998</v>
      </c>
      <c r="G131">
        <v>0.93509924751777995</v>
      </c>
      <c r="H131">
        <v>6</v>
      </c>
    </row>
    <row r="132" spans="1:8">
      <c r="A132">
        <v>1.58757351521123</v>
      </c>
      <c r="B132">
        <v>4.1735231955816001</v>
      </c>
      <c r="C132">
        <v>27.420041131904298</v>
      </c>
      <c r="D132">
        <v>2.0332080532969701</v>
      </c>
      <c r="E132">
        <v>3.7169256715523198</v>
      </c>
      <c r="F132">
        <v>30.564363471607901</v>
      </c>
      <c r="G132">
        <v>1.73630304794798</v>
      </c>
      <c r="H132">
        <v>158</v>
      </c>
    </row>
    <row r="133" spans="1:8">
      <c r="A133">
        <v>1.60313972151483</v>
      </c>
      <c r="B133">
        <v>4.2647943146993699</v>
      </c>
      <c r="C133">
        <v>27.773165252656099</v>
      </c>
      <c r="D133">
        <v>2.1895122291331002</v>
      </c>
      <c r="E133">
        <v>3.5567364434816202</v>
      </c>
      <c r="F133">
        <v>35.899616058171397</v>
      </c>
      <c r="G133">
        <v>1.4497039388691499</v>
      </c>
      <c r="H133">
        <v>109</v>
      </c>
    </row>
    <row r="134" spans="1:8">
      <c r="A134">
        <v>1.40611961637067</v>
      </c>
      <c r="B134">
        <v>4.1922874540845898</v>
      </c>
      <c r="C134">
        <v>25.366270850623799</v>
      </c>
      <c r="D134">
        <v>2.13249358542756</v>
      </c>
      <c r="E134">
        <v>3.1166789320536998</v>
      </c>
      <c r="F134">
        <v>34.776281023676802</v>
      </c>
      <c r="G134">
        <v>1.5903042497145601</v>
      </c>
      <c r="H134">
        <v>137</v>
      </c>
    </row>
    <row r="135" spans="1:8">
      <c r="A135">
        <v>1.38003723052459</v>
      </c>
      <c r="B135">
        <v>4.2389568666238899</v>
      </c>
      <c r="C135">
        <v>28.6246196627174</v>
      </c>
      <c r="D135">
        <v>1.98415952768635</v>
      </c>
      <c r="E135">
        <v>2.8714198980929702</v>
      </c>
      <c r="F135">
        <v>33.8096141464382</v>
      </c>
      <c r="G135">
        <v>1.7371851833232499</v>
      </c>
      <c r="H135">
        <v>168</v>
      </c>
    </row>
    <row r="136" spans="1:8">
      <c r="A136">
        <v>1.2999649998845699</v>
      </c>
      <c r="B136">
        <v>4.2070641593938598</v>
      </c>
      <c r="C136">
        <v>21.604784304749501</v>
      </c>
      <c r="D136">
        <v>1.94718031712688</v>
      </c>
      <c r="E136">
        <v>3.0489853311561301</v>
      </c>
      <c r="F136">
        <v>33.7746525225391</v>
      </c>
      <c r="G136">
        <v>0.95611982931512496</v>
      </c>
      <c r="H136">
        <v>1</v>
      </c>
    </row>
    <row r="137" spans="1:8">
      <c r="A137">
        <v>1.4085703857862899</v>
      </c>
      <c r="B137">
        <v>4.12914679845069</v>
      </c>
      <c r="C137">
        <v>29.0337020407948</v>
      </c>
      <c r="D137">
        <v>1.83791618511018</v>
      </c>
      <c r="E137">
        <v>3.3370586770546899</v>
      </c>
      <c r="F137">
        <v>32.224231861338197</v>
      </c>
      <c r="G137">
        <v>1.3019713505130699</v>
      </c>
      <c r="H137">
        <v>110</v>
      </c>
    </row>
    <row r="138" spans="1:8">
      <c r="A138">
        <v>1.4074497810794799</v>
      </c>
      <c r="B138">
        <v>4.1845945401262599</v>
      </c>
      <c r="C138">
        <v>26.736025180159199</v>
      </c>
      <c r="D138">
        <v>1.9795351407164401</v>
      </c>
      <c r="E138">
        <v>3.02564569918257</v>
      </c>
      <c r="F138">
        <v>32.303220300501202</v>
      </c>
      <c r="G138">
        <v>0.757443860761984</v>
      </c>
      <c r="H138">
        <v>1</v>
      </c>
    </row>
    <row r="139" spans="1:8">
      <c r="A139">
        <v>1.26745825441323</v>
      </c>
      <c r="B139">
        <v>4.1961829376000601</v>
      </c>
      <c r="C139">
        <v>25.6736941308944</v>
      </c>
      <c r="D139">
        <v>2.1712795139458798</v>
      </c>
      <c r="E139">
        <v>2.9879474410300899</v>
      </c>
      <c r="F139">
        <v>34.889040963303401</v>
      </c>
      <c r="G139">
        <v>1.90265667579144</v>
      </c>
      <c r="H139">
        <v>231</v>
      </c>
    </row>
    <row r="140" spans="1:8">
      <c r="A140">
        <v>1.3561254674884999</v>
      </c>
      <c r="B140">
        <v>4.1216617881180397</v>
      </c>
      <c r="C140">
        <v>26.651306379628402</v>
      </c>
      <c r="D140">
        <v>1.89143430820943</v>
      </c>
      <c r="E140">
        <v>4.0661690884801303</v>
      </c>
      <c r="F140">
        <v>32.366849600054401</v>
      </c>
      <c r="G140">
        <v>0.78084775882758495</v>
      </c>
      <c r="H140">
        <v>6</v>
      </c>
    </row>
    <row r="141" spans="1:8">
      <c r="A141">
        <v>1.56856043753917</v>
      </c>
      <c r="B141">
        <v>4.1381437411296398</v>
      </c>
      <c r="C141">
        <v>27.271251336255698</v>
      </c>
      <c r="D141">
        <v>1.9908818710796401</v>
      </c>
      <c r="E141">
        <v>4.1798099356859</v>
      </c>
      <c r="F141">
        <v>26.848457296418001</v>
      </c>
      <c r="G141">
        <v>1.90736380083138</v>
      </c>
      <c r="H141">
        <v>201</v>
      </c>
    </row>
    <row r="142" spans="1:8">
      <c r="A142">
        <v>1.63971168691514</v>
      </c>
      <c r="B142">
        <v>4.2550269048007303</v>
      </c>
      <c r="C142">
        <v>28.499856971299199</v>
      </c>
      <c r="D142">
        <v>2.0171263054889201</v>
      </c>
      <c r="E142">
        <v>3.76283784795412</v>
      </c>
      <c r="F142">
        <v>33.417981186154798</v>
      </c>
      <c r="G142">
        <v>1.7574834220209901</v>
      </c>
      <c r="H142">
        <v>201</v>
      </c>
    </row>
    <row r="143" spans="1:8">
      <c r="A143">
        <v>1.4277181561277399</v>
      </c>
      <c r="B143">
        <v>4.2167822932943997</v>
      </c>
      <c r="C143">
        <v>26.2534909801407</v>
      </c>
      <c r="D143">
        <v>2.05887751371717</v>
      </c>
      <c r="E143">
        <v>3.2183676264729</v>
      </c>
      <c r="F143">
        <v>32.778544599036401</v>
      </c>
      <c r="G143">
        <v>1.8790944719485401</v>
      </c>
      <c r="H143">
        <v>227</v>
      </c>
    </row>
    <row r="144" spans="1:8">
      <c r="A144">
        <v>1.39874388540168</v>
      </c>
      <c r="B144">
        <v>4.1906365161814598</v>
      </c>
      <c r="C144">
        <v>26.134994862545401</v>
      </c>
      <c r="D144">
        <v>1.9567419956333301</v>
      </c>
      <c r="E144">
        <v>3.47951448790108</v>
      </c>
      <c r="F144">
        <v>28.909717651272501</v>
      </c>
      <c r="G144">
        <v>0.94770265699254497</v>
      </c>
      <c r="H144">
        <v>38</v>
      </c>
    </row>
    <row r="145" spans="1:8">
      <c r="A145">
        <v>1.46460614126389</v>
      </c>
      <c r="B145">
        <v>4.1631671257327998</v>
      </c>
      <c r="C145">
        <v>26.815537304003598</v>
      </c>
      <c r="D145">
        <v>2.4112256604458602</v>
      </c>
      <c r="E145">
        <v>3.7908525063673002</v>
      </c>
      <c r="F145">
        <v>36.334689706776402</v>
      </c>
      <c r="G145">
        <v>1.69629371504244</v>
      </c>
      <c r="H145">
        <v>158</v>
      </c>
    </row>
    <row r="146" spans="1:8">
      <c r="A146">
        <v>1.46661731909954</v>
      </c>
      <c r="B146">
        <v>4.2221229404480498</v>
      </c>
      <c r="C146">
        <v>28.805531874200799</v>
      </c>
      <c r="D146">
        <v>2.0322875366308999</v>
      </c>
      <c r="E146">
        <v>4.0003008219601197</v>
      </c>
      <c r="F146">
        <v>32.238154757310902</v>
      </c>
      <c r="G146">
        <v>1.22069747248098</v>
      </c>
      <c r="H146">
        <v>64</v>
      </c>
    </row>
    <row r="147" spans="1:8">
      <c r="A147">
        <v>1.4565461933081201</v>
      </c>
      <c r="B147">
        <v>4.2576484702722297</v>
      </c>
      <c r="C147">
        <v>28.645470073222</v>
      </c>
      <c r="D147">
        <v>1.9234266822981301</v>
      </c>
      <c r="E147">
        <v>3.7731121903446998</v>
      </c>
      <c r="F147">
        <v>34.197822552642101</v>
      </c>
      <c r="G147">
        <v>1.2779478326129401</v>
      </c>
      <c r="H147">
        <v>66</v>
      </c>
    </row>
    <row r="148" spans="1:8">
      <c r="A148">
        <v>1.41182607668213</v>
      </c>
      <c r="B148">
        <v>4.2439530991785404</v>
      </c>
      <c r="C148">
        <v>28.168071725634402</v>
      </c>
      <c r="D148">
        <v>1.95758026367802</v>
      </c>
      <c r="E148">
        <v>3.1349165892348099</v>
      </c>
      <c r="F148">
        <v>29.577412866486899</v>
      </c>
      <c r="G148">
        <v>1.85775887429185</v>
      </c>
      <c r="H148">
        <v>190</v>
      </c>
    </row>
    <row r="149" spans="1:8">
      <c r="A149">
        <v>1.37439936663225</v>
      </c>
      <c r="B149">
        <v>4.1976297096725697</v>
      </c>
      <c r="C149">
        <v>26.998032147675598</v>
      </c>
      <c r="D149">
        <v>1.88069754383779</v>
      </c>
      <c r="E149">
        <v>3.7359699896899299</v>
      </c>
      <c r="F149">
        <v>32.360457821454403</v>
      </c>
      <c r="G149">
        <v>1.6643344994631799</v>
      </c>
      <c r="H149">
        <v>143</v>
      </c>
    </row>
    <row r="150" spans="1:8">
      <c r="A150">
        <v>1.37278157655587</v>
      </c>
      <c r="B150">
        <v>4.2312649478099704</v>
      </c>
      <c r="C150">
        <v>29.726962893737799</v>
      </c>
      <c r="D150">
        <v>2.07455044015799</v>
      </c>
      <c r="E150">
        <v>3.49732323972305</v>
      </c>
      <c r="F150">
        <v>35.131491879220199</v>
      </c>
      <c r="G150">
        <v>1.20572372183432</v>
      </c>
      <c r="H150">
        <v>61</v>
      </c>
    </row>
    <row r="151" spans="1:8">
      <c r="A151">
        <v>1.3790810850428401</v>
      </c>
      <c r="B151">
        <v>4.1730344978391596</v>
      </c>
      <c r="C151">
        <v>25.778394052766298</v>
      </c>
      <c r="D151">
        <v>2.0453923979868001</v>
      </c>
      <c r="E151">
        <v>3.48233449223466</v>
      </c>
      <c r="F151">
        <v>34.306146646195302</v>
      </c>
      <c r="G151">
        <v>1.59115920524459</v>
      </c>
      <c r="H151">
        <v>167</v>
      </c>
    </row>
    <row r="152" spans="1:8">
      <c r="A152">
        <v>1.2836891352625699</v>
      </c>
      <c r="B152">
        <v>4.1277373318893504</v>
      </c>
      <c r="C152">
        <v>25.030217591089901</v>
      </c>
      <c r="D152">
        <v>1.94250872098539</v>
      </c>
      <c r="E152">
        <v>3.79222566196268</v>
      </c>
      <c r="F152">
        <v>33.535395519169001</v>
      </c>
      <c r="G152">
        <v>1.50038502035884</v>
      </c>
      <c r="H152">
        <v>149</v>
      </c>
    </row>
    <row r="153" spans="1:8">
      <c r="A153">
        <v>1.6116900245747099</v>
      </c>
      <c r="B153">
        <v>4.2245068110332298</v>
      </c>
      <c r="C153">
        <v>25.479124571037602</v>
      </c>
      <c r="D153">
        <v>2.03182592884442</v>
      </c>
      <c r="E153">
        <v>3.8115387522674702</v>
      </c>
      <c r="F153">
        <v>31.847295076905901</v>
      </c>
      <c r="G153">
        <v>0.99968914873708403</v>
      </c>
      <c r="H153">
        <v>9</v>
      </c>
    </row>
    <row r="154" spans="1:8">
      <c r="A154">
        <v>1.4523937051445499</v>
      </c>
      <c r="B154">
        <v>4.2614580262247497</v>
      </c>
      <c r="C154">
        <v>25.6812285609697</v>
      </c>
      <c r="D154">
        <v>1.8485633619513899</v>
      </c>
      <c r="E154">
        <v>3.12010472910847</v>
      </c>
      <c r="F154">
        <v>34.484878488314799</v>
      </c>
      <c r="G154">
        <v>1.65507292117633</v>
      </c>
      <c r="H154">
        <v>182</v>
      </c>
    </row>
    <row r="155" spans="1:8">
      <c r="A155">
        <v>1.33003648569308</v>
      </c>
      <c r="B155">
        <v>4.1616098927046403</v>
      </c>
      <c r="C155">
        <v>25.5427561073828</v>
      </c>
      <c r="D155">
        <v>2.1326019065897599</v>
      </c>
      <c r="E155">
        <v>2.9928555886759902</v>
      </c>
      <c r="F155">
        <v>36.387968412728803</v>
      </c>
      <c r="G155">
        <v>1.3256420236992601</v>
      </c>
      <c r="H155">
        <v>74</v>
      </c>
    </row>
    <row r="156" spans="1:8">
      <c r="A156">
        <v>1.2196549247041599</v>
      </c>
      <c r="B156">
        <v>4.2690435704979004</v>
      </c>
      <c r="C156">
        <v>25.228851581970702</v>
      </c>
      <c r="D156">
        <v>1.88986749445973</v>
      </c>
      <c r="E156">
        <v>3.3137287848746402</v>
      </c>
      <c r="F156">
        <v>30.6952090555213</v>
      </c>
      <c r="G156">
        <v>1.4269164219708399</v>
      </c>
      <c r="H156">
        <v>135</v>
      </c>
    </row>
    <row r="157" spans="1:8">
      <c r="A157">
        <v>1.20753806430855</v>
      </c>
      <c r="B157">
        <v>4.19339204654848</v>
      </c>
      <c r="C157">
        <v>29.479802451181499</v>
      </c>
      <c r="D157">
        <v>2.08516380201729</v>
      </c>
      <c r="E157">
        <v>3.7917895441864</v>
      </c>
      <c r="F157">
        <v>33.887573302222201</v>
      </c>
      <c r="G157">
        <v>0.926767291601442</v>
      </c>
      <c r="H157">
        <v>36</v>
      </c>
    </row>
    <row r="158" spans="1:8">
      <c r="A158">
        <v>1.34282173838895</v>
      </c>
      <c r="B158">
        <v>4.2164190720052801</v>
      </c>
      <c r="C158">
        <v>25.498437957003599</v>
      </c>
      <c r="D158">
        <v>1.96057317221022</v>
      </c>
      <c r="E158">
        <v>3.17801122191038</v>
      </c>
      <c r="F158">
        <v>36.350405584031797</v>
      </c>
      <c r="G158">
        <v>0.91988506638944001</v>
      </c>
      <c r="H158">
        <v>4</v>
      </c>
    </row>
    <row r="159" spans="1:8">
      <c r="A159">
        <v>1.28037751614629</v>
      </c>
      <c r="B159">
        <v>4.2358628700755796</v>
      </c>
      <c r="C159">
        <v>24.8545966681652</v>
      </c>
      <c r="D159">
        <v>1.8250966784762099</v>
      </c>
      <c r="E159">
        <v>4.0208975143920096</v>
      </c>
      <c r="F159">
        <v>31.065412063624599</v>
      </c>
      <c r="G159">
        <v>1.51986953800615</v>
      </c>
      <c r="H159">
        <v>115</v>
      </c>
    </row>
    <row r="160" spans="1:8">
      <c r="A160">
        <v>1.3613246180171299</v>
      </c>
      <c r="B160">
        <v>4.2047971593911404</v>
      </c>
      <c r="C160">
        <v>25.307819471402102</v>
      </c>
      <c r="D160">
        <v>2.0607580819874101</v>
      </c>
      <c r="E160">
        <v>3.0553899459965601</v>
      </c>
      <c r="F160">
        <v>33.514874115884702</v>
      </c>
      <c r="G160">
        <v>1.3515899480684299</v>
      </c>
      <c r="H160">
        <v>80</v>
      </c>
    </row>
    <row r="161" spans="1:8">
      <c r="A161">
        <v>1.4878197223587699</v>
      </c>
      <c r="B161">
        <v>4.1896414324233504</v>
      </c>
      <c r="C161">
        <v>29.730859518855802</v>
      </c>
      <c r="D161">
        <v>1.9256564668140499</v>
      </c>
      <c r="E161">
        <v>3.7360925574204198</v>
      </c>
      <c r="F161">
        <v>35.438873790797601</v>
      </c>
      <c r="G161">
        <v>0.96782971523291195</v>
      </c>
      <c r="H161">
        <v>15</v>
      </c>
    </row>
    <row r="162" spans="1:8">
      <c r="A162">
        <v>1.22748273913563</v>
      </c>
      <c r="B162">
        <v>4.2035352744325101</v>
      </c>
      <c r="C162">
        <v>25.336368032331599</v>
      </c>
      <c r="D162">
        <v>1.8484900361332799</v>
      </c>
      <c r="E162">
        <v>3.2691459845822899</v>
      </c>
      <c r="F162">
        <v>32.834213152589101</v>
      </c>
      <c r="G162">
        <v>1.9139211264429701</v>
      </c>
      <c r="H162">
        <v>233</v>
      </c>
    </row>
    <row r="163" spans="1:8">
      <c r="A163">
        <v>1.2149948087486599</v>
      </c>
      <c r="B163">
        <v>4.2175242493963596</v>
      </c>
      <c r="C163">
        <v>27.1688408669457</v>
      </c>
      <c r="D163">
        <v>1.76038139402439</v>
      </c>
      <c r="E163">
        <v>3.6238971775046398</v>
      </c>
      <c r="F163">
        <v>33.314325998084101</v>
      </c>
      <c r="G163">
        <v>0.91094424260616103</v>
      </c>
      <c r="H163">
        <v>1</v>
      </c>
    </row>
    <row r="164" spans="1:8">
      <c r="A164">
        <v>1.3385854581248799</v>
      </c>
      <c r="B164">
        <v>4.2021118817746697</v>
      </c>
      <c r="C164">
        <v>26.852982593175401</v>
      </c>
      <c r="D164">
        <v>2.1681515686021999</v>
      </c>
      <c r="E164">
        <v>3.3028029979747502</v>
      </c>
      <c r="F164">
        <v>32.4801630680793</v>
      </c>
      <c r="G164">
        <v>0.96009711422877397</v>
      </c>
      <c r="H164">
        <v>42</v>
      </c>
    </row>
    <row r="165" spans="1:8">
      <c r="A165">
        <v>1.38607730500849</v>
      </c>
      <c r="B165">
        <v>4.2695944550574501</v>
      </c>
      <c r="C165">
        <v>27.5519851276661</v>
      </c>
      <c r="D165">
        <v>2.0034707832035799</v>
      </c>
      <c r="E165">
        <v>3.50665739379515</v>
      </c>
      <c r="F165">
        <v>37.669763274759298</v>
      </c>
      <c r="G165">
        <v>1.18609111783494</v>
      </c>
      <c r="H165">
        <v>56</v>
      </c>
    </row>
    <row r="166" spans="1:8">
      <c r="A166">
        <v>1.21813084521797</v>
      </c>
      <c r="B166">
        <v>4.1568717544002203</v>
      </c>
      <c r="C166">
        <v>26.336864737130899</v>
      </c>
      <c r="D166">
        <v>2.0858389218556099</v>
      </c>
      <c r="E166">
        <v>3.8604410786891599</v>
      </c>
      <c r="F166">
        <v>35.5531279446136</v>
      </c>
      <c r="G166">
        <v>1.2154246550519701</v>
      </c>
      <c r="H166">
        <v>54</v>
      </c>
    </row>
    <row r="167" spans="1:8">
      <c r="A167">
        <v>1.39859477117801</v>
      </c>
      <c r="B167">
        <v>4.2072102534690696</v>
      </c>
      <c r="C167">
        <v>28.832448582545101</v>
      </c>
      <c r="D167">
        <v>2.0448420047110099</v>
      </c>
      <c r="E167">
        <v>3.1311117312699999</v>
      </c>
      <c r="F167">
        <v>32.968271088965203</v>
      </c>
      <c r="G167">
        <v>1.1781023735605201</v>
      </c>
      <c r="H167">
        <v>85</v>
      </c>
    </row>
    <row r="168" spans="1:8">
      <c r="A168">
        <v>1.3427284116514799</v>
      </c>
      <c r="B168">
        <v>4.1893948452672403</v>
      </c>
      <c r="C168">
        <v>25.908088505718698</v>
      </c>
      <c r="D168">
        <v>2.1376660800923899</v>
      </c>
      <c r="E168">
        <v>4.04446587419653</v>
      </c>
      <c r="F168">
        <v>32.4292221575881</v>
      </c>
      <c r="G168">
        <v>0.98826024585487804</v>
      </c>
      <c r="H168">
        <v>8</v>
      </c>
    </row>
    <row r="169" spans="1:8">
      <c r="A169">
        <v>1.4808655218083</v>
      </c>
      <c r="B169">
        <v>4.1619822382830103</v>
      </c>
      <c r="C169">
        <v>25.6564579833103</v>
      </c>
      <c r="D169">
        <v>2.0323614676694399</v>
      </c>
      <c r="E169">
        <v>3.2806354982057599</v>
      </c>
      <c r="F169">
        <v>31.991812572982901</v>
      </c>
      <c r="G169">
        <v>1.4321881810477499</v>
      </c>
      <c r="H169">
        <v>97</v>
      </c>
    </row>
    <row r="170" spans="1:8">
      <c r="A170">
        <v>1.3981339588259301</v>
      </c>
      <c r="B170">
        <v>4.1712378202832001</v>
      </c>
      <c r="C170">
        <v>26.1251447855416</v>
      </c>
      <c r="D170">
        <v>1.9201406801838301</v>
      </c>
      <c r="E170">
        <v>3.7292021989631601</v>
      </c>
      <c r="F170">
        <v>33.881881376436198</v>
      </c>
      <c r="G170">
        <v>1.24340813208703</v>
      </c>
      <c r="H170">
        <v>98</v>
      </c>
    </row>
    <row r="171" spans="1:8">
      <c r="A171">
        <v>1.35392611695956</v>
      </c>
      <c r="B171">
        <v>4.1773066498877496</v>
      </c>
      <c r="C171">
        <v>27.817572084752499</v>
      </c>
      <c r="D171">
        <v>2.04261455536682</v>
      </c>
      <c r="E171">
        <v>3.4883609002309202</v>
      </c>
      <c r="F171">
        <v>31.260784743787902</v>
      </c>
      <c r="G171">
        <v>1.1290668251595799</v>
      </c>
      <c r="H171">
        <v>36</v>
      </c>
    </row>
    <row r="172" spans="1:8">
      <c r="A172">
        <v>1.4164668231898001</v>
      </c>
      <c r="B172">
        <v>4.24939765607553</v>
      </c>
      <c r="C172">
        <v>28.3602926276169</v>
      </c>
      <c r="D172">
        <v>1.97449442782511</v>
      </c>
      <c r="E172">
        <v>3.4128050798282401</v>
      </c>
      <c r="F172">
        <v>32.740884248702301</v>
      </c>
      <c r="G172">
        <v>1.47405297174302</v>
      </c>
      <c r="H172">
        <v>115</v>
      </c>
    </row>
    <row r="173" spans="1:8">
      <c r="A173">
        <v>1.4194807171887101</v>
      </c>
      <c r="B173">
        <v>4.2479276275128601</v>
      </c>
      <c r="C173">
        <v>27.661603993492101</v>
      </c>
      <c r="D173">
        <v>2.0428131635956501</v>
      </c>
      <c r="E173">
        <v>3.6578799778114801</v>
      </c>
      <c r="F173">
        <v>30.535574338252399</v>
      </c>
      <c r="G173">
        <v>1.4209074237894801</v>
      </c>
      <c r="H173">
        <v>105</v>
      </c>
    </row>
    <row r="174" spans="1:8">
      <c r="A174">
        <v>1.4249526825919501</v>
      </c>
      <c r="B174">
        <v>4.1923964174940798</v>
      </c>
      <c r="C174">
        <v>24.873831888891701</v>
      </c>
      <c r="D174">
        <v>2.04558259511048</v>
      </c>
      <c r="E174">
        <v>3.4608283962333202</v>
      </c>
      <c r="F174">
        <v>33.392321220563403</v>
      </c>
      <c r="G174">
        <v>1.10662037613443</v>
      </c>
      <c r="H174">
        <v>70</v>
      </c>
    </row>
    <row r="175" spans="1:8">
      <c r="A175">
        <v>1.4779605436190699</v>
      </c>
      <c r="B175">
        <v>4.1999134026455103</v>
      </c>
      <c r="C175">
        <v>28.982299110422701</v>
      </c>
      <c r="D175">
        <v>2.1114945401831302</v>
      </c>
      <c r="E175">
        <v>3.1033998614672198</v>
      </c>
      <c r="F175">
        <v>36.304685586809399</v>
      </c>
      <c r="G175">
        <v>1.21776099872002</v>
      </c>
      <c r="H175">
        <v>94</v>
      </c>
    </row>
    <row r="176" spans="1:8">
      <c r="A176">
        <v>1.4517975551206299</v>
      </c>
      <c r="B176">
        <v>4.13210152682987</v>
      </c>
      <c r="C176">
        <v>26.661239481056999</v>
      </c>
      <c r="D176">
        <v>1.9430015969279799</v>
      </c>
      <c r="E176">
        <v>3.57585390907842</v>
      </c>
      <c r="F176">
        <v>33.217421773725903</v>
      </c>
      <c r="G176">
        <v>1.8498597843851601</v>
      </c>
      <c r="H176">
        <v>179</v>
      </c>
    </row>
    <row r="177" spans="1:8">
      <c r="A177">
        <v>1.46973756422963</v>
      </c>
      <c r="B177">
        <v>4.0875600291317102</v>
      </c>
      <c r="C177">
        <v>29.918892644626901</v>
      </c>
      <c r="D177">
        <v>1.96051137770422</v>
      </c>
      <c r="E177">
        <v>3.77096838196378</v>
      </c>
      <c r="F177">
        <v>28.8867117888589</v>
      </c>
      <c r="G177">
        <v>1.6756125029178</v>
      </c>
      <c r="H177">
        <v>185</v>
      </c>
    </row>
    <row r="178" spans="1:8">
      <c r="A178">
        <v>1.4275827958681699</v>
      </c>
      <c r="B178">
        <v>4.1865809576204303</v>
      </c>
      <c r="C178">
        <v>27.246253376971499</v>
      </c>
      <c r="D178">
        <v>1.89046273290186</v>
      </c>
      <c r="E178">
        <v>3.5183972240366002</v>
      </c>
      <c r="F178">
        <v>34.4275091622359</v>
      </c>
      <c r="G178">
        <v>1.95915940483809</v>
      </c>
      <c r="H178">
        <v>212</v>
      </c>
    </row>
    <row r="179" spans="1:8">
      <c r="A179">
        <v>1.25546117122433</v>
      </c>
      <c r="B179">
        <v>4.2217164810607102</v>
      </c>
      <c r="C179">
        <v>27.630150210617</v>
      </c>
      <c r="D179">
        <v>1.9848560035601499</v>
      </c>
      <c r="E179">
        <v>3.6437437061923701</v>
      </c>
      <c r="F179">
        <v>32.453004019338003</v>
      </c>
      <c r="G179">
        <v>1.5498633139885301</v>
      </c>
      <c r="H179">
        <v>130</v>
      </c>
    </row>
    <row r="180" spans="1:8">
      <c r="A180">
        <v>1.55661912120057</v>
      </c>
      <c r="B180">
        <v>4.1815420537073802</v>
      </c>
      <c r="C180">
        <v>26.096777687234798</v>
      </c>
      <c r="D180">
        <v>1.8559076132919401</v>
      </c>
      <c r="E180">
        <v>3.7234794996999998</v>
      </c>
      <c r="F180">
        <v>32.369839197636402</v>
      </c>
      <c r="G180">
        <v>1.5660810451271301</v>
      </c>
      <c r="H180">
        <v>163</v>
      </c>
    </row>
    <row r="181" spans="1:8">
      <c r="A181">
        <v>1.50196757549774</v>
      </c>
      <c r="B181">
        <v>4.2710282699846003</v>
      </c>
      <c r="C181">
        <v>24.367359381991498</v>
      </c>
      <c r="D181">
        <v>1.90913149103067</v>
      </c>
      <c r="E181">
        <v>3.67896590241984</v>
      </c>
      <c r="F181">
        <v>32.131832594028197</v>
      </c>
      <c r="G181">
        <v>1.69582091171566</v>
      </c>
      <c r="H181">
        <v>189</v>
      </c>
    </row>
    <row r="182" spans="1:8">
      <c r="A182">
        <v>1.26860635891901</v>
      </c>
      <c r="B182">
        <v>4.2200721293534</v>
      </c>
      <c r="C182">
        <v>27.3881157440142</v>
      </c>
      <c r="D182">
        <v>2.0652121464579198</v>
      </c>
      <c r="E182">
        <v>3.8787403702803598</v>
      </c>
      <c r="F182">
        <v>33.622182401588702</v>
      </c>
      <c r="G182">
        <v>1.0319970804322001</v>
      </c>
      <c r="H182">
        <v>57</v>
      </c>
    </row>
    <row r="183" spans="1:8">
      <c r="A183">
        <v>1.36347183172312</v>
      </c>
      <c r="B183">
        <v>4.1893262399583904</v>
      </c>
      <c r="C183">
        <v>26.2107683905184</v>
      </c>
      <c r="D183">
        <v>1.9448308120640201</v>
      </c>
      <c r="E183">
        <v>3.7511922955469599</v>
      </c>
      <c r="F183">
        <v>31.499298351379799</v>
      </c>
      <c r="G183">
        <v>0.80833866926456299</v>
      </c>
      <c r="H183">
        <v>11</v>
      </c>
    </row>
    <row r="184" spans="1:8">
      <c r="A184">
        <v>1.3676654969323501</v>
      </c>
      <c r="B184">
        <v>4.2421652907414504</v>
      </c>
      <c r="C184">
        <v>28.743706839690901</v>
      </c>
      <c r="D184">
        <v>1.91897343881187</v>
      </c>
      <c r="E184">
        <v>3.3376696350368298</v>
      </c>
      <c r="F184">
        <v>34.432019773474501</v>
      </c>
      <c r="G184">
        <v>1.3428404657647799</v>
      </c>
      <c r="H184">
        <v>79</v>
      </c>
    </row>
    <row r="185" spans="1:8">
      <c r="A185">
        <v>1.3451916020991499</v>
      </c>
      <c r="B185">
        <v>4.1475577453279104</v>
      </c>
      <c r="C185">
        <v>24.0891015498425</v>
      </c>
      <c r="D185">
        <v>1.9111236901608399</v>
      </c>
      <c r="E185">
        <v>3.5042782314671301</v>
      </c>
      <c r="F185">
        <v>36.103802428166297</v>
      </c>
      <c r="G185">
        <v>1.09562223137218</v>
      </c>
      <c r="H185">
        <v>69</v>
      </c>
    </row>
    <row r="186" spans="1:8">
      <c r="A186">
        <v>1.29435949059889</v>
      </c>
      <c r="B186">
        <v>4.2481518806703402</v>
      </c>
      <c r="C186">
        <v>26.3060267550017</v>
      </c>
      <c r="D186">
        <v>2.0610634569451798</v>
      </c>
      <c r="E186">
        <v>3.3543724328444902</v>
      </c>
      <c r="F186">
        <v>34.098480629858997</v>
      </c>
      <c r="G186">
        <v>1.30254101736836</v>
      </c>
      <c r="H186">
        <v>79</v>
      </c>
    </row>
    <row r="187" spans="1:8">
      <c r="A187">
        <v>1.5152736068039101</v>
      </c>
      <c r="B187">
        <v>4.2266576125208699</v>
      </c>
      <c r="C187">
        <v>26.3497848382124</v>
      </c>
      <c r="D187">
        <v>2.0003067092575502</v>
      </c>
      <c r="E187">
        <v>4.1345636942776398</v>
      </c>
      <c r="F187">
        <v>35.141085959960598</v>
      </c>
      <c r="G187">
        <v>1.8682602703345601</v>
      </c>
      <c r="H187">
        <v>185</v>
      </c>
    </row>
    <row r="188" spans="1:8">
      <c r="A188">
        <v>1.29815749204922</v>
      </c>
      <c r="B188">
        <v>4.1752734650502399</v>
      </c>
      <c r="C188">
        <v>28.112496015121199</v>
      </c>
      <c r="D188">
        <v>2.19968656437121</v>
      </c>
      <c r="E188">
        <v>3.88413668246652</v>
      </c>
      <c r="F188">
        <v>36.1421689532893</v>
      </c>
      <c r="G188">
        <v>1.7743753925214101</v>
      </c>
      <c r="H188">
        <v>176</v>
      </c>
    </row>
    <row r="189" spans="1:8">
      <c r="A189">
        <v>1.52063181639205</v>
      </c>
      <c r="B189">
        <v>4.1780213037185296</v>
      </c>
      <c r="C189">
        <v>26.8916447976607</v>
      </c>
      <c r="D189">
        <v>2.0202052960952899</v>
      </c>
      <c r="E189">
        <v>3.6575577631992999</v>
      </c>
      <c r="F189">
        <v>33.443990428419298</v>
      </c>
      <c r="G189">
        <v>1.77499052422634</v>
      </c>
      <c r="H189">
        <v>177</v>
      </c>
    </row>
    <row r="190" spans="1:8">
      <c r="A190">
        <v>1.34303263933784</v>
      </c>
      <c r="B190">
        <v>4.1348954732497303</v>
      </c>
      <c r="C190">
        <v>25.925190244108201</v>
      </c>
      <c r="D190">
        <v>2.0924207916231898</v>
      </c>
      <c r="E190">
        <v>3.8192885454452798</v>
      </c>
      <c r="F190">
        <v>33.1021830388841</v>
      </c>
      <c r="G190">
        <v>1.6336620945529301</v>
      </c>
      <c r="H190">
        <v>146</v>
      </c>
    </row>
    <row r="191" spans="1:8">
      <c r="A191">
        <v>1.31723474681262</v>
      </c>
      <c r="B191">
        <v>4.1389707870665697</v>
      </c>
      <c r="C191">
        <v>24.637701620239199</v>
      </c>
      <c r="D191">
        <v>2.0628368285489498</v>
      </c>
      <c r="E191">
        <v>3.1910595551906198</v>
      </c>
      <c r="F191">
        <v>29.9754177401148</v>
      </c>
      <c r="G191">
        <v>1.1569003213686799</v>
      </c>
      <c r="H191">
        <v>52</v>
      </c>
    </row>
    <row r="192" spans="1:8">
      <c r="A192">
        <v>1.5391638900033</v>
      </c>
      <c r="B192">
        <v>4.2755831580685904</v>
      </c>
      <c r="C192">
        <v>28.8400804253742</v>
      </c>
      <c r="D192">
        <v>2.1046992329345899</v>
      </c>
      <c r="E192">
        <v>3.37122631897202</v>
      </c>
      <c r="F192">
        <v>32.636574832851103</v>
      </c>
      <c r="G192">
        <v>1.82007258671121</v>
      </c>
      <c r="H192">
        <v>214</v>
      </c>
    </row>
    <row r="193" spans="1:8">
      <c r="A193">
        <v>1.46183379372262</v>
      </c>
      <c r="B193">
        <v>4.2778505115563004</v>
      </c>
      <c r="C193">
        <v>27.326463229330699</v>
      </c>
      <c r="D193">
        <v>1.99880801691611</v>
      </c>
      <c r="E193">
        <v>3.84389890036292</v>
      </c>
      <c r="F193">
        <v>32.797447509068697</v>
      </c>
      <c r="G193">
        <v>1.1839058441655399</v>
      </c>
      <c r="H193">
        <v>87</v>
      </c>
    </row>
    <row r="194" spans="1:8">
      <c r="A194">
        <v>1.2361660851652601</v>
      </c>
      <c r="B194">
        <v>4.2361802648315097</v>
      </c>
      <c r="C194">
        <v>24.4399079648108</v>
      </c>
      <c r="D194">
        <v>1.95996665502927</v>
      </c>
      <c r="E194">
        <v>3.30028403266585</v>
      </c>
      <c r="F194">
        <v>30.2855226129264</v>
      </c>
      <c r="G194">
        <v>1.66637809615924</v>
      </c>
      <c r="H194">
        <v>153</v>
      </c>
    </row>
    <row r="195" spans="1:8">
      <c r="A195">
        <v>1.5214232772046801</v>
      </c>
      <c r="B195">
        <v>4.2048621323656397</v>
      </c>
      <c r="C195">
        <v>28.401882467287098</v>
      </c>
      <c r="D195">
        <v>1.8885074334315199</v>
      </c>
      <c r="E195">
        <v>3.9569039702359898</v>
      </c>
      <c r="F195">
        <v>32.633557595557399</v>
      </c>
      <c r="G195">
        <v>1.94583311907168</v>
      </c>
      <c r="H195">
        <v>208</v>
      </c>
    </row>
    <row r="196" spans="1:8">
      <c r="A196">
        <v>1.2380035808870999</v>
      </c>
      <c r="B196">
        <v>4.28270500267723</v>
      </c>
      <c r="C196">
        <v>27.992080337242399</v>
      </c>
      <c r="D196">
        <v>1.9874929316713199</v>
      </c>
      <c r="E196">
        <v>3.5050381655272602</v>
      </c>
      <c r="F196">
        <v>31.798677134264899</v>
      </c>
      <c r="G196">
        <v>1.46097146882766</v>
      </c>
      <c r="H196">
        <v>143</v>
      </c>
    </row>
    <row r="197" spans="1:8">
      <c r="A197">
        <v>1.4604931418267399</v>
      </c>
      <c r="B197">
        <v>4.2116120523540497</v>
      </c>
      <c r="C197">
        <v>26.496900525594</v>
      </c>
      <c r="D197">
        <v>2.07350643674472</v>
      </c>
      <c r="E197">
        <v>3.8602726036895199</v>
      </c>
      <c r="F197">
        <v>33.173439279256797</v>
      </c>
      <c r="G197">
        <v>0.90660924540321197</v>
      </c>
      <c r="H197">
        <v>30</v>
      </c>
    </row>
    <row r="198" spans="1:8">
      <c r="A198">
        <v>1.3366477289356</v>
      </c>
      <c r="B198">
        <v>4.1585785569801201</v>
      </c>
      <c r="C198">
        <v>28.176348718177199</v>
      </c>
      <c r="D198">
        <v>2.1086781721502801</v>
      </c>
      <c r="E198">
        <v>2.8935221676698202</v>
      </c>
      <c r="F198">
        <v>33.734776799638801</v>
      </c>
      <c r="G198">
        <v>1.84782760619172</v>
      </c>
      <c r="H198">
        <v>181</v>
      </c>
    </row>
    <row r="199" spans="1:8">
      <c r="A199">
        <v>1.35472252171642</v>
      </c>
      <c r="B199">
        <v>4.2646419753650298</v>
      </c>
      <c r="C199">
        <v>27.4254297969864</v>
      </c>
      <c r="D199">
        <v>2.0075699800999698</v>
      </c>
      <c r="E199">
        <v>3.6545608396162299</v>
      </c>
      <c r="F199">
        <v>33.794283123836102</v>
      </c>
      <c r="G199">
        <v>1.08687812279052</v>
      </c>
      <c r="H199">
        <v>67</v>
      </c>
    </row>
    <row r="200" spans="1:8">
      <c r="A200">
        <v>1.1863049618417301</v>
      </c>
      <c r="B200">
        <v>4.1720500816953896</v>
      </c>
      <c r="C200">
        <v>25.207307975416001</v>
      </c>
      <c r="D200">
        <v>2.01908566086292</v>
      </c>
      <c r="E200">
        <v>3.6867869785541099</v>
      </c>
      <c r="F200">
        <v>30.967043403868502</v>
      </c>
      <c r="G200">
        <v>1.37606671071363</v>
      </c>
      <c r="H200">
        <v>85</v>
      </c>
    </row>
    <row r="201" spans="1:8">
      <c r="A201">
        <v>1.4731510718571801</v>
      </c>
      <c r="B201">
        <v>4.1651717793187899</v>
      </c>
      <c r="C201">
        <v>29.637871479884101</v>
      </c>
      <c r="D201">
        <v>2.0131946582348301</v>
      </c>
      <c r="E201">
        <v>3.8046102697539301</v>
      </c>
      <c r="F201">
        <v>32.554212117412497</v>
      </c>
      <c r="G201">
        <v>1.95944663325053</v>
      </c>
      <c r="H201">
        <v>202</v>
      </c>
    </row>
    <row r="202" spans="1:8">
      <c r="A202">
        <v>1.42972391370629</v>
      </c>
      <c r="B202">
        <v>4.1617517028961997</v>
      </c>
      <c r="C202">
        <v>26.0032566200105</v>
      </c>
      <c r="D202">
        <v>1.98555010012883</v>
      </c>
      <c r="E202">
        <v>3.7110386770900199</v>
      </c>
      <c r="F202">
        <v>36.682639218668399</v>
      </c>
      <c r="G202">
        <v>1.6905138406164999</v>
      </c>
      <c r="H202">
        <v>148</v>
      </c>
    </row>
    <row r="203" spans="1:8">
      <c r="A203">
        <v>1.30085186815931</v>
      </c>
      <c r="B203">
        <v>4.2541894616289602</v>
      </c>
      <c r="C203">
        <v>25.425354677562598</v>
      </c>
      <c r="D203">
        <v>1.99888349762563</v>
      </c>
      <c r="E203">
        <v>3.3297811409660798</v>
      </c>
      <c r="F203">
        <v>31.648197003453301</v>
      </c>
      <c r="G203">
        <v>1.07650312191678</v>
      </c>
      <c r="H203">
        <v>25</v>
      </c>
    </row>
    <row r="204" spans="1:8">
      <c r="A204">
        <v>1.2097535776932999</v>
      </c>
      <c r="B204">
        <v>4.2879973168440104</v>
      </c>
      <c r="C204">
        <v>26.752890244440799</v>
      </c>
      <c r="D204">
        <v>2.0021936936284899</v>
      </c>
      <c r="E204">
        <v>3.8449878336585899</v>
      </c>
      <c r="F204">
        <v>32.4895657647793</v>
      </c>
      <c r="G204">
        <v>1.1077723041013601</v>
      </c>
      <c r="H204">
        <v>42</v>
      </c>
    </row>
    <row r="205" spans="1:8">
      <c r="A205">
        <v>1.4134220336093599</v>
      </c>
      <c r="B205">
        <v>4.2570568745749497</v>
      </c>
      <c r="C205">
        <v>24.701004672272401</v>
      </c>
      <c r="D205">
        <v>1.9945733423324199</v>
      </c>
      <c r="E205">
        <v>3.5990339475385902</v>
      </c>
      <c r="F205">
        <v>33.650720936293901</v>
      </c>
      <c r="G205">
        <v>1.64045695998008</v>
      </c>
      <c r="H205">
        <v>180</v>
      </c>
    </row>
    <row r="206" spans="1:8">
      <c r="A206">
        <v>1.5538465279493401</v>
      </c>
      <c r="B206">
        <v>4.1389001468369804</v>
      </c>
      <c r="C206">
        <v>27.583995448267</v>
      </c>
      <c r="D206">
        <v>2.0675214828438002</v>
      </c>
      <c r="E206">
        <v>3.7693941291759998</v>
      </c>
      <c r="F206">
        <v>35.003422757984197</v>
      </c>
      <c r="G206">
        <v>1.0324481343015199</v>
      </c>
      <c r="H206">
        <v>56</v>
      </c>
    </row>
    <row r="207" spans="1:8">
      <c r="A207">
        <v>1.3625618903114001</v>
      </c>
      <c r="B207">
        <v>4.2165511480781204</v>
      </c>
      <c r="C207">
        <v>25.953672305999099</v>
      </c>
      <c r="D207">
        <v>2.0358416091890899</v>
      </c>
      <c r="E207">
        <v>3.5977644677441099</v>
      </c>
      <c r="F207">
        <v>32.301259794179799</v>
      </c>
      <c r="G207">
        <v>1.5780228710530499</v>
      </c>
      <c r="H207">
        <v>136</v>
      </c>
    </row>
    <row r="208" spans="1:8">
      <c r="A208">
        <v>1.38589407419618</v>
      </c>
      <c r="B208">
        <v>4.2083726046619798</v>
      </c>
      <c r="C208">
        <v>25.963294783477501</v>
      </c>
      <c r="D208">
        <v>1.8623790555522299</v>
      </c>
      <c r="E208">
        <v>3.0251816212672402</v>
      </c>
      <c r="F208">
        <v>34.809687384780801</v>
      </c>
      <c r="G208">
        <v>1.96842319363568</v>
      </c>
      <c r="H208">
        <v>243</v>
      </c>
    </row>
    <row r="209" spans="1:8">
      <c r="A209">
        <v>1.2372176825277399</v>
      </c>
      <c r="B209">
        <v>4.1899304524972898</v>
      </c>
      <c r="C209">
        <v>28.954549938307299</v>
      </c>
      <c r="D209">
        <v>2.0340223022787902</v>
      </c>
      <c r="E209">
        <v>3.30259260927222</v>
      </c>
      <c r="F209">
        <v>32.576784511361403</v>
      </c>
      <c r="G209">
        <v>1.38931919714231</v>
      </c>
      <c r="H209">
        <v>88</v>
      </c>
    </row>
    <row r="210" spans="1:8">
      <c r="A210">
        <v>1.2379724941347401</v>
      </c>
      <c r="B210">
        <v>4.2026418224877098</v>
      </c>
      <c r="C210">
        <v>26.675519082072</v>
      </c>
      <c r="D210">
        <v>1.93501444686577</v>
      </c>
      <c r="E210">
        <v>3.3684162322396798</v>
      </c>
      <c r="F210">
        <v>32.986452741498702</v>
      </c>
      <c r="G210">
        <v>1.77289501296031</v>
      </c>
      <c r="H210">
        <v>206</v>
      </c>
    </row>
    <row r="211" spans="1:8">
      <c r="A211">
        <v>1.4047738725096399</v>
      </c>
      <c r="B211">
        <v>4.1418779706976201</v>
      </c>
      <c r="C211">
        <v>26.5658732219444</v>
      </c>
      <c r="D211">
        <v>1.92300431184333</v>
      </c>
      <c r="E211">
        <v>3.4741768222052398</v>
      </c>
      <c r="F211">
        <v>30.946405133560301</v>
      </c>
      <c r="G211">
        <v>1.59977337294956</v>
      </c>
      <c r="H211">
        <v>140</v>
      </c>
    </row>
    <row r="212" spans="1:8">
      <c r="A212">
        <v>1.51050923158628</v>
      </c>
      <c r="B212">
        <v>4.1875906932434201</v>
      </c>
      <c r="C212">
        <v>27.967208115222199</v>
      </c>
      <c r="D212">
        <v>2.1716882187190301</v>
      </c>
      <c r="E212">
        <v>3.4919894260003002</v>
      </c>
      <c r="F212">
        <v>31.512481662098299</v>
      </c>
      <c r="G212">
        <v>1.8836367253907</v>
      </c>
      <c r="H212">
        <v>196</v>
      </c>
    </row>
    <row r="213" spans="1:8">
      <c r="A213">
        <v>1.54944412002191</v>
      </c>
      <c r="B213">
        <v>4.1802435371719797</v>
      </c>
      <c r="C213">
        <v>26.609922324682199</v>
      </c>
      <c r="D213">
        <v>2.05843387243246</v>
      </c>
      <c r="E213">
        <v>3.5802958799850901</v>
      </c>
      <c r="F213">
        <v>29.7709343817933</v>
      </c>
      <c r="G213">
        <v>1.9222265853240901</v>
      </c>
      <c r="H213">
        <v>204</v>
      </c>
    </row>
    <row r="214" spans="1:8">
      <c r="A214">
        <v>1.27500444603893</v>
      </c>
      <c r="B214">
        <v>4.2486532540549602</v>
      </c>
      <c r="C214">
        <v>26.548805947132902</v>
      </c>
      <c r="D214">
        <v>2.0759470424050401</v>
      </c>
      <c r="E214">
        <v>3.4758977199175001</v>
      </c>
      <c r="F214">
        <v>31.238890272293599</v>
      </c>
      <c r="G214">
        <v>1.2648887804118401</v>
      </c>
      <c r="H214">
        <v>62</v>
      </c>
    </row>
    <row r="215" spans="1:8">
      <c r="A215">
        <v>1.3750820519668201</v>
      </c>
      <c r="B215">
        <v>4.17345090322745</v>
      </c>
      <c r="C215">
        <v>27.385688091309301</v>
      </c>
      <c r="D215">
        <v>1.96100818718557</v>
      </c>
      <c r="E215">
        <v>3.5751017558099898</v>
      </c>
      <c r="F215">
        <v>32.831042747899097</v>
      </c>
      <c r="G215">
        <v>1.39897156230487</v>
      </c>
      <c r="H215">
        <v>91</v>
      </c>
    </row>
    <row r="216" spans="1:8">
      <c r="A216">
        <v>1.36620829648274</v>
      </c>
      <c r="B216">
        <v>4.1819911893490804</v>
      </c>
      <c r="C216">
        <v>26.9703549734141</v>
      </c>
      <c r="D216">
        <v>2.1860051254541402</v>
      </c>
      <c r="E216">
        <v>3.4963397414509001</v>
      </c>
      <c r="F216">
        <v>33.362364565465001</v>
      </c>
      <c r="G216">
        <v>1.86792258367994</v>
      </c>
      <c r="H216">
        <v>223</v>
      </c>
    </row>
    <row r="217" spans="1:8">
      <c r="A217">
        <v>1.5023269616400801</v>
      </c>
      <c r="B217">
        <v>4.26076137438241</v>
      </c>
      <c r="C217">
        <v>27.076231502768898</v>
      </c>
      <c r="D217">
        <v>2.0676215709936501</v>
      </c>
      <c r="E217">
        <v>3.0749602348648599</v>
      </c>
      <c r="F217">
        <v>32.570404508997498</v>
      </c>
      <c r="G217">
        <v>1.7776361584768201</v>
      </c>
      <c r="H217">
        <v>165</v>
      </c>
    </row>
    <row r="218" spans="1:8">
      <c r="A218">
        <v>1.3876454673315799</v>
      </c>
      <c r="B218">
        <v>4.3013177724515304</v>
      </c>
      <c r="C218">
        <v>26.4297756004718</v>
      </c>
      <c r="D218">
        <v>1.93788629492499</v>
      </c>
      <c r="E218">
        <v>3.0566252255297099</v>
      </c>
      <c r="F218">
        <v>32.2052912692237</v>
      </c>
      <c r="G218">
        <v>1.2528465532628299</v>
      </c>
      <c r="H218">
        <v>60</v>
      </c>
    </row>
    <row r="219" spans="1:8">
      <c r="A219">
        <v>1.25282171827263</v>
      </c>
      <c r="B219">
        <v>4.2578479506331002</v>
      </c>
      <c r="C219">
        <v>28.135812017061799</v>
      </c>
      <c r="D219">
        <v>2.1012620584757902</v>
      </c>
      <c r="E219">
        <v>3.5564910975973998</v>
      </c>
      <c r="F219">
        <v>33.3432867482136</v>
      </c>
      <c r="G219">
        <v>1.70439837464586</v>
      </c>
      <c r="H219">
        <v>151</v>
      </c>
    </row>
    <row r="220" spans="1:8">
      <c r="A220">
        <v>1.33395309721577</v>
      </c>
      <c r="B220">
        <v>4.2206981578539997</v>
      </c>
      <c r="C220">
        <v>26.381682266055002</v>
      </c>
      <c r="D220">
        <v>1.82850216858724</v>
      </c>
      <c r="E220">
        <v>3.3361803210467502</v>
      </c>
      <c r="F220">
        <v>31.659291397132701</v>
      </c>
      <c r="G220">
        <v>1.3044134273413399</v>
      </c>
      <c r="H220">
        <v>82</v>
      </c>
    </row>
    <row r="221" spans="1:8">
      <c r="A221">
        <v>1.41250471508183</v>
      </c>
      <c r="B221">
        <v>4.0876319813760196</v>
      </c>
      <c r="C221">
        <v>27.108417083983799</v>
      </c>
      <c r="D221">
        <v>1.9451817639171001</v>
      </c>
      <c r="E221">
        <v>3.3207324025524101</v>
      </c>
      <c r="F221">
        <v>31.895515125282198</v>
      </c>
      <c r="G221">
        <v>1.8915612545432201</v>
      </c>
      <c r="H221">
        <v>228</v>
      </c>
    </row>
    <row r="222" spans="1:8">
      <c r="A222">
        <v>1.41858885862746</v>
      </c>
      <c r="B222">
        <v>4.1724865880833697</v>
      </c>
      <c r="C222">
        <v>26.515707248396598</v>
      </c>
      <c r="D222">
        <v>2.03226413408197</v>
      </c>
      <c r="E222">
        <v>3.52122611768247</v>
      </c>
      <c r="F222">
        <v>32.735939103219302</v>
      </c>
      <c r="G222">
        <v>1.8276520153865199</v>
      </c>
      <c r="H222">
        <v>186</v>
      </c>
    </row>
    <row r="223" spans="1:8">
      <c r="A223">
        <v>1.3419892217338201</v>
      </c>
      <c r="B223">
        <v>4.2262672027044399</v>
      </c>
      <c r="C223">
        <v>27.103007646276701</v>
      </c>
      <c r="D223">
        <v>2.0693420822245501</v>
      </c>
      <c r="E223">
        <v>3.5702953720838702</v>
      </c>
      <c r="F223">
        <v>31.278604329415199</v>
      </c>
      <c r="G223">
        <v>1.85588032525941</v>
      </c>
      <c r="H223">
        <v>182</v>
      </c>
    </row>
    <row r="224" spans="1:8">
      <c r="A224">
        <v>1.34820173103318</v>
      </c>
      <c r="B224">
        <v>4.1534337560486696</v>
      </c>
      <c r="C224">
        <v>26.064314013697398</v>
      </c>
      <c r="D224">
        <v>2.00818250205386</v>
      </c>
      <c r="E224">
        <v>3.5173483879010701</v>
      </c>
      <c r="F224">
        <v>34.835571310042297</v>
      </c>
      <c r="G224">
        <v>0.99551706001125895</v>
      </c>
      <c r="H224">
        <v>49</v>
      </c>
    </row>
    <row r="225" spans="1:8">
      <c r="A225">
        <v>1.28263204234299</v>
      </c>
      <c r="B225">
        <v>4.1865427282365104</v>
      </c>
      <c r="C225">
        <v>28.467759003156001</v>
      </c>
      <c r="D225">
        <v>1.96649824873561</v>
      </c>
      <c r="E225">
        <v>3.9017166394587801</v>
      </c>
      <c r="F225">
        <v>33.574660587492403</v>
      </c>
      <c r="G225">
        <v>1.9511820972370399</v>
      </c>
      <c r="H225">
        <v>210</v>
      </c>
    </row>
    <row r="226" spans="1:8">
      <c r="A226">
        <v>1.4005280934779401</v>
      </c>
      <c r="B226">
        <v>4.1435342977257896</v>
      </c>
      <c r="C226">
        <v>26.379482526171</v>
      </c>
      <c r="D226">
        <v>2.0314058149866199</v>
      </c>
      <c r="E226">
        <v>3.5956982598480498</v>
      </c>
      <c r="F226">
        <v>33.197983253554199</v>
      </c>
      <c r="G226">
        <v>1.8859545821271599</v>
      </c>
      <c r="H226">
        <v>197</v>
      </c>
    </row>
    <row r="227" spans="1:8">
      <c r="A227">
        <v>1.4035576565463901</v>
      </c>
      <c r="B227">
        <v>4.2350001375274999</v>
      </c>
      <c r="C227">
        <v>27.248602443284302</v>
      </c>
      <c r="D227">
        <v>1.79138142054787</v>
      </c>
      <c r="E227">
        <v>3.20904777647503</v>
      </c>
      <c r="F227">
        <v>29.556984786723898</v>
      </c>
      <c r="G227">
        <v>1.68003601349432</v>
      </c>
      <c r="H227">
        <v>186</v>
      </c>
    </row>
    <row r="228" spans="1:8">
      <c r="A228">
        <v>1.4095727908095199</v>
      </c>
      <c r="B228">
        <v>4.1981968812364796</v>
      </c>
      <c r="C228">
        <v>23.529263751458</v>
      </c>
      <c r="D228">
        <v>2.0307420903374598</v>
      </c>
      <c r="E228">
        <v>3.1871734738384401</v>
      </c>
      <c r="F228">
        <v>34.750710135163402</v>
      </c>
      <c r="G228">
        <v>1.97944341970965</v>
      </c>
      <c r="H228">
        <v>208</v>
      </c>
    </row>
    <row r="229" spans="1:8">
      <c r="A229">
        <v>1.1957166460008699</v>
      </c>
      <c r="B229">
        <v>4.2324986796429798</v>
      </c>
      <c r="C229">
        <v>25.596943141064699</v>
      </c>
      <c r="D229">
        <v>2.0441171151953399</v>
      </c>
      <c r="E229">
        <v>3.5143144104621</v>
      </c>
      <c r="F229">
        <v>31.724302747311899</v>
      </c>
      <c r="G229">
        <v>1.14433262941835</v>
      </c>
      <c r="H229">
        <v>39</v>
      </c>
    </row>
    <row r="230" spans="1:8">
      <c r="A230">
        <v>1.5155814108199599</v>
      </c>
      <c r="B230">
        <v>4.2341870598231397</v>
      </c>
      <c r="C230">
        <v>27.1187508435887</v>
      </c>
      <c r="D230">
        <v>2.0252759287507902</v>
      </c>
      <c r="E230">
        <v>2.9302166985401699</v>
      </c>
      <c r="F230">
        <v>33.271316444944098</v>
      </c>
      <c r="G230">
        <v>0.81636005432022096</v>
      </c>
      <c r="H230">
        <v>14</v>
      </c>
    </row>
    <row r="231" spans="1:8">
      <c r="A231">
        <v>1.42009292335574</v>
      </c>
      <c r="B231">
        <v>4.1462462583058901</v>
      </c>
      <c r="C231">
        <v>27.706824387224898</v>
      </c>
      <c r="D231">
        <v>1.84962233639972</v>
      </c>
      <c r="E231">
        <v>3.6204610063148301</v>
      </c>
      <c r="F231">
        <v>32.2681728477381</v>
      </c>
      <c r="G231">
        <v>1.41971098586603</v>
      </c>
      <c r="H231">
        <v>94</v>
      </c>
    </row>
    <row r="232" spans="1:8">
      <c r="A232">
        <v>1.2554672274252301</v>
      </c>
      <c r="B232">
        <v>4.1030138411622401</v>
      </c>
      <c r="C232">
        <v>26.508996417377698</v>
      </c>
      <c r="D232">
        <v>1.8982321100919399</v>
      </c>
      <c r="E232">
        <v>3.4998291063344298</v>
      </c>
      <c r="F232">
        <v>32.989509530153299</v>
      </c>
      <c r="G232">
        <v>1.57399849133777</v>
      </c>
      <c r="H232">
        <v>135</v>
      </c>
    </row>
    <row r="233" spans="1:8">
      <c r="A233">
        <v>1.39386492124624</v>
      </c>
      <c r="B233">
        <v>4.25198239984356</v>
      </c>
      <c r="C233">
        <v>24.8044099483715</v>
      </c>
      <c r="D233">
        <v>1.9829841349625801</v>
      </c>
      <c r="E233">
        <v>3.1676135631752</v>
      </c>
      <c r="F233">
        <v>34.415300071536102</v>
      </c>
      <c r="G233">
        <v>1.64299651158869</v>
      </c>
      <c r="H233">
        <v>179</v>
      </c>
    </row>
    <row r="234" spans="1:8">
      <c r="A234">
        <v>1.3739374054573601</v>
      </c>
      <c r="B234">
        <v>4.2259390804247898</v>
      </c>
      <c r="C234">
        <v>28.1655894771277</v>
      </c>
      <c r="D234">
        <v>2.1590325210284802</v>
      </c>
      <c r="E234">
        <v>3.1258227727621102</v>
      </c>
      <c r="F234">
        <v>32.520340469999901</v>
      </c>
      <c r="G234">
        <v>1.5099720797242799</v>
      </c>
      <c r="H234">
        <v>151</v>
      </c>
    </row>
    <row r="235" spans="1:8">
      <c r="A235">
        <v>1.49083219334237</v>
      </c>
      <c r="B235">
        <v>4.1591277393635</v>
      </c>
      <c r="C235">
        <v>26.8671146681884</v>
      </c>
      <c r="D235">
        <v>2.0361956274383699</v>
      </c>
      <c r="E235">
        <v>3.5720088045613099</v>
      </c>
      <c r="F235">
        <v>35.311041716904597</v>
      </c>
      <c r="G235">
        <v>1.42399731799287</v>
      </c>
      <c r="H235">
        <v>136</v>
      </c>
    </row>
    <row r="236" spans="1:8">
      <c r="A236">
        <v>1.33524376263585</v>
      </c>
      <c r="B236">
        <v>4.1927070147045997</v>
      </c>
      <c r="C236">
        <v>28.627273447457</v>
      </c>
      <c r="D236">
        <v>2.0845669698187601</v>
      </c>
      <c r="E236">
        <v>3.1206903814138101</v>
      </c>
      <c r="F236">
        <v>32.296712580161902</v>
      </c>
      <c r="G236">
        <v>1.84615243333964</v>
      </c>
      <c r="H236">
        <v>180</v>
      </c>
    </row>
    <row r="237" spans="1:8">
      <c r="A237">
        <v>1.3343177084343101</v>
      </c>
      <c r="B237">
        <v>4.21802681514911</v>
      </c>
      <c r="C237">
        <v>23.575033501872198</v>
      </c>
      <c r="D237">
        <v>1.7948213853998001</v>
      </c>
      <c r="E237">
        <v>2.7501055870100699</v>
      </c>
      <c r="F237">
        <v>34.712955498949398</v>
      </c>
      <c r="G237">
        <v>0.97927962736683605</v>
      </c>
      <c r="H237">
        <v>16</v>
      </c>
    </row>
    <row r="238" spans="1:8">
      <c r="A238">
        <v>1.4045539424917</v>
      </c>
      <c r="B238">
        <v>4.1224282109691304</v>
      </c>
      <c r="C238">
        <v>28.6929100620439</v>
      </c>
      <c r="D238">
        <v>2.03719891594376</v>
      </c>
      <c r="E238">
        <v>3.8020500319157602</v>
      </c>
      <c r="F238">
        <v>31.8479911089937</v>
      </c>
      <c r="G238">
        <v>1.0177385508376999</v>
      </c>
      <c r="H238">
        <v>23</v>
      </c>
    </row>
    <row r="239" spans="1:8">
      <c r="A239">
        <v>1.34946566705871</v>
      </c>
      <c r="B239">
        <v>4.2268768375220596</v>
      </c>
      <c r="C239">
        <v>28.8940106922967</v>
      </c>
      <c r="D239">
        <v>1.9966409287598501</v>
      </c>
      <c r="E239">
        <v>3.4776232219106702</v>
      </c>
      <c r="F239">
        <v>36.876673004447198</v>
      </c>
      <c r="G239">
        <v>1.33628783526173</v>
      </c>
      <c r="H239">
        <v>77</v>
      </c>
    </row>
    <row r="240" spans="1:8">
      <c r="A240">
        <v>1.31342966453929</v>
      </c>
      <c r="B240">
        <v>4.1958353708339997</v>
      </c>
      <c r="C240">
        <v>26.889185825416799</v>
      </c>
      <c r="D240">
        <v>1.88945924435285</v>
      </c>
      <c r="E240">
        <v>3.7183952582631301</v>
      </c>
      <c r="F240">
        <v>33.871594642385197</v>
      </c>
      <c r="G240">
        <v>1.5486247079453801</v>
      </c>
      <c r="H240">
        <v>160</v>
      </c>
    </row>
    <row r="241" spans="1:8">
      <c r="A241">
        <v>1.5142022032328599</v>
      </c>
      <c r="B241">
        <v>4.1724623798837097</v>
      </c>
      <c r="C241">
        <v>27.944954653667299</v>
      </c>
      <c r="D241">
        <v>2.1066115847155</v>
      </c>
      <c r="E241">
        <v>3.71607496788917</v>
      </c>
      <c r="F241">
        <v>32.841994123495901</v>
      </c>
      <c r="G241">
        <v>1.5235277792874</v>
      </c>
      <c r="H241">
        <v>126</v>
      </c>
    </row>
    <row r="242" spans="1:8">
      <c r="A242">
        <v>1.45754332310735</v>
      </c>
      <c r="B242">
        <v>4.15625827913302</v>
      </c>
      <c r="C242">
        <v>27.511001034424801</v>
      </c>
      <c r="D242">
        <v>1.89196893454241</v>
      </c>
      <c r="E242">
        <v>3.3313246799719902</v>
      </c>
      <c r="F242">
        <v>36.548543657409098</v>
      </c>
      <c r="G242">
        <v>1.6800098087315201</v>
      </c>
      <c r="H242">
        <v>145</v>
      </c>
    </row>
    <row r="243" spans="1:8">
      <c r="A243">
        <v>1.2478904102311601</v>
      </c>
      <c r="B243">
        <v>4.2292963214896204</v>
      </c>
      <c r="C243">
        <v>24.777713893991201</v>
      </c>
      <c r="D243">
        <v>1.9778020147750199</v>
      </c>
      <c r="E243">
        <v>2.98265571372281</v>
      </c>
      <c r="F243">
        <v>31.193862052684299</v>
      </c>
      <c r="G243">
        <v>1.8218436461281899</v>
      </c>
      <c r="H243">
        <v>173</v>
      </c>
    </row>
    <row r="244" spans="1:8">
      <c r="A244">
        <v>1.59345972839837</v>
      </c>
      <c r="B244">
        <v>4.23780198843117</v>
      </c>
      <c r="C244">
        <v>26.6088828337679</v>
      </c>
      <c r="D244">
        <v>1.95517769583334</v>
      </c>
      <c r="E244">
        <v>3.2810386841661701</v>
      </c>
      <c r="F244">
        <v>29.396196589569499</v>
      </c>
      <c r="G244">
        <v>1.29321212032886</v>
      </c>
      <c r="H244">
        <v>68</v>
      </c>
    </row>
    <row r="245" spans="1:8">
      <c r="A245">
        <v>1.3741856525694101</v>
      </c>
      <c r="B245">
        <v>4.1507015913070902</v>
      </c>
      <c r="C245">
        <v>29.412517466951901</v>
      </c>
      <c r="D245">
        <v>1.9697517943801499</v>
      </c>
      <c r="E245">
        <v>3.2777036462393201</v>
      </c>
      <c r="F245">
        <v>34.326830855951599</v>
      </c>
      <c r="G245">
        <v>1.0435458012147201</v>
      </c>
      <c r="H245">
        <v>59</v>
      </c>
    </row>
    <row r="246" spans="1:8">
      <c r="A246">
        <v>1.3471728635189999</v>
      </c>
      <c r="B246">
        <v>4.2091936974641797</v>
      </c>
      <c r="C246">
        <v>28.119929585952999</v>
      </c>
      <c r="D246">
        <v>1.94273235660233</v>
      </c>
      <c r="E246">
        <v>3.49479350521645</v>
      </c>
      <c r="F246">
        <v>30.039762070451001</v>
      </c>
      <c r="G246">
        <v>1.85652647603498</v>
      </c>
      <c r="H246">
        <v>191</v>
      </c>
    </row>
    <row r="247" spans="1:8">
      <c r="A247">
        <v>1.4575056652901099</v>
      </c>
      <c r="B247">
        <v>4.15477080649221</v>
      </c>
      <c r="C247">
        <v>29.833511749289102</v>
      </c>
      <c r="D247">
        <v>2.0593886561352202</v>
      </c>
      <c r="E247">
        <v>3.41807783056634</v>
      </c>
      <c r="F247">
        <v>35.599636610117201</v>
      </c>
      <c r="G247">
        <v>1.07245461574927</v>
      </c>
      <c r="H247">
        <v>35</v>
      </c>
    </row>
    <row r="248" spans="1:8">
      <c r="A248">
        <v>1.5183750425159901</v>
      </c>
      <c r="B248">
        <v>4.2614381521650602</v>
      </c>
      <c r="C248">
        <v>26.4192726849117</v>
      </c>
      <c r="D248">
        <v>1.9977762825711001</v>
      </c>
      <c r="E248">
        <v>3.7259131795774199</v>
      </c>
      <c r="F248">
        <v>35.155166288261697</v>
      </c>
      <c r="G248">
        <v>1.4103731138900499</v>
      </c>
      <c r="H248">
        <v>132</v>
      </c>
    </row>
    <row r="249" spans="1:8">
      <c r="A249">
        <v>1.4756846007572699</v>
      </c>
      <c r="B249">
        <v>4.1215266499616199</v>
      </c>
      <c r="C249">
        <v>26.770648868249499</v>
      </c>
      <c r="D249">
        <v>1.94092734963048</v>
      </c>
      <c r="E249">
        <v>3.8940973866053499</v>
      </c>
      <c r="F249">
        <v>32.215101706719601</v>
      </c>
      <c r="G249">
        <v>1.46770721756399</v>
      </c>
      <c r="H249">
        <v>102</v>
      </c>
    </row>
    <row r="250" spans="1:8">
      <c r="A250">
        <v>1.17599017398447</v>
      </c>
      <c r="B250">
        <v>4.2066198199416096</v>
      </c>
      <c r="C250">
        <v>26.100568504084698</v>
      </c>
      <c r="D250">
        <v>2.0709178844052398</v>
      </c>
      <c r="E250">
        <v>3.3251589052675801</v>
      </c>
      <c r="F250">
        <v>32.982670350586602</v>
      </c>
      <c r="G250">
        <v>1.1075336381818499</v>
      </c>
      <c r="H250">
        <v>41</v>
      </c>
    </row>
    <row r="251" spans="1:8">
      <c r="A251">
        <v>1.37623545285557</v>
      </c>
      <c r="B251">
        <v>4.2637775310663404</v>
      </c>
      <c r="C251">
        <v>29.187096807208999</v>
      </c>
      <c r="D251">
        <v>2.0214927934146001</v>
      </c>
      <c r="E251">
        <v>3.4940973077361699</v>
      </c>
      <c r="F251">
        <v>35.633749146433502</v>
      </c>
      <c r="G251">
        <v>0.81502692177877001</v>
      </c>
      <c r="H251">
        <v>13</v>
      </c>
    </row>
    <row r="252" spans="1:8">
      <c r="A252">
        <v>1.2985757496544801</v>
      </c>
      <c r="B252">
        <v>4.1901234102626601</v>
      </c>
      <c r="C252">
        <v>27.201249512205099</v>
      </c>
      <c r="D252">
        <v>1.78144507995791</v>
      </c>
      <c r="E252">
        <v>4.0914780586408996</v>
      </c>
      <c r="F252">
        <v>34.437203778699299</v>
      </c>
      <c r="G252">
        <v>1.2309484898446299</v>
      </c>
      <c r="H252">
        <v>66</v>
      </c>
    </row>
    <row r="253" spans="1:8">
      <c r="A253">
        <v>1.3797039798164601</v>
      </c>
      <c r="B253">
        <v>4.20742480132159</v>
      </c>
      <c r="C253">
        <v>26.810051779016899</v>
      </c>
      <c r="D253">
        <v>2.1724108317189499</v>
      </c>
      <c r="E253">
        <v>3.3610564282673501</v>
      </c>
      <c r="F253">
        <v>32.351291639585497</v>
      </c>
      <c r="G253">
        <v>1.6190703940748301</v>
      </c>
      <c r="H253">
        <v>144</v>
      </c>
    </row>
    <row r="254" spans="1:8">
      <c r="A254">
        <v>1.5178911883855</v>
      </c>
      <c r="B254">
        <v>4.2617623234228397</v>
      </c>
      <c r="C254">
        <v>26.393748056878898</v>
      </c>
      <c r="D254">
        <v>2.06318819709705</v>
      </c>
      <c r="E254">
        <v>3.4722403578561298</v>
      </c>
      <c r="F254">
        <v>34.726624317288099</v>
      </c>
      <c r="G254">
        <v>1.3310182214176101</v>
      </c>
      <c r="H254">
        <v>116</v>
      </c>
    </row>
    <row r="255" spans="1:8">
      <c r="A255">
        <v>1.5046226980439701</v>
      </c>
      <c r="B255">
        <v>4.1978488899867799</v>
      </c>
      <c r="C255">
        <v>26.644508687976199</v>
      </c>
      <c r="D255">
        <v>1.8610807111458401</v>
      </c>
      <c r="E255">
        <v>3.68831521071042</v>
      </c>
      <c r="F255">
        <v>36.312409109595997</v>
      </c>
      <c r="G255">
        <v>1.4948530608939301</v>
      </c>
      <c r="H255">
        <v>109</v>
      </c>
    </row>
    <row r="256" spans="1:8">
      <c r="A256">
        <v>1.3290785866520101</v>
      </c>
      <c r="B256">
        <v>4.2354282188561401</v>
      </c>
      <c r="C256">
        <v>29.938150113229799</v>
      </c>
      <c r="D256">
        <v>1.8815776638082899</v>
      </c>
      <c r="E256">
        <v>3.5779125264063798</v>
      </c>
      <c r="F256">
        <v>33.333679600418002</v>
      </c>
      <c r="G256">
        <v>1.5370306562508</v>
      </c>
      <c r="H256">
        <v>127</v>
      </c>
    </row>
    <row r="257" spans="1:8">
      <c r="A257">
        <v>1.5125876271490799</v>
      </c>
      <c r="B257">
        <v>4.25099854354999</v>
      </c>
      <c r="C257">
        <v>27.671900997359</v>
      </c>
      <c r="D257">
        <v>2.06647943420485</v>
      </c>
      <c r="E257">
        <v>3.39539952945159</v>
      </c>
      <c r="F257">
        <v>34.107612605463103</v>
      </c>
      <c r="G257">
        <v>1.55277202325882</v>
      </c>
      <c r="H257">
        <v>161</v>
      </c>
    </row>
    <row r="258" spans="1:8">
      <c r="A258">
        <v>1.2797394414044401</v>
      </c>
      <c r="B258">
        <v>4.2190001982886498</v>
      </c>
      <c r="C258">
        <v>27.654545363436199</v>
      </c>
      <c r="D258">
        <v>2.0415374252998602</v>
      </c>
      <c r="E258">
        <v>3.4491531778389102</v>
      </c>
      <c r="F258">
        <v>32.230173739867098</v>
      </c>
      <c r="G258">
        <v>1.6559072982464</v>
      </c>
      <c r="H258">
        <v>151</v>
      </c>
    </row>
    <row r="259" spans="1:8">
      <c r="A259">
        <v>1.4762188158571501</v>
      </c>
      <c r="B259">
        <v>4.2052768869980204</v>
      </c>
      <c r="C259">
        <v>25.589415594584899</v>
      </c>
      <c r="D259">
        <v>2.02775055844045</v>
      </c>
      <c r="E259">
        <v>3.9188172001883501</v>
      </c>
      <c r="F259">
        <v>35.2834458676857</v>
      </c>
      <c r="G259">
        <v>1.0552707164549999</v>
      </c>
      <c r="H259">
        <v>21</v>
      </c>
    </row>
    <row r="260" spans="1:8">
      <c r="A260">
        <v>1.37508804357711</v>
      </c>
      <c r="B260">
        <v>4.1422940489426203</v>
      </c>
      <c r="C260">
        <v>24.940794161293098</v>
      </c>
      <c r="D260">
        <v>2.1267770841843601</v>
      </c>
      <c r="E260">
        <v>3.3117126218898001</v>
      </c>
      <c r="F260">
        <v>31.286670686032501</v>
      </c>
      <c r="G260">
        <v>1.0597700685575899</v>
      </c>
      <c r="H260">
        <v>31</v>
      </c>
    </row>
    <row r="261" spans="1:8">
      <c r="A261">
        <v>1.4549349171716901</v>
      </c>
      <c r="B261">
        <v>4.1154764460238802</v>
      </c>
      <c r="C261">
        <v>28.675867659424</v>
      </c>
      <c r="D261">
        <v>2.2414571452212799</v>
      </c>
      <c r="E261">
        <v>3.7505278378760698</v>
      </c>
      <c r="F261">
        <v>31.2367848599906</v>
      </c>
      <c r="G261">
        <v>1.9171847500808501</v>
      </c>
      <c r="H261">
        <v>193</v>
      </c>
    </row>
    <row r="262" spans="1:8">
      <c r="A262">
        <v>1.30280422886989</v>
      </c>
      <c r="B262">
        <v>4.2936428434281799</v>
      </c>
      <c r="C262">
        <v>24.028171074911999</v>
      </c>
      <c r="D262">
        <v>2.06023259174489</v>
      </c>
      <c r="E262">
        <v>3.52746318635457</v>
      </c>
      <c r="F262">
        <v>34.386156229277503</v>
      </c>
      <c r="G262">
        <v>1.55939717237414</v>
      </c>
      <c r="H262">
        <v>131</v>
      </c>
    </row>
    <row r="263" spans="1:8">
      <c r="A263">
        <v>1.41015332459107</v>
      </c>
      <c r="B263">
        <v>4.1613207674818797</v>
      </c>
      <c r="C263">
        <v>26.668005475598001</v>
      </c>
      <c r="D263">
        <v>2.01293698753399</v>
      </c>
      <c r="E263">
        <v>3.1759494220034199</v>
      </c>
      <c r="F263">
        <v>31.874059209669301</v>
      </c>
      <c r="G263">
        <v>1.27940588654857</v>
      </c>
      <c r="H263">
        <v>106</v>
      </c>
    </row>
    <row r="264" spans="1:8">
      <c r="A264">
        <v>1.33663237674074</v>
      </c>
      <c r="B264">
        <v>4.2359068768577703</v>
      </c>
      <c r="C264">
        <v>27.954662527952099</v>
      </c>
      <c r="D264">
        <v>2.1475174160605701</v>
      </c>
      <c r="E264">
        <v>3.1144584778767501</v>
      </c>
      <c r="F264">
        <v>32.4360305116464</v>
      </c>
      <c r="G264">
        <v>1.40910915509038</v>
      </c>
      <c r="H264">
        <v>102</v>
      </c>
    </row>
    <row r="265" spans="1:8">
      <c r="A265">
        <v>1.4450227596987799</v>
      </c>
      <c r="B265">
        <v>4.2114946686642796</v>
      </c>
      <c r="C265">
        <v>28.599359549088199</v>
      </c>
      <c r="D265">
        <v>2.0138713641386099</v>
      </c>
      <c r="E265">
        <v>3.55055999015863</v>
      </c>
      <c r="F265">
        <v>32.618920035979002</v>
      </c>
      <c r="G265">
        <v>1.1961807913654601</v>
      </c>
      <c r="H265">
        <v>88</v>
      </c>
    </row>
    <row r="266" spans="1:8">
      <c r="A266">
        <v>1.30749228158986</v>
      </c>
      <c r="B266">
        <v>4.22227875126889</v>
      </c>
      <c r="C266">
        <v>26.653886754577499</v>
      </c>
      <c r="D266">
        <v>1.98762562251467</v>
      </c>
      <c r="E266">
        <v>3.6832873848688799</v>
      </c>
      <c r="F266">
        <v>33.315967866409302</v>
      </c>
      <c r="G266">
        <v>1.35804870052047</v>
      </c>
      <c r="H266">
        <v>122</v>
      </c>
    </row>
    <row r="267" spans="1:8">
      <c r="A267">
        <v>1.5366482457933901</v>
      </c>
      <c r="B267">
        <v>4.2190920136098704</v>
      </c>
      <c r="C267">
        <v>25.760795954797299</v>
      </c>
      <c r="D267">
        <v>1.98234849345388</v>
      </c>
      <c r="E267">
        <v>3.4657494468448098</v>
      </c>
      <c r="F267">
        <v>31.762395027581299</v>
      </c>
      <c r="G267">
        <v>1.9110065354666299</v>
      </c>
      <c r="H267">
        <v>191</v>
      </c>
    </row>
    <row r="268" spans="1:8">
      <c r="A268">
        <v>1.44014691053355</v>
      </c>
      <c r="B268">
        <v>4.2546817949318099</v>
      </c>
      <c r="C268">
        <v>23.988732759361302</v>
      </c>
      <c r="D268">
        <v>1.89440678042364</v>
      </c>
      <c r="E268">
        <v>3.2735225424933501</v>
      </c>
      <c r="F268">
        <v>32.980834191948901</v>
      </c>
      <c r="G268">
        <v>1.98619579599679</v>
      </c>
      <c r="H268">
        <v>219</v>
      </c>
    </row>
    <row r="269" spans="1:8">
      <c r="A269">
        <v>1.5725245142006501</v>
      </c>
      <c r="B269">
        <v>4.2869535119295898</v>
      </c>
      <c r="C269">
        <v>27.754137329037199</v>
      </c>
      <c r="D269">
        <v>2.0111990327156999</v>
      </c>
      <c r="E269">
        <v>3.60991292850255</v>
      </c>
      <c r="F269">
        <v>36.489255536737602</v>
      </c>
      <c r="G269">
        <v>0.78813736393683398</v>
      </c>
      <c r="H269">
        <v>7</v>
      </c>
    </row>
    <row r="270" spans="1:8">
      <c r="A270">
        <v>1.36336180647991</v>
      </c>
      <c r="B270">
        <v>4.1570469954080798</v>
      </c>
      <c r="C270">
        <v>29.192679621100101</v>
      </c>
      <c r="D270">
        <v>2.0879354144692002</v>
      </c>
      <c r="E270">
        <v>3.13991749955512</v>
      </c>
      <c r="F270">
        <v>33.387157966850197</v>
      </c>
      <c r="G270">
        <v>0.967584586094697</v>
      </c>
      <c r="H270">
        <v>44</v>
      </c>
    </row>
    <row r="271" spans="1:8">
      <c r="A271">
        <v>1.58503132385199</v>
      </c>
      <c r="B271">
        <v>4.2381482016786904</v>
      </c>
      <c r="C271">
        <v>29.2376416190668</v>
      </c>
      <c r="D271">
        <v>2.1278969275380399</v>
      </c>
      <c r="E271">
        <v>3.51179644903248</v>
      </c>
      <c r="F271">
        <v>34.455275125798401</v>
      </c>
      <c r="G271">
        <v>1.85265725777702</v>
      </c>
      <c r="H271">
        <v>222</v>
      </c>
    </row>
    <row r="272" spans="1:8">
      <c r="A272">
        <v>1.37688995689932</v>
      </c>
      <c r="B272">
        <v>4.1551598207650597</v>
      </c>
      <c r="C272">
        <v>26.417154895397498</v>
      </c>
      <c r="D272">
        <v>1.9060480894427601</v>
      </c>
      <c r="E272">
        <v>3.7907094369525001</v>
      </c>
      <c r="F272">
        <v>33.974622001161897</v>
      </c>
      <c r="G272">
        <v>1.43964261068026</v>
      </c>
      <c r="H272">
        <v>100</v>
      </c>
    </row>
    <row r="273" spans="1:8">
      <c r="A273">
        <v>1.3501993716028999</v>
      </c>
      <c r="B273">
        <v>4.1996906736311903</v>
      </c>
      <c r="C273">
        <v>28.010833625651198</v>
      </c>
      <c r="D273">
        <v>2.01018733163902</v>
      </c>
      <c r="E273">
        <v>3.2522096591558798</v>
      </c>
      <c r="F273">
        <v>32.660639553015201</v>
      </c>
      <c r="G273">
        <v>1.41979098295856</v>
      </c>
      <c r="H273">
        <v>103</v>
      </c>
    </row>
    <row r="274" spans="1:8">
      <c r="A274">
        <v>1.3725282261268801</v>
      </c>
      <c r="B274">
        <v>4.19368808033179</v>
      </c>
      <c r="C274">
        <v>28.767363292592702</v>
      </c>
      <c r="D274">
        <v>2.0379281541097898</v>
      </c>
      <c r="E274">
        <v>3.36077329857781</v>
      </c>
      <c r="F274">
        <v>34.778409409563601</v>
      </c>
      <c r="G274">
        <v>1.27256359302933</v>
      </c>
      <c r="H274">
        <v>64</v>
      </c>
    </row>
    <row r="275" spans="1:8">
      <c r="A275">
        <v>1.5958765006245701</v>
      </c>
      <c r="B275">
        <v>4.1773366268163699</v>
      </c>
      <c r="C275">
        <v>27.508766193072699</v>
      </c>
      <c r="D275">
        <v>1.98722554363466</v>
      </c>
      <c r="E275">
        <v>3.6280959095508698</v>
      </c>
      <c r="F275">
        <v>32.1710754816364</v>
      </c>
      <c r="G275">
        <v>1.1800302264959399</v>
      </c>
      <c r="H275">
        <v>46</v>
      </c>
    </row>
    <row r="276" spans="1:8">
      <c r="A276">
        <v>1.38190363075731</v>
      </c>
      <c r="B276">
        <v>4.1683969040850197</v>
      </c>
      <c r="C276">
        <v>26.145558780387798</v>
      </c>
      <c r="D276">
        <v>1.9385419349597901</v>
      </c>
      <c r="E276">
        <v>3.43991814796009</v>
      </c>
      <c r="F276">
        <v>33.3667869908857</v>
      </c>
      <c r="G276">
        <v>1.0816208657112101</v>
      </c>
      <c r="H276">
        <v>68</v>
      </c>
    </row>
    <row r="277" spans="1:8">
      <c r="A277">
        <v>1.4380980422237599</v>
      </c>
      <c r="B277">
        <v>4.1483734022825196</v>
      </c>
      <c r="C277">
        <v>24.527469342456801</v>
      </c>
      <c r="D277">
        <v>1.89486707849795</v>
      </c>
      <c r="E277">
        <v>3.4032474591069901</v>
      </c>
      <c r="F277">
        <v>31.511715570408899</v>
      </c>
      <c r="G277">
        <v>1.7636130764987299</v>
      </c>
      <c r="H277">
        <v>202</v>
      </c>
    </row>
    <row r="278" spans="1:8">
      <c r="A278">
        <v>1.4881536661155199</v>
      </c>
      <c r="B278">
        <v>4.1767980084577401</v>
      </c>
      <c r="C278">
        <v>25.300588118362501</v>
      </c>
      <c r="D278">
        <v>2.0399096793323999</v>
      </c>
      <c r="E278">
        <v>3.3764975264269999</v>
      </c>
      <c r="F278">
        <v>34.310001828162903</v>
      </c>
      <c r="G278">
        <v>1.2329464917206701</v>
      </c>
      <c r="H278">
        <v>67</v>
      </c>
    </row>
    <row r="279" spans="1:8">
      <c r="A279">
        <v>1.36094905811179</v>
      </c>
      <c r="B279">
        <v>4.1845930689192796</v>
      </c>
      <c r="C279">
        <v>25.965742093816498</v>
      </c>
      <c r="D279">
        <v>1.99607440961307</v>
      </c>
      <c r="E279">
        <v>3.63043893954594</v>
      </c>
      <c r="F279">
        <v>30.6686323608468</v>
      </c>
      <c r="G279">
        <v>1.02725529716583</v>
      </c>
      <c r="H279">
        <v>55</v>
      </c>
    </row>
    <row r="280" spans="1:8">
      <c r="A280">
        <v>1.5400297698608301</v>
      </c>
      <c r="B280">
        <v>4.22095912658546</v>
      </c>
      <c r="C280">
        <v>29.4545950783391</v>
      </c>
      <c r="D280">
        <v>1.9476933751196099</v>
      </c>
      <c r="E280">
        <v>3.0162580777893901</v>
      </c>
      <c r="F280">
        <v>31.549077695165199</v>
      </c>
      <c r="G280">
        <v>1.91218107348661</v>
      </c>
      <c r="H280">
        <v>234</v>
      </c>
    </row>
    <row r="281" spans="1:8">
      <c r="A281">
        <v>1.4959929463561901</v>
      </c>
      <c r="B281">
        <v>4.1566009160239599</v>
      </c>
      <c r="C281">
        <v>27.4646851469433</v>
      </c>
      <c r="D281">
        <v>1.9958569533594599</v>
      </c>
      <c r="E281">
        <v>3.5782854210653201</v>
      </c>
      <c r="F281">
        <v>32.599851619867202</v>
      </c>
      <c r="G281">
        <v>1.967038085692</v>
      </c>
      <c r="H281">
        <v>203</v>
      </c>
    </row>
    <row r="282" spans="1:8">
      <c r="A282">
        <v>1.40227095391134</v>
      </c>
      <c r="B282">
        <v>4.2686470211252399</v>
      </c>
      <c r="C282">
        <v>23.981338007311201</v>
      </c>
      <c r="D282">
        <v>2.1910089937552502</v>
      </c>
      <c r="E282">
        <v>3.4431135348773401</v>
      </c>
      <c r="F282">
        <v>31.779152423937099</v>
      </c>
      <c r="G282">
        <v>1.9480005998354499</v>
      </c>
      <c r="H282">
        <v>240</v>
      </c>
    </row>
    <row r="283" spans="1:8">
      <c r="A283">
        <v>1.38576328552248</v>
      </c>
      <c r="B283">
        <v>4.2148745004294099</v>
      </c>
      <c r="C283">
        <v>24.086870924326099</v>
      </c>
      <c r="D283">
        <v>2.0057938201289098</v>
      </c>
      <c r="E283">
        <v>3.44979868766915</v>
      </c>
      <c r="F283">
        <v>34.010775136774299</v>
      </c>
      <c r="G283">
        <v>1.4285765378917199</v>
      </c>
      <c r="H283">
        <v>134</v>
      </c>
    </row>
    <row r="284" spans="1:8">
      <c r="A284">
        <v>1.4065941977190499</v>
      </c>
      <c r="B284">
        <v>4.1779718432553601</v>
      </c>
      <c r="C284">
        <v>27.740935637027398</v>
      </c>
      <c r="D284">
        <v>1.9820660088381099</v>
      </c>
      <c r="E284">
        <v>3.8185472770793498</v>
      </c>
      <c r="F284">
        <v>32.727782369022002</v>
      </c>
      <c r="G284">
        <v>1.4712834148089899</v>
      </c>
      <c r="H284">
        <v>116</v>
      </c>
    </row>
    <row r="285" spans="1:8">
      <c r="A285">
        <v>1.4236873901590601</v>
      </c>
      <c r="B285">
        <v>4.3205816214376203</v>
      </c>
      <c r="C285">
        <v>28.101053633571901</v>
      </c>
      <c r="D285">
        <v>1.9831831411263201</v>
      </c>
      <c r="E285">
        <v>3.5224214262309701</v>
      </c>
      <c r="F285">
        <v>33.963497721646497</v>
      </c>
      <c r="G285">
        <v>1.43458392157176</v>
      </c>
      <c r="H285">
        <v>138</v>
      </c>
    </row>
    <row r="286" spans="1:8">
      <c r="A286">
        <v>1.440301523229</v>
      </c>
      <c r="B286">
        <v>4.1996532633739001</v>
      </c>
      <c r="C286">
        <v>27.264956683746099</v>
      </c>
      <c r="D286">
        <v>1.92231828356684</v>
      </c>
      <c r="E286">
        <v>4.34776909141309</v>
      </c>
      <c r="F286">
        <v>35.164467780453897</v>
      </c>
      <c r="G286">
        <v>1.5698661590535501</v>
      </c>
      <c r="H286">
        <v>164</v>
      </c>
    </row>
    <row r="287" spans="1:8">
      <c r="A287">
        <v>1.52150357350917</v>
      </c>
      <c r="B287">
        <v>4.1439789058864198</v>
      </c>
      <c r="C287">
        <v>26.558677300898498</v>
      </c>
      <c r="D287">
        <v>1.75713730896529</v>
      </c>
      <c r="E287">
        <v>3.5135879132998702</v>
      </c>
      <c r="F287">
        <v>30.9821659120473</v>
      </c>
      <c r="G287">
        <v>1.6285920688676301</v>
      </c>
      <c r="H287">
        <v>145</v>
      </c>
    </row>
    <row r="288" spans="1:8">
      <c r="A288">
        <v>1.3739190306612601</v>
      </c>
      <c r="B288">
        <v>4.2653621193168796</v>
      </c>
      <c r="C288">
        <v>25.433378620598798</v>
      </c>
      <c r="D288">
        <v>2.0068525773721602</v>
      </c>
      <c r="E288">
        <v>3.418912934472</v>
      </c>
      <c r="F288">
        <v>30.739105985239899</v>
      </c>
      <c r="G288">
        <v>1.42185621469196</v>
      </c>
      <c r="H288">
        <v>104</v>
      </c>
    </row>
    <row r="289" spans="1:8">
      <c r="A289">
        <v>1.41983813990938</v>
      </c>
      <c r="B289">
        <v>4.1307633336701004</v>
      </c>
      <c r="C289">
        <v>27.274116295566301</v>
      </c>
      <c r="D289">
        <v>1.9722769331853101</v>
      </c>
      <c r="E289">
        <v>3.3521997801305301</v>
      </c>
      <c r="F289">
        <v>32.039477317636297</v>
      </c>
      <c r="G289">
        <v>1.06114240141824</v>
      </c>
      <c r="H289">
        <v>22</v>
      </c>
    </row>
    <row r="290" spans="1:8">
      <c r="A290">
        <v>1.2593694266917601</v>
      </c>
      <c r="B290">
        <v>4.15708771429503</v>
      </c>
      <c r="C290">
        <v>26.5453001931761</v>
      </c>
      <c r="D290">
        <v>1.9892793251049801</v>
      </c>
      <c r="E290">
        <v>3.0350645722558598</v>
      </c>
      <c r="F290">
        <v>33.490741426103398</v>
      </c>
      <c r="G290">
        <v>0.87228578892034503</v>
      </c>
      <c r="H290">
        <v>25</v>
      </c>
    </row>
    <row r="291" spans="1:8">
      <c r="A291">
        <v>1.37484317987758</v>
      </c>
      <c r="B291">
        <v>4.2002423476350703</v>
      </c>
      <c r="C291">
        <v>28.015182536650101</v>
      </c>
      <c r="D291">
        <v>1.91754448515813</v>
      </c>
      <c r="E291">
        <v>3.5065065239128699</v>
      </c>
      <c r="F291">
        <v>33.755226407625202</v>
      </c>
      <c r="G291">
        <v>1.4041543458096299</v>
      </c>
      <c r="H291">
        <v>100</v>
      </c>
    </row>
    <row r="292" spans="1:8">
      <c r="A292">
        <v>1.43695392706442</v>
      </c>
      <c r="B292">
        <v>4.2104343525347296</v>
      </c>
      <c r="C292">
        <v>26.658983572248399</v>
      </c>
      <c r="D292">
        <v>1.9470751731038201</v>
      </c>
      <c r="E292">
        <v>4.0094299130747801</v>
      </c>
      <c r="F292">
        <v>29.538273291152301</v>
      </c>
      <c r="G292">
        <v>1.73232385806945</v>
      </c>
      <c r="H292">
        <v>166</v>
      </c>
    </row>
    <row r="293" spans="1:8">
      <c r="A293">
        <v>1.35507395560946</v>
      </c>
      <c r="B293">
        <v>4.2050855480256804</v>
      </c>
      <c r="C293">
        <v>26.361006481689198</v>
      </c>
      <c r="D293">
        <v>2.0178263296114101</v>
      </c>
      <c r="E293">
        <v>3.27603261533771</v>
      </c>
      <c r="F293">
        <v>31.712816561604399</v>
      </c>
      <c r="G293">
        <v>1.2476111633089999</v>
      </c>
      <c r="H293">
        <v>68</v>
      </c>
    </row>
    <row r="294" spans="1:8">
      <c r="A294">
        <v>1.52280647785571</v>
      </c>
      <c r="B294">
        <v>4.1428123613105798</v>
      </c>
      <c r="C294">
        <v>26.432450431868801</v>
      </c>
      <c r="D294">
        <v>1.9457374697487899</v>
      </c>
      <c r="E294">
        <v>3.13724483684121</v>
      </c>
      <c r="F294">
        <v>31.758773324628201</v>
      </c>
      <c r="G294">
        <v>1.0795034388762801</v>
      </c>
      <c r="H294">
        <v>26</v>
      </c>
    </row>
    <row r="295" spans="1:8">
      <c r="A295">
        <v>1.27156915928891</v>
      </c>
      <c r="B295">
        <v>4.3002684873196797</v>
      </c>
      <c r="C295">
        <v>27.493657781602099</v>
      </c>
      <c r="D295">
        <v>2.0330473420465101</v>
      </c>
      <c r="E295">
        <v>3.4932639006317001</v>
      </c>
      <c r="F295">
        <v>30.651554203888299</v>
      </c>
      <c r="G295">
        <v>0.95547257756542503</v>
      </c>
      <c r="H295">
        <v>40</v>
      </c>
    </row>
    <row r="296" spans="1:8">
      <c r="A296">
        <v>1.40767091317861</v>
      </c>
      <c r="B296">
        <v>4.1839657876164402</v>
      </c>
      <c r="C296">
        <v>27.011407819630701</v>
      </c>
      <c r="D296">
        <v>1.9425954702935699</v>
      </c>
      <c r="E296">
        <v>3.6414311126308698</v>
      </c>
      <c r="F296">
        <v>33.883384816066503</v>
      </c>
      <c r="G296">
        <v>0.95510217982093204</v>
      </c>
      <c r="H296">
        <v>12</v>
      </c>
    </row>
    <row r="297" spans="1:8">
      <c r="A297">
        <v>1.4438789985925899</v>
      </c>
      <c r="B297">
        <v>4.1940091476277397</v>
      </c>
      <c r="C297">
        <v>25.617885640467001</v>
      </c>
      <c r="D297">
        <v>1.9318697764058499</v>
      </c>
      <c r="E297">
        <v>3.2267514709991798</v>
      </c>
      <c r="F297">
        <v>36.561244341294703</v>
      </c>
      <c r="G297">
        <v>1.4896118862339001</v>
      </c>
      <c r="H297">
        <v>147</v>
      </c>
    </row>
    <row r="298" spans="1:8">
      <c r="A298">
        <v>1.3422409811774101</v>
      </c>
      <c r="B298">
        <v>4.2957455961093096</v>
      </c>
      <c r="C298">
        <v>26.666859459556399</v>
      </c>
      <c r="D298">
        <v>2.20069355617207</v>
      </c>
      <c r="E298">
        <v>3.2706694947723798</v>
      </c>
      <c r="F298">
        <v>31.826417061814599</v>
      </c>
      <c r="G298">
        <v>1.8047448580274601</v>
      </c>
      <c r="H298">
        <v>211</v>
      </c>
    </row>
    <row r="299" spans="1:8">
      <c r="A299">
        <v>1.3277765535880599</v>
      </c>
      <c r="B299">
        <v>4.1969075847516004</v>
      </c>
      <c r="C299">
        <v>26.0393566238258</v>
      </c>
      <c r="D299">
        <v>1.92848855734623</v>
      </c>
      <c r="E299">
        <v>3.4878776451942399</v>
      </c>
      <c r="F299">
        <v>31.586002055678399</v>
      </c>
      <c r="G299">
        <v>1.71210197917677</v>
      </c>
      <c r="H299">
        <v>192</v>
      </c>
    </row>
    <row r="300" spans="1:8">
      <c r="A300">
        <v>1.3149493237612</v>
      </c>
      <c r="B300">
        <v>4.2496712851066496</v>
      </c>
      <c r="C300">
        <v>28.836913972507698</v>
      </c>
      <c r="D300">
        <v>1.97716426380218</v>
      </c>
      <c r="E300">
        <v>3.5416844246503998</v>
      </c>
      <c r="F300">
        <v>34.172962570951903</v>
      </c>
      <c r="G300">
        <v>1.5257637768159</v>
      </c>
      <c r="H300">
        <v>154</v>
      </c>
    </row>
    <row r="301" spans="1:8">
      <c r="A301">
        <v>1.57159772504415</v>
      </c>
      <c r="B301">
        <v>4.1860826674559402</v>
      </c>
      <c r="C301">
        <v>28.165409783532802</v>
      </c>
      <c r="D301">
        <v>1.8347594758110299</v>
      </c>
      <c r="E301">
        <v>3.8021984497000401</v>
      </c>
      <c r="F301">
        <v>32.187053466896998</v>
      </c>
      <c r="G301">
        <v>1.9575073099467699</v>
      </c>
      <c r="H301">
        <v>211</v>
      </c>
    </row>
    <row r="302" spans="1:8">
      <c r="A302">
        <v>1.5113326103649001</v>
      </c>
      <c r="B302">
        <v>4.2638956638667196</v>
      </c>
      <c r="C302">
        <v>28.747268796019998</v>
      </c>
      <c r="D302">
        <v>1.83110547669491</v>
      </c>
      <c r="E302">
        <v>3.2449962223401201</v>
      </c>
      <c r="F302">
        <v>31.9921978761896</v>
      </c>
      <c r="G302">
        <v>0.92932539327363695</v>
      </c>
      <c r="H302">
        <v>39</v>
      </c>
    </row>
    <row r="303" spans="1:8">
      <c r="A303">
        <v>1.3937065835575499</v>
      </c>
      <c r="B303">
        <v>4.2095307982969397</v>
      </c>
      <c r="C303">
        <v>26.112270112239099</v>
      </c>
      <c r="D303">
        <v>1.9851772836459001</v>
      </c>
      <c r="E303">
        <v>3.8882148636221898</v>
      </c>
      <c r="F303">
        <v>34.082943041588102</v>
      </c>
      <c r="G303">
        <v>1.8110581701692601</v>
      </c>
      <c r="H303">
        <v>183</v>
      </c>
    </row>
    <row r="304" spans="1:8">
      <c r="A304">
        <v>1.5003398571634201</v>
      </c>
      <c r="B304">
        <v>4.22162622019653</v>
      </c>
      <c r="C304">
        <v>29.581380094844501</v>
      </c>
      <c r="D304">
        <v>2.0462440415955299</v>
      </c>
      <c r="E304">
        <v>3.41718297783139</v>
      </c>
      <c r="F304">
        <v>31.611538541185102</v>
      </c>
      <c r="G304">
        <v>1.2988478422597201</v>
      </c>
      <c r="H304">
        <v>80</v>
      </c>
    </row>
    <row r="305" spans="1:8">
      <c r="A305">
        <v>1.3972186840265901</v>
      </c>
      <c r="B305">
        <v>4.2869071414963003</v>
      </c>
      <c r="C305">
        <v>24.690956659364801</v>
      </c>
      <c r="D305">
        <v>2.0204831862184198</v>
      </c>
      <c r="E305">
        <v>3.6118659489270901</v>
      </c>
      <c r="F305">
        <v>35.969199040889102</v>
      </c>
      <c r="G305">
        <v>1.8301854471278001</v>
      </c>
      <c r="H305">
        <v>176</v>
      </c>
    </row>
    <row r="306" spans="1:8">
      <c r="A306">
        <v>1.39702560174802</v>
      </c>
      <c r="B306">
        <v>4.2641741667379298</v>
      </c>
      <c r="C306">
        <v>24.7434900671912</v>
      </c>
      <c r="D306">
        <v>2.0298165434764499</v>
      </c>
      <c r="E306">
        <v>3.81335711140306</v>
      </c>
      <c r="F306">
        <v>33.334247654112303</v>
      </c>
      <c r="G306">
        <v>1.5826387288885599</v>
      </c>
      <c r="H306">
        <v>126</v>
      </c>
    </row>
    <row r="307" spans="1:8">
      <c r="A307">
        <v>1.4502620424486099</v>
      </c>
      <c r="B307">
        <v>4.1632184996874404</v>
      </c>
      <c r="C307">
        <v>24.3483532427685</v>
      </c>
      <c r="D307">
        <v>2.1262278637804699</v>
      </c>
      <c r="E307">
        <v>4.2758939765875201</v>
      </c>
      <c r="F307">
        <v>35.974183853843101</v>
      </c>
      <c r="G307">
        <v>1.5965129266167499</v>
      </c>
      <c r="H307">
        <v>168</v>
      </c>
    </row>
    <row r="308" spans="1:8">
      <c r="A308">
        <v>1.2881645432572699</v>
      </c>
      <c r="B308">
        <v>4.2275076314963096</v>
      </c>
      <c r="C308">
        <v>25.7230531911726</v>
      </c>
      <c r="D308">
        <v>2.15104973442353</v>
      </c>
      <c r="E308">
        <v>3.8440199077328798</v>
      </c>
      <c r="F308">
        <v>35.004783916902802</v>
      </c>
      <c r="G308">
        <v>1.5707600371570001</v>
      </c>
      <c r="H308">
        <v>165</v>
      </c>
    </row>
    <row r="309" spans="1:8">
      <c r="A309">
        <v>1.42845484185536</v>
      </c>
      <c r="B309">
        <v>4.2185357610060601</v>
      </c>
      <c r="C309">
        <v>26.8896117085546</v>
      </c>
      <c r="D309">
        <v>2.0622775917672098</v>
      </c>
      <c r="E309">
        <v>3.47808213596028</v>
      </c>
      <c r="F309">
        <v>32.598322480999698</v>
      </c>
      <c r="G309">
        <v>1.2567223194080499</v>
      </c>
      <c r="H309">
        <v>61</v>
      </c>
    </row>
    <row r="310" spans="1:8">
      <c r="A310">
        <v>1.44110427927832</v>
      </c>
      <c r="B310">
        <v>4.1037033124129598</v>
      </c>
      <c r="C310">
        <v>25.523565381218699</v>
      </c>
      <c r="D310">
        <v>2.1490849667404701</v>
      </c>
      <c r="E310">
        <v>3.31211859442497</v>
      </c>
      <c r="F310">
        <v>33.119764073735801</v>
      </c>
      <c r="G310">
        <v>1.7095079930019501</v>
      </c>
      <c r="H310">
        <v>160</v>
      </c>
    </row>
    <row r="311" spans="1:8">
      <c r="A311">
        <v>1.4736257947759199</v>
      </c>
      <c r="B311">
        <v>4.1668254722595801</v>
      </c>
      <c r="C311">
        <v>27.747780807450699</v>
      </c>
      <c r="D311">
        <v>1.8263990243359201</v>
      </c>
      <c r="E311">
        <v>3.5515292862311201</v>
      </c>
      <c r="F311">
        <v>32.6466656886629</v>
      </c>
      <c r="G311">
        <v>1.4299294287875799</v>
      </c>
      <c r="H311">
        <v>108</v>
      </c>
    </row>
    <row r="312" spans="1:8">
      <c r="A312">
        <v>1.40091483993863</v>
      </c>
      <c r="B312">
        <v>4.16601627988062</v>
      </c>
      <c r="C312">
        <v>28.607637280100199</v>
      </c>
      <c r="D312">
        <v>2.0519605192952799</v>
      </c>
      <c r="E312">
        <v>3.5096898043934699</v>
      </c>
      <c r="F312">
        <v>31.865282329883101</v>
      </c>
      <c r="G312">
        <v>1.79601429063455</v>
      </c>
      <c r="H312">
        <v>209</v>
      </c>
    </row>
    <row r="313" spans="1:8">
      <c r="A313">
        <v>1.6217360186493099</v>
      </c>
      <c r="B313">
        <v>4.2118011359093304</v>
      </c>
      <c r="C313">
        <v>24.538395531416899</v>
      </c>
      <c r="D313">
        <v>2.0016410098982802</v>
      </c>
      <c r="E313">
        <v>3.7946517898294299</v>
      </c>
      <c r="F313">
        <v>32.602096598365797</v>
      </c>
      <c r="G313">
        <v>1.36152721996874</v>
      </c>
      <c r="H313">
        <v>123</v>
      </c>
    </row>
    <row r="314" spans="1:8">
      <c r="A314">
        <v>1.38332569525432</v>
      </c>
      <c r="B314">
        <v>4.2754426081945001</v>
      </c>
      <c r="C314">
        <v>27.1300796646597</v>
      </c>
      <c r="D314">
        <v>1.9396025277476301</v>
      </c>
      <c r="E314">
        <v>3.7473682756631002</v>
      </c>
      <c r="F314">
        <v>36.080377780112698</v>
      </c>
      <c r="G314">
        <v>0.90119170150793004</v>
      </c>
      <c r="H314">
        <v>31</v>
      </c>
    </row>
    <row r="315" spans="1:8">
      <c r="A315">
        <v>1.3744783136832099</v>
      </c>
      <c r="B315">
        <v>4.1336377929517996</v>
      </c>
      <c r="C315">
        <v>24.175912887036301</v>
      </c>
      <c r="D315">
        <v>1.9170726569049401</v>
      </c>
      <c r="E315">
        <v>3.7184755461841199</v>
      </c>
      <c r="F315">
        <v>33.087403839833499</v>
      </c>
      <c r="G315">
        <v>1.78733909199202</v>
      </c>
      <c r="H315">
        <v>167</v>
      </c>
    </row>
    <row r="316" spans="1:8">
      <c r="A316">
        <v>1.4240988755576001</v>
      </c>
      <c r="B316">
        <v>4.2969246741126597</v>
      </c>
      <c r="C316">
        <v>25.797160336324701</v>
      </c>
      <c r="D316">
        <v>1.8901985003591</v>
      </c>
      <c r="E316">
        <v>4.2618054066743296</v>
      </c>
      <c r="F316">
        <v>28.649203417090099</v>
      </c>
      <c r="G316">
        <v>1.30593292350686</v>
      </c>
      <c r="H316">
        <v>109</v>
      </c>
    </row>
    <row r="317" spans="1:8">
      <c r="A317">
        <v>1.2562080597812699</v>
      </c>
      <c r="B317">
        <v>4.2350568516278697</v>
      </c>
      <c r="C317">
        <v>28.2829347613138</v>
      </c>
      <c r="D317">
        <v>2.0715756854340599</v>
      </c>
      <c r="E317">
        <v>3.6120532307136899</v>
      </c>
      <c r="F317">
        <v>31.730336656806301</v>
      </c>
      <c r="G317">
        <v>1.61344753949235</v>
      </c>
      <c r="H317">
        <v>132</v>
      </c>
    </row>
    <row r="318" spans="1:8">
      <c r="A318">
        <v>1.3743260754269599</v>
      </c>
      <c r="B318">
        <v>4.2291705582837098</v>
      </c>
      <c r="C318">
        <v>27.2914848715963</v>
      </c>
      <c r="D318">
        <v>2.1316901002484299</v>
      </c>
      <c r="E318">
        <v>3.5627283504669198</v>
      </c>
      <c r="F318">
        <v>32.698226264074698</v>
      </c>
      <c r="G318">
        <v>1.02719852545718</v>
      </c>
      <c r="H318">
        <v>15</v>
      </c>
    </row>
    <row r="319" spans="1:8">
      <c r="A319">
        <v>1.52741186346195</v>
      </c>
      <c r="B319">
        <v>4.2497105748033803</v>
      </c>
      <c r="C319">
        <v>27.884383392250299</v>
      </c>
      <c r="D319">
        <v>2.2087248147351999</v>
      </c>
      <c r="E319">
        <v>3.5499154189414002</v>
      </c>
      <c r="F319">
        <v>33.304435525490199</v>
      </c>
      <c r="G319">
        <v>1.2417868691099101</v>
      </c>
      <c r="H319">
        <v>69</v>
      </c>
    </row>
    <row r="320" spans="1:8">
      <c r="A320">
        <v>1.3482352870733501</v>
      </c>
      <c r="B320">
        <v>4.1959359159571301</v>
      </c>
      <c r="C320">
        <v>27.911951750258801</v>
      </c>
      <c r="D320">
        <v>2.1209853063020701</v>
      </c>
      <c r="E320">
        <v>3.6018633057315599</v>
      </c>
      <c r="F320">
        <v>35.645605492454202</v>
      </c>
      <c r="G320">
        <v>1.9792880933250601</v>
      </c>
      <c r="H320">
        <v>246</v>
      </c>
    </row>
    <row r="321" spans="1:8">
      <c r="A321">
        <v>1.4482433000083701</v>
      </c>
      <c r="B321">
        <v>4.1969254909520597</v>
      </c>
      <c r="C321">
        <v>27.7113013920134</v>
      </c>
      <c r="D321">
        <v>1.9295016605026201</v>
      </c>
      <c r="E321">
        <v>3.3564823032340998</v>
      </c>
      <c r="F321">
        <v>34.345505168909703</v>
      </c>
      <c r="G321">
        <v>1.94583710461867</v>
      </c>
      <c r="H321">
        <v>239</v>
      </c>
    </row>
    <row r="322" spans="1:8">
      <c r="A322">
        <v>1.55138584205527</v>
      </c>
      <c r="B322">
        <v>4.1851638365667103</v>
      </c>
      <c r="C322">
        <v>28.120595931017899</v>
      </c>
      <c r="D322">
        <v>1.9048206994496399</v>
      </c>
      <c r="E322">
        <v>3.47486241793399</v>
      </c>
      <c r="F322">
        <v>31.543818033198399</v>
      </c>
      <c r="G322">
        <v>1.771827905461</v>
      </c>
      <c r="H322">
        <v>163</v>
      </c>
    </row>
    <row r="323" spans="1:8">
      <c r="A323">
        <v>1.25382150124276</v>
      </c>
      <c r="B323">
        <v>4.1306963989068004</v>
      </c>
      <c r="C323">
        <v>26.947034191200402</v>
      </c>
      <c r="D323">
        <v>1.8510371264341501</v>
      </c>
      <c r="E323">
        <v>2.98306904442398</v>
      </c>
      <c r="F323">
        <v>33.616782171206602</v>
      </c>
      <c r="G323">
        <v>1.1925494696788099</v>
      </c>
      <c r="H323">
        <v>90</v>
      </c>
    </row>
    <row r="324" spans="1:8">
      <c r="A324">
        <v>1.3614247496146099</v>
      </c>
      <c r="B324">
        <v>4.1912430120830901</v>
      </c>
      <c r="C324">
        <v>26.001681537756401</v>
      </c>
      <c r="D324">
        <v>2.15181285392205</v>
      </c>
      <c r="E324">
        <v>3.4178250766635698</v>
      </c>
      <c r="F324">
        <v>33.465531367262997</v>
      </c>
      <c r="G324">
        <v>1.29271122709036</v>
      </c>
      <c r="H324">
        <v>70</v>
      </c>
    </row>
    <row r="325" spans="1:8">
      <c r="A325">
        <v>1.27659244737257</v>
      </c>
      <c r="B325">
        <v>4.1917962311096399</v>
      </c>
      <c r="C325">
        <v>25.372220777529002</v>
      </c>
      <c r="D325">
        <v>1.9141217511233499</v>
      </c>
      <c r="E325">
        <v>3.3918863115415401</v>
      </c>
      <c r="F325">
        <v>33.240470867004902</v>
      </c>
      <c r="G325">
        <v>1.14450305869866</v>
      </c>
      <c r="H325">
        <v>78</v>
      </c>
    </row>
    <row r="326" spans="1:8">
      <c r="A326">
        <v>1.4434756848672701</v>
      </c>
      <c r="B326">
        <v>4.1019772842052102</v>
      </c>
      <c r="C326">
        <v>26.620524764206799</v>
      </c>
      <c r="D326">
        <v>2.0178208556811099</v>
      </c>
      <c r="E326">
        <v>3.6368736491011</v>
      </c>
      <c r="F326">
        <v>33.295952297912798</v>
      </c>
      <c r="G326">
        <v>1.8097314516266501</v>
      </c>
      <c r="H326">
        <v>181</v>
      </c>
    </row>
    <row r="327" spans="1:8">
      <c r="A327">
        <v>1.3874104661220601</v>
      </c>
      <c r="B327">
        <v>4.2206858757589396</v>
      </c>
      <c r="C327">
        <v>26.808447245952699</v>
      </c>
      <c r="D327">
        <v>1.9488266867117801</v>
      </c>
      <c r="E327">
        <v>3.5252986472836998</v>
      </c>
      <c r="F327">
        <v>37.192134992869399</v>
      </c>
      <c r="G327">
        <v>1.35991042528364</v>
      </c>
      <c r="H327">
        <v>92</v>
      </c>
    </row>
    <row r="328" spans="1:8">
      <c r="A328">
        <v>1.29917648564711</v>
      </c>
      <c r="B328">
        <v>4.1168423106668399</v>
      </c>
      <c r="C328">
        <v>26.801547139304802</v>
      </c>
      <c r="D328">
        <v>2.03696746777972</v>
      </c>
      <c r="E328">
        <v>3.9537399308040202</v>
      </c>
      <c r="F328">
        <v>35.814234696897699</v>
      </c>
      <c r="G328">
        <v>0.98822881365009696</v>
      </c>
      <c r="H328">
        <v>6</v>
      </c>
    </row>
    <row r="329" spans="1:8">
      <c r="A329">
        <v>1.50079234827035</v>
      </c>
      <c r="B329">
        <v>4.1291039475922204</v>
      </c>
      <c r="C329">
        <v>26.9637159434882</v>
      </c>
      <c r="D329">
        <v>2.0861043089150302</v>
      </c>
      <c r="E329">
        <v>3.1575684055999802</v>
      </c>
      <c r="F329">
        <v>33.772936772959099</v>
      </c>
      <c r="G329">
        <v>1.0153933771088901</v>
      </c>
      <c r="H329">
        <v>13</v>
      </c>
    </row>
    <row r="330" spans="1:8">
      <c r="A330">
        <v>1.26260258628658</v>
      </c>
      <c r="B330">
        <v>4.14079991287855</v>
      </c>
      <c r="C330">
        <v>26.5010277579789</v>
      </c>
      <c r="D330">
        <v>2.1075247958300398</v>
      </c>
      <c r="E330">
        <v>3.6524653597699901</v>
      </c>
      <c r="F330">
        <v>34.823664530144903</v>
      </c>
      <c r="G330">
        <v>1.5538701404742601</v>
      </c>
      <c r="H330">
        <v>122</v>
      </c>
    </row>
    <row r="331" spans="1:8">
      <c r="A331">
        <v>1.3498789817888299</v>
      </c>
      <c r="B331">
        <v>4.2272744009560599</v>
      </c>
      <c r="C331">
        <v>27.258127293629499</v>
      </c>
      <c r="D331">
        <v>2.0215164888947599</v>
      </c>
      <c r="E331">
        <v>2.9501281581103398</v>
      </c>
      <c r="F331">
        <v>33.335470748521701</v>
      </c>
      <c r="G331">
        <v>1.0116661798948601</v>
      </c>
      <c r="H331">
        <v>21</v>
      </c>
    </row>
    <row r="332" spans="1:8">
      <c r="A332">
        <v>1.45566303266554</v>
      </c>
      <c r="B332">
        <v>4.2361964062036703</v>
      </c>
      <c r="C332">
        <v>26.923917728485499</v>
      </c>
      <c r="D332">
        <v>1.95605931544379</v>
      </c>
      <c r="E332">
        <v>3.4618308463548102</v>
      </c>
      <c r="F332">
        <v>35.429442737405402</v>
      </c>
      <c r="G332">
        <v>1.3415461554709001</v>
      </c>
      <c r="H332">
        <v>78</v>
      </c>
    </row>
    <row r="333" spans="1:8">
      <c r="A333">
        <v>1.34637793958996</v>
      </c>
      <c r="B333">
        <v>4.2742723316560696</v>
      </c>
      <c r="C333">
        <v>26.871479182351099</v>
      </c>
      <c r="D333">
        <v>2.1191329088392101</v>
      </c>
      <c r="E333">
        <v>3.7764911383255502</v>
      </c>
      <c r="F333">
        <v>33.664149893311802</v>
      </c>
      <c r="G333">
        <v>0.923677357335844</v>
      </c>
      <c r="H333">
        <v>34</v>
      </c>
    </row>
    <row r="334" spans="1:8">
      <c r="A334">
        <v>1.5098901813308401</v>
      </c>
      <c r="B334">
        <v>4.2459925667615401</v>
      </c>
      <c r="C334">
        <v>29.4207102598006</v>
      </c>
      <c r="D334">
        <v>2.00719290271571</v>
      </c>
      <c r="E334">
        <v>4.1925834828797699</v>
      </c>
      <c r="F334">
        <v>35.935563578388802</v>
      </c>
      <c r="G334">
        <v>1.26243800078282</v>
      </c>
      <c r="H334">
        <v>73</v>
      </c>
    </row>
    <row r="335" spans="1:8">
      <c r="A335">
        <v>1.3977047513490299</v>
      </c>
      <c r="B335">
        <v>4.2233192690999202</v>
      </c>
      <c r="C335">
        <v>28.3842114916932</v>
      </c>
      <c r="D335">
        <v>2.0677545313448098</v>
      </c>
      <c r="E335">
        <v>3.7116196974485098</v>
      </c>
      <c r="F335">
        <v>35.133674786855899</v>
      </c>
      <c r="G335">
        <v>1.8954448763610401</v>
      </c>
      <c r="H335">
        <v>229</v>
      </c>
    </row>
    <row r="336" spans="1:8">
      <c r="A336">
        <v>1.36116773059598</v>
      </c>
      <c r="B336">
        <v>4.2268305710564702</v>
      </c>
      <c r="C336">
        <v>26.584181381711801</v>
      </c>
      <c r="D336">
        <v>2.1562939948731099</v>
      </c>
      <c r="E336">
        <v>3.19991295974804</v>
      </c>
      <c r="F336">
        <v>32.619145910348202</v>
      </c>
      <c r="G336">
        <v>1.00238530852814</v>
      </c>
      <c r="H336">
        <v>50</v>
      </c>
    </row>
    <row r="337" spans="1:8">
      <c r="A337">
        <v>1.4328381387884901</v>
      </c>
      <c r="B337">
        <v>4.2015717330254496</v>
      </c>
      <c r="C337">
        <v>28.000808344618299</v>
      </c>
      <c r="D337">
        <v>2.0208472803487401</v>
      </c>
      <c r="E337">
        <v>3.3834210004434899</v>
      </c>
      <c r="F337">
        <v>30.301335589290399</v>
      </c>
      <c r="G337">
        <v>0.91174607125432805</v>
      </c>
      <c r="H337">
        <v>33</v>
      </c>
    </row>
    <row r="338" spans="1:8">
      <c r="A338">
        <v>1.48306717508358</v>
      </c>
      <c r="B338">
        <v>4.1824862136619299</v>
      </c>
      <c r="C338">
        <v>26.4807202775288</v>
      </c>
      <c r="D338">
        <v>1.9426634876340401</v>
      </c>
      <c r="E338">
        <v>3.49428759448555</v>
      </c>
      <c r="F338">
        <v>33.543657103958402</v>
      </c>
      <c r="G338">
        <v>0.99176207717540199</v>
      </c>
      <c r="H338">
        <v>10</v>
      </c>
    </row>
    <row r="339" spans="1:8">
      <c r="A339">
        <v>1.4358145878178401</v>
      </c>
      <c r="B339">
        <v>4.2506368203237699</v>
      </c>
      <c r="C339">
        <v>26.288744178037401</v>
      </c>
      <c r="D339">
        <v>1.9563115829477</v>
      </c>
      <c r="E339">
        <v>3.1718806602291201</v>
      </c>
      <c r="F339">
        <v>33.988347553663502</v>
      </c>
      <c r="G339">
        <v>1.9406757723763799</v>
      </c>
      <c r="H339">
        <v>237</v>
      </c>
    </row>
    <row r="340" spans="1:8">
      <c r="A340">
        <v>1.3733882894773699</v>
      </c>
      <c r="B340">
        <v>4.1998145999184704</v>
      </c>
      <c r="C340">
        <v>24.584191222958999</v>
      </c>
      <c r="D340">
        <v>1.98871522357178</v>
      </c>
      <c r="E340">
        <v>3.3050209404327902</v>
      </c>
      <c r="F340">
        <v>32.3482248822001</v>
      </c>
      <c r="G340">
        <v>1.1299208193761501</v>
      </c>
      <c r="H340">
        <v>76</v>
      </c>
    </row>
    <row r="341" spans="1:8">
      <c r="A341">
        <v>1.27836391474656</v>
      </c>
      <c r="B341">
        <v>4.0738892788124303</v>
      </c>
      <c r="C341">
        <v>28.751084545128101</v>
      </c>
      <c r="D341">
        <v>2.0440028353736501</v>
      </c>
      <c r="E341">
        <v>3.1163520695557798</v>
      </c>
      <c r="F341">
        <v>38.012612563702902</v>
      </c>
      <c r="G341">
        <v>1.2483884438400601</v>
      </c>
      <c r="H341">
        <v>72</v>
      </c>
    </row>
    <row r="342" spans="1:8">
      <c r="A342">
        <v>1.37899136542455</v>
      </c>
      <c r="B342">
        <v>4.1774156970882999</v>
      </c>
      <c r="C342">
        <v>30.233642973778899</v>
      </c>
      <c r="D342">
        <v>2.1783889414712001</v>
      </c>
      <c r="E342">
        <v>3.4082442288779</v>
      </c>
      <c r="F342">
        <v>34.544384782762499</v>
      </c>
      <c r="G342">
        <v>1.4744990239029201</v>
      </c>
      <c r="H342">
        <v>145</v>
      </c>
    </row>
    <row r="343" spans="1:8">
      <c r="A343">
        <v>1.4092311763143299</v>
      </c>
      <c r="B343">
        <v>4.1605718225780501</v>
      </c>
      <c r="C343">
        <v>28.221091978971</v>
      </c>
      <c r="D343">
        <v>1.97856227146222</v>
      </c>
      <c r="E343">
        <v>2.92467624294332</v>
      </c>
      <c r="F343">
        <v>32.965902162675299</v>
      </c>
      <c r="G343">
        <v>1.35107491483483</v>
      </c>
      <c r="H343">
        <v>81</v>
      </c>
    </row>
    <row r="344" spans="1:8">
      <c r="A344">
        <v>1.44528115070868</v>
      </c>
      <c r="B344">
        <v>4.22390440855128</v>
      </c>
      <c r="C344">
        <v>26.413880372958701</v>
      </c>
      <c r="D344">
        <v>2.09822660405327</v>
      </c>
      <c r="E344">
        <v>3.9419826624046599</v>
      </c>
      <c r="F344">
        <v>34.071929350694198</v>
      </c>
      <c r="G344">
        <v>1.8274387131101399</v>
      </c>
      <c r="H344">
        <v>216</v>
      </c>
    </row>
    <row r="345" spans="1:8">
      <c r="A345">
        <v>1.48530771310455</v>
      </c>
      <c r="B345">
        <v>4.2550642528470801</v>
      </c>
      <c r="C345">
        <v>26.401560884777702</v>
      </c>
      <c r="D345">
        <v>2.0653524932985099</v>
      </c>
      <c r="E345">
        <v>3.3585521613149298</v>
      </c>
      <c r="F345">
        <v>32.288446634006803</v>
      </c>
      <c r="G345">
        <v>1.46580014331205</v>
      </c>
      <c r="H345">
        <v>104</v>
      </c>
    </row>
    <row r="346" spans="1:8">
      <c r="A346">
        <v>1.5085573826530401</v>
      </c>
      <c r="B346">
        <v>4.2020085744323596</v>
      </c>
      <c r="C346">
        <v>27.726673128288699</v>
      </c>
      <c r="D346">
        <v>1.8772379676523001</v>
      </c>
      <c r="E346">
        <v>3.4518745906504398</v>
      </c>
      <c r="F346">
        <v>33.585906424502497</v>
      </c>
      <c r="G346">
        <v>1.0716852276453801</v>
      </c>
      <c r="H346">
        <v>33</v>
      </c>
    </row>
    <row r="347" spans="1:8">
      <c r="A347">
        <v>1.1702785845504999</v>
      </c>
      <c r="B347">
        <v>4.1558539181235998</v>
      </c>
      <c r="C347">
        <v>25.7606306808337</v>
      </c>
      <c r="D347">
        <v>1.96316075560745</v>
      </c>
      <c r="E347">
        <v>3.51339669377432</v>
      </c>
      <c r="F347">
        <v>31.8075705603149</v>
      </c>
      <c r="G347">
        <v>1.3781698591096501</v>
      </c>
      <c r="H347">
        <v>96</v>
      </c>
    </row>
    <row r="348" spans="1:8">
      <c r="A348">
        <v>1.41072043507699</v>
      </c>
      <c r="B348">
        <v>4.1523061393975196</v>
      </c>
      <c r="C348">
        <v>25.088825564795101</v>
      </c>
      <c r="D348">
        <v>2.1342974097069098</v>
      </c>
      <c r="E348">
        <v>3.79583398245147</v>
      </c>
      <c r="F348">
        <v>32.380606789591504</v>
      </c>
      <c r="G348">
        <v>1.2622384936806199</v>
      </c>
      <c r="H348">
        <v>104</v>
      </c>
    </row>
    <row r="349" spans="1:8">
      <c r="A349">
        <v>1.2842769729758401</v>
      </c>
      <c r="B349">
        <v>4.1935660934213503</v>
      </c>
      <c r="C349">
        <v>30.913076938722199</v>
      </c>
      <c r="D349">
        <v>2.0120096956879099</v>
      </c>
      <c r="E349">
        <v>3.69962213739664</v>
      </c>
      <c r="F349">
        <v>32.474805261293596</v>
      </c>
      <c r="G349">
        <v>1.5141353251726299</v>
      </c>
      <c r="H349">
        <v>123</v>
      </c>
    </row>
    <row r="350" spans="1:8">
      <c r="A350">
        <v>1.48669521563386</v>
      </c>
      <c r="B350">
        <v>4.1767824523048596</v>
      </c>
      <c r="C350">
        <v>28.1245736573741</v>
      </c>
      <c r="D350">
        <v>1.9917387496023999</v>
      </c>
      <c r="E350">
        <v>3.43076737844823</v>
      </c>
      <c r="F350">
        <v>33.990821693823598</v>
      </c>
      <c r="G350">
        <v>1.2883588376763999</v>
      </c>
      <c r="H350">
        <v>76</v>
      </c>
    </row>
    <row r="351" spans="1:8">
      <c r="A351">
        <v>1.3753537335611601</v>
      </c>
      <c r="B351">
        <v>4.0964041376218203</v>
      </c>
      <c r="C351">
        <v>24.8958922487591</v>
      </c>
      <c r="D351">
        <v>1.99167249541647</v>
      </c>
      <c r="E351">
        <v>3.7343975988463698</v>
      </c>
      <c r="F351">
        <v>33.713423531066397</v>
      </c>
      <c r="G351">
        <v>1.89596467454619</v>
      </c>
      <c r="H351">
        <v>190</v>
      </c>
    </row>
    <row r="352" spans="1:8">
      <c r="A352">
        <v>1.37584049254726</v>
      </c>
      <c r="B352">
        <v>4.1768177297676896</v>
      </c>
      <c r="C352">
        <v>26.4397675182705</v>
      </c>
      <c r="D352">
        <v>2.02505503074432</v>
      </c>
      <c r="E352">
        <v>3.94979224238809</v>
      </c>
      <c r="F352">
        <v>34.880799006240899</v>
      </c>
      <c r="G352">
        <v>1.1292233456324099</v>
      </c>
      <c r="H352">
        <v>35</v>
      </c>
    </row>
    <row r="353" spans="1:8">
      <c r="A353">
        <v>1.4362714570694399</v>
      </c>
      <c r="B353">
        <v>4.1472916591973297</v>
      </c>
      <c r="C353">
        <v>28.860133355893101</v>
      </c>
      <c r="D353">
        <v>2.0182071790156599</v>
      </c>
      <c r="E353">
        <v>4.1629980454711299</v>
      </c>
      <c r="F353">
        <v>33.437738664668203</v>
      </c>
      <c r="G353">
        <v>1.8006339889671701</v>
      </c>
      <c r="H353">
        <v>210</v>
      </c>
    </row>
    <row r="354" spans="1:8">
      <c r="A354">
        <v>1.5245521843540299</v>
      </c>
      <c r="B354">
        <v>4.21747421904342</v>
      </c>
      <c r="C354">
        <v>25.500394395004701</v>
      </c>
      <c r="D354">
        <v>2.1138133418940801</v>
      </c>
      <c r="E354">
        <v>3.53932406308222</v>
      </c>
      <c r="F354">
        <v>32.742636210440899</v>
      </c>
      <c r="G354">
        <v>1.63657723485173</v>
      </c>
      <c r="H354">
        <v>176</v>
      </c>
    </row>
    <row r="355" spans="1:8">
      <c r="A355">
        <v>1.2740001114564401</v>
      </c>
      <c r="B355">
        <v>4.2108520892632999</v>
      </c>
      <c r="C355">
        <v>26.678325441129601</v>
      </c>
      <c r="D355">
        <v>2.0712948390211201</v>
      </c>
      <c r="E355">
        <v>3.24419608377598</v>
      </c>
      <c r="F355">
        <v>32.613667912037201</v>
      </c>
      <c r="G355">
        <v>1.5091173539254701</v>
      </c>
      <c r="H355">
        <v>122</v>
      </c>
    </row>
    <row r="356" spans="1:8">
      <c r="A356">
        <v>1.3451991489789401</v>
      </c>
      <c r="B356">
        <v>4.2305895031083702</v>
      </c>
      <c r="C356">
        <v>28.156294071748999</v>
      </c>
      <c r="D356">
        <v>2.03136808151545</v>
      </c>
      <c r="E356">
        <v>3.5607012218906799</v>
      </c>
      <c r="F356">
        <v>32.659496333532999</v>
      </c>
      <c r="G356">
        <v>1.24803296106419</v>
      </c>
      <c r="H356">
        <v>58</v>
      </c>
    </row>
    <row r="357" spans="1:8">
      <c r="A357">
        <v>1.42388314053923</v>
      </c>
      <c r="B357">
        <v>4.1618892227845397</v>
      </c>
      <c r="C357">
        <v>26.4362681561846</v>
      </c>
      <c r="D357">
        <v>1.8021705549812801</v>
      </c>
      <c r="E357">
        <v>3.0622150952399201</v>
      </c>
      <c r="F357">
        <v>30.728353645866498</v>
      </c>
      <c r="G357">
        <v>1.4697368952033301</v>
      </c>
      <c r="H357">
        <v>105</v>
      </c>
    </row>
    <row r="358" spans="1:8">
      <c r="A358">
        <v>1.3580812987456401</v>
      </c>
      <c r="B358">
        <v>4.2567928757446296</v>
      </c>
      <c r="C358">
        <v>27.995932093913801</v>
      </c>
      <c r="D358">
        <v>2.0577865069335299</v>
      </c>
      <c r="E358">
        <v>3.3812276497327298</v>
      </c>
      <c r="F358">
        <v>35.3224232315252</v>
      </c>
      <c r="G358">
        <v>1.70266858156921</v>
      </c>
      <c r="H358">
        <v>150</v>
      </c>
    </row>
    <row r="359" spans="1:8">
      <c r="A359">
        <v>1.3881408296101501</v>
      </c>
      <c r="B359">
        <v>4.1594232820228703</v>
      </c>
      <c r="C359">
        <v>26.710482748733899</v>
      </c>
      <c r="D359">
        <v>2.0224356653775999</v>
      </c>
      <c r="E359">
        <v>3.3959592434925501</v>
      </c>
      <c r="F359">
        <v>35.235678161066701</v>
      </c>
      <c r="G359">
        <v>1.6318227081832499</v>
      </c>
      <c r="H359">
        <v>136</v>
      </c>
    </row>
    <row r="360" spans="1:8">
      <c r="A360">
        <v>1.42308960068757</v>
      </c>
      <c r="B360">
        <v>4.2512599587753801</v>
      </c>
      <c r="C360">
        <v>24.574917784718998</v>
      </c>
      <c r="D360">
        <v>2.1055383563429801</v>
      </c>
      <c r="E360">
        <v>3.5110856818542699</v>
      </c>
      <c r="F360">
        <v>29.978872034472001</v>
      </c>
      <c r="G360">
        <v>1.81858856947958</v>
      </c>
      <c r="H360">
        <v>175</v>
      </c>
    </row>
    <row r="361" spans="1:8">
      <c r="A361">
        <v>1.3886098752979601</v>
      </c>
      <c r="B361">
        <v>4.2612430859964903</v>
      </c>
      <c r="C361">
        <v>28.2731932934025</v>
      </c>
      <c r="D361">
        <v>1.92472380596593</v>
      </c>
      <c r="E361">
        <v>2.88249570242245</v>
      </c>
      <c r="F361">
        <v>33.237039591242002</v>
      </c>
      <c r="G361">
        <v>1.0926257182382799</v>
      </c>
      <c r="H361">
        <v>29</v>
      </c>
    </row>
    <row r="362" spans="1:8">
      <c r="A362">
        <v>1.5403481149175999</v>
      </c>
      <c r="B362">
        <v>4.2222858194012396</v>
      </c>
      <c r="C362">
        <v>25.577362884365201</v>
      </c>
      <c r="D362">
        <v>2.0948300619281102</v>
      </c>
      <c r="E362">
        <v>3.26107970511171</v>
      </c>
      <c r="F362">
        <v>33.692524751342901</v>
      </c>
      <c r="G362">
        <v>1.3791159628040801</v>
      </c>
      <c r="H362">
        <v>97</v>
      </c>
    </row>
    <row r="363" spans="1:8">
      <c r="A363">
        <v>1.2846231708865901</v>
      </c>
      <c r="B363">
        <v>4.12485654294023</v>
      </c>
      <c r="C363">
        <v>25.770110648288298</v>
      </c>
      <c r="D363">
        <v>1.9229931559407301</v>
      </c>
      <c r="E363">
        <v>2.48485702726791</v>
      </c>
      <c r="F363">
        <v>31.922697282880801</v>
      </c>
      <c r="G363">
        <v>1.0758400758042801</v>
      </c>
      <c r="H363">
        <v>36</v>
      </c>
    </row>
    <row r="364" spans="1:8">
      <c r="A364">
        <v>1.40337552713377</v>
      </c>
      <c r="B364">
        <v>4.26588664590418</v>
      </c>
      <c r="C364">
        <v>27.3274895718232</v>
      </c>
      <c r="D364">
        <v>2.0351377396881198</v>
      </c>
      <c r="E364">
        <v>3.9864917460234102</v>
      </c>
      <c r="F364">
        <v>32.658142678887998</v>
      </c>
      <c r="G364">
        <v>0.97842822307452804</v>
      </c>
      <c r="H364">
        <v>17</v>
      </c>
    </row>
    <row r="365" spans="1:8">
      <c r="A365">
        <v>1.4602616556846</v>
      </c>
      <c r="B365">
        <v>4.1343599196663803</v>
      </c>
      <c r="C365">
        <v>27.236208992789699</v>
      </c>
      <c r="D365">
        <v>1.8307048562000601</v>
      </c>
      <c r="E365">
        <v>3.9690657697793301</v>
      </c>
      <c r="F365">
        <v>32.714968572638099</v>
      </c>
      <c r="G365">
        <v>1.9641021984482501</v>
      </c>
      <c r="H365">
        <v>241</v>
      </c>
    </row>
    <row r="366" spans="1:8">
      <c r="A366">
        <v>1.3208223664138501</v>
      </c>
      <c r="B366">
        <v>4.2718469319495904</v>
      </c>
      <c r="C366">
        <v>27.722511098057399</v>
      </c>
      <c r="D366">
        <v>2.0109311775411198</v>
      </c>
      <c r="E366">
        <v>2.9548986432833302</v>
      </c>
      <c r="F366">
        <v>34.869870674329803</v>
      </c>
      <c r="G366">
        <v>1.47974497338873</v>
      </c>
      <c r="H366">
        <v>106</v>
      </c>
    </row>
    <row r="367" spans="1:8">
      <c r="A367">
        <v>1.58323073333047</v>
      </c>
      <c r="B367">
        <v>4.1373008123188599</v>
      </c>
      <c r="C367">
        <v>27.6934678552002</v>
      </c>
      <c r="D367">
        <v>2.05833717598076</v>
      </c>
      <c r="E367">
        <v>3.4282505414520101</v>
      </c>
      <c r="F367">
        <v>33.316950207085497</v>
      </c>
      <c r="G367">
        <v>1.8594545071702799</v>
      </c>
      <c r="H367">
        <v>183</v>
      </c>
    </row>
    <row r="368" spans="1:8">
      <c r="A368">
        <v>1.4787136945677299</v>
      </c>
      <c r="B368">
        <v>4.2452410096330002</v>
      </c>
      <c r="C368">
        <v>26.512491893412001</v>
      </c>
      <c r="D368">
        <v>1.8491489444509599</v>
      </c>
      <c r="E368">
        <v>3.11576989100918</v>
      </c>
      <c r="F368">
        <v>31.631110305309999</v>
      </c>
      <c r="G368">
        <v>1.0257902285250999</v>
      </c>
      <c r="H368">
        <v>14</v>
      </c>
    </row>
    <row r="369" spans="1:8">
      <c r="A369">
        <v>1.3926736576574501</v>
      </c>
      <c r="B369">
        <v>4.2072904024198499</v>
      </c>
      <c r="C369">
        <v>29.195358634119501</v>
      </c>
      <c r="D369">
        <v>2.13716558075365</v>
      </c>
      <c r="E369">
        <v>3.0720961650987699</v>
      </c>
      <c r="F369">
        <v>35.336848294061703</v>
      </c>
      <c r="G369">
        <v>1.0155830626281901</v>
      </c>
      <c r="H369">
        <v>22</v>
      </c>
    </row>
    <row r="370" spans="1:8">
      <c r="A370">
        <v>1.2941964538992501</v>
      </c>
      <c r="B370">
        <v>4.2021139392781999</v>
      </c>
      <c r="C370">
        <v>27.670913593511798</v>
      </c>
      <c r="D370">
        <v>1.9968463732702599</v>
      </c>
      <c r="E370">
        <v>3.3314391835906898</v>
      </c>
      <c r="F370">
        <v>36.401211373729502</v>
      </c>
      <c r="G370">
        <v>1.4013475580141399</v>
      </c>
      <c r="H370">
        <v>130</v>
      </c>
    </row>
    <row r="371" spans="1:8">
      <c r="A371">
        <v>1.68960175827224</v>
      </c>
      <c r="B371">
        <v>4.2270843988656104</v>
      </c>
      <c r="C371">
        <v>24.754823008959701</v>
      </c>
      <c r="D371">
        <v>1.93385532529661</v>
      </c>
      <c r="E371">
        <v>3.03831233037966</v>
      </c>
      <c r="F371">
        <v>32.0816575995565</v>
      </c>
      <c r="G371">
        <v>0.92961392216254302</v>
      </c>
      <c r="H371">
        <v>37</v>
      </c>
    </row>
    <row r="372" spans="1:8">
      <c r="A372">
        <v>1.4433296956231201</v>
      </c>
      <c r="B372">
        <v>4.1908376269518097</v>
      </c>
      <c r="C372">
        <v>24.169128300513002</v>
      </c>
      <c r="D372">
        <v>2.0665107359210899</v>
      </c>
      <c r="E372">
        <v>2.6293574657741901</v>
      </c>
      <c r="F372">
        <v>33.047549541591103</v>
      </c>
      <c r="G372">
        <v>1.1341704829734101</v>
      </c>
      <c r="H372">
        <v>48</v>
      </c>
    </row>
    <row r="373" spans="1:8">
      <c r="A373">
        <v>1.3651321197435</v>
      </c>
      <c r="B373">
        <v>4.1439764916490098</v>
      </c>
      <c r="C373">
        <v>25.746049776895099</v>
      </c>
      <c r="D373">
        <v>2.0240688647212499</v>
      </c>
      <c r="E373">
        <v>3.3654018018709002</v>
      </c>
      <c r="F373">
        <v>34.031408007232997</v>
      </c>
      <c r="G373">
        <v>0.98535337419982005</v>
      </c>
      <c r="H373">
        <v>46</v>
      </c>
    </row>
    <row r="374" spans="1:8">
      <c r="A374">
        <v>1.28895529929</v>
      </c>
      <c r="B374">
        <v>4.2549619303635797</v>
      </c>
      <c r="C374">
        <v>27.096369664367199</v>
      </c>
      <c r="D374">
        <v>2.1170911974107098</v>
      </c>
      <c r="E374">
        <v>4.0413345569502201</v>
      </c>
      <c r="F374">
        <v>33.938228620516497</v>
      </c>
      <c r="G374">
        <v>1.35567947016461</v>
      </c>
      <c r="H374">
        <v>90</v>
      </c>
    </row>
    <row r="375" spans="1:8">
      <c r="A375">
        <v>1.48331321502318</v>
      </c>
      <c r="B375">
        <v>4.1749701581268504</v>
      </c>
      <c r="C375">
        <v>30.066330393301399</v>
      </c>
      <c r="D375">
        <v>2.07182706949708</v>
      </c>
      <c r="E375">
        <v>3.63446578433792</v>
      </c>
      <c r="F375">
        <v>34.644765513162497</v>
      </c>
      <c r="G375">
        <v>1.3683996037066399</v>
      </c>
      <c r="H375">
        <v>94</v>
      </c>
    </row>
    <row r="376" spans="1:8">
      <c r="A376">
        <v>1.5348376873087799</v>
      </c>
      <c r="B376">
        <v>4.2294689996693897</v>
      </c>
      <c r="C376">
        <v>30.648762795720501</v>
      </c>
      <c r="D376">
        <v>2.10110137202558</v>
      </c>
      <c r="E376">
        <v>3.2956085682916898</v>
      </c>
      <c r="F376">
        <v>36.622842205118403</v>
      </c>
      <c r="G376">
        <v>1.0846487728381</v>
      </c>
      <c r="H376">
        <v>27</v>
      </c>
    </row>
    <row r="377" spans="1:8">
      <c r="A377">
        <v>1.39654204921674</v>
      </c>
      <c r="B377">
        <v>4.1917906969989698</v>
      </c>
      <c r="C377">
        <v>28.220057182430899</v>
      </c>
      <c r="D377">
        <v>2.00033533577083</v>
      </c>
      <c r="E377">
        <v>3.5700750704314999</v>
      </c>
      <c r="F377">
        <v>30.2999619727054</v>
      </c>
      <c r="G377">
        <v>1.45772301846703</v>
      </c>
      <c r="H377">
        <v>142</v>
      </c>
    </row>
    <row r="378" spans="1:8">
      <c r="A378">
        <v>1.24792090531921</v>
      </c>
      <c r="B378">
        <v>4.25528647391977</v>
      </c>
      <c r="C378">
        <v>26.714676490979301</v>
      </c>
      <c r="D378">
        <v>2.0401290734721802</v>
      </c>
      <c r="E378">
        <v>3.3609867367735902</v>
      </c>
      <c r="F378">
        <v>32.552391550948897</v>
      </c>
      <c r="G378">
        <v>1.50392747856121</v>
      </c>
      <c r="H378">
        <v>150</v>
      </c>
    </row>
    <row r="379" spans="1:8">
      <c r="A379">
        <v>1.3655012089806799</v>
      </c>
      <c r="B379">
        <v>4.2349003005804997</v>
      </c>
      <c r="C379">
        <v>26.316386953354201</v>
      </c>
      <c r="D379">
        <v>1.9350761938880501</v>
      </c>
      <c r="E379">
        <v>3.7344132448367802</v>
      </c>
      <c r="F379">
        <v>33.640988267053899</v>
      </c>
      <c r="G379">
        <v>0.89826164680689202</v>
      </c>
      <c r="H379">
        <v>0</v>
      </c>
    </row>
    <row r="380" spans="1:8">
      <c r="A380">
        <v>1.14926996150938</v>
      </c>
      <c r="B380">
        <v>4.18762840009322</v>
      </c>
      <c r="C380">
        <v>27.542066604599501</v>
      </c>
      <c r="D380">
        <v>2.1111140007769098</v>
      </c>
      <c r="E380">
        <v>3.1994435213394401</v>
      </c>
      <c r="F380">
        <v>31.014725589153102</v>
      </c>
      <c r="G380">
        <v>1.06692755101286</v>
      </c>
      <c r="H380">
        <v>63</v>
      </c>
    </row>
    <row r="381" spans="1:8">
      <c r="A381">
        <v>1.5644302870935101</v>
      </c>
      <c r="B381">
        <v>4.2892798682394702</v>
      </c>
      <c r="C381">
        <v>26.355488703890199</v>
      </c>
      <c r="D381">
        <v>2.0566098321167798</v>
      </c>
      <c r="E381">
        <v>3.6655340224631598</v>
      </c>
      <c r="F381">
        <v>33.807808465152398</v>
      </c>
      <c r="G381">
        <v>1.5530051387442501</v>
      </c>
      <c r="H381">
        <v>162</v>
      </c>
    </row>
    <row r="382" spans="1:8">
      <c r="A382">
        <v>1.39932228038699</v>
      </c>
      <c r="B382">
        <v>4.1306763337169103</v>
      </c>
      <c r="C382">
        <v>26.765855039863101</v>
      </c>
      <c r="D382">
        <v>1.9888032010088901</v>
      </c>
      <c r="E382">
        <v>3.4014620222413501</v>
      </c>
      <c r="F382">
        <v>35.666867607376297</v>
      </c>
      <c r="G382">
        <v>1.0398120474155299</v>
      </c>
      <c r="H382">
        <v>60</v>
      </c>
    </row>
    <row r="383" spans="1:8">
      <c r="A383">
        <v>1.4147308150087601</v>
      </c>
      <c r="B383">
        <v>4.2134798625066496</v>
      </c>
      <c r="C383">
        <v>25.805320187376601</v>
      </c>
      <c r="D383">
        <v>2.0927403579002601</v>
      </c>
      <c r="E383">
        <v>3.7584334535097002</v>
      </c>
      <c r="F383">
        <v>29.692443943068799</v>
      </c>
      <c r="G383">
        <v>1.3985721895960599</v>
      </c>
      <c r="H383">
        <v>129</v>
      </c>
    </row>
    <row r="384" spans="1:8">
      <c r="A384">
        <v>1.4648177616337199</v>
      </c>
      <c r="B384">
        <v>4.1478449841857401</v>
      </c>
      <c r="C384">
        <v>28.162166427862399</v>
      </c>
      <c r="D384">
        <v>2.1260082865594199</v>
      </c>
      <c r="E384">
        <v>3.6817198969093101</v>
      </c>
      <c r="F384">
        <v>33.156996305819199</v>
      </c>
      <c r="G384">
        <v>1.1765772672513699</v>
      </c>
      <c r="H384">
        <v>43</v>
      </c>
    </row>
    <row r="385" spans="1:8">
      <c r="A385">
        <v>1.27872409397299</v>
      </c>
      <c r="B385">
        <v>4.2054837626046604</v>
      </c>
      <c r="C385">
        <v>29.0250972765485</v>
      </c>
      <c r="D385">
        <v>2.1942868560724902</v>
      </c>
      <c r="E385">
        <v>3.3671421655174498</v>
      </c>
      <c r="F385">
        <v>32.3269489232732</v>
      </c>
      <c r="G385">
        <v>0.85334834838636797</v>
      </c>
      <c r="H385">
        <v>22</v>
      </c>
    </row>
    <row r="386" spans="1:8">
      <c r="A386">
        <v>1.45990967926463</v>
      </c>
      <c r="B386">
        <v>4.2596404221929403</v>
      </c>
      <c r="C386">
        <v>27.094159930461299</v>
      </c>
      <c r="D386">
        <v>1.9382007171065401</v>
      </c>
      <c r="E386">
        <v>3.5154454137919502</v>
      </c>
      <c r="F386">
        <v>32.990795606652398</v>
      </c>
      <c r="G386">
        <v>1.6021013186845099</v>
      </c>
      <c r="H386">
        <v>170</v>
      </c>
    </row>
    <row r="387" spans="1:8">
      <c r="A387">
        <v>1.21588769450131</v>
      </c>
      <c r="B387">
        <v>4.2040375667662504</v>
      </c>
      <c r="C387">
        <v>28.355951004817602</v>
      </c>
      <c r="D387">
        <v>1.9436411721139299</v>
      </c>
      <c r="E387">
        <v>3.4840061259497301</v>
      </c>
      <c r="F387">
        <v>28.290244153347398</v>
      </c>
      <c r="G387">
        <v>1.7622756700501501</v>
      </c>
      <c r="H387">
        <v>162</v>
      </c>
    </row>
    <row r="388" spans="1:8">
      <c r="A388">
        <v>1.3506235849483501</v>
      </c>
      <c r="B388">
        <v>4.1912797589403503</v>
      </c>
      <c r="C388">
        <v>28.329302628890101</v>
      </c>
      <c r="D388">
        <v>2.0210943696476198</v>
      </c>
      <c r="E388">
        <v>3.60052793627949</v>
      </c>
      <c r="F388">
        <v>31.991715322215601</v>
      </c>
      <c r="G388">
        <v>1.9469365290303999</v>
      </c>
      <c r="H388">
        <v>238</v>
      </c>
    </row>
    <row r="389" spans="1:8">
      <c r="A389">
        <v>1.4858416716484799</v>
      </c>
      <c r="B389">
        <v>4.24161657114385</v>
      </c>
      <c r="C389">
        <v>26.603108611001201</v>
      </c>
      <c r="D389">
        <v>1.94402885726101</v>
      </c>
      <c r="E389">
        <v>3.68326327965503</v>
      </c>
      <c r="F389">
        <v>29.944900282173101</v>
      </c>
      <c r="G389">
        <v>1.66781521911603</v>
      </c>
      <c r="H389">
        <v>183</v>
      </c>
    </row>
    <row r="390" spans="1:8">
      <c r="A390">
        <v>1.2142889050335799</v>
      </c>
      <c r="B390">
        <v>4.1473328352084904</v>
      </c>
      <c r="C390">
        <v>27.784999799649299</v>
      </c>
      <c r="D390">
        <v>2.0136861058525599</v>
      </c>
      <c r="E390">
        <v>2.8395649010158501</v>
      </c>
      <c r="F390">
        <v>35.331979829140899</v>
      </c>
      <c r="G390">
        <v>1.44114625814952</v>
      </c>
      <c r="H390">
        <v>107</v>
      </c>
    </row>
    <row r="391" spans="1:8">
      <c r="A391">
        <v>1.4986050552466501</v>
      </c>
      <c r="B391">
        <v>4.1216385037133296</v>
      </c>
      <c r="C391">
        <v>28.985998640325299</v>
      </c>
      <c r="D391">
        <v>2.0522933131441801</v>
      </c>
      <c r="E391">
        <v>3.32179302821352</v>
      </c>
      <c r="F391">
        <v>30.3664966128587</v>
      </c>
      <c r="G391">
        <v>1.93814426782808</v>
      </c>
      <c r="H391">
        <v>197</v>
      </c>
    </row>
    <row r="392" spans="1:8">
      <c r="A392">
        <v>1.5623325616753301</v>
      </c>
      <c r="B392">
        <v>4.2992370279319099</v>
      </c>
      <c r="C392">
        <v>26.685853984072601</v>
      </c>
      <c r="D392">
        <v>2.0447472664181898</v>
      </c>
      <c r="E392">
        <v>3.49243992711963</v>
      </c>
      <c r="F392">
        <v>34.213346068822503</v>
      </c>
      <c r="G392">
        <v>1.2063649361081299</v>
      </c>
      <c r="H392">
        <v>91</v>
      </c>
    </row>
    <row r="393" spans="1:8">
      <c r="A393">
        <v>1.33744262209666</v>
      </c>
      <c r="B393">
        <v>4.17235578749938</v>
      </c>
      <c r="C393">
        <v>24.472545624427301</v>
      </c>
      <c r="D393">
        <v>1.9226959177709899</v>
      </c>
      <c r="E393">
        <v>3.4238985728142799</v>
      </c>
      <c r="F393">
        <v>36.618339637374099</v>
      </c>
      <c r="G393">
        <v>1.2249492881853501</v>
      </c>
      <c r="H393">
        <v>56</v>
      </c>
    </row>
    <row r="394" spans="1:8">
      <c r="A394">
        <v>1.3874809206102701</v>
      </c>
      <c r="B394">
        <v>4.2301980028338804</v>
      </c>
      <c r="C394">
        <v>28.943748297319399</v>
      </c>
      <c r="D394">
        <v>2.0847518319139802</v>
      </c>
      <c r="E394">
        <v>3.7669269359208801</v>
      </c>
      <c r="F394">
        <v>33.427135578631798</v>
      </c>
      <c r="G394">
        <v>1.9258009174024999</v>
      </c>
      <c r="H394">
        <v>196</v>
      </c>
    </row>
    <row r="395" spans="1:8">
      <c r="A395">
        <v>1.3851052467003</v>
      </c>
      <c r="B395">
        <v>4.2847550946342201</v>
      </c>
      <c r="C395">
        <v>25.073712166948201</v>
      </c>
      <c r="D395">
        <v>2.1016403160522499</v>
      </c>
      <c r="E395">
        <v>3.3283934942842901</v>
      </c>
      <c r="F395">
        <v>32.816968706826202</v>
      </c>
      <c r="G395">
        <v>1.46262852279024</v>
      </c>
      <c r="H395">
        <v>141</v>
      </c>
    </row>
    <row r="396" spans="1:8">
      <c r="A396">
        <v>1.3032798048868099</v>
      </c>
      <c r="B396">
        <v>4.2348100420161803</v>
      </c>
      <c r="C396">
        <v>30.775819741147501</v>
      </c>
      <c r="D396">
        <v>2.1398842165321801</v>
      </c>
      <c r="E396">
        <v>3.3700992780799401</v>
      </c>
      <c r="F396">
        <v>35.206657829311403</v>
      </c>
      <c r="G396">
        <v>1.51116054474677</v>
      </c>
      <c r="H396">
        <v>112</v>
      </c>
    </row>
    <row r="397" spans="1:8">
      <c r="A397">
        <v>1.3183690214628601</v>
      </c>
      <c r="B397">
        <v>4.18569395157673</v>
      </c>
      <c r="C397">
        <v>27.816348116295199</v>
      </c>
      <c r="D397">
        <v>1.82131782140904</v>
      </c>
      <c r="E397">
        <v>3.2966265050666501</v>
      </c>
      <c r="F397">
        <v>33.810325086720901</v>
      </c>
      <c r="G397">
        <v>1.04634967467039</v>
      </c>
      <c r="H397">
        <v>19</v>
      </c>
    </row>
    <row r="398" spans="1:8">
      <c r="A398">
        <v>1.5908158218319599</v>
      </c>
      <c r="B398">
        <v>4.2137056678475098</v>
      </c>
      <c r="C398">
        <v>26.158008955687599</v>
      </c>
      <c r="D398">
        <v>1.8887914054367001</v>
      </c>
      <c r="E398">
        <v>3.2411826475350498</v>
      </c>
      <c r="F398">
        <v>32.223663063930097</v>
      </c>
      <c r="G398">
        <v>1.1168736753599</v>
      </c>
      <c r="H398">
        <v>74</v>
      </c>
    </row>
    <row r="399" spans="1:8">
      <c r="A399">
        <v>1.4595012162822201</v>
      </c>
      <c r="B399">
        <v>4.2628504552548998</v>
      </c>
      <c r="C399">
        <v>26.625825599178199</v>
      </c>
      <c r="D399">
        <v>1.9745305229832999</v>
      </c>
      <c r="E399">
        <v>3.44666277361716</v>
      </c>
      <c r="F399">
        <v>30.792324750857301</v>
      </c>
      <c r="G399">
        <v>1.3033931137174699</v>
      </c>
      <c r="H399">
        <v>71</v>
      </c>
    </row>
    <row r="400" spans="1:8">
      <c r="A400">
        <v>1.46853062521488</v>
      </c>
      <c r="B400">
        <v>4.1663261827777696</v>
      </c>
      <c r="C400">
        <v>24.749267008319801</v>
      </c>
      <c r="D400">
        <v>2.0468560604827002</v>
      </c>
      <c r="E400">
        <v>3.3858965515741999</v>
      </c>
      <c r="F400">
        <v>31.3153538440686</v>
      </c>
      <c r="G400">
        <v>1.8094286324445801</v>
      </c>
      <c r="H400">
        <v>171</v>
      </c>
    </row>
    <row r="401" spans="1:8">
      <c r="A401">
        <v>1.4935586765272799</v>
      </c>
      <c r="B401">
        <v>4.1862112533804101</v>
      </c>
      <c r="C401">
        <v>29.692768662554201</v>
      </c>
      <c r="D401">
        <v>2.1146951831658201</v>
      </c>
      <c r="E401">
        <v>3.2348548967361399</v>
      </c>
      <c r="F401">
        <v>34.397866069728501</v>
      </c>
      <c r="G401">
        <v>1.68265232926187</v>
      </c>
      <c r="H401">
        <v>147</v>
      </c>
    </row>
    <row r="402" spans="1:8">
      <c r="A402">
        <v>1.40603199410827</v>
      </c>
      <c r="B402">
        <v>4.2569106924824602</v>
      </c>
      <c r="C402">
        <v>24.897964575109601</v>
      </c>
      <c r="D402">
        <v>1.95945055806959</v>
      </c>
      <c r="E402">
        <v>3.93010538754501</v>
      </c>
      <c r="F402">
        <v>33.937456937264997</v>
      </c>
      <c r="G402">
        <v>1.21391062851009</v>
      </c>
      <c r="H402">
        <v>53</v>
      </c>
    </row>
    <row r="403" spans="1:8">
      <c r="A403">
        <v>1.4943346346001301</v>
      </c>
      <c r="B403">
        <v>4.2011662432894799</v>
      </c>
      <c r="C403">
        <v>27.660727824385699</v>
      </c>
      <c r="D403">
        <v>1.7787574432197399</v>
      </c>
      <c r="E403">
        <v>3.06780739045261</v>
      </c>
      <c r="F403">
        <v>34.239196079155498</v>
      </c>
      <c r="G403">
        <v>1.16930120259171</v>
      </c>
      <c r="H403">
        <v>45</v>
      </c>
    </row>
    <row r="404" spans="1:8">
      <c r="A404">
        <v>1.55868821654332</v>
      </c>
      <c r="B404">
        <v>4.2754185374854501</v>
      </c>
      <c r="C404">
        <v>25.088332674052001</v>
      </c>
      <c r="D404">
        <v>2.0053074466378802</v>
      </c>
      <c r="E404">
        <v>3.3403950901024602</v>
      </c>
      <c r="F404">
        <v>34.754754542301299</v>
      </c>
      <c r="G404">
        <v>1.9770444968012899</v>
      </c>
      <c r="H404">
        <v>205</v>
      </c>
    </row>
    <row r="405" spans="1:8">
      <c r="A405">
        <v>1.4423247458828099</v>
      </c>
      <c r="B405">
        <v>4.2224444755323898</v>
      </c>
      <c r="C405">
        <v>25.832124766681599</v>
      </c>
      <c r="D405">
        <v>1.92281379823113</v>
      </c>
      <c r="E405">
        <v>3.0552288602258599</v>
      </c>
      <c r="F405">
        <v>30.722749164718099</v>
      </c>
      <c r="G405">
        <v>0.91964371049642502</v>
      </c>
      <c r="H405">
        <v>35</v>
      </c>
    </row>
    <row r="406" spans="1:8">
      <c r="A406">
        <v>1.43227896400414</v>
      </c>
      <c r="B406">
        <v>4.1555006420209502</v>
      </c>
      <c r="C406">
        <v>27.779653550006199</v>
      </c>
      <c r="D406">
        <v>2.0202148361736101</v>
      </c>
      <c r="E406">
        <v>3.35236147234632</v>
      </c>
      <c r="F406">
        <v>33.043906660104497</v>
      </c>
      <c r="G406">
        <v>1.3797597641466799</v>
      </c>
      <c r="H406">
        <v>125</v>
      </c>
    </row>
    <row r="407" spans="1:8">
      <c r="A407">
        <v>1.45014015521303</v>
      </c>
      <c r="B407">
        <v>4.22191078153429</v>
      </c>
      <c r="C407">
        <v>24.482832028187101</v>
      </c>
      <c r="D407">
        <v>1.85741241603587</v>
      </c>
      <c r="E407">
        <v>3.7669533512347502</v>
      </c>
      <c r="F407">
        <v>30.6512256074889</v>
      </c>
      <c r="G407">
        <v>1.7846694190205801</v>
      </c>
      <c r="H407">
        <v>207</v>
      </c>
    </row>
    <row r="408" spans="1:8">
      <c r="A408">
        <v>1.38254068105197</v>
      </c>
      <c r="B408">
        <v>4.2430087474447697</v>
      </c>
      <c r="C408">
        <v>25.488139716892501</v>
      </c>
      <c r="D408">
        <v>2.1815716619429302</v>
      </c>
      <c r="E408">
        <v>3.3990921636992901</v>
      </c>
      <c r="F408">
        <v>34.387037521934801</v>
      </c>
      <c r="G408">
        <v>1.365055633566</v>
      </c>
      <c r="H408">
        <v>82</v>
      </c>
    </row>
    <row r="409" spans="1:8">
      <c r="A409">
        <v>1.37293964223854</v>
      </c>
      <c r="B409">
        <v>4.2620054216387997</v>
      </c>
      <c r="C409">
        <v>27.6277309974768</v>
      </c>
      <c r="D409">
        <v>2.0198959864727599</v>
      </c>
      <c r="E409">
        <v>3.4343232360564699</v>
      </c>
      <c r="F409">
        <v>31.561279937608901</v>
      </c>
      <c r="G409">
        <v>1.6292794619834501</v>
      </c>
      <c r="H409">
        <v>174</v>
      </c>
    </row>
    <row r="410" spans="1:8">
      <c r="A410">
        <v>1.3679699999016</v>
      </c>
      <c r="B410">
        <v>4.26763192259188</v>
      </c>
      <c r="C410">
        <v>28.569091513692399</v>
      </c>
      <c r="D410">
        <v>2.0205650203987999</v>
      </c>
      <c r="E410">
        <v>3.6536651440455699</v>
      </c>
      <c r="F410">
        <v>32.260300471402601</v>
      </c>
      <c r="G410">
        <v>0.80518447193861997</v>
      </c>
      <c r="H410">
        <v>10</v>
      </c>
    </row>
    <row r="411" spans="1:8">
      <c r="A411">
        <v>1.4791038444289999</v>
      </c>
      <c r="B411">
        <v>4.2341737815578204</v>
      </c>
      <c r="C411">
        <v>24.554464136595399</v>
      </c>
      <c r="D411">
        <v>1.9919959055004099</v>
      </c>
      <c r="E411">
        <v>3.3996642505071302</v>
      </c>
      <c r="F411">
        <v>34.0394556960335</v>
      </c>
      <c r="G411">
        <v>1.0035119414026901</v>
      </c>
      <c r="H411">
        <v>52</v>
      </c>
    </row>
    <row r="412" spans="1:8">
      <c r="A412">
        <v>1.2929642190013999</v>
      </c>
      <c r="B412">
        <v>4.09328367859779</v>
      </c>
      <c r="C412">
        <v>25.823781412820701</v>
      </c>
      <c r="D412">
        <v>1.8680845401631501</v>
      </c>
      <c r="E412">
        <v>3.5389062659055801</v>
      </c>
      <c r="F412">
        <v>31.5167120892837</v>
      </c>
      <c r="G412">
        <v>1.2661929596539201</v>
      </c>
      <c r="H412">
        <v>102</v>
      </c>
    </row>
    <row r="413" spans="1:8">
      <c r="A413">
        <v>1.29435316895592</v>
      </c>
      <c r="B413">
        <v>4.1962822505108601</v>
      </c>
      <c r="C413">
        <v>29.6681516876241</v>
      </c>
      <c r="D413">
        <v>1.8067107372390201</v>
      </c>
      <c r="E413">
        <v>3.5002873747824998</v>
      </c>
      <c r="F413">
        <v>33.752230887860399</v>
      </c>
      <c r="G413">
        <v>1.5716795783903399</v>
      </c>
      <c r="H413">
        <v>134</v>
      </c>
    </row>
    <row r="414" spans="1:8">
      <c r="A414">
        <v>1.5528982336163599</v>
      </c>
      <c r="B414">
        <v>4.12908703714516</v>
      </c>
      <c r="C414">
        <v>25.681095506137101</v>
      </c>
      <c r="D414">
        <v>1.88649717573279</v>
      </c>
      <c r="E414">
        <v>3.5996336296590998</v>
      </c>
      <c r="F414">
        <v>29.816482157210501</v>
      </c>
      <c r="G414">
        <v>1.8936995674447199</v>
      </c>
      <c r="H414">
        <v>187</v>
      </c>
    </row>
    <row r="415" spans="1:8">
      <c r="A415">
        <v>1.3621614568617</v>
      </c>
      <c r="B415">
        <v>4.1897522238405802</v>
      </c>
      <c r="C415">
        <v>25.684098546956701</v>
      </c>
      <c r="D415">
        <v>1.9517149837661201</v>
      </c>
      <c r="E415">
        <v>3.3489964352402</v>
      </c>
      <c r="F415">
        <v>35.739686567644398</v>
      </c>
      <c r="G415">
        <v>1.20117070839391</v>
      </c>
      <c r="H415">
        <v>60</v>
      </c>
    </row>
    <row r="416" spans="1:8">
      <c r="A416">
        <v>1.25648512284609</v>
      </c>
      <c r="B416">
        <v>4.1611021111505</v>
      </c>
      <c r="C416">
        <v>26.1351402129166</v>
      </c>
      <c r="D416">
        <v>1.92852625113811</v>
      </c>
      <c r="E416">
        <v>3.1911986219155999</v>
      </c>
      <c r="F416">
        <v>34.746153211857703</v>
      </c>
      <c r="G416">
        <v>1.53342243449416</v>
      </c>
      <c r="H416">
        <v>155</v>
      </c>
    </row>
    <row r="417" spans="1:8">
      <c r="A417">
        <v>1.69645379849399</v>
      </c>
      <c r="B417">
        <v>4.2513956156254897</v>
      </c>
      <c r="C417">
        <v>24.336094769892</v>
      </c>
      <c r="D417">
        <v>1.9484446060319001</v>
      </c>
      <c r="E417">
        <v>3.3746335202545401</v>
      </c>
      <c r="F417">
        <v>37.010723340816</v>
      </c>
      <c r="G417">
        <v>1.82502317603797</v>
      </c>
      <c r="H417">
        <v>184</v>
      </c>
    </row>
    <row r="418" spans="1:8">
      <c r="A418">
        <v>1.3168402577910201</v>
      </c>
      <c r="B418">
        <v>4.1485807253089204</v>
      </c>
      <c r="C418">
        <v>26.337859545671801</v>
      </c>
      <c r="D418">
        <v>2.0985902164502099</v>
      </c>
      <c r="E418">
        <v>3.0013622711488299</v>
      </c>
      <c r="F418">
        <v>33.9743279524507</v>
      </c>
      <c r="G418">
        <v>1.4508940665443499</v>
      </c>
      <c r="H418">
        <v>139</v>
      </c>
    </row>
    <row r="419" spans="1:8">
      <c r="A419">
        <v>1.4941756315363299</v>
      </c>
      <c r="B419">
        <v>4.1786140738733701</v>
      </c>
      <c r="C419">
        <v>26.469976284313098</v>
      </c>
      <c r="D419">
        <v>1.9948707203111999</v>
      </c>
      <c r="E419">
        <v>3.81204297668515</v>
      </c>
      <c r="F419">
        <v>37.210901709781702</v>
      </c>
      <c r="G419">
        <v>1.1510513918710901</v>
      </c>
      <c r="H419">
        <v>49</v>
      </c>
    </row>
    <row r="420" spans="1:8">
      <c r="A420">
        <v>1.31257175254839</v>
      </c>
      <c r="B420">
        <v>4.1110073885101102</v>
      </c>
      <c r="C420">
        <v>27.240524828661901</v>
      </c>
      <c r="D420">
        <v>2.0696964173787902</v>
      </c>
      <c r="E420">
        <v>3.8647935537482798</v>
      </c>
      <c r="F420">
        <v>33.579770939796603</v>
      </c>
      <c r="G420">
        <v>1.2525238523244999</v>
      </c>
      <c r="H420">
        <v>100</v>
      </c>
    </row>
    <row r="421" spans="1:8">
      <c r="A421">
        <v>1.41568973243272</v>
      </c>
      <c r="B421">
        <v>4.2121405833793997</v>
      </c>
      <c r="C421">
        <v>28.577093862681199</v>
      </c>
      <c r="D421">
        <v>1.9116184602506801</v>
      </c>
      <c r="E421">
        <v>3.6729759873224599</v>
      </c>
      <c r="F421">
        <v>33.903898290660599</v>
      </c>
      <c r="G421">
        <v>1.2909579959880499</v>
      </c>
      <c r="H421">
        <v>108</v>
      </c>
    </row>
    <row r="422" spans="1:8">
      <c r="A422">
        <v>1.30783289565564</v>
      </c>
      <c r="B422">
        <v>4.1369766019045704</v>
      </c>
      <c r="C422">
        <v>28.0543592779653</v>
      </c>
      <c r="D422">
        <v>1.9742585376873301</v>
      </c>
      <c r="E422">
        <v>3.0151773022175199</v>
      </c>
      <c r="F422">
        <v>33.084582492166199</v>
      </c>
      <c r="G422">
        <v>0.95100046709118202</v>
      </c>
      <c r="H422">
        <v>41</v>
      </c>
    </row>
    <row r="423" spans="1:8">
      <c r="A423">
        <v>1.47004823657505</v>
      </c>
      <c r="B423">
        <v>4.1804976957262898</v>
      </c>
      <c r="C423">
        <v>24.073775374031499</v>
      </c>
      <c r="D423">
        <v>2.0102774892709099</v>
      </c>
      <c r="E423">
        <v>3.4956425252202199</v>
      </c>
      <c r="F423">
        <v>34.577632445889201</v>
      </c>
      <c r="G423">
        <v>1.5217115590988</v>
      </c>
      <c r="H423">
        <v>124</v>
      </c>
    </row>
    <row r="424" spans="1:8">
      <c r="A424">
        <v>1.3987593666609499</v>
      </c>
      <c r="B424">
        <v>4.2233048662526702</v>
      </c>
      <c r="C424">
        <v>29.066854856845602</v>
      </c>
      <c r="D424">
        <v>2.0739123751687698</v>
      </c>
      <c r="E424">
        <v>3.3279352249859699</v>
      </c>
      <c r="F424">
        <v>33.225578719653498</v>
      </c>
      <c r="G424">
        <v>1.90041743267959</v>
      </c>
      <c r="H424">
        <v>189</v>
      </c>
    </row>
    <row r="425" spans="1:8">
      <c r="A425">
        <v>1.51194186426639</v>
      </c>
      <c r="B425">
        <v>4.1871354468190001</v>
      </c>
      <c r="C425">
        <v>28.010486677750201</v>
      </c>
      <c r="D425">
        <v>1.9974016828707399</v>
      </c>
      <c r="E425">
        <v>3.6335847006683299</v>
      </c>
      <c r="F425">
        <v>31.862042539980902</v>
      </c>
      <c r="G425">
        <v>1.8522428177432599</v>
      </c>
      <c r="H425">
        <v>219</v>
      </c>
    </row>
    <row r="426" spans="1:8">
      <c r="A426">
        <v>1.43951757615708</v>
      </c>
      <c r="B426">
        <v>4.24153565296624</v>
      </c>
      <c r="C426">
        <v>25.617122904999501</v>
      </c>
      <c r="D426">
        <v>1.95870985952981</v>
      </c>
      <c r="E426">
        <v>3.1759090057943302</v>
      </c>
      <c r="F426">
        <v>33.907330167167103</v>
      </c>
      <c r="G426">
        <v>1.38614645269037</v>
      </c>
      <c r="H426">
        <v>126</v>
      </c>
    </row>
    <row r="427" spans="1:8">
      <c r="A427">
        <v>1.2486851861049799</v>
      </c>
      <c r="B427">
        <v>4.2736268571928901</v>
      </c>
      <c r="C427">
        <v>24.068479896167901</v>
      </c>
      <c r="D427">
        <v>1.8633512362133799</v>
      </c>
      <c r="E427">
        <v>3.1779971280701602</v>
      </c>
      <c r="F427">
        <v>32.260388986013901</v>
      </c>
      <c r="G427">
        <v>1.17599965417332</v>
      </c>
      <c r="H427">
        <v>86</v>
      </c>
    </row>
    <row r="428" spans="1:8">
      <c r="A428">
        <v>1.4758299690250201</v>
      </c>
      <c r="B428">
        <v>4.2419119641249496</v>
      </c>
      <c r="C428">
        <v>25.5512511297887</v>
      </c>
      <c r="D428">
        <v>1.9950961867930801</v>
      </c>
      <c r="E428">
        <v>3.6752554162403199</v>
      </c>
      <c r="F428">
        <v>32.763898256367099</v>
      </c>
      <c r="G428">
        <v>0.96307086010278797</v>
      </c>
      <c r="H428">
        <v>13</v>
      </c>
    </row>
    <row r="429" spans="1:8">
      <c r="A429">
        <v>1.43593576044064</v>
      </c>
      <c r="B429">
        <v>4.1765294459776996</v>
      </c>
      <c r="C429">
        <v>27.342760099980602</v>
      </c>
      <c r="D429">
        <v>1.9231084228683399</v>
      </c>
      <c r="E429">
        <v>3.2027894506988299</v>
      </c>
      <c r="F429">
        <v>33.083406324141102</v>
      </c>
      <c r="G429">
        <v>1.1348569192397899</v>
      </c>
      <c r="H429">
        <v>37</v>
      </c>
    </row>
    <row r="430" spans="1:8">
      <c r="A430">
        <v>1.39030408891274</v>
      </c>
      <c r="B430">
        <v>4.2312682284654599</v>
      </c>
      <c r="C430">
        <v>29.8316987859391</v>
      </c>
      <c r="D430">
        <v>2.0891815587856799</v>
      </c>
      <c r="E430">
        <v>3.77523852768523</v>
      </c>
      <c r="F430">
        <v>30.668881252889701</v>
      </c>
      <c r="G430">
        <v>1.1061723786680899</v>
      </c>
      <c r="H430">
        <v>32</v>
      </c>
    </row>
    <row r="431" spans="1:8">
      <c r="A431">
        <v>1.31174441112087</v>
      </c>
      <c r="B431">
        <v>4.2457916534642797</v>
      </c>
      <c r="C431">
        <v>26.071204066750699</v>
      </c>
      <c r="D431">
        <v>2.0342395188446698</v>
      </c>
      <c r="E431">
        <v>3.0175076689898801</v>
      </c>
      <c r="F431">
        <v>31.207122750053301</v>
      </c>
      <c r="G431">
        <v>1.2899822749294401</v>
      </c>
      <c r="H431">
        <v>107</v>
      </c>
    </row>
    <row r="432" spans="1:8">
      <c r="A432">
        <v>1.4616337539432001</v>
      </c>
      <c r="B432">
        <v>4.27827776358279</v>
      </c>
      <c r="C432">
        <v>28.1802561541137</v>
      </c>
      <c r="D432">
        <v>2.0470314883093002</v>
      </c>
      <c r="E432">
        <v>3.24645463832347</v>
      </c>
      <c r="F432">
        <v>31.478522994247101</v>
      </c>
      <c r="G432">
        <v>0.91202738108119197</v>
      </c>
      <c r="H432">
        <v>2</v>
      </c>
    </row>
    <row r="433" spans="1:8">
      <c r="A433">
        <v>1.2639457007821699</v>
      </c>
      <c r="B433">
        <v>4.14279145380912</v>
      </c>
      <c r="C433">
        <v>26.478353387313401</v>
      </c>
      <c r="D433">
        <v>2.0498849032006099</v>
      </c>
      <c r="E433">
        <v>3.72934136705417</v>
      </c>
      <c r="F433">
        <v>32.483154407141697</v>
      </c>
      <c r="G433">
        <v>1.97486212426159</v>
      </c>
      <c r="H433">
        <v>215</v>
      </c>
    </row>
    <row r="434" spans="1:8">
      <c r="A434">
        <v>1.3223793174824801</v>
      </c>
      <c r="B434">
        <v>4.2132511049293999</v>
      </c>
      <c r="C434">
        <v>26.996088591076699</v>
      </c>
      <c r="D434">
        <v>2.0483854310324299</v>
      </c>
      <c r="E434">
        <v>3.50951859660195</v>
      </c>
      <c r="F434">
        <v>33.273416579260001</v>
      </c>
      <c r="G434">
        <v>1.1241343458217099</v>
      </c>
      <c r="H434">
        <v>75</v>
      </c>
    </row>
    <row r="435" spans="1:8">
      <c r="A435">
        <v>1.5814071256945099</v>
      </c>
      <c r="B435">
        <v>4.1412357289957198</v>
      </c>
      <c r="C435">
        <v>26.840757035086199</v>
      </c>
      <c r="D435">
        <v>2.2081762455807499</v>
      </c>
      <c r="E435">
        <v>3.4771349101561801</v>
      </c>
      <c r="F435">
        <v>34.181836374390301</v>
      </c>
      <c r="G435">
        <v>1.4127725228924399</v>
      </c>
      <c r="H435">
        <v>133</v>
      </c>
    </row>
    <row r="436" spans="1:8">
      <c r="A436">
        <v>1.4082941500262101</v>
      </c>
      <c r="B436">
        <v>4.1953649719012898</v>
      </c>
      <c r="C436">
        <v>27.5056756146971</v>
      </c>
      <c r="D436">
        <v>2.0041883072941999</v>
      </c>
      <c r="E436">
        <v>3.5060593156275299</v>
      </c>
      <c r="F436">
        <v>34.385781317234098</v>
      </c>
      <c r="G436">
        <v>1.5076881509064299</v>
      </c>
      <c r="H436">
        <v>121</v>
      </c>
    </row>
    <row r="437" spans="1:8">
      <c r="A437">
        <v>1.53646971648681</v>
      </c>
      <c r="B437">
        <v>4.1680728536039302</v>
      </c>
      <c r="C437">
        <v>27.947603388810801</v>
      </c>
      <c r="D437">
        <v>2.0999610117629302</v>
      </c>
      <c r="E437">
        <v>3.7929931523926599</v>
      </c>
      <c r="F437">
        <v>28.423503469169098</v>
      </c>
      <c r="G437">
        <v>1.0634756822467799</v>
      </c>
      <c r="H437">
        <v>23</v>
      </c>
    </row>
    <row r="438" spans="1:8">
      <c r="A438">
        <v>1.4282472176679699</v>
      </c>
      <c r="B438">
        <v>4.2509337487213399</v>
      </c>
      <c r="C438">
        <v>28.3148995372208</v>
      </c>
      <c r="D438">
        <v>1.8490964318983001</v>
      </c>
      <c r="E438">
        <v>3.6609879869675299</v>
      </c>
      <c r="F438">
        <v>32.026494777544002</v>
      </c>
      <c r="G438">
        <v>1.63032675708167</v>
      </c>
      <c r="H438">
        <v>177</v>
      </c>
    </row>
    <row r="439" spans="1:8">
      <c r="A439">
        <v>1.27690571459191</v>
      </c>
      <c r="B439">
        <v>4.2521550286291996</v>
      </c>
      <c r="C439">
        <v>28.762415788405701</v>
      </c>
      <c r="D439">
        <v>1.9509846468632299</v>
      </c>
      <c r="E439">
        <v>4.0200055330901501</v>
      </c>
      <c r="F439">
        <v>32.213035707087897</v>
      </c>
      <c r="G439">
        <v>1.7695230365090999</v>
      </c>
      <c r="H439">
        <v>172</v>
      </c>
    </row>
    <row r="440" spans="1:8">
      <c r="A440">
        <v>1.38035761612577</v>
      </c>
      <c r="B440">
        <v>4.2577900039348098</v>
      </c>
      <c r="C440">
        <v>25.885686840753898</v>
      </c>
      <c r="D440">
        <v>2.1166572402323802</v>
      </c>
      <c r="E440">
        <v>3.2267170104459399</v>
      </c>
      <c r="F440">
        <v>35.558024646890303</v>
      </c>
      <c r="G440">
        <v>1.8338549499025401</v>
      </c>
      <c r="H440">
        <v>187</v>
      </c>
    </row>
    <row r="441" spans="1:8">
      <c r="A441">
        <v>1.45097565023913</v>
      </c>
      <c r="B441">
        <v>4.1858820965020103</v>
      </c>
      <c r="C441">
        <v>26.0736262350235</v>
      </c>
      <c r="D441">
        <v>2.0199586818705302</v>
      </c>
      <c r="E441">
        <v>3.2126195240931898</v>
      </c>
      <c r="F441">
        <v>33.453729994362298</v>
      </c>
      <c r="G441">
        <v>0.99713100819936995</v>
      </c>
      <c r="H441">
        <v>19</v>
      </c>
    </row>
    <row r="442" spans="1:8">
      <c r="A442">
        <v>1.42032644307717</v>
      </c>
      <c r="B442">
        <v>4.1857095342154498</v>
      </c>
      <c r="C442">
        <v>26.326881842928099</v>
      </c>
      <c r="D442">
        <v>2.0338757493386499</v>
      </c>
      <c r="E442">
        <v>3.3697403778998201</v>
      </c>
      <c r="F442">
        <v>33.440926699203501</v>
      </c>
      <c r="G442">
        <v>1.3320122269204799</v>
      </c>
      <c r="H442">
        <v>85</v>
      </c>
    </row>
    <row r="443" spans="1:8">
      <c r="A443">
        <v>1.5325603640769201</v>
      </c>
      <c r="B443">
        <v>4.2212459921567698</v>
      </c>
      <c r="C443">
        <v>26.815738204696</v>
      </c>
      <c r="D443">
        <v>1.93146490553379</v>
      </c>
      <c r="E443">
        <v>3.9902882092690199</v>
      </c>
      <c r="F443">
        <v>32.086571793878001</v>
      </c>
      <c r="G443">
        <v>1.8609955932679301</v>
      </c>
      <c r="H443">
        <v>192</v>
      </c>
    </row>
    <row r="444" spans="1:8">
      <c r="A444">
        <v>1.5449403571727001</v>
      </c>
      <c r="B444">
        <v>4.1993080690984597</v>
      </c>
      <c r="C444">
        <v>24.706613161124501</v>
      </c>
      <c r="D444">
        <v>1.9979538327727999</v>
      </c>
      <c r="E444">
        <v>3.4222695472027298</v>
      </c>
      <c r="F444">
        <v>33.894588310130501</v>
      </c>
      <c r="G444">
        <v>1.1651300048258</v>
      </c>
      <c r="H444">
        <v>84</v>
      </c>
    </row>
    <row r="445" spans="1:8">
      <c r="A445">
        <v>1.53531297934246</v>
      </c>
      <c r="B445">
        <v>4.1443904176846296</v>
      </c>
      <c r="C445">
        <v>26.931174885149499</v>
      </c>
      <c r="D445">
        <v>2.02614410186681</v>
      </c>
      <c r="E445">
        <v>3.3304194609315401</v>
      </c>
      <c r="F445">
        <v>31.500359356707499</v>
      </c>
      <c r="G445">
        <v>1.9543251006892099</v>
      </c>
      <c r="H445">
        <v>199</v>
      </c>
    </row>
    <row r="446" spans="1:8">
      <c r="A446">
        <v>1.4116568455137599</v>
      </c>
      <c r="B446">
        <v>4.1818157136801801</v>
      </c>
      <c r="C446">
        <v>26.647881642477799</v>
      </c>
      <c r="D446">
        <v>2.06606811039839</v>
      </c>
      <c r="E446">
        <v>3.4707183397034198</v>
      </c>
      <c r="F446">
        <v>33.5704687516277</v>
      </c>
      <c r="G446">
        <v>1.7093281093174599</v>
      </c>
      <c r="H446">
        <v>190</v>
      </c>
    </row>
    <row r="447" spans="1:8">
      <c r="A447">
        <v>1.44409569281299</v>
      </c>
      <c r="B447">
        <v>4.2026090553875797</v>
      </c>
      <c r="C447">
        <v>26.1799941227471</v>
      </c>
      <c r="D447">
        <v>1.9929303351211201</v>
      </c>
      <c r="E447">
        <v>3.78413221167034</v>
      </c>
      <c r="F447">
        <v>33.689323693396901</v>
      </c>
      <c r="G447">
        <v>1.201311682836</v>
      </c>
      <c r="H447">
        <v>51</v>
      </c>
    </row>
    <row r="448" spans="1:8">
      <c r="A448">
        <v>1.40165362785418</v>
      </c>
      <c r="B448">
        <v>4.1926955699073298</v>
      </c>
      <c r="C448">
        <v>26.9189692965803</v>
      </c>
      <c r="D448">
        <v>1.89381450649621</v>
      </c>
      <c r="E448">
        <v>3.7041931947974902</v>
      </c>
      <c r="F448">
        <v>28.7230696266767</v>
      </c>
      <c r="G448">
        <v>1.65393362177475</v>
      </c>
      <c r="H448">
        <v>141</v>
      </c>
    </row>
    <row r="449" spans="1:8">
      <c r="A449">
        <v>1.5072777396975801</v>
      </c>
      <c r="B449">
        <v>4.1104999490817402</v>
      </c>
      <c r="C449">
        <v>26.411736290925401</v>
      </c>
      <c r="D449">
        <v>2.0878410312362101</v>
      </c>
      <c r="E449">
        <v>3.3358312932061098</v>
      </c>
      <c r="F449">
        <v>32.9924815933812</v>
      </c>
      <c r="G449">
        <v>1.00360759344471</v>
      </c>
      <c r="H449">
        <v>11</v>
      </c>
    </row>
    <row r="450" spans="1:8">
      <c r="A450">
        <v>1.3796248166228799</v>
      </c>
      <c r="B450">
        <v>4.1198020612516801</v>
      </c>
      <c r="C450">
        <v>26.8374651586184</v>
      </c>
      <c r="D450">
        <v>2.0058044193306301</v>
      </c>
      <c r="E450">
        <v>3.28869665717201</v>
      </c>
      <c r="F450">
        <v>33.429903574222699</v>
      </c>
      <c r="G450">
        <v>1.1415208462361</v>
      </c>
      <c r="H450">
        <v>38</v>
      </c>
    </row>
    <row r="451" spans="1:8">
      <c r="A451">
        <v>1.4102072626886599</v>
      </c>
      <c r="B451">
        <v>4.2182561837726196</v>
      </c>
      <c r="C451">
        <v>27.132223939409101</v>
      </c>
      <c r="D451">
        <v>2.0653549476294399</v>
      </c>
      <c r="E451">
        <v>3.0569505833250101</v>
      </c>
      <c r="F451">
        <v>31.045485488006602</v>
      </c>
      <c r="G451">
        <v>1.65592124640274</v>
      </c>
      <c r="H451">
        <v>181</v>
      </c>
    </row>
    <row r="452" spans="1:8">
      <c r="A452">
        <v>1.34047943862837</v>
      </c>
      <c r="B452">
        <v>4.19721035340066</v>
      </c>
      <c r="C452">
        <v>25.966632153890401</v>
      </c>
      <c r="D452">
        <v>2.1170790287633099</v>
      </c>
      <c r="E452">
        <v>3.91895736422217</v>
      </c>
      <c r="F452">
        <v>33.267554798250501</v>
      </c>
      <c r="G452">
        <v>1.3200310955375101</v>
      </c>
      <c r="H452">
        <v>81</v>
      </c>
    </row>
    <row r="453" spans="1:8">
      <c r="A453">
        <v>1.59351976938142</v>
      </c>
      <c r="B453">
        <v>4.2442557691179301</v>
      </c>
      <c r="C453">
        <v>27.741637529450401</v>
      </c>
      <c r="D453">
        <v>2.10970280876507</v>
      </c>
      <c r="E453">
        <v>3.3379169639125399</v>
      </c>
      <c r="F453">
        <v>31.7563142470824</v>
      </c>
      <c r="G453">
        <v>1.68291798876766</v>
      </c>
      <c r="H453">
        <v>157</v>
      </c>
    </row>
    <row r="454" spans="1:8">
      <c r="A454">
        <v>1.3154560789954399</v>
      </c>
      <c r="B454">
        <v>4.1728583452347401</v>
      </c>
      <c r="C454">
        <v>27.032302132633198</v>
      </c>
      <c r="D454">
        <v>2.0291812601180199</v>
      </c>
      <c r="E454">
        <v>3.6179363794391901</v>
      </c>
      <c r="F454">
        <v>33.996578971427802</v>
      </c>
      <c r="G454">
        <v>1.7897035889307999</v>
      </c>
      <c r="H454">
        <v>208</v>
      </c>
    </row>
    <row r="455" spans="1:8">
      <c r="A455">
        <v>1.42711416464342</v>
      </c>
      <c r="B455">
        <v>4.1744360817244601</v>
      </c>
      <c r="C455">
        <v>24.8048406203316</v>
      </c>
      <c r="D455">
        <v>2.14621352365111</v>
      </c>
      <c r="E455">
        <v>3.7488991119798398</v>
      </c>
      <c r="F455">
        <v>34.124911910428601</v>
      </c>
      <c r="G455">
        <v>1.35093329627639</v>
      </c>
      <c r="H455">
        <v>91</v>
      </c>
    </row>
    <row r="456" spans="1:8">
      <c r="A456">
        <v>1.5030517719408401</v>
      </c>
      <c r="B456">
        <v>4.1920699535795203</v>
      </c>
      <c r="C456">
        <v>26.396497806110101</v>
      </c>
      <c r="D456">
        <v>1.9383509564544299</v>
      </c>
      <c r="E456">
        <v>3.4802040802872898</v>
      </c>
      <c r="F456">
        <v>34.611131633516003</v>
      </c>
      <c r="G456">
        <v>0.85152718705154695</v>
      </c>
      <c r="H456">
        <v>19</v>
      </c>
    </row>
    <row r="457" spans="1:8">
      <c r="A457">
        <v>1.3996138567621299</v>
      </c>
      <c r="B457">
        <v>4.1590105147361598</v>
      </c>
      <c r="C457">
        <v>26.264733421911799</v>
      </c>
      <c r="D457">
        <v>1.95022529941006</v>
      </c>
      <c r="E457">
        <v>2.9660759514984401</v>
      </c>
      <c r="F457">
        <v>33.0988327830039</v>
      </c>
      <c r="G457">
        <v>1.54393721951424</v>
      </c>
      <c r="H457">
        <v>159</v>
      </c>
    </row>
    <row r="458" spans="1:8">
      <c r="A458">
        <v>1.3656212350007</v>
      </c>
      <c r="B458">
        <v>4.2254296852250199</v>
      </c>
      <c r="C458">
        <v>28.0397940294826</v>
      </c>
      <c r="D458">
        <v>2.1825444842156898</v>
      </c>
      <c r="E458">
        <v>3.4324643195318698</v>
      </c>
      <c r="F458">
        <v>32.961491600730298</v>
      </c>
      <c r="G458">
        <v>1.6738074060244701</v>
      </c>
      <c r="H458">
        <v>155</v>
      </c>
    </row>
    <row r="459" spans="1:8">
      <c r="A459">
        <v>1.3386508989694601</v>
      </c>
      <c r="B459">
        <v>4.17746812217736</v>
      </c>
      <c r="C459">
        <v>27.468265481794798</v>
      </c>
      <c r="D459">
        <v>2.0957908347103098</v>
      </c>
      <c r="E459">
        <v>3.9319794754327702</v>
      </c>
      <c r="F459">
        <v>35.762206221152702</v>
      </c>
      <c r="G459">
        <v>1.9290872626339499</v>
      </c>
      <c r="H459">
        <v>205</v>
      </c>
    </row>
    <row r="460" spans="1:8">
      <c r="A460">
        <v>1.4451369926536599</v>
      </c>
      <c r="B460">
        <v>4.1984578546798401</v>
      </c>
      <c r="C460">
        <v>27.0413220672209</v>
      </c>
      <c r="D460">
        <v>2.0082582807099398</v>
      </c>
      <c r="E460">
        <v>3.4994495147251601</v>
      </c>
      <c r="F460">
        <v>31.646980232172801</v>
      </c>
      <c r="G460">
        <v>1.2103077127124</v>
      </c>
      <c r="H460">
        <v>63</v>
      </c>
    </row>
    <row r="461" spans="1:8">
      <c r="A461">
        <v>1.2405606151120501</v>
      </c>
      <c r="B461">
        <v>4.2133466723973898</v>
      </c>
      <c r="C461">
        <v>26.1103705512988</v>
      </c>
      <c r="D461">
        <v>2.1364610066999798</v>
      </c>
      <c r="E461">
        <v>3.7334586792563602</v>
      </c>
      <c r="F461">
        <v>33.934436966008199</v>
      </c>
      <c r="G461">
        <v>1.7920944651211701</v>
      </c>
      <c r="H461">
        <v>179</v>
      </c>
    </row>
    <row r="462" spans="1:8">
      <c r="A462">
        <v>1.54850000745995</v>
      </c>
      <c r="B462">
        <v>4.2544337629345099</v>
      </c>
      <c r="C462">
        <v>27.2489011832849</v>
      </c>
      <c r="D462">
        <v>1.9733374348029999</v>
      </c>
      <c r="E462">
        <v>3.3303491474236502</v>
      </c>
      <c r="F462">
        <v>32.7807279602969</v>
      </c>
      <c r="G462">
        <v>1.67990785135347</v>
      </c>
      <c r="H462">
        <v>187</v>
      </c>
    </row>
    <row r="463" spans="1:8">
      <c r="A463">
        <v>1.3947815897651901</v>
      </c>
      <c r="B463">
        <v>4.2551670511216004</v>
      </c>
      <c r="C463">
        <v>27.2705623063726</v>
      </c>
      <c r="D463">
        <v>1.95496789560761</v>
      </c>
      <c r="E463">
        <v>3.6044541528555798</v>
      </c>
      <c r="F463">
        <v>35.617676817434997</v>
      </c>
      <c r="G463">
        <v>1.19161741472167</v>
      </c>
      <c r="H463">
        <v>50</v>
      </c>
    </row>
    <row r="464" spans="1:8">
      <c r="A464">
        <v>1.4744428437645201</v>
      </c>
      <c r="B464">
        <v>4.1573700381674996</v>
      </c>
      <c r="C464">
        <v>27.118962534587201</v>
      </c>
      <c r="D464">
        <v>2.0586262060644902</v>
      </c>
      <c r="E464">
        <v>3.6615834249071599</v>
      </c>
      <c r="F464">
        <v>34.670682563524103</v>
      </c>
      <c r="G464">
        <v>1.06351297069658</v>
      </c>
      <c r="H464">
        <v>32</v>
      </c>
    </row>
    <row r="465" spans="1:8">
      <c r="A465">
        <v>1.4249668306563701</v>
      </c>
      <c r="B465">
        <v>4.1555497129639001</v>
      </c>
      <c r="C465">
        <v>25.2060016172655</v>
      </c>
      <c r="D465">
        <v>2.16191620994497</v>
      </c>
      <c r="E465">
        <v>3.5906474992018</v>
      </c>
      <c r="F465">
        <v>32.888621255339501</v>
      </c>
      <c r="G465">
        <v>0.90718454515149904</v>
      </c>
      <c r="H465">
        <v>3</v>
      </c>
    </row>
    <row r="466" spans="1:8">
      <c r="A466">
        <v>1.451060102877</v>
      </c>
      <c r="B466">
        <v>4.2346602873190404</v>
      </c>
      <c r="C466">
        <v>26.579110376706701</v>
      </c>
      <c r="D466">
        <v>2.0725573705387301</v>
      </c>
      <c r="E466">
        <v>3.76509855399163</v>
      </c>
      <c r="F466">
        <v>33.135781404354802</v>
      </c>
      <c r="G466">
        <v>1.7299871468656001</v>
      </c>
      <c r="H466">
        <v>167</v>
      </c>
    </row>
    <row r="467" spans="1:8">
      <c r="A467">
        <v>1.28434485292881</v>
      </c>
      <c r="B467">
        <v>4.2027239031659702</v>
      </c>
      <c r="C467">
        <v>26.069650984846501</v>
      </c>
      <c r="D467">
        <v>2.0825773988515501</v>
      </c>
      <c r="E467">
        <v>3.5926091084037499</v>
      </c>
      <c r="F467">
        <v>35.543390590639397</v>
      </c>
      <c r="G467">
        <v>1.41575001070564</v>
      </c>
      <c r="H467">
        <v>92</v>
      </c>
    </row>
    <row r="468" spans="1:8">
      <c r="A468">
        <v>1.44081573644528</v>
      </c>
      <c r="B468">
        <v>4.1766205552170197</v>
      </c>
      <c r="C468">
        <v>28.0176181228274</v>
      </c>
      <c r="D468">
        <v>2.2089047571265299</v>
      </c>
      <c r="E468">
        <v>3.5946239714294901</v>
      </c>
      <c r="F468">
        <v>32.294157700518198</v>
      </c>
      <c r="G468">
        <v>1.6226679595853599</v>
      </c>
      <c r="H468">
        <v>134</v>
      </c>
    </row>
    <row r="469" spans="1:8">
      <c r="A469">
        <v>1.5128543669322401</v>
      </c>
      <c r="B469">
        <v>4.2481795657743699</v>
      </c>
      <c r="C469">
        <v>26.291246499159602</v>
      </c>
      <c r="D469">
        <v>1.93962756130224</v>
      </c>
      <c r="E469">
        <v>3.1306214555004801</v>
      </c>
      <c r="F469">
        <v>33.252901120670899</v>
      </c>
      <c r="G469">
        <v>1.8446616335056201</v>
      </c>
      <c r="H469">
        <v>178</v>
      </c>
    </row>
    <row r="470" spans="1:8">
      <c r="A470">
        <v>1.3565139051403501</v>
      </c>
      <c r="B470">
        <v>4.1938392821569499</v>
      </c>
      <c r="C470">
        <v>27.8914248356587</v>
      </c>
      <c r="D470">
        <v>2.0331289672739099</v>
      </c>
      <c r="E470">
        <v>3.01850948034174</v>
      </c>
      <c r="F470">
        <v>35.489719948175598</v>
      </c>
      <c r="G470">
        <v>1.8424337043893799</v>
      </c>
      <c r="H470">
        <v>218</v>
      </c>
    </row>
    <row r="471" spans="1:8">
      <c r="A471">
        <v>1.3882244925409299</v>
      </c>
      <c r="B471">
        <v>4.1903608821587301</v>
      </c>
      <c r="C471">
        <v>25.051679356169</v>
      </c>
      <c r="D471">
        <v>2.0482756144583498</v>
      </c>
      <c r="E471">
        <v>3.8269939331004799</v>
      </c>
      <c r="F471">
        <v>33.380948869464703</v>
      </c>
      <c r="G471">
        <v>1.87161701761859</v>
      </c>
      <c r="H471">
        <v>224</v>
      </c>
    </row>
    <row r="472" spans="1:8">
      <c r="A472">
        <v>1.34540970714021</v>
      </c>
      <c r="B472">
        <v>4.2142560302138401</v>
      </c>
      <c r="C472">
        <v>29.098463226638899</v>
      </c>
      <c r="D472">
        <v>1.9677155918331</v>
      </c>
      <c r="E472">
        <v>3.9420910218014602</v>
      </c>
      <c r="F472">
        <v>30.828397156886101</v>
      </c>
      <c r="G472">
        <v>0.76201011610608105</v>
      </c>
      <c r="H472">
        <v>2</v>
      </c>
    </row>
    <row r="473" spans="1:8">
      <c r="A473">
        <v>1.23949002812511</v>
      </c>
      <c r="B473">
        <v>4.1721102964272401</v>
      </c>
      <c r="C473">
        <v>28.367920783742299</v>
      </c>
      <c r="D473">
        <v>2.0347137270559901</v>
      </c>
      <c r="E473">
        <v>3.1542767398527101</v>
      </c>
      <c r="F473">
        <v>33.4677899521405</v>
      </c>
      <c r="G473">
        <v>1.74705875417894</v>
      </c>
      <c r="H473">
        <v>160</v>
      </c>
    </row>
    <row r="474" spans="1:8">
      <c r="A474">
        <v>1.40255055973595</v>
      </c>
      <c r="B474">
        <v>4.2627213339619496</v>
      </c>
      <c r="C474">
        <v>25.535385418589598</v>
      </c>
      <c r="D474">
        <v>2.0028555379189901</v>
      </c>
      <c r="E474">
        <v>3.1058954169650801</v>
      </c>
      <c r="F474">
        <v>32.649522561779399</v>
      </c>
      <c r="G474">
        <v>0.99181034898417397</v>
      </c>
      <c r="H474">
        <v>18</v>
      </c>
    </row>
    <row r="475" spans="1:8">
      <c r="A475">
        <v>1.4029037179316299</v>
      </c>
      <c r="B475">
        <v>4.1934501663614601</v>
      </c>
      <c r="C475">
        <v>26.8544140214238</v>
      </c>
      <c r="D475">
        <v>2.0543622305157498</v>
      </c>
      <c r="E475">
        <v>3.9596402663292798</v>
      </c>
      <c r="F475">
        <v>34.4286901325966</v>
      </c>
      <c r="G475">
        <v>1.1906763988515401</v>
      </c>
      <c r="H475">
        <v>58</v>
      </c>
    </row>
    <row r="476" spans="1:8">
      <c r="A476">
        <v>1.3417579301758999</v>
      </c>
      <c r="B476">
        <v>4.1137444875757598</v>
      </c>
      <c r="C476">
        <v>26.525236271983001</v>
      </c>
      <c r="D476">
        <v>2.0398553141202802</v>
      </c>
      <c r="E476">
        <v>3.16515881359441</v>
      </c>
      <c r="F476">
        <v>32.1224703925947</v>
      </c>
      <c r="G476">
        <v>1.3707221964149601</v>
      </c>
      <c r="H476">
        <v>124</v>
      </c>
    </row>
    <row r="477" spans="1:8">
      <c r="A477">
        <v>1.3849560957625</v>
      </c>
      <c r="B477">
        <v>4.1993004654117998</v>
      </c>
      <c r="C477">
        <v>28.0771786422075</v>
      </c>
      <c r="D477">
        <v>2.1050704923816301</v>
      </c>
      <c r="E477">
        <v>3.4816723178920101</v>
      </c>
      <c r="F477">
        <v>34.532818765499997</v>
      </c>
      <c r="G477">
        <v>1.09537681078101</v>
      </c>
      <c r="H477">
        <v>28</v>
      </c>
    </row>
    <row r="478" spans="1:8">
      <c r="A478">
        <v>1.3134162433501599</v>
      </c>
      <c r="B478">
        <v>4.2216149116976496</v>
      </c>
      <c r="C478">
        <v>26.484182343550899</v>
      </c>
      <c r="D478">
        <v>1.9579063074068599</v>
      </c>
      <c r="E478">
        <v>3.9377351502265698</v>
      </c>
      <c r="F478">
        <v>36.793273453204797</v>
      </c>
      <c r="G478">
        <v>1.77330251754849</v>
      </c>
      <c r="H478">
        <v>203</v>
      </c>
    </row>
    <row r="479" spans="1:8">
      <c r="A479">
        <v>1.3354663089496399</v>
      </c>
      <c r="B479">
        <v>4.1908086568464098</v>
      </c>
      <c r="C479">
        <v>27.644096433146402</v>
      </c>
      <c r="D479">
        <v>2.0789967546475401</v>
      </c>
      <c r="E479">
        <v>3.7625070032662098</v>
      </c>
      <c r="F479">
        <v>33.082259518131103</v>
      </c>
      <c r="G479">
        <v>1.47268841660893</v>
      </c>
      <c r="H479">
        <v>114</v>
      </c>
    </row>
    <row r="480" spans="1:8">
      <c r="A480">
        <v>1.3606769918682999</v>
      </c>
      <c r="B480">
        <v>4.2367357583217196</v>
      </c>
      <c r="C480">
        <v>25.5347821661396</v>
      </c>
      <c r="D480">
        <v>2.0218461056205399</v>
      </c>
      <c r="E480">
        <v>2.92327304544339</v>
      </c>
      <c r="F480">
        <v>34.467243762558603</v>
      </c>
      <c r="G480">
        <v>1.32347891244713</v>
      </c>
      <c r="H480">
        <v>114</v>
      </c>
    </row>
    <row r="481" spans="1:8">
      <c r="A481">
        <v>1.39376851635556</v>
      </c>
      <c r="B481">
        <v>4.2678608653492001</v>
      </c>
      <c r="C481">
        <v>28.427573613694801</v>
      </c>
      <c r="D481">
        <v>2.0035238280251</v>
      </c>
      <c r="E481">
        <v>3.5999203224332099</v>
      </c>
      <c r="F481">
        <v>32.515026861248003</v>
      </c>
      <c r="G481">
        <v>1.1462214343525601</v>
      </c>
      <c r="H481">
        <v>40</v>
      </c>
    </row>
    <row r="482" spans="1:8">
      <c r="A482">
        <v>1.4165945775339099</v>
      </c>
      <c r="B482">
        <v>4.1598248044491601</v>
      </c>
      <c r="C482">
        <v>25.665347317603601</v>
      </c>
      <c r="D482">
        <v>1.8299494970638199</v>
      </c>
      <c r="E482">
        <v>4.0387406244217203</v>
      </c>
      <c r="F482">
        <v>32.257920178918901</v>
      </c>
      <c r="G482">
        <v>1.9862397074872</v>
      </c>
      <c r="H482">
        <v>218</v>
      </c>
    </row>
    <row r="483" spans="1:8">
      <c r="A483">
        <v>1.48804223761196</v>
      </c>
      <c r="B483">
        <v>4.2404824739212001</v>
      </c>
      <c r="C483">
        <v>28.856160187118601</v>
      </c>
      <c r="D483">
        <v>1.9831388697752901</v>
      </c>
      <c r="E483">
        <v>3.8693435728179102</v>
      </c>
      <c r="F483">
        <v>29.8853386364862</v>
      </c>
      <c r="G483">
        <v>0.97426826016022605</v>
      </c>
      <c r="H483">
        <v>45</v>
      </c>
    </row>
    <row r="484" spans="1:8">
      <c r="A484">
        <v>1.3395582840290201</v>
      </c>
      <c r="B484">
        <v>4.2069877354130396</v>
      </c>
      <c r="C484">
        <v>26.445091827769101</v>
      </c>
      <c r="D484">
        <v>2.0959957675393399</v>
      </c>
      <c r="E484">
        <v>3.3719988091161701</v>
      </c>
      <c r="F484">
        <v>34.549392862970201</v>
      </c>
      <c r="G484">
        <v>1.33958443786937</v>
      </c>
      <c r="H484">
        <v>118</v>
      </c>
    </row>
    <row r="485" spans="1:8">
      <c r="A485">
        <v>1.29950394997341</v>
      </c>
      <c r="B485">
        <v>4.2481259469923103</v>
      </c>
      <c r="C485">
        <v>26.028819008958799</v>
      </c>
      <c r="D485">
        <v>1.90508892025541</v>
      </c>
      <c r="E485">
        <v>3.5439493663153501</v>
      </c>
      <c r="F485">
        <v>29.848937561869601</v>
      </c>
      <c r="G485">
        <v>1.5984154209669399</v>
      </c>
      <c r="H485">
        <v>139</v>
      </c>
    </row>
    <row r="486" spans="1:8">
      <c r="A486">
        <v>1.4933455430065301</v>
      </c>
      <c r="B486">
        <v>4.2413940552173299</v>
      </c>
      <c r="C486">
        <v>24.524052444903699</v>
      </c>
      <c r="D486">
        <v>2.13574787892304</v>
      </c>
      <c r="E486">
        <v>3.2917127666786401</v>
      </c>
      <c r="F486">
        <v>31.5010948977231</v>
      </c>
      <c r="G486">
        <v>0.968216004794487</v>
      </c>
      <c r="H486">
        <v>14</v>
      </c>
    </row>
    <row r="487" spans="1:8">
      <c r="A487">
        <v>1.3800612625898101</v>
      </c>
      <c r="B487">
        <v>4.1721832487052701</v>
      </c>
      <c r="C487">
        <v>24.795294936604201</v>
      </c>
      <c r="D487">
        <v>1.8758965650875901</v>
      </c>
      <c r="E487">
        <v>3.2701428063476099</v>
      </c>
      <c r="F487">
        <v>30.402693816898399</v>
      </c>
      <c r="G487">
        <v>1.8243416628581399</v>
      </c>
      <c r="H487">
        <v>185</v>
      </c>
    </row>
    <row r="488" spans="1:8">
      <c r="A488">
        <v>1.33513020334452</v>
      </c>
      <c r="B488">
        <v>4.2388182912111398</v>
      </c>
      <c r="C488">
        <v>29.227748580772399</v>
      </c>
      <c r="D488">
        <v>1.96738984306872</v>
      </c>
      <c r="E488">
        <v>3.4486948235083701</v>
      </c>
      <c r="F488">
        <v>35.567877673534198</v>
      </c>
      <c r="G488">
        <v>1.6015961442333799</v>
      </c>
      <c r="H488">
        <v>171</v>
      </c>
    </row>
    <row r="489" spans="1:8">
      <c r="A489">
        <v>1.4787550024812</v>
      </c>
      <c r="B489">
        <v>4.2782934056727902</v>
      </c>
      <c r="C489">
        <v>27.238167404958102</v>
      </c>
      <c r="D489">
        <v>2.0790613416813102</v>
      </c>
      <c r="E489">
        <v>3.8337539270377299</v>
      </c>
      <c r="F489">
        <v>34.909111026706498</v>
      </c>
      <c r="G489">
        <v>0.95853822331650496</v>
      </c>
      <c r="H489">
        <v>2</v>
      </c>
    </row>
    <row r="490" spans="1:8">
      <c r="A490">
        <v>1.4273272479868899</v>
      </c>
      <c r="B490">
        <v>4.2484156643819198</v>
      </c>
      <c r="C490">
        <v>25.546962522552299</v>
      </c>
      <c r="D490">
        <v>1.9954233491173701</v>
      </c>
      <c r="E490">
        <v>3.9122713161926401</v>
      </c>
      <c r="F490">
        <v>29.377902187382301</v>
      </c>
      <c r="G490">
        <v>1.87156014608688</v>
      </c>
      <c r="H490">
        <v>225</v>
      </c>
    </row>
    <row r="491" spans="1:8">
      <c r="A491">
        <v>1.5161171404404701</v>
      </c>
      <c r="B491">
        <v>4.1176900704863204</v>
      </c>
      <c r="C491">
        <v>27.7598597083255</v>
      </c>
      <c r="D491">
        <v>1.9225091708372899</v>
      </c>
      <c r="E491">
        <v>3.6000158920359602</v>
      </c>
      <c r="F491">
        <v>31.989588486334</v>
      </c>
      <c r="G491">
        <v>1.2539073780666501</v>
      </c>
      <c r="H491">
        <v>63</v>
      </c>
    </row>
    <row r="492" spans="1:8">
      <c r="A492">
        <v>1.31539596412712</v>
      </c>
      <c r="B492">
        <v>4.11055219094977</v>
      </c>
      <c r="C492">
        <v>25.350753206625701</v>
      </c>
      <c r="D492">
        <v>2.0160450248177901</v>
      </c>
      <c r="E492">
        <v>3.6883260815954002</v>
      </c>
      <c r="F492">
        <v>31.4622601601613</v>
      </c>
      <c r="G492">
        <v>1.5402955691220199</v>
      </c>
      <c r="H492">
        <v>128</v>
      </c>
    </row>
    <row r="493" spans="1:8">
      <c r="A493">
        <v>1.0008587052284601</v>
      </c>
      <c r="B493">
        <v>4.3193642357381004</v>
      </c>
      <c r="C493">
        <v>27.772925989960701</v>
      </c>
      <c r="D493">
        <v>2.0276134498878902</v>
      </c>
      <c r="E493">
        <v>3.2382325015372402</v>
      </c>
      <c r="F493">
        <v>31.607655804053</v>
      </c>
      <c r="G493">
        <v>1.39815510309821</v>
      </c>
      <c r="H493">
        <v>90</v>
      </c>
    </row>
    <row r="494" spans="1:8">
      <c r="A494">
        <v>1.4838578194501399</v>
      </c>
      <c r="B494">
        <v>4.1685613485013304</v>
      </c>
      <c r="C494">
        <v>29.460819354720101</v>
      </c>
      <c r="D494">
        <v>1.86617383009744</v>
      </c>
      <c r="E494">
        <v>3.8673082321592398</v>
      </c>
      <c r="F494">
        <v>32.344955699427501</v>
      </c>
      <c r="G494">
        <v>1.32674725021271</v>
      </c>
      <c r="H494">
        <v>115</v>
      </c>
    </row>
    <row r="495" spans="1:8">
      <c r="A495">
        <v>1.3271430203168</v>
      </c>
      <c r="B495">
        <v>4.2270054127300201</v>
      </c>
      <c r="C495">
        <v>25.4179230877164</v>
      </c>
      <c r="D495">
        <v>1.9362733791495299</v>
      </c>
      <c r="E495">
        <v>3.9300374486544598</v>
      </c>
      <c r="F495">
        <v>32.004981847904503</v>
      </c>
      <c r="G495">
        <v>1.37393631822047</v>
      </c>
      <c r="H495">
        <v>84</v>
      </c>
    </row>
    <row r="496" spans="1:8">
      <c r="A496">
        <v>1.49337116964919</v>
      </c>
      <c r="B496">
        <v>4.1626474304120302</v>
      </c>
      <c r="C496">
        <v>25.640426298617701</v>
      </c>
      <c r="D496">
        <v>1.94262750714979</v>
      </c>
      <c r="E496">
        <v>3.26421132271859</v>
      </c>
      <c r="F496">
        <v>30.2750674244054</v>
      </c>
      <c r="G496">
        <v>1.88784590444968</v>
      </c>
      <c r="H496">
        <v>188</v>
      </c>
    </row>
    <row r="497" spans="1:8">
      <c r="A497">
        <v>1.4410438228339399</v>
      </c>
      <c r="B497">
        <v>4.2039740493028503</v>
      </c>
      <c r="C497">
        <v>24.252692225425601</v>
      </c>
      <c r="D497">
        <v>1.9753489335697001</v>
      </c>
      <c r="E497">
        <v>3.3663186256381401</v>
      </c>
      <c r="F497">
        <v>30.6970621859878</v>
      </c>
      <c r="G497">
        <v>1.9339836360923399</v>
      </c>
      <c r="H497">
        <v>206</v>
      </c>
    </row>
    <row r="498" spans="1:8">
      <c r="A498">
        <v>1.5842487873401501</v>
      </c>
      <c r="B498">
        <v>4.2154605789806299</v>
      </c>
      <c r="C498">
        <v>27.252432558156698</v>
      </c>
      <c r="D498">
        <v>2.0485911603426898</v>
      </c>
      <c r="E498">
        <v>3.3119512652066301</v>
      </c>
      <c r="F498">
        <v>30.089927670479</v>
      </c>
      <c r="G498">
        <v>1.53191839776715</v>
      </c>
      <c r="H498">
        <v>114</v>
      </c>
    </row>
    <row r="499" spans="1:8">
      <c r="A499">
        <v>1.3550115997112999</v>
      </c>
      <c r="B499">
        <v>4.2479952935616998</v>
      </c>
      <c r="C499">
        <v>29.074284832117598</v>
      </c>
      <c r="D499">
        <v>1.93098536483412</v>
      </c>
      <c r="E499">
        <v>3.67550249289551</v>
      </c>
      <c r="F499">
        <v>34.813456164302401</v>
      </c>
      <c r="G499">
        <v>1.14765193347852</v>
      </c>
      <c r="H499">
        <v>79</v>
      </c>
    </row>
    <row r="500" spans="1:8">
      <c r="A500">
        <v>1.37269463172515</v>
      </c>
      <c r="B500">
        <v>4.1149803532527596</v>
      </c>
      <c r="C500">
        <v>26.4082514816368</v>
      </c>
      <c r="D500">
        <v>1.8249415643140099</v>
      </c>
      <c r="E500">
        <v>3.4294684768044399</v>
      </c>
      <c r="F500">
        <v>34.363505234691601</v>
      </c>
      <c r="G500">
        <v>1.15450556766085</v>
      </c>
      <c r="H500">
        <v>42</v>
      </c>
    </row>
    <row r="501" spans="1:8">
      <c r="A501">
        <v>1.26630835494567</v>
      </c>
      <c r="B501">
        <v>4.1161162020111703</v>
      </c>
      <c r="C501">
        <v>25.5734524954721</v>
      </c>
      <c r="D501">
        <v>1.89291552382552</v>
      </c>
      <c r="E501">
        <v>3.19018356936777</v>
      </c>
      <c r="F501">
        <v>30.841460221734899</v>
      </c>
      <c r="G501">
        <v>1.73478396278097</v>
      </c>
      <c r="H501">
        <v>156</v>
      </c>
    </row>
    <row r="502" spans="1:8">
      <c r="A502">
        <v>1.4295946603549201</v>
      </c>
      <c r="B502">
        <v>4.1753133591666103</v>
      </c>
      <c r="C502">
        <v>27.188022152507799</v>
      </c>
      <c r="D502">
        <v>1.91517523852455</v>
      </c>
      <c r="E502">
        <v>3.57787328862748</v>
      </c>
      <c r="F502">
        <v>29.935584268463</v>
      </c>
      <c r="G502">
        <v>1.16417892791592</v>
      </c>
      <c r="H502">
        <v>53</v>
      </c>
    </row>
    <row r="503" spans="1:8">
      <c r="A503">
        <v>1.3021210180446099</v>
      </c>
      <c r="B503">
        <v>4.1789464043400297</v>
      </c>
      <c r="C503">
        <v>25.092503440537399</v>
      </c>
      <c r="D503">
        <v>2.1043288534378202</v>
      </c>
      <c r="E503">
        <v>3.6840179470924999</v>
      </c>
      <c r="F503">
        <v>32.702047605229097</v>
      </c>
      <c r="G503">
        <v>0.77830867005597704</v>
      </c>
      <c r="H503">
        <v>5</v>
      </c>
    </row>
    <row r="504" spans="1:8">
      <c r="A504">
        <v>1.32034065386558</v>
      </c>
      <c r="B504">
        <v>4.2491765410341404</v>
      </c>
      <c r="C504">
        <v>27.271084954775802</v>
      </c>
      <c r="D504">
        <v>2.13632528928528</v>
      </c>
      <c r="E504">
        <v>3.2758738792593101</v>
      </c>
      <c r="F504">
        <v>37.1386634885502</v>
      </c>
      <c r="G504">
        <v>1.72329631055069</v>
      </c>
      <c r="H504">
        <v>195</v>
      </c>
    </row>
    <row r="505" spans="1:8">
      <c r="A505">
        <v>1.5708232270202001</v>
      </c>
      <c r="B505">
        <v>4.2524587210208997</v>
      </c>
      <c r="C505">
        <v>28.281977458753101</v>
      </c>
      <c r="D505">
        <v>1.85708481401138</v>
      </c>
      <c r="E505">
        <v>3.1209031290745601</v>
      </c>
      <c r="F505">
        <v>35.053177417651</v>
      </c>
      <c r="G505">
        <v>0.82616741530402604</v>
      </c>
      <c r="H505">
        <v>15</v>
      </c>
    </row>
    <row r="506" spans="1:8">
      <c r="A506">
        <v>1.3277292708872901</v>
      </c>
      <c r="B506">
        <v>4.20891311806679</v>
      </c>
      <c r="C506">
        <v>25.628278719799798</v>
      </c>
      <c r="D506">
        <v>2.0484852323455001</v>
      </c>
      <c r="E506">
        <v>3.3404001649971602</v>
      </c>
      <c r="F506">
        <v>32.158371566056204</v>
      </c>
      <c r="G506">
        <v>1.63021124174264</v>
      </c>
      <c r="H506">
        <v>175</v>
      </c>
    </row>
    <row r="507" spans="1:8">
      <c r="A507">
        <v>1.28283730090758</v>
      </c>
      <c r="B507">
        <v>4.1572377232483904</v>
      </c>
      <c r="C507">
        <v>26.4126278698728</v>
      </c>
      <c r="D507">
        <v>1.94830494403779</v>
      </c>
      <c r="E507">
        <v>4.12276920594703</v>
      </c>
      <c r="F507">
        <v>32.829567409004</v>
      </c>
      <c r="G507">
        <v>1.88293292486664</v>
      </c>
      <c r="H507">
        <v>186</v>
      </c>
    </row>
    <row r="508" spans="1:8">
      <c r="A508">
        <v>1.47479505410599</v>
      </c>
      <c r="B508">
        <v>4.2747794965248298</v>
      </c>
      <c r="C508">
        <v>28.748802171784899</v>
      </c>
      <c r="D508">
        <v>2.1602423147824998</v>
      </c>
      <c r="E508">
        <v>2.7155888222060902</v>
      </c>
      <c r="F508">
        <v>34.7217548651576</v>
      </c>
      <c r="G508">
        <v>1.3144299368438801</v>
      </c>
      <c r="H508">
        <v>113</v>
      </c>
    </row>
    <row r="509" spans="1:8">
      <c r="A509">
        <v>1.3239003289420599</v>
      </c>
      <c r="B509">
        <v>4.2402351070236604</v>
      </c>
      <c r="C509">
        <v>27.0700097303136</v>
      </c>
      <c r="D509">
        <v>1.98255131673356</v>
      </c>
      <c r="E509">
        <v>3.4676015535546099</v>
      </c>
      <c r="F509">
        <v>35.749101998350802</v>
      </c>
      <c r="G509">
        <v>1.3280013221035001</v>
      </c>
      <c r="H509">
        <v>117</v>
      </c>
    </row>
    <row r="510" spans="1:8">
      <c r="A510">
        <v>1.2507200730169299</v>
      </c>
      <c r="B510">
        <v>4.1635896231335803</v>
      </c>
      <c r="C510">
        <v>28.722917477042401</v>
      </c>
      <c r="D510">
        <v>2.0119319652424301</v>
      </c>
      <c r="E510">
        <v>3.2172987498433199</v>
      </c>
      <c r="F510">
        <v>31.568073857884901</v>
      </c>
      <c r="G510">
        <v>1.04898695509911</v>
      </c>
      <c r="H510">
        <v>30</v>
      </c>
    </row>
    <row r="511" spans="1:8">
      <c r="A511">
        <v>1.44169365554804</v>
      </c>
      <c r="B511">
        <v>4.1562130276016598</v>
      </c>
      <c r="C511">
        <v>26.445414397022301</v>
      </c>
      <c r="D511">
        <v>1.99242381444159</v>
      </c>
      <c r="E511">
        <v>3.62763305520614</v>
      </c>
      <c r="F511">
        <v>33.493319808394197</v>
      </c>
      <c r="G511">
        <v>1.77221305977322</v>
      </c>
      <c r="H511">
        <v>204</v>
      </c>
    </row>
    <row r="512" spans="1:8">
      <c r="A512">
        <v>1.3576289476586501</v>
      </c>
      <c r="B512">
        <v>4.2251288850443496</v>
      </c>
      <c r="C512">
        <v>28.219789192364601</v>
      </c>
      <c r="D512">
        <v>1.94825992518042</v>
      </c>
      <c r="E512">
        <v>3.2762370991501202</v>
      </c>
      <c r="F512">
        <v>33.269247150605302</v>
      </c>
      <c r="G512">
        <v>1.59465915948235</v>
      </c>
      <c r="H512">
        <v>169</v>
      </c>
    </row>
    <row r="513" spans="1:8">
      <c r="A513">
        <v>1.3759179005682201</v>
      </c>
      <c r="B513">
        <v>4.2529376168158297</v>
      </c>
      <c r="C513">
        <v>28.725426794206399</v>
      </c>
      <c r="D513">
        <v>1.9572368653949701</v>
      </c>
      <c r="E513">
        <v>3.4143317767067001</v>
      </c>
      <c r="F513">
        <v>33.729740835932503</v>
      </c>
      <c r="G513">
        <v>1.7009816094230601</v>
      </c>
      <c r="H513">
        <v>161</v>
      </c>
    </row>
    <row r="514" spans="1:8">
      <c r="A514">
        <v>1.3545809029570799</v>
      </c>
      <c r="B514">
        <v>4.2158120531316197</v>
      </c>
      <c r="C514">
        <v>26.515068118557799</v>
      </c>
      <c r="D514">
        <v>2.0788562759062601</v>
      </c>
      <c r="E514">
        <v>3.7861750314576499</v>
      </c>
      <c r="F514">
        <v>33.633689767319602</v>
      </c>
      <c r="G514">
        <v>1.76441779895726</v>
      </c>
      <c r="H514">
        <v>205</v>
      </c>
    </row>
    <row r="515" spans="1:8">
      <c r="A515">
        <v>1.3030280394861899</v>
      </c>
      <c r="B515">
        <v>4.1676549416343702</v>
      </c>
      <c r="C515">
        <v>27.395476725591799</v>
      </c>
      <c r="D515">
        <v>2.00596878963138</v>
      </c>
      <c r="E515">
        <v>3.78231782919439</v>
      </c>
      <c r="F515">
        <v>29.7406913830186</v>
      </c>
      <c r="G515">
        <v>1.3373203053116201</v>
      </c>
      <c r="H515">
        <v>119</v>
      </c>
    </row>
    <row r="516" spans="1:8">
      <c r="A516">
        <v>1.31211697228846</v>
      </c>
      <c r="B516">
        <v>4.2144975073603703</v>
      </c>
      <c r="C516">
        <v>26.454818675712598</v>
      </c>
      <c r="D516">
        <v>1.8810567512754901</v>
      </c>
      <c r="E516">
        <v>3.3937758369328899</v>
      </c>
      <c r="F516">
        <v>34.4086601486311</v>
      </c>
      <c r="G516">
        <v>1.82861072620496</v>
      </c>
      <c r="H516">
        <v>177</v>
      </c>
    </row>
    <row r="517" spans="1:8">
      <c r="A517">
        <v>1.32357544820128</v>
      </c>
      <c r="B517">
        <v>4.1960910405356202</v>
      </c>
      <c r="C517">
        <v>25.6914547730198</v>
      </c>
      <c r="D517">
        <v>1.9191224014677</v>
      </c>
      <c r="E517">
        <v>4.1907259075365504</v>
      </c>
      <c r="F517">
        <v>32.895228059067101</v>
      </c>
      <c r="G517">
        <v>1.8878543960741401</v>
      </c>
      <c r="H517">
        <v>198</v>
      </c>
    </row>
    <row r="518" spans="1:8">
      <c r="A518">
        <v>1.3335542831963101</v>
      </c>
      <c r="B518">
        <v>4.1879965935886201</v>
      </c>
      <c r="C518">
        <v>27.012820397749</v>
      </c>
      <c r="D518">
        <v>2.0794738365930501</v>
      </c>
      <c r="E518">
        <v>3.4502964779186298</v>
      </c>
      <c r="F518">
        <v>31.536012361603198</v>
      </c>
      <c r="G518">
        <v>1.5347260407041501</v>
      </c>
      <c r="H518">
        <v>116</v>
      </c>
    </row>
    <row r="519" spans="1:8">
      <c r="A519">
        <v>1.46314770306994</v>
      </c>
      <c r="B519">
        <v>4.2551057051405801</v>
      </c>
      <c r="C519">
        <v>25.2833007620793</v>
      </c>
      <c r="D519">
        <v>1.9735433931434301</v>
      </c>
      <c r="E519">
        <v>3.40864906373274</v>
      </c>
      <c r="F519">
        <v>34.488293406981803</v>
      </c>
      <c r="G519">
        <v>1.8544258607566</v>
      </c>
      <c r="H519">
        <v>220</v>
      </c>
    </row>
    <row r="520" spans="1:8">
      <c r="A520">
        <v>1.4085500745483699</v>
      </c>
      <c r="B520">
        <v>4.1977396283128803</v>
      </c>
      <c r="C520">
        <v>25.3676471297779</v>
      </c>
      <c r="D520">
        <v>2.1545962025808598</v>
      </c>
      <c r="E520">
        <v>3.5628262865163798</v>
      </c>
      <c r="F520">
        <v>32.385500849078703</v>
      </c>
      <c r="G520">
        <v>1.1919067298058601</v>
      </c>
      <c r="H520">
        <v>59</v>
      </c>
    </row>
    <row r="521" spans="1:8">
      <c r="A521">
        <v>1.3718811989666899</v>
      </c>
      <c r="B521">
        <v>4.2245493226585404</v>
      </c>
      <c r="C521">
        <v>28.246299711375698</v>
      </c>
      <c r="D521">
        <v>2.1215483769157899</v>
      </c>
      <c r="E521">
        <v>3.4916220627662402</v>
      </c>
      <c r="F521">
        <v>32.412345260685598</v>
      </c>
      <c r="G521">
        <v>1.7166447901731301</v>
      </c>
      <c r="H521">
        <v>153</v>
      </c>
    </row>
    <row r="522" spans="1:8">
      <c r="A522">
        <v>1.43855596041501</v>
      </c>
      <c r="B522">
        <v>4.2683849063666699</v>
      </c>
      <c r="C522">
        <v>26.6126550220072</v>
      </c>
      <c r="D522">
        <v>1.99841527854451</v>
      </c>
      <c r="E522">
        <v>3.2910256734728098</v>
      </c>
      <c r="F522">
        <v>34.675376658142902</v>
      </c>
      <c r="G522">
        <v>1.04163261048751</v>
      </c>
      <c r="H522">
        <v>28</v>
      </c>
    </row>
    <row r="523" spans="1:8">
      <c r="A523">
        <v>1.4554096483063199</v>
      </c>
      <c r="B523">
        <v>4.2646493197473996</v>
      </c>
      <c r="C523">
        <v>30.186380918315201</v>
      </c>
      <c r="D523">
        <v>1.9644684301817401</v>
      </c>
      <c r="E523">
        <v>3.5570734543909701</v>
      </c>
      <c r="F523">
        <v>34.358232709406103</v>
      </c>
      <c r="G523">
        <v>1.1730940024318099</v>
      </c>
      <c r="H523">
        <v>44</v>
      </c>
    </row>
    <row r="524" spans="1:8">
      <c r="A524">
        <v>1.3935184889580201</v>
      </c>
      <c r="B524">
        <v>4.2201232570334604</v>
      </c>
      <c r="C524">
        <v>25.8620216207743</v>
      </c>
      <c r="D524">
        <v>2.2271365256647102</v>
      </c>
      <c r="E524">
        <v>3.39169106742371</v>
      </c>
      <c r="F524">
        <v>33.607027793008598</v>
      </c>
      <c r="G524">
        <v>1.02704281217517</v>
      </c>
      <c r="H524">
        <v>16</v>
      </c>
    </row>
    <row r="525" spans="1:8">
      <c r="A525">
        <v>1.28100481616061</v>
      </c>
      <c r="B525">
        <v>4.2080001662058599</v>
      </c>
      <c r="C525">
        <v>28.886720743594399</v>
      </c>
      <c r="D525">
        <v>2.06097240401049</v>
      </c>
      <c r="E525">
        <v>3.2021068217698598</v>
      </c>
      <c r="F525">
        <v>33.486346676774602</v>
      </c>
      <c r="G525">
        <v>1.68280286113678</v>
      </c>
      <c r="H525">
        <v>188</v>
      </c>
    </row>
    <row r="526" spans="1:8">
      <c r="A526">
        <v>1.3241517363487401</v>
      </c>
      <c r="B526">
        <v>4.1711959885660397</v>
      </c>
      <c r="C526">
        <v>27.4141032653454</v>
      </c>
      <c r="D526">
        <v>1.7100435263973299</v>
      </c>
      <c r="E526">
        <v>3.3364277745281701</v>
      </c>
      <c r="F526">
        <v>32.238849613449297</v>
      </c>
      <c r="G526">
        <v>1.3714511878626301</v>
      </c>
      <c r="H526">
        <v>86</v>
      </c>
    </row>
    <row r="527" spans="1:8">
      <c r="A527">
        <v>1.53689671463372</v>
      </c>
      <c r="B527">
        <v>4.2253319178274404</v>
      </c>
      <c r="C527">
        <v>26.686220782122799</v>
      </c>
      <c r="D527">
        <v>2.0893022767694198</v>
      </c>
      <c r="E527">
        <v>3.4769233472267702</v>
      </c>
      <c r="F527">
        <v>34.209122770077599</v>
      </c>
      <c r="G527">
        <v>1.55984350366866</v>
      </c>
      <c r="H527">
        <v>121</v>
      </c>
    </row>
    <row r="528" spans="1:8">
      <c r="A528">
        <v>1.51300450034954</v>
      </c>
      <c r="B528">
        <v>4.1720806835252802</v>
      </c>
      <c r="C528">
        <v>29.287782850987298</v>
      </c>
      <c r="D528">
        <v>2.1303372786675201</v>
      </c>
      <c r="E528">
        <v>3.6179910714021402</v>
      </c>
      <c r="F528">
        <v>33.7481534742005</v>
      </c>
      <c r="G528">
        <v>0.84015150568385</v>
      </c>
      <c r="H528">
        <v>18</v>
      </c>
    </row>
    <row r="529" spans="1:8">
      <c r="A529">
        <v>1.4198465733919401</v>
      </c>
      <c r="B529">
        <v>4.2699381688924003</v>
      </c>
      <c r="C529">
        <v>25.317892353862302</v>
      </c>
      <c r="D529">
        <v>2.1207961329580902</v>
      </c>
      <c r="E529">
        <v>3.7070038430258601</v>
      </c>
      <c r="F529">
        <v>33.108669273678899</v>
      </c>
      <c r="G529">
        <v>1.3540205708973401</v>
      </c>
      <c r="H529">
        <v>89</v>
      </c>
    </row>
    <row r="530" spans="1:8">
      <c r="A530">
        <v>1.3856959693803901</v>
      </c>
      <c r="B530">
        <v>4.1928654451948599</v>
      </c>
      <c r="C530">
        <v>25.037951623331999</v>
      </c>
      <c r="D530">
        <v>2.1339642772014802</v>
      </c>
      <c r="E530">
        <v>3.2935180728130802</v>
      </c>
      <c r="F530">
        <v>35.439492899477798</v>
      </c>
      <c r="G530">
        <v>0.82069967332690397</v>
      </c>
      <c r="H530">
        <v>16</v>
      </c>
    </row>
    <row r="531" spans="1:8">
      <c r="A531">
        <v>1.2334988375737801</v>
      </c>
      <c r="B531">
        <v>4.1928986984151502</v>
      </c>
      <c r="C531">
        <v>27.5935181223435</v>
      </c>
      <c r="D531">
        <v>2.0132477579552099</v>
      </c>
      <c r="E531">
        <v>3.02733867004443</v>
      </c>
      <c r="F531">
        <v>32.836775230095697</v>
      </c>
      <c r="G531">
        <v>1.50016830796047</v>
      </c>
      <c r="H531">
        <v>120</v>
      </c>
    </row>
    <row r="532" spans="1:8">
      <c r="A532">
        <v>1.38826031521403</v>
      </c>
      <c r="B532">
        <v>4.1681707381292501</v>
      </c>
      <c r="C532">
        <v>27.215094581495599</v>
      </c>
      <c r="D532">
        <v>2.0631670441395702</v>
      </c>
      <c r="E532">
        <v>3.4628694075774602</v>
      </c>
      <c r="F532">
        <v>31.913606357209801</v>
      </c>
      <c r="G532">
        <v>1.2279985579572701</v>
      </c>
      <c r="H532">
        <v>57</v>
      </c>
    </row>
    <row r="533" spans="1:8">
      <c r="A533">
        <v>1.6545503081558499</v>
      </c>
      <c r="B533">
        <v>4.2745503520585197</v>
      </c>
      <c r="C533">
        <v>27.678481757484999</v>
      </c>
      <c r="D533">
        <v>1.95401685426334</v>
      </c>
      <c r="E533">
        <v>3.65448639068978</v>
      </c>
      <c r="F533">
        <v>36.232986445162098</v>
      </c>
      <c r="G533">
        <v>1.5620420096379199</v>
      </c>
      <c r="H533">
        <v>132</v>
      </c>
    </row>
    <row r="534" spans="1:8">
      <c r="A534">
        <v>1.3204169959641301</v>
      </c>
      <c r="B534">
        <v>4.2023975252755301</v>
      </c>
      <c r="C534">
        <v>26.688140096953202</v>
      </c>
      <c r="D534">
        <v>2.0607925015200799</v>
      </c>
      <c r="E534">
        <v>3.6832003960558302</v>
      </c>
      <c r="F534">
        <v>30.688258425392</v>
      </c>
      <c r="G534">
        <v>1.8530106491376801</v>
      </c>
      <c r="H534">
        <v>221</v>
      </c>
    </row>
    <row r="535" spans="1:8">
      <c r="A535">
        <v>1.32845323299697</v>
      </c>
      <c r="B535">
        <v>4.2777031116911202</v>
      </c>
      <c r="C535">
        <v>27.969256022583899</v>
      </c>
      <c r="D535">
        <v>1.90009981953235</v>
      </c>
      <c r="E535">
        <v>3.1074597657268699</v>
      </c>
      <c r="F535">
        <v>37.086456937900302</v>
      </c>
      <c r="G535">
        <v>1.45641634904025</v>
      </c>
      <c r="H535">
        <v>99</v>
      </c>
    </row>
    <row r="536" spans="1:8">
      <c r="A536">
        <v>1.4071535842924401</v>
      </c>
      <c r="B536">
        <v>4.2163595255105299</v>
      </c>
      <c r="C536">
        <v>27.949007404624702</v>
      </c>
      <c r="D536">
        <v>2.06501304128924</v>
      </c>
      <c r="E536">
        <v>3.7346714223019202</v>
      </c>
      <c r="F536">
        <v>32.054334491514197</v>
      </c>
      <c r="G536">
        <v>0.92534970123810301</v>
      </c>
      <c r="H536">
        <v>5</v>
      </c>
    </row>
    <row r="537" spans="1:8">
      <c r="A537">
        <v>1.1898920810381299</v>
      </c>
      <c r="B537">
        <v>4.2294635261692504</v>
      </c>
      <c r="C537">
        <v>24.0848857735851</v>
      </c>
      <c r="D537">
        <v>2.0747092094137898</v>
      </c>
      <c r="E537">
        <v>2.8972497449488199</v>
      </c>
      <c r="F537">
        <v>38.388721405554101</v>
      </c>
      <c r="G537">
        <v>1.8237568523832</v>
      </c>
      <c r="H537">
        <v>213</v>
      </c>
    </row>
    <row r="538" spans="1:8">
      <c r="A538">
        <v>1.43475327598629</v>
      </c>
      <c r="B538">
        <v>4.3491769737876904</v>
      </c>
      <c r="C538">
        <v>27.423234817943399</v>
      </c>
      <c r="D538">
        <v>2.00834086670588</v>
      </c>
      <c r="E538">
        <v>3.6107422780465699</v>
      </c>
      <c r="F538">
        <v>33.997494445593198</v>
      </c>
      <c r="G538">
        <v>1.3898663340803601</v>
      </c>
      <c r="H538">
        <v>98</v>
      </c>
    </row>
    <row r="539" spans="1:8">
      <c r="A539">
        <v>1.3631157515785699</v>
      </c>
      <c r="B539">
        <v>4.2240885727228701</v>
      </c>
      <c r="C539">
        <v>25.591078073515501</v>
      </c>
      <c r="D539">
        <v>1.89630544673277</v>
      </c>
      <c r="E539">
        <v>3.8883505171614599</v>
      </c>
      <c r="F539">
        <v>31.471849955420701</v>
      </c>
      <c r="G539">
        <v>1.0796390129329001</v>
      </c>
      <c r="H539">
        <v>65</v>
      </c>
    </row>
    <row r="540" spans="1:8">
      <c r="A540">
        <v>1.45330122268637</v>
      </c>
      <c r="B540">
        <v>4.1983002932615703</v>
      </c>
      <c r="C540">
        <v>25.359424993380902</v>
      </c>
      <c r="D540">
        <v>1.8970148341497799</v>
      </c>
      <c r="E540">
        <v>4.0230477085226104</v>
      </c>
      <c r="F540">
        <v>36.121045121723597</v>
      </c>
      <c r="G540">
        <v>1.8924717619036999</v>
      </c>
      <c r="H540">
        <v>199</v>
      </c>
    </row>
    <row r="541" spans="1:8">
      <c r="A541">
        <v>1.3823074170974201</v>
      </c>
      <c r="B541">
        <v>4.2161014853992702</v>
      </c>
      <c r="C541">
        <v>25.923963139661399</v>
      </c>
      <c r="D541">
        <v>2.1102229491372499</v>
      </c>
      <c r="E541">
        <v>3.8612529153542501</v>
      </c>
      <c r="F541">
        <v>35.421707508855299</v>
      </c>
      <c r="G541">
        <v>1.6416763215832899</v>
      </c>
      <c r="H541">
        <v>148</v>
      </c>
    </row>
    <row r="542" spans="1:8">
      <c r="A542">
        <v>1.5505429509137201</v>
      </c>
      <c r="B542">
        <v>4.20679569683523</v>
      </c>
      <c r="C542">
        <v>25.371160234624501</v>
      </c>
      <c r="D542">
        <v>2.1529269555310702</v>
      </c>
      <c r="E542">
        <v>3.5506020306482799</v>
      </c>
      <c r="F542">
        <v>34.830137822003998</v>
      </c>
      <c r="G542">
        <v>1.45799640721278</v>
      </c>
      <c r="H542">
        <v>113</v>
      </c>
    </row>
    <row r="543" spans="1:8">
      <c r="A543">
        <v>1.43256859208771</v>
      </c>
      <c r="B543">
        <v>4.1840539586566896</v>
      </c>
      <c r="C543">
        <v>29.475977238018</v>
      </c>
      <c r="D543">
        <v>2.0136447384675602</v>
      </c>
      <c r="E543">
        <v>3.5378424760904799</v>
      </c>
      <c r="F543">
        <v>35.975089185012003</v>
      </c>
      <c r="G543">
        <v>1.75041388601502</v>
      </c>
      <c r="H543">
        <v>159</v>
      </c>
    </row>
    <row r="544" spans="1:8">
      <c r="A544">
        <v>1.4963915091659401</v>
      </c>
      <c r="B544">
        <v>4.2739953833250297</v>
      </c>
      <c r="C544">
        <v>25.573478748985298</v>
      </c>
      <c r="D544">
        <v>2.1018658736498201</v>
      </c>
      <c r="E544">
        <v>3.8717889337442299</v>
      </c>
      <c r="F544">
        <v>34.103838085608302</v>
      </c>
      <c r="G544">
        <v>1.970679679244</v>
      </c>
      <c r="H544">
        <v>244</v>
      </c>
    </row>
    <row r="545" spans="1:8">
      <c r="A545">
        <v>1.4325143128753901</v>
      </c>
      <c r="B545">
        <v>4.2570647544919602</v>
      </c>
      <c r="C545">
        <v>26.040912134143099</v>
      </c>
      <c r="D545">
        <v>1.9248611104279501</v>
      </c>
      <c r="E545">
        <v>4.0677772630880398</v>
      </c>
      <c r="F545">
        <v>35.373425126461399</v>
      </c>
      <c r="G545">
        <v>1.48779685366739</v>
      </c>
      <c r="H545">
        <v>117</v>
      </c>
    </row>
    <row r="546" spans="1:8">
      <c r="A546">
        <v>1.5028987055560401</v>
      </c>
      <c r="B546">
        <v>4.1426605884789902</v>
      </c>
      <c r="C546">
        <v>27.8393181259325</v>
      </c>
      <c r="D546">
        <v>2.1342853763931502</v>
      </c>
      <c r="E546">
        <v>3.8804339206224898</v>
      </c>
      <c r="F546">
        <v>34.469247163198901</v>
      </c>
      <c r="G546">
        <v>1.9506690662575501</v>
      </c>
      <c r="H546">
        <v>201</v>
      </c>
    </row>
    <row r="547" spans="1:8">
      <c r="A547">
        <v>1.4739941315030101</v>
      </c>
      <c r="B547">
        <v>4.1710944944182904</v>
      </c>
      <c r="C547">
        <v>25.637178839313201</v>
      </c>
      <c r="D547">
        <v>1.8429403002218701</v>
      </c>
      <c r="E547">
        <v>2.7332579393871801</v>
      </c>
      <c r="F547">
        <v>34.4883559462858</v>
      </c>
      <c r="G547">
        <v>1.7390843398940801</v>
      </c>
      <c r="H547">
        <v>200</v>
      </c>
    </row>
    <row r="548" spans="1:8">
      <c r="A548">
        <v>1.3080180449783201</v>
      </c>
      <c r="B548">
        <v>4.2347842075497804</v>
      </c>
      <c r="C548">
        <v>26.48711586109</v>
      </c>
      <c r="D548">
        <v>1.9952291623604499</v>
      </c>
      <c r="E548">
        <v>3.1219252332783398</v>
      </c>
      <c r="F548">
        <v>32.382835135628603</v>
      </c>
      <c r="G548">
        <v>0.83426259892661903</v>
      </c>
      <c r="H548">
        <v>17</v>
      </c>
    </row>
    <row r="549" spans="1:8">
      <c r="A549">
        <v>1.2423842672529299</v>
      </c>
      <c r="B549">
        <v>4.1449489569834599</v>
      </c>
      <c r="C549">
        <v>26.2692195701236</v>
      </c>
      <c r="D549">
        <v>2.1142737579294901</v>
      </c>
      <c r="E549">
        <v>3.1615832604267502</v>
      </c>
      <c r="F549">
        <v>32.157594717849101</v>
      </c>
      <c r="G549">
        <v>1.7220229822289901</v>
      </c>
      <c r="H549">
        <v>155</v>
      </c>
    </row>
    <row r="550" spans="1:8">
      <c r="A550">
        <v>1.64695154701702</v>
      </c>
      <c r="B550">
        <v>4.1658149644120002</v>
      </c>
      <c r="C550">
        <v>27.115821255404001</v>
      </c>
      <c r="D550">
        <v>1.9925296513347099</v>
      </c>
      <c r="E550">
        <v>3.5111622301563599</v>
      </c>
      <c r="F550">
        <v>36.56220282668</v>
      </c>
      <c r="G550">
        <v>0.96716099676197798</v>
      </c>
      <c r="H550">
        <v>4</v>
      </c>
    </row>
    <row r="551" spans="1:8">
      <c r="A551">
        <v>1.4834825990000799</v>
      </c>
      <c r="B551">
        <v>4.2548446853762796</v>
      </c>
      <c r="C551">
        <v>29.020476934453999</v>
      </c>
      <c r="D551">
        <v>1.96041514534235</v>
      </c>
      <c r="E551">
        <v>3.5059159452733102</v>
      </c>
      <c r="F551">
        <v>34.262697667493299</v>
      </c>
      <c r="G551">
        <v>1.27834130214115</v>
      </c>
      <c r="H551">
        <v>75</v>
      </c>
    </row>
    <row r="552" spans="1:8">
      <c r="A552">
        <v>1.40644918625962</v>
      </c>
      <c r="B552">
        <v>4.1685316510083199</v>
      </c>
      <c r="C552">
        <v>26.889587475812501</v>
      </c>
      <c r="D552">
        <v>2.0324605962801998</v>
      </c>
      <c r="E552">
        <v>2.8973108364649298</v>
      </c>
      <c r="F552">
        <v>33.338180930705697</v>
      </c>
      <c r="G552">
        <v>1.93236973807526</v>
      </c>
      <c r="H552">
        <v>236</v>
      </c>
    </row>
    <row r="553" spans="1:8">
      <c r="A553">
        <v>1.3694142281323101</v>
      </c>
      <c r="B553">
        <v>4.21445173705406</v>
      </c>
      <c r="C553">
        <v>25.9699188722191</v>
      </c>
      <c r="D553">
        <v>2.0627270271493301</v>
      </c>
      <c r="E553">
        <v>4.2424524096673002</v>
      </c>
      <c r="F553">
        <v>35.199222303678297</v>
      </c>
      <c r="G553">
        <v>1.2993476403044899</v>
      </c>
      <c r="H553">
        <v>69</v>
      </c>
    </row>
    <row r="554" spans="1:8">
      <c r="A554">
        <v>1.4399969173010101</v>
      </c>
      <c r="B554">
        <v>4.16067370134523</v>
      </c>
      <c r="C554">
        <v>27.635395934804901</v>
      </c>
      <c r="D554">
        <v>2.1148339001828198</v>
      </c>
      <c r="E554">
        <v>3.3797483192806399</v>
      </c>
      <c r="F554">
        <v>34.804664746685198</v>
      </c>
      <c r="G554">
        <v>1.0798409926947501</v>
      </c>
      <c r="H554">
        <v>66</v>
      </c>
    </row>
    <row r="555" spans="1:8">
      <c r="A555">
        <v>1.34565744898409</v>
      </c>
      <c r="B555">
        <v>4.2144720977207397</v>
      </c>
      <c r="C555">
        <v>24.364512118874099</v>
      </c>
      <c r="D555">
        <v>2.0617160311923399</v>
      </c>
      <c r="E555">
        <v>4.3635481184784499</v>
      </c>
      <c r="F555">
        <v>32.4658536206938</v>
      </c>
      <c r="G555">
        <v>1.7228305715876699</v>
      </c>
      <c r="H555">
        <v>198</v>
      </c>
    </row>
    <row r="556" spans="1:8">
      <c r="A556">
        <v>1.2592421581325099</v>
      </c>
      <c r="B556">
        <v>4.2959178843618799</v>
      </c>
      <c r="C556">
        <v>28.584740712671799</v>
      </c>
      <c r="D556">
        <v>2.0138306078236399</v>
      </c>
      <c r="E556">
        <v>3.3145624499977902</v>
      </c>
      <c r="F556">
        <v>31.979539431036599</v>
      </c>
      <c r="G556">
        <v>1.7547111973148499</v>
      </c>
      <c r="H556">
        <v>161</v>
      </c>
    </row>
    <row r="557" spans="1:8">
      <c r="A557">
        <v>1.2838559986915501</v>
      </c>
      <c r="B557">
        <v>4.14218282461285</v>
      </c>
      <c r="C557">
        <v>26.290658134661999</v>
      </c>
      <c r="D557">
        <v>2.1530338429354998</v>
      </c>
      <c r="E557">
        <v>3.2180571319544802</v>
      </c>
      <c r="F557">
        <v>31.487330128004199</v>
      </c>
      <c r="G557">
        <v>1.9113697206676601</v>
      </c>
      <c r="H557">
        <v>232</v>
      </c>
    </row>
    <row r="558" spans="1:8">
      <c r="A558">
        <v>1.3993743777402301</v>
      </c>
      <c r="B558">
        <v>4.14724744904297</v>
      </c>
      <c r="C558">
        <v>27.807074583096799</v>
      </c>
      <c r="D558">
        <v>1.95571005739151</v>
      </c>
      <c r="E558">
        <v>4.0031971444207901</v>
      </c>
      <c r="F558">
        <v>33.787433724872102</v>
      </c>
      <c r="G558">
        <v>1.7643911298664401</v>
      </c>
      <c r="H558">
        <v>173</v>
      </c>
    </row>
    <row r="559" spans="1:8">
      <c r="A559">
        <v>1.15548531370765</v>
      </c>
      <c r="B559">
        <v>4.2152982913760804</v>
      </c>
      <c r="C559">
        <v>25.893104910101901</v>
      </c>
      <c r="D559">
        <v>1.99082177600947</v>
      </c>
      <c r="E559">
        <v>3.2994520755643202</v>
      </c>
      <c r="F559">
        <v>35.068959387122803</v>
      </c>
      <c r="G559">
        <v>1.78978093082434</v>
      </c>
      <c r="H559">
        <v>168</v>
      </c>
    </row>
    <row r="560" spans="1:8">
      <c r="A560">
        <v>1.45589906337464</v>
      </c>
      <c r="B560">
        <v>4.1785734921018003</v>
      </c>
      <c r="C560">
        <v>26.382857196774001</v>
      </c>
      <c r="D560">
        <v>2.0497160916456099</v>
      </c>
      <c r="E560">
        <v>3.0780027753265502</v>
      </c>
      <c r="F560">
        <v>37.7202430644559</v>
      </c>
      <c r="G560">
        <v>1.02041493354373</v>
      </c>
      <c r="H560">
        <v>24</v>
      </c>
    </row>
    <row r="561" spans="1:8">
      <c r="A561">
        <v>1.40636756869931</v>
      </c>
      <c r="B561">
        <v>4.1863217195884701</v>
      </c>
      <c r="C561">
        <v>28.726129683543601</v>
      </c>
      <c r="D561">
        <v>1.8863752850095401</v>
      </c>
      <c r="E561">
        <v>3.4249516081007498</v>
      </c>
      <c r="F561">
        <v>33.988588008823399</v>
      </c>
      <c r="G561">
        <v>0.75097186448962805</v>
      </c>
      <c r="H561">
        <v>0</v>
      </c>
    </row>
    <row r="562" spans="1:8">
      <c r="A562">
        <v>1.18912984980832</v>
      </c>
      <c r="B562">
        <v>4.2154643372588101</v>
      </c>
      <c r="C562">
        <v>26.3305312254017</v>
      </c>
      <c r="D562">
        <v>1.9511213343848799</v>
      </c>
      <c r="E562">
        <v>3.0875830647073599</v>
      </c>
      <c r="F562">
        <v>34.332665840577697</v>
      </c>
      <c r="G562">
        <v>1.31975732141502</v>
      </c>
      <c r="H562">
        <v>112</v>
      </c>
    </row>
    <row r="563" spans="1:8">
      <c r="A563">
        <v>1.3142504970540601</v>
      </c>
      <c r="B563">
        <v>4.1064776293874701</v>
      </c>
      <c r="C563">
        <v>26.8463775265561</v>
      </c>
      <c r="D563">
        <v>1.9868844060930599</v>
      </c>
      <c r="E563">
        <v>3.7344631060272202</v>
      </c>
      <c r="F563">
        <v>32.585107806287297</v>
      </c>
      <c r="G563">
        <v>1.4621553030996499</v>
      </c>
      <c r="H563">
        <v>112</v>
      </c>
    </row>
    <row r="564" spans="1:8">
      <c r="A564">
        <v>1.4628420290106401</v>
      </c>
      <c r="B564">
        <v>4.1617115755862599</v>
      </c>
      <c r="C564">
        <v>27.295894349448901</v>
      </c>
      <c r="D564">
        <v>2.3223815258348601</v>
      </c>
      <c r="E564">
        <v>3.22497707998656</v>
      </c>
      <c r="F564">
        <v>30.3695264926356</v>
      </c>
      <c r="G564">
        <v>1.93749320867507</v>
      </c>
      <c r="H564">
        <v>235</v>
      </c>
    </row>
    <row r="565" spans="1:8">
      <c r="A565">
        <v>1.4069013907492101</v>
      </c>
      <c r="B565">
        <v>4.0656595031994902</v>
      </c>
      <c r="C565">
        <v>25.288153366241101</v>
      </c>
      <c r="D565">
        <v>1.98430812898083</v>
      </c>
      <c r="E565">
        <v>3.37520994891304</v>
      </c>
      <c r="F565">
        <v>33.065770223786302</v>
      </c>
      <c r="G565">
        <v>1.6043267013634901</v>
      </c>
      <c r="H565">
        <v>172</v>
      </c>
    </row>
    <row r="566" spans="1:8">
      <c r="A566">
        <v>1.4425684144900299</v>
      </c>
      <c r="B566">
        <v>4.2276358234443601</v>
      </c>
      <c r="C566">
        <v>28.6198278470101</v>
      </c>
      <c r="D566">
        <v>1.97654722980327</v>
      </c>
      <c r="E566">
        <v>3.3633335327304401</v>
      </c>
      <c r="F566">
        <v>33.385760946575999</v>
      </c>
      <c r="G566">
        <v>1.54326402735059</v>
      </c>
      <c r="H566">
        <v>118</v>
      </c>
    </row>
    <row r="567" spans="1:8">
      <c r="A567">
        <v>1.2991941180689099</v>
      </c>
      <c r="B567">
        <v>4.2295847599732301</v>
      </c>
      <c r="C567">
        <v>26.363595177309598</v>
      </c>
      <c r="D567">
        <v>1.97733677398314</v>
      </c>
      <c r="E567">
        <v>3.2128816974010102</v>
      </c>
      <c r="F567">
        <v>33.7408062264387</v>
      </c>
      <c r="G567">
        <v>1.50333963348254</v>
      </c>
      <c r="H567">
        <v>119</v>
      </c>
    </row>
    <row r="568" spans="1:8">
      <c r="A568">
        <v>1.59512457776422</v>
      </c>
      <c r="B568">
        <v>4.2154739586205201</v>
      </c>
      <c r="C568">
        <v>25.1359505443674</v>
      </c>
      <c r="D568">
        <v>1.99464529962381</v>
      </c>
      <c r="E568">
        <v>3.1606350375083401</v>
      </c>
      <c r="F568">
        <v>38.135147892096398</v>
      </c>
      <c r="G568">
        <v>1.83960875740112</v>
      </c>
      <c r="H568">
        <v>217</v>
      </c>
    </row>
    <row r="569" spans="1:8">
      <c r="A569">
        <v>1.49086501515174</v>
      </c>
      <c r="B569">
        <v>4.1833342934434601</v>
      </c>
      <c r="C569">
        <v>25.8662244035729</v>
      </c>
      <c r="D569">
        <v>1.9870828121005799</v>
      </c>
      <c r="E569">
        <v>3.6830119894580098</v>
      </c>
      <c r="F569">
        <v>28.850119852451801</v>
      </c>
      <c r="G569">
        <v>1.1135779404231001</v>
      </c>
      <c r="H569">
        <v>73</v>
      </c>
    </row>
    <row r="570" spans="1:8">
      <c r="A570">
        <v>1.44270154849434</v>
      </c>
      <c r="B570">
        <v>4.2040142724714098</v>
      </c>
      <c r="C570">
        <v>29.556201127896902</v>
      </c>
      <c r="D570">
        <v>1.9878010301914</v>
      </c>
      <c r="E570">
        <v>3.0892851571539102</v>
      </c>
      <c r="F570">
        <v>29.689758455112798</v>
      </c>
      <c r="G570">
        <v>1.48594514054323</v>
      </c>
      <c r="H570">
        <v>108</v>
      </c>
    </row>
    <row r="571" spans="1:8">
      <c r="A571">
        <v>1.4825638750305801</v>
      </c>
      <c r="B571">
        <v>4.2004066235233601</v>
      </c>
      <c r="C571">
        <v>28.5211873696237</v>
      </c>
      <c r="D571">
        <v>1.89770822022724</v>
      </c>
      <c r="E571">
        <v>3.1356987118114201</v>
      </c>
      <c r="F571">
        <v>31.683838535240799</v>
      </c>
      <c r="G571">
        <v>1.1005891332447699</v>
      </c>
      <c r="H571">
        <v>40</v>
      </c>
    </row>
    <row r="572" spans="1:8">
      <c r="A572">
        <v>1.45213904440686</v>
      </c>
      <c r="B572">
        <v>4.1129998722066299</v>
      </c>
      <c r="C572">
        <v>25.5173127106804</v>
      </c>
      <c r="D572">
        <v>2.23380700509228</v>
      </c>
      <c r="E572">
        <v>3.36654274545152</v>
      </c>
      <c r="F572">
        <v>34.7279288997455</v>
      </c>
      <c r="G572">
        <v>1.4096515518838999</v>
      </c>
      <c r="H572">
        <v>93</v>
      </c>
    </row>
    <row r="573" spans="1:8">
      <c r="A573">
        <v>1.2886308533697799</v>
      </c>
      <c r="B573">
        <v>4.27329979893402</v>
      </c>
      <c r="C573">
        <v>25.752069313415799</v>
      </c>
      <c r="D573">
        <v>1.89360218110511</v>
      </c>
      <c r="E573">
        <v>3.3054785819177601</v>
      </c>
      <c r="F573">
        <v>34.882500238111199</v>
      </c>
      <c r="G573">
        <v>1.25796817083846</v>
      </c>
      <c r="H573">
        <v>70</v>
      </c>
    </row>
    <row r="574" spans="1:8">
      <c r="A574">
        <v>1.4706719173746501</v>
      </c>
      <c r="B574">
        <v>4.2179913330106897</v>
      </c>
      <c r="C574">
        <v>27.2504406916755</v>
      </c>
      <c r="D574">
        <v>2.0098504141179001</v>
      </c>
      <c r="E574">
        <v>2.8839673168517099</v>
      </c>
      <c r="F574">
        <v>31.679855432348301</v>
      </c>
      <c r="G574">
        <v>1.3765651018596901</v>
      </c>
      <c r="H574">
        <v>95</v>
      </c>
    </row>
    <row r="575" spans="1:8">
      <c r="A575">
        <v>1.43132529474355</v>
      </c>
      <c r="B575">
        <v>4.1993772753245704</v>
      </c>
      <c r="C575">
        <v>26.498392185379299</v>
      </c>
      <c r="D575">
        <v>1.8708174515257801</v>
      </c>
      <c r="E575">
        <v>3.87130218927879</v>
      </c>
      <c r="F575">
        <v>29.1782656035451</v>
      </c>
      <c r="G575">
        <v>1.4554045028828499</v>
      </c>
      <c r="H575">
        <v>140</v>
      </c>
    </row>
    <row r="576" spans="1:8">
      <c r="A576">
        <v>1.41005501532273</v>
      </c>
      <c r="B576">
        <v>4.2294299050543298</v>
      </c>
      <c r="C576">
        <v>28.930921181902299</v>
      </c>
      <c r="D576">
        <v>2.1916481511801398</v>
      </c>
      <c r="E576">
        <v>3.6858279438452901</v>
      </c>
      <c r="F576">
        <v>32.375929757370798</v>
      </c>
      <c r="G576">
        <v>1.2032787470977799</v>
      </c>
      <c r="H576">
        <v>92</v>
      </c>
    </row>
    <row r="577" spans="1:8">
      <c r="A577">
        <v>1.40215372380264</v>
      </c>
      <c r="B577">
        <v>4.1691219260005798</v>
      </c>
      <c r="C577">
        <v>27.796010023609199</v>
      </c>
      <c r="D577">
        <v>2.0375785488683098</v>
      </c>
      <c r="E577">
        <v>3.2722408501726301</v>
      </c>
      <c r="F577">
        <v>31.596156428812101</v>
      </c>
      <c r="G577">
        <v>1.07635399138113</v>
      </c>
      <c r="H577">
        <v>34</v>
      </c>
    </row>
    <row r="578" spans="1:8">
      <c r="A578">
        <v>1.34665576651819</v>
      </c>
      <c r="B578">
        <v>4.1978460894700502</v>
      </c>
      <c r="C578">
        <v>28.605770711076001</v>
      </c>
      <c r="D578">
        <v>1.9193869496067999</v>
      </c>
      <c r="E578">
        <v>3.6020504783306899</v>
      </c>
      <c r="F578">
        <v>31.7597965429784</v>
      </c>
      <c r="G578">
        <v>1.0361646177036901</v>
      </c>
      <c r="H578">
        <v>17</v>
      </c>
    </row>
    <row r="579" spans="1:8">
      <c r="A579">
        <v>1.4693781986082599</v>
      </c>
      <c r="B579">
        <v>4.2028139773136397</v>
      </c>
      <c r="C579">
        <v>27.320802242572601</v>
      </c>
      <c r="D579">
        <v>1.9928182227483699</v>
      </c>
      <c r="E579">
        <v>3.7129762665977299</v>
      </c>
      <c r="F579">
        <v>33.199735542608501</v>
      </c>
      <c r="G579">
        <v>1.1994798407170999</v>
      </c>
      <c r="H579">
        <v>49</v>
      </c>
    </row>
    <row r="580" spans="1:8">
      <c r="A580">
        <v>1.57770433142651</v>
      </c>
      <c r="B580">
        <v>4.25877643180959</v>
      </c>
      <c r="C580">
        <v>28.295081551180498</v>
      </c>
      <c r="D580">
        <v>2.14085056807646</v>
      </c>
      <c r="E580">
        <v>3.7282714380683899</v>
      </c>
      <c r="F580">
        <v>35.101512845178199</v>
      </c>
      <c r="G580">
        <v>0.79226349026425702</v>
      </c>
      <c r="H580">
        <v>9</v>
      </c>
    </row>
    <row r="581" spans="1:8">
      <c r="A581">
        <v>1.2821076302694101</v>
      </c>
      <c r="B581">
        <v>4.2462074124341296</v>
      </c>
      <c r="C581">
        <v>26.2294064071911</v>
      </c>
      <c r="D581">
        <v>2.0220462556668002</v>
      </c>
      <c r="E581">
        <v>3.1103684182993598</v>
      </c>
      <c r="F581">
        <v>35.884718452742199</v>
      </c>
      <c r="G581">
        <v>1.43563192230093</v>
      </c>
      <c r="H581">
        <v>98</v>
      </c>
    </row>
    <row r="582" spans="1:8">
      <c r="A582">
        <v>1.4114360874971199</v>
      </c>
      <c r="B582">
        <v>4.2245752496639</v>
      </c>
      <c r="C582">
        <v>23.8225415454882</v>
      </c>
      <c r="D582">
        <v>2.1394162084945099</v>
      </c>
      <c r="E582">
        <v>2.81472240292047</v>
      </c>
      <c r="F582">
        <v>33.990637211187298</v>
      </c>
      <c r="G582">
        <v>1.01104772992449</v>
      </c>
      <c r="H582">
        <v>53</v>
      </c>
    </row>
    <row r="583" spans="1:8">
      <c r="A583">
        <v>1.5053971092776199</v>
      </c>
      <c r="B583">
        <v>4.2486901271606996</v>
      </c>
      <c r="C583">
        <v>26.511192190173599</v>
      </c>
      <c r="D583">
        <v>2.04433974348437</v>
      </c>
      <c r="E583">
        <v>3.74078479785247</v>
      </c>
      <c r="F583">
        <v>32.026290606688399</v>
      </c>
      <c r="G583">
        <v>1.2858482913589999</v>
      </c>
      <c r="H583">
        <v>77</v>
      </c>
    </row>
    <row r="584" spans="1:8">
      <c r="A584">
        <v>1.3001158605367</v>
      </c>
      <c r="B584">
        <v>4.2975167207817702</v>
      </c>
      <c r="C584">
        <v>25.1666132826665</v>
      </c>
      <c r="D584">
        <v>1.8432252147391801</v>
      </c>
      <c r="E584">
        <v>4.0120881459967803</v>
      </c>
      <c r="F584">
        <v>31.789534480412801</v>
      </c>
      <c r="G584">
        <v>1.28703659861903</v>
      </c>
      <c r="H584">
        <v>78</v>
      </c>
    </row>
    <row r="585" spans="1:8">
      <c r="A585">
        <v>1.4265357752493799</v>
      </c>
      <c r="B585">
        <v>4.2140737895821498</v>
      </c>
      <c r="C585">
        <v>27.2268429453806</v>
      </c>
      <c r="D585">
        <v>1.9875727785948001</v>
      </c>
      <c r="E585">
        <v>3.8114649699282399</v>
      </c>
      <c r="F585">
        <v>31.610799834996701</v>
      </c>
      <c r="G585">
        <v>1.16094508952418</v>
      </c>
      <c r="H585">
        <v>82</v>
      </c>
    </row>
    <row r="586" spans="1:8">
      <c r="A586">
        <v>1.426717598795</v>
      </c>
      <c r="B586">
        <v>4.2069025430450502</v>
      </c>
      <c r="C586">
        <v>27.8323614606477</v>
      </c>
      <c r="D586">
        <v>2.0019980609192198</v>
      </c>
      <c r="E586">
        <v>4.0284078708111704</v>
      </c>
      <c r="F586">
        <v>31.4435330080073</v>
      </c>
      <c r="G586">
        <v>1.89966320312169</v>
      </c>
      <c r="H586">
        <v>200</v>
      </c>
    </row>
    <row r="587" spans="1:8">
      <c r="A587">
        <v>1.4329663190789901</v>
      </c>
      <c r="B587">
        <v>4.0350777977823604</v>
      </c>
      <c r="C587">
        <v>27.860088945822898</v>
      </c>
      <c r="D587">
        <v>2.0312571884386599</v>
      </c>
      <c r="E587">
        <v>3.3626778052600899</v>
      </c>
      <c r="F587">
        <v>30.245143257981201</v>
      </c>
      <c r="G587">
        <v>1.13259936139474</v>
      </c>
      <c r="H587">
        <v>47</v>
      </c>
    </row>
    <row r="588" spans="1:8">
      <c r="A588">
        <v>1.3793868780142</v>
      </c>
      <c r="B588">
        <v>4.1326744909369104</v>
      </c>
      <c r="C588">
        <v>26.3507847262022</v>
      </c>
      <c r="D588">
        <v>1.99038280269465</v>
      </c>
      <c r="E588">
        <v>3.2371804658397298</v>
      </c>
      <c r="F588">
        <v>35.1142487883698</v>
      </c>
      <c r="G588">
        <v>1.3873084860859499</v>
      </c>
      <c r="H588">
        <v>128</v>
      </c>
    </row>
    <row r="589" spans="1:8">
      <c r="A589">
        <v>1.5940962770879501</v>
      </c>
      <c r="B589">
        <v>4.3098461767281897</v>
      </c>
      <c r="C589">
        <v>27.268867604149001</v>
      </c>
      <c r="D589">
        <v>1.9685728653268999</v>
      </c>
      <c r="E589">
        <v>3.3957683634203599</v>
      </c>
      <c r="F589">
        <v>34.622529799642898</v>
      </c>
      <c r="G589">
        <v>1.5300113512915801</v>
      </c>
      <c r="H589">
        <v>117</v>
      </c>
    </row>
    <row r="590" spans="1:8">
      <c r="A590">
        <v>1.50347048679744</v>
      </c>
      <c r="B590">
        <v>4.24110710569225</v>
      </c>
      <c r="C590">
        <v>27.060500324736399</v>
      </c>
      <c r="D590">
        <v>2.0512529219882398</v>
      </c>
      <c r="E590">
        <v>3.2568029901114901</v>
      </c>
      <c r="F590">
        <v>34.453375937712501</v>
      </c>
      <c r="G590">
        <v>0.975392443019795</v>
      </c>
      <c r="H590">
        <v>47</v>
      </c>
    </row>
    <row r="591" spans="1:8">
      <c r="A591">
        <v>1.3474639605550001</v>
      </c>
      <c r="B591">
        <v>4.1677282989370799</v>
      </c>
      <c r="C591">
        <v>24.3345859347471</v>
      </c>
      <c r="D591">
        <v>1.85471830270095</v>
      </c>
      <c r="E591">
        <v>4.19159182635262</v>
      </c>
      <c r="F591">
        <v>33.500879057454199</v>
      </c>
      <c r="G591">
        <v>1.9383533977456699</v>
      </c>
      <c r="H591">
        <v>207</v>
      </c>
    </row>
    <row r="592" spans="1:8">
      <c r="A592">
        <v>1.27405623003256</v>
      </c>
      <c r="B592">
        <v>4.2087788925789598</v>
      </c>
      <c r="C592">
        <v>28.873529242638</v>
      </c>
      <c r="D592">
        <v>2.05948801081247</v>
      </c>
      <c r="E592">
        <v>3.5931499407343899</v>
      </c>
      <c r="F592">
        <v>32.011959017656501</v>
      </c>
      <c r="G592">
        <v>1.56544429102107</v>
      </c>
      <c r="H592">
        <v>124</v>
      </c>
    </row>
    <row r="593" spans="1:8">
      <c r="A593">
        <v>1.4889763851962901</v>
      </c>
      <c r="B593">
        <v>4.2591232238996497</v>
      </c>
      <c r="C593">
        <v>29.2958684796805</v>
      </c>
      <c r="D593">
        <v>2.0122766176034901</v>
      </c>
      <c r="E593">
        <v>3.5199095867265302</v>
      </c>
      <c r="F593">
        <v>33.056393193512498</v>
      </c>
      <c r="G593">
        <v>1.86903860292373</v>
      </c>
      <c r="H593">
        <v>194</v>
      </c>
    </row>
    <row r="594" spans="1:8">
      <c r="A594">
        <v>1.4064337667675699</v>
      </c>
      <c r="B594">
        <v>4.2053952591205004</v>
      </c>
      <c r="C594">
        <v>27.062478541277098</v>
      </c>
      <c r="D594">
        <v>1.8062238920004801</v>
      </c>
      <c r="E594">
        <v>3.8990126498342201</v>
      </c>
      <c r="F594">
        <v>32.8012478629757</v>
      </c>
      <c r="G594">
        <v>1.6344794720372799</v>
      </c>
      <c r="H594">
        <v>178</v>
      </c>
    </row>
    <row r="595" spans="1:8">
      <c r="A595">
        <v>1.49679561945948</v>
      </c>
      <c r="B595">
        <v>4.2281765536194902</v>
      </c>
      <c r="C595">
        <v>25.678361336955401</v>
      </c>
      <c r="D595">
        <v>2.1398110937001702</v>
      </c>
      <c r="E595">
        <v>3.6686576253040601</v>
      </c>
      <c r="F595">
        <v>32.119506902845899</v>
      </c>
      <c r="G595">
        <v>1.14194168824669</v>
      </c>
      <c r="H595">
        <v>50</v>
      </c>
    </row>
    <row r="596" spans="1:8">
      <c r="A596">
        <v>1.2673440191485299</v>
      </c>
      <c r="B596">
        <v>4.2038463474355403</v>
      </c>
      <c r="C596">
        <v>27.916126426650699</v>
      </c>
      <c r="D596">
        <v>2.02062198616128</v>
      </c>
      <c r="E596">
        <v>3.7393195635978702</v>
      </c>
      <c r="F596">
        <v>32.728442057853101</v>
      </c>
      <c r="G596">
        <v>1.3548118966804501</v>
      </c>
      <c r="H596">
        <v>120</v>
      </c>
    </row>
    <row r="597" spans="1:8">
      <c r="A597">
        <v>1.24995999522807</v>
      </c>
      <c r="B597">
        <v>4.2665621100870501</v>
      </c>
      <c r="C597">
        <v>27.0008538261316</v>
      </c>
      <c r="D597">
        <v>1.9207054162319599</v>
      </c>
      <c r="E597">
        <v>3.4387115068814298</v>
      </c>
      <c r="F597">
        <v>33.267533306806897</v>
      </c>
      <c r="G597">
        <v>1.06913186739684</v>
      </c>
      <c r="H597">
        <v>64</v>
      </c>
    </row>
    <row r="598" spans="1:8">
      <c r="A598">
        <v>1.19009770442982</v>
      </c>
      <c r="B598">
        <v>4.1532609596564498</v>
      </c>
      <c r="C598">
        <v>24.0813521407248</v>
      </c>
      <c r="D598">
        <v>2.15114031264747</v>
      </c>
      <c r="E598">
        <v>3.68815239978484</v>
      </c>
      <c r="F598">
        <v>34.249925117367397</v>
      </c>
      <c r="G598">
        <v>1.8696214760160601</v>
      </c>
      <c r="H598">
        <v>184</v>
      </c>
    </row>
    <row r="599" spans="1:8">
      <c r="A599">
        <v>1.44650040113669</v>
      </c>
      <c r="B599">
        <v>4.1369973273704304</v>
      </c>
      <c r="C599">
        <v>26.243308361985399</v>
      </c>
      <c r="D599">
        <v>2.0482246400588102</v>
      </c>
      <c r="E599">
        <v>3.3373080718327399</v>
      </c>
      <c r="F599">
        <v>33.152816383584998</v>
      </c>
      <c r="G599">
        <v>1.60376488811221</v>
      </c>
      <c r="H599">
        <v>131</v>
      </c>
    </row>
    <row r="600" spans="1:8">
      <c r="A600">
        <v>1.4667462885937299</v>
      </c>
      <c r="B600">
        <v>4.1875001807626999</v>
      </c>
      <c r="C600">
        <v>25.820431087208799</v>
      </c>
      <c r="D600">
        <v>1.9629076821022</v>
      </c>
      <c r="E600">
        <v>3.1761384515584701</v>
      </c>
      <c r="F600">
        <v>32.6673746331061</v>
      </c>
      <c r="G600">
        <v>1.2275293779373</v>
      </c>
      <c r="H600">
        <v>96</v>
      </c>
    </row>
    <row r="601" spans="1:8">
      <c r="A601">
        <v>1.3184842354003901</v>
      </c>
      <c r="B601">
        <v>4.1699009893307704</v>
      </c>
      <c r="C601">
        <v>26.9855602698327</v>
      </c>
      <c r="D601">
        <v>1.9200054209831501</v>
      </c>
      <c r="E601">
        <v>3.15462449689604</v>
      </c>
      <c r="F601">
        <v>33.277716220614103</v>
      </c>
      <c r="G601">
        <v>1.7322996730867399</v>
      </c>
      <c r="H601">
        <v>157</v>
      </c>
    </row>
    <row r="602" spans="1:8">
      <c r="A602">
        <v>1.4807738869118099</v>
      </c>
      <c r="B602">
        <v>4.1677797110693202</v>
      </c>
      <c r="C602">
        <v>26.366712685344101</v>
      </c>
      <c r="D602">
        <v>2.0191544674792499</v>
      </c>
      <c r="E602">
        <v>2.8854240010346701</v>
      </c>
      <c r="F602">
        <v>30.407095450400199</v>
      </c>
      <c r="G602">
        <v>1.23039796855579</v>
      </c>
      <c r="H602">
        <v>65</v>
      </c>
    </row>
    <row r="603" spans="1:8">
      <c r="A603">
        <v>1.2811341945955099</v>
      </c>
      <c r="B603">
        <v>4.1773590123284903</v>
      </c>
      <c r="C603">
        <v>30.6060241853355</v>
      </c>
      <c r="D603">
        <v>2.1262416052105602</v>
      </c>
      <c r="E603">
        <v>3.50208996510829</v>
      </c>
      <c r="F603">
        <v>34.126082713999999</v>
      </c>
      <c r="G603">
        <v>1.36057496787516</v>
      </c>
      <c r="H603">
        <v>93</v>
      </c>
    </row>
    <row r="604" spans="1:8">
      <c r="A604">
        <v>1.3140925352783599</v>
      </c>
      <c r="B604">
        <v>4.2169047820406202</v>
      </c>
      <c r="C604">
        <v>27.149406341520901</v>
      </c>
      <c r="D604">
        <v>2.03086631323835</v>
      </c>
      <c r="E604">
        <v>2.9948915567054502</v>
      </c>
      <c r="F604">
        <v>33.779330510931999</v>
      </c>
      <c r="G604">
        <v>1.88373791159633</v>
      </c>
      <c r="H604">
        <v>226</v>
      </c>
    </row>
    <row r="605" spans="1:8">
      <c r="A605">
        <v>1.2796908947513299</v>
      </c>
      <c r="B605">
        <v>4.3337854411339602</v>
      </c>
      <c r="C605">
        <v>28.056234403984199</v>
      </c>
      <c r="D605">
        <v>1.9300573891042001</v>
      </c>
      <c r="E605">
        <v>3.68457685112265</v>
      </c>
      <c r="F605">
        <v>34.344860203655301</v>
      </c>
      <c r="G605">
        <v>1.6583530511961</v>
      </c>
      <c r="H605">
        <v>142</v>
      </c>
    </row>
    <row r="606" spans="1:8">
      <c r="A606">
        <v>1.2022955422505399</v>
      </c>
      <c r="B606">
        <v>4.2214326133265203</v>
      </c>
      <c r="C606">
        <v>24.459696242065199</v>
      </c>
      <c r="D606">
        <v>2.0747590125669801</v>
      </c>
      <c r="E606">
        <v>3.3213205954660698</v>
      </c>
      <c r="F606">
        <v>35.029984013979799</v>
      </c>
      <c r="G606">
        <v>1.4312065207106099</v>
      </c>
      <c r="H606">
        <v>106</v>
      </c>
    </row>
    <row r="607" spans="1:8">
      <c r="A607">
        <v>1.50285189510203</v>
      </c>
      <c r="B607">
        <v>4.3186458032900701</v>
      </c>
      <c r="C607">
        <v>23.2136701827447</v>
      </c>
      <c r="D607">
        <v>1.9885875792060601</v>
      </c>
      <c r="E607">
        <v>3.32602813988085</v>
      </c>
      <c r="F607">
        <v>32.746864055285599</v>
      </c>
      <c r="G607">
        <v>1.3237088112445401</v>
      </c>
      <c r="H607">
        <v>75</v>
      </c>
    </row>
    <row r="608" spans="1:8">
      <c r="A608">
        <v>1.5265974214832001</v>
      </c>
      <c r="B608">
        <v>4.1389333857187998</v>
      </c>
      <c r="C608">
        <v>27.725460959979099</v>
      </c>
      <c r="D608">
        <v>1.83778377090553</v>
      </c>
      <c r="E608">
        <v>3.78412118196499</v>
      </c>
      <c r="F608">
        <v>31.902049796388699</v>
      </c>
      <c r="G608">
        <v>1.13315906338127</v>
      </c>
      <c r="H608">
        <v>46</v>
      </c>
    </row>
    <row r="609" spans="1:8">
      <c r="A609">
        <v>1.44292819928865</v>
      </c>
      <c r="B609">
        <v>4.1381948302554701</v>
      </c>
      <c r="C609">
        <v>27.794459931059802</v>
      </c>
      <c r="D609">
        <v>1.9806397474780599</v>
      </c>
      <c r="E609">
        <v>3.6961600314070302</v>
      </c>
      <c r="F609">
        <v>36.888477179916897</v>
      </c>
      <c r="G609">
        <v>1.38895580883363</v>
      </c>
      <c r="H609">
        <v>87</v>
      </c>
    </row>
    <row r="610" spans="1:8">
      <c r="A610">
        <v>1.1738565674532</v>
      </c>
      <c r="B610">
        <v>4.2821718885039202</v>
      </c>
      <c r="C610">
        <v>26.619909353670501</v>
      </c>
      <c r="D610">
        <v>1.9454556450381399</v>
      </c>
      <c r="E610">
        <v>3.3086017552932798</v>
      </c>
      <c r="F610">
        <v>29.592316084055501</v>
      </c>
      <c r="G610">
        <v>1.7038543639382</v>
      </c>
      <c r="H610">
        <v>162</v>
      </c>
    </row>
    <row r="611" spans="1:8">
      <c r="A611">
        <v>1.39263566737531</v>
      </c>
      <c r="B611">
        <v>4.1675863058133702</v>
      </c>
      <c r="C611">
        <v>26.509840669032499</v>
      </c>
      <c r="D611">
        <v>1.9352863554402899</v>
      </c>
      <c r="E611">
        <v>3.4792483944769201</v>
      </c>
      <c r="F611">
        <v>35.537674053299497</v>
      </c>
      <c r="G611">
        <v>0.96143875194251105</v>
      </c>
      <c r="H611">
        <v>3</v>
      </c>
    </row>
    <row r="612" spans="1:8">
      <c r="A612">
        <v>1.38487793998493</v>
      </c>
      <c r="B612">
        <v>4.2522278733910301</v>
      </c>
      <c r="C612">
        <v>25.1106881565638</v>
      </c>
      <c r="D612">
        <v>1.99102989747337</v>
      </c>
      <c r="E612">
        <v>3.5613281623921802</v>
      </c>
      <c r="F612">
        <v>34.574028814247598</v>
      </c>
      <c r="G612">
        <v>1.9882766783577599</v>
      </c>
      <c r="H612">
        <v>207</v>
      </c>
    </row>
    <row r="613" spans="1:8">
      <c r="A613">
        <v>1.2914691732886601</v>
      </c>
      <c r="B613">
        <v>4.2237262842294703</v>
      </c>
      <c r="C613">
        <v>25.148673124944999</v>
      </c>
      <c r="D613">
        <v>2.0016148682699302</v>
      </c>
      <c r="E613">
        <v>3.56683639311971</v>
      </c>
      <c r="F613">
        <v>32.002085602033297</v>
      </c>
      <c r="G613">
        <v>1.6822146884076099</v>
      </c>
      <c r="H613">
        <v>149</v>
      </c>
    </row>
    <row r="614" spans="1:8">
      <c r="A614">
        <v>1.32679761245085</v>
      </c>
      <c r="B614">
        <v>4.1860738038904604</v>
      </c>
      <c r="C614">
        <v>26.679397723828501</v>
      </c>
      <c r="D614">
        <v>1.89444836866248</v>
      </c>
      <c r="E614">
        <v>3.5722912844461598</v>
      </c>
      <c r="F614">
        <v>31.6336239084645</v>
      </c>
      <c r="G614">
        <v>1.91176056785584</v>
      </c>
      <c r="H614">
        <v>202</v>
      </c>
    </row>
    <row r="615" spans="1:8">
      <c r="A615">
        <v>1.4171771313580299</v>
      </c>
      <c r="B615">
        <v>4.1864596471457798</v>
      </c>
      <c r="C615">
        <v>25.6710461453672</v>
      </c>
      <c r="D615">
        <v>1.85876271555741</v>
      </c>
      <c r="E615">
        <v>3.6506512216871698</v>
      </c>
      <c r="F615">
        <v>31.901724912407499</v>
      </c>
      <c r="G615">
        <v>1.71548624323579</v>
      </c>
      <c r="H615">
        <v>193</v>
      </c>
    </row>
    <row r="616" spans="1:8">
      <c r="A616">
        <v>1.4979512986207599</v>
      </c>
      <c r="B616">
        <v>4.2104080315505596</v>
      </c>
      <c r="C616">
        <v>26.804197577606299</v>
      </c>
      <c r="D616">
        <v>2.2892325794275599</v>
      </c>
      <c r="E616">
        <v>3.44551619548273</v>
      </c>
      <c r="F616">
        <v>33.620236735865198</v>
      </c>
      <c r="G616">
        <v>1.4862128632667799</v>
      </c>
      <c r="H616">
        <v>107</v>
      </c>
    </row>
    <row r="617" spans="1:8">
      <c r="A617">
        <v>1.4220357733937601</v>
      </c>
      <c r="B617">
        <v>4.1560371232112701</v>
      </c>
      <c r="C617">
        <v>26.283268655738901</v>
      </c>
      <c r="D617">
        <v>1.8486345020271</v>
      </c>
      <c r="E617">
        <v>3.2066472791916101</v>
      </c>
      <c r="F617">
        <v>34.188973102470101</v>
      </c>
      <c r="G617">
        <v>1.8219360185393201</v>
      </c>
      <c r="H617">
        <v>174</v>
      </c>
    </row>
    <row r="618" spans="1:8">
      <c r="A618">
        <v>1.32139415343975</v>
      </c>
      <c r="B618">
        <v>4.2484662750997799</v>
      </c>
      <c r="C618">
        <v>29.3027584779317</v>
      </c>
      <c r="D618">
        <v>1.8759306106384701</v>
      </c>
      <c r="E618">
        <v>3.7472495077584398</v>
      </c>
      <c r="F618">
        <v>33.819681221287297</v>
      </c>
      <c r="G618">
        <v>1.5011731119467699</v>
      </c>
      <c r="H618">
        <v>148</v>
      </c>
    </row>
    <row r="619" spans="1:8">
      <c r="A619">
        <v>1.27829588253075</v>
      </c>
      <c r="B619">
        <v>4.2107510909865198</v>
      </c>
      <c r="C619">
        <v>28.508676770178202</v>
      </c>
      <c r="D619">
        <v>2.1117631451083101</v>
      </c>
      <c r="E619">
        <v>3.7551896269835301</v>
      </c>
      <c r="F619">
        <v>33.315625152506101</v>
      </c>
      <c r="G619">
        <v>0.88827197362985899</v>
      </c>
      <c r="H619">
        <v>29</v>
      </c>
    </row>
    <row r="620" spans="1:8">
      <c r="A620">
        <v>1.2984906298009899</v>
      </c>
      <c r="B620">
        <v>4.1403189489364598</v>
      </c>
      <c r="C620">
        <v>27.128925111233801</v>
      </c>
      <c r="D620">
        <v>1.9315921929659099</v>
      </c>
      <c r="E620">
        <v>3.9157439700277501</v>
      </c>
      <c r="F620">
        <v>31.048025511030598</v>
      </c>
      <c r="G620">
        <v>1.03639652953848</v>
      </c>
      <c r="H620">
        <v>29</v>
      </c>
    </row>
    <row r="621" spans="1:8">
      <c r="A621">
        <v>1.48820822243516</v>
      </c>
      <c r="B621">
        <v>4.2369469189169502</v>
      </c>
      <c r="C621">
        <v>25.703287521431701</v>
      </c>
      <c r="D621">
        <v>1.7947965367561001</v>
      </c>
      <c r="E621">
        <v>3.5025495764419698</v>
      </c>
      <c r="F621">
        <v>31.3798811363936</v>
      </c>
      <c r="G621">
        <v>0.99618109375695296</v>
      </c>
      <c r="H621">
        <v>7</v>
      </c>
    </row>
    <row r="622" spans="1:8">
      <c r="A622">
        <v>1.3639215215702301</v>
      </c>
      <c r="B622">
        <v>4.1984031269864204</v>
      </c>
      <c r="C622">
        <v>24.9645447107794</v>
      </c>
      <c r="D622">
        <v>1.9223910745864301</v>
      </c>
      <c r="E622">
        <v>3.9036882830383699</v>
      </c>
      <c r="F622">
        <v>32.091195704130698</v>
      </c>
      <c r="G622">
        <v>1.14928580095919</v>
      </c>
      <c r="H622">
        <v>81</v>
      </c>
    </row>
    <row r="623" spans="1:8">
      <c r="A623">
        <v>1.3515351433095999</v>
      </c>
      <c r="B623">
        <v>4.1693924971470198</v>
      </c>
      <c r="C623">
        <v>25.982806616623499</v>
      </c>
      <c r="D623">
        <v>2.0307871311361598</v>
      </c>
      <c r="E623">
        <v>3.7152416589102599</v>
      </c>
      <c r="F623">
        <v>31.556354238064198</v>
      </c>
      <c r="G623">
        <v>1.3164746355536201</v>
      </c>
      <c r="H623">
        <v>72</v>
      </c>
    </row>
    <row r="624" spans="1:8">
      <c r="A624">
        <v>1.1848421138279199</v>
      </c>
      <c r="B624">
        <v>4.1498714064303499</v>
      </c>
      <c r="C624">
        <v>28.766163695050999</v>
      </c>
      <c r="D624">
        <v>2.0637723392132701</v>
      </c>
      <c r="E624">
        <v>3.1224416237257402</v>
      </c>
      <c r="F624">
        <v>33.943731478290303</v>
      </c>
      <c r="G624">
        <v>1.52282406787441</v>
      </c>
      <c r="H624">
        <v>125</v>
      </c>
    </row>
    <row r="625" spans="1:8">
      <c r="A625">
        <v>1.59228654873224</v>
      </c>
      <c r="B625">
        <v>4.1299920215321499</v>
      </c>
      <c r="C625">
        <v>27.584795171979302</v>
      </c>
      <c r="D625">
        <v>2.0655863549462001</v>
      </c>
      <c r="E625">
        <v>3.9522603285927098</v>
      </c>
      <c r="F625">
        <v>33.431325408930199</v>
      </c>
      <c r="G625">
        <v>1.0925908994500499</v>
      </c>
      <c r="H625">
        <v>39</v>
      </c>
    </row>
    <row r="626" spans="1:8">
      <c r="A626">
        <v>1.3681113005094201</v>
      </c>
      <c r="B626">
        <v>4.2110998858848303</v>
      </c>
      <c r="C626">
        <v>26.0224637530367</v>
      </c>
      <c r="D626">
        <v>1.9891290848440899</v>
      </c>
      <c r="E626">
        <v>3.8459658367729102</v>
      </c>
      <c r="F626">
        <v>33.586860789364898</v>
      </c>
      <c r="G626">
        <v>1.5918330715212401</v>
      </c>
      <c r="H626">
        <v>128</v>
      </c>
    </row>
    <row r="627" spans="1:8">
      <c r="A627">
        <v>1.4683324924577099</v>
      </c>
      <c r="B627">
        <v>4.20052660570712</v>
      </c>
      <c r="C627">
        <v>25.6170108893654</v>
      </c>
      <c r="D627">
        <v>2.0827852836943999</v>
      </c>
      <c r="E627">
        <v>3.8384230467612301</v>
      </c>
      <c r="F627">
        <v>30.8013399503009</v>
      </c>
      <c r="G627">
        <v>1.0313296319858201</v>
      </c>
      <c r="H627">
        <v>18</v>
      </c>
    </row>
    <row r="628" spans="1:8">
      <c r="A628">
        <v>1.42324297165486</v>
      </c>
      <c r="B628">
        <v>4.1701992489253303</v>
      </c>
      <c r="C628">
        <v>27.057072267350499</v>
      </c>
      <c r="D628">
        <v>1.8293203158392799</v>
      </c>
      <c r="E628">
        <v>3.5446605779618001</v>
      </c>
      <c r="F628">
        <v>31.851396292024901</v>
      </c>
      <c r="G628">
        <v>1.1646786480006699</v>
      </c>
      <c r="H628">
        <v>83</v>
      </c>
    </row>
    <row r="629" spans="1:8">
      <c r="A629">
        <v>1.38842695484622</v>
      </c>
      <c r="B629">
        <v>4.24573639512779</v>
      </c>
      <c r="C629">
        <v>26.895736419556101</v>
      </c>
      <c r="D629">
        <v>2.0012226888713802</v>
      </c>
      <c r="E629">
        <v>3.5418027676641999</v>
      </c>
      <c r="F629">
        <v>35.872274706686397</v>
      </c>
      <c r="G629">
        <v>1.9552000459513901</v>
      </c>
      <c r="H629">
        <v>242</v>
      </c>
    </row>
    <row r="630" spans="1:8">
      <c r="A630">
        <v>1.5762080827593401</v>
      </c>
      <c r="B630">
        <v>4.2365545830912597</v>
      </c>
      <c r="C630">
        <v>25.515739912082498</v>
      </c>
      <c r="D630">
        <v>1.8360046090516899</v>
      </c>
      <c r="E630">
        <v>3.8551106108766402</v>
      </c>
      <c r="F630">
        <v>32.173114336624202</v>
      </c>
      <c r="G630">
        <v>1.9788147542860599</v>
      </c>
      <c r="H630">
        <v>245</v>
      </c>
    </row>
    <row r="631" spans="1:8">
      <c r="A631">
        <v>1.49743750938844</v>
      </c>
      <c r="B631">
        <v>4.1539639172495804</v>
      </c>
      <c r="C631">
        <v>27.1348629489841</v>
      </c>
      <c r="D631">
        <v>2.07145238797106</v>
      </c>
      <c r="E631">
        <v>4.1636727213146703</v>
      </c>
      <c r="F631">
        <v>32.498914785194501</v>
      </c>
      <c r="G631">
        <v>0.85271450875728905</v>
      </c>
      <c r="H631">
        <v>21</v>
      </c>
    </row>
    <row r="632" spans="1:8">
      <c r="A632">
        <v>1.50914753716123</v>
      </c>
      <c r="B632">
        <v>4.1466963960629402</v>
      </c>
      <c r="C632">
        <v>26.483647397908701</v>
      </c>
      <c r="D632">
        <v>2.04643307866478</v>
      </c>
      <c r="E632">
        <v>2.9739163378996301</v>
      </c>
      <c r="F632">
        <v>35.172358635933001</v>
      </c>
      <c r="G632">
        <v>1.97629892956694</v>
      </c>
      <c r="H632">
        <v>214</v>
      </c>
    </row>
    <row r="633" spans="1:8">
      <c r="A633">
        <v>1.28288286167704</v>
      </c>
      <c r="B633">
        <v>4.2411632043770098</v>
      </c>
      <c r="C633">
        <v>26.275704973384901</v>
      </c>
      <c r="D633">
        <v>2.0692087797276799</v>
      </c>
      <c r="E633">
        <v>3.9426003387917401</v>
      </c>
      <c r="F633">
        <v>31.922036035565199</v>
      </c>
      <c r="G633">
        <v>1.7647375246852399</v>
      </c>
      <c r="H633">
        <v>174</v>
      </c>
    </row>
    <row r="634" spans="1:8">
      <c r="A634">
        <v>1.47701116044032</v>
      </c>
      <c r="B634">
        <v>4.2079213512650302</v>
      </c>
      <c r="C634">
        <v>25.6117032494402</v>
      </c>
      <c r="D634">
        <v>2.0669765553881301</v>
      </c>
      <c r="E634">
        <v>3.22031059645392</v>
      </c>
      <c r="F634">
        <v>33.193572928409203</v>
      </c>
      <c r="G634">
        <v>1.5278736989203701</v>
      </c>
      <c r="H634">
        <v>157</v>
      </c>
    </row>
    <row r="635" spans="1:8">
      <c r="A635">
        <v>1.2089732436993801</v>
      </c>
      <c r="B635">
        <v>4.23066359418576</v>
      </c>
      <c r="C635">
        <v>27.901008804114099</v>
      </c>
      <c r="D635">
        <v>2.0512335281609801</v>
      </c>
      <c r="E635">
        <v>3.9729559205623501</v>
      </c>
      <c r="F635">
        <v>33.806435166301299</v>
      </c>
      <c r="G635">
        <v>1.5805008679519701</v>
      </c>
      <c r="H635">
        <v>166</v>
      </c>
    </row>
    <row r="636" spans="1:8">
      <c r="A636">
        <v>1.43830880180623</v>
      </c>
      <c r="B636">
        <v>4.17992953886211</v>
      </c>
      <c r="C636">
        <v>28.1368966787646</v>
      </c>
      <c r="D636">
        <v>1.9596666758902099</v>
      </c>
      <c r="E636">
        <v>3.2986733488013198</v>
      </c>
      <c r="F636">
        <v>36.576137361401003</v>
      </c>
      <c r="G636">
        <v>1.6110655044323201</v>
      </c>
      <c r="H636">
        <v>173</v>
      </c>
    </row>
    <row r="637" spans="1:8">
      <c r="A637">
        <v>1.35816658374906</v>
      </c>
      <c r="B637">
        <v>4.2120712745928701</v>
      </c>
      <c r="C637">
        <v>27.0589624862343</v>
      </c>
      <c r="D637">
        <v>1.9509866774036599</v>
      </c>
      <c r="E637">
        <v>3.8072056213002798</v>
      </c>
      <c r="F637">
        <v>31.7955644192077</v>
      </c>
      <c r="G637">
        <v>1.9165565675916001</v>
      </c>
      <c r="H637">
        <v>203</v>
      </c>
    </row>
    <row r="638" spans="1:8">
      <c r="A638">
        <v>1.3834020760002299</v>
      </c>
      <c r="B638">
        <v>4.2721916392982697</v>
      </c>
      <c r="C638">
        <v>24.8934043531989</v>
      </c>
      <c r="D638">
        <v>2.0281380608974602</v>
      </c>
      <c r="E638">
        <v>3.77893725960713</v>
      </c>
      <c r="F638">
        <v>31.316880612027301</v>
      </c>
      <c r="G638">
        <v>1.7599957137434099</v>
      </c>
      <c r="H638">
        <v>171</v>
      </c>
    </row>
    <row r="639" spans="1:8">
      <c r="A639">
        <v>1.6094780400072399</v>
      </c>
      <c r="B639">
        <v>4.2586264752025098</v>
      </c>
      <c r="C639">
        <v>26.931967272992999</v>
      </c>
      <c r="D639">
        <v>1.9251700212354299</v>
      </c>
      <c r="E639">
        <v>3.5676116491963001</v>
      </c>
      <c r="F639">
        <v>32.844669464350801</v>
      </c>
      <c r="G639">
        <v>0.86592052637116501</v>
      </c>
      <c r="H639">
        <v>23</v>
      </c>
    </row>
    <row r="640" spans="1:8">
      <c r="A640">
        <v>1.4221904151800999</v>
      </c>
      <c r="B640">
        <v>4.22630081161316</v>
      </c>
      <c r="C640">
        <v>29.6844795037869</v>
      </c>
      <c r="D640">
        <v>1.9677774818493801</v>
      </c>
      <c r="E640">
        <v>3.8677229946941698</v>
      </c>
      <c r="F640">
        <v>32.2122951499151</v>
      </c>
      <c r="G640">
        <v>1.0369047463279299</v>
      </c>
      <c r="H640">
        <v>58</v>
      </c>
    </row>
    <row r="641" spans="1:8">
      <c r="A641">
        <v>1.3376796067819601</v>
      </c>
      <c r="B641">
        <v>4.2366965409483299</v>
      </c>
      <c r="C641">
        <v>27.0697567360478</v>
      </c>
      <c r="D641">
        <v>2.0735773736298002</v>
      </c>
      <c r="E641">
        <v>3.13452853768925</v>
      </c>
      <c r="F641">
        <v>32.082988090686797</v>
      </c>
      <c r="G641">
        <v>1.9692362357516799</v>
      </c>
      <c r="H641">
        <v>216</v>
      </c>
    </row>
    <row r="642" spans="1:8">
      <c r="A642">
        <v>1.3143485274182201</v>
      </c>
      <c r="B642">
        <v>4.2149324785334699</v>
      </c>
      <c r="C642">
        <v>29.195678225567502</v>
      </c>
      <c r="D642">
        <v>2.0069442450572499</v>
      </c>
      <c r="E642">
        <v>2.7821142895843001</v>
      </c>
      <c r="F642">
        <v>33.650028483490303</v>
      </c>
      <c r="G642">
        <v>1.9824292744799901</v>
      </c>
      <c r="H642">
        <v>247</v>
      </c>
    </row>
    <row r="643" spans="1:8">
      <c r="A643">
        <v>1.51566763386271</v>
      </c>
      <c r="B643">
        <v>4.1990351485997399</v>
      </c>
      <c r="C643">
        <v>25.448293311284701</v>
      </c>
      <c r="D643">
        <v>2.0159867212493299</v>
      </c>
      <c r="E643">
        <v>3.08393250939874</v>
      </c>
      <c r="F643">
        <v>31.433289903662899</v>
      </c>
      <c r="G643">
        <v>1.1143013651733</v>
      </c>
      <c r="H643">
        <v>33</v>
      </c>
    </row>
    <row r="644" spans="1:8">
      <c r="A644">
        <v>1.5224453170322101</v>
      </c>
      <c r="B644">
        <v>4.1801097969128396</v>
      </c>
      <c r="C644">
        <v>25.162146773228301</v>
      </c>
      <c r="D644">
        <v>1.8012103379134199</v>
      </c>
      <c r="E644">
        <v>3.7514777656868099</v>
      </c>
      <c r="F644">
        <v>35.721000368278702</v>
      </c>
      <c r="G644">
        <v>1.51832589343737</v>
      </c>
      <c r="H644">
        <v>113</v>
      </c>
    </row>
    <row r="645" spans="1:8">
      <c r="A645">
        <v>1.3678960631767401</v>
      </c>
      <c r="B645">
        <v>4.2073453729227301</v>
      </c>
      <c r="C645">
        <v>27.307496118034301</v>
      </c>
      <c r="D645">
        <v>2.15441920661315</v>
      </c>
      <c r="E645">
        <v>3.3103925102127598</v>
      </c>
      <c r="F645">
        <v>30.909815535742599</v>
      </c>
      <c r="G645">
        <v>1.01059773830553</v>
      </c>
      <c r="H645">
        <v>54</v>
      </c>
    </row>
    <row r="646" spans="1:8">
      <c r="A646">
        <v>1.3654055833952401</v>
      </c>
      <c r="B646">
        <v>4.1997788946846102</v>
      </c>
      <c r="C646">
        <v>27.3537201824976</v>
      </c>
      <c r="D646">
        <v>2.01625661040856</v>
      </c>
      <c r="E646">
        <v>3.2228353873194799</v>
      </c>
      <c r="F646">
        <v>32.693429392133702</v>
      </c>
      <c r="G646">
        <v>1.69206654593243</v>
      </c>
      <c r="H646">
        <v>146</v>
      </c>
    </row>
    <row r="647" spans="1:8">
      <c r="A647">
        <v>1.4390786881220201</v>
      </c>
      <c r="B647">
        <v>4.1862975158214804</v>
      </c>
      <c r="C647">
        <v>27.432637768343199</v>
      </c>
      <c r="D647">
        <v>2.0690305948965402</v>
      </c>
      <c r="E647">
        <v>3.7442322977468798</v>
      </c>
      <c r="F647">
        <v>35.744322155688103</v>
      </c>
      <c r="G647">
        <v>1.7282952308289701</v>
      </c>
      <c r="H647">
        <v>196</v>
      </c>
    </row>
    <row r="648" spans="1:8">
      <c r="A648">
        <v>1.53528367838153</v>
      </c>
      <c r="B648">
        <v>4.2234958113263499</v>
      </c>
      <c r="C648">
        <v>28.4261802587076</v>
      </c>
      <c r="D648">
        <v>1.94593561971411</v>
      </c>
      <c r="E648">
        <v>3.2634790737498598</v>
      </c>
      <c r="F648">
        <v>31.757504341590799</v>
      </c>
      <c r="G648">
        <v>1.6716649766187099</v>
      </c>
      <c r="H648">
        <v>144</v>
      </c>
    </row>
    <row r="649" spans="1:8">
      <c r="A649">
        <v>1.5695332661270101</v>
      </c>
      <c r="B649">
        <v>4.2282133875569299</v>
      </c>
      <c r="C649">
        <v>27.298303918722201</v>
      </c>
      <c r="D649">
        <v>1.8531923263905401</v>
      </c>
      <c r="E649">
        <v>3.6466242638219701</v>
      </c>
      <c r="F649">
        <v>33.078638287161702</v>
      </c>
      <c r="G649">
        <v>1.10885777899205</v>
      </c>
      <c r="H649">
        <v>31</v>
      </c>
    </row>
    <row r="650" spans="1:8">
      <c r="A650">
        <v>1.2601770115897599</v>
      </c>
      <c r="B650">
        <v>4.2105033122222597</v>
      </c>
      <c r="C650">
        <v>26.901204211484998</v>
      </c>
      <c r="D650">
        <v>1.83584128383171</v>
      </c>
      <c r="E650">
        <v>3.1052937220474299</v>
      </c>
      <c r="F650">
        <v>30.568286068360901</v>
      </c>
      <c r="G650">
        <v>1.9683462114271799</v>
      </c>
      <c r="H650">
        <v>204</v>
      </c>
    </row>
    <row r="651" spans="1:8">
      <c r="A651">
        <v>1.49045732535825</v>
      </c>
      <c r="B651">
        <v>4.2043468173259102</v>
      </c>
      <c r="C651">
        <v>25.915638014465799</v>
      </c>
      <c r="D651">
        <v>1.92322081164671</v>
      </c>
      <c r="E651">
        <v>3.4580562752347701</v>
      </c>
      <c r="F651">
        <v>32.311392207444499</v>
      </c>
      <c r="G651">
        <v>1.8712057465115499</v>
      </c>
      <c r="H651">
        <v>193</v>
      </c>
    </row>
    <row r="652" spans="1:8">
      <c r="A652">
        <v>1.3844874983148401</v>
      </c>
      <c r="B652">
        <v>4.1992140377695701</v>
      </c>
      <c r="C652">
        <v>24.389860418312299</v>
      </c>
      <c r="D652">
        <v>2.2704627772516801</v>
      </c>
      <c r="E652">
        <v>3.27083141549392</v>
      </c>
      <c r="F652">
        <v>30.230832750286201</v>
      </c>
      <c r="G652">
        <v>1.47013891482017</v>
      </c>
      <c r="H652">
        <v>144</v>
      </c>
    </row>
    <row r="653" spans="1:8">
      <c r="A653">
        <v>1.3529182736043699</v>
      </c>
      <c r="B653">
        <v>4.2419807656208004</v>
      </c>
      <c r="C653">
        <v>25.5562748699416</v>
      </c>
      <c r="D653">
        <v>2.1137284121764699</v>
      </c>
      <c r="E653">
        <v>3.89148379542705</v>
      </c>
      <c r="F653">
        <v>32.032763864736197</v>
      </c>
      <c r="G653">
        <v>1.7775220917753001</v>
      </c>
      <c r="H653">
        <v>166</v>
      </c>
    </row>
    <row r="654" spans="1:8">
      <c r="A654">
        <v>1.45593549589576</v>
      </c>
      <c r="B654">
        <v>4.2104922729193204</v>
      </c>
      <c r="C654">
        <v>26.174234234432301</v>
      </c>
      <c r="D654">
        <v>1.8943614064894601</v>
      </c>
      <c r="E654">
        <v>4.0084718191898103</v>
      </c>
      <c r="F654">
        <v>34.143762514277199</v>
      </c>
      <c r="G654">
        <v>1.7398243143946499</v>
      </c>
      <c r="H654">
        <v>169</v>
      </c>
    </row>
    <row r="655" spans="1:8">
      <c r="A655">
        <v>1.3248638447364101</v>
      </c>
      <c r="B655">
        <v>4.2171495530422298</v>
      </c>
      <c r="C655">
        <v>26.4565989844859</v>
      </c>
      <c r="D655">
        <v>2.20530989169781</v>
      </c>
      <c r="E655">
        <v>3.7043372361693701</v>
      </c>
      <c r="F655">
        <v>33.313928843685098</v>
      </c>
      <c r="G655">
        <v>1.2738510717595599</v>
      </c>
      <c r="H655">
        <v>65</v>
      </c>
    </row>
    <row r="656" spans="1:8">
      <c r="A656">
        <v>1.2752866577994</v>
      </c>
      <c r="B656">
        <v>4.2134912398015603</v>
      </c>
      <c r="C656">
        <v>23.093347827764799</v>
      </c>
      <c r="D656">
        <v>1.9625258650759501</v>
      </c>
      <c r="E656">
        <v>3.32710210990692</v>
      </c>
      <c r="F656">
        <v>32.571327796263901</v>
      </c>
      <c r="G656">
        <v>1.94993089499534</v>
      </c>
      <c r="H656">
        <v>200</v>
      </c>
    </row>
    <row r="657" spans="1:8">
      <c r="A657">
        <v>1.4610834416099701</v>
      </c>
      <c r="B657">
        <v>4.3016880184526602</v>
      </c>
      <c r="C657">
        <v>25.291983834374701</v>
      </c>
      <c r="D657">
        <v>1.86931396564465</v>
      </c>
      <c r="E657">
        <v>3.5943382657145402</v>
      </c>
      <c r="F657">
        <v>32.412971184953101</v>
      </c>
      <c r="G657">
        <v>1.81049855647976</v>
      </c>
      <c r="H657">
        <v>182</v>
      </c>
    </row>
    <row r="658" spans="1:8">
      <c r="A658">
        <v>1.41688935148893</v>
      </c>
      <c r="B658">
        <v>4.0993054798477999</v>
      </c>
      <c r="C658">
        <v>28.008820679462801</v>
      </c>
      <c r="D658">
        <v>2.1981784758875298</v>
      </c>
      <c r="E658">
        <v>3.3382152553609798</v>
      </c>
      <c r="F658">
        <v>33.112068527137403</v>
      </c>
      <c r="G658">
        <v>1.20662090741726</v>
      </c>
      <c r="H658">
        <v>62</v>
      </c>
    </row>
    <row r="659" spans="1:8">
      <c r="A659">
        <v>1.3984993556484699</v>
      </c>
      <c r="B659">
        <v>4.2365684383495399</v>
      </c>
      <c r="C659">
        <v>25.455219471058101</v>
      </c>
      <c r="D659">
        <v>2.00181251130202</v>
      </c>
      <c r="E659">
        <v>3.5704176529273601</v>
      </c>
      <c r="F659">
        <v>36.8317822541147</v>
      </c>
      <c r="G659">
        <v>1.9114996647039999</v>
      </c>
      <c r="H659">
        <v>192</v>
      </c>
    </row>
    <row r="660" spans="1:8">
      <c r="A660">
        <v>1.19155894316945</v>
      </c>
      <c r="B660">
        <v>4.2666158114634696</v>
      </c>
      <c r="C660">
        <v>26.410966861867799</v>
      </c>
      <c r="D660">
        <v>2.2466073516415599</v>
      </c>
      <c r="E660">
        <v>3.1519173915040799</v>
      </c>
      <c r="F660">
        <v>33.400635478350097</v>
      </c>
      <c r="G660">
        <v>0.89649640445294898</v>
      </c>
      <c r="H660">
        <v>28</v>
      </c>
    </row>
    <row r="661" spans="1:8">
      <c r="A661">
        <v>1.3592624375195499</v>
      </c>
      <c r="B661">
        <v>4.1647355731687297</v>
      </c>
      <c r="C661">
        <v>26.928569750693399</v>
      </c>
      <c r="D661">
        <v>2.1503036999192799</v>
      </c>
      <c r="E661">
        <v>3.0805378629157101</v>
      </c>
      <c r="F661">
        <v>31.3836355820536</v>
      </c>
      <c r="G661">
        <v>1.2306360193966499</v>
      </c>
      <c r="H661">
        <v>55</v>
      </c>
    </row>
    <row r="662" spans="1:8">
      <c r="A662">
        <v>1.0993589331034801</v>
      </c>
      <c r="B662">
        <v>4.1910117577061898</v>
      </c>
      <c r="C662">
        <v>24.986495861425201</v>
      </c>
      <c r="D662">
        <v>2.0123380491809799</v>
      </c>
      <c r="E662">
        <v>3.2315942951757699</v>
      </c>
      <c r="F662">
        <v>33.518212305891197</v>
      </c>
      <c r="G662">
        <v>1.24827283881215</v>
      </c>
      <c r="H662">
        <v>59</v>
      </c>
    </row>
    <row r="663" spans="1:8">
      <c r="A663">
        <v>1.50611820122203</v>
      </c>
      <c r="B663">
        <v>4.2151839680705203</v>
      </c>
      <c r="C663">
        <v>24.6883940176461</v>
      </c>
      <c r="D663">
        <v>2.1123306646842002</v>
      </c>
      <c r="E663">
        <v>3.3261176215269499</v>
      </c>
      <c r="F663">
        <v>31.413897617323901</v>
      </c>
      <c r="G663">
        <v>1.1262063460801499</v>
      </c>
      <c r="H663">
        <v>44</v>
      </c>
    </row>
    <row r="664" spans="1:8">
      <c r="A664">
        <v>1.16463434685996</v>
      </c>
      <c r="B664">
        <v>4.1457612221099804</v>
      </c>
      <c r="C664">
        <v>25.248044101993099</v>
      </c>
      <c r="D664">
        <v>2.0174701945292401</v>
      </c>
      <c r="E664">
        <v>3.4105130233108198</v>
      </c>
      <c r="F664">
        <v>34.498907796516498</v>
      </c>
      <c r="G664">
        <v>1.2715733023959801</v>
      </c>
      <c r="H664">
        <v>105</v>
      </c>
    </row>
    <row r="665" spans="1:8">
      <c r="A665">
        <v>1.3654680009022899</v>
      </c>
      <c r="B665">
        <v>4.2256231459255602</v>
      </c>
      <c r="C665">
        <v>25.597006329271601</v>
      </c>
      <c r="D665">
        <v>1.9582878860663</v>
      </c>
      <c r="E665">
        <v>3.49606943486573</v>
      </c>
      <c r="F665">
        <v>33.723531937603497</v>
      </c>
      <c r="G665">
        <v>1.3012684067734901</v>
      </c>
      <c r="H665">
        <v>111</v>
      </c>
    </row>
    <row r="666" spans="1:8">
      <c r="A666">
        <v>1.4328850664022299</v>
      </c>
      <c r="B666">
        <v>4.2729857496614398</v>
      </c>
      <c r="C666">
        <v>26.091265816141199</v>
      </c>
      <c r="D666">
        <v>2.1567936138940098</v>
      </c>
      <c r="E666">
        <v>3.4916558648204998</v>
      </c>
      <c r="F666">
        <v>34.971255280688098</v>
      </c>
      <c r="G666">
        <v>1.02789237985214</v>
      </c>
      <c r="H666">
        <v>25</v>
      </c>
    </row>
    <row r="667" spans="1:8">
      <c r="A667">
        <v>1.4099284116780799</v>
      </c>
      <c r="B667">
        <v>4.1341347198716401</v>
      </c>
      <c r="C667">
        <v>25.1930081271463</v>
      </c>
      <c r="D667">
        <v>2.00547110144384</v>
      </c>
      <c r="E667">
        <v>3.06797027972104</v>
      </c>
      <c r="F667">
        <v>37.369144747704802</v>
      </c>
      <c r="G667">
        <v>1.2688119170502801</v>
      </c>
      <c r="H667">
        <v>103</v>
      </c>
    </row>
    <row r="668" spans="1:8">
      <c r="A668">
        <v>1.4539598723081799</v>
      </c>
      <c r="B668">
        <v>4.2195666043256601</v>
      </c>
      <c r="C668">
        <v>25.547690465377599</v>
      </c>
      <c r="D668">
        <v>2.2656435524199101</v>
      </c>
      <c r="E668">
        <v>3.5387893170817302</v>
      </c>
      <c r="F668">
        <v>32.762051778925503</v>
      </c>
      <c r="G668">
        <v>1.2283850615852301</v>
      </c>
      <c r="H668">
        <v>95</v>
      </c>
    </row>
    <row r="669" spans="1:8">
      <c r="A669">
        <v>1.4141247954199101</v>
      </c>
      <c r="B669">
        <v>4.12786972058825</v>
      </c>
      <c r="C669">
        <v>27.173780295351101</v>
      </c>
      <c r="D669">
        <v>2.0185174827624799</v>
      </c>
      <c r="E669">
        <v>3.04157326042785</v>
      </c>
      <c r="F669">
        <v>33.4120010325327</v>
      </c>
      <c r="G669">
        <v>1.0476976417039601</v>
      </c>
      <c r="H669">
        <v>20</v>
      </c>
    </row>
    <row r="670" spans="1:8">
      <c r="A670">
        <v>1.2733136393589599</v>
      </c>
      <c r="B670">
        <v>4.1524346277392103</v>
      </c>
      <c r="C670">
        <v>24.0974399033284</v>
      </c>
      <c r="D670">
        <v>2.1025018359658501</v>
      </c>
      <c r="E670">
        <v>3.2135790249773399</v>
      </c>
      <c r="F670">
        <v>32.150560679869798</v>
      </c>
      <c r="G670">
        <v>1.9887180935584801</v>
      </c>
      <c r="H670">
        <v>248</v>
      </c>
    </row>
    <row r="671" spans="1:8">
      <c r="A671">
        <v>1.56350068144704</v>
      </c>
      <c r="B671">
        <v>4.1289240846203503</v>
      </c>
      <c r="C671">
        <v>29.9684016985086</v>
      </c>
      <c r="D671">
        <v>2.1342430659743199</v>
      </c>
      <c r="E671">
        <v>3.16724846857303</v>
      </c>
      <c r="F671">
        <v>33.937700445529302</v>
      </c>
      <c r="G671">
        <v>0.87276237957602898</v>
      </c>
      <c r="H671">
        <v>24</v>
      </c>
    </row>
    <row r="672" spans="1:8">
      <c r="A672">
        <v>1.47564751075226</v>
      </c>
      <c r="B672">
        <v>4.1787798438640102</v>
      </c>
      <c r="C672">
        <v>26.929509139019601</v>
      </c>
      <c r="D672">
        <v>2.0317877488553799</v>
      </c>
      <c r="E672">
        <v>3.8146528015920902</v>
      </c>
      <c r="F672">
        <v>32.198632684482597</v>
      </c>
      <c r="G672">
        <v>0.99398500868510498</v>
      </c>
      <c r="H672">
        <v>51</v>
      </c>
    </row>
    <row r="673" spans="1:8">
      <c r="A673">
        <v>1.46473237918777</v>
      </c>
      <c r="B673">
        <v>4.2183766200276098</v>
      </c>
      <c r="C673">
        <v>26.830962014564602</v>
      </c>
      <c r="D673">
        <v>2.0497913679648998</v>
      </c>
      <c r="E673">
        <v>3.7365269211851202</v>
      </c>
      <c r="F673">
        <v>33.947676677817299</v>
      </c>
      <c r="G673">
        <v>1.23234029965715</v>
      </c>
      <c r="H673">
        <v>97</v>
      </c>
    </row>
    <row r="674" spans="1:8">
      <c r="A674">
        <v>1.19463610465785</v>
      </c>
      <c r="B674">
        <v>4.2377183487488201</v>
      </c>
      <c r="C674">
        <v>29.242262757816</v>
      </c>
      <c r="D674">
        <v>2.03431272373123</v>
      </c>
      <c r="E674">
        <v>3.8086010099629601</v>
      </c>
      <c r="F674">
        <v>34.763193816502302</v>
      </c>
      <c r="G674">
        <v>1.6643182665578899</v>
      </c>
      <c r="H674">
        <v>152</v>
      </c>
    </row>
    <row r="675" spans="1:8">
      <c r="A675">
        <v>1.3939165325585701</v>
      </c>
      <c r="B675">
        <v>4.1720976606528701</v>
      </c>
      <c r="C675">
        <v>25.7301417506742</v>
      </c>
      <c r="D675">
        <v>1.80507897890937</v>
      </c>
      <c r="E675">
        <v>3.4561781429815999</v>
      </c>
      <c r="F675">
        <v>34.886984475490003</v>
      </c>
      <c r="G675">
        <v>0.96967417698890801</v>
      </c>
      <c r="H675">
        <v>5</v>
      </c>
    </row>
    <row r="676" spans="1:8">
      <c r="A676">
        <v>1.39721755594632</v>
      </c>
      <c r="B676">
        <v>4.1830036094784298</v>
      </c>
      <c r="C676">
        <v>28.396566832769398</v>
      </c>
      <c r="D676">
        <v>1.9973056153733599</v>
      </c>
      <c r="E676">
        <v>3.7858181724742299</v>
      </c>
      <c r="F676">
        <v>31.643628373785099</v>
      </c>
      <c r="G676">
        <v>1.1598368128632199</v>
      </c>
      <c r="H676">
        <v>51</v>
      </c>
    </row>
    <row r="677" spans="1:8">
      <c r="A677">
        <v>1.32653915695691</v>
      </c>
      <c r="B677">
        <v>4.2140892959518901</v>
      </c>
      <c r="C677">
        <v>27.522684299064601</v>
      </c>
      <c r="D677">
        <v>2.1095780017850698</v>
      </c>
      <c r="E677">
        <v>3.4738230203338998</v>
      </c>
      <c r="F677">
        <v>31.851802015597901</v>
      </c>
      <c r="G677">
        <v>1.9909057096267899</v>
      </c>
      <c r="H677">
        <v>249</v>
      </c>
    </row>
    <row r="678" spans="1:8">
      <c r="A678">
        <v>1.4511311421456099</v>
      </c>
      <c r="B678">
        <v>4.1532625786628801</v>
      </c>
      <c r="C678">
        <v>27.014353189936902</v>
      </c>
      <c r="D678">
        <v>1.95692564576765</v>
      </c>
      <c r="E678">
        <v>3.6117215947519101</v>
      </c>
      <c r="F678">
        <v>35.5036946458779</v>
      </c>
      <c r="G678">
        <v>1.18594935026807</v>
      </c>
      <c r="H678">
        <v>57</v>
      </c>
    </row>
    <row r="679" spans="1:8">
      <c r="A679">
        <v>1.4558411824183599</v>
      </c>
      <c r="B679">
        <v>4.2284973830106303</v>
      </c>
      <c r="C679">
        <v>26.313767960374499</v>
      </c>
      <c r="D679">
        <v>2.1066286657122002</v>
      </c>
      <c r="E679">
        <v>4.0185758073284399</v>
      </c>
      <c r="F679">
        <v>32.977852678712601</v>
      </c>
      <c r="G679">
        <v>1.55231648454993</v>
      </c>
      <c r="H679">
        <v>120</v>
      </c>
    </row>
    <row r="680" spans="1:8">
      <c r="A680">
        <v>1.5117390125036501</v>
      </c>
      <c r="B680">
        <v>4.1426566557379996</v>
      </c>
      <c r="C680">
        <v>26.217298580703101</v>
      </c>
      <c r="D680">
        <v>1.89111118882088</v>
      </c>
      <c r="E680">
        <v>3.12351992433695</v>
      </c>
      <c r="F680">
        <v>30.9762624560536</v>
      </c>
      <c r="G680">
        <v>1.0326681133434299</v>
      </c>
      <c r="H680">
        <v>26</v>
      </c>
    </row>
    <row r="681" spans="1:8">
      <c r="A681">
        <v>1.4704971450739199</v>
      </c>
      <c r="B681">
        <v>4.1605282480113503</v>
      </c>
      <c r="C681">
        <v>28.3975846309216</v>
      </c>
      <c r="D681">
        <v>1.88755352422098</v>
      </c>
      <c r="E681">
        <v>3.9437355474879201</v>
      </c>
      <c r="F681">
        <v>37.4455375835757</v>
      </c>
      <c r="G681">
        <v>0.887045711926017</v>
      </c>
      <c r="H681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J12" sqref="J12"/>
    </sheetView>
  </sheetViews>
  <sheetFormatPr defaultRowHeight="14.25"/>
  <sheetData>
    <row r="1" spans="1:3">
      <c r="A1" s="11" t="s">
        <v>28</v>
      </c>
      <c r="B1" s="11" t="s">
        <v>29</v>
      </c>
      <c r="C1" s="11" t="s">
        <v>30</v>
      </c>
    </row>
    <row r="2" spans="1:3">
      <c r="A2" s="12">
        <v>1</v>
      </c>
      <c r="B2" s="12">
        <v>0.92803450081777006</v>
      </c>
      <c r="C2" s="12">
        <v>16.452150542478861</v>
      </c>
    </row>
    <row r="3" spans="1:3">
      <c r="A3">
        <v>2</v>
      </c>
      <c r="B3">
        <v>0.91875365128530251</v>
      </c>
      <c r="C3">
        <v>19.101643367391318</v>
      </c>
    </row>
    <row r="4" spans="1:3">
      <c r="A4">
        <v>3</v>
      </c>
      <c r="B4">
        <v>0.92235778477616293</v>
      </c>
      <c r="C4">
        <v>19.326402340468839</v>
      </c>
    </row>
    <row r="5" spans="1:3">
      <c r="A5">
        <v>4</v>
      </c>
      <c r="B5">
        <v>0.90904800368938377</v>
      </c>
      <c r="C5">
        <v>20.1251032904092</v>
      </c>
    </row>
    <row r="6" spans="1:3">
      <c r="A6">
        <v>5</v>
      </c>
      <c r="B6">
        <v>0.9206950633209231</v>
      </c>
      <c r="C6">
        <v>19.103499244055438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Views>
    <sheetView workbookViewId="0"/>
  </sheetViews>
  <sheetFormatPr defaultRowHeight="14.25"/>
  <sheetData>
    <row r="1" spans="1:8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>
        <v>1.4074497810794799</v>
      </c>
      <c r="B2">
        <v>4.1845945401262599</v>
      </c>
      <c r="C2">
        <v>26.736025180159199</v>
      </c>
      <c r="D2">
        <v>1.9795351407164401</v>
      </c>
      <c r="E2">
        <v>3.02564569918257</v>
      </c>
      <c r="F2">
        <v>32.303220300501202</v>
      </c>
      <c r="G2">
        <v>0.757443860761984</v>
      </c>
      <c r="H2">
        <v>1</v>
      </c>
    </row>
    <row r="3" spans="1:8">
      <c r="A3">
        <v>1.26745825441323</v>
      </c>
      <c r="B3">
        <v>4.1961829376000601</v>
      </c>
      <c r="C3">
        <v>25.6736941308944</v>
      </c>
      <c r="D3">
        <v>2.1712795139458798</v>
      </c>
      <c r="E3">
        <v>2.9879474410300899</v>
      </c>
      <c r="F3">
        <v>34.889040963303401</v>
      </c>
      <c r="G3">
        <v>1.90265667579144</v>
      </c>
      <c r="H3">
        <v>231</v>
      </c>
    </row>
    <row r="4" spans="1:8">
      <c r="A4">
        <v>1.3561254674884999</v>
      </c>
      <c r="B4">
        <v>4.1216617881180397</v>
      </c>
      <c r="C4">
        <v>26.651306379628402</v>
      </c>
      <c r="D4">
        <v>1.89143430820943</v>
      </c>
      <c r="E4">
        <v>4.0661690884801303</v>
      </c>
      <c r="F4">
        <v>32.366849600054401</v>
      </c>
      <c r="G4">
        <v>0.78084775882758495</v>
      </c>
      <c r="H4">
        <v>6</v>
      </c>
    </row>
    <row r="5" spans="1:8">
      <c r="A5">
        <v>1.56856043753917</v>
      </c>
      <c r="B5">
        <v>4.1381437411296398</v>
      </c>
      <c r="C5">
        <v>27.271251336255698</v>
      </c>
      <c r="D5">
        <v>1.9908818710796401</v>
      </c>
      <c r="E5">
        <v>4.1798099356859</v>
      </c>
      <c r="F5">
        <v>26.848457296418001</v>
      </c>
      <c r="G5">
        <v>1.90736380083138</v>
      </c>
      <c r="H5">
        <v>201</v>
      </c>
    </row>
    <row r="6" spans="1:8">
      <c r="A6">
        <v>1.63971168691514</v>
      </c>
      <c r="B6">
        <v>4.2550269048007303</v>
      </c>
      <c r="C6">
        <v>28.499856971299199</v>
      </c>
      <c r="D6">
        <v>2.0171263054889201</v>
      </c>
      <c r="E6">
        <v>3.76283784795412</v>
      </c>
      <c r="F6">
        <v>33.417981186154798</v>
      </c>
      <c r="G6">
        <v>1.7574834220209901</v>
      </c>
      <c r="H6">
        <v>201</v>
      </c>
    </row>
    <row r="7" spans="1:8">
      <c r="A7">
        <v>1.4277181561277399</v>
      </c>
      <c r="B7">
        <v>4.2167822932943997</v>
      </c>
      <c r="C7">
        <v>26.2534909801407</v>
      </c>
      <c r="D7">
        <v>2.05887751371717</v>
      </c>
      <c r="E7">
        <v>3.2183676264729</v>
      </c>
      <c r="F7">
        <v>32.778544599036401</v>
      </c>
      <c r="G7">
        <v>1.8790944719485401</v>
      </c>
      <c r="H7">
        <v>227</v>
      </c>
    </row>
    <row r="8" spans="1:8">
      <c r="A8">
        <v>1.39874388540168</v>
      </c>
      <c r="B8">
        <v>4.1906365161814598</v>
      </c>
      <c r="C8">
        <v>26.134994862545401</v>
      </c>
      <c r="D8">
        <v>1.9567419956333301</v>
      </c>
      <c r="E8">
        <v>3.47951448790108</v>
      </c>
      <c r="F8">
        <v>28.909717651272501</v>
      </c>
      <c r="G8">
        <v>0.94770265699254497</v>
      </c>
      <c r="H8">
        <v>38</v>
      </c>
    </row>
    <row r="9" spans="1:8">
      <c r="A9">
        <v>1.46460614126389</v>
      </c>
      <c r="B9">
        <v>4.1631671257327998</v>
      </c>
      <c r="C9">
        <v>26.815537304003598</v>
      </c>
      <c r="D9">
        <v>2.4112256604458602</v>
      </c>
      <c r="E9">
        <v>3.7908525063673002</v>
      </c>
      <c r="F9">
        <v>36.334689706776402</v>
      </c>
      <c r="G9">
        <v>1.69629371504244</v>
      </c>
      <c r="H9">
        <v>158</v>
      </c>
    </row>
    <row r="10" spans="1:8">
      <c r="A10">
        <v>1.46661731909954</v>
      </c>
      <c r="B10">
        <v>4.2221229404480498</v>
      </c>
      <c r="C10">
        <v>28.805531874200799</v>
      </c>
      <c r="D10">
        <v>2.0322875366308999</v>
      </c>
      <c r="E10">
        <v>4.0003008219601197</v>
      </c>
      <c r="F10">
        <v>32.238154757310902</v>
      </c>
      <c r="G10">
        <v>1.22069747248098</v>
      </c>
      <c r="H10">
        <v>64</v>
      </c>
    </row>
    <row r="11" spans="1:8">
      <c r="A11">
        <v>1.4565461933081201</v>
      </c>
      <c r="B11">
        <v>4.2576484702722297</v>
      </c>
      <c r="C11">
        <v>28.645470073222</v>
      </c>
      <c r="D11">
        <v>1.9234266822981301</v>
      </c>
      <c r="E11">
        <v>3.7731121903446998</v>
      </c>
      <c r="F11">
        <v>34.197822552642101</v>
      </c>
      <c r="G11">
        <v>1.2779478326129401</v>
      </c>
      <c r="H11">
        <v>66</v>
      </c>
    </row>
    <row r="12" spans="1:8">
      <c r="A12">
        <v>1.41182607668213</v>
      </c>
      <c r="B12">
        <v>4.2439530991785404</v>
      </c>
      <c r="C12">
        <v>28.168071725634402</v>
      </c>
      <c r="D12">
        <v>1.95758026367802</v>
      </c>
      <c r="E12">
        <v>3.1349165892348099</v>
      </c>
      <c r="F12">
        <v>29.577412866486899</v>
      </c>
      <c r="G12">
        <v>1.85775887429185</v>
      </c>
      <c r="H12">
        <v>190</v>
      </c>
    </row>
    <row r="13" spans="1:8">
      <c r="A13">
        <v>1.37439936663225</v>
      </c>
      <c r="B13">
        <v>4.1976297096725697</v>
      </c>
      <c r="C13">
        <v>26.998032147675598</v>
      </c>
      <c r="D13">
        <v>1.88069754383779</v>
      </c>
      <c r="E13">
        <v>3.7359699896899299</v>
      </c>
      <c r="F13">
        <v>32.360457821454403</v>
      </c>
      <c r="G13">
        <v>1.6643344994631799</v>
      </c>
      <c r="H13">
        <v>143</v>
      </c>
    </row>
    <row r="14" spans="1:8">
      <c r="A14">
        <v>1.37278157655587</v>
      </c>
      <c r="B14">
        <v>4.2312649478099704</v>
      </c>
      <c r="C14">
        <v>29.726962893737799</v>
      </c>
      <c r="D14">
        <v>2.07455044015799</v>
      </c>
      <c r="E14">
        <v>3.49732323972305</v>
      </c>
      <c r="F14">
        <v>35.131491879220199</v>
      </c>
      <c r="G14">
        <v>1.20572372183432</v>
      </c>
      <c r="H14">
        <v>61</v>
      </c>
    </row>
    <row r="15" spans="1:8">
      <c r="A15">
        <v>1.3790810850428401</v>
      </c>
      <c r="B15">
        <v>4.1730344978391596</v>
      </c>
      <c r="C15">
        <v>25.778394052766298</v>
      </c>
      <c r="D15">
        <v>2.0453923979868001</v>
      </c>
      <c r="E15">
        <v>3.48233449223466</v>
      </c>
      <c r="F15">
        <v>34.306146646195302</v>
      </c>
      <c r="G15">
        <v>1.59115920524459</v>
      </c>
      <c r="H15">
        <v>167</v>
      </c>
    </row>
    <row r="16" spans="1:8">
      <c r="A16">
        <v>1.2836891352625699</v>
      </c>
      <c r="B16">
        <v>4.1277373318893504</v>
      </c>
      <c r="C16">
        <v>25.030217591089901</v>
      </c>
      <c r="D16">
        <v>1.94250872098539</v>
      </c>
      <c r="E16">
        <v>3.79222566196268</v>
      </c>
      <c r="F16">
        <v>33.535395519169001</v>
      </c>
      <c r="G16">
        <v>1.50038502035884</v>
      </c>
      <c r="H16">
        <v>149</v>
      </c>
    </row>
    <row r="17" spans="1:8">
      <c r="A17">
        <v>1.6116900245747099</v>
      </c>
      <c r="B17">
        <v>4.2245068110332298</v>
      </c>
      <c r="C17">
        <v>25.479124571037602</v>
      </c>
      <c r="D17">
        <v>2.03182592884442</v>
      </c>
      <c r="E17">
        <v>3.8115387522674702</v>
      </c>
      <c r="F17">
        <v>31.847295076905901</v>
      </c>
      <c r="G17">
        <v>0.99968914873708403</v>
      </c>
      <c r="H17">
        <v>9</v>
      </c>
    </row>
    <row r="18" spans="1:8">
      <c r="A18">
        <v>1.4523937051445499</v>
      </c>
      <c r="B18">
        <v>4.2614580262247497</v>
      </c>
      <c r="C18">
        <v>25.6812285609697</v>
      </c>
      <c r="D18">
        <v>1.8485633619513899</v>
      </c>
      <c r="E18">
        <v>3.12010472910847</v>
      </c>
      <c r="F18">
        <v>34.484878488314799</v>
      </c>
      <c r="G18">
        <v>1.65507292117633</v>
      </c>
      <c r="H18">
        <v>182</v>
      </c>
    </row>
    <row r="19" spans="1:8">
      <c r="A19">
        <v>1.33003648569308</v>
      </c>
      <c r="B19">
        <v>4.1616098927046403</v>
      </c>
      <c r="C19">
        <v>25.5427561073828</v>
      </c>
      <c r="D19">
        <v>2.1326019065897599</v>
      </c>
      <c r="E19">
        <v>2.9928555886759902</v>
      </c>
      <c r="F19">
        <v>36.387968412728803</v>
      </c>
      <c r="G19">
        <v>1.3256420236992601</v>
      </c>
      <c r="H19">
        <v>74</v>
      </c>
    </row>
    <row r="20" spans="1:8">
      <c r="A20">
        <v>1.2196549247041599</v>
      </c>
      <c r="B20">
        <v>4.2690435704979004</v>
      </c>
      <c r="C20">
        <v>25.228851581970702</v>
      </c>
      <c r="D20">
        <v>1.88986749445973</v>
      </c>
      <c r="E20">
        <v>3.3137287848746402</v>
      </c>
      <c r="F20">
        <v>30.6952090555213</v>
      </c>
      <c r="G20">
        <v>1.4269164219708399</v>
      </c>
      <c r="H20">
        <v>135</v>
      </c>
    </row>
    <row r="21" spans="1:8">
      <c r="A21">
        <v>1.20753806430855</v>
      </c>
      <c r="B21">
        <v>4.19339204654848</v>
      </c>
      <c r="C21">
        <v>29.479802451181499</v>
      </c>
      <c r="D21">
        <v>2.08516380201729</v>
      </c>
      <c r="E21">
        <v>3.7917895441864</v>
      </c>
      <c r="F21">
        <v>33.887573302222201</v>
      </c>
      <c r="G21">
        <v>0.926767291601442</v>
      </c>
      <c r="H21">
        <v>36</v>
      </c>
    </row>
    <row r="22" spans="1:8">
      <c r="A22">
        <v>1.34282173838895</v>
      </c>
      <c r="B22">
        <v>4.2164190720052801</v>
      </c>
      <c r="C22">
        <v>25.498437957003599</v>
      </c>
      <c r="D22">
        <v>1.96057317221022</v>
      </c>
      <c r="E22">
        <v>3.17801122191038</v>
      </c>
      <c r="F22">
        <v>36.350405584031797</v>
      </c>
      <c r="G22">
        <v>0.91988506638944001</v>
      </c>
      <c r="H22">
        <v>4</v>
      </c>
    </row>
    <row r="23" spans="1:8">
      <c r="A23">
        <v>1.28037751614629</v>
      </c>
      <c r="B23">
        <v>4.2358628700755796</v>
      </c>
      <c r="C23">
        <v>24.8545966681652</v>
      </c>
      <c r="D23">
        <v>1.8250966784762099</v>
      </c>
      <c r="E23">
        <v>4.0208975143920096</v>
      </c>
      <c r="F23">
        <v>31.065412063624599</v>
      </c>
      <c r="G23">
        <v>1.51986953800615</v>
      </c>
      <c r="H23">
        <v>115</v>
      </c>
    </row>
    <row r="24" spans="1:8">
      <c r="A24">
        <v>1.3613246180171299</v>
      </c>
      <c r="B24">
        <v>4.2047971593911404</v>
      </c>
      <c r="C24">
        <v>25.307819471402102</v>
      </c>
      <c r="D24">
        <v>2.0607580819874101</v>
      </c>
      <c r="E24">
        <v>3.0553899459965601</v>
      </c>
      <c r="F24">
        <v>33.514874115884702</v>
      </c>
      <c r="G24">
        <v>1.3515899480684299</v>
      </c>
      <c r="H24">
        <v>80</v>
      </c>
    </row>
    <row r="25" spans="1:8">
      <c r="A25">
        <v>1.4878197223587699</v>
      </c>
      <c r="B25">
        <v>4.1896414324233504</v>
      </c>
      <c r="C25">
        <v>29.730859518855802</v>
      </c>
      <c r="D25">
        <v>1.9256564668140499</v>
      </c>
      <c r="E25">
        <v>3.7360925574204198</v>
      </c>
      <c r="F25">
        <v>35.438873790797601</v>
      </c>
      <c r="G25">
        <v>0.96782971523291195</v>
      </c>
      <c r="H25">
        <v>15</v>
      </c>
    </row>
    <row r="26" spans="1:8">
      <c r="A26">
        <v>1.22748273913563</v>
      </c>
      <c r="B26">
        <v>4.2035352744325101</v>
      </c>
      <c r="C26">
        <v>25.336368032331599</v>
      </c>
      <c r="D26">
        <v>1.8484900361332799</v>
      </c>
      <c r="E26">
        <v>3.2691459845822899</v>
      </c>
      <c r="F26">
        <v>32.834213152589101</v>
      </c>
      <c r="G26">
        <v>1.9139211264429701</v>
      </c>
      <c r="H26">
        <v>233</v>
      </c>
    </row>
    <row r="27" spans="1:8">
      <c r="A27">
        <v>1.2149948087486599</v>
      </c>
      <c r="B27">
        <v>4.2175242493963596</v>
      </c>
      <c r="C27">
        <v>27.1688408669457</v>
      </c>
      <c r="D27">
        <v>1.76038139402439</v>
      </c>
      <c r="E27">
        <v>3.6238971775046398</v>
      </c>
      <c r="F27">
        <v>33.314325998084101</v>
      </c>
      <c r="G27">
        <v>0.91094424260616103</v>
      </c>
      <c r="H27">
        <v>1</v>
      </c>
    </row>
    <row r="28" spans="1:8">
      <c r="A28">
        <v>1.3385854581248799</v>
      </c>
      <c r="B28">
        <v>4.2021118817746697</v>
      </c>
      <c r="C28">
        <v>26.852982593175401</v>
      </c>
      <c r="D28">
        <v>2.1681515686021999</v>
      </c>
      <c r="E28">
        <v>3.3028029979747502</v>
      </c>
      <c r="F28">
        <v>32.4801630680793</v>
      </c>
      <c r="G28">
        <v>0.96009711422877397</v>
      </c>
      <c r="H28">
        <v>42</v>
      </c>
    </row>
    <row r="29" spans="1:8">
      <c r="A29">
        <v>1.38607730500849</v>
      </c>
      <c r="B29">
        <v>4.2695944550574501</v>
      </c>
      <c r="C29">
        <v>27.5519851276661</v>
      </c>
      <c r="D29">
        <v>2.0034707832035799</v>
      </c>
      <c r="E29">
        <v>3.50665739379515</v>
      </c>
      <c r="F29">
        <v>37.669763274759298</v>
      </c>
      <c r="G29">
        <v>1.18609111783494</v>
      </c>
      <c r="H29">
        <v>56</v>
      </c>
    </row>
    <row r="30" spans="1:8">
      <c r="A30">
        <v>1.21813084521797</v>
      </c>
      <c r="B30">
        <v>4.1568717544002203</v>
      </c>
      <c r="C30">
        <v>26.336864737130899</v>
      </c>
      <c r="D30">
        <v>2.0858389218556099</v>
      </c>
      <c r="E30">
        <v>3.8604410786891599</v>
      </c>
      <c r="F30">
        <v>35.5531279446136</v>
      </c>
      <c r="G30">
        <v>1.2154246550519701</v>
      </c>
      <c r="H30">
        <v>54</v>
      </c>
    </row>
    <row r="31" spans="1:8">
      <c r="A31">
        <v>1.39859477117801</v>
      </c>
      <c r="B31">
        <v>4.2072102534690696</v>
      </c>
      <c r="C31">
        <v>28.832448582545101</v>
      </c>
      <c r="D31">
        <v>2.0448420047110099</v>
      </c>
      <c r="E31">
        <v>3.1311117312699999</v>
      </c>
      <c r="F31">
        <v>32.968271088965203</v>
      </c>
      <c r="G31">
        <v>1.1781023735605201</v>
      </c>
      <c r="H31">
        <v>85</v>
      </c>
    </row>
    <row r="32" spans="1:8">
      <c r="A32">
        <v>1.3427284116514799</v>
      </c>
      <c r="B32">
        <v>4.1893948452672403</v>
      </c>
      <c r="C32">
        <v>25.908088505718698</v>
      </c>
      <c r="D32">
        <v>2.1376660800923899</v>
      </c>
      <c r="E32">
        <v>4.04446587419653</v>
      </c>
      <c r="F32">
        <v>32.4292221575881</v>
      </c>
      <c r="G32">
        <v>0.98826024585487804</v>
      </c>
      <c r="H32">
        <v>8</v>
      </c>
    </row>
    <row r="33" spans="1:8">
      <c r="A33">
        <v>1.4808655218083</v>
      </c>
      <c r="B33">
        <v>4.1619822382830103</v>
      </c>
      <c r="C33">
        <v>25.6564579833103</v>
      </c>
      <c r="D33">
        <v>2.0323614676694399</v>
      </c>
      <c r="E33">
        <v>3.2806354982057599</v>
      </c>
      <c r="F33">
        <v>31.991812572982901</v>
      </c>
      <c r="G33">
        <v>1.4321881810477499</v>
      </c>
      <c r="H33">
        <v>97</v>
      </c>
    </row>
    <row r="34" spans="1:8">
      <c r="A34">
        <v>1.3981339588259301</v>
      </c>
      <c r="B34">
        <v>4.1712378202832001</v>
      </c>
      <c r="C34">
        <v>26.1251447855416</v>
      </c>
      <c r="D34">
        <v>1.9201406801838301</v>
      </c>
      <c r="E34">
        <v>3.7292021989631601</v>
      </c>
      <c r="F34">
        <v>33.881881376436198</v>
      </c>
      <c r="G34">
        <v>1.24340813208703</v>
      </c>
      <c r="H34">
        <v>98</v>
      </c>
    </row>
    <row r="35" spans="1:8">
      <c r="A35">
        <v>1.35392611695956</v>
      </c>
      <c r="B35">
        <v>4.1773066498877496</v>
      </c>
      <c r="C35">
        <v>27.817572084752499</v>
      </c>
      <c r="D35">
        <v>2.04261455536682</v>
      </c>
      <c r="E35">
        <v>3.4883609002309202</v>
      </c>
      <c r="F35">
        <v>31.260784743787902</v>
      </c>
      <c r="G35">
        <v>1.1290668251595799</v>
      </c>
      <c r="H35">
        <v>36</v>
      </c>
    </row>
    <row r="36" spans="1:8">
      <c r="A36">
        <v>1.4164668231898001</v>
      </c>
      <c r="B36">
        <v>4.24939765607553</v>
      </c>
      <c r="C36">
        <v>28.3602926276169</v>
      </c>
      <c r="D36">
        <v>1.97449442782511</v>
      </c>
      <c r="E36">
        <v>3.4128050798282401</v>
      </c>
      <c r="F36">
        <v>32.740884248702301</v>
      </c>
      <c r="G36">
        <v>1.47405297174302</v>
      </c>
      <c r="H36">
        <v>115</v>
      </c>
    </row>
    <row r="37" spans="1:8">
      <c r="A37">
        <v>1.4194807171887101</v>
      </c>
      <c r="B37">
        <v>4.2479276275128601</v>
      </c>
      <c r="C37">
        <v>27.661603993492101</v>
      </c>
      <c r="D37">
        <v>2.0428131635956501</v>
      </c>
      <c r="E37">
        <v>3.6578799778114801</v>
      </c>
      <c r="F37">
        <v>30.535574338252399</v>
      </c>
      <c r="G37">
        <v>1.4209074237894801</v>
      </c>
      <c r="H37">
        <v>105</v>
      </c>
    </row>
    <row r="38" spans="1:8">
      <c r="A38">
        <v>1.4249526825919501</v>
      </c>
      <c r="B38">
        <v>4.1923964174940798</v>
      </c>
      <c r="C38">
        <v>24.873831888891701</v>
      </c>
      <c r="D38">
        <v>2.04558259511048</v>
      </c>
      <c r="E38">
        <v>3.4608283962333202</v>
      </c>
      <c r="F38">
        <v>33.392321220563403</v>
      </c>
      <c r="G38">
        <v>1.10662037613443</v>
      </c>
      <c r="H38">
        <v>70</v>
      </c>
    </row>
    <row r="39" spans="1:8">
      <c r="A39">
        <v>1.4779605436190699</v>
      </c>
      <c r="B39">
        <v>4.1999134026455103</v>
      </c>
      <c r="C39">
        <v>28.982299110422701</v>
      </c>
      <c r="D39">
        <v>2.1114945401831302</v>
      </c>
      <c r="E39">
        <v>3.1033998614672198</v>
      </c>
      <c r="F39">
        <v>36.304685586809399</v>
      </c>
      <c r="G39">
        <v>1.21776099872002</v>
      </c>
      <c r="H39">
        <v>94</v>
      </c>
    </row>
    <row r="40" spans="1:8">
      <c r="A40">
        <v>1.4517975551206299</v>
      </c>
      <c r="B40">
        <v>4.13210152682987</v>
      </c>
      <c r="C40">
        <v>26.661239481056999</v>
      </c>
      <c r="D40">
        <v>1.9430015969279799</v>
      </c>
      <c r="E40">
        <v>3.57585390907842</v>
      </c>
      <c r="F40">
        <v>33.217421773725903</v>
      </c>
      <c r="G40">
        <v>1.8498597843851601</v>
      </c>
      <c r="H40">
        <v>179</v>
      </c>
    </row>
    <row r="41" spans="1:8">
      <c r="A41">
        <v>1.46973756422963</v>
      </c>
      <c r="B41">
        <v>4.0875600291317102</v>
      </c>
      <c r="C41">
        <v>29.918892644626901</v>
      </c>
      <c r="D41">
        <v>1.96051137770422</v>
      </c>
      <c r="E41">
        <v>3.77096838196378</v>
      </c>
      <c r="F41">
        <v>28.8867117888589</v>
      </c>
      <c r="G41">
        <v>1.6756125029178</v>
      </c>
      <c r="H41">
        <v>185</v>
      </c>
    </row>
    <row r="42" spans="1:8">
      <c r="A42">
        <v>1.4275827958681699</v>
      </c>
      <c r="B42">
        <v>4.1865809576204303</v>
      </c>
      <c r="C42">
        <v>27.246253376971499</v>
      </c>
      <c r="D42">
        <v>1.89046273290186</v>
      </c>
      <c r="E42">
        <v>3.5183972240366002</v>
      </c>
      <c r="F42">
        <v>34.4275091622359</v>
      </c>
      <c r="G42">
        <v>1.95915940483809</v>
      </c>
      <c r="H42">
        <v>212</v>
      </c>
    </row>
    <row r="43" spans="1:8">
      <c r="A43">
        <v>1.25546117122433</v>
      </c>
      <c r="B43">
        <v>4.2217164810607102</v>
      </c>
      <c r="C43">
        <v>27.630150210617</v>
      </c>
      <c r="D43">
        <v>1.9848560035601499</v>
      </c>
      <c r="E43">
        <v>3.6437437061923701</v>
      </c>
      <c r="F43">
        <v>32.453004019338003</v>
      </c>
      <c r="G43">
        <v>1.5498633139885301</v>
      </c>
      <c r="H43">
        <v>130</v>
      </c>
    </row>
    <row r="44" spans="1:8">
      <c r="A44">
        <v>1.55661912120057</v>
      </c>
      <c r="B44">
        <v>4.1815420537073802</v>
      </c>
      <c r="C44">
        <v>26.096777687234798</v>
      </c>
      <c r="D44">
        <v>1.8559076132919401</v>
      </c>
      <c r="E44">
        <v>3.7234794996999998</v>
      </c>
      <c r="F44">
        <v>32.369839197636402</v>
      </c>
      <c r="G44">
        <v>1.5660810451271301</v>
      </c>
      <c r="H44">
        <v>163</v>
      </c>
    </row>
    <row r="45" spans="1:8">
      <c r="A45">
        <v>1.50196757549774</v>
      </c>
      <c r="B45">
        <v>4.2710282699846003</v>
      </c>
      <c r="C45">
        <v>24.367359381991498</v>
      </c>
      <c r="D45">
        <v>1.90913149103067</v>
      </c>
      <c r="E45">
        <v>3.67896590241984</v>
      </c>
      <c r="F45">
        <v>32.131832594028197</v>
      </c>
      <c r="G45">
        <v>1.69582091171566</v>
      </c>
      <c r="H45">
        <v>189</v>
      </c>
    </row>
    <row r="46" spans="1:8">
      <c r="A46">
        <v>1.26860635891901</v>
      </c>
      <c r="B46">
        <v>4.2200721293534</v>
      </c>
      <c r="C46">
        <v>27.3881157440142</v>
      </c>
      <c r="D46">
        <v>2.0652121464579198</v>
      </c>
      <c r="E46">
        <v>3.8787403702803598</v>
      </c>
      <c r="F46">
        <v>33.622182401588702</v>
      </c>
      <c r="G46">
        <v>1.0319970804322001</v>
      </c>
      <c r="H46">
        <v>57</v>
      </c>
    </row>
    <row r="47" spans="1:8">
      <c r="A47">
        <v>1.36347183172312</v>
      </c>
      <c r="B47">
        <v>4.1893262399583904</v>
      </c>
      <c r="C47">
        <v>26.2107683905184</v>
      </c>
      <c r="D47">
        <v>1.9448308120640201</v>
      </c>
      <c r="E47">
        <v>3.7511922955469599</v>
      </c>
      <c r="F47">
        <v>31.499298351379799</v>
      </c>
      <c r="G47">
        <v>0.80833866926456299</v>
      </c>
      <c r="H47">
        <v>11</v>
      </c>
    </row>
    <row r="48" spans="1:8">
      <c r="A48">
        <v>1.3676654969323501</v>
      </c>
      <c r="B48">
        <v>4.2421652907414504</v>
      </c>
      <c r="C48">
        <v>28.743706839690901</v>
      </c>
      <c r="D48">
        <v>1.91897343881187</v>
      </c>
      <c r="E48">
        <v>3.3376696350368298</v>
      </c>
      <c r="F48">
        <v>34.432019773474501</v>
      </c>
      <c r="G48">
        <v>1.3428404657647799</v>
      </c>
      <c r="H48">
        <v>79</v>
      </c>
    </row>
    <row r="49" spans="1:8">
      <c r="A49">
        <v>1.3451916020991499</v>
      </c>
      <c r="B49">
        <v>4.1475577453279104</v>
      </c>
      <c r="C49">
        <v>24.0891015498425</v>
      </c>
      <c r="D49">
        <v>1.9111236901608399</v>
      </c>
      <c r="E49">
        <v>3.5042782314671301</v>
      </c>
      <c r="F49">
        <v>36.103802428166297</v>
      </c>
      <c r="G49">
        <v>1.09562223137218</v>
      </c>
      <c r="H49">
        <v>69</v>
      </c>
    </row>
    <row r="50" spans="1:8">
      <c r="A50">
        <v>1.29435949059889</v>
      </c>
      <c r="B50">
        <v>4.2481518806703402</v>
      </c>
      <c r="C50">
        <v>26.3060267550017</v>
      </c>
      <c r="D50">
        <v>2.0610634569451798</v>
      </c>
      <c r="E50">
        <v>3.3543724328444902</v>
      </c>
      <c r="F50">
        <v>34.098480629858997</v>
      </c>
      <c r="G50">
        <v>1.30254101736836</v>
      </c>
      <c r="H50">
        <v>79</v>
      </c>
    </row>
    <row r="51" spans="1:8">
      <c r="A51">
        <v>1.5152736068039101</v>
      </c>
      <c r="B51">
        <v>4.2266576125208699</v>
      </c>
      <c r="C51">
        <v>26.3497848382124</v>
      </c>
      <c r="D51">
        <v>2.0003067092575502</v>
      </c>
      <c r="E51">
        <v>4.1345636942776398</v>
      </c>
      <c r="F51">
        <v>35.141085959960598</v>
      </c>
      <c r="G51">
        <v>1.8682602703345601</v>
      </c>
      <c r="H51">
        <v>185</v>
      </c>
    </row>
    <row r="52" spans="1:8">
      <c r="A52">
        <v>1.29815749204922</v>
      </c>
      <c r="B52">
        <v>4.1752734650502399</v>
      </c>
      <c r="C52">
        <v>28.112496015121199</v>
      </c>
      <c r="D52">
        <v>2.19968656437121</v>
      </c>
      <c r="E52">
        <v>3.88413668246652</v>
      </c>
      <c r="F52">
        <v>36.1421689532893</v>
      </c>
      <c r="G52">
        <v>1.7743753925214101</v>
      </c>
      <c r="H52">
        <v>176</v>
      </c>
    </row>
    <row r="53" spans="1:8">
      <c r="A53">
        <v>1.52063181639205</v>
      </c>
      <c r="B53">
        <v>4.1780213037185296</v>
      </c>
      <c r="C53">
        <v>26.8916447976607</v>
      </c>
      <c r="D53">
        <v>2.0202052960952899</v>
      </c>
      <c r="E53">
        <v>3.6575577631992999</v>
      </c>
      <c r="F53">
        <v>33.443990428419298</v>
      </c>
      <c r="G53">
        <v>1.77499052422634</v>
      </c>
      <c r="H53">
        <v>177</v>
      </c>
    </row>
    <row r="54" spans="1:8">
      <c r="A54">
        <v>1.34303263933784</v>
      </c>
      <c r="B54">
        <v>4.1348954732497303</v>
      </c>
      <c r="C54">
        <v>25.925190244108201</v>
      </c>
      <c r="D54">
        <v>2.0924207916231898</v>
      </c>
      <c r="E54">
        <v>3.8192885454452798</v>
      </c>
      <c r="F54">
        <v>33.1021830388841</v>
      </c>
      <c r="G54">
        <v>1.6336620945529301</v>
      </c>
      <c r="H54">
        <v>146</v>
      </c>
    </row>
    <row r="55" spans="1:8">
      <c r="A55">
        <v>1.31723474681262</v>
      </c>
      <c r="B55">
        <v>4.1389707870665697</v>
      </c>
      <c r="C55">
        <v>24.637701620239199</v>
      </c>
      <c r="D55">
        <v>2.0628368285489498</v>
      </c>
      <c r="E55">
        <v>3.1910595551906198</v>
      </c>
      <c r="F55">
        <v>29.9754177401148</v>
      </c>
      <c r="G55">
        <v>1.1569003213686799</v>
      </c>
      <c r="H55">
        <v>52</v>
      </c>
    </row>
    <row r="56" spans="1:8">
      <c r="A56">
        <v>1.5391638900033</v>
      </c>
      <c r="B56">
        <v>4.2755831580685904</v>
      </c>
      <c r="C56">
        <v>28.8400804253742</v>
      </c>
      <c r="D56">
        <v>2.1046992329345899</v>
      </c>
      <c r="E56">
        <v>3.37122631897202</v>
      </c>
      <c r="F56">
        <v>32.636574832851103</v>
      </c>
      <c r="G56">
        <v>1.82007258671121</v>
      </c>
      <c r="H56">
        <v>214</v>
      </c>
    </row>
    <row r="57" spans="1:8">
      <c r="A57">
        <v>1.46183379372262</v>
      </c>
      <c r="B57">
        <v>4.2778505115563004</v>
      </c>
      <c r="C57">
        <v>27.326463229330699</v>
      </c>
      <c r="D57">
        <v>1.99880801691611</v>
      </c>
      <c r="E57">
        <v>3.84389890036292</v>
      </c>
      <c r="F57">
        <v>32.797447509068697</v>
      </c>
      <c r="G57">
        <v>1.1839058441655399</v>
      </c>
      <c r="H57">
        <v>87</v>
      </c>
    </row>
    <row r="58" spans="1:8">
      <c r="A58">
        <v>1.2361660851652601</v>
      </c>
      <c r="B58">
        <v>4.2361802648315097</v>
      </c>
      <c r="C58">
        <v>24.4399079648108</v>
      </c>
      <c r="D58">
        <v>1.95996665502927</v>
      </c>
      <c r="E58">
        <v>3.30028403266585</v>
      </c>
      <c r="F58">
        <v>30.2855226129264</v>
      </c>
      <c r="G58">
        <v>1.66637809615924</v>
      </c>
      <c r="H58">
        <v>153</v>
      </c>
    </row>
    <row r="59" spans="1:8">
      <c r="A59">
        <v>1.5214232772046801</v>
      </c>
      <c r="B59">
        <v>4.2048621323656397</v>
      </c>
      <c r="C59">
        <v>28.401882467287098</v>
      </c>
      <c r="D59">
        <v>1.8885074334315199</v>
      </c>
      <c r="E59">
        <v>3.9569039702359898</v>
      </c>
      <c r="F59">
        <v>32.633557595557399</v>
      </c>
      <c r="G59">
        <v>1.94583311907168</v>
      </c>
      <c r="H59">
        <v>208</v>
      </c>
    </row>
    <row r="60" spans="1:8">
      <c r="A60">
        <v>1.2380035808870999</v>
      </c>
      <c r="B60">
        <v>4.28270500267723</v>
      </c>
      <c r="C60">
        <v>27.992080337242399</v>
      </c>
      <c r="D60">
        <v>1.9874929316713199</v>
      </c>
      <c r="E60">
        <v>3.5050381655272602</v>
      </c>
      <c r="F60">
        <v>31.798677134264899</v>
      </c>
      <c r="G60">
        <v>1.46097146882766</v>
      </c>
      <c r="H60">
        <v>143</v>
      </c>
    </row>
    <row r="61" spans="1:8">
      <c r="A61">
        <v>1.4604931418267399</v>
      </c>
      <c r="B61">
        <v>4.2116120523540497</v>
      </c>
      <c r="C61">
        <v>26.496900525594</v>
      </c>
      <c r="D61">
        <v>2.07350643674472</v>
      </c>
      <c r="E61">
        <v>3.8602726036895199</v>
      </c>
      <c r="F61">
        <v>33.173439279256797</v>
      </c>
      <c r="G61">
        <v>0.90660924540321197</v>
      </c>
      <c r="H61">
        <v>30</v>
      </c>
    </row>
    <row r="62" spans="1:8">
      <c r="A62">
        <v>1.3366477289356</v>
      </c>
      <c r="B62">
        <v>4.1585785569801201</v>
      </c>
      <c r="C62">
        <v>28.176348718177199</v>
      </c>
      <c r="D62">
        <v>2.1086781721502801</v>
      </c>
      <c r="E62">
        <v>2.8935221676698202</v>
      </c>
      <c r="F62">
        <v>33.734776799638801</v>
      </c>
      <c r="G62">
        <v>1.84782760619172</v>
      </c>
      <c r="H62">
        <v>181</v>
      </c>
    </row>
    <row r="63" spans="1:8">
      <c r="A63">
        <v>1.35472252171642</v>
      </c>
      <c r="B63">
        <v>4.2646419753650298</v>
      </c>
      <c r="C63">
        <v>27.4254297969864</v>
      </c>
      <c r="D63">
        <v>2.0075699800999698</v>
      </c>
      <c r="E63">
        <v>3.6545608396162299</v>
      </c>
      <c r="F63">
        <v>33.794283123836102</v>
      </c>
      <c r="G63">
        <v>1.08687812279052</v>
      </c>
      <c r="H63">
        <v>67</v>
      </c>
    </row>
    <row r="64" spans="1:8">
      <c r="A64">
        <v>1.1863049618417301</v>
      </c>
      <c r="B64">
        <v>4.1720500816953896</v>
      </c>
      <c r="C64">
        <v>25.207307975416001</v>
      </c>
      <c r="D64">
        <v>2.01908566086292</v>
      </c>
      <c r="E64">
        <v>3.6867869785541099</v>
      </c>
      <c r="F64">
        <v>30.967043403868502</v>
      </c>
      <c r="G64">
        <v>1.37606671071363</v>
      </c>
      <c r="H64">
        <v>85</v>
      </c>
    </row>
    <row r="65" spans="1:8">
      <c r="A65">
        <v>1.4731510718571801</v>
      </c>
      <c r="B65">
        <v>4.1651717793187899</v>
      </c>
      <c r="C65">
        <v>29.637871479884101</v>
      </c>
      <c r="D65">
        <v>2.0131946582348301</v>
      </c>
      <c r="E65">
        <v>3.8046102697539301</v>
      </c>
      <c r="F65">
        <v>32.554212117412497</v>
      </c>
      <c r="G65">
        <v>1.95944663325053</v>
      </c>
      <c r="H65">
        <v>202</v>
      </c>
    </row>
    <row r="66" spans="1:8">
      <c r="A66">
        <v>1.42972391370629</v>
      </c>
      <c r="B66">
        <v>4.1617517028961997</v>
      </c>
      <c r="C66">
        <v>26.0032566200105</v>
      </c>
      <c r="D66">
        <v>1.98555010012883</v>
      </c>
      <c r="E66">
        <v>3.7110386770900199</v>
      </c>
      <c r="F66">
        <v>36.682639218668399</v>
      </c>
      <c r="G66">
        <v>1.6905138406164999</v>
      </c>
      <c r="H66">
        <v>148</v>
      </c>
    </row>
    <row r="67" spans="1:8">
      <c r="A67">
        <v>1.30085186815931</v>
      </c>
      <c r="B67">
        <v>4.2541894616289602</v>
      </c>
      <c r="C67">
        <v>25.425354677562598</v>
      </c>
      <c r="D67">
        <v>1.99888349762563</v>
      </c>
      <c r="E67">
        <v>3.3297811409660798</v>
      </c>
      <c r="F67">
        <v>31.648197003453301</v>
      </c>
      <c r="G67">
        <v>1.07650312191678</v>
      </c>
      <c r="H67">
        <v>25</v>
      </c>
    </row>
    <row r="68" spans="1:8">
      <c r="A68">
        <v>1.2097535776932999</v>
      </c>
      <c r="B68">
        <v>4.2879973168440104</v>
      </c>
      <c r="C68">
        <v>26.752890244440799</v>
      </c>
      <c r="D68">
        <v>2.0021936936284899</v>
      </c>
      <c r="E68">
        <v>3.8449878336585899</v>
      </c>
      <c r="F68">
        <v>32.4895657647793</v>
      </c>
      <c r="G68">
        <v>1.1077723041013601</v>
      </c>
      <c r="H68">
        <v>42</v>
      </c>
    </row>
    <row r="69" spans="1:8">
      <c r="A69">
        <v>1.4134220336093599</v>
      </c>
      <c r="B69">
        <v>4.2570568745749497</v>
      </c>
      <c r="C69">
        <v>24.701004672272401</v>
      </c>
      <c r="D69">
        <v>1.9945733423324199</v>
      </c>
      <c r="E69">
        <v>3.5990339475385902</v>
      </c>
      <c r="F69">
        <v>33.650720936293901</v>
      </c>
      <c r="G69">
        <v>1.64045695998008</v>
      </c>
      <c r="H69">
        <v>180</v>
      </c>
    </row>
    <row r="70" spans="1:8">
      <c r="A70">
        <v>1.5538465279493401</v>
      </c>
      <c r="B70">
        <v>4.1389001468369804</v>
      </c>
      <c r="C70">
        <v>27.583995448267</v>
      </c>
      <c r="D70">
        <v>2.0675214828438002</v>
      </c>
      <c r="E70">
        <v>3.7693941291759998</v>
      </c>
      <c r="F70">
        <v>35.003422757984197</v>
      </c>
      <c r="G70">
        <v>1.0324481343015199</v>
      </c>
      <c r="H70">
        <v>56</v>
      </c>
    </row>
    <row r="71" spans="1:8">
      <c r="A71">
        <v>1.3625618903114001</v>
      </c>
      <c r="B71">
        <v>4.2165511480781204</v>
      </c>
      <c r="C71">
        <v>25.953672305999099</v>
      </c>
      <c r="D71">
        <v>2.0358416091890899</v>
      </c>
      <c r="E71">
        <v>3.5977644677441099</v>
      </c>
      <c r="F71">
        <v>32.301259794179799</v>
      </c>
      <c r="G71">
        <v>1.5780228710530499</v>
      </c>
      <c r="H71">
        <v>136</v>
      </c>
    </row>
    <row r="72" spans="1:8">
      <c r="A72">
        <v>1.38589407419618</v>
      </c>
      <c r="B72">
        <v>4.2083726046619798</v>
      </c>
      <c r="C72">
        <v>25.963294783477501</v>
      </c>
      <c r="D72">
        <v>1.8623790555522299</v>
      </c>
      <c r="E72">
        <v>3.0251816212672402</v>
      </c>
      <c r="F72">
        <v>34.809687384780801</v>
      </c>
      <c r="G72">
        <v>1.96842319363568</v>
      </c>
      <c r="H72">
        <v>243</v>
      </c>
    </row>
    <row r="73" spans="1:8">
      <c r="A73">
        <v>1.2372176825277399</v>
      </c>
      <c r="B73">
        <v>4.1899304524972898</v>
      </c>
      <c r="C73">
        <v>28.954549938307299</v>
      </c>
      <c r="D73">
        <v>2.0340223022787902</v>
      </c>
      <c r="E73">
        <v>3.30259260927222</v>
      </c>
      <c r="F73">
        <v>32.576784511361403</v>
      </c>
      <c r="G73">
        <v>1.38931919714231</v>
      </c>
      <c r="H73">
        <v>88</v>
      </c>
    </row>
    <row r="74" spans="1:8">
      <c r="A74">
        <v>1.2379724941347401</v>
      </c>
      <c r="B74">
        <v>4.2026418224877098</v>
      </c>
      <c r="C74">
        <v>26.675519082072</v>
      </c>
      <c r="D74">
        <v>1.93501444686577</v>
      </c>
      <c r="E74">
        <v>3.3684162322396798</v>
      </c>
      <c r="F74">
        <v>32.986452741498702</v>
      </c>
      <c r="G74">
        <v>1.77289501296031</v>
      </c>
      <c r="H74">
        <v>206</v>
      </c>
    </row>
    <row r="75" spans="1:8">
      <c r="A75">
        <v>1.4047738725096399</v>
      </c>
      <c r="B75">
        <v>4.1418779706976201</v>
      </c>
      <c r="C75">
        <v>26.5658732219444</v>
      </c>
      <c r="D75">
        <v>1.92300431184333</v>
      </c>
      <c r="E75">
        <v>3.4741768222052398</v>
      </c>
      <c r="F75">
        <v>30.946405133560301</v>
      </c>
      <c r="G75">
        <v>1.59977337294956</v>
      </c>
      <c r="H75">
        <v>140</v>
      </c>
    </row>
    <row r="76" spans="1:8">
      <c r="A76">
        <v>1.51050923158628</v>
      </c>
      <c r="B76">
        <v>4.1875906932434201</v>
      </c>
      <c r="C76">
        <v>27.967208115222199</v>
      </c>
      <c r="D76">
        <v>2.1716882187190301</v>
      </c>
      <c r="E76">
        <v>3.4919894260003002</v>
      </c>
      <c r="F76">
        <v>31.512481662098299</v>
      </c>
      <c r="G76">
        <v>1.8836367253907</v>
      </c>
      <c r="H76">
        <v>196</v>
      </c>
    </row>
    <row r="77" spans="1:8">
      <c r="A77">
        <v>1.54944412002191</v>
      </c>
      <c r="B77">
        <v>4.1802435371719797</v>
      </c>
      <c r="C77">
        <v>26.609922324682199</v>
      </c>
      <c r="D77">
        <v>2.05843387243246</v>
      </c>
      <c r="E77">
        <v>3.5802958799850901</v>
      </c>
      <c r="F77">
        <v>29.7709343817933</v>
      </c>
      <c r="G77">
        <v>1.9222265853240901</v>
      </c>
      <c r="H77">
        <v>204</v>
      </c>
    </row>
    <row r="78" spans="1:8">
      <c r="A78">
        <v>1.27500444603893</v>
      </c>
      <c r="B78">
        <v>4.2486532540549602</v>
      </c>
      <c r="C78">
        <v>26.548805947132902</v>
      </c>
      <c r="D78">
        <v>2.0759470424050401</v>
      </c>
      <c r="E78">
        <v>3.4758977199175001</v>
      </c>
      <c r="F78">
        <v>31.238890272293599</v>
      </c>
      <c r="G78">
        <v>1.2648887804118401</v>
      </c>
      <c r="H78">
        <v>62</v>
      </c>
    </row>
    <row r="79" spans="1:8">
      <c r="A79">
        <v>1.3750820519668201</v>
      </c>
      <c r="B79">
        <v>4.17345090322745</v>
      </c>
      <c r="C79">
        <v>27.385688091309301</v>
      </c>
      <c r="D79">
        <v>1.96100818718557</v>
      </c>
      <c r="E79">
        <v>3.5751017558099898</v>
      </c>
      <c r="F79">
        <v>32.831042747899097</v>
      </c>
      <c r="G79">
        <v>1.39897156230487</v>
      </c>
      <c r="H79">
        <v>91</v>
      </c>
    </row>
    <row r="80" spans="1:8">
      <c r="A80">
        <v>1.36620829648274</v>
      </c>
      <c r="B80">
        <v>4.1819911893490804</v>
      </c>
      <c r="C80">
        <v>26.9703549734141</v>
      </c>
      <c r="D80">
        <v>2.1860051254541402</v>
      </c>
      <c r="E80">
        <v>3.4963397414509001</v>
      </c>
      <c r="F80">
        <v>33.362364565465001</v>
      </c>
      <c r="G80">
        <v>1.86792258367994</v>
      </c>
      <c r="H80">
        <v>223</v>
      </c>
    </row>
    <row r="81" spans="1:8">
      <c r="A81">
        <v>1.5023269616400801</v>
      </c>
      <c r="B81">
        <v>4.26076137438241</v>
      </c>
      <c r="C81">
        <v>27.076231502768898</v>
      </c>
      <c r="D81">
        <v>2.0676215709936501</v>
      </c>
      <c r="E81">
        <v>3.0749602348648599</v>
      </c>
      <c r="F81">
        <v>32.570404508997498</v>
      </c>
      <c r="G81">
        <v>1.7776361584768201</v>
      </c>
      <c r="H81">
        <v>165</v>
      </c>
    </row>
    <row r="82" spans="1:8">
      <c r="A82">
        <v>1.3876454673315799</v>
      </c>
      <c r="B82">
        <v>4.3013177724515304</v>
      </c>
      <c r="C82">
        <v>26.4297756004718</v>
      </c>
      <c r="D82">
        <v>1.93788629492499</v>
      </c>
      <c r="E82">
        <v>3.0566252255297099</v>
      </c>
      <c r="F82">
        <v>32.2052912692237</v>
      </c>
      <c r="G82">
        <v>1.2528465532628299</v>
      </c>
      <c r="H82">
        <v>60</v>
      </c>
    </row>
    <row r="83" spans="1:8">
      <c r="A83">
        <v>1.25282171827263</v>
      </c>
      <c r="B83">
        <v>4.2578479506331002</v>
      </c>
      <c r="C83">
        <v>28.135812017061799</v>
      </c>
      <c r="D83">
        <v>2.1012620584757902</v>
      </c>
      <c r="E83">
        <v>3.5564910975973998</v>
      </c>
      <c r="F83">
        <v>33.3432867482136</v>
      </c>
      <c r="G83">
        <v>1.70439837464586</v>
      </c>
      <c r="H83">
        <v>151</v>
      </c>
    </row>
    <row r="84" spans="1:8">
      <c r="A84">
        <v>1.33395309721577</v>
      </c>
      <c r="B84">
        <v>4.2206981578539997</v>
      </c>
      <c r="C84">
        <v>26.381682266055002</v>
      </c>
      <c r="D84">
        <v>1.82850216858724</v>
      </c>
      <c r="E84">
        <v>3.3361803210467502</v>
      </c>
      <c r="F84">
        <v>31.659291397132701</v>
      </c>
      <c r="G84">
        <v>1.3044134273413399</v>
      </c>
      <c r="H84">
        <v>82</v>
      </c>
    </row>
    <row r="85" spans="1:8">
      <c r="A85">
        <v>1.41250471508183</v>
      </c>
      <c r="B85">
        <v>4.0876319813760196</v>
      </c>
      <c r="C85">
        <v>27.108417083983799</v>
      </c>
      <c r="D85">
        <v>1.9451817639171001</v>
      </c>
      <c r="E85">
        <v>3.3207324025524101</v>
      </c>
      <c r="F85">
        <v>31.895515125282198</v>
      </c>
      <c r="G85">
        <v>1.8915612545432201</v>
      </c>
      <c r="H85">
        <v>228</v>
      </c>
    </row>
    <row r="86" spans="1:8">
      <c r="A86">
        <v>1.41858885862746</v>
      </c>
      <c r="B86">
        <v>4.1724865880833697</v>
      </c>
      <c r="C86">
        <v>26.515707248396598</v>
      </c>
      <c r="D86">
        <v>2.03226413408197</v>
      </c>
      <c r="E86">
        <v>3.52122611768247</v>
      </c>
      <c r="F86">
        <v>32.735939103219302</v>
      </c>
      <c r="G86">
        <v>1.8276520153865199</v>
      </c>
      <c r="H86">
        <v>186</v>
      </c>
    </row>
    <row r="87" spans="1:8">
      <c r="A87">
        <v>1.3419892217338201</v>
      </c>
      <c r="B87">
        <v>4.2262672027044399</v>
      </c>
      <c r="C87">
        <v>27.103007646276701</v>
      </c>
      <c r="D87">
        <v>2.0693420822245501</v>
      </c>
      <c r="E87">
        <v>3.5702953720838702</v>
      </c>
      <c r="F87">
        <v>31.278604329415199</v>
      </c>
      <c r="G87">
        <v>1.85588032525941</v>
      </c>
      <c r="H87">
        <v>182</v>
      </c>
    </row>
    <row r="88" spans="1:8">
      <c r="A88">
        <v>1.34820173103318</v>
      </c>
      <c r="B88">
        <v>4.1534337560486696</v>
      </c>
      <c r="C88">
        <v>26.064314013697398</v>
      </c>
      <c r="D88">
        <v>2.00818250205386</v>
      </c>
      <c r="E88">
        <v>3.5173483879010701</v>
      </c>
      <c r="F88">
        <v>34.835571310042297</v>
      </c>
      <c r="G88">
        <v>0.99551706001125895</v>
      </c>
      <c r="H88">
        <v>49</v>
      </c>
    </row>
    <row r="89" spans="1:8">
      <c r="A89">
        <v>1.28263204234299</v>
      </c>
      <c r="B89">
        <v>4.1865427282365104</v>
      </c>
      <c r="C89">
        <v>28.467759003156001</v>
      </c>
      <c r="D89">
        <v>1.96649824873561</v>
      </c>
      <c r="E89">
        <v>3.9017166394587801</v>
      </c>
      <c r="F89">
        <v>33.574660587492403</v>
      </c>
      <c r="G89">
        <v>1.9511820972370399</v>
      </c>
      <c r="H89">
        <v>210</v>
      </c>
    </row>
    <row r="90" spans="1:8">
      <c r="A90">
        <v>1.4005280934779401</v>
      </c>
      <c r="B90">
        <v>4.1435342977257896</v>
      </c>
      <c r="C90">
        <v>26.379482526171</v>
      </c>
      <c r="D90">
        <v>2.0314058149866199</v>
      </c>
      <c r="E90">
        <v>3.5956982598480498</v>
      </c>
      <c r="F90">
        <v>33.197983253554199</v>
      </c>
      <c r="G90">
        <v>1.8859545821271599</v>
      </c>
      <c r="H90">
        <v>197</v>
      </c>
    </row>
    <row r="91" spans="1:8">
      <c r="A91">
        <v>1.4035576565463901</v>
      </c>
      <c r="B91">
        <v>4.2350001375274999</v>
      </c>
      <c r="C91">
        <v>27.248602443284302</v>
      </c>
      <c r="D91">
        <v>1.79138142054787</v>
      </c>
      <c r="E91">
        <v>3.20904777647503</v>
      </c>
      <c r="F91">
        <v>29.556984786723898</v>
      </c>
      <c r="G91">
        <v>1.68003601349432</v>
      </c>
      <c r="H91">
        <v>186</v>
      </c>
    </row>
    <row r="92" spans="1:8">
      <c r="A92">
        <v>1.4095727908095199</v>
      </c>
      <c r="B92">
        <v>4.1981968812364796</v>
      </c>
      <c r="C92">
        <v>23.529263751458</v>
      </c>
      <c r="D92">
        <v>2.0307420903374598</v>
      </c>
      <c r="E92">
        <v>3.1871734738384401</v>
      </c>
      <c r="F92">
        <v>34.750710135163402</v>
      </c>
      <c r="G92">
        <v>1.97944341970965</v>
      </c>
      <c r="H92">
        <v>208</v>
      </c>
    </row>
    <row r="93" spans="1:8">
      <c r="A93">
        <v>1.1957166460008699</v>
      </c>
      <c r="B93">
        <v>4.2324986796429798</v>
      </c>
      <c r="C93">
        <v>25.596943141064699</v>
      </c>
      <c r="D93">
        <v>2.0441171151953399</v>
      </c>
      <c r="E93">
        <v>3.5143144104621</v>
      </c>
      <c r="F93">
        <v>31.724302747311899</v>
      </c>
      <c r="G93">
        <v>1.14433262941835</v>
      </c>
      <c r="H93">
        <v>39</v>
      </c>
    </row>
    <row r="94" spans="1:8">
      <c r="A94">
        <v>1.5155814108199599</v>
      </c>
      <c r="B94">
        <v>4.2341870598231397</v>
      </c>
      <c r="C94">
        <v>27.1187508435887</v>
      </c>
      <c r="D94">
        <v>2.0252759287507902</v>
      </c>
      <c r="E94">
        <v>2.9302166985401699</v>
      </c>
      <c r="F94">
        <v>33.271316444944098</v>
      </c>
      <c r="G94">
        <v>0.81636005432022096</v>
      </c>
      <c r="H94">
        <v>14</v>
      </c>
    </row>
    <row r="95" spans="1:8">
      <c r="A95">
        <v>1.42009292335574</v>
      </c>
      <c r="B95">
        <v>4.1462462583058901</v>
      </c>
      <c r="C95">
        <v>27.706824387224898</v>
      </c>
      <c r="D95">
        <v>1.84962233639972</v>
      </c>
      <c r="E95">
        <v>3.6204610063148301</v>
      </c>
      <c r="F95">
        <v>32.2681728477381</v>
      </c>
      <c r="G95">
        <v>1.41971098586603</v>
      </c>
      <c r="H95">
        <v>94</v>
      </c>
    </row>
    <row r="96" spans="1:8">
      <c r="A96">
        <v>1.2554672274252301</v>
      </c>
      <c r="B96">
        <v>4.1030138411622401</v>
      </c>
      <c r="C96">
        <v>26.508996417377698</v>
      </c>
      <c r="D96">
        <v>1.8982321100919399</v>
      </c>
      <c r="E96">
        <v>3.4998291063344298</v>
      </c>
      <c r="F96">
        <v>32.989509530153299</v>
      </c>
      <c r="G96">
        <v>1.57399849133777</v>
      </c>
      <c r="H96">
        <v>135</v>
      </c>
    </row>
    <row r="97" spans="1:8">
      <c r="A97">
        <v>1.39386492124624</v>
      </c>
      <c r="B97">
        <v>4.25198239984356</v>
      </c>
      <c r="C97">
        <v>24.8044099483715</v>
      </c>
      <c r="D97">
        <v>1.9829841349625801</v>
      </c>
      <c r="E97">
        <v>3.1676135631752</v>
      </c>
      <c r="F97">
        <v>34.415300071536102</v>
      </c>
      <c r="G97">
        <v>1.64299651158869</v>
      </c>
      <c r="H97">
        <v>179</v>
      </c>
    </row>
    <row r="98" spans="1:8">
      <c r="A98">
        <v>1.3739374054573601</v>
      </c>
      <c r="B98">
        <v>4.2259390804247898</v>
      </c>
      <c r="C98">
        <v>28.1655894771277</v>
      </c>
      <c r="D98">
        <v>2.1590325210284802</v>
      </c>
      <c r="E98">
        <v>3.1258227727621102</v>
      </c>
      <c r="F98">
        <v>32.520340469999901</v>
      </c>
      <c r="G98">
        <v>1.5099720797242799</v>
      </c>
      <c r="H98">
        <v>151</v>
      </c>
    </row>
    <row r="99" spans="1:8">
      <c r="A99">
        <v>1.49083219334237</v>
      </c>
      <c r="B99">
        <v>4.1591277393635</v>
      </c>
      <c r="C99">
        <v>26.8671146681884</v>
      </c>
      <c r="D99">
        <v>2.0361956274383699</v>
      </c>
      <c r="E99">
        <v>3.5720088045613099</v>
      </c>
      <c r="F99">
        <v>35.311041716904597</v>
      </c>
      <c r="G99">
        <v>1.42399731799287</v>
      </c>
      <c r="H99">
        <v>136</v>
      </c>
    </row>
    <row r="100" spans="1:8">
      <c r="A100">
        <v>1.33524376263585</v>
      </c>
      <c r="B100">
        <v>4.1927070147045997</v>
      </c>
      <c r="C100">
        <v>28.627273447457</v>
      </c>
      <c r="D100">
        <v>2.0845669698187601</v>
      </c>
      <c r="E100">
        <v>3.1206903814138101</v>
      </c>
      <c r="F100">
        <v>32.296712580161902</v>
      </c>
      <c r="G100">
        <v>1.84615243333964</v>
      </c>
      <c r="H100">
        <v>180</v>
      </c>
    </row>
    <row r="101" spans="1:8">
      <c r="A101">
        <v>1.3343177084343101</v>
      </c>
      <c r="B101">
        <v>4.21802681514911</v>
      </c>
      <c r="C101">
        <v>23.575033501872198</v>
      </c>
      <c r="D101">
        <v>1.7948213853998001</v>
      </c>
      <c r="E101">
        <v>2.7501055870100699</v>
      </c>
      <c r="F101">
        <v>34.712955498949398</v>
      </c>
      <c r="G101">
        <v>0.97927962736683605</v>
      </c>
      <c r="H101">
        <v>16</v>
      </c>
    </row>
    <row r="102" spans="1:8">
      <c r="A102">
        <v>1.4045539424917</v>
      </c>
      <c r="B102">
        <v>4.1224282109691304</v>
      </c>
      <c r="C102">
        <v>28.6929100620439</v>
      </c>
      <c r="D102">
        <v>2.03719891594376</v>
      </c>
      <c r="E102">
        <v>3.8020500319157602</v>
      </c>
      <c r="F102">
        <v>31.8479911089937</v>
      </c>
      <c r="G102">
        <v>1.0177385508376999</v>
      </c>
      <c r="H102">
        <v>23</v>
      </c>
    </row>
    <row r="103" spans="1:8">
      <c r="A103">
        <v>1.34946566705871</v>
      </c>
      <c r="B103">
        <v>4.2268768375220596</v>
      </c>
      <c r="C103">
        <v>28.8940106922967</v>
      </c>
      <c r="D103">
        <v>1.9966409287598501</v>
      </c>
      <c r="E103">
        <v>3.4776232219106702</v>
      </c>
      <c r="F103">
        <v>36.876673004447198</v>
      </c>
      <c r="G103">
        <v>1.33628783526173</v>
      </c>
      <c r="H103">
        <v>77</v>
      </c>
    </row>
    <row r="104" spans="1:8">
      <c r="A104">
        <v>1.31342966453929</v>
      </c>
      <c r="B104">
        <v>4.1958353708339997</v>
      </c>
      <c r="C104">
        <v>26.889185825416799</v>
      </c>
      <c r="D104">
        <v>1.88945924435285</v>
      </c>
      <c r="E104">
        <v>3.7183952582631301</v>
      </c>
      <c r="F104">
        <v>33.871594642385197</v>
      </c>
      <c r="G104">
        <v>1.5486247079453801</v>
      </c>
      <c r="H104">
        <v>160</v>
      </c>
    </row>
    <row r="105" spans="1:8">
      <c r="A105">
        <v>1.5142022032328599</v>
      </c>
      <c r="B105">
        <v>4.1724623798837097</v>
      </c>
      <c r="C105">
        <v>27.944954653667299</v>
      </c>
      <c r="D105">
        <v>2.1066115847155</v>
      </c>
      <c r="E105">
        <v>3.71607496788917</v>
      </c>
      <c r="F105">
        <v>32.841994123495901</v>
      </c>
      <c r="G105">
        <v>1.5235277792874</v>
      </c>
      <c r="H105">
        <v>126</v>
      </c>
    </row>
    <row r="106" spans="1:8">
      <c r="A106">
        <v>1.45754332310735</v>
      </c>
      <c r="B106">
        <v>4.15625827913302</v>
      </c>
      <c r="C106">
        <v>27.511001034424801</v>
      </c>
      <c r="D106">
        <v>1.89196893454241</v>
      </c>
      <c r="E106">
        <v>3.3313246799719902</v>
      </c>
      <c r="F106">
        <v>36.548543657409098</v>
      </c>
      <c r="G106">
        <v>1.6800098087315201</v>
      </c>
      <c r="H106">
        <v>145</v>
      </c>
    </row>
    <row r="107" spans="1:8">
      <c r="A107">
        <v>1.2478904102311601</v>
      </c>
      <c r="B107">
        <v>4.2292963214896204</v>
      </c>
      <c r="C107">
        <v>24.777713893991201</v>
      </c>
      <c r="D107">
        <v>1.9778020147750199</v>
      </c>
      <c r="E107">
        <v>2.98265571372281</v>
      </c>
      <c r="F107">
        <v>31.193862052684299</v>
      </c>
      <c r="G107">
        <v>1.8218436461281899</v>
      </c>
      <c r="H107">
        <v>173</v>
      </c>
    </row>
    <row r="108" spans="1:8">
      <c r="A108">
        <v>1.59345972839837</v>
      </c>
      <c r="B108">
        <v>4.23780198843117</v>
      </c>
      <c r="C108">
        <v>26.6088828337679</v>
      </c>
      <c r="D108">
        <v>1.95517769583334</v>
      </c>
      <c r="E108">
        <v>3.2810386841661701</v>
      </c>
      <c r="F108">
        <v>29.396196589569499</v>
      </c>
      <c r="G108">
        <v>1.29321212032886</v>
      </c>
      <c r="H108">
        <v>68</v>
      </c>
    </row>
    <row r="109" spans="1:8">
      <c r="A109">
        <v>1.3741856525694101</v>
      </c>
      <c r="B109">
        <v>4.1507015913070902</v>
      </c>
      <c r="C109">
        <v>29.412517466951901</v>
      </c>
      <c r="D109">
        <v>1.9697517943801499</v>
      </c>
      <c r="E109">
        <v>3.2777036462393201</v>
      </c>
      <c r="F109">
        <v>34.326830855951599</v>
      </c>
      <c r="G109">
        <v>1.0435458012147201</v>
      </c>
      <c r="H109">
        <v>59</v>
      </c>
    </row>
    <row r="110" spans="1:8">
      <c r="A110">
        <v>1.3471728635189999</v>
      </c>
      <c r="B110">
        <v>4.2091936974641797</v>
      </c>
      <c r="C110">
        <v>28.119929585952999</v>
      </c>
      <c r="D110">
        <v>1.94273235660233</v>
      </c>
      <c r="E110">
        <v>3.49479350521645</v>
      </c>
      <c r="F110">
        <v>30.039762070451001</v>
      </c>
      <c r="G110">
        <v>1.85652647603498</v>
      </c>
      <c r="H110">
        <v>191</v>
      </c>
    </row>
    <row r="111" spans="1:8">
      <c r="A111">
        <v>1.4575056652901099</v>
      </c>
      <c r="B111">
        <v>4.15477080649221</v>
      </c>
      <c r="C111">
        <v>29.833511749289102</v>
      </c>
      <c r="D111">
        <v>2.0593886561352202</v>
      </c>
      <c r="E111">
        <v>3.41807783056634</v>
      </c>
      <c r="F111">
        <v>35.599636610117201</v>
      </c>
      <c r="G111">
        <v>1.07245461574927</v>
      </c>
      <c r="H111">
        <v>35</v>
      </c>
    </row>
    <row r="112" spans="1:8">
      <c r="A112">
        <v>1.5183750425159901</v>
      </c>
      <c r="B112">
        <v>4.2614381521650602</v>
      </c>
      <c r="C112">
        <v>26.4192726849117</v>
      </c>
      <c r="D112">
        <v>1.9977762825711001</v>
      </c>
      <c r="E112">
        <v>3.7259131795774199</v>
      </c>
      <c r="F112">
        <v>35.155166288261697</v>
      </c>
      <c r="G112">
        <v>1.4103731138900499</v>
      </c>
      <c r="H112">
        <v>132</v>
      </c>
    </row>
    <row r="113" spans="1:8">
      <c r="A113">
        <v>1.4756846007572699</v>
      </c>
      <c r="B113">
        <v>4.1215266499616199</v>
      </c>
      <c r="C113">
        <v>26.770648868249499</v>
      </c>
      <c r="D113">
        <v>1.94092734963048</v>
      </c>
      <c r="E113">
        <v>3.8940973866053499</v>
      </c>
      <c r="F113">
        <v>32.215101706719601</v>
      </c>
      <c r="G113">
        <v>1.46770721756399</v>
      </c>
      <c r="H113">
        <v>102</v>
      </c>
    </row>
    <row r="114" spans="1:8">
      <c r="A114">
        <v>1.17599017398447</v>
      </c>
      <c r="B114">
        <v>4.2066198199416096</v>
      </c>
      <c r="C114">
        <v>26.100568504084698</v>
      </c>
      <c r="D114">
        <v>2.0709178844052398</v>
      </c>
      <c r="E114">
        <v>3.3251589052675801</v>
      </c>
      <c r="F114">
        <v>32.982670350586602</v>
      </c>
      <c r="G114">
        <v>1.1075336381818499</v>
      </c>
      <c r="H114">
        <v>41</v>
      </c>
    </row>
    <row r="115" spans="1:8">
      <c r="A115">
        <v>1.37623545285557</v>
      </c>
      <c r="B115">
        <v>4.2637775310663404</v>
      </c>
      <c r="C115">
        <v>29.187096807208999</v>
      </c>
      <c r="D115">
        <v>2.0214927934146001</v>
      </c>
      <c r="E115">
        <v>3.4940973077361699</v>
      </c>
      <c r="F115">
        <v>35.633749146433502</v>
      </c>
      <c r="G115">
        <v>0.81502692177877001</v>
      </c>
      <c r="H115">
        <v>13</v>
      </c>
    </row>
    <row r="116" spans="1:8">
      <c r="A116">
        <v>1.2985757496544801</v>
      </c>
      <c r="B116">
        <v>4.1901234102626601</v>
      </c>
      <c r="C116">
        <v>27.201249512205099</v>
      </c>
      <c r="D116">
        <v>1.78144507995791</v>
      </c>
      <c r="E116">
        <v>4.0914780586408996</v>
      </c>
      <c r="F116">
        <v>34.437203778699299</v>
      </c>
      <c r="G116">
        <v>1.2309484898446299</v>
      </c>
      <c r="H116">
        <v>66</v>
      </c>
    </row>
    <row r="117" spans="1:8">
      <c r="A117">
        <v>1.3797039798164601</v>
      </c>
      <c r="B117">
        <v>4.20742480132159</v>
      </c>
      <c r="C117">
        <v>26.810051779016899</v>
      </c>
      <c r="D117">
        <v>2.1724108317189499</v>
      </c>
      <c r="E117">
        <v>3.3610564282673501</v>
      </c>
      <c r="F117">
        <v>32.351291639585497</v>
      </c>
      <c r="G117">
        <v>1.6190703940748301</v>
      </c>
      <c r="H117">
        <v>144</v>
      </c>
    </row>
    <row r="118" spans="1:8">
      <c r="A118">
        <v>1.5178911883855</v>
      </c>
      <c r="B118">
        <v>4.2617623234228397</v>
      </c>
      <c r="C118">
        <v>26.393748056878898</v>
      </c>
      <c r="D118">
        <v>2.06318819709705</v>
      </c>
      <c r="E118">
        <v>3.4722403578561298</v>
      </c>
      <c r="F118">
        <v>34.726624317288099</v>
      </c>
      <c r="G118">
        <v>1.3310182214176101</v>
      </c>
      <c r="H118">
        <v>116</v>
      </c>
    </row>
    <row r="119" spans="1:8">
      <c r="A119">
        <v>1.5046226980439701</v>
      </c>
      <c r="B119">
        <v>4.1978488899867799</v>
      </c>
      <c r="C119">
        <v>26.644508687976199</v>
      </c>
      <c r="D119">
        <v>1.8610807111458401</v>
      </c>
      <c r="E119">
        <v>3.68831521071042</v>
      </c>
      <c r="F119">
        <v>36.312409109595997</v>
      </c>
      <c r="G119">
        <v>1.4948530608939301</v>
      </c>
      <c r="H119">
        <v>109</v>
      </c>
    </row>
    <row r="120" spans="1:8">
      <c r="A120">
        <v>1.3290785866520101</v>
      </c>
      <c r="B120">
        <v>4.2354282188561401</v>
      </c>
      <c r="C120">
        <v>29.938150113229799</v>
      </c>
      <c r="D120">
        <v>1.8815776638082899</v>
      </c>
      <c r="E120">
        <v>3.5779125264063798</v>
      </c>
      <c r="F120">
        <v>33.333679600418002</v>
      </c>
      <c r="G120">
        <v>1.5370306562508</v>
      </c>
      <c r="H120">
        <v>127</v>
      </c>
    </row>
    <row r="121" spans="1:8">
      <c r="A121">
        <v>1.5125876271490799</v>
      </c>
      <c r="B121">
        <v>4.25099854354999</v>
      </c>
      <c r="C121">
        <v>27.671900997359</v>
      </c>
      <c r="D121">
        <v>2.06647943420485</v>
      </c>
      <c r="E121">
        <v>3.39539952945159</v>
      </c>
      <c r="F121">
        <v>34.107612605463103</v>
      </c>
      <c r="G121">
        <v>1.55277202325882</v>
      </c>
      <c r="H121">
        <v>161</v>
      </c>
    </row>
    <row r="122" spans="1:8">
      <c r="A122">
        <v>1.2797394414044401</v>
      </c>
      <c r="B122">
        <v>4.2190001982886498</v>
      </c>
      <c r="C122">
        <v>27.654545363436199</v>
      </c>
      <c r="D122">
        <v>2.0415374252998602</v>
      </c>
      <c r="E122">
        <v>3.4491531778389102</v>
      </c>
      <c r="F122">
        <v>32.230173739867098</v>
      </c>
      <c r="G122">
        <v>1.6559072982464</v>
      </c>
      <c r="H122">
        <v>151</v>
      </c>
    </row>
    <row r="123" spans="1:8">
      <c r="A123">
        <v>1.4762188158571501</v>
      </c>
      <c r="B123">
        <v>4.2052768869980204</v>
      </c>
      <c r="C123">
        <v>25.589415594584899</v>
      </c>
      <c r="D123">
        <v>2.02775055844045</v>
      </c>
      <c r="E123">
        <v>3.9188172001883501</v>
      </c>
      <c r="F123">
        <v>35.2834458676857</v>
      </c>
      <c r="G123">
        <v>1.0552707164549999</v>
      </c>
      <c r="H123">
        <v>21</v>
      </c>
    </row>
    <row r="124" spans="1:8">
      <c r="A124">
        <v>1.37508804357711</v>
      </c>
      <c r="B124">
        <v>4.1422940489426203</v>
      </c>
      <c r="C124">
        <v>24.940794161293098</v>
      </c>
      <c r="D124">
        <v>2.1267770841843601</v>
      </c>
      <c r="E124">
        <v>3.3117126218898001</v>
      </c>
      <c r="F124">
        <v>31.286670686032501</v>
      </c>
      <c r="G124">
        <v>1.0597700685575899</v>
      </c>
      <c r="H124">
        <v>31</v>
      </c>
    </row>
    <row r="125" spans="1:8">
      <c r="A125">
        <v>1.4549349171716901</v>
      </c>
      <c r="B125">
        <v>4.1154764460238802</v>
      </c>
      <c r="C125">
        <v>28.675867659424</v>
      </c>
      <c r="D125">
        <v>2.2414571452212799</v>
      </c>
      <c r="E125">
        <v>3.7505278378760698</v>
      </c>
      <c r="F125">
        <v>31.2367848599906</v>
      </c>
      <c r="G125">
        <v>1.9171847500808501</v>
      </c>
      <c r="H125">
        <v>193</v>
      </c>
    </row>
    <row r="126" spans="1:8">
      <c r="A126">
        <v>1.30280422886989</v>
      </c>
      <c r="B126">
        <v>4.2936428434281799</v>
      </c>
      <c r="C126">
        <v>24.028171074911999</v>
      </c>
      <c r="D126">
        <v>2.06023259174489</v>
      </c>
      <c r="E126">
        <v>3.52746318635457</v>
      </c>
      <c r="F126">
        <v>34.386156229277503</v>
      </c>
      <c r="G126">
        <v>1.55939717237414</v>
      </c>
      <c r="H126">
        <v>131</v>
      </c>
    </row>
    <row r="127" spans="1:8">
      <c r="A127">
        <v>1.41015332459107</v>
      </c>
      <c r="B127">
        <v>4.1613207674818797</v>
      </c>
      <c r="C127">
        <v>26.668005475598001</v>
      </c>
      <c r="D127">
        <v>2.01293698753399</v>
      </c>
      <c r="E127">
        <v>3.1759494220034199</v>
      </c>
      <c r="F127">
        <v>31.874059209669301</v>
      </c>
      <c r="G127">
        <v>1.27940588654857</v>
      </c>
      <c r="H127">
        <v>106</v>
      </c>
    </row>
    <row r="128" spans="1:8">
      <c r="A128">
        <v>1.33663237674074</v>
      </c>
      <c r="B128">
        <v>4.2359068768577703</v>
      </c>
      <c r="C128">
        <v>27.954662527952099</v>
      </c>
      <c r="D128">
        <v>2.1475174160605701</v>
      </c>
      <c r="E128">
        <v>3.1144584778767501</v>
      </c>
      <c r="F128">
        <v>32.4360305116464</v>
      </c>
      <c r="G128">
        <v>1.40910915509038</v>
      </c>
      <c r="H128">
        <v>102</v>
      </c>
    </row>
    <row r="129" spans="1:8">
      <c r="A129">
        <v>1.4450227596987799</v>
      </c>
      <c r="B129">
        <v>4.2114946686642796</v>
      </c>
      <c r="C129">
        <v>28.599359549088199</v>
      </c>
      <c r="D129">
        <v>2.0138713641386099</v>
      </c>
      <c r="E129">
        <v>3.55055999015863</v>
      </c>
      <c r="F129">
        <v>32.618920035979002</v>
      </c>
      <c r="G129">
        <v>1.1961807913654601</v>
      </c>
      <c r="H129">
        <v>88</v>
      </c>
    </row>
    <row r="130" spans="1:8">
      <c r="A130">
        <v>1.30749228158986</v>
      </c>
      <c r="B130">
        <v>4.22227875126889</v>
      </c>
      <c r="C130">
        <v>26.653886754577499</v>
      </c>
      <c r="D130">
        <v>1.98762562251467</v>
      </c>
      <c r="E130">
        <v>3.6832873848688799</v>
      </c>
      <c r="F130">
        <v>33.315967866409302</v>
      </c>
      <c r="G130">
        <v>1.35804870052047</v>
      </c>
      <c r="H130">
        <v>122</v>
      </c>
    </row>
    <row r="131" spans="1:8">
      <c r="A131">
        <v>1.5366482457933901</v>
      </c>
      <c r="B131">
        <v>4.2190920136098704</v>
      </c>
      <c r="C131">
        <v>25.760795954797299</v>
      </c>
      <c r="D131">
        <v>1.98234849345388</v>
      </c>
      <c r="E131">
        <v>3.4657494468448098</v>
      </c>
      <c r="F131">
        <v>31.762395027581299</v>
      </c>
      <c r="G131">
        <v>1.9110065354666299</v>
      </c>
      <c r="H131">
        <v>191</v>
      </c>
    </row>
    <row r="132" spans="1:8">
      <c r="A132">
        <v>1.44014691053355</v>
      </c>
      <c r="B132">
        <v>4.2546817949318099</v>
      </c>
      <c r="C132">
        <v>23.988732759361302</v>
      </c>
      <c r="D132">
        <v>1.89440678042364</v>
      </c>
      <c r="E132">
        <v>3.2735225424933501</v>
      </c>
      <c r="F132">
        <v>32.980834191948901</v>
      </c>
      <c r="G132">
        <v>1.98619579599679</v>
      </c>
      <c r="H132">
        <v>219</v>
      </c>
    </row>
    <row r="133" spans="1:8">
      <c r="A133">
        <v>1.5725245142006501</v>
      </c>
      <c r="B133">
        <v>4.2869535119295898</v>
      </c>
      <c r="C133">
        <v>27.754137329037199</v>
      </c>
      <c r="D133">
        <v>2.0111990327156999</v>
      </c>
      <c r="E133">
        <v>3.60991292850255</v>
      </c>
      <c r="F133">
        <v>36.489255536737602</v>
      </c>
      <c r="G133">
        <v>0.78813736393683398</v>
      </c>
      <c r="H133">
        <v>7</v>
      </c>
    </row>
    <row r="134" spans="1:8">
      <c r="A134">
        <v>1.36336180647991</v>
      </c>
      <c r="B134">
        <v>4.1570469954080798</v>
      </c>
      <c r="C134">
        <v>29.192679621100101</v>
      </c>
      <c r="D134">
        <v>2.0879354144692002</v>
      </c>
      <c r="E134">
        <v>3.13991749955512</v>
      </c>
      <c r="F134">
        <v>33.387157966850197</v>
      </c>
      <c r="G134">
        <v>0.967584586094697</v>
      </c>
      <c r="H134">
        <v>44</v>
      </c>
    </row>
    <row r="135" spans="1:8">
      <c r="A135">
        <v>1.58503132385199</v>
      </c>
      <c r="B135">
        <v>4.2381482016786904</v>
      </c>
      <c r="C135">
        <v>29.2376416190668</v>
      </c>
      <c r="D135">
        <v>2.1278969275380399</v>
      </c>
      <c r="E135">
        <v>3.51179644903248</v>
      </c>
      <c r="F135">
        <v>34.455275125798401</v>
      </c>
      <c r="G135">
        <v>1.85265725777702</v>
      </c>
      <c r="H135">
        <v>222</v>
      </c>
    </row>
    <row r="136" spans="1:8">
      <c r="A136">
        <v>1.37688995689932</v>
      </c>
      <c r="B136">
        <v>4.1551598207650597</v>
      </c>
      <c r="C136">
        <v>26.417154895397498</v>
      </c>
      <c r="D136">
        <v>1.9060480894427601</v>
      </c>
      <c r="E136">
        <v>3.7907094369525001</v>
      </c>
      <c r="F136">
        <v>33.974622001161897</v>
      </c>
      <c r="G136">
        <v>1.43964261068026</v>
      </c>
      <c r="H136">
        <v>100</v>
      </c>
    </row>
    <row r="137" spans="1:8">
      <c r="A137">
        <v>1.3501993716028999</v>
      </c>
      <c r="B137">
        <v>4.1996906736311903</v>
      </c>
      <c r="C137">
        <v>28.010833625651198</v>
      </c>
      <c r="D137">
        <v>2.01018733163902</v>
      </c>
      <c r="E137">
        <v>3.2522096591558798</v>
      </c>
      <c r="F137">
        <v>32.660639553015201</v>
      </c>
      <c r="G137">
        <v>1.41979098295856</v>
      </c>
      <c r="H137">
        <v>103</v>
      </c>
    </row>
    <row r="138" spans="1:8">
      <c r="A138">
        <v>1.5028987055560401</v>
      </c>
      <c r="B138">
        <v>4.1426605884789902</v>
      </c>
      <c r="C138">
        <v>27.8393181259325</v>
      </c>
      <c r="D138">
        <v>2.1342853763931502</v>
      </c>
      <c r="E138">
        <v>3.8804339206224898</v>
      </c>
      <c r="F138">
        <v>34.469247163198901</v>
      </c>
      <c r="G138">
        <v>1.9506690662575501</v>
      </c>
      <c r="H138">
        <v>201</v>
      </c>
    </row>
    <row r="139" spans="1:8">
      <c r="A139">
        <v>1.4739941315030101</v>
      </c>
      <c r="B139">
        <v>4.1710944944182904</v>
      </c>
      <c r="C139">
        <v>25.637178839313201</v>
      </c>
      <c r="D139">
        <v>1.8429403002218701</v>
      </c>
      <c r="E139">
        <v>2.7332579393871801</v>
      </c>
      <c r="F139">
        <v>34.4883559462858</v>
      </c>
      <c r="G139">
        <v>1.7390843398940801</v>
      </c>
      <c r="H139">
        <v>200</v>
      </c>
    </row>
    <row r="140" spans="1:8">
      <c r="A140">
        <v>1.3080180449783201</v>
      </c>
      <c r="B140">
        <v>4.2347842075497804</v>
      </c>
      <c r="C140">
        <v>26.48711586109</v>
      </c>
      <c r="D140">
        <v>1.9952291623604499</v>
      </c>
      <c r="E140">
        <v>3.1219252332783398</v>
      </c>
      <c r="F140">
        <v>32.382835135628603</v>
      </c>
      <c r="G140">
        <v>0.83426259892661903</v>
      </c>
      <c r="H140">
        <v>17</v>
      </c>
    </row>
    <row r="141" spans="1:8">
      <c r="A141">
        <v>1.2423842672529299</v>
      </c>
      <c r="B141">
        <v>4.1449489569834599</v>
      </c>
      <c r="C141">
        <v>26.2692195701236</v>
      </c>
      <c r="D141">
        <v>2.1142737579294901</v>
      </c>
      <c r="E141">
        <v>3.1615832604267502</v>
      </c>
      <c r="F141">
        <v>32.157594717849101</v>
      </c>
      <c r="G141">
        <v>1.7220229822289901</v>
      </c>
      <c r="H141">
        <v>155</v>
      </c>
    </row>
    <row r="142" spans="1:8">
      <c r="A142">
        <v>1.64695154701702</v>
      </c>
      <c r="B142">
        <v>4.1658149644120002</v>
      </c>
      <c r="C142">
        <v>27.115821255404001</v>
      </c>
      <c r="D142">
        <v>1.9925296513347099</v>
      </c>
      <c r="E142">
        <v>3.5111622301563599</v>
      </c>
      <c r="F142">
        <v>36.56220282668</v>
      </c>
      <c r="G142">
        <v>0.96716099676197798</v>
      </c>
      <c r="H142">
        <v>4</v>
      </c>
    </row>
    <row r="143" spans="1:8">
      <c r="A143">
        <v>1.4834825990000799</v>
      </c>
      <c r="B143">
        <v>4.2548446853762796</v>
      </c>
      <c r="C143">
        <v>29.020476934453999</v>
      </c>
      <c r="D143">
        <v>1.96041514534235</v>
      </c>
      <c r="E143">
        <v>3.5059159452733102</v>
      </c>
      <c r="F143">
        <v>34.262697667493299</v>
      </c>
      <c r="G143">
        <v>1.27834130214115</v>
      </c>
      <c r="H143">
        <v>75</v>
      </c>
    </row>
    <row r="144" spans="1:8">
      <c r="A144">
        <v>1.40644918625962</v>
      </c>
      <c r="B144">
        <v>4.1685316510083199</v>
      </c>
      <c r="C144">
        <v>26.889587475812501</v>
      </c>
      <c r="D144">
        <v>2.0324605962801998</v>
      </c>
      <c r="E144">
        <v>2.8973108364649298</v>
      </c>
      <c r="F144">
        <v>33.338180930705697</v>
      </c>
      <c r="G144">
        <v>1.93236973807526</v>
      </c>
      <c r="H144">
        <v>236</v>
      </c>
    </row>
    <row r="145" spans="1:8">
      <c r="A145">
        <v>1.3694142281323101</v>
      </c>
      <c r="B145">
        <v>4.21445173705406</v>
      </c>
      <c r="C145">
        <v>25.9699188722191</v>
      </c>
      <c r="D145">
        <v>2.0627270271493301</v>
      </c>
      <c r="E145">
        <v>4.2424524096673002</v>
      </c>
      <c r="F145">
        <v>35.199222303678297</v>
      </c>
      <c r="G145">
        <v>1.2993476403044899</v>
      </c>
      <c r="H145">
        <v>69</v>
      </c>
    </row>
    <row r="146" spans="1:8">
      <c r="A146">
        <v>1.4399969173010101</v>
      </c>
      <c r="B146">
        <v>4.16067370134523</v>
      </c>
      <c r="C146">
        <v>27.635395934804901</v>
      </c>
      <c r="D146">
        <v>2.1148339001828198</v>
      </c>
      <c r="E146">
        <v>3.3797483192806399</v>
      </c>
      <c r="F146">
        <v>34.804664746685198</v>
      </c>
      <c r="G146">
        <v>1.0798409926947501</v>
      </c>
      <c r="H146">
        <v>66</v>
      </c>
    </row>
    <row r="147" spans="1:8">
      <c r="A147">
        <v>1.34565744898409</v>
      </c>
      <c r="B147">
        <v>4.2144720977207397</v>
      </c>
      <c r="C147">
        <v>24.364512118874099</v>
      </c>
      <c r="D147">
        <v>2.0617160311923399</v>
      </c>
      <c r="E147">
        <v>4.3635481184784499</v>
      </c>
      <c r="F147">
        <v>32.4658536206938</v>
      </c>
      <c r="G147">
        <v>1.7228305715876699</v>
      </c>
      <c r="H147">
        <v>198</v>
      </c>
    </row>
    <row r="148" spans="1:8">
      <c r="A148">
        <v>1.2592421581325099</v>
      </c>
      <c r="B148">
        <v>4.2959178843618799</v>
      </c>
      <c r="C148">
        <v>28.584740712671799</v>
      </c>
      <c r="D148">
        <v>2.0138306078236399</v>
      </c>
      <c r="E148">
        <v>3.3145624499977902</v>
      </c>
      <c r="F148">
        <v>31.979539431036599</v>
      </c>
      <c r="G148">
        <v>1.7547111973148499</v>
      </c>
      <c r="H148">
        <v>161</v>
      </c>
    </row>
    <row r="149" spans="1:8">
      <c r="A149">
        <v>1.2838559986915501</v>
      </c>
      <c r="B149">
        <v>4.14218282461285</v>
      </c>
      <c r="C149">
        <v>26.290658134661999</v>
      </c>
      <c r="D149">
        <v>2.1530338429354998</v>
      </c>
      <c r="E149">
        <v>3.2180571319544802</v>
      </c>
      <c r="F149">
        <v>31.487330128004199</v>
      </c>
      <c r="G149">
        <v>1.9113697206676601</v>
      </c>
      <c r="H149">
        <v>232</v>
      </c>
    </row>
    <row r="150" spans="1:8">
      <c r="A150">
        <v>1.3993743777402301</v>
      </c>
      <c r="B150">
        <v>4.14724744904297</v>
      </c>
      <c r="C150">
        <v>27.807074583096799</v>
      </c>
      <c r="D150">
        <v>1.95571005739151</v>
      </c>
      <c r="E150">
        <v>4.0031971444207901</v>
      </c>
      <c r="F150">
        <v>33.787433724872102</v>
      </c>
      <c r="G150">
        <v>1.7643911298664401</v>
      </c>
      <c r="H150">
        <v>173</v>
      </c>
    </row>
    <row r="151" spans="1:8">
      <c r="A151">
        <v>1.15548531370765</v>
      </c>
      <c r="B151">
        <v>4.2152982913760804</v>
      </c>
      <c r="C151">
        <v>25.893104910101901</v>
      </c>
      <c r="D151">
        <v>1.99082177600947</v>
      </c>
      <c r="E151">
        <v>3.2994520755643202</v>
      </c>
      <c r="F151">
        <v>35.068959387122803</v>
      </c>
      <c r="G151">
        <v>1.78978093082434</v>
      </c>
      <c r="H151">
        <v>168</v>
      </c>
    </row>
    <row r="152" spans="1:8">
      <c r="A152">
        <v>1.45589906337464</v>
      </c>
      <c r="B152">
        <v>4.1785734921018003</v>
      </c>
      <c r="C152">
        <v>26.382857196774001</v>
      </c>
      <c r="D152">
        <v>2.0497160916456099</v>
      </c>
      <c r="E152">
        <v>3.0780027753265502</v>
      </c>
      <c r="F152">
        <v>37.7202430644559</v>
      </c>
      <c r="G152">
        <v>1.02041493354373</v>
      </c>
      <c r="H152">
        <v>24</v>
      </c>
    </row>
    <row r="153" spans="1:8">
      <c r="A153">
        <v>1.40636756869931</v>
      </c>
      <c r="B153">
        <v>4.1863217195884701</v>
      </c>
      <c r="C153">
        <v>28.726129683543601</v>
      </c>
      <c r="D153">
        <v>1.8863752850095401</v>
      </c>
      <c r="E153">
        <v>3.4249516081007498</v>
      </c>
      <c r="F153">
        <v>33.988588008823399</v>
      </c>
      <c r="G153">
        <v>0.75097186448962805</v>
      </c>
      <c r="H153">
        <v>0</v>
      </c>
    </row>
    <row r="154" spans="1:8">
      <c r="A154">
        <v>1.18912984980832</v>
      </c>
      <c r="B154">
        <v>4.2154643372588101</v>
      </c>
      <c r="C154">
        <v>26.3305312254017</v>
      </c>
      <c r="D154">
        <v>1.9511213343848799</v>
      </c>
      <c r="E154">
        <v>3.0875830647073599</v>
      </c>
      <c r="F154">
        <v>34.332665840577697</v>
      </c>
      <c r="G154">
        <v>1.31975732141502</v>
      </c>
      <c r="H154">
        <v>112</v>
      </c>
    </row>
    <row r="155" spans="1:8">
      <c r="A155">
        <v>1.3142504970540601</v>
      </c>
      <c r="B155">
        <v>4.1064776293874701</v>
      </c>
      <c r="C155">
        <v>26.8463775265561</v>
      </c>
      <c r="D155">
        <v>1.9868844060930599</v>
      </c>
      <c r="E155">
        <v>3.7344631060272202</v>
      </c>
      <c r="F155">
        <v>32.585107806287297</v>
      </c>
      <c r="G155">
        <v>1.4621553030996499</v>
      </c>
      <c r="H155">
        <v>112</v>
      </c>
    </row>
    <row r="156" spans="1:8">
      <c r="A156">
        <v>1.4628420290106401</v>
      </c>
      <c r="B156">
        <v>4.1617115755862599</v>
      </c>
      <c r="C156">
        <v>27.295894349448901</v>
      </c>
      <c r="D156">
        <v>2.3223815258348601</v>
      </c>
      <c r="E156">
        <v>3.22497707998656</v>
      </c>
      <c r="F156">
        <v>30.3695264926356</v>
      </c>
      <c r="G156">
        <v>1.93749320867507</v>
      </c>
      <c r="H156">
        <v>235</v>
      </c>
    </row>
    <row r="157" spans="1:8">
      <c r="A157">
        <v>1.4069013907492101</v>
      </c>
      <c r="B157">
        <v>4.0656595031994902</v>
      </c>
      <c r="C157">
        <v>25.288153366241101</v>
      </c>
      <c r="D157">
        <v>1.98430812898083</v>
      </c>
      <c r="E157">
        <v>3.37520994891304</v>
      </c>
      <c r="F157">
        <v>33.065770223786302</v>
      </c>
      <c r="G157">
        <v>1.6043267013634901</v>
      </c>
      <c r="H157">
        <v>172</v>
      </c>
    </row>
    <row r="158" spans="1:8">
      <c r="A158">
        <v>1.4425684144900299</v>
      </c>
      <c r="B158">
        <v>4.2276358234443601</v>
      </c>
      <c r="C158">
        <v>28.6198278470101</v>
      </c>
      <c r="D158">
        <v>1.97654722980327</v>
      </c>
      <c r="E158">
        <v>3.3633335327304401</v>
      </c>
      <c r="F158">
        <v>33.385760946575999</v>
      </c>
      <c r="G158">
        <v>1.54326402735059</v>
      </c>
      <c r="H158">
        <v>118</v>
      </c>
    </row>
    <row r="159" spans="1:8">
      <c r="A159">
        <v>1.2991941180689099</v>
      </c>
      <c r="B159">
        <v>4.2295847599732301</v>
      </c>
      <c r="C159">
        <v>26.363595177309598</v>
      </c>
      <c r="D159">
        <v>1.97733677398314</v>
      </c>
      <c r="E159">
        <v>3.2128816974010102</v>
      </c>
      <c r="F159">
        <v>33.7408062264387</v>
      </c>
      <c r="G159">
        <v>1.50333963348254</v>
      </c>
      <c r="H159">
        <v>119</v>
      </c>
    </row>
    <row r="160" spans="1:8">
      <c r="A160">
        <v>1.59512457776422</v>
      </c>
      <c r="B160">
        <v>4.2154739586205201</v>
      </c>
      <c r="C160">
        <v>25.1359505443674</v>
      </c>
      <c r="D160">
        <v>1.99464529962381</v>
      </c>
      <c r="E160">
        <v>3.1606350375083401</v>
      </c>
      <c r="F160">
        <v>38.135147892096398</v>
      </c>
      <c r="G160">
        <v>1.83960875740112</v>
      </c>
      <c r="H160">
        <v>217</v>
      </c>
    </row>
    <row r="161" spans="1:8">
      <c r="A161">
        <v>1.49086501515174</v>
      </c>
      <c r="B161">
        <v>4.1833342934434601</v>
      </c>
      <c r="C161">
        <v>25.8662244035729</v>
      </c>
      <c r="D161">
        <v>1.9870828121005799</v>
      </c>
      <c r="E161">
        <v>3.6830119894580098</v>
      </c>
      <c r="F161">
        <v>28.850119852451801</v>
      </c>
      <c r="G161">
        <v>1.1135779404231001</v>
      </c>
      <c r="H161">
        <v>73</v>
      </c>
    </row>
    <row r="162" spans="1:8">
      <c r="A162">
        <v>1.44270154849434</v>
      </c>
      <c r="B162">
        <v>4.2040142724714098</v>
      </c>
      <c r="C162">
        <v>29.556201127896902</v>
      </c>
      <c r="D162">
        <v>1.9878010301914</v>
      </c>
      <c r="E162">
        <v>3.0892851571539102</v>
      </c>
      <c r="F162">
        <v>29.689758455112798</v>
      </c>
      <c r="G162">
        <v>1.48594514054323</v>
      </c>
      <c r="H162">
        <v>108</v>
      </c>
    </row>
    <row r="163" spans="1:8">
      <c r="A163">
        <v>1.4825638750305801</v>
      </c>
      <c r="B163">
        <v>4.2004066235233601</v>
      </c>
      <c r="C163">
        <v>28.5211873696237</v>
      </c>
      <c r="D163">
        <v>1.89770822022724</v>
      </c>
      <c r="E163">
        <v>3.1356987118114201</v>
      </c>
      <c r="F163">
        <v>31.683838535240799</v>
      </c>
      <c r="G163">
        <v>1.1005891332447699</v>
      </c>
      <c r="H163">
        <v>40</v>
      </c>
    </row>
    <row r="164" spans="1:8">
      <c r="A164">
        <v>1.45213904440686</v>
      </c>
      <c r="B164">
        <v>4.1129998722066299</v>
      </c>
      <c r="C164">
        <v>25.5173127106804</v>
      </c>
      <c r="D164">
        <v>2.23380700509228</v>
      </c>
      <c r="E164">
        <v>3.36654274545152</v>
      </c>
      <c r="F164">
        <v>34.7279288997455</v>
      </c>
      <c r="G164">
        <v>1.4096515518838999</v>
      </c>
      <c r="H164">
        <v>93</v>
      </c>
    </row>
    <row r="165" spans="1:8">
      <c r="A165">
        <v>1.2886308533697799</v>
      </c>
      <c r="B165">
        <v>4.27329979893402</v>
      </c>
      <c r="C165">
        <v>25.752069313415799</v>
      </c>
      <c r="D165">
        <v>1.89360218110511</v>
      </c>
      <c r="E165">
        <v>3.3054785819177601</v>
      </c>
      <c r="F165">
        <v>34.882500238111199</v>
      </c>
      <c r="G165">
        <v>1.25796817083846</v>
      </c>
      <c r="H165">
        <v>70</v>
      </c>
    </row>
    <row r="166" spans="1:8">
      <c r="A166">
        <v>1.4706719173746501</v>
      </c>
      <c r="B166">
        <v>4.2179913330106897</v>
      </c>
      <c r="C166">
        <v>27.2504406916755</v>
      </c>
      <c r="D166">
        <v>2.0098504141179001</v>
      </c>
      <c r="E166">
        <v>2.8839673168517099</v>
      </c>
      <c r="F166">
        <v>31.679855432348301</v>
      </c>
      <c r="G166">
        <v>1.3765651018596901</v>
      </c>
      <c r="H166">
        <v>95</v>
      </c>
    </row>
    <row r="167" spans="1:8">
      <c r="A167">
        <v>1.43132529474355</v>
      </c>
      <c r="B167">
        <v>4.1993772753245704</v>
      </c>
      <c r="C167">
        <v>26.498392185379299</v>
      </c>
      <c r="D167">
        <v>1.8708174515257801</v>
      </c>
      <c r="E167">
        <v>3.87130218927879</v>
      </c>
      <c r="F167">
        <v>29.1782656035451</v>
      </c>
      <c r="G167">
        <v>1.4554045028828499</v>
      </c>
      <c r="H167">
        <v>140</v>
      </c>
    </row>
    <row r="168" spans="1:8">
      <c r="A168">
        <v>1.41005501532273</v>
      </c>
      <c r="B168">
        <v>4.2294299050543298</v>
      </c>
      <c r="C168">
        <v>28.930921181902299</v>
      </c>
      <c r="D168">
        <v>2.1916481511801398</v>
      </c>
      <c r="E168">
        <v>3.6858279438452901</v>
      </c>
      <c r="F168">
        <v>32.375929757370798</v>
      </c>
      <c r="G168">
        <v>1.2032787470977799</v>
      </c>
      <c r="H168">
        <v>92</v>
      </c>
    </row>
    <row r="169" spans="1:8">
      <c r="A169">
        <v>1.40215372380264</v>
      </c>
      <c r="B169">
        <v>4.1691219260005798</v>
      </c>
      <c r="C169">
        <v>27.796010023609199</v>
      </c>
      <c r="D169">
        <v>2.0375785488683098</v>
      </c>
      <c r="E169">
        <v>3.2722408501726301</v>
      </c>
      <c r="F169">
        <v>31.596156428812101</v>
      </c>
      <c r="G169">
        <v>1.07635399138113</v>
      </c>
      <c r="H169">
        <v>34</v>
      </c>
    </row>
    <row r="170" spans="1:8">
      <c r="A170">
        <v>1.34665576651819</v>
      </c>
      <c r="B170">
        <v>4.1978460894700502</v>
      </c>
      <c r="C170">
        <v>28.605770711076001</v>
      </c>
      <c r="D170">
        <v>1.9193869496067999</v>
      </c>
      <c r="E170">
        <v>3.6020504783306899</v>
      </c>
      <c r="F170">
        <v>31.7597965429784</v>
      </c>
      <c r="G170">
        <v>1.0361646177036901</v>
      </c>
      <c r="H170">
        <v>17</v>
      </c>
    </row>
    <row r="171" spans="1:8">
      <c r="A171">
        <v>1.4693781986082599</v>
      </c>
      <c r="B171">
        <v>4.2028139773136397</v>
      </c>
      <c r="C171">
        <v>27.320802242572601</v>
      </c>
      <c r="D171">
        <v>1.9928182227483699</v>
      </c>
      <c r="E171">
        <v>3.7129762665977299</v>
      </c>
      <c r="F171">
        <v>33.199735542608501</v>
      </c>
      <c r="G171">
        <v>1.1994798407170999</v>
      </c>
      <c r="H171">
        <v>49</v>
      </c>
    </row>
    <row r="172" spans="1:8">
      <c r="A172">
        <v>1.57770433142651</v>
      </c>
      <c r="B172">
        <v>4.25877643180959</v>
      </c>
      <c r="C172">
        <v>28.295081551180498</v>
      </c>
      <c r="D172">
        <v>2.14085056807646</v>
      </c>
      <c r="E172">
        <v>3.7282714380683899</v>
      </c>
      <c r="F172">
        <v>35.101512845178199</v>
      </c>
      <c r="G172">
        <v>0.79226349026425702</v>
      </c>
      <c r="H172">
        <v>9</v>
      </c>
    </row>
    <row r="173" spans="1:8">
      <c r="A173">
        <v>1.2821076302694101</v>
      </c>
      <c r="B173">
        <v>4.2462074124341296</v>
      </c>
      <c r="C173">
        <v>26.2294064071911</v>
      </c>
      <c r="D173">
        <v>2.0220462556668002</v>
      </c>
      <c r="E173">
        <v>3.1103684182993598</v>
      </c>
      <c r="F173">
        <v>35.884718452742199</v>
      </c>
      <c r="G173">
        <v>1.43563192230093</v>
      </c>
      <c r="H173">
        <v>98</v>
      </c>
    </row>
    <row r="174" spans="1:8">
      <c r="A174">
        <v>1.4114360874971199</v>
      </c>
      <c r="B174">
        <v>4.2245752496639</v>
      </c>
      <c r="C174">
        <v>23.8225415454882</v>
      </c>
      <c r="D174">
        <v>2.1394162084945099</v>
      </c>
      <c r="E174">
        <v>2.81472240292047</v>
      </c>
      <c r="F174">
        <v>33.990637211187298</v>
      </c>
      <c r="G174">
        <v>1.01104772992449</v>
      </c>
      <c r="H174">
        <v>53</v>
      </c>
    </row>
    <row r="175" spans="1:8">
      <c r="A175">
        <v>1.5053971092776199</v>
      </c>
      <c r="B175">
        <v>4.2486901271606996</v>
      </c>
      <c r="C175">
        <v>26.511192190173599</v>
      </c>
      <c r="D175">
        <v>2.04433974348437</v>
      </c>
      <c r="E175">
        <v>3.74078479785247</v>
      </c>
      <c r="F175">
        <v>32.026290606688399</v>
      </c>
      <c r="G175">
        <v>1.2858482913589999</v>
      </c>
      <c r="H175">
        <v>77</v>
      </c>
    </row>
    <row r="176" spans="1:8">
      <c r="A176">
        <v>1.3001158605367</v>
      </c>
      <c r="B176">
        <v>4.2975167207817702</v>
      </c>
      <c r="C176">
        <v>25.1666132826665</v>
      </c>
      <c r="D176">
        <v>1.8432252147391801</v>
      </c>
      <c r="E176">
        <v>4.0120881459967803</v>
      </c>
      <c r="F176">
        <v>31.789534480412801</v>
      </c>
      <c r="G176">
        <v>1.28703659861903</v>
      </c>
      <c r="H176">
        <v>78</v>
      </c>
    </row>
    <row r="177" spans="1:8">
      <c r="A177">
        <v>1.4265357752493799</v>
      </c>
      <c r="B177">
        <v>4.2140737895821498</v>
      </c>
      <c r="C177">
        <v>27.2268429453806</v>
      </c>
      <c r="D177">
        <v>1.9875727785948001</v>
      </c>
      <c r="E177">
        <v>3.8114649699282399</v>
      </c>
      <c r="F177">
        <v>31.610799834996701</v>
      </c>
      <c r="G177">
        <v>1.16094508952418</v>
      </c>
      <c r="H177">
        <v>82</v>
      </c>
    </row>
    <row r="178" spans="1:8">
      <c r="A178">
        <v>1.426717598795</v>
      </c>
      <c r="B178">
        <v>4.2069025430450502</v>
      </c>
      <c r="C178">
        <v>27.8323614606477</v>
      </c>
      <c r="D178">
        <v>2.0019980609192198</v>
      </c>
      <c r="E178">
        <v>4.0284078708111704</v>
      </c>
      <c r="F178">
        <v>31.4435330080073</v>
      </c>
      <c r="G178">
        <v>1.89966320312169</v>
      </c>
      <c r="H178">
        <v>200</v>
      </c>
    </row>
    <row r="179" spans="1:8">
      <c r="A179">
        <v>1.4329663190789901</v>
      </c>
      <c r="B179">
        <v>4.0350777977823604</v>
      </c>
      <c r="C179">
        <v>27.860088945822898</v>
      </c>
      <c r="D179">
        <v>2.0312571884386599</v>
      </c>
      <c r="E179">
        <v>3.3626778052600899</v>
      </c>
      <c r="F179">
        <v>30.245143257981201</v>
      </c>
      <c r="G179">
        <v>1.13259936139474</v>
      </c>
      <c r="H179">
        <v>47</v>
      </c>
    </row>
    <row r="180" spans="1:8">
      <c r="A180">
        <v>1.3793868780142</v>
      </c>
      <c r="B180">
        <v>4.1326744909369104</v>
      </c>
      <c r="C180">
        <v>26.3507847262022</v>
      </c>
      <c r="D180">
        <v>1.99038280269465</v>
      </c>
      <c r="E180">
        <v>3.2371804658397298</v>
      </c>
      <c r="F180">
        <v>35.1142487883698</v>
      </c>
      <c r="G180">
        <v>1.3873084860859499</v>
      </c>
      <c r="H180">
        <v>128</v>
      </c>
    </row>
    <row r="181" spans="1:8">
      <c r="A181">
        <v>1.5940962770879501</v>
      </c>
      <c r="B181">
        <v>4.3098461767281897</v>
      </c>
      <c r="C181">
        <v>27.268867604149001</v>
      </c>
      <c r="D181">
        <v>1.9685728653268999</v>
      </c>
      <c r="E181">
        <v>3.3957683634203599</v>
      </c>
      <c r="F181">
        <v>34.622529799642898</v>
      </c>
      <c r="G181">
        <v>1.5300113512915801</v>
      </c>
      <c r="H181">
        <v>117</v>
      </c>
    </row>
    <row r="182" spans="1:8">
      <c r="A182">
        <v>1.50347048679744</v>
      </c>
      <c r="B182">
        <v>4.24110710569225</v>
      </c>
      <c r="C182">
        <v>27.060500324736399</v>
      </c>
      <c r="D182">
        <v>2.0512529219882398</v>
      </c>
      <c r="E182">
        <v>3.2568029901114901</v>
      </c>
      <c r="F182">
        <v>34.453375937712501</v>
      </c>
      <c r="G182">
        <v>0.975392443019795</v>
      </c>
      <c r="H182">
        <v>47</v>
      </c>
    </row>
    <row r="183" spans="1:8">
      <c r="A183">
        <v>1.3474639605550001</v>
      </c>
      <c r="B183">
        <v>4.1677282989370799</v>
      </c>
      <c r="C183">
        <v>24.3345859347471</v>
      </c>
      <c r="D183">
        <v>1.85471830270095</v>
      </c>
      <c r="E183">
        <v>4.19159182635262</v>
      </c>
      <c r="F183">
        <v>33.500879057454199</v>
      </c>
      <c r="G183">
        <v>1.9383533977456699</v>
      </c>
      <c r="H183">
        <v>207</v>
      </c>
    </row>
    <row r="184" spans="1:8">
      <c r="A184">
        <v>1.27405623003256</v>
      </c>
      <c r="B184">
        <v>4.2087788925789598</v>
      </c>
      <c r="C184">
        <v>28.873529242638</v>
      </c>
      <c r="D184">
        <v>2.05948801081247</v>
      </c>
      <c r="E184">
        <v>3.5931499407343899</v>
      </c>
      <c r="F184">
        <v>32.011959017656501</v>
      </c>
      <c r="G184">
        <v>1.56544429102107</v>
      </c>
      <c r="H184">
        <v>124</v>
      </c>
    </row>
    <row r="185" spans="1:8">
      <c r="A185">
        <v>1.4889763851962901</v>
      </c>
      <c r="B185">
        <v>4.2591232238996497</v>
      </c>
      <c r="C185">
        <v>29.2958684796805</v>
      </c>
      <c r="D185">
        <v>2.0122766176034901</v>
      </c>
      <c r="E185">
        <v>3.5199095867265302</v>
      </c>
      <c r="F185">
        <v>33.056393193512498</v>
      </c>
      <c r="G185">
        <v>1.86903860292373</v>
      </c>
      <c r="H185">
        <v>194</v>
      </c>
    </row>
    <row r="186" spans="1:8">
      <c r="A186">
        <v>1.4064337667675699</v>
      </c>
      <c r="B186">
        <v>4.2053952591205004</v>
      </c>
      <c r="C186">
        <v>27.062478541277098</v>
      </c>
      <c r="D186">
        <v>1.8062238920004801</v>
      </c>
      <c r="E186">
        <v>3.8990126498342201</v>
      </c>
      <c r="F186">
        <v>32.8012478629757</v>
      </c>
      <c r="G186">
        <v>1.6344794720372799</v>
      </c>
      <c r="H186">
        <v>178</v>
      </c>
    </row>
    <row r="187" spans="1:8">
      <c r="A187">
        <v>1.49679561945948</v>
      </c>
      <c r="B187">
        <v>4.2281765536194902</v>
      </c>
      <c r="C187">
        <v>25.678361336955401</v>
      </c>
      <c r="D187">
        <v>2.1398110937001702</v>
      </c>
      <c r="E187">
        <v>3.6686576253040601</v>
      </c>
      <c r="F187">
        <v>32.119506902845899</v>
      </c>
      <c r="G187">
        <v>1.14194168824669</v>
      </c>
      <c r="H187">
        <v>50</v>
      </c>
    </row>
    <row r="188" spans="1:8">
      <c r="A188">
        <v>1.2673440191485299</v>
      </c>
      <c r="B188">
        <v>4.2038463474355403</v>
      </c>
      <c r="C188">
        <v>27.916126426650699</v>
      </c>
      <c r="D188">
        <v>2.02062198616128</v>
      </c>
      <c r="E188">
        <v>3.7393195635978702</v>
      </c>
      <c r="F188">
        <v>32.728442057853101</v>
      </c>
      <c r="G188">
        <v>1.3548118966804501</v>
      </c>
      <c r="H188">
        <v>120</v>
      </c>
    </row>
    <row r="189" spans="1:8">
      <c r="A189">
        <v>1.24995999522807</v>
      </c>
      <c r="B189">
        <v>4.2665621100870501</v>
      </c>
      <c r="C189">
        <v>27.0008538261316</v>
      </c>
      <c r="D189">
        <v>1.9207054162319599</v>
      </c>
      <c r="E189">
        <v>3.4387115068814298</v>
      </c>
      <c r="F189">
        <v>33.267533306806897</v>
      </c>
      <c r="G189">
        <v>1.06913186739684</v>
      </c>
      <c r="H189">
        <v>64</v>
      </c>
    </row>
    <row r="190" spans="1:8">
      <c r="A190">
        <v>1.19009770442982</v>
      </c>
      <c r="B190">
        <v>4.1532609596564498</v>
      </c>
      <c r="C190">
        <v>24.0813521407248</v>
      </c>
      <c r="D190">
        <v>2.15114031264747</v>
      </c>
      <c r="E190">
        <v>3.68815239978484</v>
      </c>
      <c r="F190">
        <v>34.249925117367397</v>
      </c>
      <c r="G190">
        <v>1.8696214760160601</v>
      </c>
      <c r="H190">
        <v>184</v>
      </c>
    </row>
    <row r="191" spans="1:8">
      <c r="A191">
        <v>1.44650040113669</v>
      </c>
      <c r="B191">
        <v>4.1369973273704304</v>
      </c>
      <c r="C191">
        <v>26.243308361985399</v>
      </c>
      <c r="D191">
        <v>2.0482246400588102</v>
      </c>
      <c r="E191">
        <v>3.3373080718327399</v>
      </c>
      <c r="F191">
        <v>33.152816383584998</v>
      </c>
      <c r="G191">
        <v>1.60376488811221</v>
      </c>
      <c r="H191">
        <v>131</v>
      </c>
    </row>
    <row r="192" spans="1:8">
      <c r="A192">
        <v>1.4667462885937299</v>
      </c>
      <c r="B192">
        <v>4.1875001807626999</v>
      </c>
      <c r="C192">
        <v>25.820431087208799</v>
      </c>
      <c r="D192">
        <v>1.9629076821022</v>
      </c>
      <c r="E192">
        <v>3.1761384515584701</v>
      </c>
      <c r="F192">
        <v>32.6673746331061</v>
      </c>
      <c r="G192">
        <v>1.2275293779373</v>
      </c>
      <c r="H192">
        <v>96</v>
      </c>
    </row>
    <row r="193" spans="1:8">
      <c r="A193">
        <v>1.3184842354003901</v>
      </c>
      <c r="B193">
        <v>4.1699009893307704</v>
      </c>
      <c r="C193">
        <v>26.9855602698327</v>
      </c>
      <c r="D193">
        <v>1.9200054209831501</v>
      </c>
      <c r="E193">
        <v>3.15462449689604</v>
      </c>
      <c r="F193">
        <v>33.277716220614103</v>
      </c>
      <c r="G193">
        <v>1.7322996730867399</v>
      </c>
      <c r="H193">
        <v>157</v>
      </c>
    </row>
    <row r="194" spans="1:8">
      <c r="A194">
        <v>1.4807738869118099</v>
      </c>
      <c r="B194">
        <v>4.1677797110693202</v>
      </c>
      <c r="C194">
        <v>26.366712685344101</v>
      </c>
      <c r="D194">
        <v>2.0191544674792499</v>
      </c>
      <c r="E194">
        <v>2.8854240010346701</v>
      </c>
      <c r="F194">
        <v>30.407095450400199</v>
      </c>
      <c r="G194">
        <v>1.23039796855579</v>
      </c>
      <c r="H194">
        <v>65</v>
      </c>
    </row>
    <row r="195" spans="1:8">
      <c r="A195">
        <v>1.2811341945955099</v>
      </c>
      <c r="B195">
        <v>4.1773590123284903</v>
      </c>
      <c r="C195">
        <v>30.6060241853355</v>
      </c>
      <c r="D195">
        <v>2.1262416052105602</v>
      </c>
      <c r="E195">
        <v>3.50208996510829</v>
      </c>
      <c r="F195">
        <v>34.126082713999999</v>
      </c>
      <c r="G195">
        <v>1.36057496787516</v>
      </c>
      <c r="H195">
        <v>93</v>
      </c>
    </row>
    <row r="196" spans="1:8">
      <c r="A196">
        <v>1.3140925352783599</v>
      </c>
      <c r="B196">
        <v>4.2169047820406202</v>
      </c>
      <c r="C196">
        <v>27.149406341520901</v>
      </c>
      <c r="D196">
        <v>2.03086631323835</v>
      </c>
      <c r="E196">
        <v>2.9948915567054502</v>
      </c>
      <c r="F196">
        <v>33.779330510931999</v>
      </c>
      <c r="G196">
        <v>1.88373791159633</v>
      </c>
      <c r="H196">
        <v>226</v>
      </c>
    </row>
    <row r="197" spans="1:8">
      <c r="A197">
        <v>1.2796908947513299</v>
      </c>
      <c r="B197">
        <v>4.3337854411339602</v>
      </c>
      <c r="C197">
        <v>28.056234403984199</v>
      </c>
      <c r="D197">
        <v>1.9300573891042001</v>
      </c>
      <c r="E197">
        <v>3.68457685112265</v>
      </c>
      <c r="F197">
        <v>34.344860203655301</v>
      </c>
      <c r="G197">
        <v>1.6583530511961</v>
      </c>
      <c r="H197">
        <v>142</v>
      </c>
    </row>
    <row r="198" spans="1:8">
      <c r="A198">
        <v>1.2022955422505399</v>
      </c>
      <c r="B198">
        <v>4.2214326133265203</v>
      </c>
      <c r="C198">
        <v>24.459696242065199</v>
      </c>
      <c r="D198">
        <v>2.0747590125669801</v>
      </c>
      <c r="E198">
        <v>3.3213205954660698</v>
      </c>
      <c r="F198">
        <v>35.029984013979799</v>
      </c>
      <c r="G198">
        <v>1.4312065207106099</v>
      </c>
      <c r="H198">
        <v>106</v>
      </c>
    </row>
    <row r="199" spans="1:8">
      <c r="A199">
        <v>1.50285189510203</v>
      </c>
      <c r="B199">
        <v>4.3186458032900701</v>
      </c>
      <c r="C199">
        <v>23.2136701827447</v>
      </c>
      <c r="D199">
        <v>1.9885875792060601</v>
      </c>
      <c r="E199">
        <v>3.32602813988085</v>
      </c>
      <c r="F199">
        <v>32.746864055285599</v>
      </c>
      <c r="G199">
        <v>1.3237088112445401</v>
      </c>
      <c r="H199">
        <v>75</v>
      </c>
    </row>
    <row r="200" spans="1:8">
      <c r="A200">
        <v>1.5265974214832001</v>
      </c>
      <c r="B200">
        <v>4.1389333857187998</v>
      </c>
      <c r="C200">
        <v>27.725460959979099</v>
      </c>
      <c r="D200">
        <v>1.83778377090553</v>
      </c>
      <c r="E200">
        <v>3.78412118196499</v>
      </c>
      <c r="F200">
        <v>31.902049796388699</v>
      </c>
      <c r="G200">
        <v>1.13315906338127</v>
      </c>
      <c r="H200">
        <v>46</v>
      </c>
    </row>
    <row r="201" spans="1:8">
      <c r="A201">
        <v>1.44292819928865</v>
      </c>
      <c r="B201">
        <v>4.1381948302554701</v>
      </c>
      <c r="C201">
        <v>27.794459931059802</v>
      </c>
      <c r="D201">
        <v>1.9806397474780599</v>
      </c>
      <c r="E201">
        <v>3.6961600314070302</v>
      </c>
      <c r="F201">
        <v>36.888477179916897</v>
      </c>
      <c r="G201">
        <v>1.38895580883363</v>
      </c>
      <c r="H201">
        <v>87</v>
      </c>
    </row>
    <row r="202" spans="1:8">
      <c r="A202">
        <v>1.1738565674532</v>
      </c>
      <c r="B202">
        <v>4.2821718885039202</v>
      </c>
      <c r="C202">
        <v>26.619909353670501</v>
      </c>
      <c r="D202">
        <v>1.9454556450381399</v>
      </c>
      <c r="E202">
        <v>3.3086017552932798</v>
      </c>
      <c r="F202">
        <v>29.592316084055501</v>
      </c>
      <c r="G202">
        <v>1.7038543639382</v>
      </c>
      <c r="H202">
        <v>162</v>
      </c>
    </row>
    <row r="203" spans="1:8">
      <c r="A203">
        <v>1.39263566737531</v>
      </c>
      <c r="B203">
        <v>4.1675863058133702</v>
      </c>
      <c r="C203">
        <v>26.509840669032499</v>
      </c>
      <c r="D203">
        <v>1.9352863554402899</v>
      </c>
      <c r="E203">
        <v>3.4792483944769201</v>
      </c>
      <c r="F203">
        <v>35.537674053299497</v>
      </c>
      <c r="G203">
        <v>0.96143875194251105</v>
      </c>
      <c r="H203">
        <v>3</v>
      </c>
    </row>
    <row r="204" spans="1:8">
      <c r="A204">
        <v>1.38487793998493</v>
      </c>
      <c r="B204">
        <v>4.2522278733910301</v>
      </c>
      <c r="C204">
        <v>25.1106881565638</v>
      </c>
      <c r="D204">
        <v>1.99102989747337</v>
      </c>
      <c r="E204">
        <v>3.5613281623921802</v>
      </c>
      <c r="F204">
        <v>34.574028814247598</v>
      </c>
      <c r="G204">
        <v>1.9882766783577599</v>
      </c>
      <c r="H204">
        <v>207</v>
      </c>
    </row>
    <row r="205" spans="1:8">
      <c r="A205">
        <v>1.2914691732886601</v>
      </c>
      <c r="B205">
        <v>4.2237262842294703</v>
      </c>
      <c r="C205">
        <v>25.148673124944999</v>
      </c>
      <c r="D205">
        <v>2.0016148682699302</v>
      </c>
      <c r="E205">
        <v>3.56683639311971</v>
      </c>
      <c r="F205">
        <v>32.002085602033297</v>
      </c>
      <c r="G205">
        <v>1.6822146884076099</v>
      </c>
      <c r="H205">
        <v>149</v>
      </c>
    </row>
    <row r="206" spans="1:8">
      <c r="A206">
        <v>1.32679761245085</v>
      </c>
      <c r="B206">
        <v>4.1860738038904604</v>
      </c>
      <c r="C206">
        <v>26.679397723828501</v>
      </c>
      <c r="D206">
        <v>1.89444836866248</v>
      </c>
      <c r="E206">
        <v>3.5722912844461598</v>
      </c>
      <c r="F206">
        <v>31.6336239084645</v>
      </c>
      <c r="G206">
        <v>1.91176056785584</v>
      </c>
      <c r="H206">
        <v>202</v>
      </c>
    </row>
    <row r="207" spans="1:8">
      <c r="A207">
        <v>1.4171771313580299</v>
      </c>
      <c r="B207">
        <v>4.1864596471457798</v>
      </c>
      <c r="C207">
        <v>25.6710461453672</v>
      </c>
      <c r="D207">
        <v>1.85876271555741</v>
      </c>
      <c r="E207">
        <v>3.6506512216871698</v>
      </c>
      <c r="F207">
        <v>31.901724912407499</v>
      </c>
      <c r="G207">
        <v>1.71548624323579</v>
      </c>
      <c r="H207">
        <v>193</v>
      </c>
    </row>
    <row r="208" spans="1:8">
      <c r="A208">
        <v>1.4979512986207599</v>
      </c>
      <c r="B208">
        <v>4.2104080315505596</v>
      </c>
      <c r="C208">
        <v>26.804197577606299</v>
      </c>
      <c r="D208">
        <v>2.2892325794275599</v>
      </c>
      <c r="E208">
        <v>3.44551619548273</v>
      </c>
      <c r="F208">
        <v>33.620236735865198</v>
      </c>
      <c r="G208">
        <v>1.4862128632667799</v>
      </c>
      <c r="H208">
        <v>107</v>
      </c>
    </row>
    <row r="209" spans="1:8">
      <c r="A209">
        <v>1.4220357733937601</v>
      </c>
      <c r="B209">
        <v>4.1560371232112701</v>
      </c>
      <c r="C209">
        <v>26.283268655738901</v>
      </c>
      <c r="D209">
        <v>1.8486345020271</v>
      </c>
      <c r="E209">
        <v>3.2066472791916101</v>
      </c>
      <c r="F209">
        <v>34.188973102470101</v>
      </c>
      <c r="G209">
        <v>1.8219360185393201</v>
      </c>
      <c r="H209">
        <v>174</v>
      </c>
    </row>
    <row r="210" spans="1:8">
      <c r="A210">
        <v>1.32139415343975</v>
      </c>
      <c r="B210">
        <v>4.2484662750997799</v>
      </c>
      <c r="C210">
        <v>29.3027584779317</v>
      </c>
      <c r="D210">
        <v>1.8759306106384701</v>
      </c>
      <c r="E210">
        <v>3.7472495077584398</v>
      </c>
      <c r="F210">
        <v>33.819681221287297</v>
      </c>
      <c r="G210">
        <v>1.5011731119467699</v>
      </c>
      <c r="H210">
        <v>148</v>
      </c>
    </row>
    <row r="211" spans="1:8">
      <c r="A211">
        <v>1.27829588253075</v>
      </c>
      <c r="B211">
        <v>4.2107510909865198</v>
      </c>
      <c r="C211">
        <v>28.508676770178202</v>
      </c>
      <c r="D211">
        <v>2.1117631451083101</v>
      </c>
      <c r="E211">
        <v>3.7551896269835301</v>
      </c>
      <c r="F211">
        <v>33.315625152506101</v>
      </c>
      <c r="G211">
        <v>0.88827197362985899</v>
      </c>
      <c r="H211">
        <v>29</v>
      </c>
    </row>
    <row r="212" spans="1:8">
      <c r="A212">
        <v>1.2984906298009899</v>
      </c>
      <c r="B212">
        <v>4.1403189489364598</v>
      </c>
      <c r="C212">
        <v>27.128925111233801</v>
      </c>
      <c r="D212">
        <v>1.9315921929659099</v>
      </c>
      <c r="E212">
        <v>3.9157439700277501</v>
      </c>
      <c r="F212">
        <v>31.048025511030598</v>
      </c>
      <c r="G212">
        <v>1.03639652953848</v>
      </c>
      <c r="H212">
        <v>29</v>
      </c>
    </row>
    <row r="213" spans="1:8">
      <c r="A213">
        <v>1.48820822243516</v>
      </c>
      <c r="B213">
        <v>4.2369469189169502</v>
      </c>
      <c r="C213">
        <v>25.703287521431701</v>
      </c>
      <c r="D213">
        <v>1.7947965367561001</v>
      </c>
      <c r="E213">
        <v>3.5025495764419698</v>
      </c>
      <c r="F213">
        <v>31.3798811363936</v>
      </c>
      <c r="G213">
        <v>0.99618109375695296</v>
      </c>
      <c r="H213">
        <v>7</v>
      </c>
    </row>
    <row r="214" spans="1:8">
      <c r="A214">
        <v>1.3639215215702301</v>
      </c>
      <c r="B214">
        <v>4.1984031269864204</v>
      </c>
      <c r="C214">
        <v>24.9645447107794</v>
      </c>
      <c r="D214">
        <v>1.9223910745864301</v>
      </c>
      <c r="E214">
        <v>3.9036882830383699</v>
      </c>
      <c r="F214">
        <v>32.091195704130698</v>
      </c>
      <c r="G214">
        <v>1.14928580095919</v>
      </c>
      <c r="H214">
        <v>81</v>
      </c>
    </row>
    <row r="215" spans="1:8">
      <c r="A215">
        <v>1.3515351433095999</v>
      </c>
      <c r="B215">
        <v>4.1693924971470198</v>
      </c>
      <c r="C215">
        <v>25.982806616623499</v>
      </c>
      <c r="D215">
        <v>2.0307871311361598</v>
      </c>
      <c r="E215">
        <v>3.7152416589102599</v>
      </c>
      <c r="F215">
        <v>31.556354238064198</v>
      </c>
      <c r="G215">
        <v>1.3164746355536201</v>
      </c>
      <c r="H215">
        <v>72</v>
      </c>
    </row>
    <row r="216" spans="1:8">
      <c r="A216">
        <v>1.1848421138279199</v>
      </c>
      <c r="B216">
        <v>4.1498714064303499</v>
      </c>
      <c r="C216">
        <v>28.766163695050999</v>
      </c>
      <c r="D216">
        <v>2.0637723392132701</v>
      </c>
      <c r="E216">
        <v>3.1224416237257402</v>
      </c>
      <c r="F216">
        <v>33.943731478290303</v>
      </c>
      <c r="G216">
        <v>1.52282406787441</v>
      </c>
      <c r="H216">
        <v>125</v>
      </c>
    </row>
    <row r="217" spans="1:8">
      <c r="A217">
        <v>1.59228654873224</v>
      </c>
      <c r="B217">
        <v>4.1299920215321499</v>
      </c>
      <c r="C217">
        <v>27.584795171979302</v>
      </c>
      <c r="D217">
        <v>2.0655863549462001</v>
      </c>
      <c r="E217">
        <v>3.9522603285927098</v>
      </c>
      <c r="F217">
        <v>33.431325408930199</v>
      </c>
      <c r="G217">
        <v>1.0925908994500499</v>
      </c>
      <c r="H217">
        <v>39</v>
      </c>
    </row>
    <row r="218" spans="1:8">
      <c r="A218">
        <v>1.3681113005094201</v>
      </c>
      <c r="B218">
        <v>4.2110998858848303</v>
      </c>
      <c r="C218">
        <v>26.0224637530367</v>
      </c>
      <c r="D218">
        <v>1.9891290848440899</v>
      </c>
      <c r="E218">
        <v>3.8459658367729102</v>
      </c>
      <c r="F218">
        <v>33.586860789364898</v>
      </c>
      <c r="G218">
        <v>1.5918330715212401</v>
      </c>
      <c r="H218">
        <v>128</v>
      </c>
    </row>
    <row r="219" spans="1:8">
      <c r="A219">
        <v>1.4683324924577099</v>
      </c>
      <c r="B219">
        <v>4.20052660570712</v>
      </c>
      <c r="C219">
        <v>25.6170108893654</v>
      </c>
      <c r="D219">
        <v>2.0827852836943999</v>
      </c>
      <c r="E219">
        <v>3.8384230467612301</v>
      </c>
      <c r="F219">
        <v>30.8013399503009</v>
      </c>
      <c r="G219">
        <v>1.0313296319858201</v>
      </c>
      <c r="H219">
        <v>18</v>
      </c>
    </row>
    <row r="220" spans="1:8">
      <c r="A220">
        <v>1.42324297165486</v>
      </c>
      <c r="B220">
        <v>4.1701992489253303</v>
      </c>
      <c r="C220">
        <v>27.057072267350499</v>
      </c>
      <c r="D220">
        <v>1.8293203158392799</v>
      </c>
      <c r="E220">
        <v>3.5446605779618001</v>
      </c>
      <c r="F220">
        <v>31.851396292024901</v>
      </c>
      <c r="G220">
        <v>1.1646786480006699</v>
      </c>
      <c r="H220">
        <v>83</v>
      </c>
    </row>
    <row r="221" spans="1:8">
      <c r="A221">
        <v>1.38842695484622</v>
      </c>
      <c r="B221">
        <v>4.24573639512779</v>
      </c>
      <c r="C221">
        <v>26.895736419556101</v>
      </c>
      <c r="D221">
        <v>2.0012226888713802</v>
      </c>
      <c r="E221">
        <v>3.5418027676641999</v>
      </c>
      <c r="F221">
        <v>35.872274706686397</v>
      </c>
      <c r="G221">
        <v>1.9552000459513901</v>
      </c>
      <c r="H221">
        <v>242</v>
      </c>
    </row>
    <row r="222" spans="1:8">
      <c r="A222">
        <v>1.5762080827593401</v>
      </c>
      <c r="B222">
        <v>4.2365545830912597</v>
      </c>
      <c r="C222">
        <v>25.515739912082498</v>
      </c>
      <c r="D222">
        <v>1.8360046090516899</v>
      </c>
      <c r="E222">
        <v>3.8551106108766402</v>
      </c>
      <c r="F222">
        <v>32.173114336624202</v>
      </c>
      <c r="G222">
        <v>1.9788147542860599</v>
      </c>
      <c r="H222">
        <v>245</v>
      </c>
    </row>
    <row r="223" spans="1:8">
      <c r="A223">
        <v>1.49743750938844</v>
      </c>
      <c r="B223">
        <v>4.1539639172495804</v>
      </c>
      <c r="C223">
        <v>27.1348629489841</v>
      </c>
      <c r="D223">
        <v>2.07145238797106</v>
      </c>
      <c r="E223">
        <v>4.1636727213146703</v>
      </c>
      <c r="F223">
        <v>32.498914785194501</v>
      </c>
      <c r="G223">
        <v>0.85271450875728905</v>
      </c>
      <c r="H223">
        <v>21</v>
      </c>
    </row>
    <row r="224" spans="1:8">
      <c r="A224">
        <v>1.50914753716123</v>
      </c>
      <c r="B224">
        <v>4.1466963960629402</v>
      </c>
      <c r="C224">
        <v>26.483647397908701</v>
      </c>
      <c r="D224">
        <v>2.04643307866478</v>
      </c>
      <c r="E224">
        <v>2.9739163378996301</v>
      </c>
      <c r="F224">
        <v>35.172358635933001</v>
      </c>
      <c r="G224">
        <v>1.97629892956694</v>
      </c>
      <c r="H224">
        <v>214</v>
      </c>
    </row>
    <row r="225" spans="1:8">
      <c r="A225">
        <v>1.28288286167704</v>
      </c>
      <c r="B225">
        <v>4.2411632043770098</v>
      </c>
      <c r="C225">
        <v>26.275704973384901</v>
      </c>
      <c r="D225">
        <v>2.0692087797276799</v>
      </c>
      <c r="E225">
        <v>3.9426003387917401</v>
      </c>
      <c r="F225">
        <v>31.922036035565199</v>
      </c>
      <c r="G225">
        <v>1.7647375246852399</v>
      </c>
      <c r="H225">
        <v>174</v>
      </c>
    </row>
    <row r="226" spans="1:8">
      <c r="A226">
        <v>1.47701116044032</v>
      </c>
      <c r="B226">
        <v>4.2079213512650302</v>
      </c>
      <c r="C226">
        <v>25.6117032494402</v>
      </c>
      <c r="D226">
        <v>2.0669765553881301</v>
      </c>
      <c r="E226">
        <v>3.22031059645392</v>
      </c>
      <c r="F226">
        <v>33.193572928409203</v>
      </c>
      <c r="G226">
        <v>1.5278736989203701</v>
      </c>
      <c r="H226">
        <v>157</v>
      </c>
    </row>
    <row r="227" spans="1:8">
      <c r="A227">
        <v>1.2089732436993801</v>
      </c>
      <c r="B227">
        <v>4.23066359418576</v>
      </c>
      <c r="C227">
        <v>27.901008804114099</v>
      </c>
      <c r="D227">
        <v>2.0512335281609801</v>
      </c>
      <c r="E227">
        <v>3.9729559205623501</v>
      </c>
      <c r="F227">
        <v>33.806435166301299</v>
      </c>
      <c r="G227">
        <v>1.5805008679519701</v>
      </c>
      <c r="H227">
        <v>166</v>
      </c>
    </row>
    <row r="228" spans="1:8">
      <c r="A228">
        <v>1.43830880180623</v>
      </c>
      <c r="B228">
        <v>4.17992953886211</v>
      </c>
      <c r="C228">
        <v>28.1368966787646</v>
      </c>
      <c r="D228">
        <v>1.9596666758902099</v>
      </c>
      <c r="E228">
        <v>3.2986733488013198</v>
      </c>
      <c r="F228">
        <v>36.576137361401003</v>
      </c>
      <c r="G228">
        <v>1.6110655044323201</v>
      </c>
      <c r="H228">
        <v>173</v>
      </c>
    </row>
    <row r="229" spans="1:8">
      <c r="A229">
        <v>1.35816658374906</v>
      </c>
      <c r="B229">
        <v>4.2120712745928701</v>
      </c>
      <c r="C229">
        <v>27.0589624862343</v>
      </c>
      <c r="D229">
        <v>1.9509866774036599</v>
      </c>
      <c r="E229">
        <v>3.8072056213002798</v>
      </c>
      <c r="F229">
        <v>31.7955644192077</v>
      </c>
      <c r="G229">
        <v>1.9165565675916001</v>
      </c>
      <c r="H229">
        <v>203</v>
      </c>
    </row>
    <row r="230" spans="1:8">
      <c r="A230">
        <v>1.3834020760002299</v>
      </c>
      <c r="B230">
        <v>4.2721916392982697</v>
      </c>
      <c r="C230">
        <v>24.8934043531989</v>
      </c>
      <c r="D230">
        <v>2.0281380608974602</v>
      </c>
      <c r="E230">
        <v>3.77893725960713</v>
      </c>
      <c r="F230">
        <v>31.316880612027301</v>
      </c>
      <c r="G230">
        <v>1.7599957137434099</v>
      </c>
      <c r="H230">
        <v>171</v>
      </c>
    </row>
    <row r="231" spans="1:8">
      <c r="A231">
        <v>1.6094780400072399</v>
      </c>
      <c r="B231">
        <v>4.2586264752025098</v>
      </c>
      <c r="C231">
        <v>26.931967272992999</v>
      </c>
      <c r="D231">
        <v>1.9251700212354299</v>
      </c>
      <c r="E231">
        <v>3.5676116491963001</v>
      </c>
      <c r="F231">
        <v>32.844669464350801</v>
      </c>
      <c r="G231">
        <v>0.86592052637116501</v>
      </c>
      <c r="H231">
        <v>23</v>
      </c>
    </row>
    <row r="232" spans="1:8">
      <c r="A232">
        <v>1.4221904151800999</v>
      </c>
      <c r="B232">
        <v>4.22630081161316</v>
      </c>
      <c r="C232">
        <v>29.6844795037869</v>
      </c>
      <c r="D232">
        <v>1.9677774818493801</v>
      </c>
      <c r="E232">
        <v>3.8677229946941698</v>
      </c>
      <c r="F232">
        <v>32.2122951499151</v>
      </c>
      <c r="G232">
        <v>1.0369047463279299</v>
      </c>
      <c r="H232">
        <v>58</v>
      </c>
    </row>
    <row r="233" spans="1:8">
      <c r="A233">
        <v>1.3376796067819601</v>
      </c>
      <c r="B233">
        <v>4.2366965409483299</v>
      </c>
      <c r="C233">
        <v>27.0697567360478</v>
      </c>
      <c r="D233">
        <v>2.0735773736298002</v>
      </c>
      <c r="E233">
        <v>3.13452853768925</v>
      </c>
      <c r="F233">
        <v>32.082988090686797</v>
      </c>
      <c r="G233">
        <v>1.9692362357516799</v>
      </c>
      <c r="H233">
        <v>216</v>
      </c>
    </row>
    <row r="234" spans="1:8">
      <c r="A234">
        <v>1.3143485274182201</v>
      </c>
      <c r="B234">
        <v>4.2149324785334699</v>
      </c>
      <c r="C234">
        <v>29.195678225567502</v>
      </c>
      <c r="D234">
        <v>2.0069442450572499</v>
      </c>
      <c r="E234">
        <v>2.7821142895843001</v>
      </c>
      <c r="F234">
        <v>33.650028483490303</v>
      </c>
      <c r="G234">
        <v>1.9824292744799901</v>
      </c>
      <c r="H234">
        <v>247</v>
      </c>
    </row>
    <row r="235" spans="1:8">
      <c r="A235">
        <v>1.51566763386271</v>
      </c>
      <c r="B235">
        <v>4.1990351485997399</v>
      </c>
      <c r="C235">
        <v>25.448293311284701</v>
      </c>
      <c r="D235">
        <v>2.0159867212493299</v>
      </c>
      <c r="E235">
        <v>3.08393250939874</v>
      </c>
      <c r="F235">
        <v>31.433289903662899</v>
      </c>
      <c r="G235">
        <v>1.1143013651733</v>
      </c>
      <c r="H235">
        <v>33</v>
      </c>
    </row>
    <row r="236" spans="1:8">
      <c r="A236">
        <v>1.5224453170322101</v>
      </c>
      <c r="B236">
        <v>4.1801097969128396</v>
      </c>
      <c r="C236">
        <v>25.162146773228301</v>
      </c>
      <c r="D236">
        <v>1.8012103379134199</v>
      </c>
      <c r="E236">
        <v>3.7514777656868099</v>
      </c>
      <c r="F236">
        <v>35.721000368278702</v>
      </c>
      <c r="G236">
        <v>1.51832589343737</v>
      </c>
      <c r="H236">
        <v>113</v>
      </c>
    </row>
    <row r="237" spans="1:8">
      <c r="A237">
        <v>1.3678960631767401</v>
      </c>
      <c r="B237">
        <v>4.2073453729227301</v>
      </c>
      <c r="C237">
        <v>27.307496118034301</v>
      </c>
      <c r="D237">
        <v>2.15441920661315</v>
      </c>
      <c r="E237">
        <v>3.3103925102127598</v>
      </c>
      <c r="F237">
        <v>30.909815535742599</v>
      </c>
      <c r="G237">
        <v>1.01059773830553</v>
      </c>
      <c r="H237">
        <v>54</v>
      </c>
    </row>
    <row r="238" spans="1:8">
      <c r="A238">
        <v>1.3654055833952401</v>
      </c>
      <c r="B238">
        <v>4.1997788946846102</v>
      </c>
      <c r="C238">
        <v>27.3537201824976</v>
      </c>
      <c r="D238">
        <v>2.01625661040856</v>
      </c>
      <c r="E238">
        <v>3.2228353873194799</v>
      </c>
      <c r="F238">
        <v>32.693429392133702</v>
      </c>
      <c r="G238">
        <v>1.69206654593243</v>
      </c>
      <c r="H238">
        <v>146</v>
      </c>
    </row>
    <row r="239" spans="1:8">
      <c r="A239">
        <v>1.4390786881220201</v>
      </c>
      <c r="B239">
        <v>4.1862975158214804</v>
      </c>
      <c r="C239">
        <v>27.432637768343199</v>
      </c>
      <c r="D239">
        <v>2.0690305948965402</v>
      </c>
      <c r="E239">
        <v>3.7442322977468798</v>
      </c>
      <c r="F239">
        <v>35.744322155688103</v>
      </c>
      <c r="G239">
        <v>1.7282952308289701</v>
      </c>
      <c r="H239">
        <v>196</v>
      </c>
    </row>
    <row r="240" spans="1:8">
      <c r="A240">
        <v>1.53528367838153</v>
      </c>
      <c r="B240">
        <v>4.2234958113263499</v>
      </c>
      <c r="C240">
        <v>28.4261802587076</v>
      </c>
      <c r="D240">
        <v>1.94593561971411</v>
      </c>
      <c r="E240">
        <v>3.2634790737498598</v>
      </c>
      <c r="F240">
        <v>31.757504341590799</v>
      </c>
      <c r="G240">
        <v>1.6716649766187099</v>
      </c>
      <c r="H240">
        <v>144</v>
      </c>
    </row>
    <row r="241" spans="1:8">
      <c r="A241">
        <v>1.5695332661270101</v>
      </c>
      <c r="B241">
        <v>4.2282133875569299</v>
      </c>
      <c r="C241">
        <v>27.298303918722201</v>
      </c>
      <c r="D241">
        <v>1.8531923263905401</v>
      </c>
      <c r="E241">
        <v>3.6466242638219701</v>
      </c>
      <c r="F241">
        <v>33.078638287161702</v>
      </c>
      <c r="G241">
        <v>1.10885777899205</v>
      </c>
      <c r="H241">
        <v>31</v>
      </c>
    </row>
    <row r="242" spans="1:8">
      <c r="A242">
        <v>1.2601770115897599</v>
      </c>
      <c r="B242">
        <v>4.2105033122222597</v>
      </c>
      <c r="C242">
        <v>26.901204211484998</v>
      </c>
      <c r="D242">
        <v>1.83584128383171</v>
      </c>
      <c r="E242">
        <v>3.1052937220474299</v>
      </c>
      <c r="F242">
        <v>30.568286068360901</v>
      </c>
      <c r="G242">
        <v>1.9683462114271799</v>
      </c>
      <c r="H242">
        <v>204</v>
      </c>
    </row>
    <row r="243" spans="1:8">
      <c r="A243">
        <v>1.49045732535825</v>
      </c>
      <c r="B243">
        <v>4.2043468173259102</v>
      </c>
      <c r="C243">
        <v>25.915638014465799</v>
      </c>
      <c r="D243">
        <v>1.92322081164671</v>
      </c>
      <c r="E243">
        <v>3.4580562752347701</v>
      </c>
      <c r="F243">
        <v>32.311392207444499</v>
      </c>
      <c r="G243">
        <v>1.8712057465115499</v>
      </c>
      <c r="H243">
        <v>193</v>
      </c>
    </row>
    <row r="244" spans="1:8">
      <c r="A244">
        <v>1.3844874983148401</v>
      </c>
      <c r="B244">
        <v>4.1992140377695701</v>
      </c>
      <c r="C244">
        <v>24.389860418312299</v>
      </c>
      <c r="D244">
        <v>2.2704627772516801</v>
      </c>
      <c r="E244">
        <v>3.27083141549392</v>
      </c>
      <c r="F244">
        <v>30.230832750286201</v>
      </c>
      <c r="G244">
        <v>1.47013891482017</v>
      </c>
      <c r="H244">
        <v>144</v>
      </c>
    </row>
    <row r="245" spans="1:8">
      <c r="A245">
        <v>1.3529182736043699</v>
      </c>
      <c r="B245">
        <v>4.2419807656208004</v>
      </c>
      <c r="C245">
        <v>25.5562748699416</v>
      </c>
      <c r="D245">
        <v>2.1137284121764699</v>
      </c>
      <c r="E245">
        <v>3.89148379542705</v>
      </c>
      <c r="F245">
        <v>32.032763864736197</v>
      </c>
      <c r="G245">
        <v>1.7775220917753001</v>
      </c>
      <c r="H245">
        <v>166</v>
      </c>
    </row>
    <row r="246" spans="1:8">
      <c r="A246">
        <v>1.45593549589576</v>
      </c>
      <c r="B246">
        <v>4.2104922729193204</v>
      </c>
      <c r="C246">
        <v>26.174234234432301</v>
      </c>
      <c r="D246">
        <v>1.8943614064894601</v>
      </c>
      <c r="E246">
        <v>4.0084718191898103</v>
      </c>
      <c r="F246">
        <v>34.143762514277199</v>
      </c>
      <c r="G246">
        <v>1.7398243143946499</v>
      </c>
      <c r="H246">
        <v>169</v>
      </c>
    </row>
    <row r="247" spans="1:8">
      <c r="A247">
        <v>1.3248638447364101</v>
      </c>
      <c r="B247">
        <v>4.2171495530422298</v>
      </c>
      <c r="C247">
        <v>26.4565989844859</v>
      </c>
      <c r="D247">
        <v>2.20530989169781</v>
      </c>
      <c r="E247">
        <v>3.7043372361693701</v>
      </c>
      <c r="F247">
        <v>33.313928843685098</v>
      </c>
      <c r="G247">
        <v>1.2738510717595599</v>
      </c>
      <c r="H247">
        <v>65</v>
      </c>
    </row>
    <row r="248" spans="1:8">
      <c r="A248">
        <v>1.2752866577994</v>
      </c>
      <c r="B248">
        <v>4.2134912398015603</v>
      </c>
      <c r="C248">
        <v>23.093347827764799</v>
      </c>
      <c r="D248">
        <v>1.9625258650759501</v>
      </c>
      <c r="E248">
        <v>3.32710210990692</v>
      </c>
      <c r="F248">
        <v>32.571327796263901</v>
      </c>
      <c r="G248">
        <v>1.94993089499534</v>
      </c>
      <c r="H248">
        <v>200</v>
      </c>
    </row>
    <row r="249" spans="1:8">
      <c r="A249">
        <v>1.4610834416099701</v>
      </c>
      <c r="B249">
        <v>4.3016880184526602</v>
      </c>
      <c r="C249">
        <v>25.291983834374701</v>
      </c>
      <c r="D249">
        <v>1.86931396564465</v>
      </c>
      <c r="E249">
        <v>3.5943382657145402</v>
      </c>
      <c r="F249">
        <v>32.412971184953101</v>
      </c>
      <c r="G249">
        <v>1.81049855647976</v>
      </c>
      <c r="H249">
        <v>182</v>
      </c>
    </row>
    <row r="250" spans="1:8">
      <c r="A250">
        <v>1.41688935148893</v>
      </c>
      <c r="B250">
        <v>4.0993054798477999</v>
      </c>
      <c r="C250">
        <v>28.008820679462801</v>
      </c>
      <c r="D250">
        <v>2.1981784758875298</v>
      </c>
      <c r="E250">
        <v>3.3382152553609798</v>
      </c>
      <c r="F250">
        <v>33.112068527137403</v>
      </c>
      <c r="G250">
        <v>1.20662090741726</v>
      </c>
      <c r="H250">
        <v>62</v>
      </c>
    </row>
    <row r="251" spans="1:8">
      <c r="A251">
        <v>1.3984993556484699</v>
      </c>
      <c r="B251">
        <v>4.2365684383495399</v>
      </c>
      <c r="C251">
        <v>25.455219471058101</v>
      </c>
      <c r="D251">
        <v>2.00181251130202</v>
      </c>
      <c r="E251">
        <v>3.5704176529273601</v>
      </c>
      <c r="F251">
        <v>36.8317822541147</v>
      </c>
      <c r="G251">
        <v>1.9114996647039999</v>
      </c>
      <c r="H251">
        <v>192</v>
      </c>
    </row>
    <row r="252" spans="1:8">
      <c r="A252">
        <v>1.19155894316945</v>
      </c>
      <c r="B252">
        <v>4.2666158114634696</v>
      </c>
      <c r="C252">
        <v>26.410966861867799</v>
      </c>
      <c r="D252">
        <v>2.2466073516415599</v>
      </c>
      <c r="E252">
        <v>3.1519173915040799</v>
      </c>
      <c r="F252">
        <v>33.400635478350097</v>
      </c>
      <c r="G252">
        <v>0.89649640445294898</v>
      </c>
      <c r="H252">
        <v>28</v>
      </c>
    </row>
    <row r="253" spans="1:8">
      <c r="A253">
        <v>1.3592624375195499</v>
      </c>
      <c r="B253">
        <v>4.1647355731687297</v>
      </c>
      <c r="C253">
        <v>26.928569750693399</v>
      </c>
      <c r="D253">
        <v>2.1503036999192799</v>
      </c>
      <c r="E253">
        <v>3.0805378629157101</v>
      </c>
      <c r="F253">
        <v>31.3836355820536</v>
      </c>
      <c r="G253">
        <v>1.2306360193966499</v>
      </c>
      <c r="H253">
        <v>55</v>
      </c>
    </row>
    <row r="254" spans="1:8">
      <c r="A254">
        <v>1.0993589331034801</v>
      </c>
      <c r="B254">
        <v>4.1910117577061898</v>
      </c>
      <c r="C254">
        <v>24.986495861425201</v>
      </c>
      <c r="D254">
        <v>2.0123380491809799</v>
      </c>
      <c r="E254">
        <v>3.2315942951757699</v>
      </c>
      <c r="F254">
        <v>33.518212305891197</v>
      </c>
      <c r="G254">
        <v>1.24827283881215</v>
      </c>
      <c r="H254">
        <v>59</v>
      </c>
    </row>
    <row r="255" spans="1:8">
      <c r="A255">
        <v>1.50611820122203</v>
      </c>
      <c r="B255">
        <v>4.2151839680705203</v>
      </c>
      <c r="C255">
        <v>24.6883940176461</v>
      </c>
      <c r="D255">
        <v>2.1123306646842002</v>
      </c>
      <c r="E255">
        <v>3.3261176215269499</v>
      </c>
      <c r="F255">
        <v>31.413897617323901</v>
      </c>
      <c r="G255">
        <v>1.1262063460801499</v>
      </c>
      <c r="H255">
        <v>44</v>
      </c>
    </row>
    <row r="256" spans="1:8">
      <c r="A256">
        <v>1.16463434685996</v>
      </c>
      <c r="B256">
        <v>4.1457612221099804</v>
      </c>
      <c r="C256">
        <v>25.248044101993099</v>
      </c>
      <c r="D256">
        <v>2.0174701945292401</v>
      </c>
      <c r="E256">
        <v>3.4105130233108198</v>
      </c>
      <c r="F256">
        <v>34.498907796516498</v>
      </c>
      <c r="G256">
        <v>1.2715733023959801</v>
      </c>
      <c r="H256">
        <v>105</v>
      </c>
    </row>
    <row r="257" spans="1:8">
      <c r="A257">
        <v>1.3654680009022899</v>
      </c>
      <c r="B257">
        <v>4.2256231459255602</v>
      </c>
      <c r="C257">
        <v>25.597006329271601</v>
      </c>
      <c r="D257">
        <v>1.9582878860663</v>
      </c>
      <c r="E257">
        <v>3.49606943486573</v>
      </c>
      <c r="F257">
        <v>33.723531937603497</v>
      </c>
      <c r="G257">
        <v>1.3012684067734901</v>
      </c>
      <c r="H257">
        <v>111</v>
      </c>
    </row>
    <row r="258" spans="1:8">
      <c r="A258">
        <v>1.4328850664022299</v>
      </c>
      <c r="B258">
        <v>4.2729857496614398</v>
      </c>
      <c r="C258">
        <v>26.091265816141199</v>
      </c>
      <c r="D258">
        <v>2.1567936138940098</v>
      </c>
      <c r="E258">
        <v>3.4916558648204998</v>
      </c>
      <c r="F258">
        <v>34.971255280688098</v>
      </c>
      <c r="G258">
        <v>1.02789237985214</v>
      </c>
      <c r="H258">
        <v>25</v>
      </c>
    </row>
    <row r="259" spans="1:8">
      <c r="A259">
        <v>1.4099284116780799</v>
      </c>
      <c r="B259">
        <v>4.1341347198716401</v>
      </c>
      <c r="C259">
        <v>25.1930081271463</v>
      </c>
      <c r="D259">
        <v>2.00547110144384</v>
      </c>
      <c r="E259">
        <v>3.06797027972104</v>
      </c>
      <c r="F259">
        <v>37.369144747704802</v>
      </c>
      <c r="G259">
        <v>1.2688119170502801</v>
      </c>
      <c r="H259">
        <v>103</v>
      </c>
    </row>
    <row r="260" spans="1:8">
      <c r="A260">
        <v>1.4539598723081799</v>
      </c>
      <c r="B260">
        <v>4.2195666043256601</v>
      </c>
      <c r="C260">
        <v>25.547690465377599</v>
      </c>
      <c r="D260">
        <v>2.2656435524199101</v>
      </c>
      <c r="E260">
        <v>3.5387893170817302</v>
      </c>
      <c r="F260">
        <v>32.762051778925503</v>
      </c>
      <c r="G260">
        <v>1.2283850615852301</v>
      </c>
      <c r="H260">
        <v>95</v>
      </c>
    </row>
    <row r="261" spans="1:8">
      <c r="A261">
        <v>1.4141247954199101</v>
      </c>
      <c r="B261">
        <v>4.12786972058825</v>
      </c>
      <c r="C261">
        <v>27.173780295351101</v>
      </c>
      <c r="D261">
        <v>2.0185174827624799</v>
      </c>
      <c r="E261">
        <v>3.04157326042785</v>
      </c>
      <c r="F261">
        <v>33.4120010325327</v>
      </c>
      <c r="G261">
        <v>1.0476976417039601</v>
      </c>
      <c r="H261">
        <v>20</v>
      </c>
    </row>
    <row r="262" spans="1:8">
      <c r="A262">
        <v>1.2733136393589599</v>
      </c>
      <c r="B262">
        <v>4.1524346277392103</v>
      </c>
      <c r="C262">
        <v>24.0974399033284</v>
      </c>
      <c r="D262">
        <v>2.1025018359658501</v>
      </c>
      <c r="E262">
        <v>3.2135790249773399</v>
      </c>
      <c r="F262">
        <v>32.150560679869798</v>
      </c>
      <c r="G262">
        <v>1.9887180935584801</v>
      </c>
      <c r="H262">
        <v>248</v>
      </c>
    </row>
    <row r="263" spans="1:8">
      <c r="A263">
        <v>1.56350068144704</v>
      </c>
      <c r="B263">
        <v>4.1289240846203503</v>
      </c>
      <c r="C263">
        <v>29.9684016985086</v>
      </c>
      <c r="D263">
        <v>2.1342430659743199</v>
      </c>
      <c r="E263">
        <v>3.16724846857303</v>
      </c>
      <c r="F263">
        <v>33.937700445529302</v>
      </c>
      <c r="G263">
        <v>0.87276237957602898</v>
      </c>
      <c r="H263">
        <v>24</v>
      </c>
    </row>
    <row r="264" spans="1:8">
      <c r="A264">
        <v>1.47564751075226</v>
      </c>
      <c r="B264">
        <v>4.1787798438640102</v>
      </c>
      <c r="C264">
        <v>26.929509139019601</v>
      </c>
      <c r="D264">
        <v>2.0317877488553799</v>
      </c>
      <c r="E264">
        <v>3.8146528015920902</v>
      </c>
      <c r="F264">
        <v>32.198632684482597</v>
      </c>
      <c r="G264">
        <v>0.99398500868510498</v>
      </c>
      <c r="H264">
        <v>51</v>
      </c>
    </row>
    <row r="265" spans="1:8">
      <c r="A265">
        <v>1.46473237918777</v>
      </c>
      <c r="B265">
        <v>4.2183766200276098</v>
      </c>
      <c r="C265">
        <v>26.830962014564602</v>
      </c>
      <c r="D265">
        <v>2.0497913679648998</v>
      </c>
      <c r="E265">
        <v>3.7365269211851202</v>
      </c>
      <c r="F265">
        <v>33.947676677817299</v>
      </c>
      <c r="G265">
        <v>1.23234029965715</v>
      </c>
      <c r="H265">
        <v>97</v>
      </c>
    </row>
    <row r="266" spans="1:8">
      <c r="A266">
        <v>1.19463610465785</v>
      </c>
      <c r="B266">
        <v>4.2377183487488201</v>
      </c>
      <c r="C266">
        <v>29.242262757816</v>
      </c>
      <c r="D266">
        <v>2.03431272373123</v>
      </c>
      <c r="E266">
        <v>3.8086010099629601</v>
      </c>
      <c r="F266">
        <v>34.763193816502302</v>
      </c>
      <c r="G266">
        <v>1.6643182665578899</v>
      </c>
      <c r="H266">
        <v>152</v>
      </c>
    </row>
    <row r="267" spans="1:8">
      <c r="A267">
        <v>1.3939165325585701</v>
      </c>
      <c r="B267">
        <v>4.1720976606528701</v>
      </c>
      <c r="C267">
        <v>25.7301417506742</v>
      </c>
      <c r="D267">
        <v>1.80507897890937</v>
      </c>
      <c r="E267">
        <v>3.4561781429815999</v>
      </c>
      <c r="F267">
        <v>34.886984475490003</v>
      </c>
      <c r="G267">
        <v>0.96967417698890801</v>
      </c>
      <c r="H267">
        <v>5</v>
      </c>
    </row>
    <row r="268" spans="1:8">
      <c r="A268">
        <v>1.39721755594632</v>
      </c>
      <c r="B268">
        <v>4.1830036094784298</v>
      </c>
      <c r="C268">
        <v>28.396566832769398</v>
      </c>
      <c r="D268">
        <v>1.9973056153733599</v>
      </c>
      <c r="E268">
        <v>3.7858181724742299</v>
      </c>
      <c r="F268">
        <v>31.643628373785099</v>
      </c>
      <c r="G268">
        <v>1.1598368128632199</v>
      </c>
      <c r="H268">
        <v>51</v>
      </c>
    </row>
    <row r="269" spans="1:8">
      <c r="A269">
        <v>1.32653915695691</v>
      </c>
      <c r="B269">
        <v>4.2140892959518901</v>
      </c>
      <c r="C269">
        <v>27.522684299064601</v>
      </c>
      <c r="D269">
        <v>2.1095780017850698</v>
      </c>
      <c r="E269">
        <v>3.4738230203338998</v>
      </c>
      <c r="F269">
        <v>31.851802015597901</v>
      </c>
      <c r="G269">
        <v>1.9909057096267899</v>
      </c>
      <c r="H269">
        <v>249</v>
      </c>
    </row>
    <row r="270" spans="1:8">
      <c r="A270">
        <v>1.4511311421456099</v>
      </c>
      <c r="B270">
        <v>4.1532625786628801</v>
      </c>
      <c r="C270">
        <v>27.014353189936902</v>
      </c>
      <c r="D270">
        <v>1.95692564576765</v>
      </c>
      <c r="E270">
        <v>3.6117215947519101</v>
      </c>
      <c r="F270">
        <v>35.5036946458779</v>
      </c>
      <c r="G270">
        <v>1.18594935026807</v>
      </c>
      <c r="H270">
        <v>57</v>
      </c>
    </row>
    <row r="271" spans="1:8">
      <c r="A271">
        <v>1.4558411824183599</v>
      </c>
      <c r="B271">
        <v>4.2284973830106303</v>
      </c>
      <c r="C271">
        <v>26.313767960374499</v>
      </c>
      <c r="D271">
        <v>2.1066286657122002</v>
      </c>
      <c r="E271">
        <v>4.0185758073284399</v>
      </c>
      <c r="F271">
        <v>32.977852678712601</v>
      </c>
      <c r="G271">
        <v>1.55231648454993</v>
      </c>
      <c r="H271">
        <v>120</v>
      </c>
    </row>
    <row r="272" spans="1:8">
      <c r="A272">
        <v>1.5117390125036501</v>
      </c>
      <c r="B272">
        <v>4.1426566557379996</v>
      </c>
      <c r="C272">
        <v>26.217298580703101</v>
      </c>
      <c r="D272">
        <v>1.89111118882088</v>
      </c>
      <c r="E272">
        <v>3.12351992433695</v>
      </c>
      <c r="F272">
        <v>30.9762624560536</v>
      </c>
      <c r="G272">
        <v>1.0326681133434299</v>
      </c>
      <c r="H272">
        <v>26</v>
      </c>
    </row>
    <row r="273" spans="1:8">
      <c r="A273">
        <v>1.4704971450739199</v>
      </c>
      <c r="B273">
        <v>4.1605282480113503</v>
      </c>
      <c r="C273">
        <v>28.3975846309216</v>
      </c>
      <c r="D273">
        <v>1.88755352422098</v>
      </c>
      <c r="E273">
        <v>3.9437355474879201</v>
      </c>
      <c r="F273">
        <v>37.4455375835757</v>
      </c>
      <c r="G273">
        <v>0.887045711926017</v>
      </c>
      <c r="H273">
        <v>26</v>
      </c>
    </row>
    <row r="274" spans="1:8">
      <c r="A274">
        <v>1.3725282261268801</v>
      </c>
      <c r="B274">
        <v>4.19368808033179</v>
      </c>
      <c r="C274">
        <v>28.767363292592702</v>
      </c>
      <c r="D274">
        <v>2.0379281541097898</v>
      </c>
      <c r="E274">
        <v>3.36077329857781</v>
      </c>
      <c r="F274">
        <v>34.778409409563601</v>
      </c>
      <c r="G274">
        <v>1.27256359302933</v>
      </c>
      <c r="H274">
        <v>64</v>
      </c>
    </row>
    <row r="275" spans="1:8">
      <c r="A275">
        <v>1.5958765006245701</v>
      </c>
      <c r="B275">
        <v>4.1773366268163699</v>
      </c>
      <c r="C275">
        <v>27.508766193072699</v>
      </c>
      <c r="D275">
        <v>1.98722554363466</v>
      </c>
      <c r="E275">
        <v>3.6280959095508698</v>
      </c>
      <c r="F275">
        <v>32.1710754816364</v>
      </c>
      <c r="G275">
        <v>1.1800302264959399</v>
      </c>
      <c r="H275">
        <v>46</v>
      </c>
    </row>
    <row r="276" spans="1:8">
      <c r="A276">
        <v>1.38190363075731</v>
      </c>
      <c r="B276">
        <v>4.1683969040850197</v>
      </c>
      <c r="C276">
        <v>26.145558780387798</v>
      </c>
      <c r="D276">
        <v>1.9385419349597901</v>
      </c>
      <c r="E276">
        <v>3.43991814796009</v>
      </c>
      <c r="F276">
        <v>33.3667869908857</v>
      </c>
      <c r="G276">
        <v>1.0816208657112101</v>
      </c>
      <c r="H276">
        <v>68</v>
      </c>
    </row>
    <row r="277" spans="1:8">
      <c r="A277">
        <v>1.4380980422237599</v>
      </c>
      <c r="B277">
        <v>4.1483734022825196</v>
      </c>
      <c r="C277">
        <v>24.527469342456801</v>
      </c>
      <c r="D277">
        <v>1.89486707849795</v>
      </c>
      <c r="E277">
        <v>3.4032474591069901</v>
      </c>
      <c r="F277">
        <v>31.511715570408899</v>
      </c>
      <c r="G277">
        <v>1.7636130764987299</v>
      </c>
      <c r="H277">
        <v>202</v>
      </c>
    </row>
    <row r="278" spans="1:8">
      <c r="A278">
        <v>1.4881536661155199</v>
      </c>
      <c r="B278">
        <v>4.1767980084577401</v>
      </c>
      <c r="C278">
        <v>25.300588118362501</v>
      </c>
      <c r="D278">
        <v>2.0399096793323999</v>
      </c>
      <c r="E278">
        <v>3.3764975264269999</v>
      </c>
      <c r="F278">
        <v>34.310001828162903</v>
      </c>
      <c r="G278">
        <v>1.2329464917206701</v>
      </c>
      <c r="H278">
        <v>67</v>
      </c>
    </row>
    <row r="279" spans="1:8">
      <c r="A279">
        <v>1.36094905811179</v>
      </c>
      <c r="B279">
        <v>4.1845930689192796</v>
      </c>
      <c r="C279">
        <v>25.965742093816498</v>
      </c>
      <c r="D279">
        <v>1.99607440961307</v>
      </c>
      <c r="E279">
        <v>3.63043893954594</v>
      </c>
      <c r="F279">
        <v>30.6686323608468</v>
      </c>
      <c r="G279">
        <v>1.02725529716583</v>
      </c>
      <c r="H279">
        <v>55</v>
      </c>
    </row>
    <row r="280" spans="1:8">
      <c r="A280">
        <v>1.5400297698608301</v>
      </c>
      <c r="B280">
        <v>4.22095912658546</v>
      </c>
      <c r="C280">
        <v>29.4545950783391</v>
      </c>
      <c r="D280">
        <v>1.9476933751196099</v>
      </c>
      <c r="E280">
        <v>3.0162580777893901</v>
      </c>
      <c r="F280">
        <v>31.549077695165199</v>
      </c>
      <c r="G280">
        <v>1.91218107348661</v>
      </c>
      <c r="H280">
        <v>234</v>
      </c>
    </row>
    <row r="281" spans="1:8">
      <c r="A281">
        <v>1.4959929463561901</v>
      </c>
      <c r="B281">
        <v>4.1566009160239599</v>
      </c>
      <c r="C281">
        <v>27.4646851469433</v>
      </c>
      <c r="D281">
        <v>1.9958569533594599</v>
      </c>
      <c r="E281">
        <v>3.5782854210653201</v>
      </c>
      <c r="F281">
        <v>32.599851619867202</v>
      </c>
      <c r="G281">
        <v>1.967038085692</v>
      </c>
      <c r="H281">
        <v>203</v>
      </c>
    </row>
    <row r="282" spans="1:8">
      <c r="A282">
        <v>1.40227095391134</v>
      </c>
      <c r="B282">
        <v>4.2686470211252399</v>
      </c>
      <c r="C282">
        <v>23.981338007311201</v>
      </c>
      <c r="D282">
        <v>2.1910089937552502</v>
      </c>
      <c r="E282">
        <v>3.4431135348773401</v>
      </c>
      <c r="F282">
        <v>31.779152423937099</v>
      </c>
      <c r="G282">
        <v>1.9480005998354499</v>
      </c>
      <c r="H282">
        <v>240</v>
      </c>
    </row>
    <row r="283" spans="1:8">
      <c r="A283">
        <v>1.38576328552248</v>
      </c>
      <c r="B283">
        <v>4.2148745004294099</v>
      </c>
      <c r="C283">
        <v>24.086870924326099</v>
      </c>
      <c r="D283">
        <v>2.0057938201289098</v>
      </c>
      <c r="E283">
        <v>3.44979868766915</v>
      </c>
      <c r="F283">
        <v>34.010775136774299</v>
      </c>
      <c r="G283">
        <v>1.4285765378917199</v>
      </c>
      <c r="H283">
        <v>134</v>
      </c>
    </row>
    <row r="284" spans="1:8">
      <c r="A284">
        <v>1.4065941977190499</v>
      </c>
      <c r="B284">
        <v>4.1779718432553601</v>
      </c>
      <c r="C284">
        <v>27.740935637027398</v>
      </c>
      <c r="D284">
        <v>1.9820660088381099</v>
      </c>
      <c r="E284">
        <v>3.8185472770793498</v>
      </c>
      <c r="F284">
        <v>32.727782369022002</v>
      </c>
      <c r="G284">
        <v>1.4712834148089899</v>
      </c>
      <c r="H284">
        <v>116</v>
      </c>
    </row>
    <row r="285" spans="1:8">
      <c r="A285">
        <v>1.4236873901590601</v>
      </c>
      <c r="B285">
        <v>4.3205816214376203</v>
      </c>
      <c r="C285">
        <v>28.101053633571901</v>
      </c>
      <c r="D285">
        <v>1.9831831411263201</v>
      </c>
      <c r="E285">
        <v>3.5224214262309701</v>
      </c>
      <c r="F285">
        <v>33.963497721646497</v>
      </c>
      <c r="G285">
        <v>1.43458392157176</v>
      </c>
      <c r="H285">
        <v>138</v>
      </c>
    </row>
    <row r="286" spans="1:8">
      <c r="A286">
        <v>1.440301523229</v>
      </c>
      <c r="B286">
        <v>4.1996532633739001</v>
      </c>
      <c r="C286">
        <v>27.264956683746099</v>
      </c>
      <c r="D286">
        <v>1.92231828356684</v>
      </c>
      <c r="E286">
        <v>4.34776909141309</v>
      </c>
      <c r="F286">
        <v>35.164467780453897</v>
      </c>
      <c r="G286">
        <v>1.5698661590535501</v>
      </c>
      <c r="H286">
        <v>164</v>
      </c>
    </row>
    <row r="287" spans="1:8">
      <c r="A287">
        <v>1.52150357350917</v>
      </c>
      <c r="B287">
        <v>4.1439789058864198</v>
      </c>
      <c r="C287">
        <v>26.558677300898498</v>
      </c>
      <c r="D287">
        <v>1.75713730896529</v>
      </c>
      <c r="E287">
        <v>3.5135879132998702</v>
      </c>
      <c r="F287">
        <v>30.9821659120473</v>
      </c>
      <c r="G287">
        <v>1.6285920688676301</v>
      </c>
      <c r="H287">
        <v>145</v>
      </c>
    </row>
    <row r="288" spans="1:8">
      <c r="A288">
        <v>1.3739190306612601</v>
      </c>
      <c r="B288">
        <v>4.2653621193168796</v>
      </c>
      <c r="C288">
        <v>25.433378620598798</v>
      </c>
      <c r="D288">
        <v>2.0068525773721602</v>
      </c>
      <c r="E288">
        <v>3.418912934472</v>
      </c>
      <c r="F288">
        <v>30.739105985239899</v>
      </c>
      <c r="G288">
        <v>1.42185621469196</v>
      </c>
      <c r="H288">
        <v>104</v>
      </c>
    </row>
    <row r="289" spans="1:8">
      <c r="A289">
        <v>1.41983813990938</v>
      </c>
      <c r="B289">
        <v>4.1307633336701004</v>
      </c>
      <c r="C289">
        <v>27.274116295566301</v>
      </c>
      <c r="D289">
        <v>1.9722769331853101</v>
      </c>
      <c r="E289">
        <v>3.3521997801305301</v>
      </c>
      <c r="F289">
        <v>32.039477317636297</v>
      </c>
      <c r="G289">
        <v>1.06114240141824</v>
      </c>
      <c r="H289">
        <v>22</v>
      </c>
    </row>
    <row r="290" spans="1:8">
      <c r="A290">
        <v>1.2593694266917601</v>
      </c>
      <c r="B290">
        <v>4.15708771429503</v>
      </c>
      <c r="C290">
        <v>26.5453001931761</v>
      </c>
      <c r="D290">
        <v>1.9892793251049801</v>
      </c>
      <c r="E290">
        <v>3.0350645722558598</v>
      </c>
      <c r="F290">
        <v>33.490741426103398</v>
      </c>
      <c r="G290">
        <v>0.87228578892034503</v>
      </c>
      <c r="H290">
        <v>25</v>
      </c>
    </row>
    <row r="291" spans="1:8">
      <c r="A291">
        <v>1.37484317987758</v>
      </c>
      <c r="B291">
        <v>4.2002423476350703</v>
      </c>
      <c r="C291">
        <v>28.015182536650101</v>
      </c>
      <c r="D291">
        <v>1.91754448515813</v>
      </c>
      <c r="E291">
        <v>3.5065065239128699</v>
      </c>
      <c r="F291">
        <v>33.755226407625202</v>
      </c>
      <c r="G291">
        <v>1.4041543458096299</v>
      </c>
      <c r="H291">
        <v>100</v>
      </c>
    </row>
    <row r="292" spans="1:8">
      <c r="A292">
        <v>1.43695392706442</v>
      </c>
      <c r="B292">
        <v>4.2104343525347296</v>
      </c>
      <c r="C292">
        <v>26.658983572248399</v>
      </c>
      <c r="D292">
        <v>1.9470751731038201</v>
      </c>
      <c r="E292">
        <v>4.0094299130747801</v>
      </c>
      <c r="F292">
        <v>29.538273291152301</v>
      </c>
      <c r="G292">
        <v>1.73232385806945</v>
      </c>
      <c r="H292">
        <v>166</v>
      </c>
    </row>
    <row r="293" spans="1:8">
      <c r="A293">
        <v>1.35507395560946</v>
      </c>
      <c r="B293">
        <v>4.2050855480256804</v>
      </c>
      <c r="C293">
        <v>26.361006481689198</v>
      </c>
      <c r="D293">
        <v>2.0178263296114101</v>
      </c>
      <c r="E293">
        <v>3.27603261533771</v>
      </c>
      <c r="F293">
        <v>31.712816561604399</v>
      </c>
      <c r="G293">
        <v>1.2476111633089999</v>
      </c>
      <c r="H293">
        <v>68</v>
      </c>
    </row>
    <row r="294" spans="1:8">
      <c r="A294">
        <v>1.52280647785571</v>
      </c>
      <c r="B294">
        <v>4.1428123613105798</v>
      </c>
      <c r="C294">
        <v>26.432450431868801</v>
      </c>
      <c r="D294">
        <v>1.9457374697487899</v>
      </c>
      <c r="E294">
        <v>3.13724483684121</v>
      </c>
      <c r="F294">
        <v>31.758773324628201</v>
      </c>
      <c r="G294">
        <v>1.0795034388762801</v>
      </c>
      <c r="H294">
        <v>26</v>
      </c>
    </row>
    <row r="295" spans="1:8">
      <c r="A295">
        <v>1.27156915928891</v>
      </c>
      <c r="B295">
        <v>4.3002684873196797</v>
      </c>
      <c r="C295">
        <v>27.493657781602099</v>
      </c>
      <c r="D295">
        <v>2.0330473420465101</v>
      </c>
      <c r="E295">
        <v>3.4932639006317001</v>
      </c>
      <c r="F295">
        <v>30.651554203888299</v>
      </c>
      <c r="G295">
        <v>0.95547257756542503</v>
      </c>
      <c r="H295">
        <v>40</v>
      </c>
    </row>
    <row r="296" spans="1:8">
      <c r="A296">
        <v>1.40767091317861</v>
      </c>
      <c r="B296">
        <v>4.1839657876164402</v>
      </c>
      <c r="C296">
        <v>27.011407819630701</v>
      </c>
      <c r="D296">
        <v>1.9425954702935699</v>
      </c>
      <c r="E296">
        <v>3.6414311126308698</v>
      </c>
      <c r="F296">
        <v>33.883384816066503</v>
      </c>
      <c r="G296">
        <v>0.95510217982093204</v>
      </c>
      <c r="H296">
        <v>12</v>
      </c>
    </row>
    <row r="297" spans="1:8">
      <c r="A297">
        <v>1.4438789985925899</v>
      </c>
      <c r="B297">
        <v>4.1940091476277397</v>
      </c>
      <c r="C297">
        <v>25.617885640467001</v>
      </c>
      <c r="D297">
        <v>1.9318697764058499</v>
      </c>
      <c r="E297">
        <v>3.2267514709991798</v>
      </c>
      <c r="F297">
        <v>36.561244341294703</v>
      </c>
      <c r="G297">
        <v>1.4896118862339001</v>
      </c>
      <c r="H297">
        <v>147</v>
      </c>
    </row>
    <row r="298" spans="1:8">
      <c r="A298">
        <v>1.3422409811774101</v>
      </c>
      <c r="B298">
        <v>4.2957455961093096</v>
      </c>
      <c r="C298">
        <v>26.666859459556399</v>
      </c>
      <c r="D298">
        <v>2.20069355617207</v>
      </c>
      <c r="E298">
        <v>3.2706694947723798</v>
      </c>
      <c r="F298">
        <v>31.826417061814599</v>
      </c>
      <c r="G298">
        <v>1.8047448580274601</v>
      </c>
      <c r="H298">
        <v>211</v>
      </c>
    </row>
    <row r="299" spans="1:8">
      <c r="A299">
        <v>1.3277765535880599</v>
      </c>
      <c r="B299">
        <v>4.1969075847516004</v>
      </c>
      <c r="C299">
        <v>26.0393566238258</v>
      </c>
      <c r="D299">
        <v>1.92848855734623</v>
      </c>
      <c r="E299">
        <v>3.4878776451942399</v>
      </c>
      <c r="F299">
        <v>31.586002055678399</v>
      </c>
      <c r="G299">
        <v>1.71210197917677</v>
      </c>
      <c r="H299">
        <v>192</v>
      </c>
    </row>
    <row r="300" spans="1:8">
      <c r="A300">
        <v>1.3149493237612</v>
      </c>
      <c r="B300">
        <v>4.2496712851066496</v>
      </c>
      <c r="C300">
        <v>28.836913972507698</v>
      </c>
      <c r="D300">
        <v>1.97716426380218</v>
      </c>
      <c r="E300">
        <v>3.5416844246503998</v>
      </c>
      <c r="F300">
        <v>34.172962570951903</v>
      </c>
      <c r="G300">
        <v>1.5257637768159</v>
      </c>
      <c r="H300">
        <v>154</v>
      </c>
    </row>
    <row r="301" spans="1:8">
      <c r="A301">
        <v>1.57159772504415</v>
      </c>
      <c r="B301">
        <v>4.1860826674559402</v>
      </c>
      <c r="C301">
        <v>28.165409783532802</v>
      </c>
      <c r="D301">
        <v>1.8347594758110299</v>
      </c>
      <c r="E301">
        <v>3.8021984497000401</v>
      </c>
      <c r="F301">
        <v>32.187053466896998</v>
      </c>
      <c r="G301">
        <v>1.9575073099467699</v>
      </c>
      <c r="H301">
        <v>211</v>
      </c>
    </row>
    <row r="302" spans="1:8">
      <c r="A302">
        <v>1.5113326103649001</v>
      </c>
      <c r="B302">
        <v>4.2638956638667196</v>
      </c>
      <c r="C302">
        <v>28.747268796019998</v>
      </c>
      <c r="D302">
        <v>1.83110547669491</v>
      </c>
      <c r="E302">
        <v>3.2449962223401201</v>
      </c>
      <c r="F302">
        <v>31.9921978761896</v>
      </c>
      <c r="G302">
        <v>0.92932539327363695</v>
      </c>
      <c r="H302">
        <v>39</v>
      </c>
    </row>
    <row r="303" spans="1:8">
      <c r="A303">
        <v>1.3937065835575499</v>
      </c>
      <c r="B303">
        <v>4.2095307982969397</v>
      </c>
      <c r="C303">
        <v>26.112270112239099</v>
      </c>
      <c r="D303">
        <v>1.9851772836459001</v>
      </c>
      <c r="E303">
        <v>3.8882148636221898</v>
      </c>
      <c r="F303">
        <v>34.082943041588102</v>
      </c>
      <c r="G303">
        <v>1.8110581701692601</v>
      </c>
      <c r="H303">
        <v>183</v>
      </c>
    </row>
    <row r="304" spans="1:8">
      <c r="A304">
        <v>1.5003398571634201</v>
      </c>
      <c r="B304">
        <v>4.22162622019653</v>
      </c>
      <c r="C304">
        <v>29.581380094844501</v>
      </c>
      <c r="D304">
        <v>2.0462440415955299</v>
      </c>
      <c r="E304">
        <v>3.41718297783139</v>
      </c>
      <c r="F304">
        <v>31.611538541185102</v>
      </c>
      <c r="G304">
        <v>1.2988478422597201</v>
      </c>
      <c r="H304">
        <v>80</v>
      </c>
    </row>
    <row r="305" spans="1:8">
      <c r="A305">
        <v>1.3972186840265901</v>
      </c>
      <c r="B305">
        <v>4.2869071414963003</v>
      </c>
      <c r="C305">
        <v>24.690956659364801</v>
      </c>
      <c r="D305">
        <v>2.0204831862184198</v>
      </c>
      <c r="E305">
        <v>3.6118659489270901</v>
      </c>
      <c r="F305">
        <v>35.969199040889102</v>
      </c>
      <c r="G305">
        <v>1.8301854471278001</v>
      </c>
      <c r="H305">
        <v>176</v>
      </c>
    </row>
    <row r="306" spans="1:8">
      <c r="A306">
        <v>1.39702560174802</v>
      </c>
      <c r="B306">
        <v>4.2641741667379298</v>
      </c>
      <c r="C306">
        <v>24.7434900671912</v>
      </c>
      <c r="D306">
        <v>2.0298165434764499</v>
      </c>
      <c r="E306">
        <v>3.81335711140306</v>
      </c>
      <c r="F306">
        <v>33.334247654112303</v>
      </c>
      <c r="G306">
        <v>1.5826387288885599</v>
      </c>
      <c r="H306">
        <v>126</v>
      </c>
    </row>
    <row r="307" spans="1:8">
      <c r="A307">
        <v>1.4502620424486099</v>
      </c>
      <c r="B307">
        <v>4.1632184996874404</v>
      </c>
      <c r="C307">
        <v>24.3483532427685</v>
      </c>
      <c r="D307">
        <v>2.1262278637804699</v>
      </c>
      <c r="E307">
        <v>4.2758939765875201</v>
      </c>
      <c r="F307">
        <v>35.974183853843101</v>
      </c>
      <c r="G307">
        <v>1.5965129266167499</v>
      </c>
      <c r="H307">
        <v>168</v>
      </c>
    </row>
    <row r="308" spans="1:8">
      <c r="A308">
        <v>1.2881645432572699</v>
      </c>
      <c r="B308">
        <v>4.2275076314963096</v>
      </c>
      <c r="C308">
        <v>25.7230531911726</v>
      </c>
      <c r="D308">
        <v>2.15104973442353</v>
      </c>
      <c r="E308">
        <v>3.8440199077328798</v>
      </c>
      <c r="F308">
        <v>35.004783916902802</v>
      </c>
      <c r="G308">
        <v>1.5707600371570001</v>
      </c>
      <c r="H308">
        <v>165</v>
      </c>
    </row>
    <row r="309" spans="1:8">
      <c r="A309">
        <v>1.42845484185536</v>
      </c>
      <c r="B309">
        <v>4.2185357610060601</v>
      </c>
      <c r="C309">
        <v>26.8896117085546</v>
      </c>
      <c r="D309">
        <v>2.0622775917672098</v>
      </c>
      <c r="E309">
        <v>3.47808213596028</v>
      </c>
      <c r="F309">
        <v>32.598322480999698</v>
      </c>
      <c r="G309">
        <v>1.2567223194080499</v>
      </c>
      <c r="H309">
        <v>61</v>
      </c>
    </row>
    <row r="310" spans="1:8">
      <c r="A310">
        <v>1.44110427927832</v>
      </c>
      <c r="B310">
        <v>4.1037033124129598</v>
      </c>
      <c r="C310">
        <v>25.523565381218699</v>
      </c>
      <c r="D310">
        <v>2.1490849667404701</v>
      </c>
      <c r="E310">
        <v>3.31211859442497</v>
      </c>
      <c r="F310">
        <v>33.119764073735801</v>
      </c>
      <c r="G310">
        <v>1.7095079930019501</v>
      </c>
      <c r="H310">
        <v>160</v>
      </c>
    </row>
    <row r="311" spans="1:8">
      <c r="A311">
        <v>1.4736257947759199</v>
      </c>
      <c r="B311">
        <v>4.1668254722595801</v>
      </c>
      <c r="C311">
        <v>27.747780807450699</v>
      </c>
      <c r="D311">
        <v>1.8263990243359201</v>
      </c>
      <c r="E311">
        <v>3.5515292862311201</v>
      </c>
      <c r="F311">
        <v>32.6466656886629</v>
      </c>
      <c r="G311">
        <v>1.4299294287875799</v>
      </c>
      <c r="H311">
        <v>108</v>
      </c>
    </row>
    <row r="312" spans="1:8">
      <c r="A312">
        <v>1.40091483993863</v>
      </c>
      <c r="B312">
        <v>4.16601627988062</v>
      </c>
      <c r="C312">
        <v>28.607637280100199</v>
      </c>
      <c r="D312">
        <v>2.0519605192952799</v>
      </c>
      <c r="E312">
        <v>3.5096898043934699</v>
      </c>
      <c r="F312">
        <v>31.865282329883101</v>
      </c>
      <c r="G312">
        <v>1.79601429063455</v>
      </c>
      <c r="H312">
        <v>209</v>
      </c>
    </row>
    <row r="313" spans="1:8">
      <c r="A313">
        <v>1.6217360186493099</v>
      </c>
      <c r="B313">
        <v>4.2118011359093304</v>
      </c>
      <c r="C313">
        <v>24.538395531416899</v>
      </c>
      <c r="D313">
        <v>2.0016410098982802</v>
      </c>
      <c r="E313">
        <v>3.7946517898294299</v>
      </c>
      <c r="F313">
        <v>32.602096598365797</v>
      </c>
      <c r="G313">
        <v>1.36152721996874</v>
      </c>
      <c r="H313">
        <v>123</v>
      </c>
    </row>
    <row r="314" spans="1:8">
      <c r="A314">
        <v>1.38332569525432</v>
      </c>
      <c r="B314">
        <v>4.2754426081945001</v>
      </c>
      <c r="C314">
        <v>27.1300796646597</v>
      </c>
      <c r="D314">
        <v>1.9396025277476301</v>
      </c>
      <c r="E314">
        <v>3.7473682756631002</v>
      </c>
      <c r="F314">
        <v>36.080377780112698</v>
      </c>
      <c r="G314">
        <v>0.90119170150793004</v>
      </c>
      <c r="H314">
        <v>31</v>
      </c>
    </row>
    <row r="315" spans="1:8">
      <c r="A315">
        <v>1.3744783136832099</v>
      </c>
      <c r="B315">
        <v>4.1336377929517996</v>
      </c>
      <c r="C315">
        <v>24.175912887036301</v>
      </c>
      <c r="D315">
        <v>1.9170726569049401</v>
      </c>
      <c r="E315">
        <v>3.7184755461841199</v>
      </c>
      <c r="F315">
        <v>33.087403839833499</v>
      </c>
      <c r="G315">
        <v>1.78733909199202</v>
      </c>
      <c r="H315">
        <v>167</v>
      </c>
    </row>
    <row r="316" spans="1:8">
      <c r="A316">
        <v>1.4240988755576001</v>
      </c>
      <c r="B316">
        <v>4.2969246741126597</v>
      </c>
      <c r="C316">
        <v>25.797160336324701</v>
      </c>
      <c r="D316">
        <v>1.8901985003591</v>
      </c>
      <c r="E316">
        <v>4.2618054066743296</v>
      </c>
      <c r="F316">
        <v>28.649203417090099</v>
      </c>
      <c r="G316">
        <v>1.30593292350686</v>
      </c>
      <c r="H316">
        <v>109</v>
      </c>
    </row>
    <row r="317" spans="1:8">
      <c r="A317">
        <v>1.2562080597812699</v>
      </c>
      <c r="B317">
        <v>4.2350568516278697</v>
      </c>
      <c r="C317">
        <v>28.2829347613138</v>
      </c>
      <c r="D317">
        <v>2.0715756854340599</v>
      </c>
      <c r="E317">
        <v>3.6120532307136899</v>
      </c>
      <c r="F317">
        <v>31.730336656806301</v>
      </c>
      <c r="G317">
        <v>1.61344753949235</v>
      </c>
      <c r="H317">
        <v>132</v>
      </c>
    </row>
    <row r="318" spans="1:8">
      <c r="A318">
        <v>1.3743260754269599</v>
      </c>
      <c r="B318">
        <v>4.2291705582837098</v>
      </c>
      <c r="C318">
        <v>27.2914848715963</v>
      </c>
      <c r="D318">
        <v>2.1316901002484299</v>
      </c>
      <c r="E318">
        <v>3.5627283504669198</v>
      </c>
      <c r="F318">
        <v>32.698226264074698</v>
      </c>
      <c r="G318">
        <v>1.02719852545718</v>
      </c>
      <c r="H318">
        <v>15</v>
      </c>
    </row>
    <row r="319" spans="1:8">
      <c r="A319">
        <v>1.52741186346195</v>
      </c>
      <c r="B319">
        <v>4.2497105748033803</v>
      </c>
      <c r="C319">
        <v>27.884383392250299</v>
      </c>
      <c r="D319">
        <v>2.2087248147351999</v>
      </c>
      <c r="E319">
        <v>3.5499154189414002</v>
      </c>
      <c r="F319">
        <v>33.304435525490199</v>
      </c>
      <c r="G319">
        <v>1.2417868691099101</v>
      </c>
      <c r="H319">
        <v>69</v>
      </c>
    </row>
    <row r="320" spans="1:8">
      <c r="A320">
        <v>1.3482352870733501</v>
      </c>
      <c r="B320">
        <v>4.1959359159571301</v>
      </c>
      <c r="C320">
        <v>27.911951750258801</v>
      </c>
      <c r="D320">
        <v>2.1209853063020701</v>
      </c>
      <c r="E320">
        <v>3.6018633057315599</v>
      </c>
      <c r="F320">
        <v>35.645605492454202</v>
      </c>
      <c r="G320">
        <v>1.9792880933250601</v>
      </c>
      <c r="H320">
        <v>246</v>
      </c>
    </row>
    <row r="321" spans="1:8">
      <c r="A321">
        <v>1.4482433000083701</v>
      </c>
      <c r="B321">
        <v>4.1969254909520597</v>
      </c>
      <c r="C321">
        <v>27.7113013920134</v>
      </c>
      <c r="D321">
        <v>1.9295016605026201</v>
      </c>
      <c r="E321">
        <v>3.3564823032340998</v>
      </c>
      <c r="F321">
        <v>34.345505168909703</v>
      </c>
      <c r="G321">
        <v>1.94583710461867</v>
      </c>
      <c r="H321">
        <v>239</v>
      </c>
    </row>
    <row r="322" spans="1:8">
      <c r="A322">
        <v>1.55138584205527</v>
      </c>
      <c r="B322">
        <v>4.1851638365667103</v>
      </c>
      <c r="C322">
        <v>28.120595931017899</v>
      </c>
      <c r="D322">
        <v>1.9048206994496399</v>
      </c>
      <c r="E322">
        <v>3.47486241793399</v>
      </c>
      <c r="F322">
        <v>31.543818033198399</v>
      </c>
      <c r="G322">
        <v>1.771827905461</v>
      </c>
      <c r="H322">
        <v>163</v>
      </c>
    </row>
    <row r="323" spans="1:8">
      <c r="A323">
        <v>1.25382150124276</v>
      </c>
      <c r="B323">
        <v>4.1306963989068004</v>
      </c>
      <c r="C323">
        <v>26.947034191200402</v>
      </c>
      <c r="D323">
        <v>1.8510371264341501</v>
      </c>
      <c r="E323">
        <v>2.98306904442398</v>
      </c>
      <c r="F323">
        <v>33.616782171206602</v>
      </c>
      <c r="G323">
        <v>1.1925494696788099</v>
      </c>
      <c r="H323">
        <v>90</v>
      </c>
    </row>
    <row r="324" spans="1:8">
      <c r="A324">
        <v>1.3614247496146099</v>
      </c>
      <c r="B324">
        <v>4.1912430120830901</v>
      </c>
      <c r="C324">
        <v>26.001681537756401</v>
      </c>
      <c r="D324">
        <v>2.15181285392205</v>
      </c>
      <c r="E324">
        <v>3.4178250766635698</v>
      </c>
      <c r="F324">
        <v>33.465531367262997</v>
      </c>
      <c r="G324">
        <v>1.29271122709036</v>
      </c>
      <c r="H324">
        <v>70</v>
      </c>
    </row>
    <row r="325" spans="1:8">
      <c r="A325">
        <v>1.27659244737257</v>
      </c>
      <c r="B325">
        <v>4.1917962311096399</v>
      </c>
      <c r="C325">
        <v>25.372220777529002</v>
      </c>
      <c r="D325">
        <v>1.9141217511233499</v>
      </c>
      <c r="E325">
        <v>3.3918863115415401</v>
      </c>
      <c r="F325">
        <v>33.240470867004902</v>
      </c>
      <c r="G325">
        <v>1.14450305869866</v>
      </c>
      <c r="H325">
        <v>78</v>
      </c>
    </row>
    <row r="326" spans="1:8">
      <c r="A326">
        <v>1.4434756848672701</v>
      </c>
      <c r="B326">
        <v>4.1019772842052102</v>
      </c>
      <c r="C326">
        <v>26.620524764206799</v>
      </c>
      <c r="D326">
        <v>2.0178208556811099</v>
      </c>
      <c r="E326">
        <v>3.6368736491011</v>
      </c>
      <c r="F326">
        <v>33.295952297912798</v>
      </c>
      <c r="G326">
        <v>1.8097314516266501</v>
      </c>
      <c r="H326">
        <v>181</v>
      </c>
    </row>
    <row r="327" spans="1:8">
      <c r="A327">
        <v>1.3874104661220601</v>
      </c>
      <c r="B327">
        <v>4.2206858757589396</v>
      </c>
      <c r="C327">
        <v>26.808447245952699</v>
      </c>
      <c r="D327">
        <v>1.9488266867117801</v>
      </c>
      <c r="E327">
        <v>3.5252986472836998</v>
      </c>
      <c r="F327">
        <v>37.192134992869399</v>
      </c>
      <c r="G327">
        <v>1.35991042528364</v>
      </c>
      <c r="H327">
        <v>92</v>
      </c>
    </row>
    <row r="328" spans="1:8">
      <c r="A328">
        <v>1.29917648564711</v>
      </c>
      <c r="B328">
        <v>4.1168423106668399</v>
      </c>
      <c r="C328">
        <v>26.801547139304802</v>
      </c>
      <c r="D328">
        <v>2.03696746777972</v>
      </c>
      <c r="E328">
        <v>3.9537399308040202</v>
      </c>
      <c r="F328">
        <v>35.814234696897699</v>
      </c>
      <c r="G328">
        <v>0.98822881365009696</v>
      </c>
      <c r="H328">
        <v>6</v>
      </c>
    </row>
    <row r="329" spans="1:8">
      <c r="A329">
        <v>1.50079234827035</v>
      </c>
      <c r="B329">
        <v>4.1291039475922204</v>
      </c>
      <c r="C329">
        <v>26.9637159434882</v>
      </c>
      <c r="D329">
        <v>2.0861043089150302</v>
      </c>
      <c r="E329">
        <v>3.1575684055999802</v>
      </c>
      <c r="F329">
        <v>33.772936772959099</v>
      </c>
      <c r="G329">
        <v>1.0153933771088901</v>
      </c>
      <c r="H329">
        <v>13</v>
      </c>
    </row>
    <row r="330" spans="1:8">
      <c r="A330">
        <v>1.26260258628658</v>
      </c>
      <c r="B330">
        <v>4.14079991287855</v>
      </c>
      <c r="C330">
        <v>26.5010277579789</v>
      </c>
      <c r="D330">
        <v>2.1075247958300398</v>
      </c>
      <c r="E330">
        <v>3.6524653597699901</v>
      </c>
      <c r="F330">
        <v>34.823664530144903</v>
      </c>
      <c r="G330">
        <v>1.5538701404742601</v>
      </c>
      <c r="H330">
        <v>122</v>
      </c>
    </row>
    <row r="331" spans="1:8">
      <c r="A331">
        <v>1.3498789817888299</v>
      </c>
      <c r="B331">
        <v>4.2272744009560599</v>
      </c>
      <c r="C331">
        <v>27.258127293629499</v>
      </c>
      <c r="D331">
        <v>2.0215164888947599</v>
      </c>
      <c r="E331">
        <v>2.9501281581103398</v>
      </c>
      <c r="F331">
        <v>33.335470748521701</v>
      </c>
      <c r="G331">
        <v>1.0116661798948601</v>
      </c>
      <c r="H331">
        <v>21</v>
      </c>
    </row>
    <row r="332" spans="1:8">
      <c r="A332">
        <v>1.45566303266554</v>
      </c>
      <c r="B332">
        <v>4.2361964062036703</v>
      </c>
      <c r="C332">
        <v>26.923917728485499</v>
      </c>
      <c r="D332">
        <v>1.95605931544379</v>
      </c>
      <c r="E332">
        <v>3.4618308463548102</v>
      </c>
      <c r="F332">
        <v>35.429442737405402</v>
      </c>
      <c r="G332">
        <v>1.3415461554709001</v>
      </c>
      <c r="H332">
        <v>78</v>
      </c>
    </row>
    <row r="333" spans="1:8">
      <c r="A333">
        <v>1.34637793958996</v>
      </c>
      <c r="B333">
        <v>4.2742723316560696</v>
      </c>
      <c r="C333">
        <v>26.871479182351099</v>
      </c>
      <c r="D333">
        <v>2.1191329088392101</v>
      </c>
      <c r="E333">
        <v>3.7764911383255502</v>
      </c>
      <c r="F333">
        <v>33.664149893311802</v>
      </c>
      <c r="G333">
        <v>0.923677357335844</v>
      </c>
      <c r="H333">
        <v>34</v>
      </c>
    </row>
    <row r="334" spans="1:8">
      <c r="A334">
        <v>1.5098901813308401</v>
      </c>
      <c r="B334">
        <v>4.2459925667615401</v>
      </c>
      <c r="C334">
        <v>29.4207102598006</v>
      </c>
      <c r="D334">
        <v>2.00719290271571</v>
      </c>
      <c r="E334">
        <v>4.1925834828797699</v>
      </c>
      <c r="F334">
        <v>35.935563578388802</v>
      </c>
      <c r="G334">
        <v>1.26243800078282</v>
      </c>
      <c r="H334">
        <v>73</v>
      </c>
    </row>
    <row r="335" spans="1:8">
      <c r="A335">
        <v>1.3977047513490299</v>
      </c>
      <c r="B335">
        <v>4.2233192690999202</v>
      </c>
      <c r="C335">
        <v>28.3842114916932</v>
      </c>
      <c r="D335">
        <v>2.0677545313448098</v>
      </c>
      <c r="E335">
        <v>3.7116196974485098</v>
      </c>
      <c r="F335">
        <v>35.133674786855899</v>
      </c>
      <c r="G335">
        <v>1.8954448763610401</v>
      </c>
      <c r="H335">
        <v>229</v>
      </c>
    </row>
    <row r="336" spans="1:8">
      <c r="A336">
        <v>1.36116773059598</v>
      </c>
      <c r="B336">
        <v>4.2268305710564702</v>
      </c>
      <c r="C336">
        <v>26.584181381711801</v>
      </c>
      <c r="D336">
        <v>2.1562939948731099</v>
      </c>
      <c r="E336">
        <v>3.19991295974804</v>
      </c>
      <c r="F336">
        <v>32.619145910348202</v>
      </c>
      <c r="G336">
        <v>1.00238530852814</v>
      </c>
      <c r="H336">
        <v>50</v>
      </c>
    </row>
    <row r="337" spans="1:8">
      <c r="A337">
        <v>1.4328381387884901</v>
      </c>
      <c r="B337">
        <v>4.2015717330254496</v>
      </c>
      <c r="C337">
        <v>28.000808344618299</v>
      </c>
      <c r="D337">
        <v>2.0208472803487401</v>
      </c>
      <c r="E337">
        <v>3.3834210004434899</v>
      </c>
      <c r="F337">
        <v>30.301335589290399</v>
      </c>
      <c r="G337">
        <v>0.91174607125432805</v>
      </c>
      <c r="H337">
        <v>33</v>
      </c>
    </row>
    <row r="338" spans="1:8">
      <c r="A338">
        <v>1.48306717508358</v>
      </c>
      <c r="B338">
        <v>4.1824862136619299</v>
      </c>
      <c r="C338">
        <v>26.4807202775288</v>
      </c>
      <c r="D338">
        <v>1.9426634876340401</v>
      </c>
      <c r="E338">
        <v>3.49428759448555</v>
      </c>
      <c r="F338">
        <v>33.543657103958402</v>
      </c>
      <c r="G338">
        <v>0.99176207717540199</v>
      </c>
      <c r="H338">
        <v>10</v>
      </c>
    </row>
    <row r="339" spans="1:8">
      <c r="A339">
        <v>1.4358145878178401</v>
      </c>
      <c r="B339">
        <v>4.2506368203237699</v>
      </c>
      <c r="C339">
        <v>26.288744178037401</v>
      </c>
      <c r="D339">
        <v>1.9563115829477</v>
      </c>
      <c r="E339">
        <v>3.1718806602291201</v>
      </c>
      <c r="F339">
        <v>33.988347553663502</v>
      </c>
      <c r="G339">
        <v>1.9406757723763799</v>
      </c>
      <c r="H339">
        <v>237</v>
      </c>
    </row>
    <row r="340" spans="1:8">
      <c r="A340">
        <v>1.3733882894773699</v>
      </c>
      <c r="B340">
        <v>4.1998145999184704</v>
      </c>
      <c r="C340">
        <v>24.584191222958999</v>
      </c>
      <c r="D340">
        <v>1.98871522357178</v>
      </c>
      <c r="E340">
        <v>3.3050209404327902</v>
      </c>
      <c r="F340">
        <v>32.3482248822001</v>
      </c>
      <c r="G340">
        <v>1.1299208193761501</v>
      </c>
      <c r="H340">
        <v>76</v>
      </c>
    </row>
    <row r="341" spans="1:8">
      <c r="A341">
        <v>1.27836391474656</v>
      </c>
      <c r="B341">
        <v>4.0738892788124303</v>
      </c>
      <c r="C341">
        <v>28.751084545128101</v>
      </c>
      <c r="D341">
        <v>2.0440028353736501</v>
      </c>
      <c r="E341">
        <v>3.1163520695557798</v>
      </c>
      <c r="F341">
        <v>38.012612563702902</v>
      </c>
      <c r="G341">
        <v>1.2483884438400601</v>
      </c>
      <c r="H341">
        <v>72</v>
      </c>
    </row>
    <row r="342" spans="1:8">
      <c r="A342">
        <v>1.37899136542455</v>
      </c>
      <c r="B342">
        <v>4.1774156970882999</v>
      </c>
      <c r="C342">
        <v>30.233642973778899</v>
      </c>
      <c r="D342">
        <v>2.1783889414712001</v>
      </c>
      <c r="E342">
        <v>3.4082442288779</v>
      </c>
      <c r="F342">
        <v>34.544384782762499</v>
      </c>
      <c r="G342">
        <v>1.4744990239029201</v>
      </c>
      <c r="H342">
        <v>145</v>
      </c>
    </row>
    <row r="343" spans="1:8">
      <c r="A343">
        <v>1.4092311763143299</v>
      </c>
      <c r="B343">
        <v>4.1605718225780501</v>
      </c>
      <c r="C343">
        <v>28.221091978971</v>
      </c>
      <c r="D343">
        <v>1.97856227146222</v>
      </c>
      <c r="E343">
        <v>2.92467624294332</v>
      </c>
      <c r="F343">
        <v>32.965902162675299</v>
      </c>
      <c r="G343">
        <v>1.35107491483483</v>
      </c>
      <c r="H343">
        <v>81</v>
      </c>
    </row>
    <row r="344" spans="1:8">
      <c r="A344">
        <v>1.44528115070868</v>
      </c>
      <c r="B344">
        <v>4.22390440855128</v>
      </c>
      <c r="C344">
        <v>26.413880372958701</v>
      </c>
      <c r="D344">
        <v>2.09822660405327</v>
      </c>
      <c r="E344">
        <v>3.9419826624046599</v>
      </c>
      <c r="F344">
        <v>34.071929350694198</v>
      </c>
      <c r="G344">
        <v>1.8274387131101399</v>
      </c>
      <c r="H344">
        <v>216</v>
      </c>
    </row>
    <row r="345" spans="1:8">
      <c r="A345">
        <v>1.48530771310455</v>
      </c>
      <c r="B345">
        <v>4.2550642528470801</v>
      </c>
      <c r="C345">
        <v>26.401560884777702</v>
      </c>
      <c r="D345">
        <v>2.0653524932985099</v>
      </c>
      <c r="E345">
        <v>3.3585521613149298</v>
      </c>
      <c r="F345">
        <v>32.288446634006803</v>
      </c>
      <c r="G345">
        <v>1.46580014331205</v>
      </c>
      <c r="H345">
        <v>104</v>
      </c>
    </row>
    <row r="346" spans="1:8">
      <c r="A346">
        <v>1.5085573826530401</v>
      </c>
      <c r="B346">
        <v>4.2020085744323596</v>
      </c>
      <c r="C346">
        <v>27.726673128288699</v>
      </c>
      <c r="D346">
        <v>1.8772379676523001</v>
      </c>
      <c r="E346">
        <v>3.4518745906504398</v>
      </c>
      <c r="F346">
        <v>33.585906424502497</v>
      </c>
      <c r="G346">
        <v>1.0716852276453801</v>
      </c>
      <c r="H346">
        <v>33</v>
      </c>
    </row>
    <row r="347" spans="1:8">
      <c r="A347">
        <v>1.1702785845504999</v>
      </c>
      <c r="B347">
        <v>4.1558539181235998</v>
      </c>
      <c r="C347">
        <v>25.7606306808337</v>
      </c>
      <c r="D347">
        <v>1.96316075560745</v>
      </c>
      <c r="E347">
        <v>3.51339669377432</v>
      </c>
      <c r="F347">
        <v>31.8075705603149</v>
      </c>
      <c r="G347">
        <v>1.3781698591096501</v>
      </c>
      <c r="H347">
        <v>96</v>
      </c>
    </row>
    <row r="348" spans="1:8">
      <c r="A348">
        <v>1.41072043507699</v>
      </c>
      <c r="B348">
        <v>4.1523061393975196</v>
      </c>
      <c r="C348">
        <v>25.088825564795101</v>
      </c>
      <c r="D348">
        <v>2.1342974097069098</v>
      </c>
      <c r="E348">
        <v>3.79583398245147</v>
      </c>
      <c r="F348">
        <v>32.380606789591504</v>
      </c>
      <c r="G348">
        <v>1.2622384936806199</v>
      </c>
      <c r="H348">
        <v>104</v>
      </c>
    </row>
    <row r="349" spans="1:8">
      <c r="A349">
        <v>1.2842769729758401</v>
      </c>
      <c r="B349">
        <v>4.1935660934213503</v>
      </c>
      <c r="C349">
        <v>30.913076938722199</v>
      </c>
      <c r="D349">
        <v>2.0120096956879099</v>
      </c>
      <c r="E349">
        <v>3.69962213739664</v>
      </c>
      <c r="F349">
        <v>32.474805261293596</v>
      </c>
      <c r="G349">
        <v>1.5141353251726299</v>
      </c>
      <c r="H349">
        <v>123</v>
      </c>
    </row>
    <row r="350" spans="1:8">
      <c r="A350">
        <v>1.48669521563386</v>
      </c>
      <c r="B350">
        <v>4.1767824523048596</v>
      </c>
      <c r="C350">
        <v>28.1245736573741</v>
      </c>
      <c r="D350">
        <v>1.9917387496023999</v>
      </c>
      <c r="E350">
        <v>3.43076737844823</v>
      </c>
      <c r="F350">
        <v>33.990821693823598</v>
      </c>
      <c r="G350">
        <v>1.2883588376763999</v>
      </c>
      <c r="H350">
        <v>76</v>
      </c>
    </row>
    <row r="351" spans="1:8">
      <c r="A351">
        <v>1.3753537335611601</v>
      </c>
      <c r="B351">
        <v>4.0964041376218203</v>
      </c>
      <c r="C351">
        <v>24.8958922487591</v>
      </c>
      <c r="D351">
        <v>1.99167249541647</v>
      </c>
      <c r="E351">
        <v>3.7343975988463698</v>
      </c>
      <c r="F351">
        <v>33.713423531066397</v>
      </c>
      <c r="G351">
        <v>1.89596467454619</v>
      </c>
      <c r="H351">
        <v>190</v>
      </c>
    </row>
    <row r="352" spans="1:8">
      <c r="A352">
        <v>1.37584049254726</v>
      </c>
      <c r="B352">
        <v>4.1768177297676896</v>
      </c>
      <c r="C352">
        <v>26.4397675182705</v>
      </c>
      <c r="D352">
        <v>2.02505503074432</v>
      </c>
      <c r="E352">
        <v>3.94979224238809</v>
      </c>
      <c r="F352">
        <v>34.880799006240899</v>
      </c>
      <c r="G352">
        <v>1.1292233456324099</v>
      </c>
      <c r="H352">
        <v>35</v>
      </c>
    </row>
    <row r="353" spans="1:8">
      <c r="A353">
        <v>1.4362714570694399</v>
      </c>
      <c r="B353">
        <v>4.1472916591973297</v>
      </c>
      <c r="C353">
        <v>28.860133355893101</v>
      </c>
      <c r="D353">
        <v>2.0182071790156599</v>
      </c>
      <c r="E353">
        <v>4.1629980454711299</v>
      </c>
      <c r="F353">
        <v>33.437738664668203</v>
      </c>
      <c r="G353">
        <v>1.8006339889671701</v>
      </c>
      <c r="H353">
        <v>210</v>
      </c>
    </row>
    <row r="354" spans="1:8">
      <c r="A354">
        <v>1.5245521843540299</v>
      </c>
      <c r="B354">
        <v>4.21747421904342</v>
      </c>
      <c r="C354">
        <v>25.500394395004701</v>
      </c>
      <c r="D354">
        <v>2.1138133418940801</v>
      </c>
      <c r="E354">
        <v>3.53932406308222</v>
      </c>
      <c r="F354">
        <v>32.742636210440899</v>
      </c>
      <c r="G354">
        <v>1.63657723485173</v>
      </c>
      <c r="H354">
        <v>176</v>
      </c>
    </row>
    <row r="355" spans="1:8">
      <c r="A355">
        <v>1.2740001114564401</v>
      </c>
      <c r="B355">
        <v>4.2108520892632999</v>
      </c>
      <c r="C355">
        <v>26.678325441129601</v>
      </c>
      <c r="D355">
        <v>2.0712948390211201</v>
      </c>
      <c r="E355">
        <v>3.24419608377598</v>
      </c>
      <c r="F355">
        <v>32.613667912037201</v>
      </c>
      <c r="G355">
        <v>1.5091173539254701</v>
      </c>
      <c r="H355">
        <v>122</v>
      </c>
    </row>
    <row r="356" spans="1:8">
      <c r="A356">
        <v>1.3451991489789401</v>
      </c>
      <c r="B356">
        <v>4.2305895031083702</v>
      </c>
      <c r="C356">
        <v>28.156294071748999</v>
      </c>
      <c r="D356">
        <v>2.03136808151545</v>
      </c>
      <c r="E356">
        <v>3.5607012218906799</v>
      </c>
      <c r="F356">
        <v>32.659496333532999</v>
      </c>
      <c r="G356">
        <v>1.24803296106419</v>
      </c>
      <c r="H356">
        <v>58</v>
      </c>
    </row>
    <row r="357" spans="1:8">
      <c r="A357">
        <v>1.42388314053923</v>
      </c>
      <c r="B357">
        <v>4.1618892227845397</v>
      </c>
      <c r="C357">
        <v>26.4362681561846</v>
      </c>
      <c r="D357">
        <v>1.8021705549812801</v>
      </c>
      <c r="E357">
        <v>3.0622150952399201</v>
      </c>
      <c r="F357">
        <v>30.728353645866498</v>
      </c>
      <c r="G357">
        <v>1.4697368952033301</v>
      </c>
      <c r="H357">
        <v>105</v>
      </c>
    </row>
    <row r="358" spans="1:8">
      <c r="A358">
        <v>1.3580812987456401</v>
      </c>
      <c r="B358">
        <v>4.2567928757446296</v>
      </c>
      <c r="C358">
        <v>27.995932093913801</v>
      </c>
      <c r="D358">
        <v>2.0577865069335299</v>
      </c>
      <c r="E358">
        <v>3.3812276497327298</v>
      </c>
      <c r="F358">
        <v>35.3224232315252</v>
      </c>
      <c r="G358">
        <v>1.70266858156921</v>
      </c>
      <c r="H358">
        <v>150</v>
      </c>
    </row>
    <row r="359" spans="1:8">
      <c r="A359">
        <v>1.3881408296101501</v>
      </c>
      <c r="B359">
        <v>4.1594232820228703</v>
      </c>
      <c r="C359">
        <v>26.710482748733899</v>
      </c>
      <c r="D359">
        <v>2.0224356653775999</v>
      </c>
      <c r="E359">
        <v>3.3959592434925501</v>
      </c>
      <c r="F359">
        <v>35.235678161066701</v>
      </c>
      <c r="G359">
        <v>1.6318227081832499</v>
      </c>
      <c r="H359">
        <v>136</v>
      </c>
    </row>
    <row r="360" spans="1:8">
      <c r="A360">
        <v>1.42308960068757</v>
      </c>
      <c r="B360">
        <v>4.2512599587753801</v>
      </c>
      <c r="C360">
        <v>24.574917784718998</v>
      </c>
      <c r="D360">
        <v>2.1055383563429801</v>
      </c>
      <c r="E360">
        <v>3.5110856818542699</v>
      </c>
      <c r="F360">
        <v>29.978872034472001</v>
      </c>
      <c r="G360">
        <v>1.81858856947958</v>
      </c>
      <c r="H360">
        <v>175</v>
      </c>
    </row>
    <row r="361" spans="1:8">
      <c r="A361">
        <v>1.3886098752979601</v>
      </c>
      <c r="B361">
        <v>4.2612430859964903</v>
      </c>
      <c r="C361">
        <v>28.2731932934025</v>
      </c>
      <c r="D361">
        <v>1.92472380596593</v>
      </c>
      <c r="E361">
        <v>2.88249570242245</v>
      </c>
      <c r="F361">
        <v>33.237039591242002</v>
      </c>
      <c r="G361">
        <v>1.0926257182382799</v>
      </c>
      <c r="H361">
        <v>29</v>
      </c>
    </row>
    <row r="362" spans="1:8">
      <c r="A362">
        <v>1.5403481149175999</v>
      </c>
      <c r="B362">
        <v>4.2222858194012396</v>
      </c>
      <c r="C362">
        <v>25.577362884365201</v>
      </c>
      <c r="D362">
        <v>2.0948300619281102</v>
      </c>
      <c r="E362">
        <v>3.26107970511171</v>
      </c>
      <c r="F362">
        <v>33.692524751342901</v>
      </c>
      <c r="G362">
        <v>1.3791159628040801</v>
      </c>
      <c r="H362">
        <v>97</v>
      </c>
    </row>
    <row r="363" spans="1:8">
      <c r="A363">
        <v>1.2846231708865901</v>
      </c>
      <c r="B363">
        <v>4.12485654294023</v>
      </c>
      <c r="C363">
        <v>25.770110648288298</v>
      </c>
      <c r="D363">
        <v>1.9229931559407301</v>
      </c>
      <c r="E363">
        <v>2.48485702726791</v>
      </c>
      <c r="F363">
        <v>31.922697282880801</v>
      </c>
      <c r="G363">
        <v>1.0758400758042801</v>
      </c>
      <c r="H363">
        <v>36</v>
      </c>
    </row>
    <row r="364" spans="1:8">
      <c r="A364">
        <v>1.40337552713377</v>
      </c>
      <c r="B364">
        <v>4.26588664590418</v>
      </c>
      <c r="C364">
        <v>27.3274895718232</v>
      </c>
      <c r="D364">
        <v>2.0351377396881198</v>
      </c>
      <c r="E364">
        <v>3.9864917460234102</v>
      </c>
      <c r="F364">
        <v>32.658142678887998</v>
      </c>
      <c r="G364">
        <v>0.97842822307452804</v>
      </c>
      <c r="H364">
        <v>17</v>
      </c>
    </row>
    <row r="365" spans="1:8">
      <c r="A365">
        <v>1.4602616556846</v>
      </c>
      <c r="B365">
        <v>4.1343599196663803</v>
      </c>
      <c r="C365">
        <v>27.236208992789699</v>
      </c>
      <c r="D365">
        <v>1.8307048562000601</v>
      </c>
      <c r="E365">
        <v>3.9690657697793301</v>
      </c>
      <c r="F365">
        <v>32.714968572638099</v>
      </c>
      <c r="G365">
        <v>1.9641021984482501</v>
      </c>
      <c r="H365">
        <v>241</v>
      </c>
    </row>
    <row r="366" spans="1:8">
      <c r="A366">
        <v>1.3208223664138501</v>
      </c>
      <c r="B366">
        <v>4.2718469319495904</v>
      </c>
      <c r="C366">
        <v>27.722511098057399</v>
      </c>
      <c r="D366">
        <v>2.0109311775411198</v>
      </c>
      <c r="E366">
        <v>2.9548986432833302</v>
      </c>
      <c r="F366">
        <v>34.869870674329803</v>
      </c>
      <c r="G366">
        <v>1.47974497338873</v>
      </c>
      <c r="H366">
        <v>106</v>
      </c>
    </row>
    <row r="367" spans="1:8">
      <c r="A367">
        <v>1.58323073333047</v>
      </c>
      <c r="B367">
        <v>4.1373008123188599</v>
      </c>
      <c r="C367">
        <v>27.6934678552002</v>
      </c>
      <c r="D367">
        <v>2.05833717598076</v>
      </c>
      <c r="E367">
        <v>3.4282505414520101</v>
      </c>
      <c r="F367">
        <v>33.316950207085497</v>
      </c>
      <c r="G367">
        <v>1.8594545071702799</v>
      </c>
      <c r="H367">
        <v>183</v>
      </c>
    </row>
    <row r="368" spans="1:8">
      <c r="A368">
        <v>1.4787136945677299</v>
      </c>
      <c r="B368">
        <v>4.2452410096330002</v>
      </c>
      <c r="C368">
        <v>26.512491893412001</v>
      </c>
      <c r="D368">
        <v>1.8491489444509599</v>
      </c>
      <c r="E368">
        <v>3.11576989100918</v>
      </c>
      <c r="F368">
        <v>31.631110305309999</v>
      </c>
      <c r="G368">
        <v>1.0257902285250999</v>
      </c>
      <c r="H368">
        <v>14</v>
      </c>
    </row>
    <row r="369" spans="1:8">
      <c r="A369">
        <v>1.3926736576574501</v>
      </c>
      <c r="B369">
        <v>4.2072904024198499</v>
      </c>
      <c r="C369">
        <v>29.195358634119501</v>
      </c>
      <c r="D369">
        <v>2.13716558075365</v>
      </c>
      <c r="E369">
        <v>3.0720961650987699</v>
      </c>
      <c r="F369">
        <v>35.336848294061703</v>
      </c>
      <c r="G369">
        <v>1.0155830626281901</v>
      </c>
      <c r="H369">
        <v>22</v>
      </c>
    </row>
    <row r="370" spans="1:8">
      <c r="A370">
        <v>1.2941964538992501</v>
      </c>
      <c r="B370">
        <v>4.2021139392781999</v>
      </c>
      <c r="C370">
        <v>27.670913593511798</v>
      </c>
      <c r="D370">
        <v>1.9968463732702599</v>
      </c>
      <c r="E370">
        <v>3.3314391835906898</v>
      </c>
      <c r="F370">
        <v>36.401211373729502</v>
      </c>
      <c r="G370">
        <v>1.4013475580141399</v>
      </c>
      <c r="H370">
        <v>130</v>
      </c>
    </row>
    <row r="371" spans="1:8">
      <c r="A371">
        <v>1.68960175827224</v>
      </c>
      <c r="B371">
        <v>4.2270843988656104</v>
      </c>
      <c r="C371">
        <v>24.754823008959701</v>
      </c>
      <c r="D371">
        <v>1.93385532529661</v>
      </c>
      <c r="E371">
        <v>3.03831233037966</v>
      </c>
      <c r="F371">
        <v>32.0816575995565</v>
      </c>
      <c r="G371">
        <v>0.92961392216254302</v>
      </c>
      <c r="H371">
        <v>37</v>
      </c>
    </row>
    <row r="372" spans="1:8">
      <c r="A372">
        <v>1.4433296956231201</v>
      </c>
      <c r="B372">
        <v>4.1908376269518097</v>
      </c>
      <c r="C372">
        <v>24.169128300513002</v>
      </c>
      <c r="D372">
        <v>2.0665107359210899</v>
      </c>
      <c r="E372">
        <v>2.6293574657741901</v>
      </c>
      <c r="F372">
        <v>33.047549541591103</v>
      </c>
      <c r="G372">
        <v>1.1341704829734101</v>
      </c>
      <c r="H372">
        <v>48</v>
      </c>
    </row>
    <row r="373" spans="1:8">
      <c r="A373">
        <v>1.3651321197435</v>
      </c>
      <c r="B373">
        <v>4.1439764916490098</v>
      </c>
      <c r="C373">
        <v>25.746049776895099</v>
      </c>
      <c r="D373">
        <v>2.0240688647212499</v>
      </c>
      <c r="E373">
        <v>3.3654018018709002</v>
      </c>
      <c r="F373">
        <v>34.031408007232997</v>
      </c>
      <c r="G373">
        <v>0.98535337419982005</v>
      </c>
      <c r="H373">
        <v>46</v>
      </c>
    </row>
    <row r="374" spans="1:8">
      <c r="A374">
        <v>1.28895529929</v>
      </c>
      <c r="B374">
        <v>4.2549619303635797</v>
      </c>
      <c r="C374">
        <v>27.096369664367199</v>
      </c>
      <c r="D374">
        <v>2.1170911974107098</v>
      </c>
      <c r="E374">
        <v>4.0413345569502201</v>
      </c>
      <c r="F374">
        <v>33.938228620516497</v>
      </c>
      <c r="G374">
        <v>1.35567947016461</v>
      </c>
      <c r="H374">
        <v>90</v>
      </c>
    </row>
    <row r="375" spans="1:8">
      <c r="A375">
        <v>1.48331321502318</v>
      </c>
      <c r="B375">
        <v>4.1749701581268504</v>
      </c>
      <c r="C375">
        <v>30.066330393301399</v>
      </c>
      <c r="D375">
        <v>2.07182706949708</v>
      </c>
      <c r="E375">
        <v>3.63446578433792</v>
      </c>
      <c r="F375">
        <v>34.644765513162497</v>
      </c>
      <c r="G375">
        <v>1.3683996037066399</v>
      </c>
      <c r="H375">
        <v>94</v>
      </c>
    </row>
    <row r="376" spans="1:8">
      <c r="A376">
        <v>1.5348376873087799</v>
      </c>
      <c r="B376">
        <v>4.2294689996693897</v>
      </c>
      <c r="C376">
        <v>30.648762795720501</v>
      </c>
      <c r="D376">
        <v>2.10110137202558</v>
      </c>
      <c r="E376">
        <v>3.2956085682916898</v>
      </c>
      <c r="F376">
        <v>36.622842205118403</v>
      </c>
      <c r="G376">
        <v>1.0846487728381</v>
      </c>
      <c r="H376">
        <v>27</v>
      </c>
    </row>
    <row r="377" spans="1:8">
      <c r="A377">
        <v>1.39654204921674</v>
      </c>
      <c r="B377">
        <v>4.1917906969989698</v>
      </c>
      <c r="C377">
        <v>28.220057182430899</v>
      </c>
      <c r="D377">
        <v>2.00033533577083</v>
      </c>
      <c r="E377">
        <v>3.5700750704314999</v>
      </c>
      <c r="F377">
        <v>30.2999619727054</v>
      </c>
      <c r="G377">
        <v>1.45772301846703</v>
      </c>
      <c r="H377">
        <v>142</v>
      </c>
    </row>
    <row r="378" spans="1:8">
      <c r="A378">
        <v>1.24792090531921</v>
      </c>
      <c r="B378">
        <v>4.25528647391977</v>
      </c>
      <c r="C378">
        <v>26.714676490979301</v>
      </c>
      <c r="D378">
        <v>2.0401290734721802</v>
      </c>
      <c r="E378">
        <v>3.3609867367735902</v>
      </c>
      <c r="F378">
        <v>32.552391550948897</v>
      </c>
      <c r="G378">
        <v>1.50392747856121</v>
      </c>
      <c r="H378">
        <v>150</v>
      </c>
    </row>
    <row r="379" spans="1:8">
      <c r="A379">
        <v>1.3655012089806799</v>
      </c>
      <c r="B379">
        <v>4.2349003005804997</v>
      </c>
      <c r="C379">
        <v>26.316386953354201</v>
      </c>
      <c r="D379">
        <v>1.9350761938880501</v>
      </c>
      <c r="E379">
        <v>3.7344132448367802</v>
      </c>
      <c r="F379">
        <v>33.640988267053899</v>
      </c>
      <c r="G379">
        <v>0.89826164680689202</v>
      </c>
      <c r="H379">
        <v>0</v>
      </c>
    </row>
    <row r="380" spans="1:8">
      <c r="A380">
        <v>1.14926996150938</v>
      </c>
      <c r="B380">
        <v>4.18762840009322</v>
      </c>
      <c r="C380">
        <v>27.542066604599501</v>
      </c>
      <c r="D380">
        <v>2.1111140007769098</v>
      </c>
      <c r="E380">
        <v>3.1994435213394401</v>
      </c>
      <c r="F380">
        <v>31.014725589153102</v>
      </c>
      <c r="G380">
        <v>1.06692755101286</v>
      </c>
      <c r="H380">
        <v>63</v>
      </c>
    </row>
    <row r="381" spans="1:8">
      <c r="A381">
        <v>1.5644302870935101</v>
      </c>
      <c r="B381">
        <v>4.2892798682394702</v>
      </c>
      <c r="C381">
        <v>26.355488703890199</v>
      </c>
      <c r="D381">
        <v>2.0566098321167798</v>
      </c>
      <c r="E381">
        <v>3.6655340224631598</v>
      </c>
      <c r="F381">
        <v>33.807808465152398</v>
      </c>
      <c r="G381">
        <v>1.5530051387442501</v>
      </c>
      <c r="H381">
        <v>162</v>
      </c>
    </row>
    <row r="382" spans="1:8">
      <c r="A382">
        <v>1.39932228038699</v>
      </c>
      <c r="B382">
        <v>4.1306763337169103</v>
      </c>
      <c r="C382">
        <v>26.765855039863101</v>
      </c>
      <c r="D382">
        <v>1.9888032010088901</v>
      </c>
      <c r="E382">
        <v>3.4014620222413501</v>
      </c>
      <c r="F382">
        <v>35.666867607376297</v>
      </c>
      <c r="G382">
        <v>1.0398120474155299</v>
      </c>
      <c r="H382">
        <v>60</v>
      </c>
    </row>
    <row r="383" spans="1:8">
      <c r="A383">
        <v>1.4147308150087601</v>
      </c>
      <c r="B383">
        <v>4.2134798625066496</v>
      </c>
      <c r="C383">
        <v>25.805320187376601</v>
      </c>
      <c r="D383">
        <v>2.0927403579002601</v>
      </c>
      <c r="E383">
        <v>3.7584334535097002</v>
      </c>
      <c r="F383">
        <v>29.692443943068799</v>
      </c>
      <c r="G383">
        <v>1.3985721895960599</v>
      </c>
      <c r="H383">
        <v>129</v>
      </c>
    </row>
    <row r="384" spans="1:8">
      <c r="A384">
        <v>1.4648177616337199</v>
      </c>
      <c r="B384">
        <v>4.1478449841857401</v>
      </c>
      <c r="C384">
        <v>28.162166427862399</v>
      </c>
      <c r="D384">
        <v>2.1260082865594199</v>
      </c>
      <c r="E384">
        <v>3.6817198969093101</v>
      </c>
      <c r="F384">
        <v>33.156996305819199</v>
      </c>
      <c r="G384">
        <v>1.1765772672513699</v>
      </c>
      <c r="H384">
        <v>43</v>
      </c>
    </row>
    <row r="385" spans="1:8">
      <c r="A385">
        <v>1.27872409397299</v>
      </c>
      <c r="B385">
        <v>4.2054837626046604</v>
      </c>
      <c r="C385">
        <v>29.0250972765485</v>
      </c>
      <c r="D385">
        <v>2.1942868560724902</v>
      </c>
      <c r="E385">
        <v>3.3671421655174498</v>
      </c>
      <c r="F385">
        <v>32.3269489232732</v>
      </c>
      <c r="G385">
        <v>0.85334834838636797</v>
      </c>
      <c r="H385">
        <v>22</v>
      </c>
    </row>
    <row r="386" spans="1:8">
      <c r="A386">
        <v>1.45990967926463</v>
      </c>
      <c r="B386">
        <v>4.2596404221929403</v>
      </c>
      <c r="C386">
        <v>27.094159930461299</v>
      </c>
      <c r="D386">
        <v>1.9382007171065401</v>
      </c>
      <c r="E386">
        <v>3.5154454137919502</v>
      </c>
      <c r="F386">
        <v>32.990795606652398</v>
      </c>
      <c r="G386">
        <v>1.6021013186845099</v>
      </c>
      <c r="H386">
        <v>170</v>
      </c>
    </row>
    <row r="387" spans="1:8">
      <c r="A387">
        <v>1.21588769450131</v>
      </c>
      <c r="B387">
        <v>4.2040375667662504</v>
      </c>
      <c r="C387">
        <v>28.355951004817602</v>
      </c>
      <c r="D387">
        <v>1.9436411721139299</v>
      </c>
      <c r="E387">
        <v>3.4840061259497301</v>
      </c>
      <c r="F387">
        <v>28.290244153347398</v>
      </c>
      <c r="G387">
        <v>1.7622756700501501</v>
      </c>
      <c r="H387">
        <v>162</v>
      </c>
    </row>
    <row r="388" spans="1:8">
      <c r="A388">
        <v>1.3506235849483501</v>
      </c>
      <c r="B388">
        <v>4.1912797589403503</v>
      </c>
      <c r="C388">
        <v>28.329302628890101</v>
      </c>
      <c r="D388">
        <v>2.0210943696476198</v>
      </c>
      <c r="E388">
        <v>3.60052793627949</v>
      </c>
      <c r="F388">
        <v>31.991715322215601</v>
      </c>
      <c r="G388">
        <v>1.9469365290303999</v>
      </c>
      <c r="H388">
        <v>238</v>
      </c>
    </row>
    <row r="389" spans="1:8">
      <c r="A389">
        <v>1.4858416716484799</v>
      </c>
      <c r="B389">
        <v>4.24161657114385</v>
      </c>
      <c r="C389">
        <v>26.603108611001201</v>
      </c>
      <c r="D389">
        <v>1.94402885726101</v>
      </c>
      <c r="E389">
        <v>3.68326327965503</v>
      </c>
      <c r="F389">
        <v>29.944900282173101</v>
      </c>
      <c r="G389">
        <v>1.66781521911603</v>
      </c>
      <c r="H389">
        <v>183</v>
      </c>
    </row>
    <row r="390" spans="1:8">
      <c r="A390">
        <v>1.2142889050335799</v>
      </c>
      <c r="B390">
        <v>4.1473328352084904</v>
      </c>
      <c r="C390">
        <v>27.784999799649299</v>
      </c>
      <c r="D390">
        <v>2.0136861058525599</v>
      </c>
      <c r="E390">
        <v>2.8395649010158501</v>
      </c>
      <c r="F390">
        <v>35.331979829140899</v>
      </c>
      <c r="G390">
        <v>1.44114625814952</v>
      </c>
      <c r="H390">
        <v>107</v>
      </c>
    </row>
    <row r="391" spans="1:8">
      <c r="A391">
        <v>1.4986050552466501</v>
      </c>
      <c r="B391">
        <v>4.1216385037133296</v>
      </c>
      <c r="C391">
        <v>28.985998640325299</v>
      </c>
      <c r="D391">
        <v>2.0522933131441801</v>
      </c>
      <c r="E391">
        <v>3.32179302821352</v>
      </c>
      <c r="F391">
        <v>30.3664966128587</v>
      </c>
      <c r="G391">
        <v>1.93814426782808</v>
      </c>
      <c r="H391">
        <v>197</v>
      </c>
    </row>
    <row r="392" spans="1:8">
      <c r="A392">
        <v>1.5623325616753301</v>
      </c>
      <c r="B392">
        <v>4.2992370279319099</v>
      </c>
      <c r="C392">
        <v>26.685853984072601</v>
      </c>
      <c r="D392">
        <v>2.0447472664181898</v>
      </c>
      <c r="E392">
        <v>3.49243992711963</v>
      </c>
      <c r="F392">
        <v>34.213346068822503</v>
      </c>
      <c r="G392">
        <v>1.2063649361081299</v>
      </c>
      <c r="H392">
        <v>91</v>
      </c>
    </row>
    <row r="393" spans="1:8">
      <c r="A393">
        <v>1.33744262209666</v>
      </c>
      <c r="B393">
        <v>4.17235578749938</v>
      </c>
      <c r="C393">
        <v>24.472545624427301</v>
      </c>
      <c r="D393">
        <v>1.9226959177709899</v>
      </c>
      <c r="E393">
        <v>3.4238985728142799</v>
      </c>
      <c r="F393">
        <v>36.618339637374099</v>
      </c>
      <c r="G393">
        <v>1.2249492881853501</v>
      </c>
      <c r="H393">
        <v>56</v>
      </c>
    </row>
    <row r="394" spans="1:8">
      <c r="A394">
        <v>1.3874809206102701</v>
      </c>
      <c r="B394">
        <v>4.2301980028338804</v>
      </c>
      <c r="C394">
        <v>28.943748297319399</v>
      </c>
      <c r="D394">
        <v>2.0847518319139802</v>
      </c>
      <c r="E394">
        <v>3.7669269359208801</v>
      </c>
      <c r="F394">
        <v>33.427135578631798</v>
      </c>
      <c r="G394">
        <v>1.9258009174024999</v>
      </c>
      <c r="H394">
        <v>196</v>
      </c>
    </row>
    <row r="395" spans="1:8">
      <c r="A395">
        <v>1.3851052467003</v>
      </c>
      <c r="B395">
        <v>4.2847550946342201</v>
      </c>
      <c r="C395">
        <v>25.073712166948201</v>
      </c>
      <c r="D395">
        <v>2.1016403160522499</v>
      </c>
      <c r="E395">
        <v>3.3283934942842901</v>
      </c>
      <c r="F395">
        <v>32.816968706826202</v>
      </c>
      <c r="G395">
        <v>1.46262852279024</v>
      </c>
      <c r="H395">
        <v>141</v>
      </c>
    </row>
    <row r="396" spans="1:8">
      <c r="A396">
        <v>1.3032798048868099</v>
      </c>
      <c r="B396">
        <v>4.2348100420161803</v>
      </c>
      <c r="C396">
        <v>30.775819741147501</v>
      </c>
      <c r="D396">
        <v>2.1398842165321801</v>
      </c>
      <c r="E396">
        <v>3.3700992780799401</v>
      </c>
      <c r="F396">
        <v>35.206657829311403</v>
      </c>
      <c r="G396">
        <v>1.51116054474677</v>
      </c>
      <c r="H396">
        <v>112</v>
      </c>
    </row>
    <row r="397" spans="1:8">
      <c r="A397">
        <v>1.3183690214628601</v>
      </c>
      <c r="B397">
        <v>4.18569395157673</v>
      </c>
      <c r="C397">
        <v>27.816348116295199</v>
      </c>
      <c r="D397">
        <v>1.82131782140904</v>
      </c>
      <c r="E397">
        <v>3.2966265050666501</v>
      </c>
      <c r="F397">
        <v>33.810325086720901</v>
      </c>
      <c r="G397">
        <v>1.04634967467039</v>
      </c>
      <c r="H397">
        <v>19</v>
      </c>
    </row>
    <row r="398" spans="1:8">
      <c r="A398">
        <v>1.5908158218319599</v>
      </c>
      <c r="B398">
        <v>4.2137056678475098</v>
      </c>
      <c r="C398">
        <v>26.158008955687599</v>
      </c>
      <c r="D398">
        <v>1.8887914054367001</v>
      </c>
      <c r="E398">
        <v>3.2411826475350498</v>
      </c>
      <c r="F398">
        <v>32.223663063930097</v>
      </c>
      <c r="G398">
        <v>1.1168736753599</v>
      </c>
      <c r="H398">
        <v>74</v>
      </c>
    </row>
    <row r="399" spans="1:8">
      <c r="A399">
        <v>1.4595012162822201</v>
      </c>
      <c r="B399">
        <v>4.2628504552548998</v>
      </c>
      <c r="C399">
        <v>26.625825599178199</v>
      </c>
      <c r="D399">
        <v>1.9745305229832999</v>
      </c>
      <c r="E399">
        <v>3.44666277361716</v>
      </c>
      <c r="F399">
        <v>30.792324750857301</v>
      </c>
      <c r="G399">
        <v>1.3033931137174699</v>
      </c>
      <c r="H399">
        <v>71</v>
      </c>
    </row>
    <row r="400" spans="1:8">
      <c r="A400">
        <v>1.46853062521488</v>
      </c>
      <c r="B400">
        <v>4.1663261827777696</v>
      </c>
      <c r="C400">
        <v>24.749267008319801</v>
      </c>
      <c r="D400">
        <v>2.0468560604827002</v>
      </c>
      <c r="E400">
        <v>3.3858965515741999</v>
      </c>
      <c r="F400">
        <v>31.3153538440686</v>
      </c>
      <c r="G400">
        <v>1.8094286324445801</v>
      </c>
      <c r="H400">
        <v>171</v>
      </c>
    </row>
    <row r="401" spans="1:8">
      <c r="A401">
        <v>1.4935586765272799</v>
      </c>
      <c r="B401">
        <v>4.1862112533804101</v>
      </c>
      <c r="C401">
        <v>29.692768662554201</v>
      </c>
      <c r="D401">
        <v>2.1146951831658201</v>
      </c>
      <c r="E401">
        <v>3.2348548967361399</v>
      </c>
      <c r="F401">
        <v>34.397866069728501</v>
      </c>
      <c r="G401">
        <v>1.68265232926187</v>
      </c>
      <c r="H401">
        <v>147</v>
      </c>
    </row>
    <row r="402" spans="1:8">
      <c r="A402">
        <v>1.40603199410827</v>
      </c>
      <c r="B402">
        <v>4.2569106924824602</v>
      </c>
      <c r="C402">
        <v>24.897964575109601</v>
      </c>
      <c r="D402">
        <v>1.95945055806959</v>
      </c>
      <c r="E402">
        <v>3.93010538754501</v>
      </c>
      <c r="F402">
        <v>33.937456937264997</v>
      </c>
      <c r="G402">
        <v>1.21391062851009</v>
      </c>
      <c r="H402">
        <v>53</v>
      </c>
    </row>
    <row r="403" spans="1:8">
      <c r="A403">
        <v>1.4943346346001301</v>
      </c>
      <c r="B403">
        <v>4.2011662432894799</v>
      </c>
      <c r="C403">
        <v>27.660727824385699</v>
      </c>
      <c r="D403">
        <v>1.7787574432197399</v>
      </c>
      <c r="E403">
        <v>3.06780739045261</v>
      </c>
      <c r="F403">
        <v>34.239196079155498</v>
      </c>
      <c r="G403">
        <v>1.16930120259171</v>
      </c>
      <c r="H403">
        <v>45</v>
      </c>
    </row>
    <row r="404" spans="1:8">
      <c r="A404">
        <v>1.55868821654332</v>
      </c>
      <c r="B404">
        <v>4.2754185374854501</v>
      </c>
      <c r="C404">
        <v>25.088332674052001</v>
      </c>
      <c r="D404">
        <v>2.0053074466378802</v>
      </c>
      <c r="E404">
        <v>3.3403950901024602</v>
      </c>
      <c r="F404">
        <v>34.754754542301299</v>
      </c>
      <c r="G404">
        <v>1.9770444968012899</v>
      </c>
      <c r="H404">
        <v>205</v>
      </c>
    </row>
    <row r="405" spans="1:8">
      <c r="A405">
        <v>1.4423247458828099</v>
      </c>
      <c r="B405">
        <v>4.2224444755323898</v>
      </c>
      <c r="C405">
        <v>25.832124766681599</v>
      </c>
      <c r="D405">
        <v>1.92281379823113</v>
      </c>
      <c r="E405">
        <v>3.0552288602258599</v>
      </c>
      <c r="F405">
        <v>30.722749164718099</v>
      </c>
      <c r="G405">
        <v>0.91964371049642502</v>
      </c>
      <c r="H405">
        <v>35</v>
      </c>
    </row>
    <row r="406" spans="1:8">
      <c r="A406">
        <v>1.43227896400414</v>
      </c>
      <c r="B406">
        <v>4.1555006420209502</v>
      </c>
      <c r="C406">
        <v>27.779653550006199</v>
      </c>
      <c r="D406">
        <v>2.0202148361736101</v>
      </c>
      <c r="E406">
        <v>3.35236147234632</v>
      </c>
      <c r="F406">
        <v>33.043906660104497</v>
      </c>
      <c r="G406">
        <v>1.3797597641466799</v>
      </c>
      <c r="H406">
        <v>125</v>
      </c>
    </row>
    <row r="407" spans="1:8">
      <c r="A407">
        <v>1.45014015521303</v>
      </c>
      <c r="B407">
        <v>4.22191078153429</v>
      </c>
      <c r="C407">
        <v>24.482832028187101</v>
      </c>
      <c r="D407">
        <v>1.85741241603587</v>
      </c>
      <c r="E407">
        <v>3.7669533512347502</v>
      </c>
      <c r="F407">
        <v>30.6512256074889</v>
      </c>
      <c r="G407">
        <v>1.7846694190205801</v>
      </c>
      <c r="H407">
        <v>207</v>
      </c>
    </row>
    <row r="408" spans="1:8">
      <c r="A408">
        <v>1.38254068105197</v>
      </c>
      <c r="B408">
        <v>4.2430087474447697</v>
      </c>
      <c r="C408">
        <v>25.488139716892501</v>
      </c>
      <c r="D408">
        <v>2.1815716619429302</v>
      </c>
      <c r="E408">
        <v>3.3990921636992901</v>
      </c>
      <c r="F408">
        <v>34.387037521934801</v>
      </c>
      <c r="G408">
        <v>1.365055633566</v>
      </c>
      <c r="H408">
        <v>82</v>
      </c>
    </row>
    <row r="409" spans="1:8">
      <c r="A409">
        <v>1.37293964223854</v>
      </c>
      <c r="B409">
        <v>4.2620054216387997</v>
      </c>
      <c r="C409">
        <v>27.6277309974768</v>
      </c>
      <c r="D409">
        <v>2.0198959864727599</v>
      </c>
      <c r="E409">
        <v>3.4343232360564699</v>
      </c>
      <c r="F409">
        <v>31.561279937608901</v>
      </c>
      <c r="G409">
        <v>1.6292794619834501</v>
      </c>
      <c r="H409">
        <v>174</v>
      </c>
    </row>
    <row r="410" spans="1:8">
      <c r="A410">
        <v>1.3679699999016</v>
      </c>
      <c r="B410">
        <v>4.26763192259188</v>
      </c>
      <c r="C410">
        <v>28.569091513692399</v>
      </c>
      <c r="D410">
        <v>2.0205650203987999</v>
      </c>
      <c r="E410">
        <v>3.6536651440455699</v>
      </c>
      <c r="F410">
        <v>32.260300471402601</v>
      </c>
      <c r="G410">
        <v>0.80518447193861997</v>
      </c>
      <c r="H410">
        <v>10</v>
      </c>
    </row>
    <row r="411" spans="1:8">
      <c r="A411">
        <v>1.4791038444289999</v>
      </c>
      <c r="B411">
        <v>4.2341737815578204</v>
      </c>
      <c r="C411">
        <v>24.554464136595399</v>
      </c>
      <c r="D411">
        <v>1.9919959055004099</v>
      </c>
      <c r="E411">
        <v>3.3996642505071302</v>
      </c>
      <c r="F411">
        <v>34.0394556960335</v>
      </c>
      <c r="G411">
        <v>1.0035119414026901</v>
      </c>
      <c r="H411">
        <v>52</v>
      </c>
    </row>
    <row r="412" spans="1:8">
      <c r="A412">
        <v>1.2929642190013999</v>
      </c>
      <c r="B412">
        <v>4.09328367859779</v>
      </c>
      <c r="C412">
        <v>25.823781412820701</v>
      </c>
      <c r="D412">
        <v>1.8680845401631501</v>
      </c>
      <c r="E412">
        <v>3.5389062659055801</v>
      </c>
      <c r="F412">
        <v>31.5167120892837</v>
      </c>
      <c r="G412">
        <v>1.2661929596539201</v>
      </c>
      <c r="H412">
        <v>102</v>
      </c>
    </row>
    <row r="413" spans="1:8">
      <c r="A413">
        <v>1.29435316895592</v>
      </c>
      <c r="B413">
        <v>4.1962822505108601</v>
      </c>
      <c r="C413">
        <v>29.6681516876241</v>
      </c>
      <c r="D413">
        <v>1.8067107372390201</v>
      </c>
      <c r="E413">
        <v>3.5002873747824998</v>
      </c>
      <c r="F413">
        <v>33.752230887860399</v>
      </c>
      <c r="G413">
        <v>1.5716795783903399</v>
      </c>
      <c r="H413">
        <v>134</v>
      </c>
    </row>
    <row r="414" spans="1:8">
      <c r="A414">
        <v>1.5528982336163599</v>
      </c>
      <c r="B414">
        <v>4.12908703714516</v>
      </c>
      <c r="C414">
        <v>25.681095506137101</v>
      </c>
      <c r="D414">
        <v>1.88649717573279</v>
      </c>
      <c r="E414">
        <v>3.5996336296590998</v>
      </c>
      <c r="F414">
        <v>29.816482157210501</v>
      </c>
      <c r="G414">
        <v>1.8936995674447199</v>
      </c>
      <c r="H414">
        <v>187</v>
      </c>
    </row>
    <row r="415" spans="1:8">
      <c r="A415">
        <v>1.3621614568617</v>
      </c>
      <c r="B415">
        <v>4.1897522238405802</v>
      </c>
      <c r="C415">
        <v>25.684098546956701</v>
      </c>
      <c r="D415">
        <v>1.9517149837661201</v>
      </c>
      <c r="E415">
        <v>3.3489964352402</v>
      </c>
      <c r="F415">
        <v>35.739686567644398</v>
      </c>
      <c r="G415">
        <v>1.20117070839391</v>
      </c>
      <c r="H415">
        <v>60</v>
      </c>
    </row>
    <row r="416" spans="1:8">
      <c r="A416">
        <v>1.25648512284609</v>
      </c>
      <c r="B416">
        <v>4.1611021111505</v>
      </c>
      <c r="C416">
        <v>26.1351402129166</v>
      </c>
      <c r="D416">
        <v>1.92852625113811</v>
      </c>
      <c r="E416">
        <v>3.1911986219155999</v>
      </c>
      <c r="F416">
        <v>34.746153211857703</v>
      </c>
      <c r="G416">
        <v>1.53342243449416</v>
      </c>
      <c r="H416">
        <v>155</v>
      </c>
    </row>
    <row r="417" spans="1:8">
      <c r="A417">
        <v>1.69645379849399</v>
      </c>
      <c r="B417">
        <v>4.2513956156254897</v>
      </c>
      <c r="C417">
        <v>24.336094769892</v>
      </c>
      <c r="D417">
        <v>1.9484446060319001</v>
      </c>
      <c r="E417">
        <v>3.3746335202545401</v>
      </c>
      <c r="F417">
        <v>37.010723340816</v>
      </c>
      <c r="G417">
        <v>1.82502317603797</v>
      </c>
      <c r="H417">
        <v>184</v>
      </c>
    </row>
    <row r="418" spans="1:8">
      <c r="A418">
        <v>1.3168402577910201</v>
      </c>
      <c r="B418">
        <v>4.1485807253089204</v>
      </c>
      <c r="C418">
        <v>26.337859545671801</v>
      </c>
      <c r="D418">
        <v>2.0985902164502099</v>
      </c>
      <c r="E418">
        <v>3.0013622711488299</v>
      </c>
      <c r="F418">
        <v>33.9743279524507</v>
      </c>
      <c r="G418">
        <v>1.4508940665443499</v>
      </c>
      <c r="H418">
        <v>139</v>
      </c>
    </row>
    <row r="419" spans="1:8">
      <c r="A419">
        <v>1.4941756315363299</v>
      </c>
      <c r="B419">
        <v>4.1786140738733701</v>
      </c>
      <c r="C419">
        <v>26.469976284313098</v>
      </c>
      <c r="D419">
        <v>1.9948707203111999</v>
      </c>
      <c r="E419">
        <v>3.81204297668515</v>
      </c>
      <c r="F419">
        <v>37.210901709781702</v>
      </c>
      <c r="G419">
        <v>1.1510513918710901</v>
      </c>
      <c r="H419">
        <v>49</v>
      </c>
    </row>
    <row r="420" spans="1:8">
      <c r="A420">
        <v>1.31257175254839</v>
      </c>
      <c r="B420">
        <v>4.1110073885101102</v>
      </c>
      <c r="C420">
        <v>27.240524828661901</v>
      </c>
      <c r="D420">
        <v>2.0696964173787902</v>
      </c>
      <c r="E420">
        <v>3.8647935537482798</v>
      </c>
      <c r="F420">
        <v>33.579770939796603</v>
      </c>
      <c r="G420">
        <v>1.2525238523244999</v>
      </c>
      <c r="H420">
        <v>100</v>
      </c>
    </row>
    <row r="421" spans="1:8">
      <c r="A421">
        <v>1.41568973243272</v>
      </c>
      <c r="B421">
        <v>4.2121405833793997</v>
      </c>
      <c r="C421">
        <v>28.577093862681199</v>
      </c>
      <c r="D421">
        <v>1.9116184602506801</v>
      </c>
      <c r="E421">
        <v>3.6729759873224599</v>
      </c>
      <c r="F421">
        <v>33.903898290660599</v>
      </c>
      <c r="G421">
        <v>1.2909579959880499</v>
      </c>
      <c r="H421">
        <v>108</v>
      </c>
    </row>
    <row r="422" spans="1:8">
      <c r="A422">
        <v>1.30783289565564</v>
      </c>
      <c r="B422">
        <v>4.1369766019045704</v>
      </c>
      <c r="C422">
        <v>28.0543592779653</v>
      </c>
      <c r="D422">
        <v>1.9742585376873301</v>
      </c>
      <c r="E422">
        <v>3.0151773022175199</v>
      </c>
      <c r="F422">
        <v>33.084582492166199</v>
      </c>
      <c r="G422">
        <v>0.95100046709118202</v>
      </c>
      <c r="H422">
        <v>41</v>
      </c>
    </row>
    <row r="423" spans="1:8">
      <c r="A423">
        <v>1.47004823657505</v>
      </c>
      <c r="B423">
        <v>4.1804976957262898</v>
      </c>
      <c r="C423">
        <v>24.073775374031499</v>
      </c>
      <c r="D423">
        <v>2.0102774892709099</v>
      </c>
      <c r="E423">
        <v>3.4956425252202199</v>
      </c>
      <c r="F423">
        <v>34.577632445889201</v>
      </c>
      <c r="G423">
        <v>1.5217115590988</v>
      </c>
      <c r="H423">
        <v>124</v>
      </c>
    </row>
    <row r="424" spans="1:8">
      <c r="A424">
        <v>1.3987593666609499</v>
      </c>
      <c r="B424">
        <v>4.2233048662526702</v>
      </c>
      <c r="C424">
        <v>29.066854856845602</v>
      </c>
      <c r="D424">
        <v>2.0739123751687698</v>
      </c>
      <c r="E424">
        <v>3.3279352249859699</v>
      </c>
      <c r="F424">
        <v>33.225578719653498</v>
      </c>
      <c r="G424">
        <v>1.90041743267959</v>
      </c>
      <c r="H424">
        <v>189</v>
      </c>
    </row>
    <row r="425" spans="1:8">
      <c r="A425">
        <v>1.51194186426639</v>
      </c>
      <c r="B425">
        <v>4.1871354468190001</v>
      </c>
      <c r="C425">
        <v>28.010486677750201</v>
      </c>
      <c r="D425">
        <v>1.9974016828707399</v>
      </c>
      <c r="E425">
        <v>3.6335847006683299</v>
      </c>
      <c r="F425">
        <v>31.862042539980902</v>
      </c>
      <c r="G425">
        <v>1.8522428177432599</v>
      </c>
      <c r="H425">
        <v>219</v>
      </c>
    </row>
    <row r="426" spans="1:8">
      <c r="A426">
        <v>1.43951757615708</v>
      </c>
      <c r="B426">
        <v>4.24153565296624</v>
      </c>
      <c r="C426">
        <v>25.617122904999501</v>
      </c>
      <c r="D426">
        <v>1.95870985952981</v>
      </c>
      <c r="E426">
        <v>3.1759090057943302</v>
      </c>
      <c r="F426">
        <v>33.907330167167103</v>
      </c>
      <c r="G426">
        <v>1.38614645269037</v>
      </c>
      <c r="H426">
        <v>126</v>
      </c>
    </row>
    <row r="427" spans="1:8">
      <c r="A427">
        <v>1.2486851861049799</v>
      </c>
      <c r="B427">
        <v>4.2736268571928901</v>
      </c>
      <c r="C427">
        <v>24.068479896167901</v>
      </c>
      <c r="D427">
        <v>1.8633512362133799</v>
      </c>
      <c r="E427">
        <v>3.1779971280701602</v>
      </c>
      <c r="F427">
        <v>32.260388986013901</v>
      </c>
      <c r="G427">
        <v>1.17599965417332</v>
      </c>
      <c r="H427">
        <v>86</v>
      </c>
    </row>
    <row r="428" spans="1:8">
      <c r="A428">
        <v>1.4758299690250201</v>
      </c>
      <c r="B428">
        <v>4.2419119641249496</v>
      </c>
      <c r="C428">
        <v>25.5512511297887</v>
      </c>
      <c r="D428">
        <v>1.9950961867930801</v>
      </c>
      <c r="E428">
        <v>3.6752554162403199</v>
      </c>
      <c r="F428">
        <v>32.763898256367099</v>
      </c>
      <c r="G428">
        <v>0.96307086010278797</v>
      </c>
      <c r="H428">
        <v>13</v>
      </c>
    </row>
    <row r="429" spans="1:8">
      <c r="A429">
        <v>1.43593576044064</v>
      </c>
      <c r="B429">
        <v>4.1765294459776996</v>
      </c>
      <c r="C429">
        <v>27.342760099980602</v>
      </c>
      <c r="D429">
        <v>1.9231084228683399</v>
      </c>
      <c r="E429">
        <v>3.2027894506988299</v>
      </c>
      <c r="F429">
        <v>33.083406324141102</v>
      </c>
      <c r="G429">
        <v>1.1348569192397899</v>
      </c>
      <c r="H429">
        <v>37</v>
      </c>
    </row>
    <row r="430" spans="1:8">
      <c r="A430">
        <v>1.39030408891274</v>
      </c>
      <c r="B430">
        <v>4.2312682284654599</v>
      </c>
      <c r="C430">
        <v>29.8316987859391</v>
      </c>
      <c r="D430">
        <v>2.0891815587856799</v>
      </c>
      <c r="E430">
        <v>3.77523852768523</v>
      </c>
      <c r="F430">
        <v>30.668881252889701</v>
      </c>
      <c r="G430">
        <v>1.1061723786680899</v>
      </c>
      <c r="H430">
        <v>32</v>
      </c>
    </row>
    <row r="431" spans="1:8">
      <c r="A431">
        <v>1.31174441112087</v>
      </c>
      <c r="B431">
        <v>4.2457916534642797</v>
      </c>
      <c r="C431">
        <v>26.071204066750699</v>
      </c>
      <c r="D431">
        <v>2.0342395188446698</v>
      </c>
      <c r="E431">
        <v>3.0175076689898801</v>
      </c>
      <c r="F431">
        <v>31.207122750053301</v>
      </c>
      <c r="G431">
        <v>1.2899822749294401</v>
      </c>
      <c r="H431">
        <v>107</v>
      </c>
    </row>
    <row r="432" spans="1:8">
      <c r="A432">
        <v>1.4616337539432001</v>
      </c>
      <c r="B432">
        <v>4.27827776358279</v>
      </c>
      <c r="C432">
        <v>28.1802561541137</v>
      </c>
      <c r="D432">
        <v>2.0470314883093002</v>
      </c>
      <c r="E432">
        <v>3.24645463832347</v>
      </c>
      <c r="F432">
        <v>31.478522994247101</v>
      </c>
      <c r="G432">
        <v>0.91202738108119197</v>
      </c>
      <c r="H432">
        <v>2</v>
      </c>
    </row>
    <row r="433" spans="1:8">
      <c r="A433">
        <v>1.2639457007821699</v>
      </c>
      <c r="B433">
        <v>4.14279145380912</v>
      </c>
      <c r="C433">
        <v>26.478353387313401</v>
      </c>
      <c r="D433">
        <v>2.0498849032006099</v>
      </c>
      <c r="E433">
        <v>3.72934136705417</v>
      </c>
      <c r="F433">
        <v>32.483154407141697</v>
      </c>
      <c r="G433">
        <v>1.97486212426159</v>
      </c>
      <c r="H433">
        <v>215</v>
      </c>
    </row>
    <row r="434" spans="1:8">
      <c r="A434">
        <v>1.3223793174824801</v>
      </c>
      <c r="B434">
        <v>4.2132511049293999</v>
      </c>
      <c r="C434">
        <v>26.996088591076699</v>
      </c>
      <c r="D434">
        <v>2.0483854310324299</v>
      </c>
      <c r="E434">
        <v>3.50951859660195</v>
      </c>
      <c r="F434">
        <v>33.273416579260001</v>
      </c>
      <c r="G434">
        <v>1.1241343458217099</v>
      </c>
      <c r="H434">
        <v>75</v>
      </c>
    </row>
    <row r="435" spans="1:8">
      <c r="A435">
        <v>1.5814071256945099</v>
      </c>
      <c r="B435">
        <v>4.1412357289957198</v>
      </c>
      <c r="C435">
        <v>26.840757035086199</v>
      </c>
      <c r="D435">
        <v>2.2081762455807499</v>
      </c>
      <c r="E435">
        <v>3.4771349101561801</v>
      </c>
      <c r="F435">
        <v>34.181836374390301</v>
      </c>
      <c r="G435">
        <v>1.4127725228924399</v>
      </c>
      <c r="H435">
        <v>133</v>
      </c>
    </row>
    <row r="436" spans="1:8">
      <c r="A436">
        <v>1.4082941500262101</v>
      </c>
      <c r="B436">
        <v>4.1953649719012898</v>
      </c>
      <c r="C436">
        <v>27.5056756146971</v>
      </c>
      <c r="D436">
        <v>2.0041883072941999</v>
      </c>
      <c r="E436">
        <v>3.5060593156275299</v>
      </c>
      <c r="F436">
        <v>34.385781317234098</v>
      </c>
      <c r="G436">
        <v>1.5076881509064299</v>
      </c>
      <c r="H436">
        <v>121</v>
      </c>
    </row>
    <row r="437" spans="1:8">
      <c r="A437">
        <v>1.53646971648681</v>
      </c>
      <c r="B437">
        <v>4.1680728536039302</v>
      </c>
      <c r="C437">
        <v>27.947603388810801</v>
      </c>
      <c r="D437">
        <v>2.0999610117629302</v>
      </c>
      <c r="E437">
        <v>3.7929931523926599</v>
      </c>
      <c r="F437">
        <v>28.423503469169098</v>
      </c>
      <c r="G437">
        <v>1.0634756822467799</v>
      </c>
      <c r="H437">
        <v>23</v>
      </c>
    </row>
    <row r="438" spans="1:8">
      <c r="A438">
        <v>1.4282472176679699</v>
      </c>
      <c r="B438">
        <v>4.2509337487213399</v>
      </c>
      <c r="C438">
        <v>28.3148995372208</v>
      </c>
      <c r="D438">
        <v>1.8490964318983001</v>
      </c>
      <c r="E438">
        <v>3.6609879869675299</v>
      </c>
      <c r="F438">
        <v>32.026494777544002</v>
      </c>
      <c r="G438">
        <v>1.63032675708167</v>
      </c>
      <c r="H438">
        <v>177</v>
      </c>
    </row>
    <row r="439" spans="1:8">
      <c r="A439">
        <v>1.27690571459191</v>
      </c>
      <c r="B439">
        <v>4.2521550286291996</v>
      </c>
      <c r="C439">
        <v>28.762415788405701</v>
      </c>
      <c r="D439">
        <v>1.9509846468632299</v>
      </c>
      <c r="E439">
        <v>4.0200055330901501</v>
      </c>
      <c r="F439">
        <v>32.213035707087897</v>
      </c>
      <c r="G439">
        <v>1.7695230365090999</v>
      </c>
      <c r="H439">
        <v>172</v>
      </c>
    </row>
    <row r="440" spans="1:8">
      <c r="A440">
        <v>1.38035761612577</v>
      </c>
      <c r="B440">
        <v>4.2577900039348098</v>
      </c>
      <c r="C440">
        <v>25.885686840753898</v>
      </c>
      <c r="D440">
        <v>2.1166572402323802</v>
      </c>
      <c r="E440">
        <v>3.2267170104459399</v>
      </c>
      <c r="F440">
        <v>35.558024646890303</v>
      </c>
      <c r="G440">
        <v>1.8338549499025401</v>
      </c>
      <c r="H440">
        <v>187</v>
      </c>
    </row>
    <row r="441" spans="1:8">
      <c r="A441">
        <v>1.45097565023913</v>
      </c>
      <c r="B441">
        <v>4.1858820965020103</v>
      </c>
      <c r="C441">
        <v>26.0736262350235</v>
      </c>
      <c r="D441">
        <v>2.0199586818705302</v>
      </c>
      <c r="E441">
        <v>3.2126195240931898</v>
      </c>
      <c r="F441">
        <v>33.453729994362298</v>
      </c>
      <c r="G441">
        <v>0.99713100819936995</v>
      </c>
      <c r="H441">
        <v>19</v>
      </c>
    </row>
    <row r="442" spans="1:8">
      <c r="A442">
        <v>1.42032644307717</v>
      </c>
      <c r="B442">
        <v>4.1857095342154498</v>
      </c>
      <c r="C442">
        <v>26.326881842928099</v>
      </c>
      <c r="D442">
        <v>2.0338757493386499</v>
      </c>
      <c r="E442">
        <v>3.3697403778998201</v>
      </c>
      <c r="F442">
        <v>33.440926699203501</v>
      </c>
      <c r="G442">
        <v>1.3320122269204799</v>
      </c>
      <c r="H442">
        <v>85</v>
      </c>
    </row>
    <row r="443" spans="1:8">
      <c r="A443">
        <v>1.5325603640769201</v>
      </c>
      <c r="B443">
        <v>4.2212459921567698</v>
      </c>
      <c r="C443">
        <v>26.815738204696</v>
      </c>
      <c r="D443">
        <v>1.93146490553379</v>
      </c>
      <c r="E443">
        <v>3.9902882092690199</v>
      </c>
      <c r="F443">
        <v>32.086571793878001</v>
      </c>
      <c r="G443">
        <v>1.8609955932679301</v>
      </c>
      <c r="H443">
        <v>192</v>
      </c>
    </row>
    <row r="444" spans="1:8">
      <c r="A444">
        <v>1.5449403571727001</v>
      </c>
      <c r="B444">
        <v>4.1993080690984597</v>
      </c>
      <c r="C444">
        <v>24.706613161124501</v>
      </c>
      <c r="D444">
        <v>1.9979538327727999</v>
      </c>
      <c r="E444">
        <v>3.4222695472027298</v>
      </c>
      <c r="F444">
        <v>33.894588310130501</v>
      </c>
      <c r="G444">
        <v>1.1651300048258</v>
      </c>
      <c r="H444">
        <v>84</v>
      </c>
    </row>
    <row r="445" spans="1:8">
      <c r="A445">
        <v>1.53531297934246</v>
      </c>
      <c r="B445">
        <v>4.1443904176846296</v>
      </c>
      <c r="C445">
        <v>26.931174885149499</v>
      </c>
      <c r="D445">
        <v>2.02614410186681</v>
      </c>
      <c r="E445">
        <v>3.3304194609315401</v>
      </c>
      <c r="F445">
        <v>31.500359356707499</v>
      </c>
      <c r="G445">
        <v>1.9543251006892099</v>
      </c>
      <c r="H445">
        <v>199</v>
      </c>
    </row>
    <row r="446" spans="1:8">
      <c r="A446">
        <v>1.4116568455137599</v>
      </c>
      <c r="B446">
        <v>4.1818157136801801</v>
      </c>
      <c r="C446">
        <v>26.647881642477799</v>
      </c>
      <c r="D446">
        <v>2.06606811039839</v>
      </c>
      <c r="E446">
        <v>3.4707183397034198</v>
      </c>
      <c r="F446">
        <v>33.5704687516277</v>
      </c>
      <c r="G446">
        <v>1.7093281093174599</v>
      </c>
      <c r="H446">
        <v>190</v>
      </c>
    </row>
    <row r="447" spans="1:8">
      <c r="A447">
        <v>1.44409569281299</v>
      </c>
      <c r="B447">
        <v>4.2026090553875797</v>
      </c>
      <c r="C447">
        <v>26.1799941227471</v>
      </c>
      <c r="D447">
        <v>1.9929303351211201</v>
      </c>
      <c r="E447">
        <v>3.78413221167034</v>
      </c>
      <c r="F447">
        <v>33.689323693396901</v>
      </c>
      <c r="G447">
        <v>1.201311682836</v>
      </c>
      <c r="H447">
        <v>51</v>
      </c>
    </row>
    <row r="448" spans="1:8">
      <c r="A448">
        <v>1.40165362785418</v>
      </c>
      <c r="B448">
        <v>4.1926955699073298</v>
      </c>
      <c r="C448">
        <v>26.9189692965803</v>
      </c>
      <c r="D448">
        <v>1.89381450649621</v>
      </c>
      <c r="E448">
        <v>3.7041931947974902</v>
      </c>
      <c r="F448">
        <v>28.7230696266767</v>
      </c>
      <c r="G448">
        <v>1.65393362177475</v>
      </c>
      <c r="H448">
        <v>141</v>
      </c>
    </row>
    <row r="449" spans="1:8">
      <c r="A449">
        <v>1.5072777396975801</v>
      </c>
      <c r="B449">
        <v>4.1104999490817402</v>
      </c>
      <c r="C449">
        <v>26.411736290925401</v>
      </c>
      <c r="D449">
        <v>2.0878410312362101</v>
      </c>
      <c r="E449">
        <v>3.3358312932061098</v>
      </c>
      <c r="F449">
        <v>32.9924815933812</v>
      </c>
      <c r="G449">
        <v>1.00360759344471</v>
      </c>
      <c r="H449">
        <v>11</v>
      </c>
    </row>
    <row r="450" spans="1:8">
      <c r="A450">
        <v>1.3796248166228799</v>
      </c>
      <c r="B450">
        <v>4.1198020612516801</v>
      </c>
      <c r="C450">
        <v>26.8374651586184</v>
      </c>
      <c r="D450">
        <v>2.0058044193306301</v>
      </c>
      <c r="E450">
        <v>3.28869665717201</v>
      </c>
      <c r="F450">
        <v>33.429903574222699</v>
      </c>
      <c r="G450">
        <v>1.1415208462361</v>
      </c>
      <c r="H450">
        <v>38</v>
      </c>
    </row>
    <row r="451" spans="1:8">
      <c r="A451">
        <v>1.4102072626886599</v>
      </c>
      <c r="B451">
        <v>4.2182561837726196</v>
      </c>
      <c r="C451">
        <v>27.132223939409101</v>
      </c>
      <c r="D451">
        <v>2.0653549476294399</v>
      </c>
      <c r="E451">
        <v>3.0569505833250101</v>
      </c>
      <c r="F451">
        <v>31.045485488006602</v>
      </c>
      <c r="G451">
        <v>1.65592124640274</v>
      </c>
      <c r="H451">
        <v>181</v>
      </c>
    </row>
    <row r="452" spans="1:8">
      <c r="A452">
        <v>1.34047943862837</v>
      </c>
      <c r="B452">
        <v>4.19721035340066</v>
      </c>
      <c r="C452">
        <v>25.966632153890401</v>
      </c>
      <c r="D452">
        <v>2.1170790287633099</v>
      </c>
      <c r="E452">
        <v>3.91895736422217</v>
      </c>
      <c r="F452">
        <v>33.267554798250501</v>
      </c>
      <c r="G452">
        <v>1.3200310955375101</v>
      </c>
      <c r="H452">
        <v>81</v>
      </c>
    </row>
    <row r="453" spans="1:8">
      <c r="A453">
        <v>1.59351976938142</v>
      </c>
      <c r="B453">
        <v>4.2442557691179301</v>
      </c>
      <c r="C453">
        <v>27.741637529450401</v>
      </c>
      <c r="D453">
        <v>2.10970280876507</v>
      </c>
      <c r="E453">
        <v>3.3379169639125399</v>
      </c>
      <c r="F453">
        <v>31.7563142470824</v>
      </c>
      <c r="G453">
        <v>1.68291798876766</v>
      </c>
      <c r="H453">
        <v>157</v>
      </c>
    </row>
    <row r="454" spans="1:8">
      <c r="A454">
        <v>1.3154560789954399</v>
      </c>
      <c r="B454">
        <v>4.1728583452347401</v>
      </c>
      <c r="C454">
        <v>27.032302132633198</v>
      </c>
      <c r="D454">
        <v>2.0291812601180199</v>
      </c>
      <c r="E454">
        <v>3.6179363794391901</v>
      </c>
      <c r="F454">
        <v>33.996578971427802</v>
      </c>
      <c r="G454">
        <v>1.7897035889307999</v>
      </c>
      <c r="H454">
        <v>208</v>
      </c>
    </row>
    <row r="455" spans="1:8">
      <c r="A455">
        <v>1.42711416464342</v>
      </c>
      <c r="B455">
        <v>4.1744360817244601</v>
      </c>
      <c r="C455">
        <v>24.8048406203316</v>
      </c>
      <c r="D455">
        <v>2.14621352365111</v>
      </c>
      <c r="E455">
        <v>3.7488991119798398</v>
      </c>
      <c r="F455">
        <v>34.124911910428601</v>
      </c>
      <c r="G455">
        <v>1.35093329627639</v>
      </c>
      <c r="H455">
        <v>91</v>
      </c>
    </row>
    <row r="456" spans="1:8">
      <c r="A456">
        <v>1.5030517719408401</v>
      </c>
      <c r="B456">
        <v>4.1920699535795203</v>
      </c>
      <c r="C456">
        <v>26.396497806110101</v>
      </c>
      <c r="D456">
        <v>1.9383509564544299</v>
      </c>
      <c r="E456">
        <v>3.4802040802872898</v>
      </c>
      <c r="F456">
        <v>34.611131633516003</v>
      </c>
      <c r="G456">
        <v>0.85152718705154695</v>
      </c>
      <c r="H456">
        <v>19</v>
      </c>
    </row>
    <row r="457" spans="1:8">
      <c r="A457">
        <v>1.3996138567621299</v>
      </c>
      <c r="B457">
        <v>4.1590105147361598</v>
      </c>
      <c r="C457">
        <v>26.264733421911799</v>
      </c>
      <c r="D457">
        <v>1.95022529941006</v>
      </c>
      <c r="E457">
        <v>2.9660759514984401</v>
      </c>
      <c r="F457">
        <v>33.0988327830039</v>
      </c>
      <c r="G457">
        <v>1.54393721951424</v>
      </c>
      <c r="H457">
        <v>159</v>
      </c>
    </row>
    <row r="458" spans="1:8">
      <c r="A458">
        <v>1.3656212350007</v>
      </c>
      <c r="B458">
        <v>4.2254296852250199</v>
      </c>
      <c r="C458">
        <v>28.0397940294826</v>
      </c>
      <c r="D458">
        <v>2.1825444842156898</v>
      </c>
      <c r="E458">
        <v>3.4324643195318698</v>
      </c>
      <c r="F458">
        <v>32.961491600730298</v>
      </c>
      <c r="G458">
        <v>1.6738074060244701</v>
      </c>
      <c r="H458">
        <v>155</v>
      </c>
    </row>
    <row r="459" spans="1:8">
      <c r="A459">
        <v>1.3386508989694601</v>
      </c>
      <c r="B459">
        <v>4.17746812217736</v>
      </c>
      <c r="C459">
        <v>27.468265481794798</v>
      </c>
      <c r="D459">
        <v>2.0957908347103098</v>
      </c>
      <c r="E459">
        <v>3.9319794754327702</v>
      </c>
      <c r="F459">
        <v>35.762206221152702</v>
      </c>
      <c r="G459">
        <v>1.9290872626339499</v>
      </c>
      <c r="H459">
        <v>205</v>
      </c>
    </row>
    <row r="460" spans="1:8">
      <c r="A460">
        <v>1.4451369926536599</v>
      </c>
      <c r="B460">
        <v>4.1984578546798401</v>
      </c>
      <c r="C460">
        <v>27.0413220672209</v>
      </c>
      <c r="D460">
        <v>2.0082582807099398</v>
      </c>
      <c r="E460">
        <v>3.4994495147251601</v>
      </c>
      <c r="F460">
        <v>31.646980232172801</v>
      </c>
      <c r="G460">
        <v>1.2103077127124</v>
      </c>
      <c r="H460">
        <v>63</v>
      </c>
    </row>
    <row r="461" spans="1:8">
      <c r="A461">
        <v>1.2405606151120501</v>
      </c>
      <c r="B461">
        <v>4.2133466723973898</v>
      </c>
      <c r="C461">
        <v>26.1103705512988</v>
      </c>
      <c r="D461">
        <v>2.1364610066999798</v>
      </c>
      <c r="E461">
        <v>3.7334586792563602</v>
      </c>
      <c r="F461">
        <v>33.934436966008199</v>
      </c>
      <c r="G461">
        <v>1.7920944651211701</v>
      </c>
      <c r="H461">
        <v>179</v>
      </c>
    </row>
    <row r="462" spans="1:8">
      <c r="A462">
        <v>1.54850000745995</v>
      </c>
      <c r="B462">
        <v>4.2544337629345099</v>
      </c>
      <c r="C462">
        <v>27.2489011832849</v>
      </c>
      <c r="D462">
        <v>1.9733374348029999</v>
      </c>
      <c r="E462">
        <v>3.3303491474236502</v>
      </c>
      <c r="F462">
        <v>32.7807279602969</v>
      </c>
      <c r="G462">
        <v>1.67990785135347</v>
      </c>
      <c r="H462">
        <v>187</v>
      </c>
    </row>
    <row r="463" spans="1:8">
      <c r="A463">
        <v>1.3947815897651901</v>
      </c>
      <c r="B463">
        <v>4.2551670511216004</v>
      </c>
      <c r="C463">
        <v>27.2705623063726</v>
      </c>
      <c r="D463">
        <v>1.95496789560761</v>
      </c>
      <c r="E463">
        <v>3.6044541528555798</v>
      </c>
      <c r="F463">
        <v>35.617676817434997</v>
      </c>
      <c r="G463">
        <v>1.19161741472167</v>
      </c>
      <c r="H463">
        <v>50</v>
      </c>
    </row>
    <row r="464" spans="1:8">
      <c r="A464">
        <v>1.4744428437645201</v>
      </c>
      <c r="B464">
        <v>4.1573700381674996</v>
      </c>
      <c r="C464">
        <v>27.118962534587201</v>
      </c>
      <c r="D464">
        <v>2.0586262060644902</v>
      </c>
      <c r="E464">
        <v>3.6615834249071599</v>
      </c>
      <c r="F464">
        <v>34.670682563524103</v>
      </c>
      <c r="G464">
        <v>1.06351297069658</v>
      </c>
      <c r="H464">
        <v>32</v>
      </c>
    </row>
    <row r="465" spans="1:8">
      <c r="A465">
        <v>1.4249668306563701</v>
      </c>
      <c r="B465">
        <v>4.1555497129639001</v>
      </c>
      <c r="C465">
        <v>25.2060016172655</v>
      </c>
      <c r="D465">
        <v>2.16191620994497</v>
      </c>
      <c r="E465">
        <v>3.5906474992018</v>
      </c>
      <c r="F465">
        <v>32.888621255339501</v>
      </c>
      <c r="G465">
        <v>0.90718454515149904</v>
      </c>
      <c r="H465">
        <v>3</v>
      </c>
    </row>
    <row r="466" spans="1:8">
      <c r="A466">
        <v>1.451060102877</v>
      </c>
      <c r="B466">
        <v>4.2346602873190404</v>
      </c>
      <c r="C466">
        <v>26.579110376706701</v>
      </c>
      <c r="D466">
        <v>2.0725573705387301</v>
      </c>
      <c r="E466">
        <v>3.76509855399163</v>
      </c>
      <c r="F466">
        <v>33.135781404354802</v>
      </c>
      <c r="G466">
        <v>1.7299871468656001</v>
      </c>
      <c r="H466">
        <v>167</v>
      </c>
    </row>
    <row r="467" spans="1:8">
      <c r="A467">
        <v>1.28434485292881</v>
      </c>
      <c r="B467">
        <v>4.2027239031659702</v>
      </c>
      <c r="C467">
        <v>26.069650984846501</v>
      </c>
      <c r="D467">
        <v>2.0825773988515501</v>
      </c>
      <c r="E467">
        <v>3.5926091084037499</v>
      </c>
      <c r="F467">
        <v>35.543390590639397</v>
      </c>
      <c r="G467">
        <v>1.41575001070564</v>
      </c>
      <c r="H467">
        <v>92</v>
      </c>
    </row>
    <row r="468" spans="1:8">
      <c r="A468">
        <v>1.44081573644528</v>
      </c>
      <c r="B468">
        <v>4.1766205552170197</v>
      </c>
      <c r="C468">
        <v>28.0176181228274</v>
      </c>
      <c r="D468">
        <v>2.2089047571265299</v>
      </c>
      <c r="E468">
        <v>3.5946239714294901</v>
      </c>
      <c r="F468">
        <v>32.294157700518198</v>
      </c>
      <c r="G468">
        <v>1.6226679595853599</v>
      </c>
      <c r="H468">
        <v>134</v>
      </c>
    </row>
    <row r="469" spans="1:8">
      <c r="A469">
        <v>1.5128543669322401</v>
      </c>
      <c r="B469">
        <v>4.2481795657743699</v>
      </c>
      <c r="C469">
        <v>26.291246499159602</v>
      </c>
      <c r="D469">
        <v>1.93962756130224</v>
      </c>
      <c r="E469">
        <v>3.1306214555004801</v>
      </c>
      <c r="F469">
        <v>33.252901120670899</v>
      </c>
      <c r="G469">
        <v>1.8446616335056201</v>
      </c>
      <c r="H469">
        <v>178</v>
      </c>
    </row>
    <row r="470" spans="1:8">
      <c r="A470">
        <v>1.3565139051403501</v>
      </c>
      <c r="B470">
        <v>4.1938392821569499</v>
      </c>
      <c r="C470">
        <v>27.8914248356587</v>
      </c>
      <c r="D470">
        <v>2.0331289672739099</v>
      </c>
      <c r="E470">
        <v>3.01850948034174</v>
      </c>
      <c r="F470">
        <v>35.489719948175598</v>
      </c>
      <c r="G470">
        <v>1.8424337043893799</v>
      </c>
      <c r="H470">
        <v>218</v>
      </c>
    </row>
    <row r="471" spans="1:8">
      <c r="A471">
        <v>1.3882244925409299</v>
      </c>
      <c r="B471">
        <v>4.1903608821587301</v>
      </c>
      <c r="C471">
        <v>25.051679356169</v>
      </c>
      <c r="D471">
        <v>2.0482756144583498</v>
      </c>
      <c r="E471">
        <v>3.8269939331004799</v>
      </c>
      <c r="F471">
        <v>33.380948869464703</v>
      </c>
      <c r="G471">
        <v>1.87161701761859</v>
      </c>
      <c r="H471">
        <v>224</v>
      </c>
    </row>
    <row r="472" spans="1:8">
      <c r="A472">
        <v>1.34540970714021</v>
      </c>
      <c r="B472">
        <v>4.2142560302138401</v>
      </c>
      <c r="C472">
        <v>29.098463226638899</v>
      </c>
      <c r="D472">
        <v>1.9677155918331</v>
      </c>
      <c r="E472">
        <v>3.9420910218014602</v>
      </c>
      <c r="F472">
        <v>30.828397156886101</v>
      </c>
      <c r="G472">
        <v>0.76201011610608105</v>
      </c>
      <c r="H472">
        <v>2</v>
      </c>
    </row>
    <row r="473" spans="1:8">
      <c r="A473">
        <v>1.23949002812511</v>
      </c>
      <c r="B473">
        <v>4.1721102964272401</v>
      </c>
      <c r="C473">
        <v>28.367920783742299</v>
      </c>
      <c r="D473">
        <v>2.0347137270559901</v>
      </c>
      <c r="E473">
        <v>3.1542767398527101</v>
      </c>
      <c r="F473">
        <v>33.4677899521405</v>
      </c>
      <c r="G473">
        <v>1.74705875417894</v>
      </c>
      <c r="H473">
        <v>160</v>
      </c>
    </row>
    <row r="474" spans="1:8">
      <c r="A474">
        <v>1.40255055973595</v>
      </c>
      <c r="B474">
        <v>4.2627213339619496</v>
      </c>
      <c r="C474">
        <v>25.535385418589598</v>
      </c>
      <c r="D474">
        <v>2.0028555379189901</v>
      </c>
      <c r="E474">
        <v>3.1058954169650801</v>
      </c>
      <c r="F474">
        <v>32.649522561779399</v>
      </c>
      <c r="G474">
        <v>0.99181034898417397</v>
      </c>
      <c r="H474">
        <v>18</v>
      </c>
    </row>
    <row r="475" spans="1:8">
      <c r="A475">
        <v>1.4029037179316299</v>
      </c>
      <c r="B475">
        <v>4.1934501663614601</v>
      </c>
      <c r="C475">
        <v>26.8544140214238</v>
      </c>
      <c r="D475">
        <v>2.0543622305157498</v>
      </c>
      <c r="E475">
        <v>3.9596402663292798</v>
      </c>
      <c r="F475">
        <v>34.4286901325966</v>
      </c>
      <c r="G475">
        <v>1.1906763988515401</v>
      </c>
      <c r="H475">
        <v>58</v>
      </c>
    </row>
    <row r="476" spans="1:8">
      <c r="A476">
        <v>1.3417579301758999</v>
      </c>
      <c r="B476">
        <v>4.1137444875757598</v>
      </c>
      <c r="C476">
        <v>26.525236271983001</v>
      </c>
      <c r="D476">
        <v>2.0398553141202802</v>
      </c>
      <c r="E476">
        <v>3.16515881359441</v>
      </c>
      <c r="F476">
        <v>32.1224703925947</v>
      </c>
      <c r="G476">
        <v>1.3707221964149601</v>
      </c>
      <c r="H476">
        <v>124</v>
      </c>
    </row>
    <row r="477" spans="1:8">
      <c r="A477">
        <v>1.3849560957625</v>
      </c>
      <c r="B477">
        <v>4.1993004654117998</v>
      </c>
      <c r="C477">
        <v>28.0771786422075</v>
      </c>
      <c r="D477">
        <v>2.1050704923816301</v>
      </c>
      <c r="E477">
        <v>3.4816723178920101</v>
      </c>
      <c r="F477">
        <v>34.532818765499997</v>
      </c>
      <c r="G477">
        <v>1.09537681078101</v>
      </c>
      <c r="H477">
        <v>28</v>
      </c>
    </row>
    <row r="478" spans="1:8">
      <c r="A478">
        <v>1.3134162433501599</v>
      </c>
      <c r="B478">
        <v>4.2216149116976496</v>
      </c>
      <c r="C478">
        <v>26.484182343550899</v>
      </c>
      <c r="D478">
        <v>1.9579063074068599</v>
      </c>
      <c r="E478">
        <v>3.9377351502265698</v>
      </c>
      <c r="F478">
        <v>36.793273453204797</v>
      </c>
      <c r="G478">
        <v>1.77330251754849</v>
      </c>
      <c r="H478">
        <v>203</v>
      </c>
    </row>
    <row r="479" spans="1:8">
      <c r="A479">
        <v>1.3354663089496399</v>
      </c>
      <c r="B479">
        <v>4.1908086568464098</v>
      </c>
      <c r="C479">
        <v>27.644096433146402</v>
      </c>
      <c r="D479">
        <v>2.0789967546475401</v>
      </c>
      <c r="E479">
        <v>3.7625070032662098</v>
      </c>
      <c r="F479">
        <v>33.082259518131103</v>
      </c>
      <c r="G479">
        <v>1.47268841660893</v>
      </c>
      <c r="H479">
        <v>114</v>
      </c>
    </row>
    <row r="480" spans="1:8">
      <c r="A480">
        <v>1.3606769918682999</v>
      </c>
      <c r="B480">
        <v>4.2367357583217196</v>
      </c>
      <c r="C480">
        <v>25.5347821661396</v>
      </c>
      <c r="D480">
        <v>2.0218461056205399</v>
      </c>
      <c r="E480">
        <v>2.92327304544339</v>
      </c>
      <c r="F480">
        <v>34.467243762558603</v>
      </c>
      <c r="G480">
        <v>1.32347891244713</v>
      </c>
      <c r="H480">
        <v>114</v>
      </c>
    </row>
    <row r="481" spans="1:8">
      <c r="A481">
        <v>1.39376851635556</v>
      </c>
      <c r="B481">
        <v>4.2678608653492001</v>
      </c>
      <c r="C481">
        <v>28.427573613694801</v>
      </c>
      <c r="D481">
        <v>2.0035238280251</v>
      </c>
      <c r="E481">
        <v>3.5999203224332099</v>
      </c>
      <c r="F481">
        <v>32.515026861248003</v>
      </c>
      <c r="G481">
        <v>1.1462214343525601</v>
      </c>
      <c r="H481">
        <v>40</v>
      </c>
    </row>
    <row r="482" spans="1:8">
      <c r="A482">
        <v>1.4165945775339099</v>
      </c>
      <c r="B482">
        <v>4.1598248044491601</v>
      </c>
      <c r="C482">
        <v>25.665347317603601</v>
      </c>
      <c r="D482">
        <v>1.8299494970638199</v>
      </c>
      <c r="E482">
        <v>4.0387406244217203</v>
      </c>
      <c r="F482">
        <v>32.257920178918901</v>
      </c>
      <c r="G482">
        <v>1.9862397074872</v>
      </c>
      <c r="H482">
        <v>218</v>
      </c>
    </row>
    <row r="483" spans="1:8">
      <c r="A483">
        <v>1.48804223761196</v>
      </c>
      <c r="B483">
        <v>4.2404824739212001</v>
      </c>
      <c r="C483">
        <v>28.856160187118601</v>
      </c>
      <c r="D483">
        <v>1.9831388697752901</v>
      </c>
      <c r="E483">
        <v>3.8693435728179102</v>
      </c>
      <c r="F483">
        <v>29.8853386364862</v>
      </c>
      <c r="G483">
        <v>0.97426826016022605</v>
      </c>
      <c r="H483">
        <v>45</v>
      </c>
    </row>
    <row r="484" spans="1:8">
      <c r="A484">
        <v>1.3395582840290201</v>
      </c>
      <c r="B484">
        <v>4.2069877354130396</v>
      </c>
      <c r="C484">
        <v>26.445091827769101</v>
      </c>
      <c r="D484">
        <v>2.0959957675393399</v>
      </c>
      <c r="E484">
        <v>3.3719988091161701</v>
      </c>
      <c r="F484">
        <v>34.549392862970201</v>
      </c>
      <c r="G484">
        <v>1.33958443786937</v>
      </c>
      <c r="H484">
        <v>118</v>
      </c>
    </row>
    <row r="485" spans="1:8">
      <c r="A485">
        <v>1.29950394997341</v>
      </c>
      <c r="B485">
        <v>4.2481259469923103</v>
      </c>
      <c r="C485">
        <v>26.028819008958799</v>
      </c>
      <c r="D485">
        <v>1.90508892025541</v>
      </c>
      <c r="E485">
        <v>3.5439493663153501</v>
      </c>
      <c r="F485">
        <v>29.848937561869601</v>
      </c>
      <c r="G485">
        <v>1.5984154209669399</v>
      </c>
      <c r="H485">
        <v>139</v>
      </c>
    </row>
    <row r="486" spans="1:8">
      <c r="A486">
        <v>1.4933455430065301</v>
      </c>
      <c r="B486">
        <v>4.2413940552173299</v>
      </c>
      <c r="C486">
        <v>24.524052444903699</v>
      </c>
      <c r="D486">
        <v>2.13574787892304</v>
      </c>
      <c r="E486">
        <v>3.2917127666786401</v>
      </c>
      <c r="F486">
        <v>31.5010948977231</v>
      </c>
      <c r="G486">
        <v>0.968216004794487</v>
      </c>
      <c r="H486">
        <v>14</v>
      </c>
    </row>
    <row r="487" spans="1:8">
      <c r="A487">
        <v>1.3800612625898101</v>
      </c>
      <c r="B487">
        <v>4.1721832487052701</v>
      </c>
      <c r="C487">
        <v>24.795294936604201</v>
      </c>
      <c r="D487">
        <v>1.8758965650875901</v>
      </c>
      <c r="E487">
        <v>3.2701428063476099</v>
      </c>
      <c r="F487">
        <v>30.402693816898399</v>
      </c>
      <c r="G487">
        <v>1.8243416628581399</v>
      </c>
      <c r="H487">
        <v>185</v>
      </c>
    </row>
    <row r="488" spans="1:8">
      <c r="A488">
        <v>1.33513020334452</v>
      </c>
      <c r="B488">
        <v>4.2388182912111398</v>
      </c>
      <c r="C488">
        <v>29.227748580772399</v>
      </c>
      <c r="D488">
        <v>1.96738984306872</v>
      </c>
      <c r="E488">
        <v>3.4486948235083701</v>
      </c>
      <c r="F488">
        <v>35.567877673534198</v>
      </c>
      <c r="G488">
        <v>1.6015961442333799</v>
      </c>
      <c r="H488">
        <v>171</v>
      </c>
    </row>
    <row r="489" spans="1:8">
      <c r="A489">
        <v>1.4787550024812</v>
      </c>
      <c r="B489">
        <v>4.2782934056727902</v>
      </c>
      <c r="C489">
        <v>27.238167404958102</v>
      </c>
      <c r="D489">
        <v>2.0790613416813102</v>
      </c>
      <c r="E489">
        <v>3.8337539270377299</v>
      </c>
      <c r="F489">
        <v>34.909111026706498</v>
      </c>
      <c r="G489">
        <v>0.95853822331650496</v>
      </c>
      <c r="H489">
        <v>2</v>
      </c>
    </row>
    <row r="490" spans="1:8">
      <c r="A490">
        <v>1.4273272479868899</v>
      </c>
      <c r="B490">
        <v>4.2484156643819198</v>
      </c>
      <c r="C490">
        <v>25.546962522552299</v>
      </c>
      <c r="D490">
        <v>1.9954233491173701</v>
      </c>
      <c r="E490">
        <v>3.9122713161926401</v>
      </c>
      <c r="F490">
        <v>29.377902187382301</v>
      </c>
      <c r="G490">
        <v>1.87156014608688</v>
      </c>
      <c r="H490">
        <v>225</v>
      </c>
    </row>
    <row r="491" spans="1:8">
      <c r="A491">
        <v>1.5161171404404701</v>
      </c>
      <c r="B491">
        <v>4.1176900704863204</v>
      </c>
      <c r="C491">
        <v>27.7598597083255</v>
      </c>
      <c r="D491">
        <v>1.9225091708372899</v>
      </c>
      <c r="E491">
        <v>3.6000158920359602</v>
      </c>
      <c r="F491">
        <v>31.989588486334</v>
      </c>
      <c r="G491">
        <v>1.2539073780666501</v>
      </c>
      <c r="H491">
        <v>63</v>
      </c>
    </row>
    <row r="492" spans="1:8">
      <c r="A492">
        <v>1.31539596412712</v>
      </c>
      <c r="B492">
        <v>4.11055219094977</v>
      </c>
      <c r="C492">
        <v>25.350753206625701</v>
      </c>
      <c r="D492">
        <v>2.0160450248177901</v>
      </c>
      <c r="E492">
        <v>3.6883260815954002</v>
      </c>
      <c r="F492">
        <v>31.4622601601613</v>
      </c>
      <c r="G492">
        <v>1.5402955691220199</v>
      </c>
      <c r="H492">
        <v>128</v>
      </c>
    </row>
    <row r="493" spans="1:8">
      <c r="A493">
        <v>1.0008587052284601</v>
      </c>
      <c r="B493">
        <v>4.3193642357381004</v>
      </c>
      <c r="C493">
        <v>27.772925989960701</v>
      </c>
      <c r="D493">
        <v>2.0276134498878902</v>
      </c>
      <c r="E493">
        <v>3.2382325015372402</v>
      </c>
      <c r="F493">
        <v>31.607655804053</v>
      </c>
      <c r="G493">
        <v>1.39815510309821</v>
      </c>
      <c r="H493">
        <v>90</v>
      </c>
    </row>
    <row r="494" spans="1:8">
      <c r="A494">
        <v>1.4838578194501399</v>
      </c>
      <c r="B494">
        <v>4.1685613485013304</v>
      </c>
      <c r="C494">
        <v>29.460819354720101</v>
      </c>
      <c r="D494">
        <v>1.86617383009744</v>
      </c>
      <c r="E494">
        <v>3.8673082321592398</v>
      </c>
      <c r="F494">
        <v>32.344955699427501</v>
      </c>
      <c r="G494">
        <v>1.32674725021271</v>
      </c>
      <c r="H494">
        <v>115</v>
      </c>
    </row>
    <row r="495" spans="1:8">
      <c r="A495">
        <v>1.3271430203168</v>
      </c>
      <c r="B495">
        <v>4.2270054127300201</v>
      </c>
      <c r="C495">
        <v>25.4179230877164</v>
      </c>
      <c r="D495">
        <v>1.9362733791495299</v>
      </c>
      <c r="E495">
        <v>3.9300374486544598</v>
      </c>
      <c r="F495">
        <v>32.004981847904503</v>
      </c>
      <c r="G495">
        <v>1.37393631822047</v>
      </c>
      <c r="H495">
        <v>84</v>
      </c>
    </row>
    <row r="496" spans="1:8">
      <c r="A496">
        <v>1.49337116964919</v>
      </c>
      <c r="B496">
        <v>4.1626474304120302</v>
      </c>
      <c r="C496">
        <v>25.640426298617701</v>
      </c>
      <c r="D496">
        <v>1.94262750714979</v>
      </c>
      <c r="E496">
        <v>3.26421132271859</v>
      </c>
      <c r="F496">
        <v>30.2750674244054</v>
      </c>
      <c r="G496">
        <v>1.88784590444968</v>
      </c>
      <c r="H496">
        <v>188</v>
      </c>
    </row>
    <row r="497" spans="1:8">
      <c r="A497">
        <v>1.4410438228339399</v>
      </c>
      <c r="B497">
        <v>4.2039740493028503</v>
      </c>
      <c r="C497">
        <v>24.252692225425601</v>
      </c>
      <c r="D497">
        <v>1.9753489335697001</v>
      </c>
      <c r="E497">
        <v>3.3663186256381401</v>
      </c>
      <c r="F497">
        <v>30.6970621859878</v>
      </c>
      <c r="G497">
        <v>1.9339836360923399</v>
      </c>
      <c r="H497">
        <v>206</v>
      </c>
    </row>
    <row r="498" spans="1:8">
      <c r="A498">
        <v>1.5842487873401501</v>
      </c>
      <c r="B498">
        <v>4.2154605789806299</v>
      </c>
      <c r="C498">
        <v>27.252432558156698</v>
      </c>
      <c r="D498">
        <v>2.0485911603426898</v>
      </c>
      <c r="E498">
        <v>3.3119512652066301</v>
      </c>
      <c r="F498">
        <v>30.089927670479</v>
      </c>
      <c r="G498">
        <v>1.53191839776715</v>
      </c>
      <c r="H498">
        <v>114</v>
      </c>
    </row>
    <row r="499" spans="1:8">
      <c r="A499">
        <v>1.3550115997112999</v>
      </c>
      <c r="B499">
        <v>4.2479952935616998</v>
      </c>
      <c r="C499">
        <v>29.074284832117598</v>
      </c>
      <c r="D499">
        <v>1.93098536483412</v>
      </c>
      <c r="E499">
        <v>3.67550249289551</v>
      </c>
      <c r="F499">
        <v>34.813456164302401</v>
      </c>
      <c r="G499">
        <v>1.14765193347852</v>
      </c>
      <c r="H499">
        <v>79</v>
      </c>
    </row>
    <row r="500" spans="1:8">
      <c r="A500">
        <v>1.37269463172515</v>
      </c>
      <c r="B500">
        <v>4.1149803532527596</v>
      </c>
      <c r="C500">
        <v>26.4082514816368</v>
      </c>
      <c r="D500">
        <v>1.8249415643140099</v>
      </c>
      <c r="E500">
        <v>3.4294684768044399</v>
      </c>
      <c r="F500">
        <v>34.363505234691601</v>
      </c>
      <c r="G500">
        <v>1.15450556766085</v>
      </c>
      <c r="H500">
        <v>42</v>
      </c>
    </row>
    <row r="501" spans="1:8">
      <c r="A501">
        <v>1.26630835494567</v>
      </c>
      <c r="B501">
        <v>4.1161162020111703</v>
      </c>
      <c r="C501">
        <v>25.5734524954721</v>
      </c>
      <c r="D501">
        <v>1.89291552382552</v>
      </c>
      <c r="E501">
        <v>3.19018356936777</v>
      </c>
      <c r="F501">
        <v>30.841460221734899</v>
      </c>
      <c r="G501">
        <v>1.73478396278097</v>
      </c>
      <c r="H501">
        <v>156</v>
      </c>
    </row>
    <row r="502" spans="1:8">
      <c r="A502">
        <v>1.4295946603549201</v>
      </c>
      <c r="B502">
        <v>4.1753133591666103</v>
      </c>
      <c r="C502">
        <v>27.188022152507799</v>
      </c>
      <c r="D502">
        <v>1.91517523852455</v>
      </c>
      <c r="E502">
        <v>3.57787328862748</v>
      </c>
      <c r="F502">
        <v>29.935584268463</v>
      </c>
      <c r="G502">
        <v>1.16417892791592</v>
      </c>
      <c r="H502">
        <v>53</v>
      </c>
    </row>
    <row r="503" spans="1:8">
      <c r="A503">
        <v>1.3021210180446099</v>
      </c>
      <c r="B503">
        <v>4.1789464043400297</v>
      </c>
      <c r="C503">
        <v>25.092503440537399</v>
      </c>
      <c r="D503">
        <v>2.1043288534378202</v>
      </c>
      <c r="E503">
        <v>3.6840179470924999</v>
      </c>
      <c r="F503">
        <v>32.702047605229097</v>
      </c>
      <c r="G503">
        <v>0.77830867005597704</v>
      </c>
      <c r="H503">
        <v>5</v>
      </c>
    </row>
    <row r="504" spans="1:8">
      <c r="A504">
        <v>1.32034065386558</v>
      </c>
      <c r="B504">
        <v>4.2491765410341404</v>
      </c>
      <c r="C504">
        <v>27.271084954775802</v>
      </c>
      <c r="D504">
        <v>2.13632528928528</v>
      </c>
      <c r="E504">
        <v>3.2758738792593101</v>
      </c>
      <c r="F504">
        <v>37.1386634885502</v>
      </c>
      <c r="G504">
        <v>1.72329631055069</v>
      </c>
      <c r="H504">
        <v>195</v>
      </c>
    </row>
    <row r="505" spans="1:8">
      <c r="A505">
        <v>1.5708232270202001</v>
      </c>
      <c r="B505">
        <v>4.2524587210208997</v>
      </c>
      <c r="C505">
        <v>28.281977458753101</v>
      </c>
      <c r="D505">
        <v>1.85708481401138</v>
      </c>
      <c r="E505">
        <v>3.1209031290745601</v>
      </c>
      <c r="F505">
        <v>35.053177417651</v>
      </c>
      <c r="G505">
        <v>0.82616741530402604</v>
      </c>
      <c r="H505">
        <v>15</v>
      </c>
    </row>
    <row r="506" spans="1:8">
      <c r="A506">
        <v>1.3277292708872901</v>
      </c>
      <c r="B506">
        <v>4.20891311806679</v>
      </c>
      <c r="C506">
        <v>25.628278719799798</v>
      </c>
      <c r="D506">
        <v>2.0484852323455001</v>
      </c>
      <c r="E506">
        <v>3.3404001649971602</v>
      </c>
      <c r="F506">
        <v>32.158371566056204</v>
      </c>
      <c r="G506">
        <v>1.63021124174264</v>
      </c>
      <c r="H506">
        <v>175</v>
      </c>
    </row>
    <row r="507" spans="1:8">
      <c r="A507">
        <v>1.28283730090758</v>
      </c>
      <c r="B507">
        <v>4.1572377232483904</v>
      </c>
      <c r="C507">
        <v>26.4126278698728</v>
      </c>
      <c r="D507">
        <v>1.94830494403779</v>
      </c>
      <c r="E507">
        <v>4.12276920594703</v>
      </c>
      <c r="F507">
        <v>32.829567409004</v>
      </c>
      <c r="G507">
        <v>1.88293292486664</v>
      </c>
      <c r="H507">
        <v>186</v>
      </c>
    </row>
    <row r="508" spans="1:8">
      <c r="A508">
        <v>1.47479505410599</v>
      </c>
      <c r="B508">
        <v>4.2747794965248298</v>
      </c>
      <c r="C508">
        <v>28.748802171784899</v>
      </c>
      <c r="D508">
        <v>2.1602423147824998</v>
      </c>
      <c r="E508">
        <v>2.7155888222060902</v>
      </c>
      <c r="F508">
        <v>34.7217548651576</v>
      </c>
      <c r="G508">
        <v>1.3144299368438801</v>
      </c>
      <c r="H508">
        <v>113</v>
      </c>
    </row>
    <row r="509" spans="1:8">
      <c r="A509">
        <v>1.3239003289420599</v>
      </c>
      <c r="B509">
        <v>4.2402351070236604</v>
      </c>
      <c r="C509">
        <v>27.0700097303136</v>
      </c>
      <c r="D509">
        <v>1.98255131673356</v>
      </c>
      <c r="E509">
        <v>3.4676015535546099</v>
      </c>
      <c r="F509">
        <v>35.749101998350802</v>
      </c>
      <c r="G509">
        <v>1.3280013221035001</v>
      </c>
      <c r="H509">
        <v>117</v>
      </c>
    </row>
    <row r="510" spans="1:8">
      <c r="A510">
        <v>1.2507200730169299</v>
      </c>
      <c r="B510">
        <v>4.1635896231335803</v>
      </c>
      <c r="C510">
        <v>28.722917477042401</v>
      </c>
      <c r="D510">
        <v>2.0119319652424301</v>
      </c>
      <c r="E510">
        <v>3.2172987498433199</v>
      </c>
      <c r="F510">
        <v>31.568073857884901</v>
      </c>
      <c r="G510">
        <v>1.04898695509911</v>
      </c>
      <c r="H510">
        <v>30</v>
      </c>
    </row>
    <row r="511" spans="1:8">
      <c r="A511">
        <v>1.44169365554804</v>
      </c>
      <c r="B511">
        <v>4.1562130276016598</v>
      </c>
      <c r="C511">
        <v>26.445414397022301</v>
      </c>
      <c r="D511">
        <v>1.99242381444159</v>
      </c>
      <c r="E511">
        <v>3.62763305520614</v>
      </c>
      <c r="F511">
        <v>33.493319808394197</v>
      </c>
      <c r="G511">
        <v>1.77221305977322</v>
      </c>
      <c r="H511">
        <v>204</v>
      </c>
    </row>
    <row r="512" spans="1:8">
      <c r="A512">
        <v>1.3576289476586501</v>
      </c>
      <c r="B512">
        <v>4.2251288850443496</v>
      </c>
      <c r="C512">
        <v>28.219789192364601</v>
      </c>
      <c r="D512">
        <v>1.94825992518042</v>
      </c>
      <c r="E512">
        <v>3.2762370991501202</v>
      </c>
      <c r="F512">
        <v>33.269247150605302</v>
      </c>
      <c r="G512">
        <v>1.59465915948235</v>
      </c>
      <c r="H512">
        <v>169</v>
      </c>
    </row>
    <row r="513" spans="1:8">
      <c r="A513">
        <v>1.3759179005682201</v>
      </c>
      <c r="B513">
        <v>4.2529376168158297</v>
      </c>
      <c r="C513">
        <v>28.725426794206399</v>
      </c>
      <c r="D513">
        <v>1.9572368653949701</v>
      </c>
      <c r="E513">
        <v>3.4143317767067001</v>
      </c>
      <c r="F513">
        <v>33.729740835932503</v>
      </c>
      <c r="G513">
        <v>1.7009816094230601</v>
      </c>
      <c r="H513">
        <v>161</v>
      </c>
    </row>
    <row r="514" spans="1:8">
      <c r="A514">
        <v>1.3545809029570799</v>
      </c>
      <c r="B514">
        <v>4.2158120531316197</v>
      </c>
      <c r="C514">
        <v>26.515068118557799</v>
      </c>
      <c r="D514">
        <v>2.0788562759062601</v>
      </c>
      <c r="E514">
        <v>3.7861750314576499</v>
      </c>
      <c r="F514">
        <v>33.633689767319602</v>
      </c>
      <c r="G514">
        <v>1.76441779895726</v>
      </c>
      <c r="H514">
        <v>205</v>
      </c>
    </row>
    <row r="515" spans="1:8">
      <c r="A515">
        <v>1.3030280394861899</v>
      </c>
      <c r="B515">
        <v>4.1676549416343702</v>
      </c>
      <c r="C515">
        <v>27.395476725591799</v>
      </c>
      <c r="D515">
        <v>2.00596878963138</v>
      </c>
      <c r="E515">
        <v>3.78231782919439</v>
      </c>
      <c r="F515">
        <v>29.7406913830186</v>
      </c>
      <c r="G515">
        <v>1.3373203053116201</v>
      </c>
      <c r="H515">
        <v>119</v>
      </c>
    </row>
    <row r="516" spans="1:8">
      <c r="A516">
        <v>1.31211697228846</v>
      </c>
      <c r="B516">
        <v>4.2144975073603703</v>
      </c>
      <c r="C516">
        <v>26.454818675712598</v>
      </c>
      <c r="D516">
        <v>1.8810567512754901</v>
      </c>
      <c r="E516">
        <v>3.3937758369328899</v>
      </c>
      <c r="F516">
        <v>34.4086601486311</v>
      </c>
      <c r="G516">
        <v>1.82861072620496</v>
      </c>
      <c r="H516">
        <v>177</v>
      </c>
    </row>
    <row r="517" spans="1:8">
      <c r="A517">
        <v>1.32357544820128</v>
      </c>
      <c r="B517">
        <v>4.1960910405356202</v>
      </c>
      <c r="C517">
        <v>25.6914547730198</v>
      </c>
      <c r="D517">
        <v>1.9191224014677</v>
      </c>
      <c r="E517">
        <v>4.1907259075365504</v>
      </c>
      <c r="F517">
        <v>32.895228059067101</v>
      </c>
      <c r="G517">
        <v>1.8878543960741401</v>
      </c>
      <c r="H517">
        <v>198</v>
      </c>
    </row>
    <row r="518" spans="1:8">
      <c r="A518">
        <v>1.3335542831963101</v>
      </c>
      <c r="B518">
        <v>4.1879965935886201</v>
      </c>
      <c r="C518">
        <v>27.012820397749</v>
      </c>
      <c r="D518">
        <v>2.0794738365930501</v>
      </c>
      <c r="E518">
        <v>3.4502964779186298</v>
      </c>
      <c r="F518">
        <v>31.536012361603198</v>
      </c>
      <c r="G518">
        <v>1.5347260407041501</v>
      </c>
      <c r="H518">
        <v>116</v>
      </c>
    </row>
    <row r="519" spans="1:8">
      <c r="A519">
        <v>1.46314770306994</v>
      </c>
      <c r="B519">
        <v>4.2551057051405801</v>
      </c>
      <c r="C519">
        <v>25.2833007620793</v>
      </c>
      <c r="D519">
        <v>1.9735433931434301</v>
      </c>
      <c r="E519">
        <v>3.40864906373274</v>
      </c>
      <c r="F519">
        <v>34.488293406981803</v>
      </c>
      <c r="G519">
        <v>1.8544258607566</v>
      </c>
      <c r="H519">
        <v>220</v>
      </c>
    </row>
    <row r="520" spans="1:8">
      <c r="A520">
        <v>1.4085500745483699</v>
      </c>
      <c r="B520">
        <v>4.1977396283128803</v>
      </c>
      <c r="C520">
        <v>25.3676471297779</v>
      </c>
      <c r="D520">
        <v>2.1545962025808598</v>
      </c>
      <c r="E520">
        <v>3.5628262865163798</v>
      </c>
      <c r="F520">
        <v>32.385500849078703</v>
      </c>
      <c r="G520">
        <v>1.1919067298058601</v>
      </c>
      <c r="H520">
        <v>59</v>
      </c>
    </row>
    <row r="521" spans="1:8">
      <c r="A521">
        <v>1.3718811989666899</v>
      </c>
      <c r="B521">
        <v>4.2245493226585404</v>
      </c>
      <c r="C521">
        <v>28.246299711375698</v>
      </c>
      <c r="D521">
        <v>2.1215483769157899</v>
      </c>
      <c r="E521">
        <v>3.4916220627662402</v>
      </c>
      <c r="F521">
        <v>32.412345260685598</v>
      </c>
      <c r="G521">
        <v>1.7166447901731301</v>
      </c>
      <c r="H521">
        <v>153</v>
      </c>
    </row>
    <row r="522" spans="1:8">
      <c r="A522">
        <v>1.43855596041501</v>
      </c>
      <c r="B522">
        <v>4.2683849063666699</v>
      </c>
      <c r="C522">
        <v>26.6126550220072</v>
      </c>
      <c r="D522">
        <v>1.99841527854451</v>
      </c>
      <c r="E522">
        <v>3.2910256734728098</v>
      </c>
      <c r="F522">
        <v>34.675376658142902</v>
      </c>
      <c r="G522">
        <v>1.04163261048751</v>
      </c>
      <c r="H522">
        <v>28</v>
      </c>
    </row>
    <row r="523" spans="1:8">
      <c r="A523">
        <v>1.4554096483063199</v>
      </c>
      <c r="B523">
        <v>4.2646493197473996</v>
      </c>
      <c r="C523">
        <v>30.186380918315201</v>
      </c>
      <c r="D523">
        <v>1.9644684301817401</v>
      </c>
      <c r="E523">
        <v>3.5570734543909701</v>
      </c>
      <c r="F523">
        <v>34.358232709406103</v>
      </c>
      <c r="G523">
        <v>1.1730940024318099</v>
      </c>
      <c r="H523">
        <v>44</v>
      </c>
    </row>
    <row r="524" spans="1:8">
      <c r="A524">
        <v>1.3935184889580201</v>
      </c>
      <c r="B524">
        <v>4.2201232570334604</v>
      </c>
      <c r="C524">
        <v>25.8620216207743</v>
      </c>
      <c r="D524">
        <v>2.2271365256647102</v>
      </c>
      <c r="E524">
        <v>3.39169106742371</v>
      </c>
      <c r="F524">
        <v>33.607027793008598</v>
      </c>
      <c r="G524">
        <v>1.02704281217517</v>
      </c>
      <c r="H524">
        <v>16</v>
      </c>
    </row>
    <row r="525" spans="1:8">
      <c r="A525">
        <v>1.28100481616061</v>
      </c>
      <c r="B525">
        <v>4.2080001662058599</v>
      </c>
      <c r="C525">
        <v>28.886720743594399</v>
      </c>
      <c r="D525">
        <v>2.06097240401049</v>
      </c>
      <c r="E525">
        <v>3.2021068217698598</v>
      </c>
      <c r="F525">
        <v>33.486346676774602</v>
      </c>
      <c r="G525">
        <v>1.68280286113678</v>
      </c>
      <c r="H525">
        <v>188</v>
      </c>
    </row>
    <row r="526" spans="1:8">
      <c r="A526">
        <v>1.3241517363487401</v>
      </c>
      <c r="B526">
        <v>4.1711959885660397</v>
      </c>
      <c r="C526">
        <v>27.4141032653454</v>
      </c>
      <c r="D526">
        <v>1.7100435263973299</v>
      </c>
      <c r="E526">
        <v>3.3364277745281701</v>
      </c>
      <c r="F526">
        <v>32.238849613449297</v>
      </c>
      <c r="G526">
        <v>1.3714511878626301</v>
      </c>
      <c r="H526">
        <v>86</v>
      </c>
    </row>
    <row r="527" spans="1:8">
      <c r="A527">
        <v>1.53689671463372</v>
      </c>
      <c r="B527">
        <v>4.2253319178274404</v>
      </c>
      <c r="C527">
        <v>26.686220782122799</v>
      </c>
      <c r="D527">
        <v>2.0893022767694198</v>
      </c>
      <c r="E527">
        <v>3.4769233472267702</v>
      </c>
      <c r="F527">
        <v>34.209122770077599</v>
      </c>
      <c r="G527">
        <v>1.55984350366866</v>
      </c>
      <c r="H527">
        <v>121</v>
      </c>
    </row>
    <row r="528" spans="1:8">
      <c r="A528">
        <v>1.51300450034954</v>
      </c>
      <c r="B528">
        <v>4.1720806835252802</v>
      </c>
      <c r="C528">
        <v>29.287782850987298</v>
      </c>
      <c r="D528">
        <v>2.1303372786675201</v>
      </c>
      <c r="E528">
        <v>3.6179910714021402</v>
      </c>
      <c r="F528">
        <v>33.7481534742005</v>
      </c>
      <c r="G528">
        <v>0.84015150568385</v>
      </c>
      <c r="H528">
        <v>18</v>
      </c>
    </row>
    <row r="529" spans="1:8">
      <c r="A529">
        <v>1.4198465733919401</v>
      </c>
      <c r="B529">
        <v>4.2699381688924003</v>
      </c>
      <c r="C529">
        <v>25.317892353862302</v>
      </c>
      <c r="D529">
        <v>2.1207961329580902</v>
      </c>
      <c r="E529">
        <v>3.7070038430258601</v>
      </c>
      <c r="F529">
        <v>33.108669273678899</v>
      </c>
      <c r="G529">
        <v>1.3540205708973401</v>
      </c>
      <c r="H529">
        <v>89</v>
      </c>
    </row>
    <row r="530" spans="1:8">
      <c r="A530">
        <v>1.3856959693803901</v>
      </c>
      <c r="B530">
        <v>4.1928654451948599</v>
      </c>
      <c r="C530">
        <v>25.037951623331999</v>
      </c>
      <c r="D530">
        <v>2.1339642772014802</v>
      </c>
      <c r="E530">
        <v>3.2935180728130802</v>
      </c>
      <c r="F530">
        <v>35.439492899477798</v>
      </c>
      <c r="G530">
        <v>0.82069967332690397</v>
      </c>
      <c r="H530">
        <v>16</v>
      </c>
    </row>
    <row r="531" spans="1:8">
      <c r="A531">
        <v>1.2334988375737801</v>
      </c>
      <c r="B531">
        <v>4.1928986984151502</v>
      </c>
      <c r="C531">
        <v>27.5935181223435</v>
      </c>
      <c r="D531">
        <v>2.0132477579552099</v>
      </c>
      <c r="E531">
        <v>3.02733867004443</v>
      </c>
      <c r="F531">
        <v>32.836775230095697</v>
      </c>
      <c r="G531">
        <v>1.50016830796047</v>
      </c>
      <c r="H531">
        <v>120</v>
      </c>
    </row>
    <row r="532" spans="1:8">
      <c r="A532">
        <v>1.38826031521403</v>
      </c>
      <c r="B532">
        <v>4.1681707381292501</v>
      </c>
      <c r="C532">
        <v>27.215094581495599</v>
      </c>
      <c r="D532">
        <v>2.0631670441395702</v>
      </c>
      <c r="E532">
        <v>3.4628694075774602</v>
      </c>
      <c r="F532">
        <v>31.913606357209801</v>
      </c>
      <c r="G532">
        <v>1.2279985579572701</v>
      </c>
      <c r="H532">
        <v>57</v>
      </c>
    </row>
    <row r="533" spans="1:8">
      <c r="A533">
        <v>1.6545503081558499</v>
      </c>
      <c r="B533">
        <v>4.2745503520585197</v>
      </c>
      <c r="C533">
        <v>27.678481757484999</v>
      </c>
      <c r="D533">
        <v>1.95401685426334</v>
      </c>
      <c r="E533">
        <v>3.65448639068978</v>
      </c>
      <c r="F533">
        <v>36.232986445162098</v>
      </c>
      <c r="G533">
        <v>1.5620420096379199</v>
      </c>
      <c r="H533">
        <v>132</v>
      </c>
    </row>
    <row r="534" spans="1:8">
      <c r="A534">
        <v>1.3204169959641301</v>
      </c>
      <c r="B534">
        <v>4.2023975252755301</v>
      </c>
      <c r="C534">
        <v>26.688140096953202</v>
      </c>
      <c r="D534">
        <v>2.0607925015200799</v>
      </c>
      <c r="E534">
        <v>3.6832003960558302</v>
      </c>
      <c r="F534">
        <v>30.688258425392</v>
      </c>
      <c r="G534">
        <v>1.8530106491376801</v>
      </c>
      <c r="H534">
        <v>221</v>
      </c>
    </row>
    <row r="535" spans="1:8">
      <c r="A535">
        <v>1.32845323299697</v>
      </c>
      <c r="B535">
        <v>4.2777031116911202</v>
      </c>
      <c r="C535">
        <v>27.969256022583899</v>
      </c>
      <c r="D535">
        <v>1.90009981953235</v>
      </c>
      <c r="E535">
        <v>3.1074597657268699</v>
      </c>
      <c r="F535">
        <v>37.086456937900302</v>
      </c>
      <c r="G535">
        <v>1.45641634904025</v>
      </c>
      <c r="H535">
        <v>99</v>
      </c>
    </row>
    <row r="536" spans="1:8">
      <c r="A536">
        <v>1.4071535842924401</v>
      </c>
      <c r="B536">
        <v>4.2163595255105299</v>
      </c>
      <c r="C536">
        <v>27.949007404624702</v>
      </c>
      <c r="D536">
        <v>2.06501304128924</v>
      </c>
      <c r="E536">
        <v>3.7346714223019202</v>
      </c>
      <c r="F536">
        <v>32.054334491514197</v>
      </c>
      <c r="G536">
        <v>0.92534970123810301</v>
      </c>
      <c r="H536">
        <v>5</v>
      </c>
    </row>
    <row r="537" spans="1:8">
      <c r="A537">
        <v>1.1898920810381299</v>
      </c>
      <c r="B537">
        <v>4.2294635261692504</v>
      </c>
      <c r="C537">
        <v>24.0848857735851</v>
      </c>
      <c r="D537">
        <v>2.0747092094137898</v>
      </c>
      <c r="E537">
        <v>2.8972497449488199</v>
      </c>
      <c r="F537">
        <v>38.388721405554101</v>
      </c>
      <c r="G537">
        <v>1.8237568523832</v>
      </c>
      <c r="H537">
        <v>213</v>
      </c>
    </row>
    <row r="538" spans="1:8">
      <c r="A538">
        <v>1.43475327598629</v>
      </c>
      <c r="B538">
        <v>4.3491769737876904</v>
      </c>
      <c r="C538">
        <v>27.423234817943399</v>
      </c>
      <c r="D538">
        <v>2.00834086670588</v>
      </c>
      <c r="E538">
        <v>3.6107422780465699</v>
      </c>
      <c r="F538">
        <v>33.997494445593198</v>
      </c>
      <c r="G538">
        <v>1.3898663340803601</v>
      </c>
      <c r="H538">
        <v>98</v>
      </c>
    </row>
    <row r="539" spans="1:8">
      <c r="A539">
        <v>1.3631157515785699</v>
      </c>
      <c r="B539">
        <v>4.2240885727228701</v>
      </c>
      <c r="C539">
        <v>25.591078073515501</v>
      </c>
      <c r="D539">
        <v>1.89630544673277</v>
      </c>
      <c r="E539">
        <v>3.8883505171614599</v>
      </c>
      <c r="F539">
        <v>31.471849955420701</v>
      </c>
      <c r="G539">
        <v>1.0796390129329001</v>
      </c>
      <c r="H539">
        <v>65</v>
      </c>
    </row>
    <row r="540" spans="1:8">
      <c r="A540">
        <v>1.45330122268637</v>
      </c>
      <c r="B540">
        <v>4.1983002932615703</v>
      </c>
      <c r="C540">
        <v>25.359424993380902</v>
      </c>
      <c r="D540">
        <v>1.8970148341497799</v>
      </c>
      <c r="E540">
        <v>4.0230477085226104</v>
      </c>
      <c r="F540">
        <v>36.121045121723597</v>
      </c>
      <c r="G540">
        <v>1.8924717619036999</v>
      </c>
      <c r="H540">
        <v>199</v>
      </c>
    </row>
    <row r="541" spans="1:8">
      <c r="A541">
        <v>1.3823074170974201</v>
      </c>
      <c r="B541">
        <v>4.2161014853992702</v>
      </c>
      <c r="C541">
        <v>25.923963139661399</v>
      </c>
      <c r="D541">
        <v>2.1102229491372499</v>
      </c>
      <c r="E541">
        <v>3.8612529153542501</v>
      </c>
      <c r="F541">
        <v>35.421707508855299</v>
      </c>
      <c r="G541">
        <v>1.6416763215832899</v>
      </c>
      <c r="H541">
        <v>148</v>
      </c>
    </row>
    <row r="542" spans="1:8">
      <c r="A542">
        <v>1.5505429509137201</v>
      </c>
      <c r="B542">
        <v>4.20679569683523</v>
      </c>
      <c r="C542">
        <v>25.371160234624501</v>
      </c>
      <c r="D542">
        <v>2.1529269555310702</v>
      </c>
      <c r="E542">
        <v>3.5506020306482799</v>
      </c>
      <c r="F542">
        <v>34.830137822003998</v>
      </c>
      <c r="G542">
        <v>1.45799640721278</v>
      </c>
      <c r="H542">
        <v>113</v>
      </c>
    </row>
    <row r="543" spans="1:8">
      <c r="A543">
        <v>1.43256859208771</v>
      </c>
      <c r="B543">
        <v>4.1840539586566896</v>
      </c>
      <c r="C543">
        <v>29.475977238018</v>
      </c>
      <c r="D543">
        <v>2.0136447384675602</v>
      </c>
      <c r="E543">
        <v>3.5378424760904799</v>
      </c>
      <c r="F543">
        <v>35.975089185012003</v>
      </c>
      <c r="G543">
        <v>1.75041388601502</v>
      </c>
      <c r="H543">
        <v>159</v>
      </c>
    </row>
    <row r="544" spans="1:8">
      <c r="A544">
        <v>1.4963915091659401</v>
      </c>
      <c r="B544">
        <v>4.2739953833250297</v>
      </c>
      <c r="C544">
        <v>25.573478748985298</v>
      </c>
      <c r="D544">
        <v>2.1018658736498201</v>
      </c>
      <c r="E544">
        <v>3.8717889337442299</v>
      </c>
      <c r="F544">
        <v>34.103838085608302</v>
      </c>
      <c r="G544">
        <v>1.970679679244</v>
      </c>
      <c r="H544">
        <v>244</v>
      </c>
    </row>
    <row r="545" spans="1:8">
      <c r="A545">
        <v>1.4325143128753901</v>
      </c>
      <c r="B545">
        <v>4.2570647544919602</v>
      </c>
      <c r="C545">
        <v>26.040912134143099</v>
      </c>
      <c r="D545">
        <v>1.9248611104279501</v>
      </c>
      <c r="E545">
        <v>4.0677772630880398</v>
      </c>
      <c r="F545">
        <v>35.373425126461399</v>
      </c>
      <c r="G545">
        <v>1.48779685366739</v>
      </c>
      <c r="H545">
        <v>117</v>
      </c>
    </row>
    <row r="546" spans="1:8">
      <c r="A546">
        <v>1.6493484324599601</v>
      </c>
      <c r="B546">
        <v>4.2306237825138302</v>
      </c>
      <c r="C546">
        <v>28.026538862581202</v>
      </c>
      <c r="D546">
        <v>1.9823296363910701</v>
      </c>
      <c r="E546">
        <v>3.3393784876084198</v>
      </c>
      <c r="F546">
        <v>32.620050685262001</v>
      </c>
      <c r="G546">
        <v>0.90222314465100995</v>
      </c>
      <c r="H546">
        <v>32</v>
      </c>
    </row>
    <row r="547" spans="1:8">
      <c r="A547">
        <v>1.62835580932011</v>
      </c>
      <c r="B547">
        <v>4.1648435971427196</v>
      </c>
      <c r="C547">
        <v>28.5013051892779</v>
      </c>
      <c r="D547">
        <v>1.9063432284617501</v>
      </c>
      <c r="E547">
        <v>4.1388939996393601</v>
      </c>
      <c r="F547">
        <v>31.932918240133599</v>
      </c>
      <c r="G547">
        <v>1.1126407787360999</v>
      </c>
      <c r="H547">
        <v>72</v>
      </c>
    </row>
    <row r="548" spans="1:8">
      <c r="A548">
        <v>1.46472164659459</v>
      </c>
      <c r="B548">
        <v>4.1967575343030301</v>
      </c>
      <c r="C548">
        <v>25.875028692567899</v>
      </c>
      <c r="D548">
        <v>1.97895147900579</v>
      </c>
      <c r="E548">
        <v>3.24646045240647</v>
      </c>
      <c r="F548">
        <v>31.8884350280746</v>
      </c>
      <c r="G548">
        <v>1.67208038872447</v>
      </c>
      <c r="H548">
        <v>156</v>
      </c>
    </row>
    <row r="549" spans="1:8">
      <c r="A549">
        <v>1.34028213443143</v>
      </c>
      <c r="B549">
        <v>4.1591489653452003</v>
      </c>
      <c r="C549">
        <v>27.237687769370002</v>
      </c>
      <c r="D549">
        <v>1.9727435149657</v>
      </c>
      <c r="E549">
        <v>3.5450758501714801</v>
      </c>
      <c r="F549">
        <v>34.264988700491202</v>
      </c>
      <c r="G549">
        <v>1.5045283202537401</v>
      </c>
      <c r="H549">
        <v>110</v>
      </c>
    </row>
    <row r="550" spans="1:8">
      <c r="A550">
        <v>1.5106559620434601</v>
      </c>
      <c r="B550">
        <v>4.19530849917978</v>
      </c>
      <c r="C550">
        <v>26.524317843612099</v>
      </c>
      <c r="D550">
        <v>2.01244785684887</v>
      </c>
      <c r="E550">
        <v>3.50496292530707</v>
      </c>
      <c r="F550">
        <v>32.356339366522299</v>
      </c>
      <c r="G550">
        <v>1.49498193412547</v>
      </c>
      <c r="H550">
        <v>118</v>
      </c>
    </row>
    <row r="551" spans="1:8">
      <c r="A551">
        <v>1.3806479815789801</v>
      </c>
      <c r="B551">
        <v>4.23608283635419</v>
      </c>
      <c r="C551">
        <v>26.859662597786599</v>
      </c>
      <c r="D551">
        <v>2.0070358677047002</v>
      </c>
      <c r="E551">
        <v>4.0177997147661797</v>
      </c>
      <c r="F551">
        <v>34.332566286636599</v>
      </c>
      <c r="G551">
        <v>1.44362160084532</v>
      </c>
      <c r="H551">
        <v>137</v>
      </c>
    </row>
    <row r="552" spans="1:8">
      <c r="A552">
        <v>1.3197699344265701</v>
      </c>
      <c r="B552">
        <v>4.1972257326984304</v>
      </c>
      <c r="C552">
        <v>26.580109384191498</v>
      </c>
      <c r="D552">
        <v>1.95791509552439</v>
      </c>
      <c r="E552">
        <v>3.6719827850455999</v>
      </c>
      <c r="F552">
        <v>36.386503506275297</v>
      </c>
      <c r="G552">
        <v>1.79401879573529</v>
      </c>
      <c r="H552">
        <v>169</v>
      </c>
    </row>
    <row r="553" spans="1:8">
      <c r="A553">
        <v>1.3855437447025001</v>
      </c>
      <c r="B553">
        <v>4.2125984449105802</v>
      </c>
      <c r="C553">
        <v>28.159509968716801</v>
      </c>
      <c r="D553">
        <v>2.0113076427170702</v>
      </c>
      <c r="E553">
        <v>3.56874590353523</v>
      </c>
      <c r="F553">
        <v>31.750554833410298</v>
      </c>
      <c r="G553">
        <v>1.1660408873524599</v>
      </c>
      <c r="H553">
        <v>54</v>
      </c>
    </row>
    <row r="554" spans="1:8">
      <c r="A554">
        <v>1.49354904635393</v>
      </c>
      <c r="B554">
        <v>4.1902655934209401</v>
      </c>
      <c r="C554">
        <v>26.4875727884463</v>
      </c>
      <c r="D554">
        <v>1.9607594514872699</v>
      </c>
      <c r="E554">
        <v>3.4944657228894198</v>
      </c>
      <c r="F554">
        <v>33.286418600098301</v>
      </c>
      <c r="G554">
        <v>0.84988300276871898</v>
      </c>
      <c r="H554">
        <v>20</v>
      </c>
    </row>
    <row r="555" spans="1:8">
      <c r="A555">
        <v>1.3849308246946199</v>
      </c>
      <c r="B555">
        <v>4.1906660335354902</v>
      </c>
      <c r="C555">
        <v>25.347738391135199</v>
      </c>
      <c r="D555">
        <v>2.0667355973711201</v>
      </c>
      <c r="E555">
        <v>3.2628387725642201</v>
      </c>
      <c r="F555">
        <v>33.488101758758603</v>
      </c>
      <c r="G555">
        <v>1.7217064842396601</v>
      </c>
      <c r="H555">
        <v>194</v>
      </c>
    </row>
    <row r="556" spans="1:8">
      <c r="A556">
        <v>1.4775782854925299</v>
      </c>
      <c r="B556">
        <v>4.24299370935283</v>
      </c>
      <c r="C556">
        <v>28.957435332166</v>
      </c>
      <c r="D556">
        <v>1.7024379308311901</v>
      </c>
      <c r="E556">
        <v>4.06443853586633</v>
      </c>
      <c r="F556">
        <v>31.719565067983702</v>
      </c>
      <c r="G556">
        <v>1.4288967990767301</v>
      </c>
      <c r="H556">
        <v>95</v>
      </c>
    </row>
    <row r="557" spans="1:8">
      <c r="A557">
        <v>1.4093419726679599</v>
      </c>
      <c r="B557">
        <v>4.1953449232322999</v>
      </c>
      <c r="C557">
        <v>26.203721772809899</v>
      </c>
      <c r="D557">
        <v>2.0079445127201199</v>
      </c>
      <c r="E557">
        <v>3.16978858251339</v>
      </c>
      <c r="F557">
        <v>34.802968992846203</v>
      </c>
      <c r="G557">
        <v>0.95466423477936102</v>
      </c>
      <c r="H557">
        <v>11</v>
      </c>
    </row>
    <row r="558" spans="1:8">
      <c r="A558">
        <v>1.3432014908182399</v>
      </c>
      <c r="B558">
        <v>4.2007911288353297</v>
      </c>
      <c r="C558">
        <v>28.6397993635143</v>
      </c>
      <c r="D558">
        <v>2.0355844511383698</v>
      </c>
      <c r="E558">
        <v>3.6231916547465199</v>
      </c>
      <c r="F558">
        <v>30.775168339191001</v>
      </c>
      <c r="G558">
        <v>1.9290206823938101</v>
      </c>
      <c r="H558">
        <v>195</v>
      </c>
    </row>
    <row r="559" spans="1:8">
      <c r="A559">
        <v>1.4397476060109899</v>
      </c>
      <c r="B559">
        <v>4.1147536849252901</v>
      </c>
      <c r="C559">
        <v>28.1016277825115</v>
      </c>
      <c r="D559">
        <v>1.9990151735877699</v>
      </c>
      <c r="E559">
        <v>3.2152236337990598</v>
      </c>
      <c r="F559">
        <v>30.2637008766097</v>
      </c>
      <c r="G559">
        <v>1.32254187873336</v>
      </c>
      <c r="H559">
        <v>73</v>
      </c>
    </row>
    <row r="560" spans="1:8">
      <c r="A560">
        <v>1.2911505193847901</v>
      </c>
      <c r="B560">
        <v>4.1909872814373603</v>
      </c>
      <c r="C560">
        <v>28.031046134968602</v>
      </c>
      <c r="D560">
        <v>1.9257156750802999</v>
      </c>
      <c r="E560">
        <v>3.5353360543538299</v>
      </c>
      <c r="F560">
        <v>36.702779805216402</v>
      </c>
      <c r="G560">
        <v>1.34176246077001</v>
      </c>
      <c r="H560">
        <v>88</v>
      </c>
    </row>
    <row r="561" spans="1:8">
      <c r="A561">
        <v>1.4663455724305601</v>
      </c>
      <c r="B561">
        <v>4.1964229964661097</v>
      </c>
      <c r="C561">
        <v>28.7033816405661</v>
      </c>
      <c r="D561">
        <v>1.96775475129949</v>
      </c>
      <c r="E561">
        <v>3.5244395368186598</v>
      </c>
      <c r="F561">
        <v>30.577636440398599</v>
      </c>
      <c r="G561">
        <v>1.7213110682291399</v>
      </c>
      <c r="H561">
        <v>154</v>
      </c>
    </row>
    <row r="562" spans="1:8">
      <c r="A562">
        <v>1.5305620091897001</v>
      </c>
      <c r="B562">
        <v>4.2111948936798296</v>
      </c>
      <c r="C562">
        <v>25.352543430123799</v>
      </c>
      <c r="D562">
        <v>2.0304122893872201</v>
      </c>
      <c r="E562">
        <v>3.8887972903880299</v>
      </c>
      <c r="F562">
        <v>35.165896747408702</v>
      </c>
      <c r="G562">
        <v>0.95595187666431702</v>
      </c>
      <c r="H562">
        <v>10</v>
      </c>
    </row>
    <row r="563" spans="1:8">
      <c r="A563">
        <v>1.49339731653321</v>
      </c>
      <c r="B563">
        <v>4.2016710131849901</v>
      </c>
      <c r="C563">
        <v>24.430718842948298</v>
      </c>
      <c r="D563">
        <v>1.98762764311775</v>
      </c>
      <c r="E563">
        <v>3.7374569809468801</v>
      </c>
      <c r="F563">
        <v>34.021415447559598</v>
      </c>
      <c r="G563">
        <v>1.7138919058589399</v>
      </c>
      <c r="H563">
        <v>164</v>
      </c>
    </row>
    <row r="564" spans="1:8">
      <c r="A564">
        <v>1.2387544193311599</v>
      </c>
      <c r="B564">
        <v>4.1803958334618398</v>
      </c>
      <c r="C564">
        <v>26.765416271865998</v>
      </c>
      <c r="D564">
        <v>1.9502898424466799</v>
      </c>
      <c r="E564">
        <v>3.6071192554014799</v>
      </c>
      <c r="F564">
        <v>32.0887599409389</v>
      </c>
      <c r="G564">
        <v>0.93485376434366196</v>
      </c>
      <c r="H564">
        <v>9</v>
      </c>
    </row>
    <row r="565" spans="1:8">
      <c r="A565">
        <v>1.55386878391206</v>
      </c>
      <c r="B565">
        <v>4.2146301917284701</v>
      </c>
      <c r="C565">
        <v>26.395561256399098</v>
      </c>
      <c r="D565">
        <v>2.0322765751099401</v>
      </c>
      <c r="E565">
        <v>2.8442881254620902</v>
      </c>
      <c r="F565">
        <v>33.877835408729403</v>
      </c>
      <c r="G565">
        <v>1.6334920010541401</v>
      </c>
      <c r="H565">
        <v>137</v>
      </c>
    </row>
    <row r="566" spans="1:8">
      <c r="A566">
        <v>1.25546282603811</v>
      </c>
      <c r="B566">
        <v>4.1798193256087401</v>
      </c>
      <c r="C566">
        <v>30.0346808672994</v>
      </c>
      <c r="D566">
        <v>2.2425304563940598</v>
      </c>
      <c r="E566">
        <v>3.4604613032540299</v>
      </c>
      <c r="F566">
        <v>27.795611266372699</v>
      </c>
      <c r="G566">
        <v>1.7358920687772199</v>
      </c>
      <c r="H566">
        <v>197</v>
      </c>
    </row>
    <row r="567" spans="1:8">
      <c r="A567">
        <v>1.46507889070931</v>
      </c>
      <c r="B567">
        <v>4.2618129677525998</v>
      </c>
      <c r="C567">
        <v>26.021358493114299</v>
      </c>
      <c r="D567">
        <v>1.9899265658221399</v>
      </c>
      <c r="E567">
        <v>3.4305148546553101</v>
      </c>
      <c r="F567">
        <v>32.949301278425203</v>
      </c>
      <c r="G567">
        <v>1.6209557307114899</v>
      </c>
      <c r="H567">
        <v>142</v>
      </c>
    </row>
    <row r="568" spans="1:8">
      <c r="A568">
        <v>1.1835636920254</v>
      </c>
      <c r="B568">
        <v>4.15225359437515</v>
      </c>
      <c r="C568">
        <v>30.2950214673108</v>
      </c>
      <c r="D568">
        <v>1.8850114111184899</v>
      </c>
      <c r="E568">
        <v>3.9159149777896198</v>
      </c>
      <c r="F568">
        <v>30.3535100195631</v>
      </c>
      <c r="G568">
        <v>1.9790416412352501</v>
      </c>
      <c r="H568">
        <v>206</v>
      </c>
    </row>
    <row r="569" spans="1:8">
      <c r="A569">
        <v>1.3220847433952301</v>
      </c>
      <c r="B569">
        <v>4.2288523196594801</v>
      </c>
      <c r="C569">
        <v>27.6969764194771</v>
      </c>
      <c r="D569">
        <v>1.9711028677593201</v>
      </c>
      <c r="E569">
        <v>3.6873327055773202</v>
      </c>
      <c r="F569">
        <v>35.701761729799301</v>
      </c>
      <c r="G569">
        <v>1.6125537343484799</v>
      </c>
      <c r="H569">
        <v>133</v>
      </c>
    </row>
    <row r="570" spans="1:8">
      <c r="A570">
        <v>1.4077828947842701</v>
      </c>
      <c r="B570">
        <v>4.1640529157730199</v>
      </c>
      <c r="C570">
        <v>25.352379392846601</v>
      </c>
      <c r="D570">
        <v>1.96196244821862</v>
      </c>
      <c r="E570">
        <v>3.6817960959447502</v>
      </c>
      <c r="F570">
        <v>32.1384701449904</v>
      </c>
      <c r="G570">
        <v>1.3381014616784801</v>
      </c>
      <c r="H570">
        <v>76</v>
      </c>
    </row>
    <row r="571" spans="1:8">
      <c r="A571">
        <v>1.3518457147457601</v>
      </c>
      <c r="B571">
        <v>4.2261166178057001</v>
      </c>
      <c r="C571">
        <v>26.461198303662801</v>
      </c>
      <c r="D571">
        <v>1.9927624632412899</v>
      </c>
      <c r="E571">
        <v>3.2307874178356402</v>
      </c>
      <c r="F571">
        <v>31.295148904218198</v>
      </c>
      <c r="G571">
        <v>1.72093416186621</v>
      </c>
      <c r="H571">
        <v>165</v>
      </c>
    </row>
    <row r="572" spans="1:8">
      <c r="A572">
        <v>1.4736792960099201</v>
      </c>
      <c r="B572">
        <v>4.1608029135178599</v>
      </c>
      <c r="C572">
        <v>28.421448470906501</v>
      </c>
      <c r="D572">
        <v>1.9434425892079601</v>
      </c>
      <c r="E572">
        <v>3.4556745378230098</v>
      </c>
      <c r="F572">
        <v>31.930095122181498</v>
      </c>
      <c r="G572">
        <v>1.39022743391387</v>
      </c>
      <c r="H572">
        <v>99</v>
      </c>
    </row>
    <row r="573" spans="1:8">
      <c r="A573">
        <v>1.26399515363258</v>
      </c>
      <c r="B573">
        <v>4.1664794450077398</v>
      </c>
      <c r="C573">
        <v>27.326450960495801</v>
      </c>
      <c r="D573">
        <v>2.0962730419903499</v>
      </c>
      <c r="E573">
        <v>3.6101888729967699</v>
      </c>
      <c r="F573">
        <v>32.094178172447599</v>
      </c>
      <c r="G573">
        <v>1.0630940890929901</v>
      </c>
      <c r="H573">
        <v>62</v>
      </c>
    </row>
    <row r="574" spans="1:8">
      <c r="A574">
        <v>1.4237528712579399</v>
      </c>
      <c r="B574">
        <v>4.2033469625346003</v>
      </c>
      <c r="C574">
        <v>25.1005684297917</v>
      </c>
      <c r="D574">
        <v>2.0529507837962999</v>
      </c>
      <c r="E574">
        <v>3.34526738645976</v>
      </c>
      <c r="F574">
        <v>34.165471881481203</v>
      </c>
      <c r="G574">
        <v>1.6457942401486201</v>
      </c>
      <c r="H574">
        <v>139</v>
      </c>
    </row>
    <row r="575" spans="1:8">
      <c r="A575">
        <v>1.45944075656391</v>
      </c>
      <c r="B575">
        <v>4.1987435730228801</v>
      </c>
      <c r="C575">
        <v>26.5215067208336</v>
      </c>
      <c r="D575">
        <v>1.95821030971407</v>
      </c>
      <c r="E575">
        <v>3.6685688687921698</v>
      </c>
      <c r="F575">
        <v>31.198080297611501</v>
      </c>
      <c r="G575">
        <v>1.9936917393798099</v>
      </c>
      <c r="H575">
        <v>209</v>
      </c>
    </row>
    <row r="576" spans="1:8">
      <c r="A576">
        <v>1.29890284107231</v>
      </c>
      <c r="B576">
        <v>4.1594971741413698</v>
      </c>
      <c r="C576">
        <v>26.952013799087901</v>
      </c>
      <c r="D576">
        <v>1.98080122044506</v>
      </c>
      <c r="E576">
        <v>3.0153694554349801</v>
      </c>
      <c r="F576">
        <v>33.637633846972598</v>
      </c>
      <c r="G576">
        <v>1.1907364573278401</v>
      </c>
      <c r="H576">
        <v>89</v>
      </c>
    </row>
    <row r="577" spans="1:8">
      <c r="A577">
        <v>1.4172034551536301</v>
      </c>
      <c r="B577">
        <v>4.1286588504439701</v>
      </c>
      <c r="C577">
        <v>26.1796152336901</v>
      </c>
      <c r="D577">
        <v>2.0569844298322502</v>
      </c>
      <c r="E577">
        <v>3.2446918322833498</v>
      </c>
      <c r="F577">
        <v>32.095927397205799</v>
      </c>
      <c r="G577">
        <v>1.50707651268569</v>
      </c>
      <c r="H577">
        <v>111</v>
      </c>
    </row>
    <row r="578" spans="1:8">
      <c r="A578">
        <v>1.41978343726919</v>
      </c>
      <c r="B578">
        <v>4.2694689730514304</v>
      </c>
      <c r="C578">
        <v>27.9041675532692</v>
      </c>
      <c r="D578">
        <v>1.95706566901762</v>
      </c>
      <c r="E578">
        <v>3.87365985601607</v>
      </c>
      <c r="F578">
        <v>30.335888219996601</v>
      </c>
      <c r="G578">
        <v>1.0647592415968801</v>
      </c>
      <c r="H578">
        <v>24</v>
      </c>
    </row>
    <row r="579" spans="1:8">
      <c r="A579">
        <v>1.3408873827636201</v>
      </c>
      <c r="B579">
        <v>4.2298883206838296</v>
      </c>
      <c r="C579">
        <v>24.380107338174</v>
      </c>
      <c r="D579">
        <v>2.0720556237469299</v>
      </c>
      <c r="E579">
        <v>3.3114956848381301</v>
      </c>
      <c r="F579">
        <v>33.414561346789696</v>
      </c>
      <c r="G579">
        <v>1.6188514250491699</v>
      </c>
      <c r="H579">
        <v>143</v>
      </c>
    </row>
    <row r="580" spans="1:8">
      <c r="A580">
        <v>1.3096407783022499</v>
      </c>
      <c r="B580">
        <v>4.1900315928747798</v>
      </c>
      <c r="C580">
        <v>27.277409662437702</v>
      </c>
      <c r="D580">
        <v>2.0103746358354702</v>
      </c>
      <c r="E580">
        <v>3.3136135936717102</v>
      </c>
      <c r="F580">
        <v>33.4768200386047</v>
      </c>
      <c r="G580">
        <v>1.05751950591754</v>
      </c>
      <c r="H580">
        <v>61</v>
      </c>
    </row>
    <row r="581" spans="1:8">
      <c r="A581">
        <v>1.2913589320543</v>
      </c>
      <c r="B581">
        <v>4.1626530169981901</v>
      </c>
      <c r="C581">
        <v>27.361718208924</v>
      </c>
      <c r="D581">
        <v>2.0607349937091599</v>
      </c>
      <c r="E581">
        <v>3.1792559407560499</v>
      </c>
      <c r="F581">
        <v>33.032031611289703</v>
      </c>
      <c r="G581">
        <v>1.5400353993162701</v>
      </c>
      <c r="H581">
        <v>119</v>
      </c>
    </row>
    <row r="582" spans="1:8">
      <c r="A582">
        <v>1.2863157166692401</v>
      </c>
      <c r="B582">
        <v>4.15678840800879</v>
      </c>
      <c r="C582">
        <v>26.0143609617656</v>
      </c>
      <c r="D582">
        <v>2.00443768773764</v>
      </c>
      <c r="E582">
        <v>3.4062490916691601</v>
      </c>
      <c r="F582">
        <v>29.914774268316599</v>
      </c>
      <c r="G582">
        <v>1.8167774828083401</v>
      </c>
      <c r="H582">
        <v>212</v>
      </c>
    </row>
    <row r="583" spans="1:8">
      <c r="A583">
        <v>1.4630454364207801</v>
      </c>
      <c r="B583">
        <v>4.2004994032567202</v>
      </c>
      <c r="C583">
        <v>26.225643675090001</v>
      </c>
      <c r="D583">
        <v>2.1737253223983002</v>
      </c>
      <c r="E583">
        <v>2.7496903966424799</v>
      </c>
      <c r="F583">
        <v>34.533813523158301</v>
      </c>
      <c r="G583">
        <v>1.5443858126044501</v>
      </c>
      <c r="H583">
        <v>129</v>
      </c>
    </row>
    <row r="584" spans="1:8">
      <c r="A584">
        <v>1.38140612563203</v>
      </c>
      <c r="B584">
        <v>4.2102305076814197</v>
      </c>
      <c r="C584">
        <v>25.5108769128231</v>
      </c>
      <c r="D584">
        <v>2.0376120436746699</v>
      </c>
      <c r="E584">
        <v>3.2980423360340398</v>
      </c>
      <c r="F584">
        <v>34.281705881687103</v>
      </c>
      <c r="G584">
        <v>0.76197044048538198</v>
      </c>
      <c r="H584">
        <v>4</v>
      </c>
    </row>
    <row r="585" spans="1:8">
      <c r="A585">
        <v>1.5446001675982499</v>
      </c>
      <c r="B585">
        <v>4.2587278514317202</v>
      </c>
      <c r="C585">
        <v>29.659675284318201</v>
      </c>
      <c r="D585">
        <v>1.8674836258041301</v>
      </c>
      <c r="E585">
        <v>3.6647704221188802</v>
      </c>
      <c r="F585">
        <v>28.992027137415299</v>
      </c>
      <c r="G585">
        <v>0.94219503377360703</v>
      </c>
      <c r="H585">
        <v>0</v>
      </c>
    </row>
    <row r="586" spans="1:8">
      <c r="A586">
        <v>1.38077392350761</v>
      </c>
      <c r="B586">
        <v>4.1935269435387497</v>
      </c>
      <c r="C586">
        <v>28.099781137918399</v>
      </c>
      <c r="D586">
        <v>2.07065937292532</v>
      </c>
      <c r="E586">
        <v>3.3751761581587698</v>
      </c>
      <c r="F586">
        <v>34.465212404096299</v>
      </c>
      <c r="G586">
        <v>1.6064911943067299</v>
      </c>
      <c r="H586">
        <v>141</v>
      </c>
    </row>
    <row r="587" spans="1:8">
      <c r="A587">
        <v>1.2357088585217599</v>
      </c>
      <c r="B587">
        <v>4.1583994009689897</v>
      </c>
      <c r="C587">
        <v>27.0517530190263</v>
      </c>
      <c r="D587">
        <v>2.1081345451073501</v>
      </c>
      <c r="E587">
        <v>3.7088970980681499</v>
      </c>
      <c r="F587">
        <v>32.887003432830703</v>
      </c>
      <c r="G587">
        <v>0.81050485841781295</v>
      </c>
      <c r="H587">
        <v>12</v>
      </c>
    </row>
    <row r="588" spans="1:8">
      <c r="A588">
        <v>1.51597377241419</v>
      </c>
      <c r="B588">
        <v>4.1972209968299801</v>
      </c>
      <c r="C588">
        <v>27.1903307109488</v>
      </c>
      <c r="D588">
        <v>1.9835742714912099</v>
      </c>
      <c r="E588">
        <v>3.72627014120018</v>
      </c>
      <c r="F588">
        <v>28.619731133118101</v>
      </c>
      <c r="G588">
        <v>1.93981145249537</v>
      </c>
      <c r="H588">
        <v>209</v>
      </c>
    </row>
    <row r="589" spans="1:8">
      <c r="A589">
        <v>1.3385466712474201</v>
      </c>
      <c r="B589">
        <v>4.2954492258480403</v>
      </c>
      <c r="C589">
        <v>25.3482353042744</v>
      </c>
      <c r="D589">
        <v>1.7838575484975401</v>
      </c>
      <c r="E589">
        <v>3.9946189229267901</v>
      </c>
      <c r="F589">
        <v>31.669003721115399</v>
      </c>
      <c r="G589">
        <v>1.2453069458381001</v>
      </c>
      <c r="H589">
        <v>99</v>
      </c>
    </row>
    <row r="590" spans="1:8">
      <c r="A590">
        <v>1.16482501831934</v>
      </c>
      <c r="B590">
        <v>4.255896579062</v>
      </c>
      <c r="C590">
        <v>25.865586892535699</v>
      </c>
      <c r="D590">
        <v>1.8739008762378799</v>
      </c>
      <c r="E590">
        <v>3.45014349131363</v>
      </c>
      <c r="F590">
        <v>32.6362813666072</v>
      </c>
      <c r="G590">
        <v>1.1691864208876801</v>
      </c>
      <c r="H590">
        <v>55</v>
      </c>
    </row>
    <row r="591" spans="1:8">
      <c r="A591">
        <v>1.5060556598304999</v>
      </c>
      <c r="B591">
        <v>4.1175756822051399</v>
      </c>
      <c r="C591">
        <v>25.857334407257699</v>
      </c>
      <c r="D591">
        <v>2.2038768948688499</v>
      </c>
      <c r="E591">
        <v>3.4140012901342902</v>
      </c>
      <c r="F591">
        <v>33.802440342891899</v>
      </c>
      <c r="G591">
        <v>1.1026666286000899</v>
      </c>
      <c r="H591">
        <v>71</v>
      </c>
    </row>
    <row r="592" spans="1:8">
      <c r="A592">
        <v>1.26787081154015</v>
      </c>
      <c r="B592">
        <v>4.22914587329835</v>
      </c>
      <c r="C592">
        <v>24.5125138258561</v>
      </c>
      <c r="D592">
        <v>2.34700174539645</v>
      </c>
      <c r="E592">
        <v>3.0674109279092501</v>
      </c>
      <c r="F592">
        <v>36.198284420608402</v>
      </c>
      <c r="G592">
        <v>1.3481702600663901</v>
      </c>
      <c r="H592">
        <v>121</v>
      </c>
    </row>
    <row r="593" spans="1:8">
      <c r="A593">
        <v>1.42818327113142</v>
      </c>
      <c r="B593">
        <v>4.2099030793162298</v>
      </c>
      <c r="C593">
        <v>28.080145158452499</v>
      </c>
      <c r="D593">
        <v>1.9728054470471601</v>
      </c>
      <c r="E593">
        <v>3.6983085138755798</v>
      </c>
      <c r="F593">
        <v>30.898516340208499</v>
      </c>
      <c r="G593">
        <v>0.76590276502719801</v>
      </c>
      <c r="H593">
        <v>3</v>
      </c>
    </row>
    <row r="594" spans="1:8">
      <c r="A594">
        <v>1.48805896798281</v>
      </c>
      <c r="B594">
        <v>4.1376603685647702</v>
      </c>
      <c r="C594">
        <v>27.7379265104057</v>
      </c>
      <c r="D594">
        <v>2.1363962979202902</v>
      </c>
      <c r="E594">
        <v>3.8012861201025001</v>
      </c>
      <c r="F594">
        <v>31.207222567612099</v>
      </c>
      <c r="G594">
        <v>1.8440256213731201</v>
      </c>
      <c r="H594">
        <v>188</v>
      </c>
    </row>
    <row r="595" spans="1:8">
      <c r="A595">
        <v>1.32921810449753</v>
      </c>
      <c r="B595">
        <v>4.2055324969797896</v>
      </c>
      <c r="C595">
        <v>29.5858205043716</v>
      </c>
      <c r="D595">
        <v>2.1049475507533399</v>
      </c>
      <c r="E595">
        <v>3.33508324953059</v>
      </c>
      <c r="F595">
        <v>32.494409336364697</v>
      </c>
      <c r="G595">
        <v>0.79610129959926701</v>
      </c>
      <c r="H595">
        <v>8</v>
      </c>
    </row>
    <row r="596" spans="1:8">
      <c r="A596">
        <v>1.38095521210352</v>
      </c>
      <c r="B596">
        <v>4.17040061920477</v>
      </c>
      <c r="C596">
        <v>27.474212346236801</v>
      </c>
      <c r="D596">
        <v>2.0404958622779401</v>
      </c>
      <c r="E596">
        <v>3.68402810603855</v>
      </c>
      <c r="F596">
        <v>32.970867867170298</v>
      </c>
      <c r="G596">
        <v>1.74444689078405</v>
      </c>
      <c r="H596">
        <v>199</v>
      </c>
    </row>
    <row r="597" spans="1:8">
      <c r="A597">
        <v>1.5576239479090499</v>
      </c>
      <c r="B597">
        <v>4.24737975039245</v>
      </c>
      <c r="C597">
        <v>25.7343970617992</v>
      </c>
      <c r="D597">
        <v>2.0224868103185099</v>
      </c>
      <c r="E597">
        <v>3.5230664315781399</v>
      </c>
      <c r="F597">
        <v>29.050469577978401</v>
      </c>
      <c r="G597">
        <v>1.4851363803030699</v>
      </c>
      <c r="H597">
        <v>146</v>
      </c>
    </row>
    <row r="598" spans="1:8">
      <c r="A598">
        <v>1.2813975395710999</v>
      </c>
      <c r="B598">
        <v>4.1735962099409898</v>
      </c>
      <c r="C598">
        <v>30.000461074011199</v>
      </c>
      <c r="D598">
        <v>1.9771069488209601</v>
      </c>
      <c r="E598">
        <v>3.1773465490986701</v>
      </c>
      <c r="F598">
        <v>32.328078748717999</v>
      </c>
      <c r="G598">
        <v>1.6587287279748999</v>
      </c>
      <c r="H598">
        <v>140</v>
      </c>
    </row>
    <row r="599" spans="1:8">
      <c r="A599">
        <v>1.38159356417657</v>
      </c>
      <c r="B599">
        <v>4.1603713326970198</v>
      </c>
      <c r="C599">
        <v>28.349200203051399</v>
      </c>
      <c r="D599">
        <v>1.77245366040626</v>
      </c>
      <c r="E599">
        <v>3.7450083800158902</v>
      </c>
      <c r="F599">
        <v>30.103205828175401</v>
      </c>
      <c r="G599">
        <v>1.01109597052056</v>
      </c>
      <c r="H599">
        <v>20</v>
      </c>
    </row>
    <row r="600" spans="1:8">
      <c r="A600">
        <v>1.41808572616909</v>
      </c>
      <c r="B600">
        <v>4.1354940482409104</v>
      </c>
      <c r="C600">
        <v>28.597793154803501</v>
      </c>
      <c r="D600">
        <v>1.9896551321512901</v>
      </c>
      <c r="E600">
        <v>3.8712910262440898</v>
      </c>
      <c r="F600">
        <v>33.529419138099001</v>
      </c>
      <c r="G600">
        <v>1.13670676847707</v>
      </c>
      <c r="H600">
        <v>77</v>
      </c>
    </row>
    <row r="601" spans="1:8">
      <c r="A601">
        <v>1.40310008013521</v>
      </c>
      <c r="B601">
        <v>4.2672830970835598</v>
      </c>
      <c r="C601">
        <v>26.9785251226143</v>
      </c>
      <c r="D601">
        <v>2.0546462830143501</v>
      </c>
      <c r="E601">
        <v>3.8308393218446599</v>
      </c>
      <c r="F601">
        <v>31.4649283747863</v>
      </c>
      <c r="G601">
        <v>1.18819089967489</v>
      </c>
      <c r="H601">
        <v>48</v>
      </c>
    </row>
    <row r="602" spans="1:8">
      <c r="A602">
        <v>1.2577336735384801</v>
      </c>
      <c r="B602">
        <v>4.1933680543054104</v>
      </c>
      <c r="C602">
        <v>26.874592576487299</v>
      </c>
      <c r="D602">
        <v>1.9897801086657501</v>
      </c>
      <c r="E602">
        <v>3.4876245811626299</v>
      </c>
      <c r="F602">
        <v>33.532713179380202</v>
      </c>
      <c r="G602">
        <v>1.40118241704111</v>
      </c>
      <c r="H602">
        <v>101</v>
      </c>
    </row>
    <row r="603" spans="1:8">
      <c r="A603">
        <v>1.4693990429931101</v>
      </c>
      <c r="B603">
        <v>4.1434745484427902</v>
      </c>
      <c r="C603">
        <v>25.192021442560701</v>
      </c>
      <c r="D603">
        <v>1.9424577272646499</v>
      </c>
      <c r="E603">
        <v>3.3705725785472</v>
      </c>
      <c r="F603">
        <v>30.8941996965298</v>
      </c>
      <c r="G603">
        <v>1.3223353171901999</v>
      </c>
      <c r="H603">
        <v>84</v>
      </c>
    </row>
    <row r="604" spans="1:8">
      <c r="A604">
        <v>1.51857189076869</v>
      </c>
      <c r="B604">
        <v>4.1952224541174399</v>
      </c>
      <c r="C604">
        <v>24.3998061303596</v>
      </c>
      <c r="D604">
        <v>2.0116515263102701</v>
      </c>
      <c r="E604">
        <v>3.75742433961583</v>
      </c>
      <c r="F604">
        <v>35.444501846783098</v>
      </c>
      <c r="G604">
        <v>1.6697825725525599</v>
      </c>
      <c r="H604">
        <v>184</v>
      </c>
    </row>
    <row r="605" spans="1:8">
      <c r="A605">
        <v>1.4202715381739801</v>
      </c>
      <c r="B605">
        <v>4.2763229059182297</v>
      </c>
      <c r="C605">
        <v>25.407910461384901</v>
      </c>
      <c r="D605">
        <v>1.94210535495942</v>
      </c>
      <c r="E605">
        <v>3.2144328080146298</v>
      </c>
      <c r="F605">
        <v>35.134800643918403</v>
      </c>
      <c r="G605">
        <v>1.9842521628299401</v>
      </c>
      <c r="H605">
        <v>217</v>
      </c>
    </row>
    <row r="606" spans="1:8">
      <c r="A606">
        <v>1.4118516818332301</v>
      </c>
      <c r="B606">
        <v>4.2014623218571003</v>
      </c>
      <c r="C606">
        <v>25.923716047572899</v>
      </c>
      <c r="D606">
        <v>2.12646709791915</v>
      </c>
      <c r="E606">
        <v>3.4734728508977599</v>
      </c>
      <c r="F606">
        <v>33.564458147122799</v>
      </c>
      <c r="G606">
        <v>1.56192094911327</v>
      </c>
      <c r="H606">
        <v>123</v>
      </c>
    </row>
    <row r="607" spans="1:8">
      <c r="A607">
        <v>1.4384203517417899</v>
      </c>
      <c r="B607">
        <v>4.2137525236050903</v>
      </c>
      <c r="C607">
        <v>27.3954924351549</v>
      </c>
      <c r="D607">
        <v>2.0167790711756899</v>
      </c>
      <c r="E607">
        <v>3.0444493199606599</v>
      </c>
      <c r="F607">
        <v>34.232735491546499</v>
      </c>
      <c r="G607">
        <v>1.5947425111620599</v>
      </c>
      <c r="H607">
        <v>138</v>
      </c>
    </row>
    <row r="608" spans="1:8">
      <c r="A608">
        <v>1.3062592549983401</v>
      </c>
      <c r="B608">
        <v>4.284652809762</v>
      </c>
      <c r="C608">
        <v>29.921536109439501</v>
      </c>
      <c r="D608">
        <v>1.8707405567317501</v>
      </c>
      <c r="E608">
        <v>3.82815932449815</v>
      </c>
      <c r="F608">
        <v>32.0549632399049</v>
      </c>
      <c r="G608">
        <v>1.2548423995017599</v>
      </c>
      <c r="H608">
        <v>101</v>
      </c>
    </row>
    <row r="609" spans="1:8">
      <c r="A609">
        <v>1.4143459673591701</v>
      </c>
      <c r="B609">
        <v>4.2562326748511898</v>
      </c>
      <c r="C609">
        <v>25.8386726099938</v>
      </c>
      <c r="D609">
        <v>1.9961635437715</v>
      </c>
      <c r="E609">
        <v>3.6121519465680998</v>
      </c>
      <c r="F609">
        <v>34.171652965606</v>
      </c>
      <c r="G609">
        <v>1.58294024445119</v>
      </c>
      <c r="H609">
        <v>127</v>
      </c>
    </row>
    <row r="610" spans="1:8">
      <c r="A610">
        <v>1.42195427640193</v>
      </c>
      <c r="B610">
        <v>4.0889647437346097</v>
      </c>
      <c r="C610">
        <v>24.088622137323199</v>
      </c>
      <c r="D610">
        <v>1.8474330356352699</v>
      </c>
      <c r="E610">
        <v>3.1117054922443601</v>
      </c>
      <c r="F610">
        <v>35.434527420607097</v>
      </c>
      <c r="G610">
        <v>1.00951475486542</v>
      </c>
      <c r="H610">
        <v>12</v>
      </c>
    </row>
    <row r="611" spans="1:8">
      <c r="A611">
        <v>1.45328343383695</v>
      </c>
      <c r="B611">
        <v>4.2364951365865098</v>
      </c>
      <c r="C611">
        <v>25.29154748961</v>
      </c>
      <c r="D611">
        <v>1.96411957843399</v>
      </c>
      <c r="E611">
        <v>3.6063284857028099</v>
      </c>
      <c r="F611">
        <v>34.793818525579702</v>
      </c>
      <c r="G611">
        <v>1.1611852079874201</v>
      </c>
      <c r="H611">
        <v>41</v>
      </c>
    </row>
    <row r="612" spans="1:8">
      <c r="A612">
        <v>1.6362464645766499</v>
      </c>
      <c r="B612">
        <v>4.2073341163916398</v>
      </c>
      <c r="C612">
        <v>26.573895954077699</v>
      </c>
      <c r="D612">
        <v>2.0435510599603499</v>
      </c>
      <c r="E612">
        <v>3.1940621691008499</v>
      </c>
      <c r="F612">
        <v>36.045300279663003</v>
      </c>
      <c r="G612">
        <v>1.3703740309889201</v>
      </c>
      <c r="H612">
        <v>83</v>
      </c>
    </row>
    <row r="613" spans="1:8">
      <c r="A613">
        <v>1.2210468592132599</v>
      </c>
      <c r="B613">
        <v>4.1543929444126002</v>
      </c>
      <c r="C613">
        <v>25.828532763080901</v>
      </c>
      <c r="D613">
        <v>2.1733518381476999</v>
      </c>
      <c r="E613">
        <v>3.9543028092216201</v>
      </c>
      <c r="F613">
        <v>32.3569573355568</v>
      </c>
      <c r="G613">
        <v>1.5129399583527201</v>
      </c>
      <c r="H613">
        <v>152</v>
      </c>
    </row>
    <row r="614" spans="1:8">
      <c r="A614">
        <v>1.22594280402922</v>
      </c>
      <c r="B614">
        <v>4.1924674109293196</v>
      </c>
      <c r="C614">
        <v>23.597122189122</v>
      </c>
      <c r="D614">
        <v>2.1426062013607301</v>
      </c>
      <c r="E614">
        <v>3.0408711040448901</v>
      </c>
      <c r="F614">
        <v>32.1161098451283</v>
      </c>
      <c r="G614">
        <v>1.79987099238915</v>
      </c>
      <c r="H614">
        <v>170</v>
      </c>
    </row>
    <row r="615" spans="1:8">
      <c r="A615">
        <v>1.3515397505553799</v>
      </c>
      <c r="B615">
        <v>4.2261858913802701</v>
      </c>
      <c r="C615">
        <v>24.458251520813999</v>
      </c>
      <c r="D615">
        <v>2.0179814091014898</v>
      </c>
      <c r="E615">
        <v>2.9987508268673602</v>
      </c>
      <c r="F615">
        <v>33.674863952443403</v>
      </c>
      <c r="G615">
        <v>1.0360377963288701</v>
      </c>
      <c r="H615">
        <v>27</v>
      </c>
    </row>
    <row r="616" spans="1:8">
      <c r="A616">
        <v>1.4665044418664299</v>
      </c>
      <c r="B616">
        <v>4.2071833848804898</v>
      </c>
      <c r="C616">
        <v>25.8044913491964</v>
      </c>
      <c r="D616">
        <v>2.0217552407551298</v>
      </c>
      <c r="E616">
        <v>3.7084854898622899</v>
      </c>
      <c r="F616">
        <v>33.397781339025101</v>
      </c>
      <c r="G616">
        <v>1.6374274527983901</v>
      </c>
      <c r="H616">
        <v>147</v>
      </c>
    </row>
    <row r="617" spans="1:8">
      <c r="A617">
        <v>1.3977519696177201</v>
      </c>
      <c r="B617">
        <v>4.2014630107884301</v>
      </c>
      <c r="C617">
        <v>27.330645000582098</v>
      </c>
      <c r="D617">
        <v>2.1914180952905502</v>
      </c>
      <c r="E617">
        <v>3.7563919209541998</v>
      </c>
      <c r="F617">
        <v>35.058351595792402</v>
      </c>
      <c r="G617">
        <v>1.47240975449043</v>
      </c>
      <c r="H617">
        <v>103</v>
      </c>
    </row>
    <row r="618" spans="1:8">
      <c r="A618">
        <v>1.3825039158866801</v>
      </c>
      <c r="B618">
        <v>4.1209806616159401</v>
      </c>
      <c r="C618">
        <v>29.245684701542</v>
      </c>
      <c r="D618">
        <v>1.9835819530838299</v>
      </c>
      <c r="E618">
        <v>3.9727587811301501</v>
      </c>
      <c r="F618">
        <v>31.041479628122001</v>
      </c>
      <c r="G618">
        <v>1.70441389147496</v>
      </c>
      <c r="H618">
        <v>152</v>
      </c>
    </row>
    <row r="619" spans="1:8">
      <c r="A619">
        <v>1.56881485360193</v>
      </c>
      <c r="B619">
        <v>4.2398067512235498</v>
      </c>
      <c r="C619">
        <v>28.010901520036501</v>
      </c>
      <c r="D619">
        <v>1.9845960638108799</v>
      </c>
      <c r="E619">
        <v>3.5580158680302101</v>
      </c>
      <c r="F619">
        <v>31.969842158591099</v>
      </c>
      <c r="G619">
        <v>1.6338869310617301</v>
      </c>
      <c r="H619">
        <v>135</v>
      </c>
    </row>
    <row r="620" spans="1:8">
      <c r="A620">
        <v>1.47852044769589</v>
      </c>
      <c r="B620">
        <v>4.1370412650710504</v>
      </c>
      <c r="C620">
        <v>26.302409205313001</v>
      </c>
      <c r="D620">
        <v>2.1037266580726302</v>
      </c>
      <c r="E620">
        <v>3.2746974240203501</v>
      </c>
      <c r="F620">
        <v>31.950306509707701</v>
      </c>
      <c r="G620">
        <v>1.6918244345927</v>
      </c>
      <c r="H620">
        <v>159</v>
      </c>
    </row>
    <row r="621" spans="1:8">
      <c r="A621">
        <v>1.45833258747127</v>
      </c>
      <c r="B621">
        <v>4.2212801908975504</v>
      </c>
      <c r="C621">
        <v>23.7412209466004</v>
      </c>
      <c r="D621">
        <v>2.0108432671038798</v>
      </c>
      <c r="E621">
        <v>3.59033841506026</v>
      </c>
      <c r="F621">
        <v>29.856374534150099</v>
      </c>
      <c r="G621">
        <v>1.91759369568662</v>
      </c>
      <c r="H621">
        <v>194</v>
      </c>
    </row>
    <row r="622" spans="1:8">
      <c r="A622">
        <v>1.3125375394411101</v>
      </c>
      <c r="B622">
        <v>4.21232266283016</v>
      </c>
      <c r="C622">
        <v>26.256010962627801</v>
      </c>
      <c r="D622">
        <v>2.1285603852719399</v>
      </c>
      <c r="E622">
        <v>3.3745533188320702</v>
      </c>
      <c r="F622">
        <v>34.523504527205603</v>
      </c>
      <c r="G622">
        <v>1.8399530815448999</v>
      </c>
      <c r="H622">
        <v>189</v>
      </c>
    </row>
    <row r="623" spans="1:8">
      <c r="A623">
        <v>1.4569990520618099</v>
      </c>
      <c r="B623">
        <v>4.2579633773346002</v>
      </c>
      <c r="C623">
        <v>27.0961510849862</v>
      </c>
      <c r="D623">
        <v>1.9803337150161799</v>
      </c>
      <c r="E623">
        <v>3.5341927339202699</v>
      </c>
      <c r="F623">
        <v>35.112379161649898</v>
      </c>
      <c r="G623">
        <v>1.6441951700494499</v>
      </c>
      <c r="H623">
        <v>150</v>
      </c>
    </row>
    <row r="624" spans="1:8">
      <c r="A624">
        <v>1.6052689949094201</v>
      </c>
      <c r="B624">
        <v>4.3592333804149703</v>
      </c>
      <c r="C624">
        <v>30.4870627693711</v>
      </c>
      <c r="D624">
        <v>1.93104418666539</v>
      </c>
      <c r="E624">
        <v>3.4540015954686698</v>
      </c>
      <c r="F624">
        <v>33.610049181100898</v>
      </c>
      <c r="G624">
        <v>1.4273689333241799</v>
      </c>
      <c r="H624">
        <v>96</v>
      </c>
    </row>
    <row r="625" spans="1:8">
      <c r="A625">
        <v>1.3883900618201099</v>
      </c>
      <c r="B625">
        <v>4.2451699112182002</v>
      </c>
      <c r="C625">
        <v>30.481103652988001</v>
      </c>
      <c r="D625">
        <v>2.1064140533045501</v>
      </c>
      <c r="E625">
        <v>3.2379724003908499</v>
      </c>
      <c r="F625">
        <v>33.744181234650597</v>
      </c>
      <c r="G625">
        <v>0.93158499272177997</v>
      </c>
      <c r="H625">
        <v>7</v>
      </c>
    </row>
    <row r="626" spans="1:8">
      <c r="A626">
        <v>1.53259915848196</v>
      </c>
      <c r="B626">
        <v>4.2157133034804604</v>
      </c>
      <c r="C626">
        <v>27.218614552020298</v>
      </c>
      <c r="D626">
        <v>2.0687286909239799</v>
      </c>
      <c r="E626">
        <v>3.5364254592192301</v>
      </c>
      <c r="F626">
        <v>34.557346116679398</v>
      </c>
      <c r="G626">
        <v>1.76521675950043</v>
      </c>
      <c r="H626">
        <v>175</v>
      </c>
    </row>
    <row r="627" spans="1:8">
      <c r="A627">
        <v>1.4277456875896299</v>
      </c>
      <c r="B627">
        <v>4.1454813369264203</v>
      </c>
      <c r="C627">
        <v>28.489622091934901</v>
      </c>
      <c r="D627">
        <v>1.9669930844904</v>
      </c>
      <c r="E627">
        <v>3.7081553010575399</v>
      </c>
      <c r="F627">
        <v>37.055079355353101</v>
      </c>
      <c r="G627">
        <v>1.6381897366709199</v>
      </c>
      <c r="H627">
        <v>149</v>
      </c>
    </row>
    <row r="628" spans="1:8">
      <c r="A628">
        <v>1.31158190306888</v>
      </c>
      <c r="B628">
        <v>4.1661503174050099</v>
      </c>
      <c r="C628">
        <v>26.017863385461499</v>
      </c>
      <c r="D628">
        <v>1.9229605599053501</v>
      </c>
      <c r="E628">
        <v>3.4001356735651398</v>
      </c>
      <c r="F628">
        <v>30.448012684946299</v>
      </c>
      <c r="G628">
        <v>1.59580481169627</v>
      </c>
      <c r="H628">
        <v>129</v>
      </c>
    </row>
    <row r="629" spans="1:8">
      <c r="A629">
        <v>1.3735751844492201</v>
      </c>
      <c r="B629">
        <v>4.1670844432087204</v>
      </c>
      <c r="C629">
        <v>28.643161165912101</v>
      </c>
      <c r="D629">
        <v>2.1381388624023199</v>
      </c>
      <c r="E629">
        <v>3.8415951315291901</v>
      </c>
      <c r="F629">
        <v>35.026155648263298</v>
      </c>
      <c r="G629">
        <v>1.8188572335528701</v>
      </c>
      <c r="H629">
        <v>172</v>
      </c>
    </row>
    <row r="630" spans="1:8">
      <c r="A630">
        <v>1.40421682296452</v>
      </c>
      <c r="B630">
        <v>4.1865477115757699</v>
      </c>
      <c r="C630">
        <v>25.297263207209799</v>
      </c>
      <c r="D630">
        <v>2.0048354094108598</v>
      </c>
      <c r="E630">
        <v>3.9684596114323001</v>
      </c>
      <c r="F630">
        <v>35.400807126028397</v>
      </c>
      <c r="G630">
        <v>1.1159587710799801</v>
      </c>
      <c r="H630">
        <v>43</v>
      </c>
    </row>
    <row r="631" spans="1:8">
      <c r="A631">
        <v>1.2677543242334699</v>
      </c>
      <c r="B631">
        <v>4.1973240884242804</v>
      </c>
      <c r="C631">
        <v>28.557066098531401</v>
      </c>
      <c r="D631">
        <v>1.9967191297217901</v>
      </c>
      <c r="E631">
        <v>3.2253257774756001</v>
      </c>
      <c r="F631">
        <v>32.482790855976297</v>
      </c>
      <c r="G631">
        <v>1.33919751323143</v>
      </c>
      <c r="H631">
        <v>87</v>
      </c>
    </row>
    <row r="632" spans="1:8">
      <c r="A632">
        <v>1.11930607011658</v>
      </c>
      <c r="B632">
        <v>4.2200773582508901</v>
      </c>
      <c r="C632">
        <v>27.986543800850001</v>
      </c>
      <c r="D632">
        <v>2.0016843314338901</v>
      </c>
      <c r="E632">
        <v>3.8879031527847601</v>
      </c>
      <c r="F632">
        <v>33.166932580727497</v>
      </c>
      <c r="G632">
        <v>1.11713881335714</v>
      </c>
      <c r="H632">
        <v>34</v>
      </c>
    </row>
    <row r="633" spans="1:8">
      <c r="A633">
        <v>1.6683972787432799</v>
      </c>
      <c r="B633">
        <v>4.1529381736022097</v>
      </c>
      <c r="C633">
        <v>25.851010745974101</v>
      </c>
      <c r="D633">
        <v>2.02658102115163</v>
      </c>
      <c r="E633">
        <v>3.60842219352197</v>
      </c>
      <c r="F633">
        <v>31.518536211005902</v>
      </c>
      <c r="G633">
        <v>1.1166007046053701</v>
      </c>
      <c r="H633">
        <v>45</v>
      </c>
    </row>
    <row r="634" spans="1:8">
      <c r="A634">
        <v>1.4253650366177</v>
      </c>
      <c r="B634">
        <v>4.24550458788777</v>
      </c>
      <c r="C634">
        <v>28.598757071300099</v>
      </c>
      <c r="D634">
        <v>2.1280000684920899</v>
      </c>
      <c r="E634">
        <v>4.1605863612264198</v>
      </c>
      <c r="F634">
        <v>30.983262588269302</v>
      </c>
      <c r="G634">
        <v>1.1463454725281801</v>
      </c>
      <c r="H634">
        <v>80</v>
      </c>
    </row>
    <row r="635" spans="1:8">
      <c r="A635">
        <v>1.1961935832736099</v>
      </c>
      <c r="B635">
        <v>4.1861566491084696</v>
      </c>
      <c r="C635">
        <v>26.090912244822299</v>
      </c>
      <c r="D635">
        <v>1.8394033089586601</v>
      </c>
      <c r="E635">
        <v>3.4966106499451302</v>
      </c>
      <c r="F635">
        <v>33.340046225527303</v>
      </c>
      <c r="G635">
        <v>1.4462356747677201</v>
      </c>
      <c r="H635">
        <v>110</v>
      </c>
    </row>
    <row r="636" spans="1:8">
      <c r="A636">
        <v>1.4604672505669201</v>
      </c>
      <c r="B636">
        <v>4.2484355991518497</v>
      </c>
      <c r="C636">
        <v>25.008823193666501</v>
      </c>
      <c r="D636">
        <v>2.0033079571352599</v>
      </c>
      <c r="E636">
        <v>3.6928430487784398</v>
      </c>
      <c r="F636">
        <v>35.3366857124091</v>
      </c>
      <c r="G636">
        <v>1.67165933088371</v>
      </c>
      <c r="H636">
        <v>154</v>
      </c>
    </row>
    <row r="637" spans="1:8">
      <c r="A637">
        <v>1.2579799462454899</v>
      </c>
      <c r="B637">
        <v>4.2009974071587397</v>
      </c>
      <c r="C637">
        <v>28.0527756476599</v>
      </c>
      <c r="D637">
        <v>2.11210538318899</v>
      </c>
      <c r="E637">
        <v>3.3791031234854398</v>
      </c>
      <c r="F637">
        <v>32.632588305192201</v>
      </c>
      <c r="G637">
        <v>1.2068010006054199</v>
      </c>
      <c r="H637">
        <v>52</v>
      </c>
    </row>
    <row r="638" spans="1:8">
      <c r="A638">
        <v>1.3797580959399001</v>
      </c>
      <c r="B638">
        <v>4.1828303302713499</v>
      </c>
      <c r="C638">
        <v>25.440809477401</v>
      </c>
      <c r="D638">
        <v>1.9746275803003699</v>
      </c>
      <c r="E638">
        <v>3.7662835291726999</v>
      </c>
      <c r="F638">
        <v>32.5070279004578</v>
      </c>
      <c r="G638">
        <v>1.7480940593532399</v>
      </c>
      <c r="H638">
        <v>170</v>
      </c>
    </row>
    <row r="639" spans="1:8">
      <c r="A639">
        <v>1.5193726305473301</v>
      </c>
      <c r="B639">
        <v>4.1793265277544904</v>
      </c>
      <c r="C639">
        <v>24.8596097976436</v>
      </c>
      <c r="D639">
        <v>2.0827224180561701</v>
      </c>
      <c r="E639">
        <v>4.0982807661157201</v>
      </c>
      <c r="F639">
        <v>33.237811880962902</v>
      </c>
      <c r="G639">
        <v>1.8232805507249199</v>
      </c>
      <c r="H639">
        <v>215</v>
      </c>
    </row>
    <row r="640" spans="1:8">
      <c r="A640">
        <v>1.2338954694631299</v>
      </c>
      <c r="B640">
        <v>4.2702134302747004</v>
      </c>
      <c r="C640">
        <v>26.1484097215689</v>
      </c>
      <c r="D640">
        <v>2.0408237425058999</v>
      </c>
      <c r="E640">
        <v>3.70758126865063</v>
      </c>
      <c r="F640">
        <v>32.988940249318297</v>
      </c>
      <c r="G640">
        <v>1.28322513544657</v>
      </c>
      <c r="H640">
        <v>67</v>
      </c>
    </row>
    <row r="641" spans="1:8">
      <c r="A641">
        <v>1.4878675232234999</v>
      </c>
      <c r="B641">
        <v>4.2268130081251503</v>
      </c>
      <c r="C641">
        <v>26.965558248202999</v>
      </c>
      <c r="D641">
        <v>1.98906243442254</v>
      </c>
      <c r="E641">
        <v>3.73974806142667</v>
      </c>
      <c r="F641">
        <v>31.0953353876112</v>
      </c>
      <c r="G641">
        <v>1.79855834900569</v>
      </c>
      <c r="H641">
        <v>180</v>
      </c>
    </row>
    <row r="642" spans="1:8">
      <c r="A642">
        <v>1.5598648702996301</v>
      </c>
      <c r="B642">
        <v>4.0957673167973896</v>
      </c>
      <c r="C642">
        <v>26.627173813886198</v>
      </c>
      <c r="D642">
        <v>2.0507516689086001</v>
      </c>
      <c r="E642">
        <v>2.9656019525319799</v>
      </c>
      <c r="F642">
        <v>32.097606700097302</v>
      </c>
      <c r="G642">
        <v>1.4563227664707801</v>
      </c>
      <c r="H642">
        <v>101</v>
      </c>
    </row>
    <row r="643" spans="1:8">
      <c r="A643">
        <v>1.41578196963841</v>
      </c>
      <c r="B643">
        <v>4.2355596364301702</v>
      </c>
      <c r="C643">
        <v>27.747688472624301</v>
      </c>
      <c r="D643">
        <v>1.87809272055754</v>
      </c>
      <c r="E643">
        <v>4.0783971017831</v>
      </c>
      <c r="F643">
        <v>33.631342318974802</v>
      </c>
      <c r="G643">
        <v>1.08745668538867</v>
      </c>
      <c r="H643">
        <v>38</v>
      </c>
    </row>
    <row r="644" spans="1:8">
      <c r="A644">
        <v>1.3748132833559601</v>
      </c>
      <c r="B644">
        <v>4.2224300235790002</v>
      </c>
      <c r="C644">
        <v>25.977103555972398</v>
      </c>
      <c r="D644">
        <v>1.97078726973743</v>
      </c>
      <c r="E644">
        <v>3.5490989829317501</v>
      </c>
      <c r="F644">
        <v>33.230227254112997</v>
      </c>
      <c r="G644">
        <v>1.9656976901358301</v>
      </c>
      <c r="H644">
        <v>213</v>
      </c>
    </row>
    <row r="645" spans="1:8">
      <c r="A645">
        <v>1.27701324604713</v>
      </c>
      <c r="B645">
        <v>4.15865771331171</v>
      </c>
      <c r="C645">
        <v>28.914577609167999</v>
      </c>
      <c r="D645">
        <v>1.9368451727839999</v>
      </c>
      <c r="E645">
        <v>3.54605587551473</v>
      </c>
      <c r="F645">
        <v>34.384763419195203</v>
      </c>
      <c r="G645">
        <v>1.2654316566259201</v>
      </c>
      <c r="H645">
        <v>74</v>
      </c>
    </row>
    <row r="646" spans="1:8">
      <c r="A646">
        <v>1.36031518170815</v>
      </c>
      <c r="B646">
        <v>4.1648844082286196</v>
      </c>
      <c r="C646">
        <v>27.158819463475201</v>
      </c>
      <c r="D646">
        <v>1.9714798671856899</v>
      </c>
      <c r="E646">
        <v>3.2995382728001901</v>
      </c>
      <c r="F646">
        <v>31.167166623901998</v>
      </c>
      <c r="G646">
        <v>1.77690078407693</v>
      </c>
      <c r="H646">
        <v>164</v>
      </c>
    </row>
    <row r="647" spans="1:8">
      <c r="A647">
        <v>1.2531222714199799</v>
      </c>
      <c r="B647">
        <v>4.1714526573809003</v>
      </c>
      <c r="C647">
        <v>24.290418217379699</v>
      </c>
      <c r="D647">
        <v>2.0300775787492902</v>
      </c>
      <c r="E647">
        <v>3.5682603073631198</v>
      </c>
      <c r="F647">
        <v>34.232246117665397</v>
      </c>
      <c r="G647">
        <v>1.6973421963409101</v>
      </c>
      <c r="H647">
        <v>191</v>
      </c>
    </row>
    <row r="648" spans="1:8">
      <c r="A648">
        <v>1.2407418701584101</v>
      </c>
      <c r="B648">
        <v>4.1909496267753497</v>
      </c>
      <c r="C648">
        <v>27.813749097468602</v>
      </c>
      <c r="D648">
        <v>1.8723506435783499</v>
      </c>
      <c r="E648">
        <v>3.4790248612375301</v>
      </c>
      <c r="F648">
        <v>31.242309556555</v>
      </c>
      <c r="G648">
        <v>1.3121088006930699</v>
      </c>
      <c r="H648">
        <v>83</v>
      </c>
    </row>
    <row r="649" spans="1:8">
      <c r="A649">
        <v>1.4800243140257301</v>
      </c>
      <c r="B649">
        <v>4.1460768385443103</v>
      </c>
      <c r="C649">
        <v>27.797440969564398</v>
      </c>
      <c r="D649">
        <v>1.87032400449418</v>
      </c>
      <c r="E649">
        <v>3.5126874444259499</v>
      </c>
      <c r="F649">
        <v>30.558806809997701</v>
      </c>
      <c r="G649">
        <v>0.88278346425296195</v>
      </c>
      <c r="H649">
        <v>27</v>
      </c>
    </row>
    <row r="650" spans="1:8">
      <c r="A650">
        <v>1.4590356592287399</v>
      </c>
      <c r="B650">
        <v>4.1782756095348601</v>
      </c>
      <c r="C650">
        <v>26.471129081628899</v>
      </c>
      <c r="D650">
        <v>2.1287569307830401</v>
      </c>
      <c r="E650">
        <v>3.3689143520950302</v>
      </c>
      <c r="F650">
        <v>32.105563605926797</v>
      </c>
      <c r="G650">
        <v>1.3986929625718201</v>
      </c>
      <c r="H650">
        <v>89</v>
      </c>
    </row>
    <row r="651" spans="1:8">
      <c r="A651">
        <v>1.47600218945551</v>
      </c>
      <c r="B651">
        <v>4.2092224160167904</v>
      </c>
      <c r="C651">
        <v>28.1137328020422</v>
      </c>
      <c r="D651">
        <v>2.2100531924926798</v>
      </c>
      <c r="E651">
        <v>3.4681655461407601</v>
      </c>
      <c r="F651">
        <v>33.464666205660897</v>
      </c>
      <c r="G651">
        <v>0.96622192266120399</v>
      </c>
      <c r="H651">
        <v>43</v>
      </c>
    </row>
    <row r="652" spans="1:8">
      <c r="A652">
        <v>1.3328606522302699</v>
      </c>
      <c r="B652">
        <v>4.2554921900528697</v>
      </c>
      <c r="C652">
        <v>24.3501109553894</v>
      </c>
      <c r="D652">
        <v>1.88793079037692</v>
      </c>
      <c r="E652">
        <v>3.3959484981143699</v>
      </c>
      <c r="F652">
        <v>31.524331903923699</v>
      </c>
      <c r="G652">
        <v>1.9476377858917</v>
      </c>
      <c r="H652">
        <v>198</v>
      </c>
    </row>
    <row r="653" spans="1:8">
      <c r="A653">
        <v>1.6050717867769</v>
      </c>
      <c r="B653">
        <v>4.2791167185824097</v>
      </c>
      <c r="C653">
        <v>28.3016593671443</v>
      </c>
      <c r="D653">
        <v>1.9840641429569701</v>
      </c>
      <c r="E653">
        <v>3.12979675852749</v>
      </c>
      <c r="F653">
        <v>31.920489194900298</v>
      </c>
      <c r="G653">
        <v>1.5689657060311499</v>
      </c>
      <c r="H653">
        <v>133</v>
      </c>
    </row>
    <row r="654" spans="1:8">
      <c r="A654">
        <v>1.4856057240743901</v>
      </c>
      <c r="B654">
        <v>4.1919200750870402</v>
      </c>
      <c r="C654">
        <v>26.001555487716299</v>
      </c>
      <c r="D654">
        <v>2.01471117031778</v>
      </c>
      <c r="E654">
        <v>3.3429434602642099</v>
      </c>
      <c r="F654">
        <v>29.064460759263699</v>
      </c>
      <c r="G654">
        <v>1.4131184259601399</v>
      </c>
      <c r="H654">
        <v>131</v>
      </c>
    </row>
    <row r="655" spans="1:8">
      <c r="A655">
        <v>1.52335335130247</v>
      </c>
      <c r="B655">
        <v>4.2247577278532704</v>
      </c>
      <c r="C655">
        <v>25.477088716683301</v>
      </c>
      <c r="D655">
        <v>1.94548018269823</v>
      </c>
      <c r="E655">
        <v>3.3124729763408198</v>
      </c>
      <c r="F655">
        <v>31.3782639470042</v>
      </c>
      <c r="G655">
        <v>1.10357425729614</v>
      </c>
      <c r="H655">
        <v>30</v>
      </c>
    </row>
    <row r="656" spans="1:8">
      <c r="A656">
        <v>1.3648820432273201</v>
      </c>
      <c r="B656">
        <v>4.2567377925666099</v>
      </c>
      <c r="C656">
        <v>24.573292978479</v>
      </c>
      <c r="D656">
        <v>2.0191817324747299</v>
      </c>
      <c r="E656">
        <v>3.6807638587912601</v>
      </c>
      <c r="F656">
        <v>34.674805218179699</v>
      </c>
      <c r="G656">
        <v>1.0875799613219801</v>
      </c>
      <c r="H656">
        <v>37</v>
      </c>
    </row>
    <row r="657" spans="1:8">
      <c r="A657">
        <v>1.47785466493798</v>
      </c>
      <c r="B657">
        <v>4.2348049860914303</v>
      </c>
      <c r="C657">
        <v>25.620383803163701</v>
      </c>
      <c r="D657">
        <v>2.0786026233469701</v>
      </c>
      <c r="E657">
        <v>3.4067118552954998</v>
      </c>
      <c r="F657">
        <v>33.279450440272598</v>
      </c>
      <c r="G657">
        <v>0.98065207579490499</v>
      </c>
      <c r="H657">
        <v>48</v>
      </c>
    </row>
    <row r="658" spans="1:8">
      <c r="A658">
        <v>1.53106238445275</v>
      </c>
      <c r="B658">
        <v>4.1892022053143201</v>
      </c>
      <c r="C658">
        <v>25.720475278661802</v>
      </c>
      <c r="D658">
        <v>2.0943074453826398</v>
      </c>
      <c r="E658">
        <v>3.1929075169572201</v>
      </c>
      <c r="F658">
        <v>31.264947713131001</v>
      </c>
      <c r="G658">
        <v>1.90064665302545</v>
      </c>
      <c r="H658">
        <v>230</v>
      </c>
    </row>
    <row r="659" spans="1:8">
      <c r="A659">
        <v>1.7475152476787601</v>
      </c>
      <c r="B659">
        <v>4.1707801335682104</v>
      </c>
      <c r="C659">
        <v>29.184422799310202</v>
      </c>
      <c r="D659">
        <v>1.9596527136980799</v>
      </c>
      <c r="E659">
        <v>3.0028943731749602</v>
      </c>
      <c r="F659">
        <v>30.000857654282701</v>
      </c>
      <c r="G659">
        <v>1.51404535081368</v>
      </c>
      <c r="H659">
        <v>153</v>
      </c>
    </row>
    <row r="660" spans="1:8">
      <c r="A660">
        <v>1.31730247588842</v>
      </c>
      <c r="B660">
        <v>4.1208166442063296</v>
      </c>
      <c r="C660">
        <v>28.724750331685001</v>
      </c>
      <c r="D660">
        <v>1.9081953469772801</v>
      </c>
      <c r="E660">
        <v>3.65156894786131</v>
      </c>
      <c r="F660">
        <v>33.716190473455001</v>
      </c>
      <c r="G660">
        <v>1.7861200806324999</v>
      </c>
      <c r="H660">
        <v>178</v>
      </c>
    </row>
    <row r="661" spans="1:8">
      <c r="A661">
        <v>1.37578783614971</v>
      </c>
      <c r="B661">
        <v>4.2343406710852403</v>
      </c>
      <c r="C661">
        <v>27.439856629080399</v>
      </c>
      <c r="D661">
        <v>1.9540536827463</v>
      </c>
      <c r="E661">
        <v>3.7296785991316299</v>
      </c>
      <c r="F661">
        <v>35.579230347483701</v>
      </c>
      <c r="G661">
        <v>1.5417065146714299</v>
      </c>
      <c r="H661">
        <v>158</v>
      </c>
    </row>
    <row r="662" spans="1:8">
      <c r="A662">
        <v>1.44227429252259</v>
      </c>
      <c r="B662">
        <v>4.1967743122678796</v>
      </c>
      <c r="C662">
        <v>26.399674883445101</v>
      </c>
      <c r="D662">
        <v>1.8102583639666201</v>
      </c>
      <c r="E662">
        <v>3.9127171007943899</v>
      </c>
      <c r="F662">
        <v>34.030947908818298</v>
      </c>
      <c r="G662">
        <v>1.45061549419585</v>
      </c>
      <c r="H662">
        <v>111</v>
      </c>
    </row>
    <row r="663" spans="1:8">
      <c r="A663">
        <v>1.4368517465608399</v>
      </c>
      <c r="B663">
        <v>4.1980975595016403</v>
      </c>
      <c r="C663">
        <v>27.8341653323813</v>
      </c>
      <c r="D663">
        <v>2.1162745043383602</v>
      </c>
      <c r="E663">
        <v>3.6332077684606099</v>
      </c>
      <c r="F663">
        <v>29.775905629543399</v>
      </c>
      <c r="G663">
        <v>1.1867854834221201</v>
      </c>
      <c r="H663">
        <v>47</v>
      </c>
    </row>
    <row r="664" spans="1:8">
      <c r="A664">
        <v>1.4636484073053</v>
      </c>
      <c r="B664">
        <v>4.1619175051921697</v>
      </c>
      <c r="C664">
        <v>27.301732440740899</v>
      </c>
      <c r="D664">
        <v>1.91193305274756</v>
      </c>
      <c r="E664">
        <v>3.8262341870133199</v>
      </c>
      <c r="F664">
        <v>34.9394154473908</v>
      </c>
      <c r="G664">
        <v>1.7138991845817799</v>
      </c>
      <c r="H664">
        <v>163</v>
      </c>
    </row>
    <row r="665" spans="1:8">
      <c r="A665">
        <v>1.25741458423241</v>
      </c>
      <c r="B665">
        <v>4.2368010368142199</v>
      </c>
      <c r="C665">
        <v>27.274143329154199</v>
      </c>
      <c r="D665">
        <v>1.8527539665914201</v>
      </c>
      <c r="E665">
        <v>3.3200076519219301</v>
      </c>
      <c r="F665">
        <v>33.903767939292301</v>
      </c>
      <c r="G665">
        <v>0.94600375534468195</v>
      </c>
      <c r="H665">
        <v>8</v>
      </c>
    </row>
    <row r="666" spans="1:8">
      <c r="A666">
        <v>1.3720652627562899</v>
      </c>
      <c r="B666">
        <v>4.2056980028929001</v>
      </c>
      <c r="C666">
        <v>29.775045929373999</v>
      </c>
      <c r="D666">
        <v>2.0669065192630098</v>
      </c>
      <c r="E666">
        <v>3.4882295524495399</v>
      </c>
      <c r="F666">
        <v>32.9224949478686</v>
      </c>
      <c r="G666">
        <v>1.59814919709132</v>
      </c>
      <c r="H666">
        <v>130</v>
      </c>
    </row>
    <row r="667" spans="1:8">
      <c r="A667">
        <v>1.39734897984287</v>
      </c>
      <c r="B667">
        <v>4.1458290538140998</v>
      </c>
      <c r="C667">
        <v>25.41127106894</v>
      </c>
      <c r="D667">
        <v>1.9412794015906401</v>
      </c>
      <c r="E667">
        <v>3.3461172622605502</v>
      </c>
      <c r="F667">
        <v>31.119366895744999</v>
      </c>
      <c r="G667">
        <v>1.64778488165343</v>
      </c>
      <c r="H667">
        <v>138</v>
      </c>
    </row>
    <row r="668" spans="1:8">
      <c r="A668">
        <v>1.3741398782493699</v>
      </c>
      <c r="B668">
        <v>4.20534379729511</v>
      </c>
      <c r="C668">
        <v>27.1826542748564</v>
      </c>
      <c r="D668">
        <v>1.9274165084896799</v>
      </c>
      <c r="E668">
        <v>3.9109336409735902</v>
      </c>
      <c r="F668">
        <v>31.150879910778698</v>
      </c>
      <c r="G668">
        <v>1.2168650961782299</v>
      </c>
      <c r="H668">
        <v>93</v>
      </c>
    </row>
    <row r="669" spans="1:8">
      <c r="A669">
        <v>1.27321022248328</v>
      </c>
      <c r="B669">
        <v>4.1873379794801098</v>
      </c>
      <c r="C669">
        <v>30.029340181081199</v>
      </c>
      <c r="D669">
        <v>1.8800949116100201</v>
      </c>
      <c r="E669">
        <v>3.53505424118325</v>
      </c>
      <c r="F669">
        <v>35.824370586717698</v>
      </c>
      <c r="G669">
        <v>1.38310484711594</v>
      </c>
      <c r="H669">
        <v>127</v>
      </c>
    </row>
    <row r="670" spans="1:8">
      <c r="A670">
        <v>1.5397103997000201</v>
      </c>
      <c r="B670">
        <v>4.3192445574946703</v>
      </c>
      <c r="C670">
        <v>26.209580288225901</v>
      </c>
      <c r="D670">
        <v>1.9715851040919301</v>
      </c>
      <c r="E670">
        <v>3.4151878499840098</v>
      </c>
      <c r="F670">
        <v>32.523656143665299</v>
      </c>
      <c r="G670">
        <v>1.5365770325858401</v>
      </c>
      <c r="H670">
        <v>156</v>
      </c>
    </row>
    <row r="671" spans="1:8">
      <c r="A671">
        <v>1.29886860417218</v>
      </c>
      <c r="B671">
        <v>4.2461627771071804</v>
      </c>
      <c r="C671">
        <v>27.1317280416906</v>
      </c>
      <c r="D671">
        <v>1.9443794951112401</v>
      </c>
      <c r="E671">
        <v>3.9814503247232</v>
      </c>
      <c r="F671">
        <v>30.802646025025201</v>
      </c>
      <c r="G671">
        <v>1.3288989613955</v>
      </c>
      <c r="H671">
        <v>86</v>
      </c>
    </row>
    <row r="672" spans="1:8">
      <c r="A672">
        <v>1.53307256001743</v>
      </c>
      <c r="B672">
        <v>4.2736128288381101</v>
      </c>
      <c r="C672">
        <v>28.4950132695026</v>
      </c>
      <c r="D672">
        <v>1.9335541616877701</v>
      </c>
      <c r="E672">
        <v>3.5771349268455799</v>
      </c>
      <c r="F672">
        <v>34.832288924954497</v>
      </c>
      <c r="G672">
        <v>1.8783020419890499</v>
      </c>
      <c r="H672">
        <v>195</v>
      </c>
    </row>
    <row r="673" spans="1:8">
      <c r="A673">
        <v>1.51669160718367</v>
      </c>
      <c r="B673">
        <v>4.1783266217846702</v>
      </c>
      <c r="C673">
        <v>26.8464931939771</v>
      </c>
      <c r="D673">
        <v>2.0718089603321701</v>
      </c>
      <c r="E673">
        <v>3.7741160624133498</v>
      </c>
      <c r="F673">
        <v>31.993918728443202</v>
      </c>
      <c r="G673">
        <v>1.5789535227518099</v>
      </c>
      <c r="H673">
        <v>125</v>
      </c>
    </row>
    <row r="674" spans="1:8">
      <c r="A674">
        <v>1.3725816164939799</v>
      </c>
      <c r="B674">
        <v>4.1883254986595899</v>
      </c>
      <c r="C674">
        <v>22.565304370805801</v>
      </c>
      <c r="D674">
        <v>2.0482745860468099</v>
      </c>
      <c r="E674">
        <v>3.54444903975046</v>
      </c>
      <c r="F674">
        <v>34.131498097766801</v>
      </c>
      <c r="G674">
        <v>1.26050940497346</v>
      </c>
      <c r="H674">
        <v>71</v>
      </c>
    </row>
    <row r="675" spans="1:8">
      <c r="A675">
        <v>1.4014678314904001</v>
      </c>
      <c r="B675">
        <v>4.2327217895414</v>
      </c>
      <c r="C675">
        <v>27.944506643075499</v>
      </c>
      <c r="D675">
        <v>1.9507528726419301</v>
      </c>
      <c r="E675">
        <v>3.8051095681108098</v>
      </c>
      <c r="F675">
        <v>33.040647061317998</v>
      </c>
      <c r="G675">
        <v>0.93509924751777995</v>
      </c>
      <c r="H675">
        <v>6</v>
      </c>
    </row>
    <row r="676" spans="1:8">
      <c r="A676">
        <v>1.58757351521123</v>
      </c>
      <c r="B676">
        <v>4.1735231955816001</v>
      </c>
      <c r="C676">
        <v>27.420041131904298</v>
      </c>
      <c r="D676">
        <v>2.0332080532969701</v>
      </c>
      <c r="E676">
        <v>3.7169256715523198</v>
      </c>
      <c r="F676">
        <v>30.564363471607901</v>
      </c>
      <c r="G676">
        <v>1.73630304794798</v>
      </c>
      <c r="H676">
        <v>158</v>
      </c>
    </row>
    <row r="677" spans="1:8">
      <c r="A677">
        <v>1.60313972151483</v>
      </c>
      <c r="B677">
        <v>4.2647943146993699</v>
      </c>
      <c r="C677">
        <v>27.773165252656099</v>
      </c>
      <c r="D677">
        <v>2.1895122291331002</v>
      </c>
      <c r="E677">
        <v>3.5567364434816202</v>
      </c>
      <c r="F677">
        <v>35.899616058171397</v>
      </c>
      <c r="G677">
        <v>1.4497039388691499</v>
      </c>
      <c r="H677">
        <v>109</v>
      </c>
    </row>
    <row r="678" spans="1:8">
      <c r="A678">
        <v>1.40611961637067</v>
      </c>
      <c r="B678">
        <v>4.1922874540845898</v>
      </c>
      <c r="C678">
        <v>25.366270850623799</v>
      </c>
      <c r="D678">
        <v>2.13249358542756</v>
      </c>
      <c r="E678">
        <v>3.1166789320536998</v>
      </c>
      <c r="F678">
        <v>34.776281023676802</v>
      </c>
      <c r="G678">
        <v>1.5903042497145601</v>
      </c>
      <c r="H678">
        <v>137</v>
      </c>
    </row>
    <row r="679" spans="1:8">
      <c r="A679">
        <v>1.38003723052459</v>
      </c>
      <c r="B679">
        <v>4.2389568666238899</v>
      </c>
      <c r="C679">
        <v>28.6246196627174</v>
      </c>
      <c r="D679">
        <v>1.98415952768635</v>
      </c>
      <c r="E679">
        <v>2.8714198980929702</v>
      </c>
      <c r="F679">
        <v>33.8096141464382</v>
      </c>
      <c r="G679">
        <v>1.7371851833232499</v>
      </c>
      <c r="H679">
        <v>168</v>
      </c>
    </row>
    <row r="680" spans="1:8">
      <c r="A680">
        <v>1.2999649998845699</v>
      </c>
      <c r="B680">
        <v>4.2070641593938598</v>
      </c>
      <c r="C680">
        <v>21.604784304749501</v>
      </c>
      <c r="D680">
        <v>1.94718031712688</v>
      </c>
      <c r="E680">
        <v>3.0489853311561301</v>
      </c>
      <c r="F680">
        <v>33.7746525225391</v>
      </c>
      <c r="G680">
        <v>0.95611982931512496</v>
      </c>
      <c r="H680">
        <v>1</v>
      </c>
    </row>
    <row r="681" spans="1:8">
      <c r="A681">
        <v>1.4085703857862899</v>
      </c>
      <c r="B681">
        <v>4.12914679845069</v>
      </c>
      <c r="C681">
        <v>29.0337020407948</v>
      </c>
      <c r="D681">
        <v>1.83791618511018</v>
      </c>
      <c r="E681">
        <v>3.3370586770546899</v>
      </c>
      <c r="F681">
        <v>32.224231861338197</v>
      </c>
      <c r="G681">
        <v>1.3019713505130699</v>
      </c>
      <c r="H681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J26" sqref="J26"/>
    </sheetView>
  </sheetViews>
  <sheetFormatPr defaultRowHeight="14.25"/>
  <sheetData>
    <row r="1" spans="1:6" ht="15">
      <c r="A1" s="9" t="s">
        <v>13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</row>
    <row r="2" spans="1:6">
      <c r="A2" t="s">
        <v>36</v>
      </c>
      <c r="B2">
        <v>3</v>
      </c>
      <c r="C2">
        <v>0.93206071679745484</v>
      </c>
      <c r="D2">
        <v>18.07850600607707</v>
      </c>
      <c r="E2">
        <v>0.91859585912493635</v>
      </c>
      <c r="F2">
        <v>18.893222314812771</v>
      </c>
    </row>
    <row r="3" spans="1:6">
      <c r="A3" t="s">
        <v>23</v>
      </c>
      <c r="B3">
        <v>1</v>
      </c>
      <c r="C3">
        <v>0.92803450081777006</v>
      </c>
      <c r="D3">
        <v>16.452150542478861</v>
      </c>
      <c r="E3">
        <v>0.91977780077790849</v>
      </c>
      <c r="F3">
        <v>18.821759756960731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682"/>
  <sheetViews>
    <sheetView topLeftCell="AD2" zoomScale="70" zoomScaleNormal="70" workbookViewId="0">
      <selection activeCell="I34" sqref="I34"/>
    </sheetView>
  </sheetViews>
  <sheetFormatPr defaultRowHeight="14.25"/>
  <cols>
    <col min="1" max="16384" width="9" style="35"/>
  </cols>
  <sheetData>
    <row r="1" spans="1:76" ht="15" customHeight="1">
      <c r="A1" s="38" t="s">
        <v>36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13"/>
      <c r="O1" s="38" t="s">
        <v>63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13"/>
      <c r="AI1" s="38" t="s">
        <v>64</v>
      </c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D1" s="38" t="s">
        <v>65</v>
      </c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</row>
    <row r="2" spans="1:76" ht="15">
      <c r="A2" s="14"/>
      <c r="B2" s="14" t="s">
        <v>37</v>
      </c>
      <c r="C2" s="1" t="s">
        <v>38</v>
      </c>
      <c r="D2" s="15" t="s">
        <v>39</v>
      </c>
      <c r="E2" s="15" t="s">
        <v>40</v>
      </c>
      <c r="F2" s="15"/>
      <c r="G2" s="15" t="s">
        <v>41</v>
      </c>
      <c r="H2" s="14" t="s">
        <v>29</v>
      </c>
      <c r="I2" s="14" t="s">
        <v>30</v>
      </c>
      <c r="J2" s="14" t="s">
        <v>60</v>
      </c>
      <c r="K2" s="14" t="s">
        <v>61</v>
      </c>
      <c r="L2" s="15" t="s">
        <v>62</v>
      </c>
      <c r="M2" s="15" t="s">
        <v>44</v>
      </c>
      <c r="N2" s="13"/>
      <c r="O2" s="14"/>
      <c r="P2" s="14" t="s">
        <v>37</v>
      </c>
      <c r="Q2" s="15" t="s">
        <v>38</v>
      </c>
      <c r="R2" s="15" t="s">
        <v>39</v>
      </c>
      <c r="S2" s="15" t="s">
        <v>40</v>
      </c>
      <c r="T2" s="15"/>
      <c r="U2" s="14" t="s">
        <v>41</v>
      </c>
      <c r="V2" s="14" t="s">
        <v>29</v>
      </c>
      <c r="W2" s="14" t="s">
        <v>30</v>
      </c>
      <c r="X2" s="14" t="s">
        <v>60</v>
      </c>
      <c r="Y2" s="15" t="s">
        <v>61</v>
      </c>
      <c r="Z2" s="15" t="s">
        <v>62</v>
      </c>
      <c r="AA2" s="15" t="s">
        <v>44</v>
      </c>
      <c r="AB2" s="14">
        <v>0</v>
      </c>
      <c r="AC2" s="14" t="s">
        <v>45</v>
      </c>
      <c r="AD2" s="14" t="s">
        <v>46</v>
      </c>
      <c r="AE2" s="14" t="s">
        <v>86</v>
      </c>
      <c r="AF2" s="14" t="s">
        <v>87</v>
      </c>
      <c r="AG2" s="14" t="s">
        <v>88</v>
      </c>
      <c r="AH2" s="13"/>
      <c r="AI2" s="14"/>
      <c r="AJ2" s="14" t="s">
        <v>37</v>
      </c>
      <c r="AK2" s="15" t="s">
        <v>38</v>
      </c>
      <c r="AL2" s="15" t="s">
        <v>39</v>
      </c>
      <c r="AM2" s="15" t="s">
        <v>40</v>
      </c>
      <c r="AN2" s="15"/>
      <c r="AO2" s="15"/>
      <c r="AP2" s="15" t="s">
        <v>41</v>
      </c>
      <c r="AQ2" s="14" t="s">
        <v>29</v>
      </c>
      <c r="AR2" s="14" t="s">
        <v>30</v>
      </c>
      <c r="AS2" s="14" t="s">
        <v>60</v>
      </c>
      <c r="AT2" s="14" t="s">
        <v>61</v>
      </c>
      <c r="AU2" s="15" t="s">
        <v>62</v>
      </c>
      <c r="AV2" s="15" t="s">
        <v>44</v>
      </c>
      <c r="AW2" s="14">
        <v>0</v>
      </c>
      <c r="AX2" s="14" t="s">
        <v>45</v>
      </c>
      <c r="AY2" s="14" t="s">
        <v>46</v>
      </c>
      <c r="AZ2" s="14" t="s">
        <v>86</v>
      </c>
      <c r="BA2" s="14" t="s">
        <v>87</v>
      </c>
      <c r="BB2" s="14" t="s">
        <v>88</v>
      </c>
      <c r="BD2" s="14"/>
      <c r="BE2" s="14" t="s">
        <v>37</v>
      </c>
      <c r="BF2" s="15" t="s">
        <v>38</v>
      </c>
      <c r="BG2" s="15" t="s">
        <v>39</v>
      </c>
      <c r="BH2" s="15" t="s">
        <v>40</v>
      </c>
      <c r="BI2" s="15"/>
      <c r="BJ2" s="14" t="s">
        <v>41</v>
      </c>
      <c r="BK2" s="14" t="s">
        <v>29</v>
      </c>
      <c r="BL2" s="14" t="s">
        <v>30</v>
      </c>
      <c r="BM2" s="14" t="s">
        <v>60</v>
      </c>
      <c r="BN2" s="15" t="s">
        <v>61</v>
      </c>
      <c r="BO2" s="15" t="s">
        <v>62</v>
      </c>
      <c r="BP2" s="15" t="s">
        <v>43</v>
      </c>
      <c r="BQ2" s="15" t="s">
        <v>44</v>
      </c>
      <c r="BR2" s="14">
        <v>0</v>
      </c>
      <c r="BS2" s="14" t="s">
        <v>45</v>
      </c>
      <c r="BT2" s="14" t="s">
        <v>46</v>
      </c>
      <c r="BU2" s="14" t="s">
        <v>86</v>
      </c>
      <c r="BV2" s="14" t="s">
        <v>87</v>
      </c>
      <c r="BW2" s="14" t="s">
        <v>88</v>
      </c>
    </row>
    <row r="3" spans="1:76" ht="15">
      <c r="A3" s="16">
        <v>0</v>
      </c>
      <c r="B3" s="13">
        <v>32</v>
      </c>
      <c r="C3" s="17">
        <v>44.451001879329503</v>
      </c>
      <c r="D3" s="18" t="s">
        <v>45</v>
      </c>
      <c r="E3" s="13">
        <v>100</v>
      </c>
      <c r="F3" s="13"/>
      <c r="G3" s="19" t="s">
        <v>47</v>
      </c>
      <c r="H3" s="13">
        <v>0.87927096195423804</v>
      </c>
      <c r="I3" s="13">
        <v>23.124424043147599</v>
      </c>
      <c r="J3" s="13">
        <v>0.30526513657245602</v>
      </c>
      <c r="K3" s="13">
        <v>49.022334269999902</v>
      </c>
      <c r="L3" s="13">
        <v>17.825767116649601</v>
      </c>
      <c r="M3" s="13">
        <f t="shared" ref="M3:M37" si="0">((C3/B3)-1)*100</f>
        <v>38.909380872904698</v>
      </c>
      <c r="N3" s="13"/>
      <c r="O3" s="16">
        <v>0</v>
      </c>
      <c r="P3" s="13">
        <v>32</v>
      </c>
      <c r="Q3" s="17">
        <v>41.369038500000002</v>
      </c>
      <c r="R3" s="18" t="s">
        <v>45</v>
      </c>
      <c r="S3" s="13">
        <v>356</v>
      </c>
      <c r="T3" s="13"/>
      <c r="U3" s="15" t="s">
        <v>47</v>
      </c>
      <c r="V3" s="13">
        <v>0.94839503687623194</v>
      </c>
      <c r="W3" s="13">
        <v>15.118572626904101</v>
      </c>
      <c r="X3" s="13">
        <v>0.20144825835057201</v>
      </c>
      <c r="Y3" s="13">
        <v>29.004665355</v>
      </c>
      <c r="Z3" s="13">
        <v>14.2629453966459</v>
      </c>
      <c r="AA3" s="13">
        <f t="shared" ref="AA3:AA66" si="1">((Q3/P3)-1)*100</f>
        <v>29.278245312500005</v>
      </c>
      <c r="AB3" s="26">
        <v>0.325396471669746</v>
      </c>
      <c r="AC3" s="34">
        <v>942</v>
      </c>
      <c r="AD3" s="34">
        <v>62</v>
      </c>
      <c r="AE3" s="34">
        <v>22</v>
      </c>
      <c r="AF3" s="34">
        <v>13</v>
      </c>
      <c r="AG3" s="34">
        <v>0.70727137626959369</v>
      </c>
      <c r="AH3" s="13"/>
      <c r="AI3" s="16">
        <v>0</v>
      </c>
      <c r="AJ3" s="13">
        <v>32</v>
      </c>
      <c r="AK3" s="17">
        <v>32.162364709999999</v>
      </c>
      <c r="AL3" s="18" t="s">
        <v>45</v>
      </c>
      <c r="AM3" s="13">
        <v>478</v>
      </c>
      <c r="AN3" s="13"/>
      <c r="AO3" s="13"/>
      <c r="AP3" s="1" t="s">
        <v>47</v>
      </c>
      <c r="AQ3" s="13">
        <v>0.98505674193735904</v>
      </c>
      <c r="AR3" s="13">
        <v>8.1355646913570006</v>
      </c>
      <c r="AS3" s="13">
        <v>6.0796887677197202E-2</v>
      </c>
      <c r="AT3" s="13">
        <v>19.07165431</v>
      </c>
      <c r="AU3" s="13">
        <v>4.09011175781791</v>
      </c>
      <c r="AV3" s="13">
        <f>((AK3/AJ3)-1)*100</f>
        <v>0.50738971874999539</v>
      </c>
      <c r="AW3" s="26">
        <v>0.21996844089680301</v>
      </c>
      <c r="AX3" s="13">
        <v>1298</v>
      </c>
      <c r="AY3" s="13">
        <v>112</v>
      </c>
      <c r="AZ3" s="13">
        <v>28</v>
      </c>
      <c r="BA3" s="13">
        <v>15</v>
      </c>
      <c r="BB3" s="13">
        <v>0.67610261077775324</v>
      </c>
      <c r="BD3" s="35">
        <v>0</v>
      </c>
      <c r="BE3" s="35">
        <v>32</v>
      </c>
      <c r="BF3" s="17">
        <v>32.500462220000003</v>
      </c>
      <c r="BG3" s="18" t="s">
        <v>45</v>
      </c>
      <c r="BH3" s="13">
        <v>529</v>
      </c>
      <c r="BI3" s="13"/>
      <c r="BJ3" s="15" t="s">
        <v>47</v>
      </c>
      <c r="BK3" s="13">
        <v>0.97978043368269496</v>
      </c>
      <c r="BL3" s="13">
        <v>9.4634822671122407</v>
      </c>
      <c r="BM3" s="13">
        <v>0.10522435860902001</v>
      </c>
      <c r="BN3" s="13">
        <v>19.361230711999902</v>
      </c>
      <c r="BO3" s="13">
        <v>7.6290346967497698</v>
      </c>
      <c r="BP3" s="13">
        <v>89.2</v>
      </c>
      <c r="BQ3" s="13">
        <f>((BF3/BE3)-1)*100</f>
        <v>1.5639444375000089</v>
      </c>
      <c r="BR3" s="26">
        <v>0.17132614774417099</v>
      </c>
      <c r="BS3" s="13">
        <v>264</v>
      </c>
      <c r="BT3" s="13">
        <v>156</v>
      </c>
      <c r="BU3" s="13">
        <v>39</v>
      </c>
      <c r="BV3" s="13">
        <v>38</v>
      </c>
      <c r="BW3" s="13">
        <v>0.84715116198268281</v>
      </c>
    </row>
    <row r="4" spans="1:76" ht="15">
      <c r="A4" s="16">
        <v>1</v>
      </c>
      <c r="B4" s="13">
        <v>72</v>
      </c>
      <c r="C4" s="17">
        <v>80.781315629999995</v>
      </c>
      <c r="D4" s="18" t="s">
        <v>46</v>
      </c>
      <c r="E4" s="13" t="s">
        <v>85</v>
      </c>
      <c r="F4" s="13"/>
      <c r="G4" s="19" t="s">
        <v>48</v>
      </c>
      <c r="H4" s="13">
        <v>0.88719553632572301</v>
      </c>
      <c r="I4" s="13">
        <v>22.1106467053262</v>
      </c>
      <c r="J4" s="13">
        <v>0.29772793741227299</v>
      </c>
      <c r="K4" s="13">
        <v>46.806360425000001</v>
      </c>
      <c r="L4" s="13">
        <v>17.453135235932098</v>
      </c>
      <c r="M4" s="13">
        <f t="shared" si="0"/>
        <v>12.196271708333327</v>
      </c>
      <c r="N4" s="13"/>
      <c r="O4" s="16">
        <v>1</v>
      </c>
      <c r="P4" s="13">
        <v>72</v>
      </c>
      <c r="Q4" s="17">
        <v>74.416637980000004</v>
      </c>
      <c r="R4" s="18" t="s">
        <v>46</v>
      </c>
      <c r="S4" s="13">
        <v>14</v>
      </c>
      <c r="T4" s="13"/>
      <c r="U4" s="15" t="s">
        <v>48</v>
      </c>
      <c r="V4" s="13">
        <v>0.95958540598181197</v>
      </c>
      <c r="W4" s="13">
        <v>13.2344961820757</v>
      </c>
      <c r="X4" s="13">
        <v>0.18230440822101601</v>
      </c>
      <c r="Y4" s="13">
        <v>26.711529749999901</v>
      </c>
      <c r="Z4" s="13">
        <v>13.2881543493894</v>
      </c>
      <c r="AA4" s="13">
        <f t="shared" si="1"/>
        <v>3.3564416388888851</v>
      </c>
      <c r="AB4" s="26">
        <v>0.325396471669746</v>
      </c>
      <c r="AC4" s="34">
        <v>689</v>
      </c>
      <c r="AD4" s="34">
        <v>7</v>
      </c>
      <c r="AE4" s="34">
        <v>27</v>
      </c>
      <c r="AF4" s="34">
        <v>46</v>
      </c>
      <c r="AG4" s="34">
        <v>0.29459059711243774</v>
      </c>
      <c r="AH4" s="13"/>
      <c r="AI4" s="16">
        <v>1</v>
      </c>
      <c r="AJ4" s="13">
        <v>72</v>
      </c>
      <c r="AK4" s="17">
        <v>71.895364709999996</v>
      </c>
      <c r="AL4" s="18" t="s">
        <v>46</v>
      </c>
      <c r="AM4" s="13">
        <v>11</v>
      </c>
      <c r="AN4" s="13"/>
      <c r="AO4" s="13"/>
      <c r="AP4" s="1" t="s">
        <v>48</v>
      </c>
      <c r="AQ4" s="13">
        <v>0.99960794199638303</v>
      </c>
      <c r="AR4" s="13">
        <v>1.3035072914139001</v>
      </c>
      <c r="AS4" s="13">
        <v>1.5750230831770799E-2</v>
      </c>
      <c r="AT4" s="13">
        <v>2.98519854499999</v>
      </c>
      <c r="AU4" s="13">
        <v>1.6947744999616901</v>
      </c>
      <c r="AV4" s="13">
        <f t="shared" ref="AV4:AV67" si="2">((AK4/AJ4)-1)*100</f>
        <v>-0.14532679166667783</v>
      </c>
      <c r="AW4" s="26">
        <v>0.21996844089680301</v>
      </c>
      <c r="AX4" s="13">
        <v>768</v>
      </c>
      <c r="AY4" s="13">
        <v>159</v>
      </c>
      <c r="AZ4" s="13">
        <v>50</v>
      </c>
      <c r="BA4" s="13">
        <v>45</v>
      </c>
      <c r="BB4" s="13">
        <v>0.89964295816632078</v>
      </c>
      <c r="BD4" s="35">
        <v>1</v>
      </c>
      <c r="BE4" s="35">
        <v>72</v>
      </c>
      <c r="BF4" s="17">
        <v>71.407858910000002</v>
      </c>
      <c r="BG4" s="18" t="s">
        <v>46</v>
      </c>
      <c r="BH4" s="13">
        <v>16</v>
      </c>
      <c r="BI4" s="13"/>
      <c r="BJ4" s="15" t="s">
        <v>48</v>
      </c>
      <c r="BK4" s="13">
        <v>0.99311298803554904</v>
      </c>
      <c r="BL4" s="13">
        <v>5.4632832991477001</v>
      </c>
      <c r="BM4" s="13">
        <v>7.1689702694675395E-2</v>
      </c>
      <c r="BN4" s="13">
        <v>11.57128339</v>
      </c>
      <c r="BO4" s="13">
        <v>5.9578802099430703</v>
      </c>
      <c r="BP4" s="13">
        <v>92.8</v>
      </c>
      <c r="BQ4" s="13">
        <f t="shared" ref="BQ4:BQ67" si="3">((BF4/BE4)-1)*100</f>
        <v>-0.82241818055555083</v>
      </c>
      <c r="BR4" s="26">
        <v>0.17132614774417099</v>
      </c>
      <c r="BS4" s="13">
        <v>236</v>
      </c>
      <c r="BT4" s="13">
        <v>155</v>
      </c>
      <c r="BU4" s="13">
        <v>49</v>
      </c>
      <c r="BV4" s="13">
        <v>44</v>
      </c>
      <c r="BW4" s="13">
        <v>0.73125631398769109</v>
      </c>
    </row>
    <row r="5" spans="1:76" ht="15">
      <c r="A5" s="16">
        <v>2</v>
      </c>
      <c r="B5" s="13">
        <v>156</v>
      </c>
      <c r="C5" s="17">
        <v>142.57013939999999</v>
      </c>
      <c r="D5" s="18" t="s">
        <v>86</v>
      </c>
      <c r="E5" s="13">
        <v>2</v>
      </c>
      <c r="F5" s="13"/>
      <c r="G5" s="19" t="s">
        <v>49</v>
      </c>
      <c r="H5" s="13">
        <v>0.85071215745379603</v>
      </c>
      <c r="I5" s="13">
        <v>26.798734032142299</v>
      </c>
      <c r="J5" s="13">
        <v>0.33370944308252698</v>
      </c>
      <c r="K5" s="13">
        <v>62.402781099999899</v>
      </c>
      <c r="L5" s="13">
        <v>19.316294639519398</v>
      </c>
      <c r="M5" s="13">
        <f t="shared" si="0"/>
        <v>-8.6088850000000114</v>
      </c>
      <c r="N5" s="13"/>
      <c r="O5" s="16">
        <v>2</v>
      </c>
      <c r="P5" s="13">
        <v>156</v>
      </c>
      <c r="Q5" s="17">
        <v>153.6022595</v>
      </c>
      <c r="R5" s="18" t="s">
        <v>86</v>
      </c>
      <c r="S5" s="13">
        <v>3</v>
      </c>
      <c r="T5" s="13"/>
      <c r="U5" s="15" t="s">
        <v>49</v>
      </c>
      <c r="V5" s="13">
        <v>0.90806891506221599</v>
      </c>
      <c r="W5" s="13">
        <v>21.0297083812724</v>
      </c>
      <c r="X5" s="13">
        <v>0.27390310142062801</v>
      </c>
      <c r="Y5" s="13">
        <v>47.844623775000002</v>
      </c>
      <c r="Z5" s="13">
        <v>18.162109585671899</v>
      </c>
      <c r="AA5" s="13">
        <f t="shared" si="1"/>
        <v>-1.5370131410256449</v>
      </c>
      <c r="AB5" s="26">
        <v>0.325396471669746</v>
      </c>
      <c r="AC5" s="34">
        <v>577</v>
      </c>
      <c r="AD5" s="34">
        <v>150</v>
      </c>
      <c r="AE5" s="34">
        <v>37</v>
      </c>
      <c r="AF5" s="34">
        <v>39</v>
      </c>
      <c r="AG5" s="34">
        <v>0.94447739484798832</v>
      </c>
      <c r="AH5" s="13"/>
      <c r="AI5" s="16">
        <v>2</v>
      </c>
      <c r="AJ5" s="13">
        <v>156</v>
      </c>
      <c r="AK5" s="17">
        <v>155.87455080000001</v>
      </c>
      <c r="AL5" s="18" t="s">
        <v>86</v>
      </c>
      <c r="AM5" s="13">
        <v>4</v>
      </c>
      <c r="AN5" s="13"/>
      <c r="AO5" s="13"/>
      <c r="AP5" s="1" t="s">
        <v>49</v>
      </c>
      <c r="AQ5" s="13">
        <v>0.932620274864286</v>
      </c>
      <c r="AR5" s="13">
        <v>18.003903443453499</v>
      </c>
      <c r="AS5" s="13">
        <v>0.23143786230750399</v>
      </c>
      <c r="AT5" s="13">
        <v>39.836144449999999</v>
      </c>
      <c r="AU5" s="13">
        <v>13.671460789242699</v>
      </c>
      <c r="AV5" s="13">
        <f t="shared" si="2"/>
        <v>-8.0416153846152305E-2</v>
      </c>
      <c r="AW5" s="26">
        <v>0.21996844089680301</v>
      </c>
      <c r="AX5" s="13">
        <v>1648</v>
      </c>
      <c r="AY5" s="13">
        <v>158</v>
      </c>
      <c r="AZ5" s="13">
        <v>40</v>
      </c>
      <c r="BA5" s="13">
        <v>26</v>
      </c>
      <c r="BB5" s="13">
        <v>0.80854291550552704</v>
      </c>
      <c r="BD5" s="35">
        <v>2</v>
      </c>
      <c r="BE5" s="35">
        <v>156</v>
      </c>
      <c r="BF5" s="17">
        <v>156.26569129999999</v>
      </c>
      <c r="BG5" s="18" t="s">
        <v>86</v>
      </c>
      <c r="BH5" s="13">
        <v>5</v>
      </c>
      <c r="BI5" s="13"/>
      <c r="BJ5" s="15" t="s">
        <v>49</v>
      </c>
      <c r="BK5" s="13">
        <v>0.93173534605049602</v>
      </c>
      <c r="BL5" s="13">
        <v>18.121744548270001</v>
      </c>
      <c r="BM5" s="13">
        <v>0.23223498387974001</v>
      </c>
      <c r="BN5" s="13">
        <v>40.255923074999899</v>
      </c>
      <c r="BO5" s="13">
        <v>14.3136526439765</v>
      </c>
      <c r="BP5" s="13">
        <v>74.8</v>
      </c>
      <c r="BQ5" s="13">
        <f t="shared" si="3"/>
        <v>0.17031493589743096</v>
      </c>
      <c r="BR5" s="26">
        <v>0.17132614774417099</v>
      </c>
      <c r="BS5" s="13">
        <v>371</v>
      </c>
      <c r="BT5" s="13">
        <v>5</v>
      </c>
      <c r="BU5" s="13">
        <v>30</v>
      </c>
      <c r="BV5" s="13">
        <v>10</v>
      </c>
      <c r="BW5" s="13">
        <v>0.6373398627754463</v>
      </c>
    </row>
    <row r="6" spans="1:76" ht="15">
      <c r="A6" s="16">
        <v>3</v>
      </c>
      <c r="B6" s="13">
        <v>110</v>
      </c>
      <c r="C6" s="17">
        <v>121.9362253</v>
      </c>
      <c r="D6" s="18" t="s">
        <v>87</v>
      </c>
      <c r="E6" s="13">
        <v>1</v>
      </c>
      <c r="F6" s="13"/>
      <c r="G6" s="19" t="s">
        <v>50</v>
      </c>
      <c r="H6" s="13">
        <v>0.84138472423787303</v>
      </c>
      <c r="I6" s="13">
        <v>25.801155668165801</v>
      </c>
      <c r="J6" s="13">
        <v>0.36225233267292101</v>
      </c>
      <c r="K6" s="13">
        <v>60.3814697749999</v>
      </c>
      <c r="L6" s="13">
        <v>19.038167931415298</v>
      </c>
      <c r="M6" s="13">
        <f t="shared" si="0"/>
        <v>10.851113909090904</v>
      </c>
      <c r="N6" s="13"/>
      <c r="O6" s="16">
        <v>3</v>
      </c>
      <c r="P6" s="13">
        <v>110</v>
      </c>
      <c r="Q6" s="17">
        <v>120.6419377</v>
      </c>
      <c r="R6" s="18" t="s">
        <v>87</v>
      </c>
      <c r="S6" s="13">
        <v>2</v>
      </c>
      <c r="T6" s="13"/>
      <c r="U6" s="15" t="s">
        <v>50</v>
      </c>
      <c r="V6" s="13">
        <v>0.89937102270893399</v>
      </c>
      <c r="W6" s="13">
        <v>20.550773995718899</v>
      </c>
      <c r="X6" s="13">
        <v>0.29902444564660202</v>
      </c>
      <c r="Y6" s="13">
        <v>47.467701254999902</v>
      </c>
      <c r="Z6" s="13">
        <v>18.117883527585899</v>
      </c>
      <c r="AA6" s="13">
        <f t="shared" si="1"/>
        <v>9.6744888181818247</v>
      </c>
      <c r="AB6" s="26">
        <v>0.325396471669746</v>
      </c>
      <c r="AC6" s="34">
        <v>491</v>
      </c>
      <c r="AD6" s="34">
        <v>149</v>
      </c>
      <c r="AE6" s="34">
        <v>4</v>
      </c>
      <c r="AF6" s="34">
        <v>5</v>
      </c>
      <c r="AG6" s="34">
        <v>0.67398331702397218</v>
      </c>
      <c r="AH6" s="13"/>
      <c r="AI6" s="16">
        <v>3</v>
      </c>
      <c r="AJ6" s="13">
        <v>110</v>
      </c>
      <c r="AK6" s="17">
        <v>112.3105894</v>
      </c>
      <c r="AL6" s="18" t="s">
        <v>87</v>
      </c>
      <c r="AM6" s="13">
        <v>1</v>
      </c>
      <c r="AN6" s="13"/>
      <c r="AO6" s="13"/>
      <c r="AP6" s="1" t="s">
        <v>50</v>
      </c>
      <c r="AQ6" s="13">
        <v>0.92454946563676998</v>
      </c>
      <c r="AR6" s="13">
        <v>17.794992680013401</v>
      </c>
      <c r="AS6" s="13">
        <v>0.25746988659146303</v>
      </c>
      <c r="AT6" s="13">
        <v>39.418050194999999</v>
      </c>
      <c r="AU6" s="13">
        <v>13.495513604162699</v>
      </c>
      <c r="AV6" s="13">
        <f t="shared" si="2"/>
        <v>2.1005358181818146</v>
      </c>
      <c r="AW6" s="26">
        <v>0.21996844089680301</v>
      </c>
      <c r="AX6" s="13">
        <v>96</v>
      </c>
      <c r="AY6" s="13">
        <v>120</v>
      </c>
      <c r="AZ6" s="13">
        <v>12</v>
      </c>
      <c r="BA6" s="13">
        <v>27</v>
      </c>
      <c r="BB6" s="13">
        <v>0.46993127645485688</v>
      </c>
      <c r="BD6" s="35">
        <v>3</v>
      </c>
      <c r="BE6" s="35">
        <v>110</v>
      </c>
      <c r="BF6" s="17">
        <v>118.7246347</v>
      </c>
      <c r="BG6" s="18" t="s">
        <v>87</v>
      </c>
      <c r="BH6" s="13">
        <v>2</v>
      </c>
      <c r="BI6" s="13"/>
      <c r="BJ6" s="15" t="s">
        <v>50</v>
      </c>
      <c r="BK6" s="13">
        <v>0.92540020009664903</v>
      </c>
      <c r="BL6" s="13">
        <v>17.694385507871001</v>
      </c>
      <c r="BM6" s="13">
        <v>0.25283375031386701</v>
      </c>
      <c r="BN6" s="13">
        <v>38.596999449999899</v>
      </c>
      <c r="BO6" s="13">
        <v>13.628323344573399</v>
      </c>
      <c r="BP6" s="13">
        <v>76</v>
      </c>
      <c r="BQ6" s="13">
        <f t="shared" si="3"/>
        <v>7.931486090909079</v>
      </c>
      <c r="BR6" s="26">
        <v>0.16272943968599099</v>
      </c>
      <c r="BS6" s="13">
        <v>105</v>
      </c>
      <c r="BT6" s="13">
        <v>149</v>
      </c>
      <c r="BU6" s="13">
        <v>14</v>
      </c>
      <c r="BV6" s="13">
        <v>42</v>
      </c>
      <c r="BW6" s="13">
        <v>0.43165487754402132</v>
      </c>
    </row>
    <row r="7" spans="1:76" ht="15">
      <c r="A7" s="16">
        <v>4</v>
      </c>
      <c r="B7" s="13">
        <v>118</v>
      </c>
      <c r="C7" s="17">
        <v>122.0370202</v>
      </c>
      <c r="D7" s="18" t="s">
        <v>88</v>
      </c>
      <c r="E7" s="13">
        <v>1</v>
      </c>
      <c r="F7" s="13"/>
      <c r="G7" s="19" t="s">
        <v>51</v>
      </c>
      <c r="H7" s="13">
        <v>0.85789281962568498</v>
      </c>
      <c r="I7" s="13">
        <v>27.760487345111201</v>
      </c>
      <c r="J7" s="13">
        <v>0.31000250441683602</v>
      </c>
      <c r="K7" s="13">
        <v>67.962692410000002</v>
      </c>
      <c r="L7" s="13">
        <v>19.594421347623602</v>
      </c>
      <c r="M7" s="13">
        <f t="shared" si="0"/>
        <v>3.421203559322028</v>
      </c>
      <c r="N7" s="13"/>
      <c r="O7" s="16">
        <v>4</v>
      </c>
      <c r="P7" s="13">
        <v>118</v>
      </c>
      <c r="Q7" s="17">
        <v>122.8376095</v>
      </c>
      <c r="R7" s="18" t="s">
        <v>88</v>
      </c>
      <c r="S7" s="13">
        <v>0.81269999999999998</v>
      </c>
      <c r="T7" s="13"/>
      <c r="U7" s="15" t="s">
        <v>51</v>
      </c>
      <c r="V7" s="13">
        <v>0.91477696744442405</v>
      </c>
      <c r="W7" s="13">
        <v>21.497975657712701</v>
      </c>
      <c r="X7" s="13">
        <v>0.25303058273394102</v>
      </c>
      <c r="Y7" s="13">
        <v>49.242593179999901</v>
      </c>
      <c r="Z7" s="13">
        <v>18.2063356437579</v>
      </c>
      <c r="AA7" s="13">
        <f t="shared" si="1"/>
        <v>4.0996690677966185</v>
      </c>
      <c r="AB7" s="26">
        <v>0.325396471669746</v>
      </c>
      <c r="AC7" s="34">
        <v>1289</v>
      </c>
      <c r="AD7" s="34">
        <v>130</v>
      </c>
      <c r="AE7" s="34">
        <v>33</v>
      </c>
      <c r="AF7" s="34">
        <v>45</v>
      </c>
      <c r="AG7" s="34">
        <v>0.39942105191873145</v>
      </c>
      <c r="AH7" s="13"/>
      <c r="AI7" s="16">
        <v>4</v>
      </c>
      <c r="AJ7" s="13">
        <v>118</v>
      </c>
      <c r="AK7" s="17">
        <v>118.5629332</v>
      </c>
      <c r="AL7" s="18" t="s">
        <v>88</v>
      </c>
      <c r="AM7" s="13">
        <v>0.69320000000000004</v>
      </c>
      <c r="AN7" s="13"/>
      <c r="AO7" s="13"/>
      <c r="AP7" s="1" t="s">
        <v>51</v>
      </c>
      <c r="AQ7" s="13">
        <v>0.93884926704953298</v>
      </c>
      <c r="AR7" s="13">
        <v>18.210417730537099</v>
      </c>
      <c r="AS7" s="13">
        <v>0.209789053509193</v>
      </c>
      <c r="AT7" s="13">
        <v>39.464021594999899</v>
      </c>
      <c r="AU7" s="13">
        <v>13.847407974322801</v>
      </c>
      <c r="AV7" s="13">
        <f t="shared" si="2"/>
        <v>0.47706203389830115</v>
      </c>
      <c r="AW7" s="26">
        <v>0.21996844089680301</v>
      </c>
      <c r="AX7" s="13">
        <v>691</v>
      </c>
      <c r="AY7" s="13">
        <v>57</v>
      </c>
      <c r="AZ7" s="13">
        <v>8</v>
      </c>
      <c r="BA7" s="13">
        <v>28</v>
      </c>
      <c r="BB7" s="13">
        <v>0.99855087262734765</v>
      </c>
      <c r="BD7" s="35">
        <v>4</v>
      </c>
      <c r="BE7" s="35">
        <v>118</v>
      </c>
      <c r="BF7" s="17">
        <v>120.6837562</v>
      </c>
      <c r="BG7" s="18" t="s">
        <v>88</v>
      </c>
      <c r="BH7" s="13">
        <v>0.76490000000000002</v>
      </c>
      <c r="BI7" s="13"/>
      <c r="BJ7" s="15" t="s">
        <v>51</v>
      </c>
      <c r="BK7" s="13">
        <v>0.93662085122705696</v>
      </c>
      <c r="BL7" s="13">
        <v>18.539254905317801</v>
      </c>
      <c r="BM7" s="13">
        <v>0.21512299400878099</v>
      </c>
      <c r="BN7" s="13">
        <v>41.890342435000001</v>
      </c>
      <c r="BO7" s="13">
        <v>14.9989819433797</v>
      </c>
      <c r="BP7" s="13">
        <v>73.599999999999994</v>
      </c>
      <c r="BQ7" s="13">
        <f t="shared" si="3"/>
        <v>2.2743696610169506</v>
      </c>
      <c r="BR7" s="26">
        <v>0.16272943968599099</v>
      </c>
      <c r="BS7" s="13">
        <v>244</v>
      </c>
      <c r="BT7" s="13">
        <v>101</v>
      </c>
      <c r="BU7" s="13">
        <v>28</v>
      </c>
      <c r="BV7" s="13">
        <v>35</v>
      </c>
      <c r="BW7" s="13">
        <v>0.20907266454552442</v>
      </c>
    </row>
    <row r="8" spans="1:76" ht="15">
      <c r="A8" s="16">
        <v>5</v>
      </c>
      <c r="B8" s="13">
        <v>137</v>
      </c>
      <c r="C8" s="17">
        <v>114.6264231</v>
      </c>
      <c r="D8" s="13"/>
      <c r="E8" s="13"/>
      <c r="F8" s="13"/>
      <c r="G8" s="20"/>
      <c r="H8" s="13"/>
      <c r="I8" s="13"/>
      <c r="J8" s="13"/>
      <c r="K8" s="13"/>
      <c r="L8" s="13"/>
      <c r="M8" s="13">
        <f t="shared" si="0"/>
        <v>-16.331078029197087</v>
      </c>
      <c r="N8" s="13"/>
      <c r="O8" s="16">
        <v>5</v>
      </c>
      <c r="P8" s="13">
        <v>137</v>
      </c>
      <c r="Q8" s="17">
        <v>119.57894810000001</v>
      </c>
      <c r="R8" s="21"/>
      <c r="S8" s="13"/>
      <c r="T8" s="13"/>
      <c r="U8" s="13"/>
      <c r="V8" s="13"/>
      <c r="W8" s="13"/>
      <c r="X8" s="13"/>
      <c r="Y8" s="13"/>
      <c r="Z8" s="13"/>
      <c r="AA8" s="13">
        <f t="shared" si="1"/>
        <v>-12.716096277372257</v>
      </c>
      <c r="AB8" s="26">
        <v>0.325396471669746</v>
      </c>
      <c r="AC8" s="34">
        <v>410</v>
      </c>
      <c r="AD8" s="34">
        <v>72</v>
      </c>
      <c r="AE8" s="34">
        <v>20</v>
      </c>
      <c r="AF8" s="34">
        <v>50</v>
      </c>
      <c r="AG8" s="34">
        <v>0.77572666424248515</v>
      </c>
      <c r="AH8" s="13"/>
      <c r="AI8" s="16">
        <v>5</v>
      </c>
      <c r="AJ8" s="13">
        <v>137</v>
      </c>
      <c r="AK8" s="17">
        <v>134.33387780000001</v>
      </c>
      <c r="AL8" s="21"/>
      <c r="AM8" s="13"/>
      <c r="AN8" s="13"/>
      <c r="AO8" s="13"/>
      <c r="AP8" s="20"/>
      <c r="AQ8" s="13"/>
      <c r="AR8" s="13"/>
      <c r="AS8" s="13"/>
      <c r="AT8" s="13"/>
      <c r="AU8" s="13"/>
      <c r="AV8" s="13">
        <f t="shared" si="2"/>
        <v>-1.9460745985401373</v>
      </c>
      <c r="AW8" s="26">
        <v>0.21996844089680301</v>
      </c>
      <c r="AX8" s="13">
        <v>839</v>
      </c>
      <c r="AY8" s="13">
        <v>131</v>
      </c>
      <c r="AZ8" s="13">
        <v>23</v>
      </c>
      <c r="BA8" s="13">
        <v>7</v>
      </c>
      <c r="BB8" s="13">
        <v>0.43376270522755511</v>
      </c>
      <c r="BD8" s="35">
        <v>5</v>
      </c>
      <c r="BE8" s="35">
        <v>137</v>
      </c>
      <c r="BF8" s="17">
        <v>128.08773389999999</v>
      </c>
      <c r="BG8" s="21"/>
      <c r="BH8" s="13"/>
      <c r="BI8" s="13"/>
      <c r="BJ8" s="13"/>
      <c r="BK8" s="13"/>
      <c r="BL8" s="13"/>
      <c r="BM8" s="13"/>
      <c r="BN8" s="13"/>
      <c r="BO8" s="13"/>
      <c r="BP8" s="13"/>
      <c r="BQ8" s="13">
        <f t="shared" si="3"/>
        <v>-6.5053037226277421</v>
      </c>
      <c r="BR8" s="26">
        <v>0.16272943968599099</v>
      </c>
      <c r="BS8" s="13">
        <v>1063</v>
      </c>
      <c r="BT8" s="13">
        <v>134</v>
      </c>
      <c r="BU8" s="13">
        <v>10</v>
      </c>
      <c r="BV8" s="13">
        <v>2</v>
      </c>
      <c r="BW8" s="13">
        <v>0.3380051142513178</v>
      </c>
    </row>
    <row r="9" spans="1:76" ht="15">
      <c r="A9" s="16">
        <v>6</v>
      </c>
      <c r="B9" s="13">
        <v>169</v>
      </c>
      <c r="C9" s="17">
        <v>159.4295826</v>
      </c>
      <c r="D9" s="21"/>
      <c r="E9" s="13"/>
      <c r="F9" s="13"/>
      <c r="G9" s="13"/>
      <c r="H9" s="13"/>
      <c r="I9" s="13"/>
      <c r="J9" s="13"/>
      <c r="K9" s="13"/>
      <c r="L9" s="13"/>
      <c r="M9" s="13">
        <f t="shared" si="0"/>
        <v>-5.6629688757396384</v>
      </c>
      <c r="N9" s="13"/>
      <c r="O9" s="16">
        <v>6</v>
      </c>
      <c r="P9" s="13">
        <v>169</v>
      </c>
      <c r="Q9" s="17">
        <v>172.81591230000001</v>
      </c>
      <c r="R9" s="13"/>
      <c r="S9" s="13"/>
      <c r="T9" s="13"/>
      <c r="U9" s="13"/>
      <c r="V9" s="13"/>
      <c r="W9" s="13"/>
      <c r="X9" s="13"/>
      <c r="Y9" s="13"/>
      <c r="Z9" s="13"/>
      <c r="AA9" s="13">
        <f t="shared" si="1"/>
        <v>2.2579362721893537</v>
      </c>
      <c r="AB9" s="26">
        <v>0.325396471669746</v>
      </c>
      <c r="AC9" s="34">
        <v>1394</v>
      </c>
      <c r="AD9" s="34">
        <v>37</v>
      </c>
      <c r="AE9" s="34">
        <v>44</v>
      </c>
      <c r="AF9" s="34">
        <v>35</v>
      </c>
      <c r="AG9" s="34">
        <v>0.84372991882509996</v>
      </c>
      <c r="AH9" s="13"/>
      <c r="AI9" s="16">
        <v>6</v>
      </c>
      <c r="AJ9" s="13">
        <v>169</v>
      </c>
      <c r="AK9" s="17">
        <v>169.33038429999999</v>
      </c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>
        <f t="shared" si="2"/>
        <v>0.19549366863904627</v>
      </c>
      <c r="AW9" s="26">
        <v>0.21996844089680301</v>
      </c>
      <c r="AX9" s="13">
        <v>272</v>
      </c>
      <c r="AY9" s="13">
        <v>104</v>
      </c>
      <c r="AZ9" s="13">
        <v>10</v>
      </c>
      <c r="BA9" s="13">
        <v>34</v>
      </c>
      <c r="BB9" s="13">
        <v>0.85049594896364444</v>
      </c>
      <c r="BD9" s="35">
        <v>6</v>
      </c>
      <c r="BE9" s="35">
        <v>169</v>
      </c>
      <c r="BF9" s="17">
        <v>170.48065969999999</v>
      </c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>
        <f t="shared" si="3"/>
        <v>0.87612999999999719</v>
      </c>
      <c r="BR9" s="26">
        <v>0.14831623908348801</v>
      </c>
      <c r="BS9" s="13">
        <v>1249</v>
      </c>
      <c r="BT9" s="13">
        <v>49</v>
      </c>
      <c r="BU9" s="13">
        <v>45</v>
      </c>
      <c r="BV9" s="13">
        <v>15</v>
      </c>
      <c r="BW9" s="13">
        <v>0.62681328461747898</v>
      </c>
    </row>
    <row r="10" spans="1:76" ht="15">
      <c r="A10" s="16">
        <v>7</v>
      </c>
      <c r="B10" s="13">
        <v>54</v>
      </c>
      <c r="C10" s="17">
        <v>74.617850219999994</v>
      </c>
      <c r="D10" s="13"/>
      <c r="E10" s="11" t="s">
        <v>89</v>
      </c>
      <c r="F10" s="11" t="s">
        <v>90</v>
      </c>
      <c r="G10" s="11" t="s">
        <v>91</v>
      </c>
      <c r="H10" s="13"/>
      <c r="I10" s="13"/>
      <c r="J10" s="13"/>
      <c r="K10" s="13"/>
      <c r="L10" s="13"/>
      <c r="M10" s="13">
        <f t="shared" si="0"/>
        <v>38.1812041111111</v>
      </c>
      <c r="N10" s="13"/>
      <c r="O10" s="16">
        <v>7</v>
      </c>
      <c r="P10" s="13">
        <v>54</v>
      </c>
      <c r="Q10" s="17">
        <v>63.480404129999997</v>
      </c>
      <c r="R10" s="13"/>
      <c r="S10" s="11" t="s">
        <v>89</v>
      </c>
      <c r="T10" s="11" t="s">
        <v>90</v>
      </c>
      <c r="U10" s="11" t="s">
        <v>91</v>
      </c>
      <c r="V10" s="13"/>
      <c r="W10" s="13"/>
      <c r="X10" s="13"/>
      <c r="Y10" s="13"/>
      <c r="Z10" s="13"/>
      <c r="AA10" s="13">
        <f t="shared" si="1"/>
        <v>17.55630394444443</v>
      </c>
      <c r="AB10" s="26">
        <v>0.325396471669746</v>
      </c>
      <c r="AC10" s="34">
        <v>506</v>
      </c>
      <c r="AD10" s="34">
        <v>190</v>
      </c>
      <c r="AE10" s="34">
        <v>9</v>
      </c>
      <c r="AF10" s="34">
        <v>28</v>
      </c>
      <c r="AG10" s="34">
        <v>0.40203761712167452</v>
      </c>
      <c r="AH10" s="13"/>
      <c r="AI10" s="16">
        <v>7</v>
      </c>
      <c r="AJ10" s="13">
        <v>54</v>
      </c>
      <c r="AK10" s="17">
        <v>56.234108880000001</v>
      </c>
      <c r="AL10" s="13"/>
      <c r="AM10" s="11" t="s">
        <v>89</v>
      </c>
      <c r="AN10" s="11" t="s">
        <v>90</v>
      </c>
      <c r="AO10" s="11" t="s">
        <v>91</v>
      </c>
      <c r="AP10" s="13"/>
      <c r="AQ10" s="13"/>
      <c r="AR10" s="13"/>
      <c r="AS10" s="13"/>
      <c r="AT10" s="13"/>
      <c r="AU10" s="13"/>
      <c r="AV10" s="13">
        <f t="shared" si="2"/>
        <v>4.137238666666665</v>
      </c>
      <c r="AW10" s="26">
        <v>0.21996844089680301</v>
      </c>
      <c r="AX10" s="13">
        <v>1275</v>
      </c>
      <c r="AY10" s="13">
        <v>16</v>
      </c>
      <c r="AZ10" s="13">
        <v>39</v>
      </c>
      <c r="BA10" s="13">
        <v>31</v>
      </c>
      <c r="BB10" s="13">
        <v>0.52654455381632248</v>
      </c>
      <c r="BD10" s="35">
        <v>7</v>
      </c>
      <c r="BE10" s="35">
        <v>54</v>
      </c>
      <c r="BF10" s="17">
        <v>60.676008969999998</v>
      </c>
      <c r="BG10" s="13"/>
      <c r="BH10" s="11" t="s">
        <v>89</v>
      </c>
      <c r="BI10" s="11" t="s">
        <v>90</v>
      </c>
      <c r="BJ10" s="11" t="s">
        <v>91</v>
      </c>
      <c r="BK10" s="13"/>
      <c r="BL10" s="13"/>
      <c r="BM10" s="13"/>
      <c r="BN10" s="13"/>
      <c r="BO10" s="13"/>
      <c r="BP10" s="13"/>
      <c r="BQ10" s="13">
        <f t="shared" si="3"/>
        <v>12.362979574074062</v>
      </c>
      <c r="BR10" s="26">
        <v>0.14831623908348801</v>
      </c>
      <c r="BS10" s="13">
        <v>923</v>
      </c>
      <c r="BT10" s="13">
        <v>60</v>
      </c>
      <c r="BU10" s="13">
        <v>45</v>
      </c>
      <c r="BV10" s="13">
        <v>28</v>
      </c>
      <c r="BW10" s="13">
        <v>0.86763994931726074</v>
      </c>
    </row>
    <row r="11" spans="1:76" ht="15">
      <c r="A11" s="16">
        <v>8</v>
      </c>
      <c r="B11" s="13">
        <v>20</v>
      </c>
      <c r="C11" s="17">
        <v>29.127218432785899</v>
      </c>
      <c r="D11" s="13"/>
      <c r="E11" s="22"/>
      <c r="F11" s="22"/>
      <c r="G11" s="36">
        <v>61.922767804739799</v>
      </c>
      <c r="H11" s="13"/>
      <c r="I11" s="13"/>
      <c r="J11" s="13"/>
      <c r="K11" s="13"/>
      <c r="L11" s="13"/>
      <c r="M11" s="13">
        <f t="shared" si="0"/>
        <v>45.636092163929497</v>
      </c>
      <c r="N11" s="13"/>
      <c r="O11" s="16">
        <v>8</v>
      </c>
      <c r="P11" s="13">
        <v>20</v>
      </c>
      <c r="Q11" s="17">
        <v>26.942963819999999</v>
      </c>
      <c r="R11" s="13"/>
      <c r="S11" s="34"/>
      <c r="T11" s="34"/>
      <c r="U11" s="34">
        <v>49.971777476951601</v>
      </c>
      <c r="V11" s="34"/>
      <c r="W11" s="34"/>
      <c r="X11" s="13"/>
      <c r="Y11" s="13"/>
      <c r="Z11" s="13"/>
      <c r="AA11" s="13">
        <f t="shared" si="1"/>
        <v>34.714819100000007</v>
      </c>
      <c r="AB11" s="26">
        <v>0.325396471669746</v>
      </c>
      <c r="AC11" s="34">
        <v>251</v>
      </c>
      <c r="AD11" s="34">
        <v>181</v>
      </c>
      <c r="AE11" s="34">
        <v>27</v>
      </c>
      <c r="AF11" s="34">
        <v>22</v>
      </c>
      <c r="AG11" s="34">
        <v>0.70028590795172296</v>
      </c>
      <c r="AH11" s="13"/>
      <c r="AI11" s="16">
        <v>8</v>
      </c>
      <c r="AJ11" s="13">
        <v>20</v>
      </c>
      <c r="AK11" s="17">
        <v>20.136178940000001</v>
      </c>
      <c r="AL11" s="13"/>
      <c r="AM11" s="36"/>
      <c r="AN11" s="36"/>
      <c r="AO11" s="36">
        <v>47.964964668932801</v>
      </c>
      <c r="AP11" s="13"/>
      <c r="AQ11" s="13"/>
      <c r="AR11" s="13"/>
      <c r="AS11" s="13"/>
      <c r="AT11" s="13"/>
      <c r="AU11" s="13"/>
      <c r="AV11" s="13">
        <f t="shared" si="2"/>
        <v>0.68089470000001207</v>
      </c>
      <c r="AW11" s="26">
        <v>0.21996844089680301</v>
      </c>
      <c r="AX11" s="13">
        <v>331</v>
      </c>
      <c r="AY11" s="13">
        <v>137</v>
      </c>
      <c r="AZ11" s="13">
        <v>47</v>
      </c>
      <c r="BA11" s="13">
        <v>44</v>
      </c>
      <c r="BB11" s="13">
        <v>0.10956929705375784</v>
      </c>
      <c r="BD11" s="35">
        <v>8</v>
      </c>
      <c r="BE11" s="35">
        <v>20</v>
      </c>
      <c r="BF11" s="17">
        <v>23.98290325</v>
      </c>
      <c r="BG11" s="13"/>
      <c r="BH11" s="36"/>
      <c r="BI11" s="36"/>
      <c r="BJ11" s="36">
        <v>46.807762242647001</v>
      </c>
      <c r="BK11" s="13"/>
      <c r="BL11" s="13"/>
      <c r="BM11" s="13"/>
      <c r="BN11" s="13"/>
      <c r="BO11" s="13"/>
      <c r="BP11" s="13"/>
      <c r="BQ11" s="13">
        <f t="shared" si="3"/>
        <v>19.914516250000002</v>
      </c>
      <c r="BR11" s="26">
        <v>0.14831623908348801</v>
      </c>
      <c r="BS11" s="13">
        <v>1379</v>
      </c>
      <c r="BT11" s="13">
        <v>12</v>
      </c>
      <c r="BU11" s="13">
        <v>30</v>
      </c>
      <c r="BV11" s="13">
        <v>24</v>
      </c>
      <c r="BW11" s="13">
        <v>0.21987742898317914</v>
      </c>
    </row>
    <row r="12" spans="1:76" ht="15">
      <c r="A12" s="16">
        <v>9</v>
      </c>
      <c r="B12" s="13">
        <v>194</v>
      </c>
      <c r="C12" s="17">
        <v>159.5628567</v>
      </c>
      <c r="D12" s="13"/>
      <c r="E12" s="34">
        <v>0.39907009597989901</v>
      </c>
      <c r="F12" s="34">
        <v>2.94117647058823E-2</v>
      </c>
      <c r="G12" s="36"/>
      <c r="H12" s="13"/>
      <c r="I12" s="13"/>
      <c r="J12" s="13"/>
      <c r="K12" s="13"/>
      <c r="L12" s="13"/>
      <c r="M12" s="13">
        <f t="shared" si="0"/>
        <v>-17.751104793814431</v>
      </c>
      <c r="N12" s="13"/>
      <c r="O12" s="16">
        <v>9</v>
      </c>
      <c r="P12" s="13">
        <v>194</v>
      </c>
      <c r="Q12" s="17">
        <v>172.03137380000001</v>
      </c>
      <c r="R12" s="13"/>
      <c r="S12" s="36">
        <v>0.30909346884422101</v>
      </c>
      <c r="T12" s="36">
        <v>2.7941176470588198E-2</v>
      </c>
      <c r="U12" s="36"/>
      <c r="V12" s="13"/>
      <c r="W12" s="13"/>
      <c r="X12" s="13"/>
      <c r="Y12" s="13"/>
      <c r="Z12" s="13"/>
      <c r="AA12" s="13">
        <f t="shared" si="1"/>
        <v>-11.324034123711336</v>
      </c>
      <c r="AB12" s="26">
        <v>0.325396471669746</v>
      </c>
      <c r="AC12" s="34">
        <v>1957</v>
      </c>
      <c r="AD12" s="34">
        <v>15</v>
      </c>
      <c r="AE12" s="34">
        <v>15</v>
      </c>
      <c r="AF12" s="34">
        <v>44</v>
      </c>
      <c r="AG12" s="34">
        <v>0.51864297128219317</v>
      </c>
      <c r="AH12" s="13"/>
      <c r="AI12" s="16">
        <v>9</v>
      </c>
      <c r="AJ12" s="13">
        <v>194</v>
      </c>
      <c r="AK12" s="17">
        <v>191.36446330000001</v>
      </c>
      <c r="AL12" s="13"/>
      <c r="AM12" s="36">
        <v>0.25860301507537597</v>
      </c>
      <c r="AN12" s="36">
        <v>0.25882352941176401</v>
      </c>
      <c r="AO12" s="36"/>
      <c r="AP12" s="13"/>
      <c r="AQ12" s="13"/>
      <c r="AR12" s="13"/>
      <c r="AS12" s="13"/>
      <c r="AT12" s="13"/>
      <c r="AU12" s="13"/>
      <c r="AV12" s="13">
        <f t="shared" si="2"/>
        <v>-1.3585240721649461</v>
      </c>
      <c r="AW12" s="26">
        <v>0.218498778606799</v>
      </c>
      <c r="AX12" s="13">
        <v>613</v>
      </c>
      <c r="AY12" s="13">
        <v>168</v>
      </c>
      <c r="AZ12" s="13">
        <v>23</v>
      </c>
      <c r="BA12" s="13">
        <v>38</v>
      </c>
      <c r="BB12" s="13">
        <v>0.41178514842851122</v>
      </c>
      <c r="BD12" s="35">
        <v>9</v>
      </c>
      <c r="BE12" s="35">
        <v>194</v>
      </c>
      <c r="BF12" s="17">
        <v>179.90985380000001</v>
      </c>
      <c r="BG12" s="13"/>
      <c r="BH12" s="36">
        <v>0.26552499999999901</v>
      </c>
      <c r="BI12" s="36">
        <v>0.05</v>
      </c>
      <c r="BJ12" s="36"/>
      <c r="BK12" s="13"/>
      <c r="BL12" s="13"/>
      <c r="BM12" s="13"/>
      <c r="BN12" s="13"/>
      <c r="BO12" s="13"/>
      <c r="BP12" s="13"/>
      <c r="BQ12" s="13">
        <f t="shared" si="3"/>
        <v>-7.2629619587628813</v>
      </c>
      <c r="BR12" s="26">
        <v>0.14831623908348801</v>
      </c>
      <c r="BS12" s="13">
        <v>687</v>
      </c>
      <c r="BT12" s="13">
        <v>192</v>
      </c>
      <c r="BU12" s="13">
        <v>41</v>
      </c>
      <c r="BV12" s="13">
        <v>29</v>
      </c>
      <c r="BW12" s="13">
        <v>0.68297281087313066</v>
      </c>
    </row>
    <row r="13" spans="1:76" ht="15">
      <c r="A13" s="16">
        <v>10</v>
      </c>
      <c r="B13" s="13">
        <v>95</v>
      </c>
      <c r="C13" s="17">
        <v>107.5176374</v>
      </c>
      <c r="D13" s="13"/>
      <c r="E13" s="34">
        <v>0.79814019195979902</v>
      </c>
      <c r="F13" s="34">
        <v>4.85294117647058E-2</v>
      </c>
      <c r="G13" s="36"/>
      <c r="H13" s="13"/>
      <c r="I13" s="13"/>
      <c r="J13" s="13"/>
      <c r="K13" s="13"/>
      <c r="L13" s="13"/>
      <c r="M13" s="13">
        <f t="shared" si="0"/>
        <v>13.176460421052628</v>
      </c>
      <c r="N13" s="13"/>
      <c r="O13" s="16">
        <v>10</v>
      </c>
      <c r="P13" s="13">
        <v>95</v>
      </c>
      <c r="Q13" s="17">
        <v>103.3448494</v>
      </c>
      <c r="R13" s="13"/>
      <c r="S13" s="36">
        <v>0.61818693768844202</v>
      </c>
      <c r="T13" s="36">
        <v>0.05</v>
      </c>
      <c r="U13" s="36"/>
      <c r="V13" s="13"/>
      <c r="W13" s="13"/>
      <c r="X13" s="13"/>
      <c r="Y13" s="13"/>
      <c r="Z13" s="13"/>
      <c r="AA13" s="13">
        <f t="shared" si="1"/>
        <v>8.7840520000000097</v>
      </c>
      <c r="AB13" s="26">
        <v>0.325396471669746</v>
      </c>
      <c r="AC13" s="34">
        <v>1509</v>
      </c>
      <c r="AD13" s="34">
        <v>183</v>
      </c>
      <c r="AE13" s="34">
        <v>41</v>
      </c>
      <c r="AF13" s="34">
        <v>38</v>
      </c>
      <c r="AG13" s="34">
        <v>0.59871440852369195</v>
      </c>
      <c r="AH13" s="13"/>
      <c r="AI13" s="16">
        <v>10</v>
      </c>
      <c r="AJ13" s="13">
        <v>95</v>
      </c>
      <c r="AK13" s="17">
        <v>95.090517860000006</v>
      </c>
      <c r="AL13" s="13"/>
      <c r="AM13" s="36">
        <v>0.51720603015075295</v>
      </c>
      <c r="AN13" s="22">
        <v>0.40882352941176398</v>
      </c>
      <c r="AO13" s="22"/>
      <c r="AP13" s="13"/>
      <c r="AQ13" s="13"/>
      <c r="AR13" s="13"/>
      <c r="AS13" s="13"/>
      <c r="AT13" s="13"/>
      <c r="AU13" s="13"/>
      <c r="AV13" s="13">
        <f t="shared" si="2"/>
        <v>9.5281957894743918E-2</v>
      </c>
      <c r="AW13" s="26">
        <v>0.218498778606799</v>
      </c>
      <c r="AX13" s="13">
        <v>815</v>
      </c>
      <c r="AY13" s="13">
        <v>69</v>
      </c>
      <c r="AZ13" s="13">
        <v>29</v>
      </c>
      <c r="BA13" s="13">
        <v>35</v>
      </c>
      <c r="BB13" s="13">
        <v>0.39596966091886165</v>
      </c>
      <c r="BD13" s="35">
        <v>10</v>
      </c>
      <c r="BE13" s="35">
        <v>95</v>
      </c>
      <c r="BF13" s="17">
        <v>95.559608440000005</v>
      </c>
      <c r="BG13" s="13"/>
      <c r="BH13" s="36">
        <v>0.53104999999999902</v>
      </c>
      <c r="BI13" s="36">
        <v>9.8529411764705796E-2</v>
      </c>
      <c r="BJ13" s="36"/>
      <c r="BK13" s="13"/>
      <c r="BL13" s="13"/>
      <c r="BM13" s="13"/>
      <c r="BN13" s="13"/>
      <c r="BO13" s="13"/>
      <c r="BP13" s="13"/>
      <c r="BQ13" s="13">
        <f t="shared" si="3"/>
        <v>0.58906151578947963</v>
      </c>
      <c r="BR13" s="26">
        <v>0.14831623908348801</v>
      </c>
      <c r="BS13" s="13">
        <v>1258</v>
      </c>
      <c r="BT13" s="13">
        <v>135</v>
      </c>
      <c r="BU13" s="13">
        <v>6</v>
      </c>
      <c r="BV13" s="13">
        <v>18</v>
      </c>
      <c r="BW13" s="13">
        <v>0.20539925024283912</v>
      </c>
    </row>
    <row r="14" spans="1:76" ht="15">
      <c r="A14" s="16">
        <v>11</v>
      </c>
      <c r="B14" s="13">
        <v>11</v>
      </c>
      <c r="C14" s="17">
        <v>13.4823486109724</v>
      </c>
      <c r="D14" s="13"/>
      <c r="E14" s="34">
        <v>1.19721028793969</v>
      </c>
      <c r="F14" s="34">
        <v>7.0588235294117604E-2</v>
      </c>
      <c r="G14" s="36"/>
      <c r="H14" s="13"/>
      <c r="I14" s="13"/>
      <c r="J14" s="13"/>
      <c r="K14" s="13"/>
      <c r="L14" s="13"/>
      <c r="M14" s="13">
        <f t="shared" si="0"/>
        <v>22.566805554294532</v>
      </c>
      <c r="N14" s="13"/>
      <c r="O14" s="16">
        <v>11</v>
      </c>
      <c r="P14" s="13">
        <v>11</v>
      </c>
      <c r="Q14" s="17">
        <v>13.3244895525518</v>
      </c>
      <c r="R14" s="13"/>
      <c r="S14" s="36">
        <v>0.92728040653266297</v>
      </c>
      <c r="T14" s="36">
        <v>7.2058823529411703E-2</v>
      </c>
      <c r="U14" s="36"/>
      <c r="V14" s="13"/>
      <c r="W14" s="13"/>
      <c r="X14" s="13"/>
      <c r="Y14" s="13"/>
      <c r="Z14" s="13"/>
      <c r="AA14" s="13">
        <f t="shared" si="1"/>
        <v>21.13172320501635</v>
      </c>
      <c r="AB14" s="26">
        <v>0.325396471669746</v>
      </c>
      <c r="AC14" s="34">
        <v>1921</v>
      </c>
      <c r="AD14" s="34">
        <v>192</v>
      </c>
      <c r="AE14" s="34">
        <v>41</v>
      </c>
      <c r="AF14" s="34">
        <v>24</v>
      </c>
      <c r="AG14" s="34">
        <v>0.84941612058141047</v>
      </c>
      <c r="AH14" s="13"/>
      <c r="AI14" s="16">
        <v>11</v>
      </c>
      <c r="AJ14" s="13">
        <v>11</v>
      </c>
      <c r="AK14" s="17">
        <v>12.77734105</v>
      </c>
      <c r="AL14" s="13"/>
      <c r="AM14" s="36">
        <v>0.77580904522613003</v>
      </c>
      <c r="AN14" s="34">
        <v>0.48970588235294099</v>
      </c>
      <c r="AO14" s="34"/>
      <c r="AP14" s="13"/>
      <c r="AQ14" s="13"/>
      <c r="AR14" s="13"/>
      <c r="AS14" s="13"/>
      <c r="AT14" s="13"/>
      <c r="AU14" s="13"/>
      <c r="AV14" s="13">
        <f t="shared" si="2"/>
        <v>16.157645909090924</v>
      </c>
      <c r="AW14" s="26">
        <v>0.218498778606799</v>
      </c>
      <c r="AX14" s="13">
        <v>1395</v>
      </c>
      <c r="AY14" s="13">
        <v>178</v>
      </c>
      <c r="AZ14" s="13">
        <v>32</v>
      </c>
      <c r="BA14" s="13">
        <v>49</v>
      </c>
      <c r="BB14" s="13">
        <v>0.52558056387030661</v>
      </c>
      <c r="BD14" s="35">
        <v>11</v>
      </c>
      <c r="BE14" s="35">
        <v>11</v>
      </c>
      <c r="BF14" s="17">
        <v>10.4753722020575</v>
      </c>
      <c r="BG14" s="13"/>
      <c r="BH14" s="36">
        <v>0.79657499999999903</v>
      </c>
      <c r="BI14" s="22">
        <v>0.155882352941176</v>
      </c>
      <c r="BJ14" s="22"/>
      <c r="BK14" s="13"/>
      <c r="BL14" s="13"/>
      <c r="BM14" s="13"/>
      <c r="BN14" s="13"/>
      <c r="BO14" s="13"/>
      <c r="BP14" s="13"/>
      <c r="BQ14" s="13">
        <f t="shared" si="3"/>
        <v>-4.7693436176590946</v>
      </c>
      <c r="BR14" s="26">
        <v>0.14831623908348801</v>
      </c>
      <c r="BS14" s="13">
        <v>1742</v>
      </c>
      <c r="BT14" s="13">
        <v>160</v>
      </c>
      <c r="BU14" s="13">
        <v>37</v>
      </c>
      <c r="BV14" s="13">
        <v>21</v>
      </c>
      <c r="BW14" s="13">
        <v>0.18525016061933078</v>
      </c>
    </row>
    <row r="15" spans="1:76" ht="15">
      <c r="A15" s="16">
        <v>12</v>
      </c>
      <c r="B15" s="13">
        <v>195</v>
      </c>
      <c r="C15" s="17">
        <v>176.04713699999999</v>
      </c>
      <c r="D15" s="13"/>
      <c r="E15" s="34">
        <v>1.59628038391959</v>
      </c>
      <c r="F15" s="34">
        <v>7.9411764705882307E-2</v>
      </c>
      <c r="G15" s="36"/>
      <c r="H15" s="13"/>
      <c r="I15" s="13"/>
      <c r="J15" s="13"/>
      <c r="K15" s="13"/>
      <c r="L15" s="13"/>
      <c r="M15" s="13">
        <f t="shared" si="0"/>
        <v>-9.7194169230769294</v>
      </c>
      <c r="N15" s="13"/>
      <c r="O15" s="16">
        <v>12</v>
      </c>
      <c r="P15" s="13">
        <v>195</v>
      </c>
      <c r="Q15" s="17">
        <v>192.73683439999999</v>
      </c>
      <c r="R15" s="13"/>
      <c r="S15" s="36">
        <v>1.23637387537688</v>
      </c>
      <c r="T15" s="36">
        <v>9.8529411764705796E-2</v>
      </c>
      <c r="U15" s="36"/>
      <c r="V15" s="13"/>
      <c r="W15" s="13"/>
      <c r="X15" s="13"/>
      <c r="Y15" s="13"/>
      <c r="Z15" s="13"/>
      <c r="AA15" s="13">
        <f t="shared" si="1"/>
        <v>-1.160597743589753</v>
      </c>
      <c r="AB15" s="26">
        <v>0.30872882569538901</v>
      </c>
      <c r="AC15" s="34">
        <v>1939</v>
      </c>
      <c r="AD15" s="34">
        <v>154</v>
      </c>
      <c r="AE15" s="34">
        <v>10</v>
      </c>
      <c r="AF15" s="34">
        <v>12</v>
      </c>
      <c r="AG15" s="34">
        <v>0.89544516951157127</v>
      </c>
      <c r="AH15" s="13"/>
      <c r="AI15" s="16">
        <v>12</v>
      </c>
      <c r="AJ15" s="13">
        <v>195</v>
      </c>
      <c r="AK15" s="17">
        <v>195.07211390000001</v>
      </c>
      <c r="AL15" s="13"/>
      <c r="AM15" s="22">
        <v>1.0344120603014999</v>
      </c>
      <c r="AN15" s="34">
        <v>0.56176470588235194</v>
      </c>
      <c r="AO15" s="34"/>
      <c r="AP15" s="13"/>
      <c r="AQ15" s="13"/>
      <c r="AR15" s="13"/>
      <c r="AS15" s="13"/>
      <c r="AT15" s="13"/>
      <c r="AU15" s="13"/>
      <c r="AV15" s="13">
        <f t="shared" si="2"/>
        <v>3.6981487179499339E-2</v>
      </c>
      <c r="AW15" s="26">
        <v>0.218498778606799</v>
      </c>
      <c r="AX15" s="13">
        <v>1878</v>
      </c>
      <c r="AY15" s="13">
        <v>88</v>
      </c>
      <c r="AZ15" s="13">
        <v>25</v>
      </c>
      <c r="BA15" s="13">
        <v>32</v>
      </c>
      <c r="BB15" s="13">
        <v>0.56184996713736612</v>
      </c>
      <c r="BD15" s="35">
        <v>12</v>
      </c>
      <c r="BE15" s="35">
        <v>195</v>
      </c>
      <c r="BF15" s="17">
        <v>194.38157760000001</v>
      </c>
      <c r="BG15" s="13"/>
      <c r="BH15" s="36">
        <v>1.0620999999999901</v>
      </c>
      <c r="BI15" s="34">
        <v>0.20588235294117599</v>
      </c>
      <c r="BJ15" s="34"/>
      <c r="BK15" s="13"/>
      <c r="BL15" s="13"/>
      <c r="BM15" s="13"/>
      <c r="BN15" s="13"/>
      <c r="BO15" s="13"/>
      <c r="BP15" s="13"/>
      <c r="BQ15" s="13">
        <f t="shared" si="3"/>
        <v>-0.31713969230768857</v>
      </c>
      <c r="BR15" s="26">
        <v>0.145493332817096</v>
      </c>
      <c r="BS15" s="13">
        <v>979</v>
      </c>
      <c r="BT15" s="13">
        <v>43</v>
      </c>
      <c r="BU15" s="13">
        <v>37</v>
      </c>
      <c r="BV15" s="13">
        <v>26</v>
      </c>
      <c r="BW15" s="13">
        <v>0.66442441247965689</v>
      </c>
    </row>
    <row r="16" spans="1:76" ht="15">
      <c r="A16" s="16">
        <v>13</v>
      </c>
      <c r="B16" s="13">
        <v>73</v>
      </c>
      <c r="C16" s="17">
        <v>99.295081640000006</v>
      </c>
      <c r="D16" s="13"/>
      <c r="E16" s="34">
        <v>1.9953504798994901</v>
      </c>
      <c r="F16" s="34">
        <v>9.41176470588235E-2</v>
      </c>
      <c r="G16" s="36"/>
      <c r="H16" s="13"/>
      <c r="I16" s="13"/>
      <c r="J16" s="13"/>
      <c r="K16" s="13"/>
      <c r="L16" s="13"/>
      <c r="M16" s="13">
        <f t="shared" si="0"/>
        <v>36.020659780821916</v>
      </c>
      <c r="N16" s="13"/>
      <c r="O16" s="16">
        <v>13</v>
      </c>
      <c r="P16" s="13">
        <v>73</v>
      </c>
      <c r="Q16" s="17">
        <v>90.77227852</v>
      </c>
      <c r="R16" s="13"/>
      <c r="S16" s="36">
        <v>1.5454673442211</v>
      </c>
      <c r="T16" s="36">
        <v>0.11617647058823501</v>
      </c>
      <c r="U16" s="22"/>
      <c r="V16" s="22"/>
      <c r="W16" s="13"/>
      <c r="X16" s="13"/>
      <c r="Y16" s="13"/>
      <c r="Z16" s="13"/>
      <c r="AA16" s="13">
        <f t="shared" si="1"/>
        <v>24.345587013698623</v>
      </c>
      <c r="AB16" s="26">
        <v>0.30872882569538901</v>
      </c>
      <c r="AC16" s="34">
        <v>613</v>
      </c>
      <c r="AD16" s="34">
        <v>179</v>
      </c>
      <c r="AE16" s="34">
        <v>16</v>
      </c>
      <c r="AF16" s="34">
        <v>19</v>
      </c>
      <c r="AG16" s="34">
        <v>0.78065312746701965</v>
      </c>
      <c r="AH16" s="13"/>
      <c r="AI16" s="16">
        <v>13</v>
      </c>
      <c r="AJ16" s="13">
        <v>73</v>
      </c>
      <c r="AK16" s="17">
        <v>73.459666670000004</v>
      </c>
      <c r="AL16" s="13"/>
      <c r="AM16" s="34">
        <v>1.2930150753768801</v>
      </c>
      <c r="AN16" s="34">
        <v>0.61470588235294099</v>
      </c>
      <c r="AO16" s="34"/>
      <c r="AP16" s="13"/>
      <c r="AQ16" s="13"/>
      <c r="AR16" s="13"/>
      <c r="AS16" s="13"/>
      <c r="AT16" s="13"/>
      <c r="AU16" s="13"/>
      <c r="AV16" s="13">
        <f t="shared" si="2"/>
        <v>0.62968036986301712</v>
      </c>
      <c r="AW16" s="26">
        <v>0.21819509887220601</v>
      </c>
      <c r="AX16" s="13">
        <v>688</v>
      </c>
      <c r="AY16" s="13">
        <v>114</v>
      </c>
      <c r="AZ16" s="13">
        <v>28</v>
      </c>
      <c r="BA16" s="13">
        <v>34</v>
      </c>
      <c r="BB16" s="13">
        <v>0.3315744140245821</v>
      </c>
      <c r="BD16" s="35">
        <v>13</v>
      </c>
      <c r="BE16" s="35">
        <v>73</v>
      </c>
      <c r="BF16" s="17">
        <v>77.126487990000001</v>
      </c>
      <c r="BG16" s="13"/>
      <c r="BH16" s="36">
        <v>1.3276249999999901</v>
      </c>
      <c r="BI16" s="34">
        <v>0.25</v>
      </c>
      <c r="BJ16" s="34"/>
      <c r="BK16" s="13"/>
      <c r="BL16" s="13"/>
      <c r="BM16" s="13"/>
      <c r="BN16" s="13"/>
      <c r="BO16" s="13"/>
      <c r="BP16" s="13"/>
      <c r="BQ16" s="13">
        <f t="shared" si="3"/>
        <v>5.6527232739726152</v>
      </c>
      <c r="BR16" s="26">
        <v>0.145493332817096</v>
      </c>
      <c r="BS16" s="13">
        <v>1281</v>
      </c>
      <c r="BT16" s="13">
        <v>166</v>
      </c>
      <c r="BU16" s="13">
        <v>27</v>
      </c>
      <c r="BV16" s="13">
        <v>28</v>
      </c>
      <c r="BW16" s="13">
        <v>0.34458387902171222</v>
      </c>
    </row>
    <row r="17" spans="1:75" ht="15">
      <c r="A17" s="16">
        <v>14</v>
      </c>
      <c r="B17" s="13">
        <v>88</v>
      </c>
      <c r="C17" s="17">
        <v>103.3685285</v>
      </c>
      <c r="D17" s="13"/>
      <c r="E17" s="36">
        <v>2.3944205758793902</v>
      </c>
      <c r="F17" s="36">
        <v>0.108823529411764</v>
      </c>
      <c r="G17" s="36"/>
      <c r="H17" s="13"/>
      <c r="I17" s="13"/>
      <c r="J17" s="13"/>
      <c r="K17" s="13"/>
      <c r="L17" s="13"/>
      <c r="M17" s="13">
        <f t="shared" si="0"/>
        <v>17.464236931818178</v>
      </c>
      <c r="N17" s="13"/>
      <c r="O17" s="16">
        <v>14</v>
      </c>
      <c r="P17" s="13">
        <v>88</v>
      </c>
      <c r="Q17" s="17">
        <v>96.245603639999999</v>
      </c>
      <c r="R17" s="13"/>
      <c r="S17" s="36">
        <v>1.8545608130653199</v>
      </c>
      <c r="T17" s="36">
        <v>0.13529411764705801</v>
      </c>
      <c r="U17" s="34"/>
      <c r="V17" s="34"/>
      <c r="W17" s="13"/>
      <c r="X17" s="13"/>
      <c r="Y17" s="13"/>
      <c r="Z17" s="13"/>
      <c r="AA17" s="13">
        <f t="shared" si="1"/>
        <v>9.3700041363636402</v>
      </c>
      <c r="AB17" s="26">
        <v>0.30872882569538901</v>
      </c>
      <c r="AC17" s="34">
        <v>936</v>
      </c>
      <c r="AD17" s="34">
        <v>18</v>
      </c>
      <c r="AE17" s="34">
        <v>9</v>
      </c>
      <c r="AF17" s="34">
        <v>36</v>
      </c>
      <c r="AG17" s="34">
        <v>0.60704252620561794</v>
      </c>
      <c r="AH17" s="13"/>
      <c r="AI17" s="16">
        <v>14</v>
      </c>
      <c r="AJ17" s="13">
        <v>88</v>
      </c>
      <c r="AK17" s="17">
        <v>89.094897840000002</v>
      </c>
      <c r="AL17" s="13"/>
      <c r="AM17" s="34">
        <v>1.5516180904522601</v>
      </c>
      <c r="AN17" s="34">
        <v>0.65735294117647003</v>
      </c>
      <c r="AO17" s="34"/>
      <c r="AP17" s="13"/>
      <c r="AQ17" s="13"/>
      <c r="AR17" s="13"/>
      <c r="AS17" s="13"/>
      <c r="AT17" s="13"/>
      <c r="AU17" s="13"/>
      <c r="AV17" s="13">
        <f t="shared" si="2"/>
        <v>1.2442020909090967</v>
      </c>
      <c r="AW17" s="26">
        <v>0.21819509887220601</v>
      </c>
      <c r="AX17" s="13">
        <v>1995</v>
      </c>
      <c r="AY17" s="13">
        <v>102</v>
      </c>
      <c r="AZ17" s="13">
        <v>31</v>
      </c>
      <c r="BA17" s="13">
        <v>3</v>
      </c>
      <c r="BB17" s="13">
        <v>0.41748372406459111</v>
      </c>
      <c r="BD17" s="35">
        <v>14</v>
      </c>
      <c r="BE17" s="35">
        <v>88</v>
      </c>
      <c r="BF17" s="17">
        <v>91.981496210000003</v>
      </c>
      <c r="BG17" s="13"/>
      <c r="BH17" s="36">
        <v>1.5931499999999901</v>
      </c>
      <c r="BI17" s="34">
        <v>0.27647058823529402</v>
      </c>
      <c r="BJ17" s="34"/>
      <c r="BK17" s="13"/>
      <c r="BL17" s="13"/>
      <c r="BM17" s="13"/>
      <c r="BN17" s="13"/>
      <c r="BO17" s="13"/>
      <c r="BP17" s="13"/>
      <c r="BQ17" s="13">
        <f t="shared" si="3"/>
        <v>4.5244275113636379</v>
      </c>
      <c r="BR17" s="26">
        <v>0.145493332817096</v>
      </c>
      <c r="BS17" s="13">
        <v>1454</v>
      </c>
      <c r="BT17" s="13">
        <v>95</v>
      </c>
      <c r="BU17" s="13">
        <v>41</v>
      </c>
      <c r="BV17" s="13">
        <v>12</v>
      </c>
      <c r="BW17" s="13">
        <v>0.77305103150883847</v>
      </c>
    </row>
    <row r="18" spans="1:75" ht="15">
      <c r="A18" s="16">
        <v>15</v>
      </c>
      <c r="B18" s="13">
        <v>154</v>
      </c>
      <c r="C18" s="17">
        <v>150.22359349999999</v>
      </c>
      <c r="D18" s="13"/>
      <c r="E18" s="36">
        <v>2.7934906718592898</v>
      </c>
      <c r="F18" s="36">
        <v>0.126470588235294</v>
      </c>
      <c r="G18" s="36"/>
      <c r="H18" s="13"/>
      <c r="I18" s="13"/>
      <c r="J18" s="13"/>
      <c r="K18" s="13"/>
      <c r="L18" s="13"/>
      <c r="M18" s="13">
        <f t="shared" si="0"/>
        <v>-2.4522120129870206</v>
      </c>
      <c r="N18" s="13"/>
      <c r="O18" s="16">
        <v>15</v>
      </c>
      <c r="P18" s="13">
        <v>154</v>
      </c>
      <c r="Q18" s="17">
        <v>157.3880595</v>
      </c>
      <c r="R18" s="13"/>
      <c r="S18" s="36">
        <v>2.1636542819095399</v>
      </c>
      <c r="T18" s="36">
        <v>0.152941176470588</v>
      </c>
      <c r="U18" s="34"/>
      <c r="V18" s="34"/>
      <c r="W18" s="13"/>
      <c r="X18" s="13"/>
      <c r="Y18" s="13"/>
      <c r="Z18" s="13"/>
      <c r="AA18" s="13">
        <f t="shared" si="1"/>
        <v>2.2000386363636437</v>
      </c>
      <c r="AB18" s="26">
        <v>0.30872882569538901</v>
      </c>
      <c r="AC18" s="34">
        <v>116</v>
      </c>
      <c r="AD18" s="34">
        <v>66</v>
      </c>
      <c r="AE18" s="34">
        <v>21</v>
      </c>
      <c r="AF18" s="34">
        <v>7</v>
      </c>
      <c r="AG18" s="34">
        <v>0.72868242746472811</v>
      </c>
      <c r="AH18" s="13"/>
      <c r="AI18" s="16">
        <v>15</v>
      </c>
      <c r="AJ18" s="13">
        <v>154</v>
      </c>
      <c r="AK18" s="17">
        <v>154.3692374</v>
      </c>
      <c r="AL18" s="13"/>
      <c r="AM18" s="34">
        <v>1.81022110552763</v>
      </c>
      <c r="AN18" s="34">
        <v>0.69558823529411695</v>
      </c>
      <c r="AO18" s="34"/>
      <c r="AP18" s="13"/>
      <c r="AQ18" s="13"/>
      <c r="AR18" s="13"/>
      <c r="AS18" s="13"/>
      <c r="AT18" s="13"/>
      <c r="AU18" s="13"/>
      <c r="AV18" s="13">
        <f t="shared" si="2"/>
        <v>0.23976454545455717</v>
      </c>
      <c r="AW18" s="26">
        <v>0.21819509887220601</v>
      </c>
      <c r="AX18" s="13">
        <v>1234</v>
      </c>
      <c r="AY18" s="13">
        <v>79</v>
      </c>
      <c r="AZ18" s="13">
        <v>18</v>
      </c>
      <c r="BA18" s="13">
        <v>45</v>
      </c>
      <c r="BB18" s="13">
        <v>0.13013150552929009</v>
      </c>
      <c r="BD18" s="35">
        <v>15</v>
      </c>
      <c r="BE18" s="35">
        <v>154</v>
      </c>
      <c r="BF18" s="17">
        <v>155.06301210000001</v>
      </c>
      <c r="BG18" s="13"/>
      <c r="BH18" s="36">
        <v>1.8586749999999901</v>
      </c>
      <c r="BI18" s="34">
        <v>0.30441176470588199</v>
      </c>
      <c r="BJ18" s="34"/>
      <c r="BK18" s="13"/>
      <c r="BL18" s="13"/>
      <c r="BM18" s="13"/>
      <c r="BN18" s="13"/>
      <c r="BO18" s="13"/>
      <c r="BP18" s="13"/>
      <c r="BQ18" s="13">
        <f t="shared" si="3"/>
        <v>0.69026759740260513</v>
      </c>
      <c r="BR18" s="26">
        <v>0.14141585042931701</v>
      </c>
      <c r="BS18" s="13">
        <v>1841</v>
      </c>
      <c r="BT18" s="13">
        <v>6</v>
      </c>
      <c r="BU18" s="13">
        <v>18</v>
      </c>
      <c r="BV18" s="13">
        <v>40</v>
      </c>
      <c r="BW18" s="13">
        <v>0.44942257595925494</v>
      </c>
    </row>
    <row r="19" spans="1:75" ht="15">
      <c r="A19" s="16">
        <v>16</v>
      </c>
      <c r="B19" s="13">
        <v>10</v>
      </c>
      <c r="C19" s="17">
        <v>10.401534013488501</v>
      </c>
      <c r="D19" s="13"/>
      <c r="E19" s="36">
        <v>3.1925607678391899</v>
      </c>
      <c r="F19" s="36">
        <v>0.14117647058823499</v>
      </c>
      <c r="G19" s="36"/>
      <c r="H19" s="13"/>
      <c r="I19" s="13"/>
      <c r="J19" s="13"/>
      <c r="K19" s="13"/>
      <c r="L19" s="13"/>
      <c r="M19" s="13">
        <f t="shared" si="0"/>
        <v>4.0153401348850037</v>
      </c>
      <c r="N19" s="13"/>
      <c r="O19" s="16">
        <v>16</v>
      </c>
      <c r="P19" s="13">
        <v>10</v>
      </c>
      <c r="Q19" s="17">
        <v>10.3715301795605</v>
      </c>
      <c r="R19" s="13"/>
      <c r="S19" s="36">
        <v>2.4727477507537601</v>
      </c>
      <c r="T19" s="36">
        <v>0.17352941176470499</v>
      </c>
      <c r="U19" s="34"/>
      <c r="V19" s="34"/>
      <c r="W19" s="13"/>
      <c r="X19" s="13"/>
      <c r="Y19" s="13"/>
      <c r="Z19" s="13"/>
      <c r="AA19" s="13">
        <f t="shared" si="1"/>
        <v>3.7153017956049972</v>
      </c>
      <c r="AB19" s="26">
        <v>0.30567450656925099</v>
      </c>
      <c r="AC19" s="34">
        <v>1171</v>
      </c>
      <c r="AD19" s="34">
        <v>141</v>
      </c>
      <c r="AE19" s="34">
        <v>11</v>
      </c>
      <c r="AF19" s="34">
        <v>38</v>
      </c>
      <c r="AG19" s="34">
        <v>0.71586777259693557</v>
      </c>
      <c r="AH19" s="13"/>
      <c r="AI19" s="16">
        <v>16</v>
      </c>
      <c r="AJ19" s="13">
        <v>10</v>
      </c>
      <c r="AK19" s="17">
        <v>10.41837677</v>
      </c>
      <c r="AL19" s="13"/>
      <c r="AM19" s="34">
        <v>2.06882412060301</v>
      </c>
      <c r="AN19" s="34">
        <v>0.72352941176470498</v>
      </c>
      <c r="AO19" s="36"/>
      <c r="AP19" s="13"/>
      <c r="AQ19" s="13"/>
      <c r="AR19" s="13"/>
      <c r="AS19" s="13"/>
      <c r="AT19" s="13"/>
      <c r="AU19" s="13"/>
      <c r="AV19" s="13">
        <f t="shared" si="2"/>
        <v>4.1837676999999962</v>
      </c>
      <c r="AW19" s="26">
        <v>0.21819509887220601</v>
      </c>
      <c r="AX19" s="13">
        <v>872</v>
      </c>
      <c r="AY19" s="13">
        <v>75</v>
      </c>
      <c r="AZ19" s="13">
        <v>46</v>
      </c>
      <c r="BA19" s="13">
        <v>9</v>
      </c>
      <c r="BB19" s="13">
        <v>0.48020168212493164</v>
      </c>
      <c r="BD19" s="35">
        <v>16</v>
      </c>
      <c r="BE19" s="35">
        <v>10</v>
      </c>
      <c r="BF19" s="17">
        <v>10.5644029762296</v>
      </c>
      <c r="BG19" s="13"/>
      <c r="BH19" s="36">
        <v>2.1241999999999899</v>
      </c>
      <c r="BI19" s="34">
        <v>0.34558823529411697</v>
      </c>
      <c r="BJ19" s="34"/>
      <c r="BK19" s="13"/>
      <c r="BL19" s="13"/>
      <c r="BM19" s="13"/>
      <c r="BN19" s="13"/>
      <c r="BO19" s="13"/>
      <c r="BP19" s="13"/>
      <c r="BQ19" s="13">
        <f t="shared" si="3"/>
        <v>5.6440297622959879</v>
      </c>
      <c r="BR19" s="26">
        <v>0.14141585042931701</v>
      </c>
      <c r="BS19" s="13">
        <v>238</v>
      </c>
      <c r="BT19" s="13">
        <v>157</v>
      </c>
      <c r="BU19" s="13">
        <v>20</v>
      </c>
      <c r="BV19" s="13">
        <v>3</v>
      </c>
      <c r="BW19" s="13">
        <v>0.52432104367666599</v>
      </c>
    </row>
    <row r="20" spans="1:75" ht="15">
      <c r="A20" s="16">
        <v>17</v>
      </c>
      <c r="B20" s="13">
        <v>164</v>
      </c>
      <c r="C20" s="17">
        <v>156.1274233</v>
      </c>
      <c r="D20" s="13"/>
      <c r="E20" s="36">
        <v>3.5916308638190899</v>
      </c>
      <c r="F20" s="36">
        <v>0.158823529411764</v>
      </c>
      <c r="G20" s="36"/>
      <c r="H20" s="13"/>
      <c r="I20" s="13"/>
      <c r="J20" s="13"/>
      <c r="K20" s="13"/>
      <c r="L20" s="13"/>
      <c r="M20" s="13">
        <f t="shared" si="0"/>
        <v>-4.8003516463414613</v>
      </c>
      <c r="N20" s="13"/>
      <c r="O20" s="16">
        <v>17</v>
      </c>
      <c r="P20" s="13">
        <v>164</v>
      </c>
      <c r="Q20" s="17">
        <v>165.38432839999999</v>
      </c>
      <c r="R20" s="13"/>
      <c r="S20" s="36">
        <v>2.7818412195979798</v>
      </c>
      <c r="T20" s="36">
        <v>0.191176470588235</v>
      </c>
      <c r="U20" s="34"/>
      <c r="V20" s="34"/>
      <c r="W20" s="13"/>
      <c r="X20" s="13"/>
      <c r="Y20" s="13"/>
      <c r="Z20" s="13"/>
      <c r="AA20" s="13">
        <f t="shared" si="1"/>
        <v>0.84410268292682833</v>
      </c>
      <c r="AB20" s="26">
        <v>0.30567450656925099</v>
      </c>
      <c r="AC20" s="34">
        <v>1489</v>
      </c>
      <c r="AD20" s="34">
        <v>116</v>
      </c>
      <c r="AE20" s="34">
        <v>43</v>
      </c>
      <c r="AF20" s="34">
        <v>4</v>
      </c>
      <c r="AG20" s="34">
        <v>0.15376270743020362</v>
      </c>
      <c r="AH20" s="13"/>
      <c r="AI20" s="16">
        <v>17</v>
      </c>
      <c r="AJ20" s="13">
        <v>164</v>
      </c>
      <c r="AK20" s="17">
        <v>163.96267230000001</v>
      </c>
      <c r="AL20" s="13"/>
      <c r="AM20" s="34">
        <v>2.32742713567839</v>
      </c>
      <c r="AN20" s="34">
        <v>0.74117647058823499</v>
      </c>
      <c r="AO20" s="36"/>
      <c r="AP20" s="13"/>
      <c r="AQ20" s="13"/>
      <c r="AR20" s="13"/>
      <c r="AS20" s="13"/>
      <c r="AT20" s="13"/>
      <c r="AU20" s="13"/>
      <c r="AV20" s="13">
        <f t="shared" si="2"/>
        <v>-2.2760792682918751E-2</v>
      </c>
      <c r="AW20" s="26">
        <v>0.21819509887220601</v>
      </c>
      <c r="AX20" s="13">
        <v>537</v>
      </c>
      <c r="AY20" s="13">
        <v>17</v>
      </c>
      <c r="AZ20" s="13">
        <v>10</v>
      </c>
      <c r="BA20" s="13">
        <v>17</v>
      </c>
      <c r="BB20" s="13">
        <v>0.53404417018265693</v>
      </c>
      <c r="BD20" s="35">
        <v>17</v>
      </c>
      <c r="BE20" s="35">
        <v>164</v>
      </c>
      <c r="BF20" s="17">
        <v>164.94087450000001</v>
      </c>
      <c r="BG20" s="13"/>
      <c r="BH20" s="36">
        <v>2.3897249999999901</v>
      </c>
      <c r="BI20" s="36">
        <v>0.38676470588235201</v>
      </c>
      <c r="BJ20" s="36"/>
      <c r="BK20" s="13"/>
      <c r="BL20" s="13"/>
      <c r="BM20" s="13"/>
      <c r="BN20" s="13"/>
      <c r="BO20" s="13"/>
      <c r="BP20" s="13"/>
      <c r="BQ20" s="13">
        <f t="shared" si="3"/>
        <v>0.57370396341462904</v>
      </c>
      <c r="BR20" s="26">
        <v>0.1383917814299</v>
      </c>
      <c r="BS20" s="13">
        <v>1817</v>
      </c>
      <c r="BT20" s="13">
        <v>100</v>
      </c>
      <c r="BU20" s="13">
        <v>35</v>
      </c>
      <c r="BV20" s="13">
        <v>4</v>
      </c>
      <c r="BW20" s="13">
        <v>0.89873008598609194</v>
      </c>
    </row>
    <row r="21" spans="1:75" ht="15">
      <c r="A21" s="16">
        <v>18</v>
      </c>
      <c r="B21" s="13">
        <v>9</v>
      </c>
      <c r="C21" s="17">
        <v>5.8125721603362601</v>
      </c>
      <c r="D21" s="13"/>
      <c r="E21" s="36">
        <v>3.99070095979899</v>
      </c>
      <c r="F21" s="36">
        <v>0.16911764705882301</v>
      </c>
      <c r="G21" s="36"/>
      <c r="H21" s="13"/>
      <c r="I21" s="13"/>
      <c r="J21" s="13"/>
      <c r="K21" s="13"/>
      <c r="L21" s="13"/>
      <c r="M21" s="13">
        <f t="shared" si="0"/>
        <v>-35.415864885152672</v>
      </c>
      <c r="N21" s="13"/>
      <c r="O21" s="16">
        <v>18</v>
      </c>
      <c r="P21" s="13">
        <v>9</v>
      </c>
      <c r="Q21" s="17">
        <v>13.6925781592217</v>
      </c>
      <c r="R21" s="13"/>
      <c r="S21" s="36">
        <v>3.0909346884422102</v>
      </c>
      <c r="T21" s="36">
        <v>0.20588235294117599</v>
      </c>
      <c r="U21" s="34"/>
      <c r="V21" s="34"/>
      <c r="W21" s="13"/>
      <c r="X21" s="13"/>
      <c r="Y21" s="13"/>
      <c r="Z21" s="13"/>
      <c r="AA21" s="13">
        <f t="shared" si="1"/>
        <v>52.139757324685561</v>
      </c>
      <c r="AB21" s="26">
        <v>0.30567450656925099</v>
      </c>
      <c r="AC21" s="34">
        <v>232</v>
      </c>
      <c r="AD21" s="34">
        <v>176</v>
      </c>
      <c r="AE21" s="34">
        <v>41</v>
      </c>
      <c r="AF21" s="34">
        <v>11</v>
      </c>
      <c r="AG21" s="34">
        <v>0.27969159299621105</v>
      </c>
      <c r="AH21" s="13"/>
      <c r="AI21" s="16">
        <v>18</v>
      </c>
      <c r="AJ21" s="13">
        <v>9</v>
      </c>
      <c r="AK21" s="17">
        <v>10.0331881</v>
      </c>
      <c r="AL21" s="13"/>
      <c r="AM21" s="36">
        <v>2.5860301507537602</v>
      </c>
      <c r="AN21" s="36">
        <v>0.76176470588235201</v>
      </c>
      <c r="AO21" s="36"/>
      <c r="AP21" s="13"/>
      <c r="AQ21" s="13"/>
      <c r="AR21" s="13"/>
      <c r="AS21" s="13"/>
      <c r="AT21" s="13"/>
      <c r="AU21" s="13"/>
      <c r="AV21" s="13">
        <f t="shared" si="2"/>
        <v>11.479867777777786</v>
      </c>
      <c r="AW21" s="26">
        <v>0.21819509887220601</v>
      </c>
      <c r="AX21" s="13">
        <v>1496</v>
      </c>
      <c r="AY21" s="13">
        <v>193</v>
      </c>
      <c r="AZ21" s="13">
        <v>29</v>
      </c>
      <c r="BA21" s="13">
        <v>3</v>
      </c>
      <c r="BB21" s="13">
        <v>0.98048072546761822</v>
      </c>
      <c r="BD21" s="35">
        <v>18</v>
      </c>
      <c r="BE21" s="35">
        <v>9</v>
      </c>
      <c r="BF21" s="17">
        <v>5.9589696615385703</v>
      </c>
      <c r="BG21" s="13"/>
      <c r="BH21" s="36">
        <v>2.6552499999999899</v>
      </c>
      <c r="BI21" s="36">
        <v>0.41470588235294098</v>
      </c>
      <c r="BJ21" s="36"/>
      <c r="BK21" s="13"/>
      <c r="BL21" s="13"/>
      <c r="BM21" s="13"/>
      <c r="BN21" s="13"/>
      <c r="BO21" s="13"/>
      <c r="BP21" s="13"/>
      <c r="BQ21" s="13">
        <f t="shared" si="3"/>
        <v>-33.789225982904767</v>
      </c>
      <c r="BR21" s="26">
        <v>0.1383917814299</v>
      </c>
      <c r="BS21" s="13">
        <v>1405</v>
      </c>
      <c r="BT21" s="13">
        <v>148</v>
      </c>
      <c r="BU21" s="13">
        <v>21</v>
      </c>
      <c r="BV21" s="13">
        <v>18</v>
      </c>
      <c r="BW21" s="13">
        <v>0.73100208074372952</v>
      </c>
    </row>
    <row r="22" spans="1:75" ht="15">
      <c r="A22" s="16">
        <v>19</v>
      </c>
      <c r="B22" s="13">
        <v>137</v>
      </c>
      <c r="C22" s="17">
        <v>134.5099031</v>
      </c>
      <c r="D22" s="13"/>
      <c r="E22" s="36">
        <v>4.3897710557788896</v>
      </c>
      <c r="F22" s="36">
        <v>0.189705882352941</v>
      </c>
      <c r="G22" s="36"/>
      <c r="H22" s="13"/>
      <c r="I22" s="13"/>
      <c r="J22" s="13"/>
      <c r="K22" s="13"/>
      <c r="L22" s="13"/>
      <c r="M22" s="13">
        <f t="shared" si="0"/>
        <v>-1.8175889781021914</v>
      </c>
      <c r="N22" s="13"/>
      <c r="O22" s="16">
        <v>19</v>
      </c>
      <c r="P22" s="13">
        <v>137</v>
      </c>
      <c r="Q22" s="17">
        <v>138.4762753</v>
      </c>
      <c r="R22" s="13"/>
      <c r="S22" s="36">
        <v>3.4000281572864299</v>
      </c>
      <c r="T22" s="36">
        <v>0.22500000000000001</v>
      </c>
      <c r="U22" s="36"/>
      <c r="V22" s="13"/>
      <c r="W22" s="13"/>
      <c r="X22" s="13"/>
      <c r="Y22" s="13"/>
      <c r="Z22" s="13"/>
      <c r="AA22" s="13">
        <f t="shared" si="1"/>
        <v>1.0775732116788284</v>
      </c>
      <c r="AB22" s="26">
        <v>0.30567450656925099</v>
      </c>
      <c r="AC22" s="34">
        <v>54</v>
      </c>
      <c r="AD22" s="34">
        <v>114</v>
      </c>
      <c r="AE22" s="34">
        <v>40</v>
      </c>
      <c r="AF22" s="34">
        <v>14</v>
      </c>
      <c r="AG22" s="34">
        <v>0.44467968742801334</v>
      </c>
      <c r="AH22" s="13"/>
      <c r="AI22" s="16">
        <v>19</v>
      </c>
      <c r="AJ22" s="13">
        <v>137</v>
      </c>
      <c r="AK22" s="17">
        <v>136.88530979999999</v>
      </c>
      <c r="AL22" s="13"/>
      <c r="AM22" s="36">
        <v>2.8446331658291402</v>
      </c>
      <c r="AN22" s="36">
        <v>0.78088235294117603</v>
      </c>
      <c r="AO22" s="36"/>
      <c r="AP22" s="13"/>
      <c r="AQ22" s="13"/>
      <c r="AR22" s="13"/>
      <c r="AS22" s="13"/>
      <c r="AT22" s="13"/>
      <c r="AU22" s="13"/>
      <c r="AV22" s="13">
        <f t="shared" si="2"/>
        <v>-8.3715474452561445E-2</v>
      </c>
      <c r="AW22" s="26">
        <v>0.21819509887220601</v>
      </c>
      <c r="AX22" s="13">
        <v>1749</v>
      </c>
      <c r="AY22" s="13">
        <v>93</v>
      </c>
      <c r="AZ22" s="13">
        <v>13</v>
      </c>
      <c r="BA22" s="13">
        <v>2</v>
      </c>
      <c r="BB22" s="13">
        <v>0.98708501933782655</v>
      </c>
      <c r="BD22" s="35">
        <v>19</v>
      </c>
      <c r="BE22" s="35">
        <v>137</v>
      </c>
      <c r="BF22" s="17">
        <v>139.12366779999999</v>
      </c>
      <c r="BG22" s="13"/>
      <c r="BH22" s="36">
        <v>2.9207749999999901</v>
      </c>
      <c r="BI22" s="36">
        <v>0.438235294117647</v>
      </c>
      <c r="BJ22" s="36"/>
      <c r="BK22" s="13"/>
      <c r="BL22" s="13"/>
      <c r="BM22" s="13"/>
      <c r="BN22" s="13"/>
      <c r="BO22" s="13"/>
      <c r="BP22" s="13"/>
      <c r="BQ22" s="13">
        <f t="shared" si="3"/>
        <v>1.5501224817518144</v>
      </c>
      <c r="BR22" s="26">
        <v>0.1383917814299</v>
      </c>
      <c r="BS22" s="13">
        <v>1522</v>
      </c>
      <c r="BT22" s="13">
        <v>33</v>
      </c>
      <c r="BU22" s="13">
        <v>38</v>
      </c>
      <c r="BV22" s="13">
        <v>43</v>
      </c>
      <c r="BW22" s="13">
        <v>0.41515007120895286</v>
      </c>
    </row>
    <row r="23" spans="1:75" ht="15">
      <c r="A23" s="16">
        <v>20</v>
      </c>
      <c r="B23" s="13">
        <v>197</v>
      </c>
      <c r="C23" s="17">
        <v>146.80959429999999</v>
      </c>
      <c r="D23" s="13"/>
      <c r="E23" s="36">
        <v>4.7888411517587901</v>
      </c>
      <c r="F23" s="36">
        <v>0.21029411764705799</v>
      </c>
      <c r="G23" s="36"/>
      <c r="H23" s="13"/>
      <c r="I23" s="13"/>
      <c r="J23" s="13"/>
      <c r="K23" s="13"/>
      <c r="L23" s="13"/>
      <c r="M23" s="13">
        <f t="shared" si="0"/>
        <v>-25.477363299492396</v>
      </c>
      <c r="N23" s="13"/>
      <c r="O23" s="16">
        <v>20</v>
      </c>
      <c r="P23" s="13">
        <v>197</v>
      </c>
      <c r="Q23" s="17">
        <v>170.0122102</v>
      </c>
      <c r="R23" s="13"/>
      <c r="S23" s="36">
        <v>3.7091216261306501</v>
      </c>
      <c r="T23" s="36">
        <v>0.23676470588235199</v>
      </c>
      <c r="U23" s="36"/>
      <c r="V23" s="13"/>
      <c r="W23" s="13"/>
      <c r="X23" s="13"/>
      <c r="Y23" s="13"/>
      <c r="Z23" s="13"/>
      <c r="AA23" s="13">
        <f t="shared" si="1"/>
        <v>-13.699385685279186</v>
      </c>
      <c r="AB23" s="26">
        <v>0.30567450656925099</v>
      </c>
      <c r="AC23" s="34">
        <v>1216</v>
      </c>
      <c r="AD23" s="34">
        <v>36</v>
      </c>
      <c r="AE23" s="34">
        <v>45</v>
      </c>
      <c r="AF23" s="34">
        <v>24</v>
      </c>
      <c r="AG23" s="34">
        <v>0.30583186554375008</v>
      </c>
      <c r="AH23" s="13"/>
      <c r="AI23" s="16">
        <v>20</v>
      </c>
      <c r="AJ23" s="13">
        <v>197</v>
      </c>
      <c r="AK23" s="17">
        <v>197.01166670000001</v>
      </c>
      <c r="AL23" s="13"/>
      <c r="AM23" s="36">
        <v>3.1032361809045201</v>
      </c>
      <c r="AN23" s="36">
        <v>0.79852941176470504</v>
      </c>
      <c r="AO23" s="36"/>
      <c r="AP23" s="13"/>
      <c r="AQ23" s="13"/>
      <c r="AR23" s="13"/>
      <c r="AS23" s="13"/>
      <c r="AT23" s="13"/>
      <c r="AU23" s="13"/>
      <c r="AV23" s="13">
        <f t="shared" si="2"/>
        <v>5.9221827411137795E-3</v>
      </c>
      <c r="AW23" s="26">
        <v>0.21819509887220601</v>
      </c>
      <c r="AX23" s="13">
        <v>326</v>
      </c>
      <c r="AY23" s="13">
        <v>160</v>
      </c>
      <c r="AZ23" s="13">
        <v>41</v>
      </c>
      <c r="BA23" s="13">
        <v>26</v>
      </c>
      <c r="BB23" s="13">
        <v>0.95580002548035414</v>
      </c>
      <c r="BD23" s="35">
        <v>20</v>
      </c>
      <c r="BE23" s="35">
        <v>197</v>
      </c>
      <c r="BF23" s="17">
        <v>195.9276864</v>
      </c>
      <c r="BG23" s="13"/>
      <c r="BH23" s="36">
        <v>3.1862999999999899</v>
      </c>
      <c r="BI23" s="36">
        <v>0.45588235294117602</v>
      </c>
      <c r="BJ23" s="36"/>
      <c r="BK23" s="13"/>
      <c r="BL23" s="13"/>
      <c r="BM23" s="13"/>
      <c r="BN23" s="13"/>
      <c r="BO23" s="13"/>
      <c r="BP23" s="13"/>
      <c r="BQ23" s="13">
        <f t="shared" si="3"/>
        <v>-0.5443216243654847</v>
      </c>
      <c r="BR23" s="26">
        <v>0.1383917814299</v>
      </c>
      <c r="BS23" s="13">
        <v>1668</v>
      </c>
      <c r="BT23" s="13">
        <v>126</v>
      </c>
      <c r="BU23" s="13">
        <v>49</v>
      </c>
      <c r="BV23" s="13">
        <v>4</v>
      </c>
      <c r="BW23" s="13">
        <v>0.3167043410898025</v>
      </c>
    </row>
    <row r="24" spans="1:75" ht="15">
      <c r="A24" s="16">
        <v>21</v>
      </c>
      <c r="B24" s="13">
        <v>142</v>
      </c>
      <c r="C24" s="17">
        <v>137.68962529999999</v>
      </c>
      <c r="D24" s="13"/>
      <c r="E24" s="36">
        <v>5.1879112477386897</v>
      </c>
      <c r="F24" s="36">
        <v>0.22794117647058801</v>
      </c>
      <c r="G24" s="36"/>
      <c r="H24" s="13"/>
      <c r="I24" s="13"/>
      <c r="J24" s="13"/>
      <c r="K24" s="13"/>
      <c r="L24" s="13"/>
      <c r="M24" s="13">
        <f t="shared" si="0"/>
        <v>-3.0354751408450786</v>
      </c>
      <c r="N24" s="13"/>
      <c r="O24" s="16">
        <v>21</v>
      </c>
      <c r="P24" s="13">
        <v>142</v>
      </c>
      <c r="Q24" s="17">
        <v>147.3293304</v>
      </c>
      <c r="R24" s="13"/>
      <c r="S24" s="36">
        <v>4.0182150949748703</v>
      </c>
      <c r="T24" s="36">
        <v>0.248529411764705</v>
      </c>
      <c r="U24" s="36"/>
      <c r="V24" s="13"/>
      <c r="W24" s="13"/>
      <c r="X24" s="13"/>
      <c r="Y24" s="24"/>
      <c r="Z24" s="13"/>
      <c r="AA24" s="13">
        <f t="shared" si="1"/>
        <v>3.7530495774647843</v>
      </c>
      <c r="AB24" s="26">
        <v>0.30567450656925099</v>
      </c>
      <c r="AC24" s="34">
        <v>1928</v>
      </c>
      <c r="AD24" s="34">
        <v>84</v>
      </c>
      <c r="AE24" s="34">
        <v>4</v>
      </c>
      <c r="AF24" s="34">
        <v>20</v>
      </c>
      <c r="AG24" s="34">
        <v>0.64686500185147688</v>
      </c>
      <c r="AH24" s="13"/>
      <c r="AI24" s="16">
        <v>21</v>
      </c>
      <c r="AJ24" s="13">
        <v>142</v>
      </c>
      <c r="AK24" s="17">
        <v>143.52923010000001</v>
      </c>
      <c r="AL24" s="13"/>
      <c r="AM24" s="36">
        <v>3.3618391959798899</v>
      </c>
      <c r="AN24" s="36">
        <v>0.81470588235294095</v>
      </c>
      <c r="AO24" s="36"/>
      <c r="AP24" s="13"/>
      <c r="AQ24" s="13"/>
      <c r="AR24" s="13"/>
      <c r="AS24" s="13"/>
      <c r="AT24" s="13"/>
      <c r="AU24" s="24"/>
      <c r="AV24" s="13">
        <f t="shared" si="2"/>
        <v>1.0769226056338121</v>
      </c>
      <c r="AW24" s="26">
        <v>0.21819509887220601</v>
      </c>
      <c r="AX24" s="13">
        <v>1427</v>
      </c>
      <c r="AY24" s="13">
        <v>47</v>
      </c>
      <c r="AZ24" s="13">
        <v>12</v>
      </c>
      <c r="BA24" s="13">
        <v>8</v>
      </c>
      <c r="BB24" s="13">
        <v>0.50197810829236889</v>
      </c>
      <c r="BD24" s="35">
        <v>21</v>
      </c>
      <c r="BE24" s="35">
        <v>142</v>
      </c>
      <c r="BF24" s="17">
        <v>145.34688019999999</v>
      </c>
      <c r="BG24" s="13"/>
      <c r="BH24" s="36">
        <v>3.4518249999999902</v>
      </c>
      <c r="BI24" s="36">
        <v>0.48235294117646998</v>
      </c>
      <c r="BJ24" s="36"/>
      <c r="BK24" s="13"/>
      <c r="BL24" s="13"/>
      <c r="BM24" s="13"/>
      <c r="BN24" s="24"/>
      <c r="BO24" s="13"/>
      <c r="BP24" s="13"/>
      <c r="BQ24" s="13">
        <f t="shared" si="3"/>
        <v>2.3569578873239294</v>
      </c>
      <c r="BR24" s="26">
        <v>0.1383917814299</v>
      </c>
      <c r="BS24" s="13">
        <v>1123</v>
      </c>
      <c r="BT24" s="13">
        <v>48</v>
      </c>
      <c r="BU24" s="13">
        <v>24</v>
      </c>
      <c r="BV24" s="13">
        <v>17</v>
      </c>
      <c r="BW24" s="13">
        <v>0.72169531489818439</v>
      </c>
    </row>
    <row r="25" spans="1:75" ht="15">
      <c r="A25" s="16">
        <v>22</v>
      </c>
      <c r="B25" s="13">
        <v>206</v>
      </c>
      <c r="C25" s="17">
        <v>163.4298125</v>
      </c>
      <c r="D25" s="13"/>
      <c r="E25" s="36">
        <v>5.5869813437185902</v>
      </c>
      <c r="F25" s="36">
        <v>0.24264705882352899</v>
      </c>
      <c r="G25" s="36"/>
      <c r="H25" s="13"/>
      <c r="I25" s="13"/>
      <c r="J25" s="13"/>
      <c r="K25" s="13"/>
      <c r="L25" s="13"/>
      <c r="M25" s="13">
        <f t="shared" si="0"/>
        <v>-20.665139563106795</v>
      </c>
      <c r="N25" s="13"/>
      <c r="O25" s="16">
        <v>22</v>
      </c>
      <c r="P25" s="13">
        <v>206</v>
      </c>
      <c r="Q25" s="17">
        <v>184.03751299999999</v>
      </c>
      <c r="R25" s="13"/>
      <c r="S25" s="36">
        <v>4.3273085638190896</v>
      </c>
      <c r="T25" s="36">
        <v>0.26176470588235201</v>
      </c>
      <c r="U25" s="36"/>
      <c r="V25" s="13"/>
      <c r="W25" s="13"/>
      <c r="X25" s="13"/>
      <c r="Y25" s="24"/>
      <c r="Z25" s="13"/>
      <c r="AA25" s="13">
        <f t="shared" si="1"/>
        <v>-10.661401456310681</v>
      </c>
      <c r="AB25" s="26">
        <v>0.30567450656925099</v>
      </c>
      <c r="AC25" s="34">
        <v>719</v>
      </c>
      <c r="AD25" s="34">
        <v>47</v>
      </c>
      <c r="AE25" s="34">
        <v>12</v>
      </c>
      <c r="AF25" s="34">
        <v>44</v>
      </c>
      <c r="AG25" s="34">
        <v>0.27663065375730478</v>
      </c>
      <c r="AH25" s="13"/>
      <c r="AI25" s="16">
        <v>22</v>
      </c>
      <c r="AJ25" s="13">
        <v>206</v>
      </c>
      <c r="AK25" s="17">
        <v>206</v>
      </c>
      <c r="AL25" s="13"/>
      <c r="AM25" s="36">
        <v>3.6204422110552699</v>
      </c>
      <c r="AN25" s="36">
        <v>0.82352941176470495</v>
      </c>
      <c r="AO25" s="36"/>
      <c r="AP25" s="13"/>
      <c r="AQ25" s="13"/>
      <c r="AR25" s="13"/>
      <c r="AS25" s="13"/>
      <c r="AT25" s="13"/>
      <c r="AU25" s="24"/>
      <c r="AV25" s="13">
        <f t="shared" si="2"/>
        <v>0</v>
      </c>
      <c r="AW25" s="26">
        <v>0.21376482085796</v>
      </c>
      <c r="AX25" s="13">
        <v>1986</v>
      </c>
      <c r="AY25" s="13">
        <v>111</v>
      </c>
      <c r="AZ25" s="13">
        <v>5</v>
      </c>
      <c r="BA25" s="13">
        <v>22</v>
      </c>
      <c r="BB25" s="13">
        <v>0.17055889961684623</v>
      </c>
      <c r="BD25" s="35">
        <v>22</v>
      </c>
      <c r="BE25" s="35">
        <v>206</v>
      </c>
      <c r="BF25" s="17">
        <v>205.70366999999999</v>
      </c>
      <c r="BG25" s="13"/>
      <c r="BH25" s="36">
        <v>3.7173499999999899</v>
      </c>
      <c r="BI25" s="36">
        <v>0.498529411764705</v>
      </c>
      <c r="BJ25" s="36"/>
      <c r="BK25" s="13"/>
      <c r="BL25" s="13"/>
      <c r="BM25" s="13"/>
      <c r="BN25" s="24"/>
      <c r="BO25" s="13"/>
      <c r="BP25" s="13"/>
      <c r="BQ25" s="13">
        <f t="shared" si="3"/>
        <v>-0.14384951456311024</v>
      </c>
      <c r="BR25" s="26">
        <v>0.1383917814299</v>
      </c>
      <c r="BS25" s="13">
        <v>1687</v>
      </c>
      <c r="BT25" s="13">
        <v>141</v>
      </c>
      <c r="BU25" s="13">
        <v>35</v>
      </c>
      <c r="BV25" s="13">
        <v>37</v>
      </c>
      <c r="BW25" s="13">
        <v>0.18657291782454477</v>
      </c>
    </row>
    <row r="26" spans="1:75" ht="15">
      <c r="A26" s="16">
        <v>23</v>
      </c>
      <c r="B26" s="13">
        <v>133</v>
      </c>
      <c r="C26" s="17">
        <v>137.62420560000001</v>
      </c>
      <c r="D26" s="13"/>
      <c r="E26" s="36">
        <v>5.9860514396984899</v>
      </c>
      <c r="F26" s="36">
        <v>0.248529411764705</v>
      </c>
      <c r="G26" s="36"/>
      <c r="H26" s="13"/>
      <c r="I26" s="13"/>
      <c r="J26" s="13"/>
      <c r="K26" s="13"/>
      <c r="L26" s="13"/>
      <c r="M26" s="13">
        <f t="shared" si="0"/>
        <v>3.4768463157894836</v>
      </c>
      <c r="N26" s="13"/>
      <c r="O26" s="16">
        <v>23</v>
      </c>
      <c r="P26" s="13">
        <v>133</v>
      </c>
      <c r="Q26" s="17">
        <v>141.80447229999999</v>
      </c>
      <c r="R26" s="13"/>
      <c r="S26" s="36">
        <v>4.6364020326633097</v>
      </c>
      <c r="T26" s="36">
        <v>0.27794117647058803</v>
      </c>
      <c r="U26" s="36"/>
      <c r="V26" s="13"/>
      <c r="W26" s="13"/>
      <c r="X26" s="13"/>
      <c r="Y26" s="24"/>
      <c r="Z26" s="13"/>
      <c r="AA26" s="13">
        <f t="shared" si="1"/>
        <v>6.6199039849623942</v>
      </c>
      <c r="AB26" s="26">
        <v>0.30567450656925099</v>
      </c>
      <c r="AC26" s="34">
        <v>1338</v>
      </c>
      <c r="AD26" s="34">
        <v>32</v>
      </c>
      <c r="AE26" s="34">
        <v>13</v>
      </c>
      <c r="AF26" s="34">
        <v>7</v>
      </c>
      <c r="AG26" s="34">
        <v>0.33870509400441262</v>
      </c>
      <c r="AH26" s="13"/>
      <c r="AI26" s="16">
        <v>23</v>
      </c>
      <c r="AJ26" s="13">
        <v>133</v>
      </c>
      <c r="AK26" s="17">
        <v>134.3384624</v>
      </c>
      <c r="AL26" s="13"/>
      <c r="AM26" s="36">
        <v>3.8790452261306498</v>
      </c>
      <c r="AN26" s="36">
        <v>0.83088235294117596</v>
      </c>
      <c r="AO26" s="36"/>
      <c r="AP26" s="13"/>
      <c r="AQ26" s="13"/>
      <c r="AR26" s="13"/>
      <c r="AS26" s="13"/>
      <c r="AT26" s="13"/>
      <c r="AU26" s="24"/>
      <c r="AV26" s="13">
        <f t="shared" si="2"/>
        <v>1.0063627067669056</v>
      </c>
      <c r="AW26" s="26">
        <v>0.21376482085796</v>
      </c>
      <c r="AX26" s="13">
        <v>639</v>
      </c>
      <c r="AY26" s="13">
        <v>20</v>
      </c>
      <c r="AZ26" s="13">
        <v>35</v>
      </c>
      <c r="BA26" s="13">
        <v>40</v>
      </c>
      <c r="BB26" s="13">
        <v>0.56867793157006941</v>
      </c>
      <c r="BD26" s="35">
        <v>23</v>
      </c>
      <c r="BE26" s="35">
        <v>133</v>
      </c>
      <c r="BF26" s="17">
        <v>137.85114110000001</v>
      </c>
      <c r="BG26" s="13"/>
      <c r="BH26" s="36">
        <v>3.9828749999999902</v>
      </c>
      <c r="BI26" s="36">
        <v>0.51617647058823501</v>
      </c>
      <c r="BJ26" s="36"/>
      <c r="BK26" s="13"/>
      <c r="BL26" s="13"/>
      <c r="BM26" s="13"/>
      <c r="BN26" s="24"/>
      <c r="BO26" s="13"/>
      <c r="BP26" s="13"/>
      <c r="BQ26" s="13">
        <f t="shared" si="3"/>
        <v>3.6474745112782037</v>
      </c>
      <c r="BR26" s="26">
        <v>0.1383917814299</v>
      </c>
      <c r="BS26" s="13">
        <v>804</v>
      </c>
      <c r="BT26" s="13">
        <v>191</v>
      </c>
      <c r="BU26" s="13">
        <v>19</v>
      </c>
      <c r="BV26" s="13">
        <v>18</v>
      </c>
      <c r="BW26" s="13">
        <v>0.10822201659173331</v>
      </c>
    </row>
    <row r="27" spans="1:75" ht="15">
      <c r="A27" s="16">
        <v>24</v>
      </c>
      <c r="B27" s="13">
        <v>76</v>
      </c>
      <c r="C27" s="17">
        <v>99.568622230000003</v>
      </c>
      <c r="D27" s="13"/>
      <c r="E27" s="36">
        <v>6.3851215356783904</v>
      </c>
      <c r="F27" s="36">
        <v>0.27058823529411702</v>
      </c>
      <c r="G27" s="36"/>
      <c r="H27" s="13"/>
      <c r="I27" s="13"/>
      <c r="J27" s="13"/>
      <c r="K27" s="13"/>
      <c r="L27" s="13"/>
      <c r="M27" s="13">
        <f t="shared" si="0"/>
        <v>31.011345039473692</v>
      </c>
      <c r="N27" s="13"/>
      <c r="O27" s="16">
        <v>24</v>
      </c>
      <c r="P27" s="13">
        <v>76</v>
      </c>
      <c r="Q27" s="17">
        <v>91.59642977</v>
      </c>
      <c r="R27" s="13"/>
      <c r="S27" s="36">
        <v>4.9454955015075299</v>
      </c>
      <c r="T27" s="36">
        <v>0.29117647058823498</v>
      </c>
      <c r="U27" s="36"/>
      <c r="V27" s="13"/>
      <c r="W27" s="13"/>
      <c r="X27" s="13"/>
      <c r="Y27" s="24"/>
      <c r="Z27" s="13"/>
      <c r="AA27" s="13">
        <f t="shared" si="1"/>
        <v>20.52161811842106</v>
      </c>
      <c r="AB27" s="26">
        <v>0.30567450656925099</v>
      </c>
      <c r="AC27" s="34">
        <v>1639</v>
      </c>
      <c r="AD27" s="34">
        <v>184</v>
      </c>
      <c r="AE27" s="34">
        <v>26</v>
      </c>
      <c r="AF27" s="34">
        <v>49</v>
      </c>
      <c r="AG27" s="34">
        <v>0.74318182787573805</v>
      </c>
      <c r="AH27" s="13"/>
      <c r="AI27" s="16">
        <v>24</v>
      </c>
      <c r="AJ27" s="13">
        <v>76</v>
      </c>
      <c r="AK27" s="17">
        <v>78.512737380000004</v>
      </c>
      <c r="AL27" s="13"/>
      <c r="AM27" s="36">
        <v>4.13764824120602</v>
      </c>
      <c r="AN27" s="36">
        <v>0.83823529411764697</v>
      </c>
      <c r="AO27" s="36"/>
      <c r="AP27" s="13"/>
      <c r="AQ27" s="13"/>
      <c r="AR27" s="13"/>
      <c r="AS27" s="13"/>
      <c r="AT27" s="13"/>
      <c r="AU27" s="24"/>
      <c r="AV27" s="13">
        <f t="shared" si="2"/>
        <v>3.3062333947368572</v>
      </c>
      <c r="AW27" s="26">
        <v>0.21376482085796</v>
      </c>
      <c r="AX27" s="13">
        <v>1703</v>
      </c>
      <c r="AY27" s="13">
        <v>128</v>
      </c>
      <c r="AZ27" s="13">
        <v>33</v>
      </c>
      <c r="BA27" s="13">
        <v>34</v>
      </c>
      <c r="BB27" s="13">
        <v>0.7663157683087839</v>
      </c>
      <c r="BD27" s="35">
        <v>24</v>
      </c>
      <c r="BE27" s="35">
        <v>76</v>
      </c>
      <c r="BF27" s="17">
        <v>85.136572020000003</v>
      </c>
      <c r="BG27" s="13"/>
      <c r="BH27" s="36">
        <v>4.2483999999999904</v>
      </c>
      <c r="BI27" s="36">
        <v>0.54264705882352904</v>
      </c>
      <c r="BJ27" s="36"/>
      <c r="BK27" s="13"/>
      <c r="BL27" s="13"/>
      <c r="BM27" s="13"/>
      <c r="BN27" s="24"/>
      <c r="BO27" s="13"/>
      <c r="BP27" s="13"/>
      <c r="BQ27" s="13">
        <f t="shared" si="3"/>
        <v>12.021805289473697</v>
      </c>
      <c r="BR27" s="26">
        <v>0.1383917814299</v>
      </c>
      <c r="BS27" s="13">
        <v>984</v>
      </c>
      <c r="BT27" s="13">
        <v>145</v>
      </c>
      <c r="BU27" s="13">
        <v>19</v>
      </c>
      <c r="BV27" s="13">
        <v>32</v>
      </c>
      <c r="BW27" s="13">
        <v>0.63122824202070049</v>
      </c>
    </row>
    <row r="28" spans="1:75" ht="15">
      <c r="A28" s="16">
        <v>25</v>
      </c>
      <c r="B28" s="13">
        <v>165</v>
      </c>
      <c r="C28" s="17">
        <v>153.18979999999999</v>
      </c>
      <c r="D28" s="13"/>
      <c r="E28" s="36">
        <v>6.78419163165829</v>
      </c>
      <c r="F28" s="36">
        <v>0.27794117647058803</v>
      </c>
      <c r="G28" s="36"/>
      <c r="H28" s="13"/>
      <c r="I28" s="13"/>
      <c r="J28" s="13"/>
      <c r="K28" s="13"/>
      <c r="L28" s="13"/>
      <c r="M28" s="13">
        <f t="shared" si="0"/>
        <v>-7.1576969696969801</v>
      </c>
      <c r="N28" s="13"/>
      <c r="O28" s="16">
        <v>25</v>
      </c>
      <c r="P28" s="13">
        <v>165</v>
      </c>
      <c r="Q28" s="17">
        <v>160.78273809999999</v>
      </c>
      <c r="R28" s="13"/>
      <c r="S28" s="36">
        <v>5.2545889703517501</v>
      </c>
      <c r="T28" s="36">
        <v>0.30441176470588199</v>
      </c>
      <c r="U28" s="36"/>
      <c r="V28" s="13"/>
      <c r="W28" s="13"/>
      <c r="X28" s="13"/>
      <c r="Y28" s="24"/>
      <c r="Z28" s="13"/>
      <c r="AA28" s="13">
        <f t="shared" si="1"/>
        <v>-2.5559163030303145</v>
      </c>
      <c r="AB28" s="26">
        <v>0.30567450656925099</v>
      </c>
      <c r="AC28" s="34">
        <v>1189</v>
      </c>
      <c r="AD28" s="34">
        <v>63</v>
      </c>
      <c r="AE28" s="34">
        <v>25</v>
      </c>
      <c r="AF28" s="34">
        <v>3</v>
      </c>
      <c r="AG28" s="34">
        <v>0.65464061166833099</v>
      </c>
      <c r="AH28" s="13"/>
      <c r="AI28" s="16">
        <v>25</v>
      </c>
      <c r="AJ28" s="13">
        <v>165</v>
      </c>
      <c r="AK28" s="17">
        <v>164.87454399999999</v>
      </c>
      <c r="AL28" s="13"/>
      <c r="AM28" s="36">
        <v>4.3962512562814</v>
      </c>
      <c r="AN28" s="36">
        <v>0.84411764705882297</v>
      </c>
      <c r="AO28" s="36"/>
      <c r="AP28" s="13"/>
      <c r="AQ28" s="13"/>
      <c r="AR28" s="13"/>
      <c r="AS28" s="13"/>
      <c r="AT28" s="13"/>
      <c r="AU28" s="24"/>
      <c r="AV28" s="13">
        <f t="shared" si="2"/>
        <v>-7.603393939394909E-2</v>
      </c>
      <c r="AW28" s="26">
        <v>0.21206954401514899</v>
      </c>
      <c r="AX28" s="13">
        <v>408</v>
      </c>
      <c r="AY28" s="13">
        <v>174</v>
      </c>
      <c r="AZ28" s="13">
        <v>43</v>
      </c>
      <c r="BA28" s="13">
        <v>44</v>
      </c>
      <c r="BB28" s="13">
        <v>0.76584844832396215</v>
      </c>
      <c r="BD28" s="35">
        <v>25</v>
      </c>
      <c r="BE28" s="35">
        <v>165</v>
      </c>
      <c r="BF28" s="17">
        <v>163.7869929</v>
      </c>
      <c r="BG28" s="13"/>
      <c r="BH28" s="36">
        <v>4.5139249999999898</v>
      </c>
      <c r="BI28" s="36">
        <v>0.55882352941176405</v>
      </c>
      <c r="BJ28" s="36"/>
      <c r="BK28" s="13"/>
      <c r="BL28" s="13"/>
      <c r="BM28" s="13"/>
      <c r="BN28" s="24"/>
      <c r="BO28" s="13"/>
      <c r="BP28" s="13"/>
      <c r="BQ28" s="13">
        <f t="shared" si="3"/>
        <v>-0.73515581818182074</v>
      </c>
      <c r="BR28" s="26">
        <v>0.1383917814299</v>
      </c>
      <c r="BS28" s="13">
        <v>1640</v>
      </c>
      <c r="BT28" s="13">
        <v>146</v>
      </c>
      <c r="BU28" s="13">
        <v>8</v>
      </c>
      <c r="BV28" s="13">
        <v>3</v>
      </c>
      <c r="BW28" s="13">
        <v>0.18788091213257557</v>
      </c>
    </row>
    <row r="29" spans="1:75" ht="15">
      <c r="A29" s="16">
        <v>26</v>
      </c>
      <c r="B29" s="13">
        <v>99</v>
      </c>
      <c r="C29" s="17">
        <v>104.6548033</v>
      </c>
      <c r="D29" s="13"/>
      <c r="E29" s="36">
        <v>7.1832617276381896</v>
      </c>
      <c r="F29" s="36">
        <v>0.29852941176470499</v>
      </c>
      <c r="G29" s="36"/>
      <c r="H29" s="13"/>
      <c r="I29" s="13"/>
      <c r="J29" s="13"/>
      <c r="K29" s="13"/>
      <c r="L29" s="13"/>
      <c r="M29" s="13">
        <f t="shared" si="0"/>
        <v>5.7119225252525219</v>
      </c>
      <c r="N29" s="13"/>
      <c r="O29" s="16">
        <v>26</v>
      </c>
      <c r="P29" s="13">
        <v>99</v>
      </c>
      <c r="Q29" s="17">
        <v>102.7851423</v>
      </c>
      <c r="R29" s="13"/>
      <c r="S29" s="36">
        <v>5.5636824391959703</v>
      </c>
      <c r="T29" s="36">
        <v>0.32352941176470501</v>
      </c>
      <c r="U29" s="36"/>
      <c r="V29" s="13"/>
      <c r="W29" s="13"/>
      <c r="X29" s="13"/>
      <c r="Y29" s="13"/>
      <c r="Z29" s="13"/>
      <c r="AA29" s="13">
        <f t="shared" si="1"/>
        <v>3.8233760606060541</v>
      </c>
      <c r="AB29" s="26">
        <v>0.30567450656925099</v>
      </c>
      <c r="AC29" s="34">
        <v>1692</v>
      </c>
      <c r="AD29" s="34">
        <v>191</v>
      </c>
      <c r="AE29" s="34">
        <v>9</v>
      </c>
      <c r="AF29" s="34">
        <v>24</v>
      </c>
      <c r="AG29" s="34">
        <v>0.76884739865245844</v>
      </c>
      <c r="AH29" s="13"/>
      <c r="AI29" s="16">
        <v>26</v>
      </c>
      <c r="AJ29" s="13">
        <v>99</v>
      </c>
      <c r="AK29" s="17">
        <v>99.382795560000005</v>
      </c>
      <c r="AL29" s="13"/>
      <c r="AM29" s="36">
        <v>4.65485427135678</v>
      </c>
      <c r="AN29" s="36">
        <v>0.85147058823529398</v>
      </c>
      <c r="AO29" s="36"/>
      <c r="AP29" s="13"/>
      <c r="AQ29" s="13"/>
      <c r="AR29" s="13"/>
      <c r="AS29" s="13"/>
      <c r="AT29" s="13"/>
      <c r="AU29" s="13"/>
      <c r="AV29" s="13">
        <f t="shared" si="2"/>
        <v>0.38666218181819811</v>
      </c>
      <c r="AW29" s="26">
        <v>0.21206954401514899</v>
      </c>
      <c r="AX29" s="13">
        <v>385</v>
      </c>
      <c r="AY29" s="13">
        <v>182</v>
      </c>
      <c r="AZ29" s="13">
        <v>33</v>
      </c>
      <c r="BA29" s="13">
        <v>2</v>
      </c>
      <c r="BB29" s="13">
        <v>0.68265560419428462</v>
      </c>
      <c r="BD29" s="35">
        <v>26</v>
      </c>
      <c r="BE29" s="35">
        <v>99</v>
      </c>
      <c r="BF29" s="17">
        <v>100.33377369999999</v>
      </c>
      <c r="BG29" s="13"/>
      <c r="BH29" s="36">
        <v>4.77944999999999</v>
      </c>
      <c r="BI29" s="36">
        <v>0.57647058823529396</v>
      </c>
      <c r="BJ29" s="36"/>
      <c r="BK29" s="13"/>
      <c r="BL29" s="13"/>
      <c r="BM29" s="13"/>
      <c r="BN29" s="13"/>
      <c r="BO29" s="13"/>
      <c r="BP29" s="13"/>
      <c r="BQ29" s="13">
        <f t="shared" si="3"/>
        <v>1.3472461616161668</v>
      </c>
      <c r="BR29" s="26">
        <v>0.1383917814299</v>
      </c>
      <c r="BS29" s="13">
        <v>1726</v>
      </c>
      <c r="BT29" s="13">
        <v>103</v>
      </c>
      <c r="BU29" s="13">
        <v>28</v>
      </c>
      <c r="BV29" s="13">
        <v>31</v>
      </c>
      <c r="BW29" s="13">
        <v>0.36310863966133267</v>
      </c>
    </row>
    <row r="30" spans="1:75" ht="15">
      <c r="A30" s="16">
        <v>27</v>
      </c>
      <c r="B30" s="13">
        <v>62</v>
      </c>
      <c r="C30" s="17">
        <v>67.197768960000005</v>
      </c>
      <c r="D30" s="13"/>
      <c r="E30" s="36">
        <v>7.5823318236180901</v>
      </c>
      <c r="F30" s="36">
        <v>0.311764705882352</v>
      </c>
      <c r="G30" s="36"/>
      <c r="H30" s="13"/>
      <c r="I30" s="13"/>
      <c r="J30" s="13"/>
      <c r="K30" s="13"/>
      <c r="L30" s="13"/>
      <c r="M30" s="13">
        <f t="shared" si="0"/>
        <v>8.3834983225806514</v>
      </c>
      <c r="N30" s="13"/>
      <c r="O30" s="16">
        <v>27</v>
      </c>
      <c r="P30" s="13">
        <v>62</v>
      </c>
      <c r="Q30" s="17">
        <v>55.887265190000001</v>
      </c>
      <c r="R30" s="13"/>
      <c r="S30" s="36">
        <v>5.8727759080402002</v>
      </c>
      <c r="T30" s="36">
        <v>0.33676470588235202</v>
      </c>
      <c r="U30" s="36"/>
      <c r="V30" s="13"/>
      <c r="W30" s="13"/>
      <c r="X30" s="13"/>
      <c r="Y30" s="13"/>
      <c r="Z30" s="13"/>
      <c r="AA30" s="13">
        <f t="shared" si="1"/>
        <v>-9.8592496935483886</v>
      </c>
      <c r="AB30" s="26">
        <v>0.30567450656925099</v>
      </c>
      <c r="AC30" s="34">
        <v>1743</v>
      </c>
      <c r="AD30" s="34">
        <v>20</v>
      </c>
      <c r="AE30" s="34">
        <v>15</v>
      </c>
      <c r="AF30" s="34">
        <v>29</v>
      </c>
      <c r="AG30" s="34">
        <v>0.39944553344494005</v>
      </c>
      <c r="AH30" s="13"/>
      <c r="AI30" s="16">
        <v>27</v>
      </c>
      <c r="AJ30" s="13">
        <v>62</v>
      </c>
      <c r="AK30" s="17">
        <v>61.740964320000003</v>
      </c>
      <c r="AL30" s="13"/>
      <c r="AM30" s="36">
        <v>4.9134572864321502</v>
      </c>
      <c r="AN30" s="36">
        <v>0.85441176470588198</v>
      </c>
      <c r="AO30" s="36"/>
      <c r="AP30" s="13"/>
      <c r="AQ30" s="13"/>
      <c r="AR30" s="13"/>
      <c r="AS30" s="13"/>
      <c r="AT30" s="13"/>
      <c r="AU30" s="13"/>
      <c r="AV30" s="13">
        <f t="shared" si="2"/>
        <v>-0.417799483870962</v>
      </c>
      <c r="AW30" s="26">
        <v>0.21206954401514899</v>
      </c>
      <c r="AX30" s="13">
        <v>912</v>
      </c>
      <c r="AY30" s="13">
        <v>122</v>
      </c>
      <c r="AZ30" s="13">
        <v>26</v>
      </c>
      <c r="BA30" s="13">
        <v>18</v>
      </c>
      <c r="BB30" s="13">
        <v>0.17949239864184832</v>
      </c>
      <c r="BD30" s="35">
        <v>27</v>
      </c>
      <c r="BE30" s="35">
        <v>62</v>
      </c>
      <c r="BF30" s="17">
        <v>59.789822649999998</v>
      </c>
      <c r="BG30" s="13"/>
      <c r="BH30" s="36">
        <v>5.0449749999999902</v>
      </c>
      <c r="BI30" s="36">
        <v>0.59852941176470498</v>
      </c>
      <c r="BJ30" s="36"/>
      <c r="BK30" s="13"/>
      <c r="BL30" s="13"/>
      <c r="BM30" s="13"/>
      <c r="BN30" s="13"/>
      <c r="BO30" s="13"/>
      <c r="BP30" s="13"/>
      <c r="BQ30" s="13">
        <f t="shared" si="3"/>
        <v>-3.5648021774193572</v>
      </c>
      <c r="BR30" s="26">
        <v>0.1383917814299</v>
      </c>
      <c r="BS30" s="13">
        <v>943</v>
      </c>
      <c r="BT30" s="13">
        <v>152</v>
      </c>
      <c r="BU30" s="13">
        <v>41</v>
      </c>
      <c r="BV30" s="13">
        <v>47</v>
      </c>
      <c r="BW30" s="13">
        <v>0.72717124676424427</v>
      </c>
    </row>
    <row r="31" spans="1:75" ht="15">
      <c r="A31" s="16">
        <v>28</v>
      </c>
      <c r="B31" s="13">
        <v>139</v>
      </c>
      <c r="C31" s="17">
        <v>143.0951073</v>
      </c>
      <c r="D31" s="13"/>
      <c r="E31" s="36">
        <v>7.9814019195979897</v>
      </c>
      <c r="F31" s="36">
        <v>0.32500000000000001</v>
      </c>
      <c r="G31" s="36"/>
      <c r="H31" s="13"/>
      <c r="I31" s="13"/>
      <c r="J31" s="13"/>
      <c r="K31" s="13"/>
      <c r="L31" s="13"/>
      <c r="M31" s="13">
        <f t="shared" si="0"/>
        <v>2.9461203597122232</v>
      </c>
      <c r="N31" s="13"/>
      <c r="O31" s="16">
        <v>28</v>
      </c>
      <c r="P31" s="13">
        <v>139</v>
      </c>
      <c r="Q31" s="17">
        <v>147.41087959999999</v>
      </c>
      <c r="R31" s="13"/>
      <c r="S31" s="36">
        <v>6.1818693768844204</v>
      </c>
      <c r="T31" s="36">
        <v>0.35735294117646998</v>
      </c>
      <c r="U31" s="36"/>
      <c r="V31" s="13"/>
      <c r="W31" s="13"/>
      <c r="X31" s="13"/>
      <c r="Y31" s="13"/>
      <c r="Z31" s="13"/>
      <c r="AA31" s="13">
        <f t="shared" si="1"/>
        <v>6.0509925179855983</v>
      </c>
      <c r="AB31" s="26">
        <v>0.30567450656925099</v>
      </c>
      <c r="AC31" s="34">
        <v>479</v>
      </c>
      <c r="AD31" s="34">
        <v>173</v>
      </c>
      <c r="AE31" s="34">
        <v>12</v>
      </c>
      <c r="AF31" s="34">
        <v>16</v>
      </c>
      <c r="AG31" s="34">
        <v>0.7985389337282639</v>
      </c>
      <c r="AH31" s="13"/>
      <c r="AI31" s="16">
        <v>28</v>
      </c>
      <c r="AJ31" s="13">
        <v>139</v>
      </c>
      <c r="AK31" s="17">
        <v>140.60495689999999</v>
      </c>
      <c r="AL31" s="13"/>
      <c r="AM31" s="36">
        <v>5.1720603015075302</v>
      </c>
      <c r="AN31" s="36">
        <v>0.85735294117646998</v>
      </c>
      <c r="AO31" s="36"/>
      <c r="AP31" s="13"/>
      <c r="AQ31" s="13"/>
      <c r="AR31" s="13"/>
      <c r="AS31" s="13"/>
      <c r="AT31" s="13"/>
      <c r="AU31" s="13"/>
      <c r="AV31" s="13">
        <f t="shared" si="2"/>
        <v>1.1546452517985584</v>
      </c>
      <c r="AW31" s="26">
        <v>0.21206954401514899</v>
      </c>
      <c r="AX31" s="13">
        <v>1234</v>
      </c>
      <c r="AY31" s="13">
        <v>2</v>
      </c>
      <c r="AZ31" s="13">
        <v>41</v>
      </c>
      <c r="BA31" s="13">
        <v>45</v>
      </c>
      <c r="BB31" s="13">
        <v>0.10775723074854134</v>
      </c>
      <c r="BD31" s="35">
        <v>28</v>
      </c>
      <c r="BE31" s="35">
        <v>139</v>
      </c>
      <c r="BF31" s="17">
        <v>144.35199919999999</v>
      </c>
      <c r="BG31" s="13"/>
      <c r="BH31" s="36">
        <v>5.3104999999999896</v>
      </c>
      <c r="BI31" s="36">
        <v>0.620588235294117</v>
      </c>
      <c r="BJ31" s="36"/>
      <c r="BK31" s="13"/>
      <c r="BL31" s="13"/>
      <c r="BM31" s="13"/>
      <c r="BN31" s="13"/>
      <c r="BO31" s="13"/>
      <c r="BP31" s="13"/>
      <c r="BQ31" s="13">
        <f t="shared" si="3"/>
        <v>3.8503591366906509</v>
      </c>
      <c r="BR31" s="26">
        <v>0.1383917814299</v>
      </c>
      <c r="BS31" s="13">
        <v>1210</v>
      </c>
      <c r="BT31" s="13">
        <v>194</v>
      </c>
      <c r="BU31" s="13">
        <v>45</v>
      </c>
      <c r="BV31" s="13">
        <v>3</v>
      </c>
      <c r="BW31" s="13">
        <v>0.36455160126418906</v>
      </c>
    </row>
    <row r="32" spans="1:75" ht="15">
      <c r="A32" s="16">
        <v>29</v>
      </c>
      <c r="B32" s="13">
        <v>209</v>
      </c>
      <c r="C32" s="17">
        <v>184.5831269</v>
      </c>
      <c r="D32" s="13"/>
      <c r="E32" s="36">
        <v>8.3804720155778902</v>
      </c>
      <c r="F32" s="36">
        <v>0.33676470588235202</v>
      </c>
      <c r="G32" s="36"/>
      <c r="H32" s="13"/>
      <c r="I32" s="13"/>
      <c r="J32" s="13"/>
      <c r="K32" s="13"/>
      <c r="L32" s="13"/>
      <c r="M32" s="13">
        <f t="shared" si="0"/>
        <v>-11.682714401913874</v>
      </c>
      <c r="N32" s="13"/>
      <c r="O32" s="16">
        <v>29</v>
      </c>
      <c r="P32" s="13">
        <v>209</v>
      </c>
      <c r="Q32" s="17">
        <v>200.31195149999999</v>
      </c>
      <c r="R32" s="13"/>
      <c r="S32" s="36">
        <v>6.4909628457286397</v>
      </c>
      <c r="T32" s="36">
        <v>0.36617647058823499</v>
      </c>
      <c r="U32" s="36"/>
      <c r="V32" s="13"/>
      <c r="W32" s="13"/>
      <c r="X32" s="13"/>
      <c r="Y32" s="13"/>
      <c r="Z32" s="13"/>
      <c r="AA32" s="13">
        <f t="shared" si="1"/>
        <v>-4.1569610047846872</v>
      </c>
      <c r="AB32" s="26">
        <v>0.30567450656925099</v>
      </c>
      <c r="AC32" s="34">
        <v>950</v>
      </c>
      <c r="AD32" s="34">
        <v>197</v>
      </c>
      <c r="AE32" s="34">
        <v>4</v>
      </c>
      <c r="AF32" s="34">
        <v>8</v>
      </c>
      <c r="AG32" s="34">
        <v>0.56666083710734272</v>
      </c>
      <c r="AH32" s="13"/>
      <c r="AI32" s="16">
        <v>29</v>
      </c>
      <c r="AJ32" s="13">
        <v>209</v>
      </c>
      <c r="AK32" s="17">
        <v>208.82022280000001</v>
      </c>
      <c r="AL32" s="13"/>
      <c r="AM32" s="36">
        <v>5.4306633165829101</v>
      </c>
      <c r="AN32" s="36">
        <v>0.86176470588235299</v>
      </c>
      <c r="AO32" s="36"/>
      <c r="AP32" s="13"/>
      <c r="AQ32" s="13"/>
      <c r="AR32" s="13"/>
      <c r="AS32" s="13"/>
      <c r="AT32" s="13"/>
      <c r="AU32" s="13"/>
      <c r="AV32" s="13">
        <f t="shared" si="2"/>
        <v>-8.601779904305884E-2</v>
      </c>
      <c r="AW32" s="26">
        <v>0.19940491677387501</v>
      </c>
      <c r="AX32" s="13">
        <v>1200</v>
      </c>
      <c r="AY32" s="13">
        <v>89</v>
      </c>
      <c r="AZ32" s="13">
        <v>50</v>
      </c>
      <c r="BA32" s="13">
        <v>22</v>
      </c>
      <c r="BB32" s="13">
        <v>0.9818144149914585</v>
      </c>
      <c r="BD32" s="35">
        <v>29</v>
      </c>
      <c r="BE32" s="35">
        <v>209</v>
      </c>
      <c r="BF32" s="17">
        <v>205.70441249999999</v>
      </c>
      <c r="BG32" s="13"/>
      <c r="BH32" s="36">
        <v>5.5760249999999898</v>
      </c>
      <c r="BI32" s="36">
        <v>0.63529411764705801</v>
      </c>
      <c r="BJ32" s="36"/>
      <c r="BK32" s="13"/>
      <c r="BL32" s="13"/>
      <c r="BM32" s="13"/>
      <c r="BN32" s="13"/>
      <c r="BO32" s="13"/>
      <c r="BP32" s="13"/>
      <c r="BQ32" s="13">
        <f t="shared" si="3"/>
        <v>-1.5768361244019147</v>
      </c>
      <c r="BR32" s="26">
        <v>0.1383917814299</v>
      </c>
      <c r="BS32" s="13">
        <v>199</v>
      </c>
      <c r="BT32" s="13">
        <v>129</v>
      </c>
      <c r="BU32" s="13">
        <v>14</v>
      </c>
      <c r="BV32" s="13">
        <v>34</v>
      </c>
      <c r="BW32" s="13">
        <v>0.23418771332975966</v>
      </c>
    </row>
    <row r="33" spans="1:75" ht="15">
      <c r="A33" s="16">
        <v>30</v>
      </c>
      <c r="B33" s="13">
        <v>89</v>
      </c>
      <c r="C33" s="17">
        <v>81.55579899</v>
      </c>
      <c r="D33" s="13"/>
      <c r="E33" s="36">
        <v>8.7795421115577899</v>
      </c>
      <c r="F33" s="36">
        <v>0.35735294117646998</v>
      </c>
      <c r="G33" s="36"/>
      <c r="H33" s="13"/>
      <c r="I33" s="13"/>
      <c r="J33" s="13"/>
      <c r="K33" s="13"/>
      <c r="L33" s="13"/>
      <c r="M33" s="13">
        <f t="shared" si="0"/>
        <v>-8.3642707977528037</v>
      </c>
      <c r="N33" s="13"/>
      <c r="O33" s="16">
        <v>30</v>
      </c>
      <c r="P33" s="13">
        <v>89</v>
      </c>
      <c r="Q33" s="17">
        <v>80.576979800000004</v>
      </c>
      <c r="R33" s="13"/>
      <c r="S33" s="36">
        <v>6.8000563145728599</v>
      </c>
      <c r="T33" s="36">
        <v>0.38088235294117601</v>
      </c>
      <c r="U33" s="36"/>
      <c r="V33" s="13"/>
      <c r="W33" s="13"/>
      <c r="X33" s="13"/>
      <c r="Y33" s="13"/>
      <c r="Z33" s="13"/>
      <c r="AA33" s="13">
        <f t="shared" si="1"/>
        <v>-9.4640676404494357</v>
      </c>
      <c r="AB33" s="26">
        <v>0.30567450656925099</v>
      </c>
      <c r="AC33" s="34">
        <v>1791</v>
      </c>
      <c r="AD33" s="34">
        <v>194</v>
      </c>
      <c r="AE33" s="34">
        <v>7</v>
      </c>
      <c r="AF33" s="34">
        <v>21</v>
      </c>
      <c r="AG33" s="34">
        <v>0.61358458788389114</v>
      </c>
      <c r="AH33" s="13"/>
      <c r="AI33" s="16">
        <v>30</v>
      </c>
      <c r="AJ33" s="13">
        <v>89</v>
      </c>
      <c r="AK33" s="17">
        <v>87.857041769999995</v>
      </c>
      <c r="AL33" s="13"/>
      <c r="AM33" s="36">
        <v>5.6892663316582901</v>
      </c>
      <c r="AN33" s="36">
        <v>0.86323529411764699</v>
      </c>
      <c r="AO33" s="36"/>
      <c r="AP33" s="13"/>
      <c r="AQ33" s="13"/>
      <c r="AR33" s="13"/>
      <c r="AS33" s="13"/>
      <c r="AT33" s="13"/>
      <c r="AU33" s="13"/>
      <c r="AV33" s="13">
        <f t="shared" si="2"/>
        <v>-1.2842227303370812</v>
      </c>
      <c r="AW33" s="26">
        <v>0.19940491677387501</v>
      </c>
      <c r="AX33" s="13">
        <v>1250</v>
      </c>
      <c r="AY33" s="13">
        <v>184</v>
      </c>
      <c r="AZ33" s="13">
        <v>31</v>
      </c>
      <c r="BA33" s="13">
        <v>13</v>
      </c>
      <c r="BB33" s="13">
        <v>0.20509236578811124</v>
      </c>
      <c r="BD33" s="35">
        <v>30</v>
      </c>
      <c r="BE33" s="35">
        <v>89</v>
      </c>
      <c r="BF33" s="17">
        <v>84.895284520000004</v>
      </c>
      <c r="BG33" s="13"/>
      <c r="BH33" s="36">
        <v>5.84154999999999</v>
      </c>
      <c r="BI33" s="36">
        <v>0.64852941176470502</v>
      </c>
      <c r="BJ33" s="36"/>
      <c r="BK33" s="13"/>
      <c r="BL33" s="13"/>
      <c r="BM33" s="13"/>
      <c r="BN33" s="13"/>
      <c r="BO33" s="13"/>
      <c r="BP33" s="13"/>
      <c r="BQ33" s="13">
        <f t="shared" si="3"/>
        <v>-4.6120398651685379</v>
      </c>
      <c r="BR33" s="26">
        <v>0.1383917814299</v>
      </c>
      <c r="BS33" s="13">
        <v>1138</v>
      </c>
      <c r="BT33" s="13">
        <v>8</v>
      </c>
      <c r="BU33" s="13">
        <v>46</v>
      </c>
      <c r="BV33" s="13">
        <v>40</v>
      </c>
      <c r="BW33" s="13">
        <v>0.33413883559393348</v>
      </c>
    </row>
    <row r="34" spans="1:75">
      <c r="A34" s="13">
        <v>31</v>
      </c>
      <c r="B34" s="13">
        <v>111</v>
      </c>
      <c r="C34" s="17">
        <v>117.25039750000001</v>
      </c>
      <c r="D34" s="13"/>
      <c r="E34" s="36">
        <v>9.1786122075376895</v>
      </c>
      <c r="F34" s="36">
        <v>0.370588235294117</v>
      </c>
      <c r="G34" s="36"/>
      <c r="H34" s="13"/>
      <c r="I34" s="13"/>
      <c r="J34" s="13"/>
      <c r="K34" s="13"/>
      <c r="L34" s="13"/>
      <c r="M34" s="13">
        <f t="shared" si="0"/>
        <v>5.6309887387387514</v>
      </c>
      <c r="N34" s="13"/>
      <c r="O34" s="13">
        <v>31</v>
      </c>
      <c r="P34" s="13">
        <v>111</v>
      </c>
      <c r="Q34" s="17">
        <v>119.27562500000001</v>
      </c>
      <c r="R34" s="13"/>
      <c r="S34" s="36">
        <v>7.10914978341708</v>
      </c>
      <c r="T34" s="36">
        <v>0.39264705882352902</v>
      </c>
      <c r="U34" s="36"/>
      <c r="V34" s="13"/>
      <c r="W34" s="13"/>
      <c r="X34" s="13"/>
      <c r="Y34" s="13"/>
      <c r="Z34" s="13"/>
      <c r="AA34" s="13">
        <f t="shared" si="1"/>
        <v>7.4555180180180258</v>
      </c>
      <c r="AB34" s="26">
        <v>0.29585314096974502</v>
      </c>
      <c r="AC34" s="34">
        <v>1111</v>
      </c>
      <c r="AD34" s="34">
        <v>135</v>
      </c>
      <c r="AE34" s="34">
        <v>2</v>
      </c>
      <c r="AF34" s="34">
        <v>44</v>
      </c>
      <c r="AG34" s="34">
        <v>0.9137309974791431</v>
      </c>
      <c r="AH34" s="13"/>
      <c r="AI34" s="13">
        <v>31</v>
      </c>
      <c r="AJ34" s="13">
        <v>111</v>
      </c>
      <c r="AK34" s="17">
        <v>112.0481748</v>
      </c>
      <c r="AL34" s="13"/>
      <c r="AM34" s="36">
        <v>5.9478693467336603</v>
      </c>
      <c r="AN34" s="36">
        <v>0.86617647058823499</v>
      </c>
      <c r="AO34" s="36"/>
      <c r="AP34" s="13"/>
      <c r="AQ34" s="13"/>
      <c r="AR34" s="13"/>
      <c r="AS34" s="13"/>
      <c r="AT34" s="13"/>
      <c r="AU34" s="13"/>
      <c r="AV34" s="13">
        <f t="shared" si="2"/>
        <v>0.94430162162162379</v>
      </c>
      <c r="AW34" s="26">
        <v>0.19940491677387501</v>
      </c>
      <c r="AX34" s="13">
        <v>455</v>
      </c>
      <c r="AY34" s="13">
        <v>162</v>
      </c>
      <c r="AZ34" s="13">
        <v>45</v>
      </c>
      <c r="BA34" s="13">
        <v>35</v>
      </c>
      <c r="BB34" s="13">
        <v>0.77699481935586323</v>
      </c>
      <c r="BD34" s="35">
        <v>31</v>
      </c>
      <c r="BE34" s="35">
        <v>111</v>
      </c>
      <c r="BF34" s="17">
        <v>115.78594529999999</v>
      </c>
      <c r="BG34" s="13"/>
      <c r="BH34" s="36">
        <v>6.1070749999999903</v>
      </c>
      <c r="BI34" s="36">
        <v>0.66470588235294104</v>
      </c>
      <c r="BJ34" s="36"/>
      <c r="BK34" s="13"/>
      <c r="BL34" s="13"/>
      <c r="BM34" s="13"/>
      <c r="BN34" s="13"/>
      <c r="BO34" s="13"/>
      <c r="BP34" s="13"/>
      <c r="BQ34" s="13">
        <f t="shared" si="3"/>
        <v>4.3116624324324171</v>
      </c>
      <c r="BR34" s="26">
        <v>0.1383917814299</v>
      </c>
      <c r="BS34" s="13">
        <v>710</v>
      </c>
      <c r="BT34" s="13">
        <v>142</v>
      </c>
      <c r="BU34" s="13">
        <v>25</v>
      </c>
      <c r="BV34" s="13">
        <v>17</v>
      </c>
      <c r="BW34" s="13">
        <v>0.4336952683434443</v>
      </c>
    </row>
    <row r="35" spans="1:75">
      <c r="A35" s="13">
        <v>32</v>
      </c>
      <c r="B35" s="13">
        <v>24</v>
      </c>
      <c r="C35" s="17">
        <v>24.689992478328598</v>
      </c>
      <c r="D35" s="13"/>
      <c r="E35" s="36">
        <v>9.5776823035175802</v>
      </c>
      <c r="F35" s="36">
        <v>0.38382352941176401</v>
      </c>
      <c r="G35" s="36"/>
      <c r="H35" s="13"/>
      <c r="I35" s="13"/>
      <c r="J35" s="13"/>
      <c r="K35" s="13"/>
      <c r="L35" s="13"/>
      <c r="M35" s="13">
        <f t="shared" si="0"/>
        <v>2.8749686597024926</v>
      </c>
      <c r="N35" s="13"/>
      <c r="O35" s="13">
        <v>32</v>
      </c>
      <c r="P35" s="13">
        <v>24</v>
      </c>
      <c r="Q35" s="17">
        <v>36.344236945730003</v>
      </c>
      <c r="R35" s="13"/>
      <c r="S35" s="36">
        <v>7.4182432522613002</v>
      </c>
      <c r="T35" s="36">
        <v>0.40147058823529402</v>
      </c>
      <c r="U35" s="36"/>
      <c r="V35" s="13"/>
      <c r="W35" s="13"/>
      <c r="X35" s="13"/>
      <c r="Y35" s="13"/>
      <c r="Z35" s="13"/>
      <c r="AA35" s="13">
        <f t="shared" si="1"/>
        <v>51.434320607208342</v>
      </c>
      <c r="AB35" s="26">
        <v>0.29585314096974502</v>
      </c>
      <c r="AC35" s="34">
        <v>645</v>
      </c>
      <c r="AD35" s="34">
        <v>120</v>
      </c>
      <c r="AE35" s="34">
        <v>23</v>
      </c>
      <c r="AF35" s="34">
        <v>46</v>
      </c>
      <c r="AG35" s="34">
        <v>0.116638115000526</v>
      </c>
      <c r="AH35" s="13"/>
      <c r="AI35" s="13">
        <v>32</v>
      </c>
      <c r="AJ35" s="13">
        <v>24</v>
      </c>
      <c r="AK35" s="17">
        <v>24.895724120000001</v>
      </c>
      <c r="AL35" s="13"/>
      <c r="AM35" s="36">
        <v>6.2064723618090403</v>
      </c>
      <c r="AN35" s="36">
        <v>0.86764705882352899</v>
      </c>
      <c r="AO35" s="36"/>
      <c r="AP35" s="13"/>
      <c r="AQ35" s="13"/>
      <c r="AR35" s="13"/>
      <c r="AS35" s="13"/>
      <c r="AT35" s="13"/>
      <c r="AU35" s="13"/>
      <c r="AV35" s="13">
        <f t="shared" si="2"/>
        <v>3.7321838333333357</v>
      </c>
      <c r="AW35" s="26">
        <v>0.19295291878696599</v>
      </c>
      <c r="AX35" s="13">
        <v>134</v>
      </c>
      <c r="AY35" s="13">
        <v>4</v>
      </c>
      <c r="AZ35" s="13">
        <v>25</v>
      </c>
      <c r="BA35" s="13">
        <v>26</v>
      </c>
      <c r="BB35" s="13">
        <v>0.18291261242650853</v>
      </c>
      <c r="BD35" s="35">
        <v>32</v>
      </c>
      <c r="BE35" s="35">
        <v>24</v>
      </c>
      <c r="BF35" s="17">
        <v>30.208929810000001</v>
      </c>
      <c r="BG35" s="13"/>
      <c r="BH35" s="36">
        <v>6.3725999999999896</v>
      </c>
      <c r="BI35" s="36">
        <v>0.67647058823529405</v>
      </c>
      <c r="BJ35" s="36"/>
      <c r="BK35" s="13"/>
      <c r="BL35" s="13"/>
      <c r="BM35" s="13"/>
      <c r="BN35" s="13"/>
      <c r="BO35" s="13"/>
      <c r="BP35" s="13"/>
      <c r="BQ35" s="13">
        <f t="shared" si="3"/>
        <v>25.870540875000003</v>
      </c>
      <c r="BR35" s="26">
        <v>0.13725628882118501</v>
      </c>
      <c r="BS35" s="13">
        <v>1089</v>
      </c>
      <c r="BT35" s="13">
        <v>135</v>
      </c>
      <c r="BU35" s="13">
        <v>23</v>
      </c>
      <c r="BV35" s="13">
        <v>43</v>
      </c>
      <c r="BW35" s="13">
        <v>0.63233677015612377</v>
      </c>
    </row>
    <row r="36" spans="1:75">
      <c r="A36" s="13">
        <v>33</v>
      </c>
      <c r="B36" s="13">
        <v>143</v>
      </c>
      <c r="C36" s="17">
        <v>144.15914599999999</v>
      </c>
      <c r="D36" s="13"/>
      <c r="E36" s="36">
        <v>9.9767523994974798</v>
      </c>
      <c r="F36" s="36">
        <v>0.39117647058823501</v>
      </c>
      <c r="G36" s="36"/>
      <c r="H36" s="13"/>
      <c r="I36" s="13"/>
      <c r="J36" s="13"/>
      <c r="K36" s="13"/>
      <c r="L36" s="13"/>
      <c r="M36" s="13">
        <f t="shared" si="0"/>
        <v>0.81059160839160871</v>
      </c>
      <c r="N36" s="13"/>
      <c r="O36" s="13">
        <v>33</v>
      </c>
      <c r="P36" s="13">
        <v>143</v>
      </c>
      <c r="Q36" s="17">
        <v>144.43979060000001</v>
      </c>
      <c r="R36" s="13"/>
      <c r="S36" s="36">
        <v>7.7273367211055204</v>
      </c>
      <c r="T36" s="36">
        <v>0.42794117647058799</v>
      </c>
      <c r="U36" s="36"/>
      <c r="V36" s="13"/>
      <c r="W36" s="13"/>
      <c r="X36" s="13"/>
      <c r="Y36" s="13"/>
      <c r="Z36" s="13"/>
      <c r="AA36" s="13">
        <f t="shared" si="1"/>
        <v>1.0068465734265786</v>
      </c>
      <c r="AB36" s="26">
        <v>0.29585314096974502</v>
      </c>
      <c r="AC36" s="34">
        <v>654</v>
      </c>
      <c r="AD36" s="34">
        <v>163</v>
      </c>
      <c r="AE36" s="34">
        <v>3</v>
      </c>
      <c r="AF36" s="34">
        <v>20</v>
      </c>
      <c r="AG36" s="34">
        <v>0.90738508109225424</v>
      </c>
      <c r="AH36" s="13"/>
      <c r="AI36" s="13">
        <v>33</v>
      </c>
      <c r="AJ36" s="13">
        <v>143</v>
      </c>
      <c r="AK36" s="17">
        <v>144.09841510000001</v>
      </c>
      <c r="AL36" s="13"/>
      <c r="AM36" s="36">
        <v>6.4650753768844202</v>
      </c>
      <c r="AN36" s="36">
        <v>0.870588235294117</v>
      </c>
      <c r="AO36" s="36"/>
      <c r="AP36" s="13"/>
      <c r="AQ36" s="13"/>
      <c r="AR36" s="13"/>
      <c r="AS36" s="13"/>
      <c r="AT36" s="13"/>
      <c r="AU36" s="13"/>
      <c r="AV36" s="13">
        <f t="shared" si="2"/>
        <v>0.76812244755246617</v>
      </c>
      <c r="AW36" s="26">
        <v>0.19295291878696599</v>
      </c>
      <c r="AX36" s="13">
        <v>1121</v>
      </c>
      <c r="AY36" s="13">
        <v>3</v>
      </c>
      <c r="AZ36" s="13">
        <v>18</v>
      </c>
      <c r="BA36" s="13">
        <v>17</v>
      </c>
      <c r="BB36" s="13">
        <v>0.42666643619593747</v>
      </c>
      <c r="BD36" s="35">
        <v>33</v>
      </c>
      <c r="BE36" s="35">
        <v>143</v>
      </c>
      <c r="BF36" s="17">
        <v>143.40013350000001</v>
      </c>
      <c r="BG36" s="13"/>
      <c r="BH36" s="36">
        <v>6.6381249999999898</v>
      </c>
      <c r="BI36" s="36">
        <v>0.68529411764705805</v>
      </c>
      <c r="BJ36" s="36"/>
      <c r="BK36" s="13"/>
      <c r="BL36" s="13"/>
      <c r="BM36" s="13"/>
      <c r="BN36" s="13"/>
      <c r="BO36" s="13"/>
      <c r="BP36" s="13"/>
      <c r="BQ36" s="13">
        <f t="shared" si="3"/>
        <v>0.27981363636364609</v>
      </c>
      <c r="BR36" s="26">
        <v>0.13725628882118501</v>
      </c>
      <c r="BS36" s="13">
        <v>71</v>
      </c>
      <c r="BT36" s="13">
        <v>92</v>
      </c>
      <c r="BU36" s="13">
        <v>39</v>
      </c>
      <c r="BV36" s="13">
        <v>35</v>
      </c>
      <c r="BW36" s="13">
        <v>0.66018590182064163</v>
      </c>
    </row>
    <row r="37" spans="1:75">
      <c r="A37" s="13">
        <v>34</v>
      </c>
      <c r="B37" s="13">
        <v>61</v>
      </c>
      <c r="C37" s="17">
        <v>63.990347929999999</v>
      </c>
      <c r="D37" s="13"/>
      <c r="E37" s="36">
        <v>10.3758224954773</v>
      </c>
      <c r="F37" s="36">
        <v>0.40441176470588203</v>
      </c>
      <c r="G37" s="36"/>
      <c r="H37" s="13"/>
      <c r="I37" s="13"/>
      <c r="J37" s="13"/>
      <c r="K37" s="13"/>
      <c r="L37" s="13"/>
      <c r="M37" s="13">
        <f t="shared" si="0"/>
        <v>4.902209721311479</v>
      </c>
      <c r="N37" s="13"/>
      <c r="O37" s="13">
        <v>34</v>
      </c>
      <c r="P37" s="13">
        <v>61</v>
      </c>
      <c r="Q37" s="17">
        <v>54.419067890000001</v>
      </c>
      <c r="R37" s="13"/>
      <c r="S37" s="36">
        <v>8.0364301899497406</v>
      </c>
      <c r="T37" s="36">
        <v>0.441176470588235</v>
      </c>
      <c r="U37" s="36"/>
      <c r="V37" s="13"/>
      <c r="W37" s="13"/>
      <c r="X37" s="13"/>
      <c r="Y37" s="13"/>
      <c r="Z37" s="13"/>
      <c r="AA37" s="13">
        <f t="shared" si="1"/>
        <v>-10.788413295081966</v>
      </c>
      <c r="AB37" s="26">
        <v>0.29510569440874601</v>
      </c>
      <c r="AC37" s="34">
        <v>1272</v>
      </c>
      <c r="AD37" s="34">
        <v>137</v>
      </c>
      <c r="AE37" s="34">
        <v>34</v>
      </c>
      <c r="AF37" s="34">
        <v>7</v>
      </c>
      <c r="AG37" s="34">
        <v>0.15886766777266242</v>
      </c>
      <c r="AH37" s="13"/>
      <c r="AI37" s="13">
        <v>34</v>
      </c>
      <c r="AJ37" s="13">
        <v>61</v>
      </c>
      <c r="AK37" s="17">
        <v>60.347037540000002</v>
      </c>
      <c r="AL37" s="13"/>
      <c r="AM37" s="36">
        <v>6.7236783919597896</v>
      </c>
      <c r="AN37" s="36">
        <v>0.872058823529411</v>
      </c>
      <c r="AO37" s="36"/>
      <c r="AP37" s="13"/>
      <c r="AQ37" s="13"/>
      <c r="AR37" s="13"/>
      <c r="AS37" s="13"/>
      <c r="AT37" s="13"/>
      <c r="AU37" s="13"/>
      <c r="AV37" s="13">
        <f t="shared" si="2"/>
        <v>-1.0704302622950745</v>
      </c>
      <c r="AW37" s="26">
        <v>0.19295291878696599</v>
      </c>
      <c r="AX37" s="13">
        <v>1166</v>
      </c>
      <c r="AY37" s="13">
        <v>124</v>
      </c>
      <c r="AZ37" s="13">
        <v>45</v>
      </c>
      <c r="BA37" s="13">
        <v>17</v>
      </c>
      <c r="BB37" s="13">
        <v>0.71598145442735328</v>
      </c>
      <c r="BD37" s="35">
        <v>34</v>
      </c>
      <c r="BE37" s="35">
        <v>61</v>
      </c>
      <c r="BF37" s="17">
        <v>58.205472909999997</v>
      </c>
      <c r="BG37" s="13"/>
      <c r="BH37" s="36">
        <v>6.9036499999999901</v>
      </c>
      <c r="BI37" s="36">
        <v>0.70147058823529396</v>
      </c>
      <c r="BJ37" s="36"/>
      <c r="BK37" s="13"/>
      <c r="BL37" s="13"/>
      <c r="BM37" s="13"/>
      <c r="BN37" s="13"/>
      <c r="BO37" s="13"/>
      <c r="BP37" s="13"/>
      <c r="BQ37" s="13">
        <f t="shared" si="3"/>
        <v>-4.5811919508196741</v>
      </c>
      <c r="BR37" s="26">
        <v>0.13725628882118501</v>
      </c>
      <c r="BS37" s="13">
        <v>171</v>
      </c>
      <c r="BT37" s="13">
        <v>46</v>
      </c>
      <c r="BU37" s="13">
        <v>49</v>
      </c>
      <c r="BV37" s="13">
        <v>15</v>
      </c>
      <c r="BW37" s="13">
        <v>0.73285100304785766</v>
      </c>
    </row>
    <row r="38" spans="1:75">
      <c r="A38" s="13">
        <v>35</v>
      </c>
      <c r="B38" s="13">
        <v>119</v>
      </c>
      <c r="C38" s="17">
        <v>124.7867316</v>
      </c>
      <c r="D38" s="13"/>
      <c r="E38" s="36">
        <v>10.774892591457199</v>
      </c>
      <c r="F38" s="36">
        <v>0.41029411764705798</v>
      </c>
      <c r="G38" s="36"/>
      <c r="H38" s="13"/>
      <c r="I38" s="13"/>
      <c r="J38" s="13"/>
      <c r="K38" s="13"/>
      <c r="L38" s="13"/>
      <c r="M38" s="13">
        <f t="shared" ref="M38:M101" si="4">((C38/B38)-1)*100</f>
        <v>4.8627996638655357</v>
      </c>
      <c r="N38" s="13"/>
      <c r="O38" s="13">
        <v>35</v>
      </c>
      <c r="P38" s="13">
        <v>119</v>
      </c>
      <c r="Q38" s="17">
        <v>124.92270120000001</v>
      </c>
      <c r="R38" s="13"/>
      <c r="S38" s="36">
        <v>8.3455236587939599</v>
      </c>
      <c r="T38" s="36">
        <v>0.45588235294117602</v>
      </c>
      <c r="U38" s="36"/>
      <c r="V38" s="13"/>
      <c r="W38" s="13"/>
      <c r="X38" s="13"/>
      <c r="Y38" s="13"/>
      <c r="Z38" s="13"/>
      <c r="AA38" s="13">
        <f t="shared" si="1"/>
        <v>4.977059831932773</v>
      </c>
      <c r="AB38" s="26">
        <v>0.29510569440874601</v>
      </c>
      <c r="AC38" s="34">
        <v>813</v>
      </c>
      <c r="AD38" s="34">
        <v>56</v>
      </c>
      <c r="AE38" s="34">
        <v>17</v>
      </c>
      <c r="AF38" s="34">
        <v>46</v>
      </c>
      <c r="AG38" s="34">
        <v>0.56845168784396882</v>
      </c>
      <c r="AI38" s="35">
        <v>35</v>
      </c>
      <c r="AJ38" s="35">
        <v>119</v>
      </c>
      <c r="AK38" s="17">
        <v>119.908033</v>
      </c>
      <c r="AM38" s="35">
        <v>6.9822814070351704</v>
      </c>
      <c r="AN38" s="35">
        <v>0.875</v>
      </c>
      <c r="AV38" s="13">
        <f t="shared" si="2"/>
        <v>0.76305294117646749</v>
      </c>
      <c r="AW38" s="35">
        <v>0.19295291878696599</v>
      </c>
      <c r="AX38" s="35">
        <v>982</v>
      </c>
      <c r="AY38" s="35">
        <v>172</v>
      </c>
      <c r="AZ38" s="35">
        <v>28</v>
      </c>
      <c r="BA38" s="35">
        <v>11</v>
      </c>
      <c r="BB38" s="35">
        <v>0.75501569637975818</v>
      </c>
      <c r="BD38" s="35">
        <v>35</v>
      </c>
      <c r="BE38" s="35">
        <v>119</v>
      </c>
      <c r="BF38" s="17">
        <v>122.9032797</v>
      </c>
      <c r="BH38" s="35">
        <v>7.1691749999999903</v>
      </c>
      <c r="BI38" s="35">
        <v>0.71176470588235297</v>
      </c>
      <c r="BQ38" s="13">
        <f t="shared" si="3"/>
        <v>3.2800669747899081</v>
      </c>
      <c r="BR38" s="35">
        <v>0.13725628882118501</v>
      </c>
      <c r="BS38" s="35">
        <v>1780</v>
      </c>
      <c r="BT38" s="35">
        <v>109</v>
      </c>
      <c r="BU38" s="35">
        <v>37</v>
      </c>
      <c r="BV38" s="35">
        <v>49</v>
      </c>
      <c r="BW38" s="35">
        <v>0.45331268663244739</v>
      </c>
    </row>
    <row r="39" spans="1:75">
      <c r="A39" s="13">
        <v>36</v>
      </c>
      <c r="B39" s="13">
        <v>212</v>
      </c>
      <c r="C39" s="17">
        <v>163.00723590000001</v>
      </c>
      <c r="D39" s="13"/>
      <c r="E39" s="36">
        <v>11.173962687437101</v>
      </c>
      <c r="F39" s="36">
        <v>0.42205882352941099</v>
      </c>
      <c r="G39" s="36"/>
      <c r="H39" s="13"/>
      <c r="I39" s="13"/>
      <c r="J39" s="13"/>
      <c r="K39" s="13"/>
      <c r="L39" s="13"/>
      <c r="M39" s="13">
        <f t="shared" si="4"/>
        <v>-23.109794386792448</v>
      </c>
      <c r="N39" s="13"/>
      <c r="O39" s="13">
        <v>36</v>
      </c>
      <c r="P39" s="13">
        <v>212</v>
      </c>
      <c r="Q39" s="17">
        <v>182.99754139999999</v>
      </c>
      <c r="R39" s="13"/>
      <c r="S39" s="36">
        <v>8.6546171276381898</v>
      </c>
      <c r="T39" s="36">
        <v>0.47058823529411697</v>
      </c>
      <c r="U39" s="36"/>
      <c r="V39" s="13"/>
      <c r="W39" s="13"/>
      <c r="X39" s="13"/>
      <c r="Y39" s="13"/>
      <c r="Z39" s="13"/>
      <c r="AA39" s="13">
        <f t="shared" si="1"/>
        <v>-13.680405000000007</v>
      </c>
      <c r="AB39" s="26">
        <v>0.29510569440874601</v>
      </c>
      <c r="AC39" s="34">
        <v>1062</v>
      </c>
      <c r="AD39" s="34">
        <v>121</v>
      </c>
      <c r="AE39" s="34">
        <v>32</v>
      </c>
      <c r="AF39" s="34">
        <v>12</v>
      </c>
      <c r="AG39" s="34">
        <v>0.38213652716832569</v>
      </c>
      <c r="AI39" s="35">
        <v>36</v>
      </c>
      <c r="AJ39" s="35">
        <v>212</v>
      </c>
      <c r="AK39" s="17">
        <v>210.92826009999999</v>
      </c>
      <c r="AM39" s="35">
        <v>7.2408844221105504</v>
      </c>
      <c r="AN39" s="35">
        <v>0.875</v>
      </c>
      <c r="AV39" s="13">
        <f t="shared" si="2"/>
        <v>-0.50553768867924731</v>
      </c>
      <c r="AW39" s="35">
        <v>0.19295291878696599</v>
      </c>
      <c r="AX39" s="35">
        <v>274</v>
      </c>
      <c r="AY39" s="35">
        <v>96</v>
      </c>
      <c r="AZ39" s="35">
        <v>36</v>
      </c>
      <c r="BA39" s="35">
        <v>35</v>
      </c>
      <c r="BB39" s="35">
        <v>0.50621042596334909</v>
      </c>
      <c r="BD39" s="35">
        <v>36</v>
      </c>
      <c r="BE39" s="35">
        <v>212</v>
      </c>
      <c r="BF39" s="17">
        <v>203.84752789999999</v>
      </c>
      <c r="BH39" s="35">
        <v>7.4346999999999897</v>
      </c>
      <c r="BI39" s="35">
        <v>0.72205882352941098</v>
      </c>
      <c r="BQ39" s="13">
        <f t="shared" si="3"/>
        <v>-3.8455057075471699</v>
      </c>
      <c r="BR39" s="35">
        <v>0.13725628882118501</v>
      </c>
      <c r="BS39" s="35">
        <v>92</v>
      </c>
      <c r="BT39" s="35">
        <v>109</v>
      </c>
      <c r="BU39" s="35">
        <v>13</v>
      </c>
      <c r="BV39" s="35">
        <v>36</v>
      </c>
      <c r="BW39" s="35">
        <v>0.4878815659253839</v>
      </c>
    </row>
    <row r="40" spans="1:75">
      <c r="A40" s="13">
        <v>37</v>
      </c>
      <c r="B40" s="13">
        <v>129</v>
      </c>
      <c r="C40" s="17">
        <v>125.41017859999999</v>
      </c>
      <c r="D40" s="13"/>
      <c r="E40" s="36">
        <v>11.573032783417</v>
      </c>
      <c r="F40" s="36">
        <v>0.435294117647058</v>
      </c>
      <c r="G40" s="36"/>
      <c r="H40" s="13"/>
      <c r="I40" s="13"/>
      <c r="J40" s="13"/>
      <c r="K40" s="13"/>
      <c r="L40" s="13"/>
      <c r="M40" s="13">
        <f t="shared" si="4"/>
        <v>-2.7828072868217091</v>
      </c>
      <c r="N40" s="13"/>
      <c r="O40" s="13">
        <v>37</v>
      </c>
      <c r="P40" s="13">
        <v>129</v>
      </c>
      <c r="Q40" s="17">
        <v>126.3253725</v>
      </c>
      <c r="R40" s="13"/>
      <c r="S40" s="36">
        <v>8.9637105964824109</v>
      </c>
      <c r="T40" s="36">
        <v>0.49117647058823499</v>
      </c>
      <c r="U40" s="36"/>
      <c r="V40" s="13"/>
      <c r="W40" s="13"/>
      <c r="X40" s="13"/>
      <c r="Y40" s="13"/>
      <c r="Z40" s="13"/>
      <c r="AA40" s="13">
        <f t="shared" si="1"/>
        <v>-2.0733546511627954</v>
      </c>
      <c r="AB40" s="26">
        <v>0.29510569440874601</v>
      </c>
      <c r="AC40" s="34">
        <v>301</v>
      </c>
      <c r="AD40" s="34">
        <v>136</v>
      </c>
      <c r="AE40" s="34">
        <v>24</v>
      </c>
      <c r="AF40" s="34">
        <v>23</v>
      </c>
      <c r="AG40" s="34">
        <v>0.29696190482495322</v>
      </c>
      <c r="AI40" s="35">
        <v>37</v>
      </c>
      <c r="AJ40" s="35">
        <v>129</v>
      </c>
      <c r="AK40" s="17">
        <v>128.95096409999999</v>
      </c>
      <c r="AM40" s="35">
        <v>7.4994874371859197</v>
      </c>
      <c r="AN40" s="35">
        <v>0.875</v>
      </c>
      <c r="AV40" s="13">
        <f t="shared" si="2"/>
        <v>-3.801232558140466E-2</v>
      </c>
      <c r="AW40" s="35">
        <v>0.19295291878696599</v>
      </c>
      <c r="AX40" s="35">
        <v>1112</v>
      </c>
      <c r="AY40" s="35">
        <v>148</v>
      </c>
      <c r="AZ40" s="35">
        <v>8</v>
      </c>
      <c r="BA40" s="35">
        <v>11</v>
      </c>
      <c r="BB40" s="35">
        <v>0.17149797539476483</v>
      </c>
      <c r="BD40" s="35">
        <v>37</v>
      </c>
      <c r="BE40" s="35">
        <v>129</v>
      </c>
      <c r="BF40" s="17">
        <v>128.742403</v>
      </c>
      <c r="BH40" s="35">
        <v>7.7002249999999899</v>
      </c>
      <c r="BI40" s="35">
        <v>0.73823529411764699</v>
      </c>
      <c r="BQ40" s="13">
        <f t="shared" si="3"/>
        <v>-0.19968759689922289</v>
      </c>
      <c r="BR40" s="35">
        <v>0.13725628882118501</v>
      </c>
      <c r="BS40" s="35">
        <v>56</v>
      </c>
      <c r="BT40" s="35">
        <v>80</v>
      </c>
      <c r="BU40" s="35">
        <v>19</v>
      </c>
      <c r="BV40" s="35">
        <v>43</v>
      </c>
      <c r="BW40" s="35">
        <v>0.1371707680498741</v>
      </c>
    </row>
    <row r="41" spans="1:75">
      <c r="A41" s="13">
        <v>38</v>
      </c>
      <c r="B41" s="13">
        <v>4</v>
      </c>
      <c r="C41" s="17">
        <v>4.1868391524619497</v>
      </c>
      <c r="D41" s="13"/>
      <c r="E41" s="36">
        <v>11.9721028793969</v>
      </c>
      <c r="F41" s="36">
        <v>0.45</v>
      </c>
      <c r="G41" s="36"/>
      <c r="H41" s="13"/>
      <c r="I41" s="13"/>
      <c r="J41" s="13"/>
      <c r="K41" s="13"/>
      <c r="L41" s="13"/>
      <c r="M41" s="13">
        <f t="shared" si="4"/>
        <v>4.6709788115487427</v>
      </c>
      <c r="N41" s="13"/>
      <c r="O41" s="13">
        <v>38</v>
      </c>
      <c r="P41" s="13">
        <v>4</v>
      </c>
      <c r="Q41" s="17">
        <v>5.6125270395050304</v>
      </c>
      <c r="R41" s="13"/>
      <c r="S41" s="36">
        <v>9.2728040653266302</v>
      </c>
      <c r="T41" s="36">
        <v>0.5</v>
      </c>
      <c r="U41" s="36"/>
      <c r="V41" s="13"/>
      <c r="W41" s="13"/>
      <c r="X41" s="13"/>
      <c r="Y41" s="13"/>
      <c r="Z41" s="13"/>
      <c r="AA41" s="13">
        <f t="shared" si="1"/>
        <v>40.313175987625762</v>
      </c>
      <c r="AB41" s="26">
        <v>0.29510569440874601</v>
      </c>
      <c r="AC41" s="34">
        <v>528</v>
      </c>
      <c r="AD41" s="34">
        <v>148</v>
      </c>
      <c r="AE41" s="34">
        <v>32</v>
      </c>
      <c r="AF41" s="34">
        <v>6</v>
      </c>
      <c r="AG41" s="34">
        <v>0.90824885016460799</v>
      </c>
      <c r="AI41" s="35">
        <v>38</v>
      </c>
      <c r="AJ41" s="35">
        <v>4</v>
      </c>
      <c r="AK41" s="17">
        <v>4.4755612899999999</v>
      </c>
      <c r="AM41" s="35">
        <v>7.7580904522612997</v>
      </c>
      <c r="AN41" s="35">
        <v>0.876470588235294</v>
      </c>
      <c r="AV41" s="13">
        <f t="shared" si="2"/>
        <v>11.889032249999998</v>
      </c>
      <c r="AW41" s="35">
        <v>0.17962679312864099</v>
      </c>
      <c r="AX41" s="35">
        <v>254</v>
      </c>
      <c r="AY41" s="35">
        <v>74</v>
      </c>
      <c r="AZ41" s="35">
        <v>27</v>
      </c>
      <c r="BA41" s="35">
        <v>24</v>
      </c>
      <c r="BB41" s="35">
        <v>0.18992987610911577</v>
      </c>
      <c r="BD41" s="35">
        <v>38</v>
      </c>
      <c r="BE41" s="35">
        <v>4</v>
      </c>
      <c r="BF41" s="17">
        <v>3.8096655283251999</v>
      </c>
      <c r="BH41" s="35">
        <v>7.9657499999999901</v>
      </c>
      <c r="BI41" s="35">
        <v>0.76029411764705801</v>
      </c>
      <c r="BQ41" s="13">
        <f t="shared" si="3"/>
        <v>-4.7583617918700032</v>
      </c>
      <c r="BR41" s="35">
        <v>0.13725628882118501</v>
      </c>
      <c r="BS41" s="35">
        <v>331</v>
      </c>
      <c r="BT41" s="35">
        <v>110</v>
      </c>
      <c r="BU41" s="35">
        <v>9</v>
      </c>
      <c r="BV41" s="35">
        <v>13</v>
      </c>
      <c r="BW41" s="35">
        <v>0.97629767787804322</v>
      </c>
    </row>
    <row r="42" spans="1:75">
      <c r="A42" s="13">
        <v>39</v>
      </c>
      <c r="B42" s="13">
        <v>0</v>
      </c>
      <c r="C42" s="17">
        <v>62.300190389999997</v>
      </c>
      <c r="D42" s="13"/>
      <c r="E42" s="36">
        <v>12.371172975376799</v>
      </c>
      <c r="F42" s="36">
        <v>0.45735294117647002</v>
      </c>
      <c r="G42" s="36"/>
      <c r="H42" s="13"/>
      <c r="I42" s="13"/>
      <c r="J42" s="13"/>
      <c r="K42" s="13"/>
      <c r="L42" s="13"/>
      <c r="M42" s="13" t="e">
        <f t="shared" si="4"/>
        <v>#DIV/0!</v>
      </c>
      <c r="N42" s="13"/>
      <c r="O42" s="13">
        <v>39</v>
      </c>
      <c r="P42" s="13">
        <v>0</v>
      </c>
      <c r="Q42" s="17">
        <v>36.349594860000003</v>
      </c>
      <c r="R42" s="13"/>
      <c r="S42" s="36">
        <v>9.5818975341708494</v>
      </c>
      <c r="T42" s="36">
        <v>0.51764705882352902</v>
      </c>
      <c r="U42" s="36"/>
      <c r="V42" s="13"/>
      <c r="W42" s="13"/>
      <c r="X42" s="13"/>
      <c r="Y42" s="13"/>
      <c r="Z42" s="13"/>
      <c r="AA42" s="13" t="e">
        <f t="shared" si="1"/>
        <v>#DIV/0!</v>
      </c>
      <c r="AB42" s="26">
        <v>0.29510569440874601</v>
      </c>
      <c r="AC42" s="34">
        <v>196</v>
      </c>
      <c r="AD42" s="34">
        <v>196</v>
      </c>
      <c r="AE42" s="34">
        <v>38</v>
      </c>
      <c r="AF42" s="34">
        <v>27</v>
      </c>
      <c r="AG42" s="34">
        <v>0.65493201269329326</v>
      </c>
      <c r="AI42" s="35">
        <v>39</v>
      </c>
      <c r="AJ42" s="35">
        <v>0</v>
      </c>
      <c r="AK42" s="17">
        <v>4.6190476000000001E-2</v>
      </c>
      <c r="AM42" s="35">
        <v>8.0166934673366796</v>
      </c>
      <c r="AN42" s="35">
        <v>0.879411764705882</v>
      </c>
      <c r="AV42" s="13" t="e">
        <f t="shared" si="2"/>
        <v>#DIV/0!</v>
      </c>
      <c r="AW42" s="35">
        <v>0.17962679312864099</v>
      </c>
      <c r="AX42" s="35">
        <v>246</v>
      </c>
      <c r="AY42" s="35">
        <v>72</v>
      </c>
      <c r="AZ42" s="35">
        <v>26</v>
      </c>
      <c r="BA42" s="35">
        <v>10</v>
      </c>
      <c r="BB42" s="35">
        <v>0.44965633487671974</v>
      </c>
      <c r="BD42" s="35">
        <v>39</v>
      </c>
      <c r="BE42" s="35">
        <v>0</v>
      </c>
      <c r="BF42" s="17">
        <v>1.171048396</v>
      </c>
      <c r="BH42" s="35">
        <v>8.2312749999999895</v>
      </c>
      <c r="BI42" s="35">
        <v>0.77058823529411702</v>
      </c>
      <c r="BQ42" s="13" t="e">
        <f t="shared" si="3"/>
        <v>#DIV/0!</v>
      </c>
      <c r="BR42" s="35">
        <v>0.13725628882118501</v>
      </c>
      <c r="BS42" s="35">
        <v>1512</v>
      </c>
      <c r="BT42" s="35">
        <v>97</v>
      </c>
      <c r="BU42" s="35">
        <v>28</v>
      </c>
      <c r="BV42" s="35">
        <v>22</v>
      </c>
      <c r="BW42" s="35">
        <v>0.50979627321037957</v>
      </c>
    </row>
    <row r="43" spans="1:75">
      <c r="A43" s="13">
        <v>40</v>
      </c>
      <c r="B43" s="13">
        <v>141</v>
      </c>
      <c r="C43" s="17">
        <v>135.5469473</v>
      </c>
      <c r="D43" s="13"/>
      <c r="E43" s="36">
        <v>12.770243071356701</v>
      </c>
      <c r="F43" s="36">
        <v>0.47058823529411697</v>
      </c>
      <c r="G43" s="36"/>
      <c r="H43" s="13"/>
      <c r="I43" s="13"/>
      <c r="J43" s="13"/>
      <c r="K43" s="13"/>
      <c r="L43" s="13"/>
      <c r="M43" s="13">
        <f t="shared" si="4"/>
        <v>-3.8674132624113455</v>
      </c>
      <c r="N43" s="13"/>
      <c r="O43" s="13">
        <v>40</v>
      </c>
      <c r="P43" s="13">
        <v>141</v>
      </c>
      <c r="Q43" s="17">
        <v>140.89427689999999</v>
      </c>
      <c r="R43" s="13"/>
      <c r="S43" s="36">
        <v>9.8909910030150705</v>
      </c>
      <c r="T43" s="36">
        <v>0.52352941176470502</v>
      </c>
      <c r="U43" s="36"/>
      <c r="V43" s="13"/>
      <c r="W43" s="13"/>
      <c r="X43" s="13"/>
      <c r="Y43" s="13"/>
      <c r="Z43" s="13"/>
      <c r="AA43" s="13">
        <f t="shared" si="1"/>
        <v>-7.498092198582329E-2</v>
      </c>
      <c r="AB43" s="26">
        <v>0.29510569440874601</v>
      </c>
      <c r="AC43" s="34">
        <v>973</v>
      </c>
      <c r="AD43" s="34">
        <v>150</v>
      </c>
      <c r="AE43" s="34">
        <v>42</v>
      </c>
      <c r="AF43" s="34">
        <v>30</v>
      </c>
      <c r="AG43" s="34">
        <v>0.41254840564883422</v>
      </c>
      <c r="AI43" s="35">
        <v>40</v>
      </c>
      <c r="AJ43" s="35">
        <v>141</v>
      </c>
      <c r="AK43" s="17">
        <v>141.200298</v>
      </c>
      <c r="AM43" s="35">
        <v>8.2752964824120507</v>
      </c>
      <c r="AN43" s="35">
        <v>0.88235294117647001</v>
      </c>
      <c r="AV43" s="13">
        <f t="shared" si="2"/>
        <v>0.1420553191489482</v>
      </c>
      <c r="AW43" s="35">
        <v>0.17962679312864099</v>
      </c>
      <c r="AX43" s="35">
        <v>1966</v>
      </c>
      <c r="AY43" s="35">
        <v>155</v>
      </c>
      <c r="AZ43" s="35">
        <v>25</v>
      </c>
      <c r="BA43" s="35">
        <v>6</v>
      </c>
      <c r="BB43" s="35">
        <v>0.18513723205654409</v>
      </c>
      <c r="BD43" s="35">
        <v>40</v>
      </c>
      <c r="BE43" s="35">
        <v>141</v>
      </c>
      <c r="BF43" s="17">
        <v>141.2838625</v>
      </c>
      <c r="BH43" s="35">
        <v>8.4967999999999897</v>
      </c>
      <c r="BI43" s="35">
        <v>0.78088235294117603</v>
      </c>
      <c r="BQ43" s="13">
        <f t="shared" si="3"/>
        <v>0.20132092198581475</v>
      </c>
      <c r="BR43" s="35">
        <v>0.13725628882118501</v>
      </c>
      <c r="BS43" s="35">
        <v>1604</v>
      </c>
      <c r="BT43" s="35">
        <v>20</v>
      </c>
      <c r="BU43" s="35">
        <v>17</v>
      </c>
      <c r="BV43" s="35">
        <v>42</v>
      </c>
      <c r="BW43" s="35">
        <v>0.69585920319786598</v>
      </c>
    </row>
    <row r="44" spans="1:75">
      <c r="A44" s="13">
        <v>41</v>
      </c>
      <c r="B44" s="13">
        <v>12</v>
      </c>
      <c r="C44" s="17">
        <v>8.02422306499912</v>
      </c>
      <c r="D44" s="13"/>
      <c r="E44" s="36">
        <v>13.1693131673366</v>
      </c>
      <c r="F44" s="36">
        <v>0.48382352941176399</v>
      </c>
      <c r="G44" s="36"/>
      <c r="H44" s="13"/>
      <c r="I44" s="13"/>
      <c r="J44" s="13"/>
      <c r="K44" s="13"/>
      <c r="L44" s="13"/>
      <c r="M44" s="13">
        <f t="shared" si="4"/>
        <v>-33.131474458340669</v>
      </c>
      <c r="N44" s="13"/>
      <c r="O44" s="13">
        <v>41</v>
      </c>
      <c r="P44" s="13">
        <v>12</v>
      </c>
      <c r="Q44" s="17">
        <v>14.8123812982604</v>
      </c>
      <c r="R44" s="13"/>
      <c r="S44" s="36">
        <v>10.200084471859199</v>
      </c>
      <c r="T44" s="36">
        <v>0.53529411764705803</v>
      </c>
      <c r="U44" s="36"/>
      <c r="V44" s="13"/>
      <c r="W44" s="13"/>
      <c r="X44" s="13"/>
      <c r="Y44" s="13"/>
      <c r="Z44" s="13"/>
      <c r="AA44" s="13">
        <f t="shared" si="1"/>
        <v>23.436510818836666</v>
      </c>
      <c r="AB44" s="26">
        <v>0.29510569440874601</v>
      </c>
      <c r="AC44" s="34">
        <v>1221</v>
      </c>
      <c r="AD44" s="34">
        <v>195</v>
      </c>
      <c r="AE44" s="34">
        <v>43</v>
      </c>
      <c r="AF44" s="34">
        <v>48</v>
      </c>
      <c r="AG44" s="34">
        <v>0.74252853156273457</v>
      </c>
      <c r="AI44" s="35">
        <v>41</v>
      </c>
      <c r="AJ44" s="35">
        <v>12</v>
      </c>
      <c r="AK44" s="17">
        <v>12.30540323</v>
      </c>
      <c r="AM44" s="35">
        <v>8.5338994974874307</v>
      </c>
      <c r="AN44" s="35">
        <v>0.88235294117647001</v>
      </c>
      <c r="AV44" s="13">
        <f t="shared" si="2"/>
        <v>2.5450269166666706</v>
      </c>
      <c r="AW44" s="35">
        <v>0.17962679312864099</v>
      </c>
      <c r="AX44" s="35">
        <v>851</v>
      </c>
      <c r="AY44" s="35">
        <v>27</v>
      </c>
      <c r="AZ44" s="35">
        <v>41</v>
      </c>
      <c r="BA44" s="35">
        <v>7</v>
      </c>
      <c r="BB44" s="35">
        <v>0.85955065548030618</v>
      </c>
      <c r="BD44" s="35">
        <v>41</v>
      </c>
      <c r="BE44" s="35">
        <v>12</v>
      </c>
      <c r="BF44" s="17">
        <v>15.670663680000001</v>
      </c>
      <c r="BH44" s="35">
        <v>8.7623249999999899</v>
      </c>
      <c r="BI44" s="35">
        <v>0.78970588235294104</v>
      </c>
      <c r="BQ44" s="13">
        <f t="shared" si="3"/>
        <v>30.588864000000004</v>
      </c>
      <c r="BR44" s="35">
        <v>0.13725628882118501</v>
      </c>
      <c r="BS44" s="35">
        <v>942</v>
      </c>
      <c r="BT44" s="35">
        <v>141</v>
      </c>
      <c r="BU44" s="35">
        <v>21</v>
      </c>
      <c r="BV44" s="35">
        <v>20</v>
      </c>
      <c r="BW44" s="35">
        <v>0.68887840995894634</v>
      </c>
    </row>
    <row r="45" spans="1:75">
      <c r="A45" s="13">
        <v>42</v>
      </c>
      <c r="B45" s="13">
        <v>209</v>
      </c>
      <c r="C45" s="17">
        <v>174.9296578</v>
      </c>
      <c r="D45" s="13"/>
      <c r="E45" s="36">
        <v>13.5683832633165</v>
      </c>
      <c r="F45" s="36">
        <v>0.495588235294117</v>
      </c>
      <c r="G45" s="36"/>
      <c r="H45" s="13"/>
      <c r="I45" s="13"/>
      <c r="J45" s="13"/>
      <c r="K45" s="13"/>
      <c r="L45" s="13"/>
      <c r="M45" s="13">
        <f t="shared" si="4"/>
        <v>-16.301599138755986</v>
      </c>
      <c r="N45" s="13"/>
      <c r="O45" s="13">
        <v>42</v>
      </c>
      <c r="P45" s="13">
        <v>209</v>
      </c>
      <c r="Q45" s="17">
        <v>191.59088700000001</v>
      </c>
      <c r="R45" s="13"/>
      <c r="S45" s="36">
        <v>10.5091779407035</v>
      </c>
      <c r="T45" s="36">
        <v>0.54117647058823504</v>
      </c>
      <c r="U45" s="36"/>
      <c r="V45" s="13"/>
      <c r="W45" s="13"/>
      <c r="X45" s="13"/>
      <c r="Y45" s="13"/>
      <c r="Z45" s="13"/>
      <c r="AA45" s="13">
        <f t="shared" si="1"/>
        <v>-8.3297191387559764</v>
      </c>
      <c r="AB45" s="26">
        <v>0.29510569440874601</v>
      </c>
      <c r="AC45" s="34">
        <v>1612</v>
      </c>
      <c r="AD45" s="34">
        <v>117</v>
      </c>
      <c r="AE45" s="34">
        <v>36</v>
      </c>
      <c r="AF45" s="34">
        <v>20</v>
      </c>
      <c r="AG45" s="34">
        <v>0.65595410581339753</v>
      </c>
      <c r="AI45" s="35">
        <v>42</v>
      </c>
      <c r="AJ45" s="35">
        <v>209</v>
      </c>
      <c r="AK45" s="17">
        <v>208.76219929999999</v>
      </c>
      <c r="AM45" s="35">
        <v>8.7925025125628107</v>
      </c>
      <c r="AN45" s="35">
        <v>0.88382352941176401</v>
      </c>
      <c r="AV45" s="13">
        <f t="shared" si="2"/>
        <v>-0.11378023923445113</v>
      </c>
      <c r="AW45" s="35">
        <v>0.17962679312864099</v>
      </c>
      <c r="AX45" s="35">
        <v>1086</v>
      </c>
      <c r="AY45" s="35">
        <v>47</v>
      </c>
      <c r="AZ45" s="35">
        <v>22</v>
      </c>
      <c r="BA45" s="35">
        <v>15</v>
      </c>
      <c r="BB45" s="35">
        <v>0.97607243068552041</v>
      </c>
      <c r="BD45" s="35">
        <v>42</v>
      </c>
      <c r="BE45" s="35">
        <v>209</v>
      </c>
      <c r="BF45" s="17">
        <v>206.62373669999999</v>
      </c>
      <c r="BH45" s="35">
        <v>9.0278499999999902</v>
      </c>
      <c r="BI45" s="35">
        <v>0.79264705882352904</v>
      </c>
      <c r="BQ45" s="13">
        <f t="shared" si="3"/>
        <v>-1.1369680861244014</v>
      </c>
      <c r="BR45" s="35">
        <v>0.13725628882118501</v>
      </c>
      <c r="BS45" s="35">
        <v>237</v>
      </c>
      <c r="BT45" s="35">
        <v>41</v>
      </c>
      <c r="BU45" s="35">
        <v>11</v>
      </c>
      <c r="BV45" s="35">
        <v>32</v>
      </c>
      <c r="BW45" s="35">
        <v>0.85274813368544911</v>
      </c>
    </row>
    <row r="46" spans="1:75">
      <c r="A46" s="13">
        <v>43</v>
      </c>
      <c r="B46" s="13">
        <v>99</v>
      </c>
      <c r="C46" s="17">
        <v>90.597317930000003</v>
      </c>
      <c r="D46" s="13"/>
      <c r="E46" s="36">
        <v>13.9674533592964</v>
      </c>
      <c r="F46" s="36">
        <v>0.50588235294117601</v>
      </c>
      <c r="G46" s="36"/>
      <c r="H46" s="13"/>
      <c r="I46" s="13"/>
      <c r="J46" s="13"/>
      <c r="K46" s="13"/>
      <c r="L46" s="13"/>
      <c r="M46" s="13">
        <f t="shared" si="4"/>
        <v>-8.4875576464646389</v>
      </c>
      <c r="N46" s="13"/>
      <c r="O46" s="13">
        <v>43</v>
      </c>
      <c r="P46" s="13">
        <v>99</v>
      </c>
      <c r="Q46" s="17">
        <v>92.408718320000006</v>
      </c>
      <c r="R46" s="13"/>
      <c r="S46" s="36">
        <v>10.8182714095477</v>
      </c>
      <c r="T46" s="36">
        <v>0.56323529411764695</v>
      </c>
      <c r="U46" s="36"/>
      <c r="V46" s="13"/>
      <c r="W46" s="13"/>
      <c r="X46" s="13"/>
      <c r="Y46" s="13"/>
      <c r="Z46" s="13"/>
      <c r="AA46" s="13">
        <f t="shared" si="1"/>
        <v>-6.6578602828282758</v>
      </c>
      <c r="AB46" s="26">
        <v>0.29510569440874601</v>
      </c>
      <c r="AC46" s="34">
        <v>1171</v>
      </c>
      <c r="AD46" s="34">
        <v>134</v>
      </c>
      <c r="AE46" s="34">
        <v>40</v>
      </c>
      <c r="AF46" s="34">
        <v>10</v>
      </c>
      <c r="AG46" s="34">
        <v>0.43248528206275094</v>
      </c>
      <c r="AI46" s="35">
        <v>43</v>
      </c>
      <c r="AJ46" s="35">
        <v>99</v>
      </c>
      <c r="AK46" s="17">
        <v>98.766873810000007</v>
      </c>
      <c r="AM46" s="35">
        <v>9.05110552763818</v>
      </c>
      <c r="AN46" s="35">
        <v>0.88382352941176401</v>
      </c>
      <c r="AV46" s="13">
        <f t="shared" si="2"/>
        <v>-0.23548099999999295</v>
      </c>
      <c r="AW46" s="35">
        <v>0.17962679312864099</v>
      </c>
      <c r="AX46" s="35">
        <v>1501</v>
      </c>
      <c r="AY46" s="35">
        <v>57</v>
      </c>
      <c r="AZ46" s="35">
        <v>31</v>
      </c>
      <c r="BA46" s="35">
        <v>43</v>
      </c>
      <c r="BB46" s="35">
        <v>0.6753154681775253</v>
      </c>
      <c r="BD46" s="35">
        <v>43</v>
      </c>
      <c r="BE46" s="35">
        <v>99</v>
      </c>
      <c r="BF46" s="17">
        <v>98.134810619999996</v>
      </c>
      <c r="BH46" s="35">
        <v>9.2933749999999993</v>
      </c>
      <c r="BI46" s="35">
        <v>0.80147058823529405</v>
      </c>
      <c r="BQ46" s="13">
        <f t="shared" si="3"/>
        <v>-0.87392866666666791</v>
      </c>
      <c r="BR46" s="35">
        <v>0.13725628882118501</v>
      </c>
      <c r="BS46" s="35">
        <v>597</v>
      </c>
      <c r="BT46" s="35">
        <v>23</v>
      </c>
      <c r="BU46" s="35">
        <v>48</v>
      </c>
      <c r="BV46" s="35">
        <v>11</v>
      </c>
      <c r="BW46" s="35">
        <v>0.6166986930414522</v>
      </c>
    </row>
    <row r="47" spans="1:75">
      <c r="A47" s="13">
        <v>44</v>
      </c>
      <c r="B47" s="13">
        <v>55</v>
      </c>
      <c r="C47" s="17">
        <v>78.784548000000001</v>
      </c>
      <c r="D47" s="13"/>
      <c r="E47" s="36">
        <v>14.366523455276299</v>
      </c>
      <c r="F47" s="36">
        <v>0.51911764705882302</v>
      </c>
      <c r="G47" s="36"/>
      <c r="H47" s="13"/>
      <c r="I47" s="13"/>
      <c r="J47" s="13"/>
      <c r="K47" s="13"/>
      <c r="L47" s="13"/>
      <c r="M47" s="13">
        <f t="shared" si="4"/>
        <v>43.244632727272723</v>
      </c>
      <c r="N47" s="13"/>
      <c r="O47" s="13">
        <v>44</v>
      </c>
      <c r="P47" s="13">
        <v>55</v>
      </c>
      <c r="Q47" s="17">
        <v>68.236387530000002</v>
      </c>
      <c r="R47" s="13"/>
      <c r="S47" s="36">
        <v>11.1273648783919</v>
      </c>
      <c r="T47" s="36">
        <v>0.57647058823529396</v>
      </c>
      <c r="U47" s="36"/>
      <c r="V47" s="13"/>
      <c r="W47" s="13"/>
      <c r="X47" s="13"/>
      <c r="Y47" s="13"/>
      <c r="Z47" s="13"/>
      <c r="AA47" s="13">
        <f t="shared" si="1"/>
        <v>24.066159145454556</v>
      </c>
      <c r="AB47" s="26">
        <v>0.29510569440874601</v>
      </c>
      <c r="AC47" s="34">
        <v>1190</v>
      </c>
      <c r="AD47" s="34">
        <v>48</v>
      </c>
      <c r="AE47" s="34">
        <v>30</v>
      </c>
      <c r="AF47" s="34">
        <v>38</v>
      </c>
      <c r="AG47" s="34">
        <v>0.59249387451566238</v>
      </c>
      <c r="AI47" s="35">
        <v>44</v>
      </c>
      <c r="AJ47" s="35">
        <v>55</v>
      </c>
      <c r="AK47" s="17">
        <v>55.240119049999997</v>
      </c>
      <c r="AM47" s="35">
        <v>9.30970854271356</v>
      </c>
      <c r="AN47" s="35">
        <v>0.88529411764705801</v>
      </c>
      <c r="AV47" s="13">
        <f t="shared" si="2"/>
        <v>0.43658009090907779</v>
      </c>
      <c r="AW47" s="35">
        <v>0.17787919357522899</v>
      </c>
      <c r="AX47" s="35">
        <v>1050</v>
      </c>
      <c r="AY47" s="35">
        <v>37</v>
      </c>
      <c r="AZ47" s="35">
        <v>11</v>
      </c>
      <c r="BA47" s="35">
        <v>15</v>
      </c>
      <c r="BB47" s="35">
        <v>0.19771278014008578</v>
      </c>
      <c r="BD47" s="35">
        <v>44</v>
      </c>
      <c r="BE47" s="35">
        <v>55</v>
      </c>
      <c r="BF47" s="17">
        <v>57.401224540000001</v>
      </c>
      <c r="BH47" s="35">
        <v>9.5588999999999906</v>
      </c>
      <c r="BI47" s="35">
        <v>0.80882352941176405</v>
      </c>
      <c r="BQ47" s="13">
        <f t="shared" si="3"/>
        <v>4.3658627999999977</v>
      </c>
      <c r="BR47" s="35">
        <v>0.13495700016668799</v>
      </c>
      <c r="BS47" s="35">
        <v>1139</v>
      </c>
      <c r="BT47" s="35">
        <v>152</v>
      </c>
      <c r="BU47" s="35">
        <v>2</v>
      </c>
      <c r="BV47" s="35">
        <v>2</v>
      </c>
      <c r="BW47" s="35">
        <v>0.57614767358111274</v>
      </c>
    </row>
    <row r="48" spans="1:75">
      <c r="A48" s="13">
        <v>45</v>
      </c>
      <c r="B48" s="13">
        <v>71</v>
      </c>
      <c r="C48" s="17">
        <v>74.10354581</v>
      </c>
      <c r="D48" s="13"/>
      <c r="E48" s="36">
        <v>14.765593551256201</v>
      </c>
      <c r="F48" s="36">
        <v>0.52647058823529402</v>
      </c>
      <c r="G48" s="36"/>
      <c r="H48" s="13"/>
      <c r="I48" s="13"/>
      <c r="J48" s="13"/>
      <c r="K48" s="13"/>
      <c r="L48" s="13"/>
      <c r="M48" s="13">
        <f t="shared" si="4"/>
        <v>4.3711912816901455</v>
      </c>
      <c r="N48" s="13"/>
      <c r="O48" s="13">
        <v>45</v>
      </c>
      <c r="P48" s="13">
        <v>71</v>
      </c>
      <c r="Q48" s="17">
        <v>63.689953469999999</v>
      </c>
      <c r="R48" s="13"/>
      <c r="S48" s="36">
        <v>11.436458347236099</v>
      </c>
      <c r="T48" s="36">
        <v>0.58823529411764697</v>
      </c>
      <c r="U48" s="36"/>
      <c r="V48" s="13"/>
      <c r="W48" s="13"/>
      <c r="X48" s="13"/>
      <c r="Y48" s="13"/>
      <c r="Z48" s="13"/>
      <c r="AA48" s="13">
        <f t="shared" si="1"/>
        <v>-10.295840183098592</v>
      </c>
      <c r="AB48" s="26">
        <v>0.29510569440874601</v>
      </c>
      <c r="AC48" s="34">
        <v>1430</v>
      </c>
      <c r="AD48" s="34">
        <v>21</v>
      </c>
      <c r="AE48" s="34">
        <v>28</v>
      </c>
      <c r="AF48" s="34">
        <v>18</v>
      </c>
      <c r="AG48" s="34">
        <v>0.80467167668926376</v>
      </c>
      <c r="AI48" s="35">
        <v>45</v>
      </c>
      <c r="AJ48" s="35">
        <v>71</v>
      </c>
      <c r="AK48" s="17">
        <v>70.696806370000004</v>
      </c>
      <c r="AM48" s="35">
        <v>9.5683115577889399</v>
      </c>
      <c r="AN48" s="35">
        <v>0.88676470588235201</v>
      </c>
      <c r="AV48" s="13">
        <f t="shared" si="2"/>
        <v>-0.42703328169013677</v>
      </c>
      <c r="AW48" s="35">
        <v>0.17787919357522899</v>
      </c>
      <c r="AX48" s="35">
        <v>1686</v>
      </c>
      <c r="AY48" s="35">
        <v>124</v>
      </c>
      <c r="AZ48" s="35">
        <v>32</v>
      </c>
      <c r="BA48" s="35">
        <v>42</v>
      </c>
      <c r="BB48" s="35">
        <v>0.3646524383106442</v>
      </c>
      <c r="BD48" s="35">
        <v>45</v>
      </c>
      <c r="BE48" s="35">
        <v>71</v>
      </c>
      <c r="BF48" s="17">
        <v>68.718618969999994</v>
      </c>
      <c r="BH48" s="35">
        <v>9.8244249999999909</v>
      </c>
      <c r="BI48" s="35">
        <v>0.81764705882352895</v>
      </c>
      <c r="BQ48" s="13">
        <f t="shared" si="3"/>
        <v>-3.2132127183098658</v>
      </c>
      <c r="BR48" s="35">
        <v>0.13495700016668799</v>
      </c>
      <c r="BS48" s="35">
        <v>1817</v>
      </c>
      <c r="BT48" s="35">
        <v>7</v>
      </c>
      <c r="BU48" s="35">
        <v>7</v>
      </c>
      <c r="BV48" s="35">
        <v>39</v>
      </c>
      <c r="BW48" s="35">
        <v>0.4484988233400381</v>
      </c>
    </row>
    <row r="49" spans="1:75">
      <c r="A49" s="13">
        <v>46</v>
      </c>
      <c r="B49" s="13">
        <v>121</v>
      </c>
      <c r="C49" s="17">
        <v>111.0349373</v>
      </c>
      <c r="D49" s="13"/>
      <c r="E49" s="36">
        <v>15.1646636472361</v>
      </c>
      <c r="F49" s="36">
        <v>0.53970588235294104</v>
      </c>
      <c r="G49" s="36"/>
      <c r="H49" s="13"/>
      <c r="I49" s="13"/>
      <c r="J49" s="13"/>
      <c r="K49" s="13"/>
      <c r="L49" s="13"/>
      <c r="M49" s="13">
        <f t="shared" si="4"/>
        <v>-8.2355890082644656</v>
      </c>
      <c r="N49" s="13"/>
      <c r="O49" s="13">
        <v>46</v>
      </c>
      <c r="P49" s="13">
        <v>121</v>
      </c>
      <c r="Q49" s="17">
        <v>112.5096729</v>
      </c>
      <c r="R49" s="13"/>
      <c r="S49" s="36">
        <v>11.7455518160804</v>
      </c>
      <c r="T49" s="36">
        <v>0.59558823529411697</v>
      </c>
      <c r="U49" s="36"/>
      <c r="V49" s="13"/>
      <c r="W49" s="13"/>
      <c r="X49" s="13"/>
      <c r="Y49" s="13"/>
      <c r="Z49" s="13"/>
      <c r="AA49" s="13">
        <f t="shared" si="1"/>
        <v>-7.0167992561983468</v>
      </c>
      <c r="AB49" s="26">
        <v>0.29103921681320499</v>
      </c>
      <c r="AC49" s="34">
        <v>169</v>
      </c>
      <c r="AD49" s="34">
        <v>113</v>
      </c>
      <c r="AE49" s="34">
        <v>25</v>
      </c>
      <c r="AF49" s="34">
        <v>48</v>
      </c>
      <c r="AG49" s="34">
        <v>0.15084647651799274</v>
      </c>
      <c r="AI49" s="35">
        <v>46</v>
      </c>
      <c r="AJ49" s="35">
        <v>121</v>
      </c>
      <c r="AK49" s="17">
        <v>120.9302242</v>
      </c>
      <c r="AM49" s="35">
        <v>9.8269145728643092</v>
      </c>
      <c r="AN49" s="35">
        <v>0.88823529411764701</v>
      </c>
      <c r="AV49" s="13">
        <f t="shared" si="2"/>
        <v>-5.7665950413221534E-2</v>
      </c>
      <c r="AW49" s="35">
        <v>0.17787919357522899</v>
      </c>
      <c r="AX49" s="35">
        <v>1787</v>
      </c>
      <c r="AY49" s="35">
        <v>199</v>
      </c>
      <c r="AZ49" s="35">
        <v>5</v>
      </c>
      <c r="BA49" s="35">
        <v>8</v>
      </c>
      <c r="BB49" s="35">
        <v>0.45246395307115306</v>
      </c>
      <c r="BD49" s="35">
        <v>46</v>
      </c>
      <c r="BE49" s="35">
        <v>121</v>
      </c>
      <c r="BF49" s="17">
        <v>119.9183156</v>
      </c>
      <c r="BH49" s="35">
        <v>10.0899499999999</v>
      </c>
      <c r="BI49" s="35">
        <v>0.82941176470588196</v>
      </c>
      <c r="BQ49" s="13">
        <f t="shared" si="3"/>
        <v>-0.89395404958677593</v>
      </c>
      <c r="BR49" s="35">
        <v>0.13495700016668799</v>
      </c>
      <c r="BS49" s="35">
        <v>1201</v>
      </c>
      <c r="BT49" s="35">
        <v>169</v>
      </c>
      <c r="BU49" s="35">
        <v>28</v>
      </c>
      <c r="BV49" s="35">
        <v>42</v>
      </c>
      <c r="BW49" s="35">
        <v>0.78728394144920477</v>
      </c>
    </row>
    <row r="50" spans="1:75">
      <c r="A50" s="13">
        <v>47</v>
      </c>
      <c r="B50" s="13">
        <v>3</v>
      </c>
      <c r="C50" s="17">
        <v>3.29053903376245</v>
      </c>
      <c r="D50" s="13"/>
      <c r="E50" s="36">
        <v>15.563733743216</v>
      </c>
      <c r="F50" s="36">
        <v>0.55000000000000004</v>
      </c>
      <c r="G50" s="36"/>
      <c r="H50" s="13"/>
      <c r="I50" s="13"/>
      <c r="J50" s="13"/>
      <c r="K50" s="13"/>
      <c r="L50" s="13"/>
      <c r="M50" s="13">
        <f t="shared" si="4"/>
        <v>9.6846344587483415</v>
      </c>
      <c r="N50" s="13"/>
      <c r="O50" s="13">
        <v>47</v>
      </c>
      <c r="P50" s="13">
        <v>3</v>
      </c>
      <c r="Q50" s="17">
        <v>1.99250944046349</v>
      </c>
      <c r="R50" s="13"/>
      <c r="S50" s="36">
        <v>12.0546452849246</v>
      </c>
      <c r="T50" s="36">
        <v>0.60294117647058798</v>
      </c>
      <c r="U50" s="36"/>
      <c r="V50" s="13"/>
      <c r="W50" s="13"/>
      <c r="X50" s="13"/>
      <c r="Y50" s="13"/>
      <c r="Z50" s="13"/>
      <c r="AA50" s="13">
        <f t="shared" si="1"/>
        <v>-33.583018651217003</v>
      </c>
      <c r="AB50" s="26">
        <v>0.29103921681320499</v>
      </c>
      <c r="AC50" s="34">
        <v>1747</v>
      </c>
      <c r="AD50" s="34">
        <v>70</v>
      </c>
      <c r="AE50" s="34">
        <v>45</v>
      </c>
      <c r="AF50" s="34">
        <v>14</v>
      </c>
      <c r="AG50" s="34">
        <v>0.88504116674751887</v>
      </c>
      <c r="AI50" s="35">
        <v>47</v>
      </c>
      <c r="AJ50" s="35">
        <v>3</v>
      </c>
      <c r="AK50" s="17">
        <v>3.4031071430000002</v>
      </c>
      <c r="AM50" s="35">
        <v>10.0855175879396</v>
      </c>
      <c r="AN50" s="35">
        <v>0.88970588235294101</v>
      </c>
      <c r="AV50" s="13">
        <f t="shared" si="2"/>
        <v>13.436904766666679</v>
      </c>
      <c r="AW50" s="35">
        <v>0.17787919357522899</v>
      </c>
      <c r="AX50" s="35">
        <v>1779</v>
      </c>
      <c r="AY50" s="35">
        <v>94</v>
      </c>
      <c r="AZ50" s="35">
        <v>25</v>
      </c>
      <c r="BA50" s="35">
        <v>21</v>
      </c>
      <c r="BB50" s="35">
        <v>0.49246761125730787</v>
      </c>
      <c r="BD50" s="35">
        <v>47</v>
      </c>
      <c r="BE50" s="35">
        <v>3</v>
      </c>
      <c r="BF50" s="17">
        <v>3.9505451301196302</v>
      </c>
      <c r="BH50" s="35">
        <v>10.355474999999901</v>
      </c>
      <c r="BI50" s="35">
        <v>0.83823529411764697</v>
      </c>
      <c r="BQ50" s="13">
        <f t="shared" si="3"/>
        <v>31.684837670654332</v>
      </c>
      <c r="BR50" s="35">
        <v>0.13495700016668799</v>
      </c>
      <c r="BS50" s="35">
        <v>1388</v>
      </c>
      <c r="BT50" s="35">
        <v>196</v>
      </c>
      <c r="BU50" s="35">
        <v>2</v>
      </c>
      <c r="BV50" s="35">
        <v>7</v>
      </c>
      <c r="BW50" s="35">
        <v>0.33103141560514182</v>
      </c>
    </row>
    <row r="51" spans="1:75">
      <c r="A51" s="13">
        <v>48</v>
      </c>
      <c r="B51" s="13">
        <v>188</v>
      </c>
      <c r="C51" s="17">
        <v>166.68295760000001</v>
      </c>
      <c r="D51" s="13"/>
      <c r="E51" s="36">
        <v>15.9628038391959</v>
      </c>
      <c r="F51" s="36">
        <v>0.56029411764705805</v>
      </c>
      <c r="G51" s="36"/>
      <c r="H51" s="13"/>
      <c r="I51" s="13"/>
      <c r="J51" s="13"/>
      <c r="K51" s="13"/>
      <c r="L51" s="13"/>
      <c r="M51" s="13">
        <f t="shared" si="4"/>
        <v>-11.338852340425532</v>
      </c>
      <c r="N51" s="13"/>
      <c r="O51" s="13">
        <v>48</v>
      </c>
      <c r="P51" s="13">
        <v>188</v>
      </c>
      <c r="Q51" s="17">
        <v>178.3264106</v>
      </c>
      <c r="R51" s="13"/>
      <c r="S51" s="36">
        <v>12.3637387537688</v>
      </c>
      <c r="T51" s="36">
        <v>0.61323529411764699</v>
      </c>
      <c r="U51" s="36"/>
      <c r="V51" s="13"/>
      <c r="W51" s="13"/>
      <c r="X51" s="13"/>
      <c r="Y51" s="13"/>
      <c r="Z51" s="13"/>
      <c r="AA51" s="13">
        <f t="shared" si="1"/>
        <v>-5.1455262765957466</v>
      </c>
      <c r="AB51" s="26">
        <v>0.29103921681320499</v>
      </c>
      <c r="AC51" s="34">
        <v>1735</v>
      </c>
      <c r="AD51" s="34">
        <v>38</v>
      </c>
      <c r="AE51" s="34">
        <v>30</v>
      </c>
      <c r="AF51" s="34">
        <v>2</v>
      </c>
      <c r="AG51" s="34">
        <v>0.29776196287462509</v>
      </c>
      <c r="AI51" s="35">
        <v>48</v>
      </c>
      <c r="AJ51" s="35">
        <v>188</v>
      </c>
      <c r="AK51" s="17">
        <v>187.66447489999999</v>
      </c>
      <c r="AM51" s="35">
        <v>10.344120603015</v>
      </c>
      <c r="AN51" s="35">
        <v>0.88970588235294101</v>
      </c>
      <c r="AV51" s="13">
        <f t="shared" si="2"/>
        <v>-0.17847079787234321</v>
      </c>
      <c r="AW51" s="35">
        <v>0.17787919357522899</v>
      </c>
      <c r="AX51" s="35">
        <v>208</v>
      </c>
      <c r="AY51" s="35">
        <v>82</v>
      </c>
      <c r="AZ51" s="35">
        <v>39</v>
      </c>
      <c r="BA51" s="35">
        <v>10</v>
      </c>
      <c r="BB51" s="35">
        <v>0.99525400482540161</v>
      </c>
      <c r="BD51" s="35">
        <v>48</v>
      </c>
      <c r="BE51" s="35">
        <v>188</v>
      </c>
      <c r="BF51" s="17">
        <v>186.8177973</v>
      </c>
      <c r="BH51" s="35">
        <v>10.620999999999899</v>
      </c>
      <c r="BI51" s="35">
        <v>0.83970588235294097</v>
      </c>
      <c r="BQ51" s="13">
        <f t="shared" si="3"/>
        <v>-0.62883122340425812</v>
      </c>
      <c r="BR51" s="35">
        <v>0.13495700016668799</v>
      </c>
      <c r="BS51" s="35">
        <v>207</v>
      </c>
      <c r="BT51" s="35">
        <v>88</v>
      </c>
      <c r="BU51" s="35">
        <v>35</v>
      </c>
      <c r="BV51" s="35">
        <v>24</v>
      </c>
      <c r="BW51" s="35">
        <v>0.93743614301236344</v>
      </c>
    </row>
    <row r="52" spans="1:75">
      <c r="A52" s="13">
        <v>49</v>
      </c>
      <c r="B52" s="13">
        <v>8</v>
      </c>
      <c r="C52" s="17">
        <v>8.1342720191400293</v>
      </c>
      <c r="D52" s="13"/>
      <c r="E52" s="36">
        <v>16.361873935175801</v>
      </c>
      <c r="F52" s="36">
        <v>0.57647058823529396</v>
      </c>
      <c r="G52" s="36"/>
      <c r="H52" s="13"/>
      <c r="I52" s="13"/>
      <c r="J52" s="13"/>
      <c r="K52" s="13"/>
      <c r="L52" s="13"/>
      <c r="M52" s="13">
        <f t="shared" si="4"/>
        <v>1.6784002392503661</v>
      </c>
      <c r="N52" s="13"/>
      <c r="O52" s="13">
        <v>49</v>
      </c>
      <c r="P52" s="13">
        <v>8</v>
      </c>
      <c r="Q52" s="17">
        <v>7.7179586175924797</v>
      </c>
      <c r="R52" s="13"/>
      <c r="S52" s="36">
        <v>12.672832222613</v>
      </c>
      <c r="T52" s="36">
        <v>0.626470588235294</v>
      </c>
      <c r="U52" s="36"/>
      <c r="V52" s="13"/>
      <c r="W52" s="13"/>
      <c r="X52" s="13"/>
      <c r="Y52" s="13"/>
      <c r="Z52" s="13"/>
      <c r="AA52" s="13">
        <f t="shared" si="1"/>
        <v>-3.5255172800940038</v>
      </c>
      <c r="AB52" s="26">
        <v>0.29103921681320499</v>
      </c>
      <c r="AC52" s="34">
        <v>828</v>
      </c>
      <c r="AD52" s="34">
        <v>102</v>
      </c>
      <c r="AE52" s="34">
        <v>43</v>
      </c>
      <c r="AF52" s="34">
        <v>37</v>
      </c>
      <c r="AG52" s="34">
        <v>0.80099645066160563</v>
      </c>
      <c r="AI52" s="35">
        <v>49</v>
      </c>
      <c r="AJ52" s="35">
        <v>8</v>
      </c>
      <c r="AK52" s="17">
        <v>8.2667755760000006</v>
      </c>
      <c r="AM52" s="35">
        <v>10.602723618090399</v>
      </c>
      <c r="AN52" s="35">
        <v>0.89117647058823501</v>
      </c>
      <c r="AV52" s="13">
        <f t="shared" si="2"/>
        <v>3.3346947000000071</v>
      </c>
      <c r="AW52" s="35">
        <v>0.17787919357522899</v>
      </c>
      <c r="AX52" s="35">
        <v>871</v>
      </c>
      <c r="AY52" s="35">
        <v>162</v>
      </c>
      <c r="AZ52" s="35">
        <v>6</v>
      </c>
      <c r="BA52" s="35">
        <v>48</v>
      </c>
      <c r="BB52" s="35">
        <v>0.85946049391341861</v>
      </c>
      <c r="BD52" s="35">
        <v>49</v>
      </c>
      <c r="BE52" s="35">
        <v>8</v>
      </c>
      <c r="BF52" s="17">
        <v>7.5744985997757404</v>
      </c>
      <c r="BH52" s="35">
        <v>10.886524999999899</v>
      </c>
      <c r="BI52" s="35">
        <v>0.84264705882352897</v>
      </c>
      <c r="BQ52" s="13">
        <f t="shared" si="3"/>
        <v>-5.3187675028032455</v>
      </c>
      <c r="BR52" s="35">
        <v>0.13495700016668799</v>
      </c>
      <c r="BS52" s="35">
        <v>435</v>
      </c>
      <c r="BT52" s="35">
        <v>71</v>
      </c>
      <c r="BU52" s="35">
        <v>20</v>
      </c>
      <c r="BV52" s="35">
        <v>44</v>
      </c>
      <c r="BW52" s="35">
        <v>0.20519371225643002</v>
      </c>
    </row>
    <row r="53" spans="1:75">
      <c r="A53" s="13">
        <v>50</v>
      </c>
      <c r="B53" s="13">
        <v>199</v>
      </c>
      <c r="C53" s="17">
        <v>159.09794819999999</v>
      </c>
      <c r="D53" s="13"/>
      <c r="E53" s="36">
        <v>16.760944031155699</v>
      </c>
      <c r="F53" s="36">
        <v>0.58676470588235297</v>
      </c>
      <c r="G53" s="36"/>
      <c r="H53" s="13"/>
      <c r="I53" s="13"/>
      <c r="J53" s="13"/>
      <c r="K53" s="13"/>
      <c r="L53" s="13"/>
      <c r="M53" s="13">
        <f t="shared" si="4"/>
        <v>-20.051282311557795</v>
      </c>
      <c r="N53" s="13"/>
      <c r="O53" s="13">
        <v>50</v>
      </c>
      <c r="P53" s="13">
        <v>199</v>
      </c>
      <c r="Q53" s="17">
        <v>176.5766959</v>
      </c>
      <c r="R53" s="13"/>
      <c r="S53" s="36">
        <v>12.981925691457199</v>
      </c>
      <c r="T53" s="36">
        <v>0.63235294117647001</v>
      </c>
      <c r="U53" s="36"/>
      <c r="V53" s="13"/>
      <c r="W53" s="13"/>
      <c r="X53" s="13"/>
      <c r="Y53" s="13"/>
      <c r="Z53" s="13"/>
      <c r="AA53" s="13">
        <f t="shared" si="1"/>
        <v>-11.267992010050254</v>
      </c>
      <c r="AB53" s="26">
        <v>0.29103921681320499</v>
      </c>
      <c r="AC53" s="34">
        <v>1304</v>
      </c>
      <c r="AD53" s="34">
        <v>97</v>
      </c>
      <c r="AE53" s="34">
        <v>43</v>
      </c>
      <c r="AF53" s="34">
        <v>2</v>
      </c>
      <c r="AG53" s="34">
        <v>0.52263714415244167</v>
      </c>
      <c r="AI53" s="35">
        <v>50</v>
      </c>
      <c r="AJ53" s="35">
        <v>199</v>
      </c>
      <c r="AK53" s="17">
        <v>194.7535063</v>
      </c>
      <c r="AM53" s="35">
        <v>10.861326633165801</v>
      </c>
      <c r="AN53" s="35">
        <v>0.89264705882352902</v>
      </c>
      <c r="AV53" s="13">
        <f t="shared" si="2"/>
        <v>-2.1339164321608095</v>
      </c>
      <c r="AW53" s="35">
        <v>0.17102684983803501</v>
      </c>
      <c r="AX53" s="35">
        <v>913</v>
      </c>
      <c r="AY53" s="35">
        <v>46</v>
      </c>
      <c r="AZ53" s="35">
        <v>27</v>
      </c>
      <c r="BA53" s="35">
        <v>28</v>
      </c>
      <c r="BB53" s="35">
        <v>0.92492739442160821</v>
      </c>
      <c r="BD53" s="35">
        <v>50</v>
      </c>
      <c r="BE53" s="35">
        <v>199</v>
      </c>
      <c r="BF53" s="17">
        <v>182.6194509</v>
      </c>
      <c r="BH53" s="35">
        <v>11.1520499999999</v>
      </c>
      <c r="BI53" s="35">
        <v>0.85441176470588198</v>
      </c>
      <c r="BQ53" s="13">
        <f t="shared" si="3"/>
        <v>-8.2314317085427131</v>
      </c>
      <c r="BR53" s="35">
        <v>0.13495700016668799</v>
      </c>
      <c r="BS53" s="35">
        <v>1251</v>
      </c>
      <c r="BT53" s="35">
        <v>47</v>
      </c>
      <c r="BU53" s="35">
        <v>44</v>
      </c>
      <c r="BV53" s="35">
        <v>41</v>
      </c>
      <c r="BW53" s="35">
        <v>0.40115407621488086</v>
      </c>
    </row>
    <row r="54" spans="1:75">
      <c r="A54" s="13">
        <v>51</v>
      </c>
      <c r="B54" s="13">
        <v>146</v>
      </c>
      <c r="C54" s="17">
        <v>124.4320555</v>
      </c>
      <c r="D54" s="13"/>
      <c r="E54" s="36">
        <v>17.1600141271356</v>
      </c>
      <c r="F54" s="36">
        <v>0.59705882352941098</v>
      </c>
      <c r="G54" s="36"/>
      <c r="H54" s="13"/>
      <c r="I54" s="13"/>
      <c r="J54" s="13"/>
      <c r="K54" s="13"/>
      <c r="L54" s="13"/>
      <c r="M54" s="13">
        <f t="shared" si="4"/>
        <v>-14.772564726027394</v>
      </c>
      <c r="N54" s="13"/>
      <c r="O54" s="13">
        <v>51</v>
      </c>
      <c r="P54" s="13">
        <v>146</v>
      </c>
      <c r="Q54" s="17">
        <v>132.80766840000001</v>
      </c>
      <c r="R54" s="13"/>
      <c r="S54" s="36">
        <v>13.2910191603015</v>
      </c>
      <c r="T54" s="36">
        <v>0.64558823529411702</v>
      </c>
      <c r="U54" s="36"/>
      <c r="V54" s="13"/>
      <c r="W54" s="13"/>
      <c r="X54" s="13"/>
      <c r="Y54" s="13"/>
      <c r="Z54" s="13"/>
      <c r="AA54" s="13">
        <f t="shared" si="1"/>
        <v>-9.03584356164383</v>
      </c>
      <c r="AB54" s="26">
        <v>0.29103921681320499</v>
      </c>
      <c r="AC54" s="34">
        <v>1986</v>
      </c>
      <c r="AD54" s="34">
        <v>44</v>
      </c>
      <c r="AE54" s="34">
        <v>23</v>
      </c>
      <c r="AF54" s="34">
        <v>13</v>
      </c>
      <c r="AG54" s="34">
        <v>0.75962061149701154</v>
      </c>
      <c r="AI54" s="35">
        <v>51</v>
      </c>
      <c r="AJ54" s="35">
        <v>146</v>
      </c>
      <c r="AK54" s="17">
        <v>145.6487846</v>
      </c>
      <c r="AM54" s="35">
        <v>11.1199296482412</v>
      </c>
      <c r="AN54" s="35">
        <v>0.89264705882352902</v>
      </c>
      <c r="AV54" s="13">
        <f t="shared" si="2"/>
        <v>-0.24055849315068878</v>
      </c>
      <c r="AW54" s="35">
        <v>0.17102684983803501</v>
      </c>
      <c r="AX54" s="35">
        <v>653</v>
      </c>
      <c r="AY54" s="35">
        <v>67</v>
      </c>
      <c r="AZ54" s="35">
        <v>8</v>
      </c>
      <c r="BA54" s="35">
        <v>15</v>
      </c>
      <c r="BB54" s="35">
        <v>0.76274508986887779</v>
      </c>
      <c r="BD54" s="35">
        <v>51</v>
      </c>
      <c r="BE54" s="35">
        <v>146</v>
      </c>
      <c r="BF54" s="17">
        <v>142.78537420000001</v>
      </c>
      <c r="BH54" s="35">
        <v>11.4175749999999</v>
      </c>
      <c r="BI54" s="35">
        <v>0.86176470588235299</v>
      </c>
      <c r="BQ54" s="13">
        <f t="shared" si="3"/>
        <v>-2.2017984931506751</v>
      </c>
      <c r="BR54" s="35">
        <v>0.13495700016668799</v>
      </c>
      <c r="BS54" s="35">
        <v>773</v>
      </c>
      <c r="BT54" s="35">
        <v>73</v>
      </c>
      <c r="BU54" s="35">
        <v>50</v>
      </c>
      <c r="BV54" s="35">
        <v>23</v>
      </c>
      <c r="BW54" s="35">
        <v>0.9159671227680759</v>
      </c>
    </row>
    <row r="55" spans="1:75">
      <c r="A55" s="13">
        <v>52</v>
      </c>
      <c r="B55" s="13">
        <v>140</v>
      </c>
      <c r="C55" s="17">
        <v>137.46703400000001</v>
      </c>
      <c r="D55" s="13"/>
      <c r="E55" s="36">
        <v>17.559084223115502</v>
      </c>
      <c r="F55" s="36">
        <v>0.60735294117646998</v>
      </c>
      <c r="G55" s="36"/>
      <c r="H55" s="13"/>
      <c r="I55" s="13"/>
      <c r="J55" s="13"/>
      <c r="K55" s="13"/>
      <c r="L55" s="13"/>
      <c r="M55" s="13">
        <f t="shared" si="4"/>
        <v>-1.8092614285714181</v>
      </c>
      <c r="N55" s="13"/>
      <c r="O55" s="13">
        <v>52</v>
      </c>
      <c r="P55" s="13">
        <v>140</v>
      </c>
      <c r="Q55" s="17">
        <v>143.38703319999999</v>
      </c>
      <c r="R55" s="13"/>
      <c r="S55" s="36">
        <v>13.6001126291457</v>
      </c>
      <c r="T55" s="36">
        <v>0.64852941176470502</v>
      </c>
      <c r="U55" s="36"/>
      <c r="V55" s="13"/>
      <c r="W55" s="13"/>
      <c r="X55" s="13"/>
      <c r="Y55" s="13"/>
      <c r="Z55" s="13"/>
      <c r="AA55" s="13">
        <f t="shared" si="1"/>
        <v>2.4193094285714256</v>
      </c>
      <c r="AB55" s="26">
        <v>0.29103921681320499</v>
      </c>
      <c r="AC55" s="34">
        <v>403</v>
      </c>
      <c r="AD55" s="34">
        <v>14</v>
      </c>
      <c r="AE55" s="34">
        <v>11</v>
      </c>
      <c r="AF55" s="34">
        <v>33</v>
      </c>
      <c r="AG55" s="34">
        <v>0.9817021209240715</v>
      </c>
      <c r="AI55" s="35">
        <v>52</v>
      </c>
      <c r="AJ55" s="35">
        <v>140</v>
      </c>
      <c r="AK55" s="17">
        <v>140.3156822</v>
      </c>
      <c r="AM55" s="35">
        <v>11.3785326633165</v>
      </c>
      <c r="AN55" s="35">
        <v>0.89264705882352902</v>
      </c>
      <c r="AV55" s="13">
        <f t="shared" si="2"/>
        <v>0.22548728571427645</v>
      </c>
      <c r="AW55" s="35">
        <v>0.17102684983803501</v>
      </c>
      <c r="AX55" s="35">
        <v>1726</v>
      </c>
      <c r="AY55" s="35">
        <v>69</v>
      </c>
      <c r="AZ55" s="35">
        <v>40</v>
      </c>
      <c r="BA55" s="35">
        <v>15</v>
      </c>
      <c r="BB55" s="35">
        <v>0.72769603726794019</v>
      </c>
      <c r="BD55" s="35">
        <v>52</v>
      </c>
      <c r="BE55" s="35">
        <v>140</v>
      </c>
      <c r="BF55" s="17">
        <v>141.52868910000001</v>
      </c>
      <c r="BH55" s="35">
        <v>11.6830999999999</v>
      </c>
      <c r="BI55" s="35">
        <v>0.86617647058823499</v>
      </c>
      <c r="BQ55" s="13">
        <f t="shared" si="3"/>
        <v>1.0919207857142954</v>
      </c>
      <c r="BR55" s="35">
        <v>0.13495700016668799</v>
      </c>
      <c r="BS55" s="35">
        <v>679</v>
      </c>
      <c r="BT55" s="35">
        <v>143</v>
      </c>
      <c r="BU55" s="35">
        <v>37</v>
      </c>
      <c r="BV55" s="35">
        <v>8</v>
      </c>
      <c r="BW55" s="35">
        <v>0.29726571544796654</v>
      </c>
    </row>
    <row r="56" spans="1:75">
      <c r="A56" s="13">
        <v>53</v>
      </c>
      <c r="B56" s="13">
        <v>20</v>
      </c>
      <c r="C56" s="17">
        <v>16.664317924068801</v>
      </c>
      <c r="D56" s="13"/>
      <c r="E56" s="36">
        <v>17.958154319095399</v>
      </c>
      <c r="F56" s="36">
        <v>0.61323529411764699</v>
      </c>
      <c r="G56" s="36"/>
      <c r="H56" s="13"/>
      <c r="I56" s="13"/>
      <c r="J56" s="13"/>
      <c r="K56" s="13"/>
      <c r="L56" s="13"/>
      <c r="M56" s="13">
        <f t="shared" si="4"/>
        <v>-16.678410379655993</v>
      </c>
      <c r="N56" s="13"/>
      <c r="O56" s="13">
        <v>53</v>
      </c>
      <c r="P56" s="13">
        <v>20</v>
      </c>
      <c r="Q56" s="17">
        <v>19.128340083533299</v>
      </c>
      <c r="R56" s="13"/>
      <c r="S56" s="36">
        <v>13.9092060979899</v>
      </c>
      <c r="T56" s="36">
        <v>0.65588235294117603</v>
      </c>
      <c r="U56" s="36"/>
      <c r="V56" s="13"/>
      <c r="W56" s="13"/>
      <c r="X56" s="13"/>
      <c r="Y56" s="13"/>
      <c r="Z56" s="13"/>
      <c r="AA56" s="13">
        <f t="shared" si="1"/>
        <v>-4.3582995823335029</v>
      </c>
      <c r="AB56" s="26">
        <v>0.29103921681320499</v>
      </c>
      <c r="AC56" s="34">
        <v>319</v>
      </c>
      <c r="AD56" s="34">
        <v>166</v>
      </c>
      <c r="AE56" s="34">
        <v>2</v>
      </c>
      <c r="AF56" s="34">
        <v>24</v>
      </c>
      <c r="AG56" s="34">
        <v>0.97822008243048253</v>
      </c>
      <c r="AI56" s="35">
        <v>53</v>
      </c>
      <c r="AJ56" s="35">
        <v>20</v>
      </c>
      <c r="AK56" s="17">
        <v>20.319278860000001</v>
      </c>
      <c r="AM56" s="35">
        <v>11.6371356783919</v>
      </c>
      <c r="AN56" s="35">
        <v>0.89411764705882302</v>
      </c>
      <c r="AV56" s="13">
        <f t="shared" si="2"/>
        <v>1.5963943000000036</v>
      </c>
      <c r="AW56" s="35">
        <v>0.17102684983803501</v>
      </c>
      <c r="AX56" s="35">
        <v>62</v>
      </c>
      <c r="AY56" s="35">
        <v>74</v>
      </c>
      <c r="AZ56" s="35">
        <v>3</v>
      </c>
      <c r="BA56" s="35">
        <v>32</v>
      </c>
      <c r="BB56" s="35">
        <v>0.45368442044978907</v>
      </c>
      <c r="BD56" s="35">
        <v>53</v>
      </c>
      <c r="BE56" s="35">
        <v>20</v>
      </c>
      <c r="BF56" s="17">
        <v>22.729433029999999</v>
      </c>
      <c r="BH56" s="35">
        <v>11.9486249999999</v>
      </c>
      <c r="BI56" s="35">
        <v>0.870588235294117</v>
      </c>
      <c r="BQ56" s="13">
        <f t="shared" si="3"/>
        <v>13.647165149999996</v>
      </c>
      <c r="BR56" s="35">
        <v>0.134153777180607</v>
      </c>
      <c r="BS56" s="35">
        <v>520</v>
      </c>
      <c r="BT56" s="35">
        <v>86</v>
      </c>
      <c r="BU56" s="35">
        <v>19</v>
      </c>
      <c r="BV56" s="35">
        <v>4</v>
      </c>
      <c r="BW56" s="35">
        <v>0.47345369800908033</v>
      </c>
    </row>
    <row r="57" spans="1:75">
      <c r="A57" s="13">
        <v>54</v>
      </c>
      <c r="B57" s="13">
        <v>77</v>
      </c>
      <c r="C57" s="17">
        <v>75.909956609999995</v>
      </c>
      <c r="D57" s="13"/>
      <c r="E57" s="36">
        <v>18.357224415075301</v>
      </c>
      <c r="F57" s="36">
        <v>0.619117647058823</v>
      </c>
      <c r="G57" s="36"/>
      <c r="H57" s="13"/>
      <c r="I57" s="13"/>
      <c r="J57" s="13"/>
      <c r="K57" s="13"/>
      <c r="L57" s="13"/>
      <c r="M57" s="13">
        <f t="shared" si="4"/>
        <v>-1.4156407662337722</v>
      </c>
      <c r="N57" s="13"/>
      <c r="O57" s="13">
        <v>54</v>
      </c>
      <c r="P57" s="13">
        <v>77</v>
      </c>
      <c r="Q57" s="17">
        <v>69.334937240000002</v>
      </c>
      <c r="R57" s="13"/>
      <c r="S57" s="36">
        <v>14.2182995668341</v>
      </c>
      <c r="T57" s="36">
        <v>0.67794117647058805</v>
      </c>
      <c r="U57" s="36"/>
      <c r="V57" s="13"/>
      <c r="W57" s="13"/>
      <c r="X57" s="13"/>
      <c r="Y57" s="13"/>
      <c r="Z57" s="13"/>
      <c r="AA57" s="13">
        <f t="shared" si="1"/>
        <v>-9.9546269610389597</v>
      </c>
      <c r="AB57" s="26">
        <v>0.29103921681320499</v>
      </c>
      <c r="AC57" s="34">
        <v>884</v>
      </c>
      <c r="AD57" s="34">
        <v>30</v>
      </c>
      <c r="AE57" s="34">
        <v>15</v>
      </c>
      <c r="AF57" s="34">
        <v>27</v>
      </c>
      <c r="AG57" s="34">
        <v>0.5347893995777544</v>
      </c>
      <c r="AI57" s="35">
        <v>54</v>
      </c>
      <c r="AJ57" s="35">
        <v>77</v>
      </c>
      <c r="AK57" s="17">
        <v>76.044300719999995</v>
      </c>
      <c r="AM57" s="35">
        <v>11.895738693467299</v>
      </c>
      <c r="AN57" s="35">
        <v>0.89705882352941102</v>
      </c>
      <c r="AV57" s="13">
        <f t="shared" si="2"/>
        <v>-1.2411678961039008</v>
      </c>
      <c r="AW57" s="35">
        <v>0.17102684983803501</v>
      </c>
      <c r="AX57" s="35">
        <v>410</v>
      </c>
      <c r="AY57" s="35">
        <v>149</v>
      </c>
      <c r="AZ57" s="35">
        <v>27</v>
      </c>
      <c r="BA57" s="35">
        <v>12</v>
      </c>
      <c r="BB57" s="35">
        <v>0.31335831193947045</v>
      </c>
      <c r="BD57" s="35">
        <v>54</v>
      </c>
      <c r="BE57" s="35">
        <v>77</v>
      </c>
      <c r="BF57" s="17">
        <v>73.420033689999997</v>
      </c>
      <c r="BH57" s="35">
        <v>12.214149999999901</v>
      </c>
      <c r="BI57" s="35">
        <v>0.88088235294117601</v>
      </c>
      <c r="BQ57" s="13">
        <f t="shared" si="3"/>
        <v>-4.6493068961038997</v>
      </c>
      <c r="BR57" s="35">
        <v>0.134153777180607</v>
      </c>
      <c r="BS57" s="35">
        <v>753</v>
      </c>
      <c r="BT57" s="35">
        <v>40</v>
      </c>
      <c r="BU57" s="35">
        <v>3</v>
      </c>
      <c r="BV57" s="35">
        <v>4</v>
      </c>
      <c r="BW57" s="35">
        <v>0.45619103040352427</v>
      </c>
    </row>
    <row r="58" spans="1:75">
      <c r="A58" s="13">
        <v>55</v>
      </c>
      <c r="B58" s="13">
        <v>48</v>
      </c>
      <c r="C58" s="17">
        <v>75.189989650000001</v>
      </c>
      <c r="D58" s="13"/>
      <c r="E58" s="36">
        <v>18.756294511055199</v>
      </c>
      <c r="F58" s="36">
        <v>0.627941176470588</v>
      </c>
      <c r="G58" s="36"/>
      <c r="H58" s="13"/>
      <c r="I58" s="13"/>
      <c r="J58" s="13"/>
      <c r="K58" s="13"/>
      <c r="L58" s="13"/>
      <c r="M58" s="13">
        <f t="shared" si="4"/>
        <v>56.64581177083334</v>
      </c>
      <c r="N58" s="13"/>
      <c r="O58" s="13">
        <v>55</v>
      </c>
      <c r="P58" s="13">
        <v>48</v>
      </c>
      <c r="Q58" s="17">
        <v>62.275150119999999</v>
      </c>
      <c r="R58" s="13"/>
      <c r="S58" s="36">
        <v>14.527393035678299</v>
      </c>
      <c r="T58" s="36">
        <v>0.69264705882352895</v>
      </c>
      <c r="U58" s="36"/>
      <c r="V58" s="13"/>
      <c r="W58" s="13"/>
      <c r="X58" s="13"/>
      <c r="Y58" s="13"/>
      <c r="Z58" s="13"/>
      <c r="AA58" s="13">
        <f t="shared" si="1"/>
        <v>29.739896083333338</v>
      </c>
      <c r="AB58" s="26">
        <v>0.29070777686020599</v>
      </c>
      <c r="AC58" s="34">
        <v>1860</v>
      </c>
      <c r="AD58" s="34">
        <v>91</v>
      </c>
      <c r="AE58" s="34">
        <v>14</v>
      </c>
      <c r="AF58" s="34">
        <v>31</v>
      </c>
      <c r="AG58" s="34">
        <v>0.57031177879378725</v>
      </c>
      <c r="AI58" s="35">
        <v>55</v>
      </c>
      <c r="AJ58" s="35">
        <v>48</v>
      </c>
      <c r="AK58" s="17">
        <v>49.436707300000002</v>
      </c>
      <c r="AM58" s="35">
        <v>12.154341708542701</v>
      </c>
      <c r="AN58" s="35">
        <v>0.89705882352941102</v>
      </c>
      <c r="AV58" s="13">
        <f t="shared" si="2"/>
        <v>2.9931402083333447</v>
      </c>
      <c r="AW58" s="35">
        <v>0.17102684983803501</v>
      </c>
      <c r="AX58" s="35">
        <v>1646</v>
      </c>
      <c r="AY58" s="35">
        <v>1</v>
      </c>
      <c r="AZ58" s="35">
        <v>50</v>
      </c>
      <c r="BA58" s="35">
        <v>46</v>
      </c>
      <c r="BB58" s="35">
        <v>0.81371257620171866</v>
      </c>
      <c r="BD58" s="35">
        <v>55</v>
      </c>
      <c r="BE58" s="35">
        <v>48</v>
      </c>
      <c r="BF58" s="17">
        <v>54.682624420000003</v>
      </c>
      <c r="BH58" s="35">
        <v>12.479674999999901</v>
      </c>
      <c r="BI58" s="35">
        <v>0.88088235294117601</v>
      </c>
      <c r="BQ58" s="13">
        <f t="shared" si="3"/>
        <v>13.922134208333347</v>
      </c>
      <c r="BR58" s="35">
        <v>0.134153777180607</v>
      </c>
      <c r="BS58" s="35">
        <v>913</v>
      </c>
      <c r="BT58" s="35">
        <v>102</v>
      </c>
      <c r="BU58" s="35">
        <v>20</v>
      </c>
      <c r="BV58" s="35">
        <v>37</v>
      </c>
      <c r="BW58" s="35">
        <v>0.43456484847461041</v>
      </c>
    </row>
    <row r="59" spans="1:75">
      <c r="A59" s="13">
        <v>56</v>
      </c>
      <c r="B59" s="13">
        <v>101</v>
      </c>
      <c r="C59" s="17">
        <v>109.1815376</v>
      </c>
      <c r="D59" s="13"/>
      <c r="E59" s="36">
        <v>19.1553646070351</v>
      </c>
      <c r="F59" s="36">
        <v>0.63676470588235201</v>
      </c>
      <c r="G59" s="36"/>
      <c r="H59" s="13"/>
      <c r="I59" s="13"/>
      <c r="J59" s="13"/>
      <c r="K59" s="13"/>
      <c r="L59" s="13"/>
      <c r="M59" s="13">
        <f t="shared" si="4"/>
        <v>8.1005322772277122</v>
      </c>
      <c r="N59" s="13"/>
      <c r="O59" s="13">
        <v>56</v>
      </c>
      <c r="P59" s="13">
        <v>101</v>
      </c>
      <c r="Q59" s="17">
        <v>106.32391869999999</v>
      </c>
      <c r="R59" s="13"/>
      <c r="S59" s="36">
        <v>14.8364865045226</v>
      </c>
      <c r="T59" s="36">
        <v>0.69852941176470495</v>
      </c>
      <c r="U59" s="36"/>
      <c r="V59" s="13"/>
      <c r="W59" s="13"/>
      <c r="X59" s="13"/>
      <c r="Y59" s="13"/>
      <c r="Z59" s="13"/>
      <c r="AA59" s="13">
        <f t="shared" si="1"/>
        <v>5.2712066336633612</v>
      </c>
      <c r="AB59" s="26">
        <v>0.29070777686020599</v>
      </c>
      <c r="AC59" s="34">
        <v>62</v>
      </c>
      <c r="AD59" s="34">
        <v>177</v>
      </c>
      <c r="AE59" s="34">
        <v>23</v>
      </c>
      <c r="AF59" s="34">
        <v>23</v>
      </c>
      <c r="AG59" s="34">
        <v>0.58778110074325973</v>
      </c>
      <c r="AI59" s="35">
        <v>56</v>
      </c>
      <c r="AJ59" s="35">
        <v>101</v>
      </c>
      <c r="AK59" s="17">
        <v>102.92170160000001</v>
      </c>
      <c r="AM59" s="35">
        <v>12.412944723618001</v>
      </c>
      <c r="AN59" s="35">
        <v>0.89705882352941102</v>
      </c>
      <c r="AV59" s="13">
        <f t="shared" si="2"/>
        <v>1.9026748514851644</v>
      </c>
      <c r="AW59" s="35">
        <v>0.17102684983803501</v>
      </c>
      <c r="AX59" s="35">
        <v>1468</v>
      </c>
      <c r="AY59" s="35">
        <v>63</v>
      </c>
      <c r="AZ59" s="35">
        <v>11</v>
      </c>
      <c r="BA59" s="35">
        <v>12</v>
      </c>
      <c r="BB59" s="35">
        <v>0.62989818758258864</v>
      </c>
      <c r="BD59" s="35">
        <v>56</v>
      </c>
      <c r="BE59" s="35">
        <v>101</v>
      </c>
      <c r="BF59" s="17">
        <v>104.0303868</v>
      </c>
      <c r="BH59" s="35">
        <v>12.745199999999899</v>
      </c>
      <c r="BI59" s="35">
        <v>0.88529411764705801</v>
      </c>
      <c r="BQ59" s="13">
        <f t="shared" si="3"/>
        <v>3.000382970297033</v>
      </c>
      <c r="BR59" s="35">
        <v>0.134153777180607</v>
      </c>
      <c r="BS59" s="35">
        <v>1678</v>
      </c>
      <c r="BT59" s="35">
        <v>96</v>
      </c>
      <c r="BU59" s="35">
        <v>5</v>
      </c>
      <c r="BV59" s="35">
        <v>15</v>
      </c>
      <c r="BW59" s="35">
        <v>0.77111857806595718</v>
      </c>
    </row>
    <row r="60" spans="1:75">
      <c r="A60" s="13">
        <v>57</v>
      </c>
      <c r="B60" s="13">
        <v>84</v>
      </c>
      <c r="C60" s="17">
        <v>98.419845289999998</v>
      </c>
      <c r="D60" s="13"/>
      <c r="E60" s="36">
        <v>19.554434703015001</v>
      </c>
      <c r="F60" s="36">
        <v>0.64852941176470502</v>
      </c>
      <c r="G60" s="36"/>
      <c r="H60" s="13"/>
      <c r="I60" s="13"/>
      <c r="J60" s="13"/>
      <c r="K60" s="13"/>
      <c r="L60" s="13"/>
      <c r="M60" s="13">
        <f t="shared" si="4"/>
        <v>17.166482488095227</v>
      </c>
      <c r="N60" s="13"/>
      <c r="O60" s="13">
        <v>57</v>
      </c>
      <c r="P60" s="13">
        <v>84</v>
      </c>
      <c r="Q60" s="17">
        <v>92.478968649999999</v>
      </c>
      <c r="R60" s="13"/>
      <c r="S60" s="36">
        <v>15.1455799733668</v>
      </c>
      <c r="T60" s="36">
        <v>0.70588235294117596</v>
      </c>
      <c r="U60" s="36"/>
      <c r="V60" s="13"/>
      <c r="W60" s="13"/>
      <c r="X60" s="13"/>
      <c r="Y60" s="13"/>
      <c r="Z60" s="13"/>
      <c r="AA60" s="13">
        <f t="shared" si="1"/>
        <v>10.09401029761905</v>
      </c>
      <c r="AB60" s="26">
        <v>0.28686826048362302</v>
      </c>
      <c r="AC60" s="34">
        <v>1413</v>
      </c>
      <c r="AD60" s="34">
        <v>115</v>
      </c>
      <c r="AE60" s="34">
        <v>37</v>
      </c>
      <c r="AF60" s="34">
        <v>41</v>
      </c>
      <c r="AG60" s="34">
        <v>0.89679266145504777</v>
      </c>
      <c r="AI60" s="35">
        <v>57</v>
      </c>
      <c r="AJ60" s="35">
        <v>84</v>
      </c>
      <c r="AK60" s="17">
        <v>84.700315009999997</v>
      </c>
      <c r="AM60" s="35">
        <v>12.6715477386934</v>
      </c>
      <c r="AN60" s="35">
        <v>0.89852941176470502</v>
      </c>
      <c r="AV60" s="13">
        <f t="shared" si="2"/>
        <v>0.83370834523808224</v>
      </c>
      <c r="AW60" s="35">
        <v>0.17102684983803501</v>
      </c>
      <c r="AX60" s="35">
        <v>823</v>
      </c>
      <c r="AY60" s="35">
        <v>63</v>
      </c>
      <c r="AZ60" s="35">
        <v>41</v>
      </c>
      <c r="BA60" s="35">
        <v>2</v>
      </c>
      <c r="BB60" s="35">
        <v>0.45364413317302943</v>
      </c>
      <c r="BD60" s="35">
        <v>57</v>
      </c>
      <c r="BE60" s="35">
        <v>84</v>
      </c>
      <c r="BF60" s="17">
        <v>86.269357790000001</v>
      </c>
      <c r="BH60" s="35">
        <v>13.0107249999999</v>
      </c>
      <c r="BI60" s="35">
        <v>0.88823529411764701</v>
      </c>
      <c r="BQ60" s="13">
        <f t="shared" si="3"/>
        <v>2.7016164166666634</v>
      </c>
      <c r="BR60" s="35">
        <v>0.134153777180607</v>
      </c>
      <c r="BS60" s="35">
        <v>975</v>
      </c>
      <c r="BT60" s="35">
        <v>65</v>
      </c>
      <c r="BU60" s="35">
        <v>21</v>
      </c>
      <c r="BV60" s="35">
        <v>9</v>
      </c>
      <c r="BW60" s="35">
        <v>0.51313757153998241</v>
      </c>
    </row>
    <row r="61" spans="1:75">
      <c r="A61" s="13">
        <v>58</v>
      </c>
      <c r="B61" s="13">
        <v>184</v>
      </c>
      <c r="C61" s="17">
        <v>148.52553030000001</v>
      </c>
      <c r="D61" s="13"/>
      <c r="E61" s="36">
        <v>19.953504798994899</v>
      </c>
      <c r="F61" s="36">
        <v>0.65588235294117603</v>
      </c>
      <c r="G61" s="36"/>
      <c r="H61" s="13"/>
      <c r="I61" s="13"/>
      <c r="J61" s="13"/>
      <c r="K61" s="13"/>
      <c r="L61" s="13"/>
      <c r="M61" s="13">
        <f t="shared" si="4"/>
        <v>-19.279603097826083</v>
      </c>
      <c r="N61" s="13"/>
      <c r="O61" s="13">
        <v>58</v>
      </c>
      <c r="P61" s="13">
        <v>184</v>
      </c>
      <c r="Q61" s="17">
        <v>162.8573978</v>
      </c>
      <c r="R61" s="13"/>
      <c r="S61" s="36">
        <v>15.454673442211</v>
      </c>
      <c r="T61" s="36">
        <v>0.71323529411764697</v>
      </c>
      <c r="U61" s="36"/>
      <c r="V61" s="13"/>
      <c r="W61" s="13"/>
      <c r="X61" s="13"/>
      <c r="Y61" s="13"/>
      <c r="Z61" s="13"/>
      <c r="AA61" s="13">
        <f t="shared" si="1"/>
        <v>-11.490544673913039</v>
      </c>
      <c r="AB61" s="26">
        <v>0.28686826048362302</v>
      </c>
      <c r="AC61" s="34">
        <v>1702</v>
      </c>
      <c r="AD61" s="34">
        <v>68</v>
      </c>
      <c r="AE61" s="34">
        <v>35</v>
      </c>
      <c r="AF61" s="34">
        <v>44</v>
      </c>
      <c r="AG61" s="34">
        <v>0.27733000184194845</v>
      </c>
      <c r="AI61" s="35">
        <v>58</v>
      </c>
      <c r="AJ61" s="35">
        <v>184</v>
      </c>
      <c r="AK61" s="17">
        <v>183.18256679999999</v>
      </c>
      <c r="AM61" s="35">
        <v>12.9301507537688</v>
      </c>
      <c r="AN61" s="35">
        <v>0.90441176470588203</v>
      </c>
      <c r="AV61" s="13">
        <f t="shared" si="2"/>
        <v>-0.44425717391305408</v>
      </c>
      <c r="AW61" s="35">
        <v>0.17102684983803501</v>
      </c>
      <c r="AX61" s="35">
        <v>1173</v>
      </c>
      <c r="AY61" s="35">
        <v>158</v>
      </c>
      <c r="AZ61" s="35">
        <v>35</v>
      </c>
      <c r="BA61" s="35">
        <v>6</v>
      </c>
      <c r="BB61" s="35">
        <v>0.76402938231883766</v>
      </c>
      <c r="BD61" s="35">
        <v>58</v>
      </c>
      <c r="BE61" s="35">
        <v>184</v>
      </c>
      <c r="BF61" s="17">
        <v>177.1947619</v>
      </c>
      <c r="BH61" s="35">
        <v>13.2762499999999</v>
      </c>
      <c r="BI61" s="35">
        <v>0.89117647058823501</v>
      </c>
      <c r="BQ61" s="13">
        <f t="shared" si="3"/>
        <v>-3.698498967391306</v>
      </c>
      <c r="BR61" s="35">
        <v>0.134153777180607</v>
      </c>
      <c r="BS61" s="35">
        <v>541</v>
      </c>
      <c r="BT61" s="35">
        <v>139</v>
      </c>
      <c r="BU61" s="35">
        <v>46</v>
      </c>
      <c r="BV61" s="35">
        <v>32</v>
      </c>
      <c r="BW61" s="35">
        <v>0.94135407332667975</v>
      </c>
    </row>
    <row r="62" spans="1:75">
      <c r="A62" s="13">
        <v>59</v>
      </c>
      <c r="B62" s="13">
        <v>217</v>
      </c>
      <c r="C62" s="17">
        <v>182.02080000000001</v>
      </c>
      <c r="D62" s="13"/>
      <c r="E62" s="36">
        <v>20.352574894974801</v>
      </c>
      <c r="F62" s="36">
        <v>0.66323529411764703</v>
      </c>
      <c r="G62" s="36"/>
      <c r="H62" s="13"/>
      <c r="I62" s="13"/>
      <c r="J62" s="13"/>
      <c r="K62" s="13"/>
      <c r="L62" s="13"/>
      <c r="M62" s="13">
        <f t="shared" si="4"/>
        <v>-16.11944700460829</v>
      </c>
      <c r="N62" s="13"/>
      <c r="O62" s="13">
        <v>59</v>
      </c>
      <c r="P62" s="13">
        <v>217</v>
      </c>
      <c r="Q62" s="17">
        <v>205.27246880000001</v>
      </c>
      <c r="R62" s="13"/>
      <c r="S62" s="36">
        <v>15.7637669110552</v>
      </c>
      <c r="T62" s="36">
        <v>0.71911764705882297</v>
      </c>
      <c r="U62" s="36"/>
      <c r="V62" s="13"/>
      <c r="W62" s="13"/>
      <c r="X62" s="13"/>
      <c r="Y62" s="13"/>
      <c r="Z62" s="13"/>
      <c r="AA62" s="13">
        <f t="shared" si="1"/>
        <v>-5.4043922580645054</v>
      </c>
      <c r="AB62" s="26">
        <v>0.28686826048362302</v>
      </c>
      <c r="AC62" s="34">
        <v>449</v>
      </c>
      <c r="AD62" s="34">
        <v>196</v>
      </c>
      <c r="AE62" s="34">
        <v>23</v>
      </c>
      <c r="AF62" s="34">
        <v>15</v>
      </c>
      <c r="AG62" s="34">
        <v>0.23695878834749906</v>
      </c>
      <c r="AI62" s="35">
        <v>59</v>
      </c>
      <c r="AJ62" s="35">
        <v>217</v>
      </c>
      <c r="AK62" s="17">
        <v>216.70161379999999</v>
      </c>
      <c r="AM62" s="35">
        <v>13.188753768844199</v>
      </c>
      <c r="AN62" s="35">
        <v>0.90735294117647003</v>
      </c>
      <c r="AV62" s="13">
        <f t="shared" si="2"/>
        <v>-0.13750516129032997</v>
      </c>
      <c r="AW62" s="35">
        <v>0.17102684983803501</v>
      </c>
      <c r="AX62" s="35">
        <v>1552</v>
      </c>
      <c r="AY62" s="35">
        <v>155</v>
      </c>
      <c r="AZ62" s="35">
        <v>26</v>
      </c>
      <c r="BA62" s="35">
        <v>14</v>
      </c>
      <c r="BB62" s="35">
        <v>0.89847953411925119</v>
      </c>
      <c r="BD62" s="35">
        <v>59</v>
      </c>
      <c r="BE62" s="35">
        <v>217</v>
      </c>
      <c r="BF62" s="17">
        <v>214.3977519</v>
      </c>
      <c r="BH62" s="35">
        <v>13.5417749999999</v>
      </c>
      <c r="BI62" s="35">
        <v>0.89411764705882302</v>
      </c>
      <c r="BQ62" s="13">
        <f t="shared" si="3"/>
        <v>-1.1991926728110558</v>
      </c>
      <c r="BR62" s="35">
        <v>0.134153777180607</v>
      </c>
      <c r="BS62" s="35">
        <v>851</v>
      </c>
      <c r="BT62" s="35">
        <v>94</v>
      </c>
      <c r="BU62" s="35">
        <v>10</v>
      </c>
      <c r="BV62" s="35">
        <v>6</v>
      </c>
      <c r="BW62" s="35">
        <v>0.83046679866773665</v>
      </c>
    </row>
    <row r="63" spans="1:75">
      <c r="A63" s="13">
        <v>60</v>
      </c>
      <c r="B63" s="13">
        <v>123</v>
      </c>
      <c r="C63" s="17">
        <v>128.0650881</v>
      </c>
      <c r="D63" s="13"/>
      <c r="E63" s="36">
        <v>20.751644990954698</v>
      </c>
      <c r="F63" s="36">
        <v>0.66911764705882304</v>
      </c>
      <c r="G63" s="36"/>
      <c r="H63" s="13"/>
      <c r="I63" s="13"/>
      <c r="J63" s="13"/>
      <c r="K63" s="13"/>
      <c r="L63" s="13"/>
      <c r="M63" s="13">
        <f t="shared" si="4"/>
        <v>4.1179578048780474</v>
      </c>
      <c r="N63" s="13"/>
      <c r="O63" s="13">
        <v>60</v>
      </c>
      <c r="P63" s="13">
        <v>123</v>
      </c>
      <c r="Q63" s="17">
        <v>130.32488789999999</v>
      </c>
      <c r="R63" s="13"/>
      <c r="S63" s="36">
        <v>16.072860379899399</v>
      </c>
      <c r="T63" s="36">
        <v>0.72794117647058798</v>
      </c>
      <c r="U63" s="36"/>
      <c r="V63" s="13"/>
      <c r="W63" s="13"/>
      <c r="X63" s="13"/>
      <c r="Y63" s="13"/>
      <c r="Z63" s="13"/>
      <c r="AA63" s="13">
        <f t="shared" si="1"/>
        <v>5.9551934146341301</v>
      </c>
      <c r="AB63" s="26">
        <v>0.28099585138434802</v>
      </c>
      <c r="AC63" s="34">
        <v>156</v>
      </c>
      <c r="AD63" s="34">
        <v>196</v>
      </c>
      <c r="AE63" s="34">
        <v>5</v>
      </c>
      <c r="AF63" s="34">
        <v>29</v>
      </c>
      <c r="AG63" s="34">
        <v>0.72058874540007767</v>
      </c>
      <c r="AI63" s="35">
        <v>60</v>
      </c>
      <c r="AJ63" s="35">
        <v>123</v>
      </c>
      <c r="AK63" s="17">
        <v>125.111491</v>
      </c>
      <c r="AM63" s="35">
        <v>13.447356783919499</v>
      </c>
      <c r="AN63" s="35">
        <v>0.90882352941176403</v>
      </c>
      <c r="AV63" s="13">
        <f t="shared" si="2"/>
        <v>1.7166593495934857</v>
      </c>
      <c r="AW63" s="35">
        <v>0.16963863821119701</v>
      </c>
      <c r="AX63" s="35">
        <v>246</v>
      </c>
      <c r="AY63" s="35">
        <v>71</v>
      </c>
      <c r="AZ63" s="35">
        <v>45</v>
      </c>
      <c r="BA63" s="35">
        <v>6</v>
      </c>
      <c r="BB63" s="35">
        <v>0.30645858638755297</v>
      </c>
      <c r="BD63" s="35">
        <v>60</v>
      </c>
      <c r="BE63" s="35">
        <v>123</v>
      </c>
      <c r="BF63" s="17">
        <v>129.03561819999999</v>
      </c>
      <c r="BH63" s="35">
        <v>13.8072999999999</v>
      </c>
      <c r="BI63" s="35">
        <v>0.9</v>
      </c>
      <c r="BQ63" s="13">
        <f t="shared" si="3"/>
        <v>4.9070066666666579</v>
      </c>
      <c r="BR63" s="35">
        <v>0.134153777180607</v>
      </c>
      <c r="BS63" s="35">
        <v>1110</v>
      </c>
      <c r="BT63" s="35">
        <v>109</v>
      </c>
      <c r="BU63" s="35">
        <v>11</v>
      </c>
      <c r="BV63" s="35">
        <v>24</v>
      </c>
      <c r="BW63" s="35">
        <v>0.7099302688513992</v>
      </c>
    </row>
    <row r="64" spans="1:75">
      <c r="A64" s="13">
        <v>61</v>
      </c>
      <c r="B64" s="13">
        <v>138</v>
      </c>
      <c r="C64" s="17">
        <v>130.0418559</v>
      </c>
      <c r="D64" s="13"/>
      <c r="E64" s="36">
        <v>21.1507150869346</v>
      </c>
      <c r="F64" s="36">
        <v>0.67941176470588205</v>
      </c>
      <c r="G64" s="36"/>
      <c r="H64" s="13"/>
      <c r="I64" s="13"/>
      <c r="J64" s="13"/>
      <c r="K64" s="13"/>
      <c r="L64" s="13"/>
      <c r="M64" s="13">
        <f t="shared" si="4"/>
        <v>-5.7667710869565241</v>
      </c>
      <c r="N64" s="13"/>
      <c r="O64" s="13">
        <v>61</v>
      </c>
      <c r="P64" s="13">
        <v>138</v>
      </c>
      <c r="Q64" s="17">
        <v>138.0278041</v>
      </c>
      <c r="R64" s="13"/>
      <c r="S64" s="36">
        <v>16.381953848743699</v>
      </c>
      <c r="T64" s="36">
        <v>0.73382352941176399</v>
      </c>
      <c r="U64" s="36"/>
      <c r="V64" s="13"/>
      <c r="W64" s="13"/>
      <c r="X64" s="13"/>
      <c r="Y64" s="13"/>
      <c r="Z64" s="13"/>
      <c r="AA64" s="13">
        <f t="shared" si="1"/>
        <v>2.0147898550715304E-2</v>
      </c>
      <c r="AB64" s="26">
        <v>0.28099585138434802</v>
      </c>
      <c r="AC64" s="34">
        <v>1385</v>
      </c>
      <c r="AD64" s="34">
        <v>48</v>
      </c>
      <c r="AE64" s="34">
        <v>43</v>
      </c>
      <c r="AF64" s="34">
        <v>30</v>
      </c>
      <c r="AG64" s="34">
        <v>0.90338019540775338</v>
      </c>
      <c r="AI64" s="35">
        <v>61</v>
      </c>
      <c r="AJ64" s="35">
        <v>138</v>
      </c>
      <c r="AK64" s="17">
        <v>137.8859411</v>
      </c>
      <c r="AM64" s="35">
        <v>13.7059597989949</v>
      </c>
      <c r="AN64" s="35">
        <v>0.91176470588235203</v>
      </c>
      <c r="AV64" s="13">
        <f t="shared" si="2"/>
        <v>-8.2651376811593291E-2</v>
      </c>
      <c r="AW64" s="35">
        <v>0.16963863821119701</v>
      </c>
      <c r="AX64" s="35">
        <v>1300</v>
      </c>
      <c r="AY64" s="35">
        <v>110</v>
      </c>
      <c r="AZ64" s="35">
        <v>31</v>
      </c>
      <c r="BA64" s="35">
        <v>9</v>
      </c>
      <c r="BB64" s="35">
        <v>0.95878923988251319</v>
      </c>
      <c r="BD64" s="35">
        <v>61</v>
      </c>
      <c r="BE64" s="35">
        <v>138</v>
      </c>
      <c r="BF64" s="17">
        <v>138.30147969999999</v>
      </c>
      <c r="BH64" s="35">
        <v>14.0728249999999</v>
      </c>
      <c r="BI64" s="35">
        <v>0.90294117647058803</v>
      </c>
      <c r="BQ64" s="13">
        <f t="shared" si="3"/>
        <v>0.21846355072463464</v>
      </c>
      <c r="BR64" s="35">
        <v>0.134153777180607</v>
      </c>
      <c r="BS64" s="35">
        <v>1676</v>
      </c>
      <c r="BT64" s="35">
        <v>105</v>
      </c>
      <c r="BU64" s="35">
        <v>28</v>
      </c>
      <c r="BV64" s="35">
        <v>47</v>
      </c>
      <c r="BW64" s="35">
        <v>0.74214123219131456</v>
      </c>
    </row>
    <row r="65" spans="1:75">
      <c r="A65" s="13">
        <v>62</v>
      </c>
      <c r="B65" s="13">
        <v>101</v>
      </c>
      <c r="C65" s="17">
        <v>91.686872019999996</v>
      </c>
      <c r="D65" s="13"/>
      <c r="E65" s="36">
        <v>21.549785182914501</v>
      </c>
      <c r="F65" s="36">
        <v>0.69411764705882295</v>
      </c>
      <c r="G65" s="36"/>
      <c r="H65" s="13"/>
      <c r="I65" s="13"/>
      <c r="J65" s="13"/>
      <c r="K65" s="13"/>
      <c r="L65" s="13"/>
      <c r="M65" s="13">
        <f t="shared" si="4"/>
        <v>-9.2209187920792139</v>
      </c>
      <c r="N65" s="13"/>
      <c r="O65" s="13">
        <v>62</v>
      </c>
      <c r="P65" s="13">
        <v>101</v>
      </c>
      <c r="Q65" s="17">
        <v>91.41699294</v>
      </c>
      <c r="R65" s="13"/>
      <c r="S65" s="36">
        <v>16.691047317587898</v>
      </c>
      <c r="T65" s="36">
        <v>0.74117647058823499</v>
      </c>
      <c r="U65" s="36"/>
      <c r="V65" s="13"/>
      <c r="W65" s="13"/>
      <c r="X65" s="13"/>
      <c r="Y65" s="13"/>
      <c r="Z65" s="13"/>
      <c r="AA65" s="13">
        <f t="shared" si="1"/>
        <v>-9.4881258019801962</v>
      </c>
      <c r="AB65" s="26">
        <v>0.28099585138434802</v>
      </c>
      <c r="AC65" s="34">
        <v>1467</v>
      </c>
      <c r="AD65" s="34">
        <v>121</v>
      </c>
      <c r="AE65" s="34">
        <v>14</v>
      </c>
      <c r="AF65" s="34">
        <v>7</v>
      </c>
      <c r="AG65" s="34">
        <v>0.18909743211136554</v>
      </c>
      <c r="AI65" s="35">
        <v>62</v>
      </c>
      <c r="AJ65" s="35">
        <v>101</v>
      </c>
      <c r="AK65" s="17">
        <v>100.6317248</v>
      </c>
      <c r="AM65" s="35">
        <v>13.9645628140703</v>
      </c>
      <c r="AN65" s="35">
        <v>0.91323529411764703</v>
      </c>
      <c r="AV65" s="13">
        <f t="shared" si="2"/>
        <v>-0.36462891089108496</v>
      </c>
      <c r="AW65" s="35">
        <v>0.16963863821119701</v>
      </c>
      <c r="AX65" s="35">
        <v>897</v>
      </c>
      <c r="AY65" s="35">
        <v>12</v>
      </c>
      <c r="AZ65" s="35">
        <v>8</v>
      </c>
      <c r="BA65" s="35">
        <v>28</v>
      </c>
      <c r="BB65" s="35">
        <v>0.86104018983264374</v>
      </c>
      <c r="BD65" s="35">
        <v>62</v>
      </c>
      <c r="BE65" s="35">
        <v>101</v>
      </c>
      <c r="BF65" s="17">
        <v>99.144129000000007</v>
      </c>
      <c r="BH65" s="35">
        <v>14.338349999999901</v>
      </c>
      <c r="BI65" s="35">
        <v>0.90588235294117603</v>
      </c>
      <c r="BQ65" s="13">
        <f t="shared" si="3"/>
        <v>-1.8374960396039586</v>
      </c>
      <c r="BR65" s="35">
        <v>0.134153777180607</v>
      </c>
      <c r="BS65" s="35">
        <v>872</v>
      </c>
      <c r="BT65" s="35">
        <v>173</v>
      </c>
      <c r="BU65" s="35">
        <v>17</v>
      </c>
      <c r="BV65" s="35">
        <v>26</v>
      </c>
      <c r="BW65" s="35">
        <v>0.74317387968522597</v>
      </c>
    </row>
    <row r="66" spans="1:75">
      <c r="A66" s="13">
        <v>63</v>
      </c>
      <c r="B66" s="13">
        <v>127</v>
      </c>
      <c r="C66" s="17">
        <v>135.7505257</v>
      </c>
      <c r="D66" s="13"/>
      <c r="E66" s="36">
        <v>21.948855278894399</v>
      </c>
      <c r="F66" s="36">
        <v>0.69852941176470495</v>
      </c>
      <c r="G66" s="36"/>
      <c r="H66" s="13"/>
      <c r="I66" s="13"/>
      <c r="J66" s="13"/>
      <c r="K66" s="13"/>
      <c r="L66" s="13"/>
      <c r="M66" s="13">
        <f t="shared" si="4"/>
        <v>6.8901777165354394</v>
      </c>
      <c r="N66" s="13"/>
      <c r="O66" s="13">
        <v>63</v>
      </c>
      <c r="P66" s="13">
        <v>127</v>
      </c>
      <c r="Q66" s="17">
        <v>138.19372379999999</v>
      </c>
      <c r="R66" s="13"/>
      <c r="S66" s="36">
        <v>17.000140786432102</v>
      </c>
      <c r="T66" s="36">
        <v>0.752941176470588</v>
      </c>
      <c r="U66" s="36"/>
      <c r="V66" s="13"/>
      <c r="W66" s="13"/>
      <c r="X66" s="13"/>
      <c r="Y66" s="13"/>
      <c r="Z66" s="13"/>
      <c r="AA66" s="13">
        <f t="shared" si="1"/>
        <v>8.8139557480314767</v>
      </c>
      <c r="AB66" s="26">
        <v>0.28099585138434802</v>
      </c>
      <c r="AC66" s="34">
        <v>1841</v>
      </c>
      <c r="AD66" s="34">
        <v>58</v>
      </c>
      <c r="AE66" s="34">
        <v>14</v>
      </c>
      <c r="AF66" s="34">
        <v>2</v>
      </c>
      <c r="AG66" s="34">
        <v>0.48728237854510281</v>
      </c>
      <c r="AI66" s="35">
        <v>63</v>
      </c>
      <c r="AJ66" s="35">
        <v>127</v>
      </c>
      <c r="AK66" s="17">
        <v>129.59366929999999</v>
      </c>
      <c r="AM66" s="35">
        <v>14.223165829145699</v>
      </c>
      <c r="AN66" s="35">
        <v>0.91470588235294104</v>
      </c>
      <c r="AV66" s="13">
        <f t="shared" si="2"/>
        <v>2.0422592913385662</v>
      </c>
      <c r="AW66" s="35">
        <v>0.16963863821119701</v>
      </c>
      <c r="AX66" s="35">
        <v>78</v>
      </c>
      <c r="AY66" s="35">
        <v>60</v>
      </c>
      <c r="AZ66" s="35">
        <v>25</v>
      </c>
      <c r="BA66" s="35">
        <v>37</v>
      </c>
      <c r="BB66" s="35">
        <v>0.91911993853276086</v>
      </c>
      <c r="BD66" s="35">
        <v>63</v>
      </c>
      <c r="BE66" s="35">
        <v>127</v>
      </c>
      <c r="BF66" s="17">
        <v>134.6186495</v>
      </c>
      <c r="BH66" s="35">
        <v>14.603874999999899</v>
      </c>
      <c r="BI66" s="35">
        <v>0.90882352941176403</v>
      </c>
      <c r="BQ66" s="13">
        <f t="shared" si="3"/>
        <v>5.9989366141732337</v>
      </c>
      <c r="BR66" s="35">
        <v>0.134153777180607</v>
      </c>
      <c r="BS66" s="35">
        <v>1364</v>
      </c>
      <c r="BT66" s="35">
        <v>48</v>
      </c>
      <c r="BU66" s="35">
        <v>38</v>
      </c>
      <c r="BV66" s="35">
        <v>4</v>
      </c>
      <c r="BW66" s="35">
        <v>0.46248628316633733</v>
      </c>
    </row>
    <row r="67" spans="1:75">
      <c r="A67" s="13">
        <v>64</v>
      </c>
      <c r="B67" s="13">
        <v>12</v>
      </c>
      <c r="C67" s="17">
        <v>17.353613897137802</v>
      </c>
      <c r="D67" s="13"/>
      <c r="E67" s="36">
        <v>22.347925374874301</v>
      </c>
      <c r="F67" s="36">
        <v>0.70147058823529396</v>
      </c>
      <c r="G67" s="36"/>
      <c r="H67" s="13"/>
      <c r="I67" s="13"/>
      <c r="J67" s="13"/>
      <c r="K67" s="13"/>
      <c r="L67" s="13"/>
      <c r="M67" s="13">
        <f t="shared" si="4"/>
        <v>44.613449142815021</v>
      </c>
      <c r="N67" s="13"/>
      <c r="O67" s="13">
        <v>64</v>
      </c>
      <c r="P67" s="13">
        <v>12</v>
      </c>
      <c r="Q67" s="17">
        <v>12.5909532813618</v>
      </c>
      <c r="R67" s="13"/>
      <c r="S67" s="36">
        <v>17.309234255276301</v>
      </c>
      <c r="T67" s="36">
        <v>0.754411764705882</v>
      </c>
      <c r="U67" s="36"/>
      <c r="V67" s="13"/>
      <c r="W67" s="13"/>
      <c r="X67" s="13"/>
      <c r="Y67" s="13"/>
      <c r="Z67" s="13"/>
      <c r="AA67" s="13">
        <f t="shared" ref="AA67:AA130" si="5">((Q67/P67)-1)*100</f>
        <v>4.9246106780149956</v>
      </c>
      <c r="AB67" s="26">
        <v>0.28099585138434802</v>
      </c>
      <c r="AC67" s="34">
        <v>1257</v>
      </c>
      <c r="AD67" s="34">
        <v>42</v>
      </c>
      <c r="AE67" s="34">
        <v>22</v>
      </c>
      <c r="AF67" s="34">
        <v>12</v>
      </c>
      <c r="AG67" s="34">
        <v>0.72863893275892677</v>
      </c>
      <c r="AI67" s="35">
        <v>64</v>
      </c>
      <c r="AJ67" s="35">
        <v>12</v>
      </c>
      <c r="AK67" s="17">
        <v>12.007</v>
      </c>
      <c r="AM67" s="35">
        <v>14.481768844221101</v>
      </c>
      <c r="AN67" s="35">
        <v>0.91617647058823504</v>
      </c>
      <c r="AV67" s="13">
        <f t="shared" si="2"/>
        <v>5.8333333333338011E-2</v>
      </c>
      <c r="AW67" s="35">
        <v>0.16963863821119701</v>
      </c>
      <c r="AX67" s="35">
        <v>428</v>
      </c>
      <c r="AY67" s="35">
        <v>65</v>
      </c>
      <c r="AZ67" s="35">
        <v>18</v>
      </c>
      <c r="BA67" s="35">
        <v>27</v>
      </c>
      <c r="BB67" s="35">
        <v>0.9346009998273257</v>
      </c>
      <c r="BD67" s="35">
        <v>64</v>
      </c>
      <c r="BE67" s="35">
        <v>12</v>
      </c>
      <c r="BF67" s="17">
        <v>13.16730937</v>
      </c>
      <c r="BH67" s="35">
        <v>14.869399999999899</v>
      </c>
      <c r="BI67" s="35">
        <v>0.90882352941176403</v>
      </c>
      <c r="BQ67" s="13">
        <f t="shared" si="3"/>
        <v>9.7275780833333325</v>
      </c>
      <c r="BR67" s="35">
        <v>0.134153777180607</v>
      </c>
      <c r="BS67" s="35">
        <v>678</v>
      </c>
      <c r="BT67" s="35">
        <v>22</v>
      </c>
      <c r="BU67" s="35">
        <v>45</v>
      </c>
      <c r="BV67" s="35">
        <v>37</v>
      </c>
      <c r="BW67" s="35">
        <v>0.57560434279783834</v>
      </c>
    </row>
    <row r="68" spans="1:75">
      <c r="A68" s="13">
        <v>65</v>
      </c>
      <c r="B68" s="13">
        <v>41</v>
      </c>
      <c r="C68" s="17">
        <v>49.772678962192302</v>
      </c>
      <c r="D68" s="13"/>
      <c r="E68" s="36">
        <v>22.746995470854198</v>
      </c>
      <c r="F68" s="36">
        <v>0.71029411764705797</v>
      </c>
      <c r="G68" s="36"/>
      <c r="H68" s="13"/>
      <c r="I68" s="13"/>
      <c r="J68" s="13"/>
      <c r="K68" s="13"/>
      <c r="L68" s="13"/>
      <c r="M68" s="13">
        <f t="shared" si="4"/>
        <v>21.396777956566581</v>
      </c>
      <c r="N68" s="13"/>
      <c r="O68" s="13">
        <v>65</v>
      </c>
      <c r="P68" s="13">
        <v>41</v>
      </c>
      <c r="Q68" s="17">
        <v>59.036650680000001</v>
      </c>
      <c r="R68" s="13"/>
      <c r="S68" s="36">
        <v>17.618327724120601</v>
      </c>
      <c r="T68" s="36">
        <v>0.77205882352941102</v>
      </c>
      <c r="U68" s="36"/>
      <c r="V68" s="13"/>
      <c r="W68" s="13"/>
      <c r="X68" s="13"/>
      <c r="Y68" s="13"/>
      <c r="Z68" s="13"/>
      <c r="AA68" s="13">
        <f t="shared" si="5"/>
        <v>43.99183092682928</v>
      </c>
      <c r="AB68" s="26">
        <v>0.28099585138434802</v>
      </c>
      <c r="AC68" s="34">
        <v>467</v>
      </c>
      <c r="AD68" s="34">
        <v>95</v>
      </c>
      <c r="AE68" s="34">
        <v>20</v>
      </c>
      <c r="AF68" s="34">
        <v>33</v>
      </c>
      <c r="AG68" s="34">
        <v>0.165944411368527</v>
      </c>
      <c r="AI68" s="35">
        <v>65</v>
      </c>
      <c r="AJ68" s="35">
        <v>41</v>
      </c>
      <c r="AK68" s="17">
        <v>42.668401780000003</v>
      </c>
      <c r="AM68" s="35">
        <v>14.740371859296401</v>
      </c>
      <c r="AN68" s="35">
        <v>0.91617647058823504</v>
      </c>
      <c r="AV68" s="13">
        <f t="shared" ref="AV68:AV131" si="6">((AK68/AJ68)-1)*100</f>
        <v>4.0692726341463592</v>
      </c>
      <c r="AW68" s="35">
        <v>0.16963863821119701</v>
      </c>
      <c r="AX68" s="35">
        <v>1721</v>
      </c>
      <c r="AY68" s="35">
        <v>160</v>
      </c>
      <c r="AZ68" s="35">
        <v>45</v>
      </c>
      <c r="BA68" s="35">
        <v>43</v>
      </c>
      <c r="BB68" s="35">
        <v>0.8606210058964775</v>
      </c>
      <c r="BD68" s="35">
        <v>65</v>
      </c>
      <c r="BE68" s="35">
        <v>41</v>
      </c>
      <c r="BF68" s="17">
        <v>51.054240120000003</v>
      </c>
      <c r="BH68" s="35">
        <v>15.1349249999999</v>
      </c>
      <c r="BI68" s="35">
        <v>0.91176470588235203</v>
      </c>
      <c r="BQ68" s="13">
        <f t="shared" ref="BQ68:BQ131" si="7">((BF68/BE68)-1)*100</f>
        <v>24.522536878048797</v>
      </c>
      <c r="BR68" s="35">
        <v>0.134153777180607</v>
      </c>
      <c r="BS68" s="35">
        <v>1841</v>
      </c>
      <c r="BT68" s="35">
        <v>129</v>
      </c>
      <c r="BU68" s="35">
        <v>24</v>
      </c>
      <c r="BV68" s="35">
        <v>8</v>
      </c>
      <c r="BW68" s="35">
        <v>0.55969917438584682</v>
      </c>
    </row>
    <row r="69" spans="1:75">
      <c r="A69" s="13">
        <v>66</v>
      </c>
      <c r="B69" s="13">
        <v>83</v>
      </c>
      <c r="C69" s="17">
        <v>104.7363975</v>
      </c>
      <c r="D69" s="13"/>
      <c r="E69" s="36">
        <v>23.1460655668341</v>
      </c>
      <c r="F69" s="36">
        <v>0.71323529411764697</v>
      </c>
      <c r="G69" s="36"/>
      <c r="H69" s="13"/>
      <c r="I69" s="13"/>
      <c r="J69" s="13"/>
      <c r="K69" s="13"/>
      <c r="L69" s="13"/>
      <c r="M69" s="13">
        <f t="shared" si="4"/>
        <v>26.188430722891564</v>
      </c>
      <c r="N69" s="13"/>
      <c r="O69" s="13">
        <v>66</v>
      </c>
      <c r="P69" s="13">
        <v>83</v>
      </c>
      <c r="Q69" s="17">
        <v>98.276996089999997</v>
      </c>
      <c r="R69" s="13"/>
      <c r="S69" s="36">
        <v>17.9274211929648</v>
      </c>
      <c r="T69" s="36">
        <v>0.77794117647058803</v>
      </c>
      <c r="U69" s="36"/>
      <c r="V69" s="13"/>
      <c r="W69" s="13"/>
      <c r="X69" s="13"/>
      <c r="Y69" s="13"/>
      <c r="Z69" s="13"/>
      <c r="AA69" s="13">
        <f t="shared" si="5"/>
        <v>18.406019385542159</v>
      </c>
      <c r="AB69" s="26">
        <v>0.28099585138434802</v>
      </c>
      <c r="AC69" s="34">
        <v>610</v>
      </c>
      <c r="AD69" s="34">
        <v>63</v>
      </c>
      <c r="AE69" s="34">
        <v>47</v>
      </c>
      <c r="AF69" s="34">
        <v>9</v>
      </c>
      <c r="AG69" s="34">
        <v>0.85593229448274477</v>
      </c>
      <c r="AI69" s="35">
        <v>66</v>
      </c>
      <c r="AJ69" s="35">
        <v>83</v>
      </c>
      <c r="AK69" s="17">
        <v>83.793374249999999</v>
      </c>
      <c r="AM69" s="35">
        <v>14.9989748743718</v>
      </c>
      <c r="AN69" s="35">
        <v>0.91617647058823504</v>
      </c>
      <c r="AV69" s="13">
        <f t="shared" si="6"/>
        <v>0.95587259036145067</v>
      </c>
      <c r="AW69" s="35">
        <v>0.16963863821119701</v>
      </c>
      <c r="AX69" s="35">
        <v>435</v>
      </c>
      <c r="AY69" s="35">
        <v>41</v>
      </c>
      <c r="AZ69" s="35">
        <v>28</v>
      </c>
      <c r="BA69" s="35">
        <v>1</v>
      </c>
      <c r="BB69" s="35">
        <v>0.11264104566843862</v>
      </c>
      <c r="BD69" s="35">
        <v>66</v>
      </c>
      <c r="BE69" s="35">
        <v>83</v>
      </c>
      <c r="BF69" s="17">
        <v>87.877066709999994</v>
      </c>
      <c r="BH69" s="35">
        <v>15.4004499999999</v>
      </c>
      <c r="BI69" s="35">
        <v>0.91470588235294104</v>
      </c>
      <c r="BQ69" s="13">
        <f t="shared" si="7"/>
        <v>5.8759839879517939</v>
      </c>
      <c r="BR69" s="35">
        <v>0.134153777180607</v>
      </c>
      <c r="BS69" s="35">
        <v>713</v>
      </c>
      <c r="BT69" s="35">
        <v>8</v>
      </c>
      <c r="BU69" s="35">
        <v>19</v>
      </c>
      <c r="BV69" s="35">
        <v>20</v>
      </c>
      <c r="BW69" s="35">
        <v>0.68563328481943975</v>
      </c>
    </row>
    <row r="70" spans="1:75">
      <c r="A70" s="13">
        <v>67</v>
      </c>
      <c r="B70" s="13">
        <v>152</v>
      </c>
      <c r="C70" s="17">
        <v>124.4260481</v>
      </c>
      <c r="D70" s="13"/>
      <c r="E70" s="36">
        <v>23.545135662814001</v>
      </c>
      <c r="F70" s="36">
        <v>0.72647058823529398</v>
      </c>
      <c r="G70" s="36"/>
      <c r="H70" s="13"/>
      <c r="I70" s="13"/>
      <c r="J70" s="13"/>
      <c r="K70" s="13"/>
      <c r="L70" s="13"/>
      <c r="M70" s="13">
        <f t="shared" si="4"/>
        <v>-18.140757828947361</v>
      </c>
      <c r="N70" s="13"/>
      <c r="O70" s="13">
        <v>67</v>
      </c>
      <c r="P70" s="13">
        <v>152</v>
      </c>
      <c r="Q70" s="17">
        <v>132.56080779999999</v>
      </c>
      <c r="R70" s="13"/>
      <c r="S70" s="36">
        <v>18.236514661809</v>
      </c>
      <c r="T70" s="36">
        <v>0.79117647058823504</v>
      </c>
      <c r="U70" s="36"/>
      <c r="V70" s="13"/>
      <c r="W70" s="13"/>
      <c r="X70" s="13"/>
      <c r="Y70" s="13"/>
      <c r="Z70" s="13"/>
      <c r="AA70" s="13">
        <f t="shared" si="5"/>
        <v>-12.788942236842116</v>
      </c>
      <c r="AB70" s="26">
        <v>0.28099585138434802</v>
      </c>
      <c r="AC70" s="34">
        <v>99</v>
      </c>
      <c r="AD70" s="34">
        <v>145</v>
      </c>
      <c r="AE70" s="34">
        <v>31</v>
      </c>
      <c r="AF70" s="34">
        <v>9</v>
      </c>
      <c r="AG70" s="34">
        <v>0.89907775114928767</v>
      </c>
      <c r="AI70" s="35">
        <v>67</v>
      </c>
      <c r="AJ70" s="35">
        <v>152</v>
      </c>
      <c r="AK70" s="17">
        <v>151.77713489999999</v>
      </c>
      <c r="AM70" s="35">
        <v>15.2575778894472</v>
      </c>
      <c r="AN70" s="35">
        <v>0.91764705882352904</v>
      </c>
      <c r="AV70" s="13">
        <f t="shared" si="6"/>
        <v>-0.14662177631579176</v>
      </c>
      <c r="AW70" s="35">
        <v>0.16963863821119701</v>
      </c>
      <c r="AX70" s="35">
        <v>1950</v>
      </c>
      <c r="AY70" s="35">
        <v>117</v>
      </c>
      <c r="AZ70" s="35">
        <v>44</v>
      </c>
      <c r="BA70" s="35">
        <v>36</v>
      </c>
      <c r="BB70" s="35">
        <v>0.21250710541964735</v>
      </c>
      <c r="BD70" s="35">
        <v>67</v>
      </c>
      <c r="BE70" s="35">
        <v>152</v>
      </c>
      <c r="BF70" s="17">
        <v>147.63374640000001</v>
      </c>
      <c r="BH70" s="35">
        <v>15.6659749999999</v>
      </c>
      <c r="BI70" s="35">
        <v>0.91470588235294104</v>
      </c>
      <c r="BQ70" s="13">
        <f t="shared" si="7"/>
        <v>-2.8725352631578938</v>
      </c>
      <c r="BR70" s="35">
        <v>0.134153777180607</v>
      </c>
      <c r="BS70" s="35">
        <v>1120</v>
      </c>
      <c r="BT70" s="35">
        <v>118</v>
      </c>
      <c r="BU70" s="35">
        <v>34</v>
      </c>
      <c r="BV70" s="35">
        <v>22</v>
      </c>
      <c r="BW70" s="35">
        <v>0.44776333050282136</v>
      </c>
    </row>
    <row r="71" spans="1:75">
      <c r="A71" s="13">
        <v>68</v>
      </c>
      <c r="B71" s="13">
        <v>170</v>
      </c>
      <c r="C71" s="17">
        <v>159.19366969999999</v>
      </c>
      <c r="D71" s="13"/>
      <c r="E71" s="36">
        <v>23.944205758793899</v>
      </c>
      <c r="F71" s="36">
        <v>0.73823529411764699</v>
      </c>
      <c r="G71" s="36"/>
      <c r="H71" s="13"/>
      <c r="I71" s="13"/>
      <c r="J71" s="13"/>
      <c r="K71" s="13"/>
      <c r="L71" s="13"/>
      <c r="M71" s="13">
        <f t="shared" si="4"/>
        <v>-6.3566648823529466</v>
      </c>
      <c r="N71" s="13"/>
      <c r="O71" s="13">
        <v>68</v>
      </c>
      <c r="P71" s="13">
        <v>170</v>
      </c>
      <c r="Q71" s="17">
        <v>171.2590941</v>
      </c>
      <c r="R71" s="13"/>
      <c r="S71" s="36">
        <v>18.5456081306532</v>
      </c>
      <c r="T71" s="36">
        <v>0.79705882352941104</v>
      </c>
      <c r="U71" s="36"/>
      <c r="V71" s="13"/>
      <c r="W71" s="13"/>
      <c r="X71" s="13"/>
      <c r="Y71" s="13"/>
      <c r="Z71" s="13"/>
      <c r="AA71" s="13">
        <f t="shared" si="5"/>
        <v>0.7406435882352902</v>
      </c>
      <c r="AB71" s="26">
        <v>0.28099585138434802</v>
      </c>
      <c r="AC71" s="34">
        <v>565</v>
      </c>
      <c r="AD71" s="34">
        <v>31</v>
      </c>
      <c r="AE71" s="34">
        <v>29</v>
      </c>
      <c r="AF71" s="34">
        <v>28</v>
      </c>
      <c r="AG71" s="34">
        <v>0.28278580179232049</v>
      </c>
      <c r="AI71" s="35">
        <v>68</v>
      </c>
      <c r="AJ71" s="35">
        <v>170</v>
      </c>
      <c r="AK71" s="17">
        <v>170.01986669999999</v>
      </c>
      <c r="AM71" s="35">
        <v>15.516180904522599</v>
      </c>
      <c r="AN71" s="35">
        <v>0.92058823529411704</v>
      </c>
      <c r="AV71" s="13">
        <f t="shared" si="6"/>
        <v>1.1686294117652096E-2</v>
      </c>
      <c r="AW71" s="35">
        <v>0.16963863821119701</v>
      </c>
      <c r="AX71" s="35">
        <v>986</v>
      </c>
      <c r="AY71" s="35">
        <v>43</v>
      </c>
      <c r="AZ71" s="35">
        <v>14</v>
      </c>
      <c r="BA71" s="35">
        <v>22</v>
      </c>
      <c r="BB71" s="35">
        <v>0.4411056752520558</v>
      </c>
      <c r="BD71" s="35">
        <v>68</v>
      </c>
      <c r="BE71" s="35">
        <v>170</v>
      </c>
      <c r="BF71" s="17">
        <v>170.2983984</v>
      </c>
      <c r="BH71" s="35">
        <v>15.9314999999999</v>
      </c>
      <c r="BI71" s="35">
        <v>0.91470588235294104</v>
      </c>
      <c r="BQ71" s="13">
        <f t="shared" si="7"/>
        <v>0.17552847058823762</v>
      </c>
      <c r="BR71" s="35">
        <v>0.13412201605231699</v>
      </c>
      <c r="BS71" s="35">
        <v>1290</v>
      </c>
      <c r="BT71" s="35">
        <v>30</v>
      </c>
      <c r="BU71" s="35">
        <v>21</v>
      </c>
      <c r="BV71" s="35">
        <v>17</v>
      </c>
      <c r="BW71" s="35">
        <v>0.73858120543795747</v>
      </c>
    </row>
    <row r="72" spans="1:75">
      <c r="A72" s="13">
        <v>69</v>
      </c>
      <c r="B72" s="13">
        <v>27</v>
      </c>
      <c r="C72" s="17">
        <v>15.175632738816599</v>
      </c>
      <c r="D72" s="13"/>
      <c r="E72" s="36">
        <v>24.3432758547738</v>
      </c>
      <c r="F72" s="36">
        <v>0.74264705882352899</v>
      </c>
      <c r="G72" s="36"/>
      <c r="H72" s="13"/>
      <c r="I72" s="13"/>
      <c r="J72" s="13"/>
      <c r="K72" s="13"/>
      <c r="L72" s="13"/>
      <c r="M72" s="13">
        <f t="shared" si="4"/>
        <v>-43.793952819197777</v>
      </c>
      <c r="N72" s="13"/>
      <c r="O72" s="13">
        <v>69</v>
      </c>
      <c r="P72" s="13">
        <v>27</v>
      </c>
      <c r="Q72" s="17">
        <v>16.054368488652599</v>
      </c>
      <c r="R72" s="13"/>
      <c r="S72" s="36">
        <v>18.8547015994974</v>
      </c>
      <c r="T72" s="36">
        <v>0.80588235294117605</v>
      </c>
      <c r="U72" s="36"/>
      <c r="V72" s="13"/>
      <c r="W72" s="13"/>
      <c r="X72" s="13"/>
      <c r="Y72" s="13"/>
      <c r="Z72" s="13"/>
      <c r="AA72" s="13">
        <f t="shared" si="5"/>
        <v>-40.53937596795334</v>
      </c>
      <c r="AB72" s="26">
        <v>0.28099585138434802</v>
      </c>
      <c r="AC72" s="34">
        <v>501</v>
      </c>
      <c r="AD72" s="34">
        <v>187</v>
      </c>
      <c r="AE72" s="34">
        <v>6</v>
      </c>
      <c r="AF72" s="34">
        <v>31</v>
      </c>
      <c r="AG72" s="34">
        <v>0.86829464919200516</v>
      </c>
      <c r="AI72" s="35">
        <v>69</v>
      </c>
      <c r="AJ72" s="35">
        <v>27</v>
      </c>
      <c r="AK72" s="17">
        <v>27.95547917</v>
      </c>
      <c r="AM72" s="35">
        <v>15.774783919597899</v>
      </c>
      <c r="AN72" s="35">
        <v>0.92500000000000004</v>
      </c>
      <c r="AV72" s="13">
        <f t="shared" si="6"/>
        <v>3.5388117407407327</v>
      </c>
      <c r="AW72" s="35">
        <v>0.16963863821119701</v>
      </c>
      <c r="AX72" s="35">
        <v>1047</v>
      </c>
      <c r="AY72" s="35">
        <v>145</v>
      </c>
      <c r="AZ72" s="35">
        <v>35</v>
      </c>
      <c r="BA72" s="35">
        <v>31</v>
      </c>
      <c r="BB72" s="35">
        <v>0.68925285694967242</v>
      </c>
      <c r="BD72" s="35">
        <v>69</v>
      </c>
      <c r="BE72" s="35">
        <v>27</v>
      </c>
      <c r="BF72" s="17">
        <v>32.33439911</v>
      </c>
      <c r="BH72" s="35">
        <v>16.197024999999901</v>
      </c>
      <c r="BI72" s="35">
        <v>0.92058823529411704</v>
      </c>
      <c r="BQ72" s="13">
        <f t="shared" si="7"/>
        <v>19.757033740740738</v>
      </c>
      <c r="BR72" s="35">
        <v>0.13412201605231699</v>
      </c>
      <c r="BS72" s="35">
        <v>119</v>
      </c>
      <c r="BT72" s="35">
        <v>45</v>
      </c>
      <c r="BU72" s="35">
        <v>22</v>
      </c>
      <c r="BV72" s="35">
        <v>12</v>
      </c>
      <c r="BW72" s="35">
        <v>0.24779954569837623</v>
      </c>
    </row>
    <row r="73" spans="1:75">
      <c r="A73" s="13">
        <v>70</v>
      </c>
      <c r="B73" s="13">
        <v>147</v>
      </c>
      <c r="C73" s="17">
        <v>144.73496159999999</v>
      </c>
      <c r="D73" s="13"/>
      <c r="E73" s="36">
        <v>24.742345950753698</v>
      </c>
      <c r="F73" s="36">
        <v>0.75</v>
      </c>
      <c r="G73" s="36"/>
      <c r="H73" s="13"/>
      <c r="I73" s="13"/>
      <c r="J73" s="13"/>
      <c r="K73" s="13"/>
      <c r="L73" s="13"/>
      <c r="M73" s="13">
        <f t="shared" si="4"/>
        <v>-1.5408424489795958</v>
      </c>
      <c r="N73" s="13"/>
      <c r="O73" s="13">
        <v>70</v>
      </c>
      <c r="P73" s="13">
        <v>147</v>
      </c>
      <c r="Q73" s="17">
        <v>147.58299700000001</v>
      </c>
      <c r="R73" s="13"/>
      <c r="S73" s="36">
        <v>19.163795068341699</v>
      </c>
      <c r="T73" s="36">
        <v>0.81617647058823495</v>
      </c>
      <c r="U73" s="36"/>
      <c r="V73" s="13"/>
      <c r="W73" s="13"/>
      <c r="X73" s="13"/>
      <c r="Y73" s="13"/>
      <c r="Z73" s="13"/>
      <c r="AA73" s="13">
        <f t="shared" si="5"/>
        <v>0.39659659863946484</v>
      </c>
      <c r="AB73" s="26">
        <v>0.28099585138434802</v>
      </c>
      <c r="AC73" s="34">
        <v>753</v>
      </c>
      <c r="AD73" s="34">
        <v>86</v>
      </c>
      <c r="AE73" s="34">
        <v>50</v>
      </c>
      <c r="AF73" s="34">
        <v>10</v>
      </c>
      <c r="AG73" s="34">
        <v>0.40350775564039021</v>
      </c>
      <c r="AI73" s="35">
        <v>70</v>
      </c>
      <c r="AJ73" s="35">
        <v>147</v>
      </c>
      <c r="AK73" s="17">
        <v>147.5159592</v>
      </c>
      <c r="AM73" s="35">
        <v>16.033386934673299</v>
      </c>
      <c r="AN73" s="35">
        <v>0.92647058823529405</v>
      </c>
      <c r="AV73" s="13">
        <f t="shared" si="6"/>
        <v>0.35099265306122174</v>
      </c>
      <c r="AW73" s="35">
        <v>0.16963863821119701</v>
      </c>
      <c r="AX73" s="35">
        <v>1579</v>
      </c>
      <c r="AY73" s="35">
        <v>118</v>
      </c>
      <c r="AZ73" s="35">
        <v>41</v>
      </c>
      <c r="BA73" s="35">
        <v>43</v>
      </c>
      <c r="BB73" s="35">
        <v>0.6883724606419257</v>
      </c>
      <c r="BD73" s="35">
        <v>70</v>
      </c>
      <c r="BE73" s="35">
        <v>147</v>
      </c>
      <c r="BF73" s="17">
        <v>148.477857</v>
      </c>
      <c r="BH73" s="35">
        <v>16.462549999999901</v>
      </c>
      <c r="BI73" s="35">
        <v>0.92794117647058805</v>
      </c>
      <c r="BQ73" s="13">
        <f t="shared" si="7"/>
        <v>1.0053448979591817</v>
      </c>
      <c r="BR73" s="35">
        <v>0.13412201605231699</v>
      </c>
      <c r="BS73" s="35">
        <v>676</v>
      </c>
      <c r="BT73" s="35">
        <v>42</v>
      </c>
      <c r="BU73" s="35">
        <v>47</v>
      </c>
      <c r="BV73" s="35">
        <v>45</v>
      </c>
      <c r="BW73" s="35">
        <v>0.26807695656705205</v>
      </c>
    </row>
    <row r="74" spans="1:75">
      <c r="A74" s="13">
        <v>71</v>
      </c>
      <c r="B74" s="13">
        <v>103</v>
      </c>
      <c r="C74" s="17">
        <v>118.53457179999999</v>
      </c>
      <c r="D74" s="13"/>
      <c r="E74" s="36">
        <v>25.1414160467336</v>
      </c>
      <c r="F74" s="36">
        <v>0.752941176470588</v>
      </c>
      <c r="G74" s="36"/>
      <c r="H74" s="13"/>
      <c r="I74" s="13"/>
      <c r="J74" s="13"/>
      <c r="K74" s="13"/>
      <c r="L74" s="13"/>
      <c r="M74" s="13">
        <f t="shared" si="4"/>
        <v>15.082108543689321</v>
      </c>
      <c r="N74" s="13"/>
      <c r="O74" s="13">
        <v>71</v>
      </c>
      <c r="P74" s="13">
        <v>103</v>
      </c>
      <c r="Q74" s="17">
        <v>115.4931972</v>
      </c>
      <c r="R74" s="13"/>
      <c r="S74" s="36">
        <v>19.472888537185899</v>
      </c>
      <c r="T74" s="36">
        <v>0.82647058823529396</v>
      </c>
      <c r="U74" s="36"/>
      <c r="V74" s="13"/>
      <c r="W74" s="13"/>
      <c r="X74" s="13"/>
      <c r="Y74" s="13"/>
      <c r="Z74" s="13"/>
      <c r="AA74" s="13">
        <f t="shared" si="5"/>
        <v>12.129317669902907</v>
      </c>
      <c r="AB74" s="26">
        <v>0.28099585138434802</v>
      </c>
      <c r="AC74" s="34">
        <v>1359</v>
      </c>
      <c r="AD74" s="34">
        <v>11</v>
      </c>
      <c r="AE74" s="34">
        <v>11</v>
      </c>
      <c r="AF74" s="34">
        <v>30</v>
      </c>
      <c r="AG74" s="34">
        <v>0.7293665386135697</v>
      </c>
      <c r="AI74" s="35">
        <v>71</v>
      </c>
      <c r="AJ74" s="35">
        <v>103</v>
      </c>
      <c r="AK74" s="17">
        <v>103.8330761</v>
      </c>
      <c r="AM74" s="35">
        <v>16.2919899497487</v>
      </c>
      <c r="AN74" s="35">
        <v>0.92794117647058805</v>
      </c>
      <c r="AV74" s="13">
        <f t="shared" si="6"/>
        <v>0.80881174757281293</v>
      </c>
      <c r="AW74" s="35">
        <v>0.16963863821119701</v>
      </c>
      <c r="AX74" s="35">
        <v>647</v>
      </c>
      <c r="AY74" s="35">
        <v>161</v>
      </c>
      <c r="AZ74" s="35">
        <v>34</v>
      </c>
      <c r="BA74" s="35">
        <v>8</v>
      </c>
      <c r="BB74" s="35">
        <v>0.2329003763718922</v>
      </c>
      <c r="BD74" s="35">
        <v>71</v>
      </c>
      <c r="BE74" s="35">
        <v>103</v>
      </c>
      <c r="BF74" s="17">
        <v>109.276887</v>
      </c>
      <c r="BH74" s="35">
        <v>16.728074999999901</v>
      </c>
      <c r="BI74" s="35">
        <v>0.92941176470588205</v>
      </c>
      <c r="BQ74" s="13">
        <f t="shared" si="7"/>
        <v>6.0940650485436842</v>
      </c>
      <c r="BR74" s="35">
        <v>0.13412201605231699</v>
      </c>
      <c r="BS74" s="35">
        <v>696</v>
      </c>
      <c r="BT74" s="35">
        <v>116</v>
      </c>
      <c r="BU74" s="35">
        <v>43</v>
      </c>
      <c r="BV74" s="35">
        <v>20</v>
      </c>
      <c r="BW74" s="35">
        <v>0.66719384645358593</v>
      </c>
    </row>
    <row r="75" spans="1:75">
      <c r="A75" s="13">
        <v>72</v>
      </c>
      <c r="B75" s="13">
        <v>152</v>
      </c>
      <c r="C75" s="17">
        <v>144.85716819999999</v>
      </c>
      <c r="D75" s="13"/>
      <c r="E75" s="36">
        <v>25.540486142713501</v>
      </c>
      <c r="F75" s="36">
        <v>0.76470588235294101</v>
      </c>
      <c r="G75" s="36"/>
      <c r="H75" s="13"/>
      <c r="I75" s="13"/>
      <c r="J75" s="13"/>
      <c r="K75" s="13"/>
      <c r="L75" s="13"/>
      <c r="M75" s="13">
        <f t="shared" si="4"/>
        <v>-4.6992314473684242</v>
      </c>
      <c r="N75" s="13"/>
      <c r="O75" s="13">
        <v>72</v>
      </c>
      <c r="P75" s="13">
        <v>152</v>
      </c>
      <c r="Q75" s="17">
        <v>152.2405957</v>
      </c>
      <c r="R75" s="13"/>
      <c r="S75" s="36">
        <v>19.781982006030098</v>
      </c>
      <c r="T75" s="36">
        <v>0.83676470588235297</v>
      </c>
      <c r="U75" s="36"/>
      <c r="V75" s="13"/>
      <c r="W75" s="13"/>
      <c r="X75" s="13"/>
      <c r="Y75" s="13"/>
      <c r="Z75" s="13"/>
      <c r="AA75" s="13">
        <f t="shared" si="5"/>
        <v>0.15828664473684917</v>
      </c>
      <c r="AB75" s="26">
        <v>0.27222755918247998</v>
      </c>
      <c r="AC75" s="34">
        <v>1278</v>
      </c>
      <c r="AD75" s="34">
        <v>73</v>
      </c>
      <c r="AE75" s="34">
        <v>2</v>
      </c>
      <c r="AF75" s="34">
        <v>18</v>
      </c>
      <c r="AG75" s="34">
        <v>0.29515814354412251</v>
      </c>
      <c r="AI75" s="35">
        <v>72</v>
      </c>
      <c r="AJ75" s="35">
        <v>152</v>
      </c>
      <c r="AK75" s="17">
        <v>152.18178180000001</v>
      </c>
      <c r="AM75" s="35">
        <v>16.550592964824101</v>
      </c>
      <c r="AN75" s="35">
        <v>0.92941176470588205</v>
      </c>
      <c r="AV75" s="13">
        <f t="shared" si="6"/>
        <v>0.11959328947368508</v>
      </c>
      <c r="AW75" s="35">
        <v>0.167948173836969</v>
      </c>
      <c r="AX75" s="35">
        <v>1638</v>
      </c>
      <c r="AY75" s="35">
        <v>121</v>
      </c>
      <c r="AZ75" s="35">
        <v>17</v>
      </c>
      <c r="BA75" s="35">
        <v>27</v>
      </c>
      <c r="BB75" s="35">
        <v>0.57009859925854067</v>
      </c>
      <c r="BD75" s="35">
        <v>72</v>
      </c>
      <c r="BE75" s="35">
        <v>152</v>
      </c>
      <c r="BF75" s="17">
        <v>152.42209149999999</v>
      </c>
      <c r="BH75" s="35">
        <v>16.993599999999901</v>
      </c>
      <c r="BI75" s="35">
        <v>0.93088235294117605</v>
      </c>
      <c r="BQ75" s="13">
        <f t="shared" si="7"/>
        <v>0.27769177631578046</v>
      </c>
      <c r="BR75" s="35">
        <v>0.13412201605231699</v>
      </c>
      <c r="BS75" s="35">
        <v>1306</v>
      </c>
      <c r="BT75" s="35">
        <v>158</v>
      </c>
      <c r="BU75" s="35">
        <v>29</v>
      </c>
      <c r="BV75" s="35">
        <v>46</v>
      </c>
      <c r="BW75" s="35">
        <v>0.93930911446423992</v>
      </c>
    </row>
    <row r="76" spans="1:75">
      <c r="A76" s="13">
        <v>73</v>
      </c>
      <c r="B76" s="13">
        <v>135</v>
      </c>
      <c r="C76" s="17">
        <v>141.04220670000001</v>
      </c>
      <c r="D76" s="13"/>
      <c r="E76" s="36">
        <v>25.939556238693399</v>
      </c>
      <c r="F76" s="36">
        <v>0.77058823529411702</v>
      </c>
      <c r="G76" s="36"/>
      <c r="H76" s="13"/>
      <c r="I76" s="13"/>
      <c r="J76" s="13"/>
      <c r="K76" s="13"/>
      <c r="L76" s="13"/>
      <c r="M76" s="13">
        <f t="shared" si="4"/>
        <v>4.4757086666666668</v>
      </c>
      <c r="N76" s="13"/>
      <c r="O76" s="13">
        <v>73</v>
      </c>
      <c r="P76" s="13">
        <v>135</v>
      </c>
      <c r="Q76" s="17">
        <v>144.3588523</v>
      </c>
      <c r="R76" s="13"/>
      <c r="S76" s="36">
        <v>20.091075474874302</v>
      </c>
      <c r="T76" s="36">
        <v>0.85</v>
      </c>
      <c r="U76" s="36"/>
      <c r="V76" s="13"/>
      <c r="W76" s="13"/>
      <c r="X76" s="13"/>
      <c r="Y76" s="13"/>
      <c r="Z76" s="13"/>
      <c r="AA76" s="13">
        <f t="shared" si="5"/>
        <v>6.9324831851851787</v>
      </c>
      <c r="AB76" s="26">
        <v>0.27222755918247998</v>
      </c>
      <c r="AC76" s="34">
        <v>1355</v>
      </c>
      <c r="AD76" s="34">
        <v>88</v>
      </c>
      <c r="AE76" s="34">
        <v>3</v>
      </c>
      <c r="AF76" s="34">
        <v>24</v>
      </c>
      <c r="AG76" s="34">
        <v>0.50931911253367679</v>
      </c>
      <c r="AI76" s="35">
        <v>73</v>
      </c>
      <c r="AJ76" s="35">
        <v>135</v>
      </c>
      <c r="AK76" s="17">
        <v>136.13443029999999</v>
      </c>
      <c r="AM76" s="35">
        <v>16.8091959798994</v>
      </c>
      <c r="AN76" s="35">
        <v>0.93235294117647005</v>
      </c>
      <c r="AV76" s="13">
        <f t="shared" si="6"/>
        <v>0.84031874074073087</v>
      </c>
      <c r="AW76" s="35">
        <v>0.167948173836969</v>
      </c>
      <c r="AX76" s="35">
        <v>983</v>
      </c>
      <c r="AY76" s="35">
        <v>81</v>
      </c>
      <c r="AZ76" s="35">
        <v>36</v>
      </c>
      <c r="BA76" s="35">
        <v>30</v>
      </c>
      <c r="BB76" s="35">
        <v>0.62850392826691648</v>
      </c>
      <c r="BD76" s="35">
        <v>73</v>
      </c>
      <c r="BE76" s="35">
        <v>135</v>
      </c>
      <c r="BF76" s="17">
        <v>139.54274090000001</v>
      </c>
      <c r="BH76" s="35">
        <v>17.259124999999901</v>
      </c>
      <c r="BI76" s="35">
        <v>0.93088235294117605</v>
      </c>
      <c r="BQ76" s="13">
        <f t="shared" si="7"/>
        <v>3.3649932592592746</v>
      </c>
      <c r="BR76" s="35">
        <v>0.13412201605231699</v>
      </c>
      <c r="BS76" s="35">
        <v>82</v>
      </c>
      <c r="BT76" s="35">
        <v>28</v>
      </c>
      <c r="BU76" s="35">
        <v>14</v>
      </c>
      <c r="BV76" s="35">
        <v>10</v>
      </c>
      <c r="BW76" s="35">
        <v>0.23709671509827557</v>
      </c>
    </row>
    <row r="77" spans="1:75">
      <c r="A77" s="13">
        <v>74</v>
      </c>
      <c r="B77" s="13">
        <v>159</v>
      </c>
      <c r="C77" s="17">
        <v>143.27324619999999</v>
      </c>
      <c r="D77" s="13"/>
      <c r="E77" s="36">
        <v>26.3386263346733</v>
      </c>
      <c r="F77" s="36">
        <v>0.77647058823529402</v>
      </c>
      <c r="G77" s="36"/>
      <c r="H77" s="13"/>
      <c r="I77" s="13"/>
      <c r="J77" s="13"/>
      <c r="K77" s="13"/>
      <c r="L77" s="13"/>
      <c r="M77" s="13">
        <f t="shared" si="4"/>
        <v>-9.8910401257861658</v>
      </c>
      <c r="N77" s="13"/>
      <c r="O77" s="13">
        <v>74</v>
      </c>
      <c r="P77" s="13">
        <v>159</v>
      </c>
      <c r="Q77" s="17">
        <v>151.92581870000001</v>
      </c>
      <c r="R77" s="13"/>
      <c r="S77" s="36">
        <v>20.400168943718501</v>
      </c>
      <c r="T77" s="36">
        <v>0.85147058823529398</v>
      </c>
      <c r="U77" s="36"/>
      <c r="V77" s="13"/>
      <c r="W77" s="13"/>
      <c r="X77" s="13"/>
      <c r="Y77" s="13"/>
      <c r="Z77" s="13"/>
      <c r="AA77" s="13">
        <f t="shared" si="5"/>
        <v>-4.4491706289308102</v>
      </c>
      <c r="AB77" s="26">
        <v>0.27222755918247998</v>
      </c>
      <c r="AC77" s="34">
        <v>979</v>
      </c>
      <c r="AD77" s="34">
        <v>96</v>
      </c>
      <c r="AE77" s="34">
        <v>38</v>
      </c>
      <c r="AF77" s="34">
        <v>6</v>
      </c>
      <c r="AG77" s="34">
        <v>0.11062518941160027</v>
      </c>
      <c r="AI77" s="35">
        <v>74</v>
      </c>
      <c r="AJ77" s="35">
        <v>159</v>
      </c>
      <c r="AK77" s="17">
        <v>158.54681249999999</v>
      </c>
      <c r="AM77" s="35">
        <v>17.067798994974801</v>
      </c>
      <c r="AN77" s="35">
        <v>0.93235294117647005</v>
      </c>
      <c r="AV77" s="13">
        <f t="shared" si="6"/>
        <v>-0.28502358490566371</v>
      </c>
      <c r="AW77" s="35">
        <v>0.167948173836969</v>
      </c>
      <c r="AX77" s="35">
        <v>1890</v>
      </c>
      <c r="AY77" s="35">
        <v>87</v>
      </c>
      <c r="AZ77" s="35">
        <v>5</v>
      </c>
      <c r="BA77" s="35">
        <v>2</v>
      </c>
      <c r="BB77" s="35">
        <v>0.79110480376336589</v>
      </c>
      <c r="BD77" s="35">
        <v>74</v>
      </c>
      <c r="BE77" s="35">
        <v>159</v>
      </c>
      <c r="BF77" s="17">
        <v>157.47148580000001</v>
      </c>
      <c r="BH77" s="35">
        <v>17.524649999999902</v>
      </c>
      <c r="BI77" s="35">
        <v>0.93088235294117605</v>
      </c>
      <c r="BQ77" s="13">
        <f t="shared" si="7"/>
        <v>-0.96132968553458431</v>
      </c>
      <c r="BR77" s="35">
        <v>0.13290867514666899</v>
      </c>
      <c r="BS77" s="35">
        <v>906</v>
      </c>
      <c r="BT77" s="35">
        <v>169</v>
      </c>
      <c r="BU77" s="35">
        <v>4</v>
      </c>
      <c r="BV77" s="35">
        <v>26</v>
      </c>
      <c r="BW77" s="35">
        <v>0.86173810747527591</v>
      </c>
    </row>
    <row r="78" spans="1:75">
      <c r="A78" s="13">
        <v>75</v>
      </c>
      <c r="B78" s="13">
        <v>194</v>
      </c>
      <c r="C78" s="17">
        <v>177.7325697</v>
      </c>
      <c r="D78" s="13"/>
      <c r="E78" s="36">
        <v>26.737696430653202</v>
      </c>
      <c r="F78" s="36">
        <v>0.78382352941176403</v>
      </c>
      <c r="G78" s="36"/>
      <c r="H78" s="13"/>
      <c r="I78" s="13"/>
      <c r="J78" s="13"/>
      <c r="K78" s="13"/>
      <c r="L78" s="13"/>
      <c r="M78" s="13">
        <f t="shared" si="4"/>
        <v>-8.3852733505154653</v>
      </c>
      <c r="N78" s="13"/>
      <c r="O78" s="13">
        <v>75</v>
      </c>
      <c r="P78" s="13">
        <v>194</v>
      </c>
      <c r="Q78" s="17">
        <v>189.67438910000001</v>
      </c>
      <c r="R78" s="13"/>
      <c r="S78" s="36">
        <v>20.709262412562801</v>
      </c>
      <c r="T78" s="36">
        <v>0.85588235294117598</v>
      </c>
      <c r="U78" s="36"/>
      <c r="V78" s="13"/>
      <c r="W78" s="13"/>
      <c r="X78" s="13"/>
      <c r="Y78" s="13"/>
      <c r="Z78" s="13"/>
      <c r="AA78" s="13">
        <f t="shared" si="5"/>
        <v>-2.2296963402061776</v>
      </c>
      <c r="AB78" s="26">
        <v>0.27222755918247998</v>
      </c>
      <c r="AC78" s="34">
        <v>1669</v>
      </c>
      <c r="AD78" s="34">
        <v>64</v>
      </c>
      <c r="AE78" s="34">
        <v>7</v>
      </c>
      <c r="AF78" s="34">
        <v>46</v>
      </c>
      <c r="AG78" s="34">
        <v>0.3678235241941249</v>
      </c>
      <c r="AI78" s="35">
        <v>75</v>
      </c>
      <c r="AJ78" s="35">
        <v>194</v>
      </c>
      <c r="AK78" s="17">
        <v>194.0505</v>
      </c>
      <c r="AM78" s="35">
        <v>17.326402010050199</v>
      </c>
      <c r="AN78" s="35">
        <v>0.93529411764705805</v>
      </c>
      <c r="AV78" s="13">
        <f t="shared" si="6"/>
        <v>2.603092783504124E-2</v>
      </c>
      <c r="AW78" s="35">
        <v>0.167948173836969</v>
      </c>
      <c r="AX78" s="35">
        <v>287</v>
      </c>
      <c r="AY78" s="35">
        <v>199</v>
      </c>
      <c r="AZ78" s="35">
        <v>36</v>
      </c>
      <c r="BA78" s="35">
        <v>1</v>
      </c>
      <c r="BB78" s="35">
        <v>0.54994042615519179</v>
      </c>
      <c r="BD78" s="35">
        <v>75</v>
      </c>
      <c r="BE78" s="35">
        <v>194</v>
      </c>
      <c r="BF78" s="17">
        <v>193.83804380000001</v>
      </c>
      <c r="BH78" s="35">
        <v>17.790174999999898</v>
      </c>
      <c r="BI78" s="35">
        <v>0.93676470588235194</v>
      </c>
      <c r="BQ78" s="13">
        <f t="shared" si="7"/>
        <v>-8.3482577319582418E-2</v>
      </c>
      <c r="BR78" s="35">
        <v>0.13290867514666899</v>
      </c>
      <c r="BS78" s="35">
        <v>318</v>
      </c>
      <c r="BT78" s="35">
        <v>83</v>
      </c>
      <c r="BU78" s="35">
        <v>14</v>
      </c>
      <c r="BV78" s="35">
        <v>6</v>
      </c>
      <c r="BW78" s="35">
        <v>0.90647279051613505</v>
      </c>
    </row>
    <row r="79" spans="1:75">
      <c r="A79" s="13">
        <v>76</v>
      </c>
      <c r="B79" s="13">
        <v>189</v>
      </c>
      <c r="C79" s="17">
        <v>170.4022636</v>
      </c>
      <c r="D79" s="13"/>
      <c r="E79" s="36">
        <v>27.1367665266331</v>
      </c>
      <c r="F79" s="36">
        <v>0.78970588235294104</v>
      </c>
      <c r="G79" s="36"/>
      <c r="H79" s="13"/>
      <c r="I79" s="13"/>
      <c r="J79" s="13"/>
      <c r="K79" s="13"/>
      <c r="L79" s="13"/>
      <c r="M79" s="13">
        <f t="shared" si="4"/>
        <v>-9.840072169312176</v>
      </c>
      <c r="N79" s="13"/>
      <c r="O79" s="13">
        <v>76</v>
      </c>
      <c r="P79" s="13">
        <v>189</v>
      </c>
      <c r="Q79" s="17">
        <v>181.95843360000001</v>
      </c>
      <c r="R79" s="13"/>
      <c r="S79" s="36">
        <v>21.018355881407</v>
      </c>
      <c r="T79" s="36">
        <v>0.85882352941176399</v>
      </c>
      <c r="U79" s="36"/>
      <c r="V79" s="13"/>
      <c r="W79" s="13"/>
      <c r="X79" s="13"/>
      <c r="Y79" s="13"/>
      <c r="Z79" s="13"/>
      <c r="AA79" s="13">
        <f t="shared" si="5"/>
        <v>-3.7256965079365045</v>
      </c>
      <c r="AB79" s="26">
        <v>0.27222755918247998</v>
      </c>
      <c r="AC79" s="34">
        <v>1388</v>
      </c>
      <c r="AD79" s="34">
        <v>45</v>
      </c>
      <c r="AE79" s="34">
        <v>26</v>
      </c>
      <c r="AF79" s="34">
        <v>18</v>
      </c>
      <c r="AG79" s="34">
        <v>0.14141201911118095</v>
      </c>
      <c r="AI79" s="35">
        <v>76</v>
      </c>
      <c r="AJ79" s="35">
        <v>189</v>
      </c>
      <c r="AK79" s="17">
        <v>188.17540450000001</v>
      </c>
      <c r="AM79" s="35">
        <v>17.5850050251256</v>
      </c>
      <c r="AN79" s="35">
        <v>0.93676470588235194</v>
      </c>
      <c r="AV79" s="13">
        <f t="shared" si="6"/>
        <v>-0.43629391534391049</v>
      </c>
      <c r="AW79" s="35">
        <v>0.167948173836969</v>
      </c>
      <c r="AX79" s="35">
        <v>1991</v>
      </c>
      <c r="AY79" s="35">
        <v>158</v>
      </c>
      <c r="AZ79" s="35">
        <v>19</v>
      </c>
      <c r="BA79" s="35">
        <v>20</v>
      </c>
      <c r="BB79" s="35">
        <v>0.90485521379635292</v>
      </c>
      <c r="BD79" s="35">
        <v>76</v>
      </c>
      <c r="BE79" s="35">
        <v>189</v>
      </c>
      <c r="BF79" s="17">
        <v>186.2142633</v>
      </c>
      <c r="BH79" s="35">
        <v>18.055699999999899</v>
      </c>
      <c r="BI79" s="35">
        <v>0.94117647058823495</v>
      </c>
      <c r="BQ79" s="13">
        <f t="shared" si="7"/>
        <v>-1.4739347619047605</v>
      </c>
      <c r="BR79" s="35">
        <v>0.13290867514666899</v>
      </c>
      <c r="BS79" s="35">
        <v>1578</v>
      </c>
      <c r="BT79" s="35">
        <v>87</v>
      </c>
      <c r="BU79" s="35">
        <v>46</v>
      </c>
      <c r="BV79" s="35">
        <v>37</v>
      </c>
      <c r="BW79" s="35">
        <v>0.27160417347613597</v>
      </c>
    </row>
    <row r="80" spans="1:75">
      <c r="A80" s="13">
        <v>77</v>
      </c>
      <c r="B80" s="13">
        <v>150</v>
      </c>
      <c r="C80" s="17">
        <v>140.7631031</v>
      </c>
      <c r="D80" s="13"/>
      <c r="E80" s="36">
        <v>27.535836622613001</v>
      </c>
      <c r="F80" s="36">
        <v>0.79705882352941104</v>
      </c>
      <c r="G80" s="36"/>
      <c r="H80" s="13"/>
      <c r="I80" s="13"/>
      <c r="J80" s="13"/>
      <c r="K80" s="13"/>
      <c r="L80" s="13"/>
      <c r="M80" s="13">
        <f t="shared" si="4"/>
        <v>-6.1579312666666723</v>
      </c>
      <c r="N80" s="13"/>
      <c r="O80" s="13">
        <v>77</v>
      </c>
      <c r="P80" s="13">
        <v>150</v>
      </c>
      <c r="Q80" s="17">
        <v>147.62357560000001</v>
      </c>
      <c r="R80" s="13"/>
      <c r="S80" s="36">
        <v>21.3274493502512</v>
      </c>
      <c r="T80" s="36">
        <v>0.86323529411764699</v>
      </c>
      <c r="U80" s="36"/>
      <c r="V80" s="13"/>
      <c r="W80" s="13"/>
      <c r="X80" s="13"/>
      <c r="Y80" s="13"/>
      <c r="Z80" s="13"/>
      <c r="AA80" s="13">
        <f t="shared" si="5"/>
        <v>-1.5842829333333253</v>
      </c>
      <c r="AB80" s="26">
        <v>0.27222755918247998</v>
      </c>
      <c r="AC80" s="34">
        <v>880</v>
      </c>
      <c r="AD80" s="34">
        <v>184</v>
      </c>
      <c r="AE80" s="34">
        <v>16</v>
      </c>
      <c r="AF80" s="34">
        <v>39</v>
      </c>
      <c r="AG80" s="34">
        <v>0.40454547625537884</v>
      </c>
      <c r="AI80" s="35">
        <v>77</v>
      </c>
      <c r="AJ80" s="35">
        <v>150</v>
      </c>
      <c r="AK80" s="17">
        <v>150.32683059999999</v>
      </c>
      <c r="AM80" s="35">
        <v>17.843608040201001</v>
      </c>
      <c r="AN80" s="35">
        <v>0.93823529411764695</v>
      </c>
      <c r="AV80" s="13">
        <f t="shared" si="6"/>
        <v>0.21788706666665547</v>
      </c>
      <c r="AW80" s="35">
        <v>0.167948173836969</v>
      </c>
      <c r="AX80" s="35">
        <v>1306</v>
      </c>
      <c r="AY80" s="35">
        <v>125</v>
      </c>
      <c r="AZ80" s="35">
        <v>41</v>
      </c>
      <c r="BA80" s="35">
        <v>7</v>
      </c>
      <c r="BB80" s="35">
        <v>0.61352410565181703</v>
      </c>
      <c r="BD80" s="35">
        <v>77</v>
      </c>
      <c r="BE80" s="35">
        <v>150</v>
      </c>
      <c r="BF80" s="17">
        <v>149.95309599999999</v>
      </c>
      <c r="BH80" s="35">
        <v>18.321224999999998</v>
      </c>
      <c r="BI80" s="35">
        <v>0.94117647058823495</v>
      </c>
      <c r="BQ80" s="13">
        <f t="shared" si="7"/>
        <v>-3.1269333333339144E-2</v>
      </c>
      <c r="BR80" s="35">
        <v>0.13242126069685201</v>
      </c>
      <c r="BS80" s="35">
        <v>560</v>
      </c>
      <c r="BT80" s="35">
        <v>54</v>
      </c>
      <c r="BU80" s="35">
        <v>10</v>
      </c>
      <c r="BV80" s="35">
        <v>42</v>
      </c>
      <c r="BW80" s="35">
        <v>0.69953579846215785</v>
      </c>
    </row>
    <row r="81" spans="1:75">
      <c r="A81" s="13">
        <v>78</v>
      </c>
      <c r="B81" s="13">
        <v>96</v>
      </c>
      <c r="C81" s="17">
        <v>108.7267052</v>
      </c>
      <c r="D81" s="13"/>
      <c r="E81" s="36">
        <v>27.934906718592899</v>
      </c>
      <c r="F81" s="36">
        <v>0.80294117647058805</v>
      </c>
      <c r="G81" s="36"/>
      <c r="H81" s="13"/>
      <c r="I81" s="13"/>
      <c r="J81" s="13"/>
      <c r="K81" s="13"/>
      <c r="L81" s="13"/>
      <c r="M81" s="13">
        <f t="shared" si="4"/>
        <v>13.256984583333331</v>
      </c>
      <c r="N81" s="13"/>
      <c r="O81" s="13">
        <v>78</v>
      </c>
      <c r="P81" s="13">
        <v>96</v>
      </c>
      <c r="Q81" s="17">
        <v>103.6400137</v>
      </c>
      <c r="R81" s="13"/>
      <c r="S81" s="36">
        <v>21.6365428190954</v>
      </c>
      <c r="T81" s="36">
        <v>0.869117647058823</v>
      </c>
      <c r="U81" s="36"/>
      <c r="V81" s="13"/>
      <c r="W81" s="13"/>
      <c r="X81" s="13"/>
      <c r="Y81" s="13"/>
      <c r="Z81" s="13"/>
      <c r="AA81" s="13">
        <f t="shared" si="5"/>
        <v>7.9583476041666712</v>
      </c>
      <c r="AB81" s="26">
        <v>0.27222755918247998</v>
      </c>
      <c r="AC81" s="34">
        <v>1325</v>
      </c>
      <c r="AD81" s="34">
        <v>180</v>
      </c>
      <c r="AE81" s="34">
        <v>9</v>
      </c>
      <c r="AF81" s="34">
        <v>43</v>
      </c>
      <c r="AG81" s="34">
        <v>0.19631462607901412</v>
      </c>
      <c r="AI81" s="35">
        <v>78</v>
      </c>
      <c r="AJ81" s="35">
        <v>96</v>
      </c>
      <c r="AK81" s="17">
        <v>96.065995299999997</v>
      </c>
      <c r="AM81" s="35">
        <v>18.1022110552763</v>
      </c>
      <c r="AN81" s="35">
        <v>0.94411764705882295</v>
      </c>
      <c r="AV81" s="13">
        <f t="shared" si="6"/>
        <v>6.8745104166656468E-2</v>
      </c>
      <c r="AW81" s="35">
        <v>0.167948173836969</v>
      </c>
      <c r="AX81" s="35">
        <v>690</v>
      </c>
      <c r="AY81" s="35">
        <v>44</v>
      </c>
      <c r="AZ81" s="35">
        <v>4</v>
      </c>
      <c r="BA81" s="35">
        <v>41</v>
      </c>
      <c r="BB81" s="35">
        <v>0.55258465982163529</v>
      </c>
      <c r="BD81" s="35">
        <v>78</v>
      </c>
      <c r="BE81" s="35">
        <v>96</v>
      </c>
      <c r="BF81" s="17">
        <v>96.806259280000006</v>
      </c>
      <c r="BH81" s="35">
        <v>18.586749999999999</v>
      </c>
      <c r="BI81" s="35">
        <v>0.94411764705882295</v>
      </c>
      <c r="BQ81" s="13">
        <f t="shared" si="7"/>
        <v>0.83985341666668045</v>
      </c>
      <c r="BR81" s="35">
        <v>0.13242126069685201</v>
      </c>
      <c r="BS81" s="35">
        <v>1405</v>
      </c>
      <c r="BT81" s="35">
        <v>123</v>
      </c>
      <c r="BU81" s="35">
        <v>5</v>
      </c>
      <c r="BV81" s="35">
        <v>36</v>
      </c>
      <c r="BW81" s="35">
        <v>0.25625652039117314</v>
      </c>
    </row>
    <row r="82" spans="1:75">
      <c r="A82" s="13">
        <v>79</v>
      </c>
      <c r="B82" s="13">
        <v>7</v>
      </c>
      <c r="C82" s="17">
        <v>5.9124562146675403</v>
      </c>
      <c r="D82" s="13"/>
      <c r="E82" s="36">
        <v>28.3339768145728</v>
      </c>
      <c r="F82" s="36">
        <v>0.80882352941176405</v>
      </c>
      <c r="G82" s="36"/>
      <c r="H82" s="13"/>
      <c r="I82" s="13"/>
      <c r="J82" s="13"/>
      <c r="K82" s="13"/>
      <c r="L82" s="13"/>
      <c r="M82" s="13">
        <f t="shared" si="4"/>
        <v>-15.536339790463705</v>
      </c>
      <c r="N82" s="13"/>
      <c r="O82" s="13">
        <v>79</v>
      </c>
      <c r="P82" s="13">
        <v>7</v>
      </c>
      <c r="Q82" s="17">
        <v>8.1632104257558797</v>
      </c>
      <c r="R82" s="13"/>
      <c r="S82" s="36">
        <v>21.9456362879396</v>
      </c>
      <c r="T82" s="36">
        <v>0.873529411764705</v>
      </c>
      <c r="U82" s="36"/>
      <c r="V82" s="13"/>
      <c r="W82" s="13"/>
      <c r="X82" s="13"/>
      <c r="Y82" s="13"/>
      <c r="Z82" s="13"/>
      <c r="AA82" s="13">
        <f t="shared" si="5"/>
        <v>16.617291796512568</v>
      </c>
      <c r="AB82" s="26">
        <v>0.27222755918247998</v>
      </c>
      <c r="AC82" s="34">
        <v>1400</v>
      </c>
      <c r="AD82" s="34">
        <v>151</v>
      </c>
      <c r="AE82" s="34">
        <v>34</v>
      </c>
      <c r="AF82" s="34">
        <v>47</v>
      </c>
      <c r="AG82" s="34">
        <v>0.54148493308847112</v>
      </c>
      <c r="AI82" s="35">
        <v>79</v>
      </c>
      <c r="AJ82" s="35">
        <v>7</v>
      </c>
      <c r="AK82" s="17">
        <v>7.3431547620000002</v>
      </c>
      <c r="AM82" s="35">
        <v>18.360814070351701</v>
      </c>
      <c r="AN82" s="35">
        <v>0.94558823529411695</v>
      </c>
      <c r="AV82" s="13">
        <f t="shared" si="6"/>
        <v>4.9022108857142976</v>
      </c>
      <c r="AW82" s="35">
        <v>0.167948173836969</v>
      </c>
      <c r="AX82" s="35">
        <v>307</v>
      </c>
      <c r="AY82" s="35">
        <v>49</v>
      </c>
      <c r="AZ82" s="35">
        <v>27</v>
      </c>
      <c r="BA82" s="35">
        <v>34</v>
      </c>
      <c r="BB82" s="35">
        <v>0.34471750093096559</v>
      </c>
      <c r="BD82" s="35">
        <v>79</v>
      </c>
      <c r="BE82" s="35">
        <v>7</v>
      </c>
      <c r="BF82" s="17">
        <v>7.8928935200878003</v>
      </c>
      <c r="BH82" s="35">
        <v>18.852274999999899</v>
      </c>
      <c r="BI82" s="35">
        <v>0.94705882352941095</v>
      </c>
      <c r="BQ82" s="13">
        <f t="shared" si="7"/>
        <v>12.755621715540011</v>
      </c>
      <c r="BR82" s="35">
        <v>0.13242126069685201</v>
      </c>
      <c r="BS82" s="35">
        <v>1699</v>
      </c>
      <c r="BT82" s="35">
        <v>166</v>
      </c>
      <c r="BU82" s="35">
        <v>6</v>
      </c>
      <c r="BV82" s="35">
        <v>10</v>
      </c>
      <c r="BW82" s="35">
        <v>0.70364498847339019</v>
      </c>
    </row>
    <row r="83" spans="1:75">
      <c r="A83" s="13">
        <v>80</v>
      </c>
      <c r="B83" s="13">
        <v>175</v>
      </c>
      <c r="C83" s="17">
        <v>157.55278989999999</v>
      </c>
      <c r="D83" s="13"/>
      <c r="E83" s="36">
        <v>28.733046910552702</v>
      </c>
      <c r="F83" s="36">
        <v>0.81617647058823495</v>
      </c>
      <c r="G83" s="36"/>
      <c r="H83" s="13"/>
      <c r="I83" s="13"/>
      <c r="J83" s="13"/>
      <c r="K83" s="13"/>
      <c r="L83" s="13"/>
      <c r="M83" s="13">
        <f t="shared" si="4"/>
        <v>-9.9698343428571423</v>
      </c>
      <c r="N83" s="13"/>
      <c r="O83" s="13">
        <v>80</v>
      </c>
      <c r="P83" s="13">
        <v>175</v>
      </c>
      <c r="Q83" s="17">
        <v>170.8238035</v>
      </c>
      <c r="R83" s="13"/>
      <c r="S83" s="36">
        <v>22.254729756783899</v>
      </c>
      <c r="T83" s="36">
        <v>0.88235294117647001</v>
      </c>
      <c r="U83" s="36"/>
      <c r="V83" s="13"/>
      <c r="W83" s="13"/>
      <c r="X83" s="13"/>
      <c r="Y83" s="13"/>
      <c r="Z83" s="13"/>
      <c r="AA83" s="13">
        <f t="shared" si="5"/>
        <v>-2.3863980000000007</v>
      </c>
      <c r="AB83" s="26">
        <v>0.27222755918247998</v>
      </c>
      <c r="AC83" s="34">
        <v>1990</v>
      </c>
      <c r="AD83" s="34">
        <v>11</v>
      </c>
      <c r="AE83" s="34">
        <v>40</v>
      </c>
      <c r="AF83" s="34">
        <v>1</v>
      </c>
      <c r="AG83" s="34">
        <v>0.29052573085172384</v>
      </c>
      <c r="AI83" s="35">
        <v>80</v>
      </c>
      <c r="AJ83" s="35">
        <v>175</v>
      </c>
      <c r="AK83" s="17">
        <v>174.72939740000001</v>
      </c>
      <c r="AM83" s="35">
        <v>18.619417085427099</v>
      </c>
      <c r="AN83" s="35">
        <v>0.94705882352941095</v>
      </c>
      <c r="AV83" s="13">
        <f t="shared" si="6"/>
        <v>-0.15463005714284606</v>
      </c>
      <c r="AW83" s="35">
        <v>0.167948173836969</v>
      </c>
      <c r="AX83" s="35">
        <v>866</v>
      </c>
      <c r="AY83" s="35">
        <v>85</v>
      </c>
      <c r="AZ83" s="35">
        <v>26</v>
      </c>
      <c r="BA83" s="35">
        <v>11</v>
      </c>
      <c r="BB83" s="35">
        <v>0.41213194125034569</v>
      </c>
      <c r="BD83" s="35">
        <v>80</v>
      </c>
      <c r="BE83" s="35">
        <v>175</v>
      </c>
      <c r="BF83" s="17">
        <v>173.13214189999999</v>
      </c>
      <c r="BH83" s="35">
        <v>19.1177999999999</v>
      </c>
      <c r="BI83" s="35">
        <v>0.94852941176470495</v>
      </c>
      <c r="BQ83" s="13">
        <f t="shared" si="7"/>
        <v>-1.0673474857142873</v>
      </c>
      <c r="BR83" s="35">
        <v>0.13242126069685201</v>
      </c>
      <c r="BS83" s="35">
        <v>77</v>
      </c>
      <c r="BT83" s="35">
        <v>40</v>
      </c>
      <c r="BU83" s="35">
        <v>20</v>
      </c>
      <c r="BV83" s="35">
        <v>48</v>
      </c>
      <c r="BW83" s="35">
        <v>0.97672213236472849</v>
      </c>
    </row>
    <row r="84" spans="1:75">
      <c r="A84" s="13">
        <v>81</v>
      </c>
      <c r="B84" s="13">
        <v>149</v>
      </c>
      <c r="C84" s="17">
        <v>136.51966999999999</v>
      </c>
      <c r="D84" s="13"/>
      <c r="E84" s="36">
        <v>29.132117006532599</v>
      </c>
      <c r="F84" s="36">
        <v>0.82058823529411695</v>
      </c>
      <c r="G84" s="36"/>
      <c r="H84" s="13"/>
      <c r="I84" s="13"/>
      <c r="J84" s="13"/>
      <c r="K84" s="13"/>
      <c r="L84" s="13"/>
      <c r="M84" s="13">
        <f t="shared" si="4"/>
        <v>-8.3760604026845709</v>
      </c>
      <c r="N84" s="13"/>
      <c r="O84" s="13">
        <v>81</v>
      </c>
      <c r="P84" s="13">
        <v>149</v>
      </c>
      <c r="Q84" s="17">
        <v>143.1482929</v>
      </c>
      <c r="R84" s="13"/>
      <c r="S84" s="36">
        <v>22.563823225628099</v>
      </c>
      <c r="T84" s="36">
        <v>0.88823529411764701</v>
      </c>
      <c r="U84" s="36"/>
      <c r="V84" s="13"/>
      <c r="W84" s="13"/>
      <c r="X84" s="13"/>
      <c r="Y84" s="13"/>
      <c r="Z84" s="13"/>
      <c r="AA84" s="13">
        <f t="shared" si="5"/>
        <v>-3.927320201342277</v>
      </c>
      <c r="AB84" s="26">
        <v>0.27222755918247998</v>
      </c>
      <c r="AC84" s="34">
        <v>954</v>
      </c>
      <c r="AD84" s="34">
        <v>75</v>
      </c>
      <c r="AE84" s="34">
        <v>27</v>
      </c>
      <c r="AF84" s="34">
        <v>37</v>
      </c>
      <c r="AG84" s="34">
        <v>0.94427744381351464</v>
      </c>
      <c r="AI84" s="35">
        <v>81</v>
      </c>
      <c r="AJ84" s="35">
        <v>149</v>
      </c>
      <c r="AK84" s="17">
        <v>148.579902</v>
      </c>
      <c r="AM84" s="35">
        <v>18.8780201005025</v>
      </c>
      <c r="AN84" s="35">
        <v>0.94705882352941095</v>
      </c>
      <c r="AV84" s="13">
        <f t="shared" si="6"/>
        <v>-0.28194496644294853</v>
      </c>
      <c r="AW84" s="35">
        <v>0.167916233032784</v>
      </c>
      <c r="AX84" s="35">
        <v>965</v>
      </c>
      <c r="AY84" s="35">
        <v>174</v>
      </c>
      <c r="AZ84" s="35">
        <v>37</v>
      </c>
      <c r="BA84" s="35">
        <v>22</v>
      </c>
      <c r="BB84" s="35">
        <v>0.2011151848553589</v>
      </c>
      <c r="BD84" s="35">
        <v>81</v>
      </c>
      <c r="BE84" s="35">
        <v>149</v>
      </c>
      <c r="BF84" s="17">
        <v>148.02732140000001</v>
      </c>
      <c r="BH84" s="35">
        <v>19.3833249999999</v>
      </c>
      <c r="BI84" s="35">
        <v>0.95</v>
      </c>
      <c r="BQ84" s="13">
        <f t="shared" si="7"/>
        <v>-0.65280442953019602</v>
      </c>
      <c r="BR84" s="35">
        <v>0.13242126069685201</v>
      </c>
      <c r="BS84" s="35">
        <v>415</v>
      </c>
      <c r="BT84" s="35">
        <v>119</v>
      </c>
      <c r="BU84" s="35">
        <v>9</v>
      </c>
      <c r="BV84" s="35">
        <v>28</v>
      </c>
      <c r="BW84" s="35">
        <v>0.51071361988803587</v>
      </c>
    </row>
    <row r="85" spans="1:75">
      <c r="A85" s="13">
        <v>82</v>
      </c>
      <c r="B85" s="13">
        <v>129</v>
      </c>
      <c r="C85" s="17">
        <v>136.0947228</v>
      </c>
      <c r="D85" s="13"/>
      <c r="E85" s="36">
        <v>29.531187102512501</v>
      </c>
      <c r="F85" s="36">
        <v>0.83088235294117596</v>
      </c>
      <c r="G85" s="36"/>
      <c r="H85" s="13"/>
      <c r="I85" s="13"/>
      <c r="J85" s="13"/>
      <c r="K85" s="13"/>
      <c r="L85" s="13"/>
      <c r="M85" s="13">
        <f t="shared" si="4"/>
        <v>5.4997851162790656</v>
      </c>
      <c r="N85" s="13"/>
      <c r="O85" s="13">
        <v>82</v>
      </c>
      <c r="P85" s="13">
        <v>129</v>
      </c>
      <c r="Q85" s="17">
        <v>137.7274875</v>
      </c>
      <c r="R85" s="13"/>
      <c r="S85" s="36">
        <v>22.872916694472298</v>
      </c>
      <c r="T85" s="36">
        <v>0.88970588235294101</v>
      </c>
      <c r="U85" s="36"/>
      <c r="V85" s="13"/>
      <c r="W85" s="13"/>
      <c r="X85" s="13"/>
      <c r="Y85" s="13"/>
      <c r="Z85" s="13"/>
      <c r="AA85" s="13">
        <f t="shared" si="5"/>
        <v>6.7654941860465057</v>
      </c>
      <c r="AB85" s="26">
        <v>0.27222755918247998</v>
      </c>
      <c r="AC85" s="34">
        <v>1975</v>
      </c>
      <c r="AD85" s="34">
        <v>125</v>
      </c>
      <c r="AE85" s="34">
        <v>44</v>
      </c>
      <c r="AF85" s="34">
        <v>42</v>
      </c>
      <c r="AG85" s="34">
        <v>0.10212331714762209</v>
      </c>
      <c r="AI85" s="35">
        <v>82</v>
      </c>
      <c r="AJ85" s="35">
        <v>129</v>
      </c>
      <c r="AK85" s="17">
        <v>130.15687489999999</v>
      </c>
      <c r="AM85" s="35">
        <v>19.136623115577802</v>
      </c>
      <c r="AN85" s="35">
        <v>0.95147058823529396</v>
      </c>
      <c r="AV85" s="13">
        <f t="shared" si="6"/>
        <v>0.89680224806201192</v>
      </c>
      <c r="AW85" s="35">
        <v>0.167916233032784</v>
      </c>
      <c r="AX85" s="35">
        <v>549</v>
      </c>
      <c r="AY85" s="35">
        <v>192</v>
      </c>
      <c r="AZ85" s="35">
        <v>42</v>
      </c>
      <c r="BA85" s="35">
        <v>30</v>
      </c>
      <c r="BB85" s="35">
        <v>0.72808984676125754</v>
      </c>
      <c r="BD85" s="35">
        <v>82</v>
      </c>
      <c r="BE85" s="35">
        <v>129</v>
      </c>
      <c r="BF85" s="17">
        <v>133.20269350000001</v>
      </c>
      <c r="BH85" s="35">
        <v>19.6488499999999</v>
      </c>
      <c r="BI85" s="35">
        <v>0.95294117647058796</v>
      </c>
      <c r="BQ85" s="13">
        <f t="shared" si="7"/>
        <v>3.2579019379844976</v>
      </c>
      <c r="BR85" s="35">
        <v>0.13242126069685201</v>
      </c>
      <c r="BS85" s="35">
        <v>1682</v>
      </c>
      <c r="BT85" s="35">
        <v>123</v>
      </c>
      <c r="BU85" s="35">
        <v>24</v>
      </c>
      <c r="BV85" s="35">
        <v>45</v>
      </c>
      <c r="BW85" s="35">
        <v>0.4285663735606986</v>
      </c>
    </row>
    <row r="86" spans="1:75">
      <c r="A86" s="13">
        <v>83</v>
      </c>
      <c r="B86" s="13">
        <v>172</v>
      </c>
      <c r="C86" s="17">
        <v>163.5639937</v>
      </c>
      <c r="D86" s="13"/>
      <c r="E86" s="36">
        <v>29.930257198492399</v>
      </c>
      <c r="F86" s="36">
        <v>0.83235294117646996</v>
      </c>
      <c r="G86" s="36"/>
      <c r="H86" s="13"/>
      <c r="I86" s="13"/>
      <c r="J86" s="13"/>
      <c r="K86" s="13"/>
      <c r="L86" s="13"/>
      <c r="M86" s="13">
        <f t="shared" si="4"/>
        <v>-4.9046548255814004</v>
      </c>
      <c r="N86" s="13"/>
      <c r="O86" s="13">
        <v>83</v>
      </c>
      <c r="P86" s="13">
        <v>172</v>
      </c>
      <c r="Q86" s="17">
        <v>174.38032229999999</v>
      </c>
      <c r="R86" s="13"/>
      <c r="S86" s="36">
        <v>23.182010163316502</v>
      </c>
      <c r="T86" s="36">
        <v>0.89264705882352902</v>
      </c>
      <c r="U86" s="36"/>
      <c r="V86" s="13"/>
      <c r="W86" s="13"/>
      <c r="X86" s="13"/>
      <c r="Y86" s="13"/>
      <c r="Z86" s="13"/>
      <c r="AA86" s="13">
        <f t="shared" si="5"/>
        <v>1.3839083139534747</v>
      </c>
      <c r="AB86" s="26">
        <v>0.27222755918247998</v>
      </c>
      <c r="AC86" s="34">
        <v>1502</v>
      </c>
      <c r="AD86" s="34">
        <v>152</v>
      </c>
      <c r="AE86" s="34">
        <v>47</v>
      </c>
      <c r="AF86" s="34">
        <v>28</v>
      </c>
      <c r="AG86" s="34">
        <v>0.99235240868684682</v>
      </c>
      <c r="AI86" s="35">
        <v>83</v>
      </c>
      <c r="AJ86" s="35">
        <v>172</v>
      </c>
      <c r="AK86" s="17">
        <v>172.39579760000001</v>
      </c>
      <c r="AM86" s="35">
        <v>19.395226130653199</v>
      </c>
      <c r="AN86" s="35">
        <v>0.95147058823529396</v>
      </c>
      <c r="AV86" s="13">
        <f t="shared" si="6"/>
        <v>0.23011488372093325</v>
      </c>
      <c r="AW86" s="35">
        <v>0.167916233032784</v>
      </c>
      <c r="AX86" s="35">
        <v>568</v>
      </c>
      <c r="AY86" s="35">
        <v>99</v>
      </c>
      <c r="AZ86" s="35">
        <v>25</v>
      </c>
      <c r="BA86" s="35">
        <v>40</v>
      </c>
      <c r="BB86" s="35">
        <v>0.57612711463160438</v>
      </c>
      <c r="BD86" s="35">
        <v>83</v>
      </c>
      <c r="BE86" s="35">
        <v>172</v>
      </c>
      <c r="BF86" s="17">
        <v>173.76467009999999</v>
      </c>
      <c r="BH86" s="35">
        <v>19.9143749999999</v>
      </c>
      <c r="BI86" s="35">
        <v>0.95294117647058796</v>
      </c>
      <c r="BQ86" s="13">
        <f t="shared" si="7"/>
        <v>1.0259709883720936</v>
      </c>
      <c r="BR86" s="35">
        <v>0.132236703713592</v>
      </c>
      <c r="BS86" s="35">
        <v>975</v>
      </c>
      <c r="BT86" s="35">
        <v>51</v>
      </c>
      <c r="BU86" s="35">
        <v>46</v>
      </c>
      <c r="BV86" s="35">
        <v>34</v>
      </c>
      <c r="BW86" s="35">
        <v>0.772340201992605</v>
      </c>
    </row>
    <row r="87" spans="1:75">
      <c r="A87" s="13">
        <v>84</v>
      </c>
      <c r="B87" s="13">
        <v>43</v>
      </c>
      <c r="C87" s="17">
        <v>26.2068358673639</v>
      </c>
      <c r="D87" s="13"/>
      <c r="E87" s="36">
        <v>30.3293272944723</v>
      </c>
      <c r="F87" s="36">
        <v>0.83529411764705797</v>
      </c>
      <c r="G87" s="36"/>
      <c r="H87" s="13"/>
      <c r="I87" s="13"/>
      <c r="J87" s="13"/>
      <c r="K87" s="13"/>
      <c r="L87" s="13"/>
      <c r="M87" s="13">
        <f t="shared" si="4"/>
        <v>-39.053870075897912</v>
      </c>
      <c r="N87" s="13"/>
      <c r="O87" s="13">
        <v>84</v>
      </c>
      <c r="P87" s="13">
        <v>43</v>
      </c>
      <c r="Q87" s="17">
        <v>52.548399539999998</v>
      </c>
      <c r="R87" s="13"/>
      <c r="S87" s="36">
        <v>23.491103632160801</v>
      </c>
      <c r="T87" s="36">
        <v>0.89411764705882302</v>
      </c>
      <c r="U87" s="36"/>
      <c r="V87" s="13"/>
      <c r="W87" s="13"/>
      <c r="X87" s="13"/>
      <c r="Y87" s="13"/>
      <c r="Z87" s="13"/>
      <c r="AA87" s="13">
        <f t="shared" si="5"/>
        <v>22.205580325581398</v>
      </c>
      <c r="AB87" s="26">
        <v>0.27222755918247998</v>
      </c>
      <c r="AC87" s="34">
        <v>89</v>
      </c>
      <c r="AD87" s="34">
        <v>125</v>
      </c>
      <c r="AE87" s="34">
        <v>41</v>
      </c>
      <c r="AF87" s="34">
        <v>13</v>
      </c>
      <c r="AG87" s="34">
        <v>0.30322131906233507</v>
      </c>
      <c r="AI87" s="35">
        <v>84</v>
      </c>
      <c r="AJ87" s="35">
        <v>43</v>
      </c>
      <c r="AK87" s="17">
        <v>43.633670780000003</v>
      </c>
      <c r="AM87" s="35">
        <v>19.653829145728601</v>
      </c>
      <c r="AN87" s="35">
        <v>0.95441176470588196</v>
      </c>
      <c r="AV87" s="13">
        <f t="shared" si="6"/>
        <v>1.4736529767441997</v>
      </c>
      <c r="AW87" s="35">
        <v>0.167916233032784</v>
      </c>
      <c r="AX87" s="35">
        <v>1151</v>
      </c>
      <c r="AY87" s="35">
        <v>172</v>
      </c>
      <c r="AZ87" s="35">
        <v>36</v>
      </c>
      <c r="BA87" s="35">
        <v>4</v>
      </c>
      <c r="BB87" s="35">
        <v>0.43860011854863579</v>
      </c>
      <c r="BD87" s="35">
        <v>84</v>
      </c>
      <c r="BE87" s="35">
        <v>43</v>
      </c>
      <c r="BF87" s="17">
        <v>48.023472339999998</v>
      </c>
      <c r="BH87" s="35">
        <v>20.1798999999999</v>
      </c>
      <c r="BI87" s="35">
        <v>0.95441176470588196</v>
      </c>
      <c r="BQ87" s="13">
        <f t="shared" si="7"/>
        <v>11.682493813953476</v>
      </c>
      <c r="BR87" s="35">
        <v>0.132236703713592</v>
      </c>
      <c r="BS87" s="35">
        <v>1368</v>
      </c>
      <c r="BT87" s="35">
        <v>169</v>
      </c>
      <c r="BU87" s="35">
        <v>22</v>
      </c>
      <c r="BV87" s="35">
        <v>50</v>
      </c>
      <c r="BW87" s="35">
        <v>0.94915025228661298</v>
      </c>
    </row>
    <row r="88" spans="1:75">
      <c r="A88" s="13">
        <v>85</v>
      </c>
      <c r="B88" s="13">
        <v>87</v>
      </c>
      <c r="C88" s="17">
        <v>99.720881480000003</v>
      </c>
      <c r="D88" s="13"/>
      <c r="E88" s="36">
        <v>30.728397390452201</v>
      </c>
      <c r="F88" s="36">
        <v>0.84117647058823497</v>
      </c>
      <c r="G88" s="36"/>
      <c r="H88" s="13"/>
      <c r="I88" s="13"/>
      <c r="J88" s="13"/>
      <c r="K88" s="13"/>
      <c r="L88" s="13"/>
      <c r="M88" s="13">
        <f t="shared" si="4"/>
        <v>14.621702850574714</v>
      </c>
      <c r="N88" s="13"/>
      <c r="O88" s="13">
        <v>85</v>
      </c>
      <c r="P88" s="13">
        <v>87</v>
      </c>
      <c r="Q88" s="17">
        <v>93.115117269999999</v>
      </c>
      <c r="R88" s="13"/>
      <c r="S88" s="36">
        <v>23.800197101005001</v>
      </c>
      <c r="T88" s="36">
        <v>0.89852941176470502</v>
      </c>
      <c r="U88" s="36"/>
      <c r="V88" s="13"/>
      <c r="W88" s="13"/>
      <c r="X88" s="13"/>
      <c r="Y88" s="13"/>
      <c r="Z88" s="13"/>
      <c r="AA88" s="13">
        <f t="shared" si="5"/>
        <v>7.028870425287348</v>
      </c>
      <c r="AB88" s="26">
        <v>0.27222755918247998</v>
      </c>
      <c r="AC88" s="34">
        <v>1388</v>
      </c>
      <c r="AD88" s="34">
        <v>53</v>
      </c>
      <c r="AE88" s="34">
        <v>25</v>
      </c>
      <c r="AF88" s="34">
        <v>38</v>
      </c>
      <c r="AG88" s="34">
        <v>0.61080706617858649</v>
      </c>
      <c r="AI88" s="35">
        <v>85</v>
      </c>
      <c r="AJ88" s="35">
        <v>87</v>
      </c>
      <c r="AK88" s="17">
        <v>88.622471759999996</v>
      </c>
      <c r="AM88" s="35">
        <v>19.912432160803998</v>
      </c>
      <c r="AN88" s="35">
        <v>0.95735294117646996</v>
      </c>
      <c r="AV88" s="13">
        <f t="shared" si="6"/>
        <v>1.8649100689655196</v>
      </c>
      <c r="AW88" s="35">
        <v>0.167916233032784</v>
      </c>
      <c r="AX88" s="35">
        <v>1409</v>
      </c>
      <c r="AY88" s="35">
        <v>7</v>
      </c>
      <c r="AZ88" s="35">
        <v>8</v>
      </c>
      <c r="BA88" s="35">
        <v>7</v>
      </c>
      <c r="BB88" s="35">
        <v>0.14146625098199297</v>
      </c>
      <c r="BD88" s="35">
        <v>85</v>
      </c>
      <c r="BE88" s="35">
        <v>87</v>
      </c>
      <c r="BF88" s="17">
        <v>91.131375160000005</v>
      </c>
      <c r="BH88" s="35">
        <v>20.445424999999901</v>
      </c>
      <c r="BI88" s="35">
        <v>0.95735294117646996</v>
      </c>
      <c r="BQ88" s="13">
        <f t="shared" si="7"/>
        <v>4.7487070804597797</v>
      </c>
      <c r="BR88" s="35">
        <v>0.132236703713592</v>
      </c>
      <c r="BS88" s="35">
        <v>924</v>
      </c>
      <c r="BT88" s="35">
        <v>166</v>
      </c>
      <c r="BU88" s="35">
        <v>41</v>
      </c>
      <c r="BV88" s="35">
        <v>17</v>
      </c>
      <c r="BW88" s="35">
        <v>0.58465307767194696</v>
      </c>
    </row>
    <row r="89" spans="1:75">
      <c r="A89" s="13">
        <v>86</v>
      </c>
      <c r="B89" s="13">
        <v>34</v>
      </c>
      <c r="C89" s="17">
        <v>55.022109869084296</v>
      </c>
      <c r="D89" s="13"/>
      <c r="E89" s="36">
        <v>31.127467486432099</v>
      </c>
      <c r="F89" s="36">
        <v>0.84558823529411697</v>
      </c>
      <c r="G89" s="36"/>
      <c r="H89" s="13"/>
      <c r="I89" s="13"/>
      <c r="J89" s="13"/>
      <c r="K89" s="13"/>
      <c r="L89" s="13"/>
      <c r="M89" s="13">
        <f t="shared" si="4"/>
        <v>61.829734909071462</v>
      </c>
      <c r="N89" s="13"/>
      <c r="O89" s="13">
        <v>86</v>
      </c>
      <c r="P89" s="13">
        <v>34</v>
      </c>
      <c r="Q89" s="17">
        <v>53.460340080000002</v>
      </c>
      <c r="R89" s="13"/>
      <c r="S89" s="36">
        <v>24.1092905698492</v>
      </c>
      <c r="T89" s="36">
        <v>0.90147058823529402</v>
      </c>
      <c r="U89" s="36"/>
      <c r="V89" s="13"/>
      <c r="W89" s="13"/>
      <c r="X89" s="13"/>
      <c r="Y89" s="13"/>
      <c r="Z89" s="13"/>
      <c r="AA89" s="13">
        <f t="shared" si="5"/>
        <v>57.236294352941172</v>
      </c>
      <c r="AB89" s="26">
        <v>0.27222755918247998</v>
      </c>
      <c r="AC89" s="34">
        <v>995</v>
      </c>
      <c r="AD89" s="34">
        <v>105</v>
      </c>
      <c r="AE89" s="34">
        <v>41</v>
      </c>
      <c r="AF89" s="34">
        <v>41</v>
      </c>
      <c r="AG89" s="34">
        <v>0.67660189551585659</v>
      </c>
      <c r="AI89" s="35">
        <v>86</v>
      </c>
      <c r="AJ89" s="35">
        <v>34</v>
      </c>
      <c r="AK89" s="17">
        <v>34.467247909999998</v>
      </c>
      <c r="AM89" s="35">
        <v>20.1710351758793</v>
      </c>
      <c r="AN89" s="35">
        <v>0.95735294117646996</v>
      </c>
      <c r="AV89" s="13">
        <f t="shared" si="6"/>
        <v>1.3742585588235157</v>
      </c>
      <c r="AW89" s="35">
        <v>0.167916233032784</v>
      </c>
      <c r="AX89" s="35">
        <v>973</v>
      </c>
      <c r="AY89" s="35">
        <v>49</v>
      </c>
      <c r="AZ89" s="35">
        <v>31</v>
      </c>
      <c r="BA89" s="35">
        <v>28</v>
      </c>
      <c r="BB89" s="35">
        <v>0.26010359183028187</v>
      </c>
      <c r="BD89" s="35">
        <v>86</v>
      </c>
      <c r="BE89" s="35">
        <v>34</v>
      </c>
      <c r="BF89" s="17">
        <v>37.74115209</v>
      </c>
      <c r="BH89" s="35">
        <v>20.710949999999901</v>
      </c>
      <c r="BI89" s="35">
        <v>0.95735294117646996</v>
      </c>
      <c r="BQ89" s="13">
        <f t="shared" si="7"/>
        <v>11.0033885</v>
      </c>
      <c r="BR89" s="35">
        <v>0.132236703713592</v>
      </c>
      <c r="BS89" s="35">
        <v>921</v>
      </c>
      <c r="BT89" s="35">
        <v>167</v>
      </c>
      <c r="BU89" s="35">
        <v>47</v>
      </c>
      <c r="BV89" s="35">
        <v>46</v>
      </c>
      <c r="BW89" s="35">
        <v>0.38208710548458336</v>
      </c>
    </row>
    <row r="90" spans="1:75">
      <c r="A90" s="13">
        <v>87</v>
      </c>
      <c r="B90" s="13">
        <v>45</v>
      </c>
      <c r="C90" s="17">
        <v>35.998203705773903</v>
      </c>
      <c r="D90" s="13"/>
      <c r="E90" s="36">
        <v>31.526537582412001</v>
      </c>
      <c r="F90" s="36">
        <v>0.84852941176470498</v>
      </c>
      <c r="G90" s="36"/>
      <c r="H90" s="13"/>
      <c r="I90" s="13"/>
      <c r="J90" s="13"/>
      <c r="K90" s="13"/>
      <c r="L90" s="13"/>
      <c r="M90" s="13">
        <f t="shared" si="4"/>
        <v>-20.003991764946882</v>
      </c>
      <c r="N90" s="13"/>
      <c r="O90" s="13">
        <v>87</v>
      </c>
      <c r="P90" s="13">
        <v>45</v>
      </c>
      <c r="Q90" s="17">
        <v>57.920531060000002</v>
      </c>
      <c r="R90" s="13"/>
      <c r="S90" s="36">
        <v>24.4183840386934</v>
      </c>
      <c r="T90" s="36">
        <v>0.90441176470588203</v>
      </c>
      <c r="U90" s="36"/>
      <c r="V90" s="13"/>
      <c r="W90" s="13"/>
      <c r="X90" s="13"/>
      <c r="Y90" s="13"/>
      <c r="Z90" s="13"/>
      <c r="AA90" s="13">
        <f t="shared" si="5"/>
        <v>28.712291244444454</v>
      </c>
      <c r="AB90" s="26">
        <v>0.27156862602468501</v>
      </c>
      <c r="AC90" s="34">
        <v>1515</v>
      </c>
      <c r="AD90" s="34">
        <v>103</v>
      </c>
      <c r="AE90" s="34">
        <v>24</v>
      </c>
      <c r="AF90" s="34">
        <v>33</v>
      </c>
      <c r="AG90" s="34">
        <v>0.34217382436501714</v>
      </c>
      <c r="AI90" s="35">
        <v>87</v>
      </c>
      <c r="AJ90" s="35">
        <v>45</v>
      </c>
      <c r="AK90" s="17">
        <v>45.163206500000001</v>
      </c>
      <c r="AM90" s="35">
        <v>20.429638190954702</v>
      </c>
      <c r="AN90" s="35">
        <v>0.95882352941176396</v>
      </c>
      <c r="AV90" s="13">
        <f t="shared" si="6"/>
        <v>0.36268111111110723</v>
      </c>
      <c r="AW90" s="35">
        <v>0.167916233032784</v>
      </c>
      <c r="AX90" s="35">
        <v>1086</v>
      </c>
      <c r="AY90" s="35">
        <v>65</v>
      </c>
      <c r="AZ90" s="35">
        <v>30</v>
      </c>
      <c r="BA90" s="35">
        <v>5</v>
      </c>
      <c r="BB90" s="35">
        <v>0.39762985968507791</v>
      </c>
      <c r="BD90" s="35">
        <v>87</v>
      </c>
      <c r="BE90" s="35">
        <v>45</v>
      </c>
      <c r="BF90" s="17">
        <v>47.58238265</v>
      </c>
      <c r="BH90" s="35">
        <v>20.976474999999901</v>
      </c>
      <c r="BI90" s="35">
        <v>0.95882352941176396</v>
      </c>
      <c r="BQ90" s="13">
        <f t="shared" si="7"/>
        <v>5.7386281111110993</v>
      </c>
      <c r="BR90" s="35">
        <v>0.132236703713592</v>
      </c>
      <c r="BS90" s="35">
        <v>1105</v>
      </c>
      <c r="BT90" s="35">
        <v>78</v>
      </c>
      <c r="BU90" s="35">
        <v>20</v>
      </c>
      <c r="BV90" s="35">
        <v>37</v>
      </c>
      <c r="BW90" s="35">
        <v>0.65309728425113711</v>
      </c>
    </row>
    <row r="91" spans="1:75">
      <c r="A91" s="13">
        <v>88</v>
      </c>
      <c r="B91" s="13">
        <v>80</v>
      </c>
      <c r="C91" s="17">
        <v>78.396995090000004</v>
      </c>
      <c r="D91" s="13"/>
      <c r="E91" s="36">
        <v>31.925607678391899</v>
      </c>
      <c r="F91" s="36">
        <v>0.85441176470588198</v>
      </c>
      <c r="G91" s="36"/>
      <c r="H91" s="13"/>
      <c r="I91" s="13"/>
      <c r="J91" s="13"/>
      <c r="K91" s="13"/>
      <c r="L91" s="13"/>
      <c r="M91" s="13">
        <f t="shared" si="4"/>
        <v>-2.0037561374999902</v>
      </c>
      <c r="N91" s="13"/>
      <c r="O91" s="13">
        <v>88</v>
      </c>
      <c r="P91" s="13">
        <v>80</v>
      </c>
      <c r="Q91" s="17">
        <v>73.245561600000002</v>
      </c>
      <c r="R91" s="13"/>
      <c r="S91" s="36">
        <v>24.7274775075376</v>
      </c>
      <c r="T91" s="36">
        <v>0.90735294117647003</v>
      </c>
      <c r="U91" s="36"/>
      <c r="V91" s="13"/>
      <c r="W91" s="13"/>
      <c r="X91" s="13"/>
      <c r="Y91" s="13"/>
      <c r="Z91" s="13"/>
      <c r="AA91" s="13">
        <f t="shared" si="5"/>
        <v>-8.4430479999999974</v>
      </c>
      <c r="AB91" s="26">
        <v>0.27156862602468501</v>
      </c>
      <c r="AC91" s="34">
        <v>1783</v>
      </c>
      <c r="AD91" s="34">
        <v>83</v>
      </c>
      <c r="AE91" s="34">
        <v>27</v>
      </c>
      <c r="AF91" s="34">
        <v>11</v>
      </c>
      <c r="AG91" s="34">
        <v>0.34561513319895304</v>
      </c>
      <c r="AI91" s="35">
        <v>88</v>
      </c>
      <c r="AJ91" s="35">
        <v>80</v>
      </c>
      <c r="AK91" s="17">
        <v>79.499858250000003</v>
      </c>
      <c r="AM91" s="35">
        <v>20.688241206030099</v>
      </c>
      <c r="AN91" s="35">
        <v>0.95882352941176396</v>
      </c>
      <c r="AV91" s="13">
        <f t="shared" si="6"/>
        <v>-0.62517718749999229</v>
      </c>
      <c r="AW91" s="35">
        <v>0.167916233032784</v>
      </c>
      <c r="AX91" s="35">
        <v>1985</v>
      </c>
      <c r="AY91" s="35">
        <v>34</v>
      </c>
      <c r="AZ91" s="35">
        <v>44</v>
      </c>
      <c r="BA91" s="35">
        <v>1</v>
      </c>
      <c r="BB91" s="35">
        <v>0.14361957769596206</v>
      </c>
      <c r="BD91" s="35">
        <v>88</v>
      </c>
      <c r="BE91" s="35">
        <v>80</v>
      </c>
      <c r="BF91" s="17">
        <v>77.401091789999995</v>
      </c>
      <c r="BH91" s="35">
        <v>21.241999999999901</v>
      </c>
      <c r="BI91" s="35">
        <v>0.96176470588235297</v>
      </c>
      <c r="BQ91" s="13">
        <f t="shared" si="7"/>
        <v>-3.2486352625000103</v>
      </c>
      <c r="BR91" s="35">
        <v>0.132236703713592</v>
      </c>
      <c r="BS91" s="35">
        <v>1007</v>
      </c>
      <c r="BT91" s="35">
        <v>90</v>
      </c>
      <c r="BU91" s="35">
        <v>29</v>
      </c>
      <c r="BV91" s="35">
        <v>46</v>
      </c>
      <c r="BW91" s="35">
        <v>0.48949407221610253</v>
      </c>
    </row>
    <row r="92" spans="1:75">
      <c r="A92" s="13">
        <v>89</v>
      </c>
      <c r="B92" s="13">
        <v>110</v>
      </c>
      <c r="C92" s="17">
        <v>109.66943759999999</v>
      </c>
      <c r="D92" s="13"/>
      <c r="E92" s="36">
        <v>32.3246777743718</v>
      </c>
      <c r="F92" s="36">
        <v>0.86176470588235299</v>
      </c>
      <c r="G92" s="36"/>
      <c r="H92" s="13"/>
      <c r="I92" s="13"/>
      <c r="J92" s="13"/>
      <c r="K92" s="13"/>
      <c r="L92" s="13"/>
      <c r="M92" s="13">
        <f t="shared" si="4"/>
        <v>-0.3005112727272774</v>
      </c>
      <c r="N92" s="13"/>
      <c r="O92" s="13">
        <v>89</v>
      </c>
      <c r="P92" s="13">
        <v>110</v>
      </c>
      <c r="Q92" s="17">
        <v>111.37621799999999</v>
      </c>
      <c r="R92" s="13"/>
      <c r="S92" s="36">
        <v>25.036570976381899</v>
      </c>
      <c r="T92" s="36">
        <v>0.91029411764705803</v>
      </c>
      <c r="U92" s="36"/>
      <c r="V92" s="13"/>
      <c r="W92" s="13"/>
      <c r="X92" s="13"/>
      <c r="Y92" s="13"/>
      <c r="Z92" s="13"/>
      <c r="AA92" s="13">
        <f t="shared" si="5"/>
        <v>1.2511072727272587</v>
      </c>
      <c r="AB92" s="26">
        <v>0.27156862602468501</v>
      </c>
      <c r="AC92" s="34">
        <v>730</v>
      </c>
      <c r="AD92" s="34">
        <v>150</v>
      </c>
      <c r="AE92" s="34">
        <v>26</v>
      </c>
      <c r="AF92" s="34">
        <v>50</v>
      </c>
      <c r="AG92" s="34">
        <v>0.15800968728650774</v>
      </c>
      <c r="AI92" s="35">
        <v>89</v>
      </c>
      <c r="AJ92" s="35">
        <v>110</v>
      </c>
      <c r="AK92" s="17">
        <v>110.0893361</v>
      </c>
      <c r="AM92" s="35">
        <v>20.946844221105501</v>
      </c>
      <c r="AN92" s="35">
        <v>0.96029411764705797</v>
      </c>
      <c r="AV92" s="13">
        <f t="shared" si="6"/>
        <v>8.1214636363635684E-2</v>
      </c>
      <c r="AW92" s="35">
        <v>0.167916233032784</v>
      </c>
      <c r="AX92" s="35">
        <v>1661</v>
      </c>
      <c r="AY92" s="35">
        <v>134</v>
      </c>
      <c r="AZ92" s="35">
        <v>37</v>
      </c>
      <c r="BA92" s="35">
        <v>19</v>
      </c>
      <c r="BB92" s="35">
        <v>0.89595158465851077</v>
      </c>
      <c r="BD92" s="35">
        <v>89</v>
      </c>
      <c r="BE92" s="35">
        <v>110</v>
      </c>
      <c r="BF92" s="17">
        <v>111.0309099</v>
      </c>
      <c r="BH92" s="35">
        <v>21.507524999999902</v>
      </c>
      <c r="BI92" s="35">
        <v>0.96176470588235297</v>
      </c>
      <c r="BQ92" s="13">
        <f t="shared" si="7"/>
        <v>0.93719081818182115</v>
      </c>
      <c r="BR92" s="35">
        <v>0.132236703713592</v>
      </c>
      <c r="BS92" s="35">
        <v>618</v>
      </c>
      <c r="BT92" s="35">
        <v>43</v>
      </c>
      <c r="BU92" s="35">
        <v>14</v>
      </c>
      <c r="BV92" s="35">
        <v>15</v>
      </c>
      <c r="BW92" s="35">
        <v>0.47557465374209695</v>
      </c>
    </row>
    <row r="93" spans="1:75">
      <c r="A93" s="13">
        <v>90</v>
      </c>
      <c r="B93" s="13">
        <v>154</v>
      </c>
      <c r="C93" s="17">
        <v>149.2738578</v>
      </c>
      <c r="D93" s="13"/>
      <c r="E93" s="36">
        <v>32.723747870351701</v>
      </c>
      <c r="F93" s="36">
        <v>0.86323529411764699</v>
      </c>
      <c r="G93" s="36"/>
      <c r="H93" s="13"/>
      <c r="I93" s="13"/>
      <c r="J93" s="13"/>
      <c r="K93" s="13"/>
      <c r="L93" s="13"/>
      <c r="M93" s="13">
        <f t="shared" si="4"/>
        <v>-3.0689235064935039</v>
      </c>
      <c r="N93" s="13"/>
      <c r="O93" s="13">
        <v>90</v>
      </c>
      <c r="P93" s="13">
        <v>154</v>
      </c>
      <c r="Q93" s="17">
        <v>154.16880180000001</v>
      </c>
      <c r="R93" s="13"/>
      <c r="S93" s="36">
        <v>25.345664445226099</v>
      </c>
      <c r="T93" s="36">
        <v>0.91176470588235203</v>
      </c>
      <c r="U93" s="36"/>
      <c r="V93" s="13"/>
      <c r="W93" s="13"/>
      <c r="X93" s="13"/>
      <c r="Y93" s="13"/>
      <c r="Z93" s="13"/>
      <c r="AA93" s="13">
        <f t="shared" si="5"/>
        <v>0.10961155844155801</v>
      </c>
      <c r="AB93" s="26">
        <v>0.27156862602468501</v>
      </c>
      <c r="AC93" s="34">
        <v>1051</v>
      </c>
      <c r="AD93" s="34">
        <v>125</v>
      </c>
      <c r="AE93" s="34">
        <v>38</v>
      </c>
      <c r="AF93" s="34">
        <v>4</v>
      </c>
      <c r="AG93" s="34">
        <v>0.71324571922082924</v>
      </c>
      <c r="AI93" s="35">
        <v>90</v>
      </c>
      <c r="AJ93" s="35">
        <v>154</v>
      </c>
      <c r="AK93" s="17">
        <v>154.12377860000001</v>
      </c>
      <c r="AM93" s="35">
        <v>21.205447236180898</v>
      </c>
      <c r="AN93" s="35">
        <v>0.96176470588235297</v>
      </c>
      <c r="AV93" s="13">
        <f t="shared" si="6"/>
        <v>8.0375714285718658E-2</v>
      </c>
      <c r="AW93" s="35">
        <v>0.167916233032784</v>
      </c>
      <c r="AX93" s="35">
        <v>962</v>
      </c>
      <c r="AY93" s="35">
        <v>178</v>
      </c>
      <c r="AZ93" s="35">
        <v>39</v>
      </c>
      <c r="BA93" s="35">
        <v>14</v>
      </c>
      <c r="BB93" s="35">
        <v>0.87597905933926512</v>
      </c>
      <c r="BD93" s="35">
        <v>90</v>
      </c>
      <c r="BE93" s="35">
        <v>154</v>
      </c>
      <c r="BF93" s="17">
        <v>154.7181448</v>
      </c>
      <c r="BH93" s="35">
        <v>21.773049999999898</v>
      </c>
      <c r="BI93" s="35">
        <v>0.96323529411764697</v>
      </c>
      <c r="BQ93" s="13">
        <f t="shared" si="7"/>
        <v>0.46632779220778797</v>
      </c>
      <c r="BR93" s="35">
        <v>0.132236703713592</v>
      </c>
      <c r="BS93" s="35">
        <v>712</v>
      </c>
      <c r="BT93" s="35">
        <v>22</v>
      </c>
      <c r="BU93" s="35">
        <v>15</v>
      </c>
      <c r="BV93" s="35">
        <v>15</v>
      </c>
      <c r="BW93" s="35">
        <v>0.34255007430736772</v>
      </c>
    </row>
    <row r="94" spans="1:75">
      <c r="A94" s="13">
        <v>91</v>
      </c>
      <c r="B94" s="13">
        <v>52</v>
      </c>
      <c r="C94" s="17">
        <v>80.90967397</v>
      </c>
      <c r="D94" s="13"/>
      <c r="E94" s="36">
        <v>33.122817966331603</v>
      </c>
      <c r="F94" s="36">
        <v>0.86617647058823499</v>
      </c>
      <c r="G94" s="36"/>
      <c r="H94" s="13"/>
      <c r="I94" s="13"/>
      <c r="J94" s="13"/>
      <c r="K94" s="13"/>
      <c r="L94" s="13"/>
      <c r="M94" s="13">
        <f t="shared" si="4"/>
        <v>55.595526865384628</v>
      </c>
      <c r="N94" s="13"/>
      <c r="O94" s="13">
        <v>91</v>
      </c>
      <c r="P94" s="13">
        <v>52</v>
      </c>
      <c r="Q94" s="17">
        <v>67.352618789999994</v>
      </c>
      <c r="R94" s="13"/>
      <c r="S94" s="36">
        <v>25.654757914070299</v>
      </c>
      <c r="T94" s="36">
        <v>0.91323529411764703</v>
      </c>
      <c r="U94" s="36"/>
      <c r="V94" s="13"/>
      <c r="W94" s="13"/>
      <c r="X94" s="13"/>
      <c r="Y94" s="13"/>
      <c r="Z94" s="13"/>
      <c r="AA94" s="13">
        <f t="shared" si="5"/>
        <v>29.524266903846154</v>
      </c>
      <c r="AB94" s="26">
        <v>0.26067557489371801</v>
      </c>
      <c r="AC94" s="34">
        <v>504</v>
      </c>
      <c r="AD94" s="34">
        <v>37</v>
      </c>
      <c r="AE94" s="34">
        <v>21</v>
      </c>
      <c r="AF94" s="34">
        <v>32</v>
      </c>
      <c r="AG94" s="34">
        <v>0.14982717478541224</v>
      </c>
      <c r="AI94" s="35">
        <v>91</v>
      </c>
      <c r="AJ94" s="35">
        <v>52</v>
      </c>
      <c r="AK94" s="17">
        <v>53.369908299999999</v>
      </c>
      <c r="AM94" s="35">
        <v>21.4640502512562</v>
      </c>
      <c r="AN94" s="35">
        <v>0.96176470588235297</v>
      </c>
      <c r="AV94" s="13">
        <f t="shared" si="6"/>
        <v>2.6344390384615446</v>
      </c>
      <c r="AW94" s="35">
        <v>0.16734967213940799</v>
      </c>
      <c r="AX94" s="35">
        <v>163</v>
      </c>
      <c r="AY94" s="35">
        <v>183</v>
      </c>
      <c r="AZ94" s="35">
        <v>5</v>
      </c>
      <c r="BA94" s="35">
        <v>24</v>
      </c>
      <c r="BB94" s="35">
        <v>0.49796510206055422</v>
      </c>
      <c r="BD94" s="35">
        <v>91</v>
      </c>
      <c r="BE94" s="35">
        <v>52</v>
      </c>
      <c r="BF94" s="17">
        <v>59.801430310000001</v>
      </c>
      <c r="BH94" s="35">
        <v>22.038574999999899</v>
      </c>
      <c r="BI94" s="35">
        <v>0.96323529411764697</v>
      </c>
      <c r="BQ94" s="13">
        <f t="shared" si="7"/>
        <v>15.002750596153858</v>
      </c>
      <c r="BR94" s="35">
        <v>0.132236703713592</v>
      </c>
      <c r="BS94" s="35">
        <v>1814</v>
      </c>
      <c r="BT94" s="35">
        <v>76</v>
      </c>
      <c r="BU94" s="35">
        <v>25</v>
      </c>
      <c r="BV94" s="35">
        <v>8</v>
      </c>
      <c r="BW94" s="35">
        <v>0.33849463789551898</v>
      </c>
    </row>
    <row r="95" spans="1:75">
      <c r="A95" s="13">
        <v>92</v>
      </c>
      <c r="B95" s="13">
        <v>170</v>
      </c>
      <c r="C95" s="17">
        <v>162.5472603</v>
      </c>
      <c r="D95" s="13"/>
      <c r="E95" s="36">
        <v>33.521888062311497</v>
      </c>
      <c r="F95" s="36">
        <v>0.86764705882352899</v>
      </c>
      <c r="G95" s="36"/>
      <c r="H95" s="13"/>
      <c r="I95" s="13"/>
      <c r="J95" s="13"/>
      <c r="K95" s="13"/>
      <c r="L95" s="13"/>
      <c r="M95" s="13">
        <f t="shared" si="4"/>
        <v>-4.3839645294117657</v>
      </c>
      <c r="N95" s="13"/>
      <c r="O95" s="13">
        <v>92</v>
      </c>
      <c r="P95" s="13">
        <v>170</v>
      </c>
      <c r="Q95" s="17">
        <v>168.07038410000001</v>
      </c>
      <c r="R95" s="13"/>
      <c r="S95" s="36">
        <v>25.963851382914498</v>
      </c>
      <c r="T95" s="36">
        <v>0.91764705882352904</v>
      </c>
      <c r="U95" s="36"/>
      <c r="V95" s="13"/>
      <c r="W95" s="13"/>
      <c r="X95" s="13"/>
      <c r="Y95" s="13"/>
      <c r="Z95" s="13"/>
      <c r="AA95" s="13">
        <f t="shared" si="5"/>
        <v>-1.1350681764705772</v>
      </c>
      <c r="AB95" s="26">
        <v>0.26067557489371801</v>
      </c>
      <c r="AC95" s="34">
        <v>1388</v>
      </c>
      <c r="AD95" s="34">
        <v>182</v>
      </c>
      <c r="AE95" s="34">
        <v>26</v>
      </c>
      <c r="AF95" s="34">
        <v>4</v>
      </c>
      <c r="AG95" s="34">
        <v>0.63034066760365393</v>
      </c>
      <c r="AI95" s="35">
        <v>92</v>
      </c>
      <c r="AJ95" s="35">
        <v>170</v>
      </c>
      <c r="AK95" s="17">
        <v>169.96346629999999</v>
      </c>
      <c r="AM95" s="35">
        <v>21.722653266331601</v>
      </c>
      <c r="AN95" s="35">
        <v>0.96176470588235297</v>
      </c>
      <c r="AV95" s="13">
        <f t="shared" si="6"/>
        <v>-2.1490411764713002E-2</v>
      </c>
      <c r="AW95" s="35">
        <v>0.16734967213940799</v>
      </c>
      <c r="AX95" s="35">
        <v>1634</v>
      </c>
      <c r="AY95" s="35">
        <v>173</v>
      </c>
      <c r="AZ95" s="35">
        <v>48</v>
      </c>
      <c r="BA95" s="35">
        <v>28</v>
      </c>
      <c r="BB95" s="35">
        <v>0.83714395821563181</v>
      </c>
      <c r="BD95" s="35">
        <v>92</v>
      </c>
      <c r="BE95" s="35">
        <v>170</v>
      </c>
      <c r="BF95" s="17">
        <v>168.53381759999999</v>
      </c>
      <c r="BH95" s="35">
        <v>22.304099999999899</v>
      </c>
      <c r="BI95" s="35">
        <v>0.96470588235294097</v>
      </c>
      <c r="BQ95" s="13">
        <f t="shared" si="7"/>
        <v>-0.86246023529412685</v>
      </c>
      <c r="BR95" s="35">
        <v>0.132236703713592</v>
      </c>
      <c r="BS95" s="35">
        <v>1162</v>
      </c>
      <c r="BT95" s="35">
        <v>183</v>
      </c>
      <c r="BU95" s="35">
        <v>36</v>
      </c>
      <c r="BV95" s="35">
        <v>50</v>
      </c>
      <c r="BW95" s="35">
        <v>0.98851576029940569</v>
      </c>
    </row>
    <row r="96" spans="1:75">
      <c r="A96" s="13">
        <v>93</v>
      </c>
      <c r="B96" s="13">
        <v>215</v>
      </c>
      <c r="C96" s="17">
        <v>170.7066197</v>
      </c>
      <c r="D96" s="13"/>
      <c r="E96" s="36">
        <v>33.920958158291398</v>
      </c>
      <c r="F96" s="36">
        <v>0.86764705882352899</v>
      </c>
      <c r="G96" s="36"/>
      <c r="H96" s="13"/>
      <c r="I96" s="13"/>
      <c r="J96" s="13"/>
      <c r="K96" s="13"/>
      <c r="L96" s="13"/>
      <c r="M96" s="13">
        <f t="shared" si="4"/>
        <v>-20.601572232558141</v>
      </c>
      <c r="N96" s="13"/>
      <c r="O96" s="13">
        <v>93</v>
      </c>
      <c r="P96" s="13">
        <v>215</v>
      </c>
      <c r="Q96" s="17">
        <v>188.83704</v>
      </c>
      <c r="R96" s="13"/>
      <c r="S96" s="36">
        <v>26.272944851758702</v>
      </c>
      <c r="T96" s="36">
        <v>0.92058823529411704</v>
      </c>
      <c r="U96" s="36"/>
      <c r="V96" s="13"/>
      <c r="W96" s="13"/>
      <c r="X96" s="13"/>
      <c r="Y96" s="13"/>
      <c r="Z96" s="13"/>
      <c r="AA96" s="13">
        <f t="shared" si="5"/>
        <v>-12.168818604651166</v>
      </c>
      <c r="AB96" s="26">
        <v>0.26067557489371801</v>
      </c>
      <c r="AC96" s="34">
        <v>823</v>
      </c>
      <c r="AD96" s="34">
        <v>137</v>
      </c>
      <c r="AE96" s="34">
        <v>45</v>
      </c>
      <c r="AF96" s="34">
        <v>5</v>
      </c>
      <c r="AG96" s="34">
        <v>0.32431088434150313</v>
      </c>
      <c r="AI96" s="35">
        <v>93</v>
      </c>
      <c r="AJ96" s="35">
        <v>215</v>
      </c>
      <c r="AK96" s="17">
        <v>214.72161109999999</v>
      </c>
      <c r="AM96" s="35">
        <v>21.981256281406999</v>
      </c>
      <c r="AN96" s="35">
        <v>0.96176470588235297</v>
      </c>
      <c r="AV96" s="13">
        <f t="shared" si="6"/>
        <v>-0.12948320930232793</v>
      </c>
      <c r="AW96" s="35">
        <v>0.16734967213940799</v>
      </c>
      <c r="AX96" s="35">
        <v>1023</v>
      </c>
      <c r="AY96" s="35">
        <v>168</v>
      </c>
      <c r="AZ96" s="35">
        <v>35</v>
      </c>
      <c r="BA96" s="35">
        <v>25</v>
      </c>
      <c r="BB96" s="35">
        <v>0.14551624949736011</v>
      </c>
      <c r="BD96" s="35">
        <v>93</v>
      </c>
      <c r="BE96" s="35">
        <v>215</v>
      </c>
      <c r="BF96" s="17">
        <v>211.4436772</v>
      </c>
      <c r="BH96" s="35">
        <v>22.569624999999899</v>
      </c>
      <c r="BI96" s="35">
        <v>0.96617647058823497</v>
      </c>
      <c r="BQ96" s="13">
        <f t="shared" si="7"/>
        <v>-1.6541036279069776</v>
      </c>
      <c r="BR96" s="35">
        <v>0.132236703713592</v>
      </c>
      <c r="BS96" s="35">
        <v>230</v>
      </c>
      <c r="BT96" s="35">
        <v>200</v>
      </c>
      <c r="BU96" s="35">
        <v>16</v>
      </c>
      <c r="BV96" s="35">
        <v>21</v>
      </c>
      <c r="BW96" s="35">
        <v>0.92622131660985785</v>
      </c>
    </row>
    <row r="97" spans="1:75">
      <c r="A97" s="13">
        <v>94</v>
      </c>
      <c r="B97" s="13">
        <v>67</v>
      </c>
      <c r="C97" s="17">
        <v>88.44239881</v>
      </c>
      <c r="D97" s="13"/>
      <c r="E97" s="36">
        <v>34.3200282542713</v>
      </c>
      <c r="F97" s="36">
        <v>0.869117647058823</v>
      </c>
      <c r="G97" s="36"/>
      <c r="H97" s="13"/>
      <c r="I97" s="13"/>
      <c r="J97" s="13"/>
      <c r="K97" s="13"/>
      <c r="L97" s="13"/>
      <c r="M97" s="13">
        <f t="shared" si="4"/>
        <v>32.003580313432842</v>
      </c>
      <c r="N97" s="13"/>
      <c r="O97" s="13">
        <v>94</v>
      </c>
      <c r="P97" s="13">
        <v>67</v>
      </c>
      <c r="Q97" s="17">
        <v>80.533849500000002</v>
      </c>
      <c r="R97" s="13"/>
      <c r="S97" s="36">
        <v>26.582038320603001</v>
      </c>
      <c r="T97" s="36">
        <v>0.92352941176470504</v>
      </c>
      <c r="U97" s="36"/>
      <c r="V97" s="13"/>
      <c r="W97" s="13"/>
      <c r="X97" s="13"/>
      <c r="Y97" s="13"/>
      <c r="Z97" s="13"/>
      <c r="AA97" s="13">
        <f t="shared" si="5"/>
        <v>20.199775373134333</v>
      </c>
      <c r="AB97" s="26">
        <v>0.26067557489371801</v>
      </c>
      <c r="AC97" s="34">
        <v>438</v>
      </c>
      <c r="AD97" s="34">
        <v>157</v>
      </c>
      <c r="AE97" s="34">
        <v>47</v>
      </c>
      <c r="AF97" s="34">
        <v>27</v>
      </c>
      <c r="AG97" s="34">
        <v>0.79943958808224957</v>
      </c>
      <c r="AI97" s="35">
        <v>94</v>
      </c>
      <c r="AJ97" s="35">
        <v>67</v>
      </c>
      <c r="AK97" s="17">
        <v>67.95214344</v>
      </c>
      <c r="AM97" s="35">
        <v>22.2398592964824</v>
      </c>
      <c r="AN97" s="35">
        <v>0.96323529411764697</v>
      </c>
      <c r="AV97" s="13">
        <f t="shared" si="6"/>
        <v>1.4211096119403077</v>
      </c>
      <c r="AW97" s="35">
        <v>0.16734967213940799</v>
      </c>
      <c r="AX97" s="35">
        <v>1615</v>
      </c>
      <c r="AY97" s="35">
        <v>183</v>
      </c>
      <c r="AZ97" s="35">
        <v>11</v>
      </c>
      <c r="BA97" s="35">
        <v>26</v>
      </c>
      <c r="BB97" s="35">
        <v>0.85129756602326412</v>
      </c>
      <c r="BD97" s="35">
        <v>94</v>
      </c>
      <c r="BE97" s="35">
        <v>67</v>
      </c>
      <c r="BF97" s="17">
        <v>72.28886224</v>
      </c>
      <c r="BH97" s="35">
        <v>22.835149999999899</v>
      </c>
      <c r="BI97" s="35">
        <v>0.96764705882352897</v>
      </c>
      <c r="BQ97" s="13">
        <f t="shared" si="7"/>
        <v>7.8938242388059798</v>
      </c>
      <c r="BR97" s="35">
        <v>0.132236703713592</v>
      </c>
      <c r="BS97" s="35">
        <v>181</v>
      </c>
      <c r="BT97" s="35">
        <v>67</v>
      </c>
      <c r="BU97" s="35">
        <v>8</v>
      </c>
      <c r="BV97" s="35">
        <v>13</v>
      </c>
      <c r="BW97" s="35">
        <v>0.37881190016114763</v>
      </c>
    </row>
    <row r="98" spans="1:75">
      <c r="A98" s="13">
        <v>95</v>
      </c>
      <c r="B98" s="13">
        <v>180</v>
      </c>
      <c r="C98" s="17">
        <v>165.92196029999999</v>
      </c>
      <c r="D98" s="13"/>
      <c r="E98" s="36">
        <v>34.719098350251201</v>
      </c>
      <c r="F98" s="36">
        <v>0.873529411764705</v>
      </c>
      <c r="G98" s="36"/>
      <c r="H98" s="13"/>
      <c r="I98" s="13"/>
      <c r="J98" s="13"/>
      <c r="K98" s="13"/>
      <c r="L98" s="13"/>
      <c r="M98" s="13">
        <f t="shared" si="4"/>
        <v>-7.8211331666666712</v>
      </c>
      <c r="N98" s="13"/>
      <c r="O98" s="13">
        <v>95</v>
      </c>
      <c r="P98" s="13">
        <v>180</v>
      </c>
      <c r="Q98" s="17">
        <v>176.04217080000001</v>
      </c>
      <c r="R98" s="13"/>
      <c r="S98" s="36">
        <v>26.891131789447201</v>
      </c>
      <c r="T98" s="36">
        <v>0.92941176470588205</v>
      </c>
      <c r="U98" s="36"/>
      <c r="V98" s="13"/>
      <c r="W98" s="13"/>
      <c r="X98" s="13"/>
      <c r="Y98" s="13"/>
      <c r="Z98" s="13"/>
      <c r="AA98" s="13">
        <f t="shared" si="5"/>
        <v>-2.1987939999999928</v>
      </c>
      <c r="AB98" s="26">
        <v>0.26067557489371801</v>
      </c>
      <c r="AC98" s="34">
        <v>1008</v>
      </c>
      <c r="AD98" s="34">
        <v>127</v>
      </c>
      <c r="AE98" s="34">
        <v>7</v>
      </c>
      <c r="AF98" s="34">
        <v>39</v>
      </c>
      <c r="AG98" s="34">
        <v>0.51390286964057574</v>
      </c>
      <c r="AI98" s="35">
        <v>95</v>
      </c>
      <c r="AJ98" s="35">
        <v>180</v>
      </c>
      <c r="AK98" s="17">
        <v>179.6878399</v>
      </c>
      <c r="AM98" s="35">
        <v>22.498462311557699</v>
      </c>
      <c r="AN98" s="35">
        <v>0.96470588235294097</v>
      </c>
      <c r="AV98" s="13">
        <f t="shared" si="6"/>
        <v>-0.17342227777777941</v>
      </c>
      <c r="AW98" s="35">
        <v>0.16734967213940799</v>
      </c>
      <c r="AX98" s="35">
        <v>217</v>
      </c>
      <c r="AY98" s="35">
        <v>167</v>
      </c>
      <c r="AZ98" s="35">
        <v>39</v>
      </c>
      <c r="BA98" s="35">
        <v>45</v>
      </c>
      <c r="BB98" s="35">
        <v>0.69286069008773443</v>
      </c>
      <c r="BD98" s="35">
        <v>95</v>
      </c>
      <c r="BE98" s="35">
        <v>180</v>
      </c>
      <c r="BF98" s="17">
        <v>178.02606890000001</v>
      </c>
      <c r="BH98" s="35">
        <v>23.100674999999899</v>
      </c>
      <c r="BI98" s="35">
        <v>0.96911764705882297</v>
      </c>
      <c r="BQ98" s="13">
        <f t="shared" si="7"/>
        <v>-1.0966283888888873</v>
      </c>
      <c r="BR98" s="35">
        <v>0.132236703713592</v>
      </c>
      <c r="BS98" s="35">
        <v>80</v>
      </c>
      <c r="BT98" s="35">
        <v>85</v>
      </c>
      <c r="BU98" s="35">
        <v>6</v>
      </c>
      <c r="BV98" s="35">
        <v>15</v>
      </c>
      <c r="BW98" s="35">
        <v>0.91982390326443042</v>
      </c>
    </row>
    <row r="99" spans="1:75">
      <c r="A99" s="13">
        <v>96</v>
      </c>
      <c r="B99" s="13">
        <v>101</v>
      </c>
      <c r="C99" s="17">
        <v>114.43442829999999</v>
      </c>
      <c r="D99" s="13"/>
      <c r="E99" s="36">
        <v>35.118168446231103</v>
      </c>
      <c r="F99" s="36">
        <v>0.877941176470588</v>
      </c>
      <c r="G99" s="36"/>
      <c r="H99" s="13"/>
      <c r="I99" s="13"/>
      <c r="J99" s="13"/>
      <c r="K99" s="13"/>
      <c r="L99" s="13"/>
      <c r="M99" s="13">
        <f t="shared" si="4"/>
        <v>13.301414158415836</v>
      </c>
      <c r="N99" s="13"/>
      <c r="O99" s="13">
        <v>96</v>
      </c>
      <c r="P99" s="13">
        <v>101</v>
      </c>
      <c r="Q99" s="17">
        <v>109.833933</v>
      </c>
      <c r="R99" s="13"/>
      <c r="S99" s="36">
        <v>27.2002252582914</v>
      </c>
      <c r="T99" s="36">
        <v>0.93382352941176405</v>
      </c>
      <c r="U99" s="36"/>
      <c r="V99" s="13"/>
      <c r="W99" s="13"/>
      <c r="X99" s="13"/>
      <c r="Y99" s="13"/>
      <c r="Z99" s="13"/>
      <c r="AA99" s="13">
        <f t="shared" si="5"/>
        <v>8.7464683168316792</v>
      </c>
      <c r="AB99" s="26">
        <v>0.26067557489371801</v>
      </c>
      <c r="AC99" s="34">
        <v>1679</v>
      </c>
      <c r="AD99" s="34">
        <v>53</v>
      </c>
      <c r="AE99" s="34">
        <v>13</v>
      </c>
      <c r="AF99" s="34">
        <v>11</v>
      </c>
      <c r="AG99" s="34">
        <v>0.60699080500158242</v>
      </c>
      <c r="AI99" s="35">
        <v>96</v>
      </c>
      <c r="AJ99" s="35">
        <v>101</v>
      </c>
      <c r="AK99" s="17">
        <v>101.2783108</v>
      </c>
      <c r="AM99" s="35">
        <v>22.7570653266331</v>
      </c>
      <c r="AN99" s="35">
        <v>0.96617647058823497</v>
      </c>
      <c r="AV99" s="13">
        <f t="shared" si="6"/>
        <v>0.27555524752476135</v>
      </c>
      <c r="AW99" s="35">
        <v>0.16734967213940799</v>
      </c>
      <c r="AX99" s="35">
        <v>505</v>
      </c>
      <c r="AY99" s="35">
        <v>64</v>
      </c>
      <c r="AZ99" s="35">
        <v>4</v>
      </c>
      <c r="BA99" s="35">
        <v>8</v>
      </c>
      <c r="BB99" s="35">
        <v>0.6244941993346812</v>
      </c>
      <c r="BD99" s="35">
        <v>96</v>
      </c>
      <c r="BE99" s="35">
        <v>101</v>
      </c>
      <c r="BF99" s="17">
        <v>103.10346509999999</v>
      </c>
      <c r="BH99" s="35">
        <v>23.3661999999999</v>
      </c>
      <c r="BI99" s="35">
        <v>0.96911764705882297</v>
      </c>
      <c r="BQ99" s="13">
        <f t="shared" si="7"/>
        <v>2.0826387128712875</v>
      </c>
      <c r="BR99" s="35">
        <v>0.132236703713592</v>
      </c>
      <c r="BS99" s="35">
        <v>360</v>
      </c>
      <c r="BT99" s="35">
        <v>86</v>
      </c>
      <c r="BU99" s="35">
        <v>48</v>
      </c>
      <c r="BV99" s="35">
        <v>18</v>
      </c>
      <c r="BW99" s="35">
        <v>0.91513771174392222</v>
      </c>
    </row>
    <row r="100" spans="1:75">
      <c r="A100" s="13">
        <v>97</v>
      </c>
      <c r="B100" s="13">
        <v>38</v>
      </c>
      <c r="C100" s="17">
        <v>42.343678396488698</v>
      </c>
      <c r="D100" s="13"/>
      <c r="E100" s="36">
        <v>35.517238542210997</v>
      </c>
      <c r="F100" s="36">
        <v>0.879411764705882</v>
      </c>
      <c r="G100" s="36"/>
      <c r="H100" s="13"/>
      <c r="I100" s="13"/>
      <c r="J100" s="13"/>
      <c r="K100" s="13"/>
      <c r="L100" s="13"/>
      <c r="M100" s="13">
        <f t="shared" si="4"/>
        <v>11.430732622338692</v>
      </c>
      <c r="N100" s="13"/>
      <c r="O100" s="13">
        <v>97</v>
      </c>
      <c r="P100" s="13">
        <v>38</v>
      </c>
      <c r="Q100" s="17">
        <v>54.579470319999999</v>
      </c>
      <c r="R100" s="13"/>
      <c r="S100" s="36">
        <v>27.5093187271356</v>
      </c>
      <c r="T100" s="36">
        <v>0.93823529411764695</v>
      </c>
      <c r="U100" s="36"/>
      <c r="V100" s="13"/>
      <c r="W100" s="13"/>
      <c r="X100" s="13"/>
      <c r="Y100" s="13"/>
      <c r="Z100" s="13"/>
      <c r="AA100" s="13">
        <f t="shared" si="5"/>
        <v>43.630185052631568</v>
      </c>
      <c r="AB100" s="26">
        <v>0.25354695963879098</v>
      </c>
      <c r="AC100" s="34">
        <v>1474</v>
      </c>
      <c r="AD100" s="34">
        <v>129</v>
      </c>
      <c r="AE100" s="34">
        <v>4</v>
      </c>
      <c r="AF100" s="34">
        <v>2</v>
      </c>
      <c r="AG100" s="34">
        <v>0.50768608965750739</v>
      </c>
      <c r="AI100" s="35">
        <v>97</v>
      </c>
      <c r="AJ100" s="35">
        <v>38</v>
      </c>
      <c r="AK100" s="17">
        <v>38.500330409999997</v>
      </c>
      <c r="AM100" s="35">
        <v>23.015668341708501</v>
      </c>
      <c r="AN100" s="35">
        <v>0.96764705882352897</v>
      </c>
      <c r="AV100" s="13">
        <f t="shared" si="6"/>
        <v>1.3166589736842038</v>
      </c>
      <c r="AW100" s="35">
        <v>0.16734967213940799</v>
      </c>
      <c r="AX100" s="35">
        <v>1927</v>
      </c>
      <c r="AY100" s="35">
        <v>70</v>
      </c>
      <c r="AZ100" s="35">
        <v>3</v>
      </c>
      <c r="BA100" s="35">
        <v>39</v>
      </c>
      <c r="BB100" s="35">
        <v>0.37703122671424005</v>
      </c>
      <c r="BD100" s="35">
        <v>97</v>
      </c>
      <c r="BE100" s="35">
        <v>38</v>
      </c>
      <c r="BF100" s="17">
        <v>41.477394959999998</v>
      </c>
      <c r="BH100" s="35">
        <v>23.6317249999999</v>
      </c>
      <c r="BI100" s="35">
        <v>0.96911764705882297</v>
      </c>
      <c r="BQ100" s="13">
        <f t="shared" si="7"/>
        <v>9.1510393684210545</v>
      </c>
      <c r="BR100" s="35">
        <v>0.132236703713592</v>
      </c>
      <c r="BS100" s="35">
        <v>150</v>
      </c>
      <c r="BT100" s="35">
        <v>192</v>
      </c>
      <c r="BU100" s="35">
        <v>19</v>
      </c>
      <c r="BV100" s="35">
        <v>23</v>
      </c>
      <c r="BW100" s="35">
        <v>0.83726738535046918</v>
      </c>
    </row>
    <row r="101" spans="1:75">
      <c r="A101" s="13">
        <v>98</v>
      </c>
      <c r="B101" s="13">
        <v>213</v>
      </c>
      <c r="C101" s="17">
        <v>184.6358506</v>
      </c>
      <c r="D101" s="13"/>
      <c r="E101" s="36">
        <v>35.916308638190898</v>
      </c>
      <c r="F101" s="36">
        <v>0.88382352941176401</v>
      </c>
      <c r="G101" s="36"/>
      <c r="H101" s="13"/>
      <c r="I101" s="13"/>
      <c r="J101" s="13"/>
      <c r="K101" s="13"/>
      <c r="L101" s="13"/>
      <c r="M101" s="13">
        <f t="shared" si="4"/>
        <v>-13.316502065727697</v>
      </c>
      <c r="N101" s="13"/>
      <c r="O101" s="13">
        <v>98</v>
      </c>
      <c r="P101" s="13">
        <v>213</v>
      </c>
      <c r="Q101" s="17">
        <v>203.96698960000001</v>
      </c>
      <c r="R101" s="13"/>
      <c r="S101" s="36">
        <v>27.8184121959798</v>
      </c>
      <c r="T101" s="36">
        <v>0.93970588235294095</v>
      </c>
      <c r="U101" s="36"/>
      <c r="V101" s="13"/>
      <c r="W101" s="13"/>
      <c r="X101" s="13"/>
      <c r="Y101" s="13"/>
      <c r="Z101" s="13"/>
      <c r="AA101" s="13">
        <f t="shared" si="5"/>
        <v>-4.2408499530516401</v>
      </c>
      <c r="AB101" s="26">
        <v>0.25354695963879098</v>
      </c>
      <c r="AC101" s="34">
        <v>894</v>
      </c>
      <c r="AD101" s="34">
        <v>119</v>
      </c>
      <c r="AE101" s="34">
        <v>19</v>
      </c>
      <c r="AF101" s="34">
        <v>38</v>
      </c>
      <c r="AG101" s="34">
        <v>0.20015686105354993</v>
      </c>
      <c r="AI101" s="35">
        <v>98</v>
      </c>
      <c r="AJ101" s="35">
        <v>213</v>
      </c>
      <c r="AK101" s="17">
        <v>212.33395039999999</v>
      </c>
      <c r="AM101" s="35">
        <v>23.274271356783899</v>
      </c>
      <c r="AN101" s="35">
        <v>0.96764705882352897</v>
      </c>
      <c r="AV101" s="13">
        <f t="shared" si="6"/>
        <v>-0.3126993427230107</v>
      </c>
      <c r="AW101" s="35">
        <v>0.16734967213940799</v>
      </c>
      <c r="AX101" s="35">
        <v>1688</v>
      </c>
      <c r="AY101" s="35">
        <v>193</v>
      </c>
      <c r="AZ101" s="35">
        <v>20</v>
      </c>
      <c r="BA101" s="35">
        <v>3</v>
      </c>
      <c r="BB101" s="35">
        <v>0.7066179951677567</v>
      </c>
      <c r="BD101" s="35">
        <v>98</v>
      </c>
      <c r="BE101" s="35">
        <v>213</v>
      </c>
      <c r="BF101" s="17">
        <v>207.40650160000001</v>
      </c>
      <c r="BH101" s="35">
        <v>23.8972499999999</v>
      </c>
      <c r="BI101" s="35">
        <v>0.96911764705882297</v>
      </c>
      <c r="BQ101" s="13">
        <f t="shared" si="7"/>
        <v>-2.6260555868544588</v>
      </c>
      <c r="BR101" s="35">
        <v>0.13189582242322301</v>
      </c>
      <c r="BS101" s="35">
        <v>704</v>
      </c>
      <c r="BT101" s="35">
        <v>144</v>
      </c>
      <c r="BU101" s="35">
        <v>47</v>
      </c>
      <c r="BV101" s="35">
        <v>47</v>
      </c>
      <c r="BW101" s="35">
        <v>0.10362264418033643</v>
      </c>
    </row>
    <row r="102" spans="1:75">
      <c r="A102" s="13">
        <v>99</v>
      </c>
      <c r="B102" s="13">
        <v>74</v>
      </c>
      <c r="C102" s="17">
        <v>92.461550579999994</v>
      </c>
      <c r="D102" s="13"/>
      <c r="E102" s="36">
        <v>36.3153787341708</v>
      </c>
      <c r="F102" s="36">
        <v>0.88382352941176401</v>
      </c>
      <c r="G102" s="36"/>
      <c r="H102" s="13"/>
      <c r="I102" s="13"/>
      <c r="J102" s="13"/>
      <c r="K102" s="13"/>
      <c r="L102" s="13"/>
      <c r="M102" s="13">
        <f t="shared" ref="M102:M165" si="8">((C102/B102)-1)*100</f>
        <v>24.948041324324311</v>
      </c>
      <c r="N102" s="13"/>
      <c r="O102" s="13">
        <v>99</v>
      </c>
      <c r="P102" s="13">
        <v>74</v>
      </c>
      <c r="Q102" s="17">
        <v>84.863198120000007</v>
      </c>
      <c r="R102" s="13"/>
      <c r="S102" s="36">
        <v>28.127505664824099</v>
      </c>
      <c r="T102" s="36">
        <v>0.94264705882352895</v>
      </c>
      <c r="U102" s="36"/>
      <c r="V102" s="13"/>
      <c r="W102" s="13"/>
      <c r="X102" s="13"/>
      <c r="Y102" s="13"/>
      <c r="Z102" s="13"/>
      <c r="AA102" s="13">
        <f t="shared" si="5"/>
        <v>14.679997459459472</v>
      </c>
      <c r="AB102" s="26">
        <v>0.25354695963879098</v>
      </c>
      <c r="AC102" s="34">
        <v>293</v>
      </c>
      <c r="AD102" s="34">
        <v>194</v>
      </c>
      <c r="AE102" s="34">
        <v>21</v>
      </c>
      <c r="AF102" s="34">
        <v>19</v>
      </c>
      <c r="AG102" s="34">
        <v>0.32376112262488954</v>
      </c>
      <c r="AI102" s="35">
        <v>99</v>
      </c>
      <c r="AJ102" s="35">
        <v>74</v>
      </c>
      <c r="AK102" s="17">
        <v>75.577883310000004</v>
      </c>
      <c r="AM102" s="35">
        <v>23.532874371859201</v>
      </c>
      <c r="AN102" s="35">
        <v>0.96764705882352897</v>
      </c>
      <c r="AV102" s="13">
        <f t="shared" si="6"/>
        <v>2.1322747432432454</v>
      </c>
      <c r="AW102" s="35">
        <v>0.16734967213940799</v>
      </c>
      <c r="AX102" s="35">
        <v>977</v>
      </c>
      <c r="AY102" s="35">
        <v>74</v>
      </c>
      <c r="AZ102" s="35">
        <v>49</v>
      </c>
      <c r="BA102" s="35">
        <v>31</v>
      </c>
      <c r="BB102" s="35">
        <v>0.83436127324663312</v>
      </c>
      <c r="BD102" s="35">
        <v>99</v>
      </c>
      <c r="BE102" s="35">
        <v>74</v>
      </c>
      <c r="BF102" s="17">
        <v>79.073818919999994</v>
      </c>
      <c r="BH102" s="35">
        <v>24.1627749999999</v>
      </c>
      <c r="BI102" s="35">
        <v>0.96911764705882297</v>
      </c>
      <c r="BQ102" s="13">
        <f t="shared" si="7"/>
        <v>6.8565120540540425</v>
      </c>
      <c r="BR102" s="35">
        <v>0.13189582242322301</v>
      </c>
      <c r="BS102" s="35">
        <v>109</v>
      </c>
      <c r="BT102" s="35">
        <v>154</v>
      </c>
      <c r="BU102" s="35">
        <v>38</v>
      </c>
      <c r="BV102" s="35">
        <v>35</v>
      </c>
      <c r="BW102" s="35">
        <v>0.75260467065981851</v>
      </c>
    </row>
    <row r="103" spans="1:75">
      <c r="A103" s="13">
        <v>100</v>
      </c>
      <c r="B103" s="13">
        <v>164</v>
      </c>
      <c r="C103" s="17">
        <v>156.86008330000001</v>
      </c>
      <c r="D103" s="13"/>
      <c r="E103" s="36">
        <v>36.714448830150701</v>
      </c>
      <c r="F103" s="36">
        <v>0.88529411764705801</v>
      </c>
      <c r="G103" s="36"/>
      <c r="H103" s="13"/>
      <c r="I103" s="13"/>
      <c r="J103" s="13"/>
      <c r="K103" s="13"/>
      <c r="L103" s="13"/>
      <c r="M103" s="13">
        <f t="shared" si="8"/>
        <v>-4.3536077439024323</v>
      </c>
      <c r="N103" s="13"/>
      <c r="O103" s="13">
        <v>100</v>
      </c>
      <c r="P103" s="13">
        <v>164</v>
      </c>
      <c r="Q103" s="17">
        <v>166.20874670000001</v>
      </c>
      <c r="R103" s="13"/>
      <c r="S103" s="36">
        <v>28.436599133668299</v>
      </c>
      <c r="T103" s="36">
        <v>0.94558823529411695</v>
      </c>
      <c r="U103" s="36"/>
      <c r="V103" s="13"/>
      <c r="W103" s="13"/>
      <c r="X103" s="13"/>
      <c r="Y103" s="13"/>
      <c r="Z103" s="13"/>
      <c r="AA103" s="13">
        <f t="shared" si="5"/>
        <v>1.3467967682926796</v>
      </c>
      <c r="AB103" s="26">
        <v>0.25354695963879098</v>
      </c>
      <c r="AC103" s="34">
        <v>1178</v>
      </c>
      <c r="AD103" s="34">
        <v>77</v>
      </c>
      <c r="AE103" s="34">
        <v>34</v>
      </c>
      <c r="AF103" s="34">
        <v>34</v>
      </c>
      <c r="AG103" s="34">
        <v>0.56598254827368166</v>
      </c>
      <c r="AI103" s="35">
        <v>100</v>
      </c>
      <c r="AJ103" s="35">
        <v>164</v>
      </c>
      <c r="AK103" s="17">
        <v>164.42570180000001</v>
      </c>
      <c r="AM103" s="35">
        <v>23.791477386934599</v>
      </c>
      <c r="AN103" s="35">
        <v>0.96911764705882297</v>
      </c>
      <c r="AV103" s="13">
        <f t="shared" si="6"/>
        <v>0.25957426829268382</v>
      </c>
      <c r="AW103" s="35">
        <v>0.16734967213940799</v>
      </c>
      <c r="AX103" s="35">
        <v>1174</v>
      </c>
      <c r="AY103" s="35">
        <v>27</v>
      </c>
      <c r="AZ103" s="35">
        <v>18</v>
      </c>
      <c r="BA103" s="35">
        <v>37</v>
      </c>
      <c r="BB103" s="35">
        <v>0.99002580608791313</v>
      </c>
      <c r="BD103" s="35">
        <v>100</v>
      </c>
      <c r="BE103" s="35">
        <v>164</v>
      </c>
      <c r="BF103" s="17">
        <v>164.75793100000001</v>
      </c>
      <c r="BH103" s="35">
        <v>24.428299999999901</v>
      </c>
      <c r="BI103" s="35">
        <v>0.96911764705882297</v>
      </c>
      <c r="BQ103" s="13">
        <f t="shared" si="7"/>
        <v>0.46215304878050034</v>
      </c>
      <c r="BR103" s="35">
        <v>0.13189582242322301</v>
      </c>
      <c r="BS103" s="35">
        <v>942</v>
      </c>
      <c r="BT103" s="35">
        <v>41</v>
      </c>
      <c r="BU103" s="35">
        <v>7</v>
      </c>
      <c r="BV103" s="35">
        <v>36</v>
      </c>
      <c r="BW103" s="35">
        <v>0.39206005898838459</v>
      </c>
    </row>
    <row r="104" spans="1:75">
      <c r="A104" s="13">
        <v>101</v>
      </c>
      <c r="B104" s="13">
        <v>191</v>
      </c>
      <c r="C104" s="17">
        <v>152.1238903</v>
      </c>
      <c r="D104" s="13"/>
      <c r="E104" s="36">
        <v>37.113518926130602</v>
      </c>
      <c r="F104" s="36">
        <v>0.88529411764705801</v>
      </c>
      <c r="G104" s="36"/>
      <c r="H104" s="13"/>
      <c r="I104" s="13"/>
      <c r="J104" s="13"/>
      <c r="K104" s="13"/>
      <c r="L104" s="13"/>
      <c r="M104" s="13">
        <f t="shared" si="8"/>
        <v>-20.353984136125657</v>
      </c>
      <c r="N104" s="13"/>
      <c r="O104" s="13">
        <v>101</v>
      </c>
      <c r="P104" s="13">
        <v>191</v>
      </c>
      <c r="Q104" s="17">
        <v>166.1499982</v>
      </c>
      <c r="R104" s="13"/>
      <c r="S104" s="36">
        <v>28.745692602512499</v>
      </c>
      <c r="T104" s="36">
        <v>0.94852941176470495</v>
      </c>
      <c r="U104" s="36"/>
      <c r="V104" s="13"/>
      <c r="W104" s="13"/>
      <c r="X104" s="13"/>
      <c r="Y104" s="13"/>
      <c r="Z104" s="13"/>
      <c r="AA104" s="13">
        <f t="shared" si="5"/>
        <v>-13.010472146596863</v>
      </c>
      <c r="AB104" s="26">
        <v>0.25354695963879098</v>
      </c>
      <c r="AC104" s="34">
        <v>137</v>
      </c>
      <c r="AD104" s="34">
        <v>111</v>
      </c>
      <c r="AE104" s="34">
        <v>39</v>
      </c>
      <c r="AF104" s="34">
        <v>31</v>
      </c>
      <c r="AG104" s="34">
        <v>0.7600082959723905</v>
      </c>
      <c r="AI104" s="35">
        <v>101</v>
      </c>
      <c r="AJ104" s="35">
        <v>191</v>
      </c>
      <c r="AK104" s="17">
        <v>189.4492224</v>
      </c>
      <c r="AM104" s="35">
        <v>24.05008040201</v>
      </c>
      <c r="AN104" s="35">
        <v>0.96911764705882297</v>
      </c>
      <c r="AV104" s="13">
        <f t="shared" si="6"/>
        <v>-0.8119254450261848</v>
      </c>
      <c r="AW104" s="35">
        <v>0.16734967213940799</v>
      </c>
      <c r="AX104" s="35">
        <v>944</v>
      </c>
      <c r="AY104" s="35">
        <v>133</v>
      </c>
      <c r="AZ104" s="35">
        <v>47</v>
      </c>
      <c r="BA104" s="35">
        <v>11</v>
      </c>
      <c r="BB104" s="35">
        <v>0.31218785115287095</v>
      </c>
      <c r="BD104" s="35">
        <v>101</v>
      </c>
      <c r="BE104" s="35">
        <v>191</v>
      </c>
      <c r="BF104" s="17">
        <v>183.46576010000001</v>
      </c>
      <c r="BH104" s="35">
        <v>24.693824999999901</v>
      </c>
      <c r="BI104" s="35">
        <v>0.97205882352941098</v>
      </c>
      <c r="BQ104" s="13">
        <f t="shared" si="7"/>
        <v>-3.9446282198952853</v>
      </c>
      <c r="BR104" s="35">
        <v>0.13189582242322301</v>
      </c>
      <c r="BS104" s="35">
        <v>1424</v>
      </c>
      <c r="BT104" s="35">
        <v>189</v>
      </c>
      <c r="BU104" s="35">
        <v>24</v>
      </c>
      <c r="BV104" s="35">
        <v>17</v>
      </c>
      <c r="BW104" s="35">
        <v>0.46184106384122903</v>
      </c>
    </row>
    <row r="105" spans="1:75">
      <c r="A105" s="13">
        <v>102</v>
      </c>
      <c r="B105" s="13">
        <v>83</v>
      </c>
      <c r="C105" s="17">
        <v>96.248657719999997</v>
      </c>
      <c r="D105" s="13"/>
      <c r="E105" s="36">
        <v>37.512589022110497</v>
      </c>
      <c r="F105" s="36">
        <v>0.89117647058823501</v>
      </c>
      <c r="G105" s="36"/>
      <c r="H105" s="13"/>
      <c r="I105" s="13"/>
      <c r="J105" s="13"/>
      <c r="K105" s="13"/>
      <c r="L105" s="13"/>
      <c r="M105" s="13">
        <f t="shared" si="8"/>
        <v>15.962238216867464</v>
      </c>
      <c r="N105" s="13"/>
      <c r="O105" s="13">
        <v>102</v>
      </c>
      <c r="P105" s="13">
        <v>83</v>
      </c>
      <c r="Q105" s="17">
        <v>89.098760060000004</v>
      </c>
      <c r="R105" s="13"/>
      <c r="S105" s="36">
        <v>29.054786071356698</v>
      </c>
      <c r="T105" s="36">
        <v>0.95294117647058796</v>
      </c>
      <c r="U105" s="36"/>
      <c r="V105" s="13"/>
      <c r="W105" s="13"/>
      <c r="X105" s="13"/>
      <c r="Y105" s="13"/>
      <c r="Z105" s="13"/>
      <c r="AA105" s="13">
        <f t="shared" si="5"/>
        <v>7.3479036867469816</v>
      </c>
      <c r="AB105" s="26">
        <v>0.25354695963879098</v>
      </c>
      <c r="AC105" s="34">
        <v>1437</v>
      </c>
      <c r="AD105" s="34">
        <v>89</v>
      </c>
      <c r="AE105" s="34">
        <v>24</v>
      </c>
      <c r="AF105" s="34">
        <v>14</v>
      </c>
      <c r="AG105" s="34">
        <v>0.10172326317801199</v>
      </c>
      <c r="AI105" s="35">
        <v>102</v>
      </c>
      <c r="AJ105" s="35">
        <v>83</v>
      </c>
      <c r="AK105" s="17">
        <v>83.692630609999995</v>
      </c>
      <c r="AM105" s="35">
        <v>24.308683417085401</v>
      </c>
      <c r="AN105" s="35">
        <v>0.96911764705882297</v>
      </c>
      <c r="AV105" s="13">
        <f t="shared" si="6"/>
        <v>0.83449471084335869</v>
      </c>
      <c r="AW105" s="35">
        <v>0.16734967213940799</v>
      </c>
      <c r="AX105" s="35">
        <v>1058</v>
      </c>
      <c r="AY105" s="35">
        <v>176</v>
      </c>
      <c r="AZ105" s="35">
        <v>16</v>
      </c>
      <c r="BA105" s="35">
        <v>38</v>
      </c>
      <c r="BB105" s="35">
        <v>0.4016751191909389</v>
      </c>
      <c r="BD105" s="35">
        <v>102</v>
      </c>
      <c r="BE105" s="35">
        <v>83</v>
      </c>
      <c r="BF105" s="17">
        <v>85.704223339999999</v>
      </c>
      <c r="BH105" s="35">
        <v>24.959349999999901</v>
      </c>
      <c r="BI105" s="35">
        <v>0.97205882352941098</v>
      </c>
      <c r="BQ105" s="13">
        <f t="shared" si="7"/>
        <v>3.2581004096385424</v>
      </c>
      <c r="BR105" s="35">
        <v>0.13189582242322301</v>
      </c>
      <c r="BS105" s="35">
        <v>1946</v>
      </c>
      <c r="BT105" s="35">
        <v>121</v>
      </c>
      <c r="BU105" s="35">
        <v>33</v>
      </c>
      <c r="BV105" s="35">
        <v>29</v>
      </c>
      <c r="BW105" s="35">
        <v>0.63319787062679711</v>
      </c>
    </row>
    <row r="106" spans="1:75">
      <c r="A106" s="13">
        <v>103</v>
      </c>
      <c r="B106" s="13">
        <v>27</v>
      </c>
      <c r="C106" s="17">
        <v>38.044651841606303</v>
      </c>
      <c r="D106" s="13"/>
      <c r="E106" s="36">
        <v>37.911659118090398</v>
      </c>
      <c r="F106" s="36">
        <v>0.89558823529411702</v>
      </c>
      <c r="G106" s="36"/>
      <c r="H106" s="13"/>
      <c r="I106" s="13"/>
      <c r="J106" s="13"/>
      <c r="K106" s="13"/>
      <c r="L106" s="13"/>
      <c r="M106" s="13">
        <f t="shared" si="8"/>
        <v>40.906117931875194</v>
      </c>
      <c r="N106" s="13"/>
      <c r="O106" s="13">
        <v>103</v>
      </c>
      <c r="P106" s="13">
        <v>27</v>
      </c>
      <c r="Q106" s="17">
        <v>36.970210999999999</v>
      </c>
      <c r="R106" s="13"/>
      <c r="S106" s="36">
        <v>29.363879540201001</v>
      </c>
      <c r="T106" s="36">
        <v>0.95441176470588196</v>
      </c>
      <c r="U106" s="36"/>
      <c r="V106" s="13"/>
      <c r="W106" s="13"/>
      <c r="X106" s="13"/>
      <c r="Y106" s="13"/>
      <c r="Z106" s="13"/>
      <c r="AA106" s="13">
        <f t="shared" si="5"/>
        <v>36.926707407407399</v>
      </c>
      <c r="AB106" s="26">
        <v>0.25354695963879098</v>
      </c>
      <c r="AC106" s="34">
        <v>1035</v>
      </c>
      <c r="AD106" s="34">
        <v>115</v>
      </c>
      <c r="AE106" s="34">
        <v>36</v>
      </c>
      <c r="AF106" s="34">
        <v>41</v>
      </c>
      <c r="AG106" s="34">
        <v>0.81636554041800069</v>
      </c>
      <c r="AI106" s="35">
        <v>103</v>
      </c>
      <c r="AJ106" s="35">
        <v>27</v>
      </c>
      <c r="AK106" s="17">
        <v>27.051432429999998</v>
      </c>
      <c r="AM106" s="35">
        <v>24.567286432160699</v>
      </c>
      <c r="AN106" s="35">
        <v>0.97205882352941098</v>
      </c>
      <c r="AV106" s="13">
        <f t="shared" si="6"/>
        <v>0.19049048148147563</v>
      </c>
      <c r="AW106" s="35">
        <v>0.16734967213940799</v>
      </c>
      <c r="AX106" s="35">
        <v>890</v>
      </c>
      <c r="AY106" s="35">
        <v>47</v>
      </c>
      <c r="AZ106" s="35">
        <v>3</v>
      </c>
      <c r="BA106" s="35">
        <v>18</v>
      </c>
      <c r="BB106" s="35">
        <v>0.49752781539321267</v>
      </c>
      <c r="BD106" s="35">
        <v>103</v>
      </c>
      <c r="BE106" s="35">
        <v>27</v>
      </c>
      <c r="BF106" s="17">
        <v>28.917007630000001</v>
      </c>
      <c r="BH106" s="35">
        <v>25.224874999999901</v>
      </c>
      <c r="BI106" s="35">
        <v>0.97205882352941098</v>
      </c>
      <c r="BQ106" s="13">
        <f t="shared" si="7"/>
        <v>7.1000282592592612</v>
      </c>
      <c r="BR106" s="35">
        <v>0.13189582242322301</v>
      </c>
      <c r="BS106" s="35">
        <v>1015</v>
      </c>
      <c r="BT106" s="35">
        <v>89</v>
      </c>
      <c r="BU106" s="35">
        <v>49</v>
      </c>
      <c r="BV106" s="35">
        <v>25</v>
      </c>
      <c r="BW106" s="35">
        <v>0.71993218702210149</v>
      </c>
    </row>
    <row r="107" spans="1:75">
      <c r="A107" s="13">
        <v>104</v>
      </c>
      <c r="B107" s="13">
        <v>89</v>
      </c>
      <c r="C107" s="17">
        <v>105.700733</v>
      </c>
      <c r="D107" s="13"/>
      <c r="E107" s="36">
        <v>38.3107292140703</v>
      </c>
      <c r="F107" s="36">
        <v>0.89705882352941102</v>
      </c>
      <c r="G107" s="36"/>
      <c r="H107" s="13"/>
      <c r="I107" s="13"/>
      <c r="J107" s="13"/>
      <c r="K107" s="13"/>
      <c r="L107" s="13"/>
      <c r="M107" s="13">
        <f t="shared" si="8"/>
        <v>18.764868539325839</v>
      </c>
      <c r="N107" s="13"/>
      <c r="O107" s="13">
        <v>104</v>
      </c>
      <c r="P107" s="13">
        <v>89</v>
      </c>
      <c r="Q107" s="17">
        <v>99.185046139999997</v>
      </c>
      <c r="R107" s="13"/>
      <c r="S107" s="36">
        <v>29.672973009045201</v>
      </c>
      <c r="T107" s="36">
        <v>0.95441176470588196</v>
      </c>
      <c r="U107" s="36"/>
      <c r="V107" s="13"/>
      <c r="W107" s="13"/>
      <c r="X107" s="13"/>
      <c r="Y107" s="13"/>
      <c r="Z107" s="13"/>
      <c r="AA107" s="13">
        <f t="shared" si="5"/>
        <v>11.443872067415729</v>
      </c>
      <c r="AB107" s="26">
        <v>0.25354695963879098</v>
      </c>
      <c r="AC107" s="34">
        <v>1577</v>
      </c>
      <c r="AD107" s="34">
        <v>53</v>
      </c>
      <c r="AE107" s="34">
        <v>24</v>
      </c>
      <c r="AF107" s="34">
        <v>10</v>
      </c>
      <c r="AG107" s="34">
        <v>0.26822763377105718</v>
      </c>
      <c r="AI107" s="35">
        <v>104</v>
      </c>
      <c r="AJ107" s="35">
        <v>89</v>
      </c>
      <c r="AK107" s="17">
        <v>90.730178710000004</v>
      </c>
      <c r="AM107" s="35">
        <v>24.825889447236101</v>
      </c>
      <c r="AN107" s="35">
        <v>0.97205882352941098</v>
      </c>
      <c r="AV107" s="13">
        <f t="shared" si="6"/>
        <v>1.944021022471909</v>
      </c>
      <c r="AW107" s="35">
        <v>0.16734967213940799</v>
      </c>
      <c r="AX107" s="35">
        <v>1103</v>
      </c>
      <c r="AY107" s="35">
        <v>165</v>
      </c>
      <c r="AZ107" s="35">
        <v>12</v>
      </c>
      <c r="BA107" s="35">
        <v>27</v>
      </c>
      <c r="BB107" s="35">
        <v>0.27066057253543879</v>
      </c>
      <c r="BD107" s="35">
        <v>104</v>
      </c>
      <c r="BE107" s="35">
        <v>89</v>
      </c>
      <c r="BF107" s="17">
        <v>96.913868500000007</v>
      </c>
      <c r="BH107" s="35">
        <v>25.490399999999902</v>
      </c>
      <c r="BI107" s="35">
        <v>0.97205882352941098</v>
      </c>
      <c r="BQ107" s="13">
        <f t="shared" si="7"/>
        <v>8.8919870786516864</v>
      </c>
      <c r="BR107" s="35">
        <v>0.13189582242322301</v>
      </c>
      <c r="BS107" s="35">
        <v>273</v>
      </c>
      <c r="BT107" s="35">
        <v>154</v>
      </c>
      <c r="BU107" s="35">
        <v>39</v>
      </c>
      <c r="BV107" s="35">
        <v>9</v>
      </c>
      <c r="BW107" s="35">
        <v>0.57519951061664765</v>
      </c>
    </row>
    <row r="108" spans="1:75">
      <c r="A108" s="13">
        <v>105</v>
      </c>
      <c r="B108" s="13">
        <v>43</v>
      </c>
      <c r="C108" s="17">
        <v>59.512710400000003</v>
      </c>
      <c r="D108" s="13"/>
      <c r="E108" s="36">
        <v>38.709799310050201</v>
      </c>
      <c r="F108" s="36">
        <v>0.9</v>
      </c>
      <c r="G108" s="36"/>
      <c r="H108" s="13"/>
      <c r="I108" s="13"/>
      <c r="J108" s="13"/>
      <c r="K108" s="13"/>
      <c r="L108" s="13"/>
      <c r="M108" s="13">
        <f t="shared" si="8"/>
        <v>38.401652093023266</v>
      </c>
      <c r="N108" s="13"/>
      <c r="O108" s="13">
        <v>105</v>
      </c>
      <c r="P108" s="13">
        <v>43</v>
      </c>
      <c r="Q108" s="17">
        <v>45.069521479999999</v>
      </c>
      <c r="R108" s="13"/>
      <c r="S108" s="36">
        <v>29.982066477889401</v>
      </c>
      <c r="T108" s="36">
        <v>0.95441176470588196</v>
      </c>
      <c r="U108" s="36"/>
      <c r="V108" s="13"/>
      <c r="W108" s="13"/>
      <c r="X108" s="13"/>
      <c r="Y108" s="13"/>
      <c r="Z108" s="13"/>
      <c r="AA108" s="13">
        <f t="shared" si="5"/>
        <v>4.8128406511627864</v>
      </c>
      <c r="AB108" s="26">
        <v>0.25354695963879098</v>
      </c>
      <c r="AC108" s="34">
        <v>1385</v>
      </c>
      <c r="AD108" s="34">
        <v>39</v>
      </c>
      <c r="AE108" s="34">
        <v>27</v>
      </c>
      <c r="AF108" s="34">
        <v>38</v>
      </c>
      <c r="AG108" s="34">
        <v>0.59632993285737879</v>
      </c>
      <c r="AI108" s="35">
        <v>105</v>
      </c>
      <c r="AJ108" s="35">
        <v>43</v>
      </c>
      <c r="AK108" s="17">
        <v>42.934559</v>
      </c>
      <c r="AM108" s="35">
        <v>25.084492462311498</v>
      </c>
      <c r="AN108" s="35">
        <v>0.97205882352941098</v>
      </c>
      <c r="AV108" s="13">
        <f t="shared" si="6"/>
        <v>-0.15218837209302061</v>
      </c>
      <c r="AW108" s="35">
        <v>0.16734967213940799</v>
      </c>
      <c r="AX108" s="35">
        <v>1333</v>
      </c>
      <c r="AY108" s="35">
        <v>197</v>
      </c>
      <c r="AZ108" s="35">
        <v>22</v>
      </c>
      <c r="BA108" s="35">
        <v>30</v>
      </c>
      <c r="BB108" s="35">
        <v>0.7904100073479875</v>
      </c>
      <c r="BD108" s="35">
        <v>105</v>
      </c>
      <c r="BE108" s="35">
        <v>43</v>
      </c>
      <c r="BF108" s="17">
        <v>42.402451499999998</v>
      </c>
      <c r="BH108" s="35">
        <v>25.755924999999898</v>
      </c>
      <c r="BI108" s="35">
        <v>0.97205882352941098</v>
      </c>
      <c r="BQ108" s="13">
        <f t="shared" si="7"/>
        <v>-1.3896476744186148</v>
      </c>
      <c r="BR108" s="35">
        <v>0.13189582242322301</v>
      </c>
      <c r="BS108" s="35">
        <v>1750</v>
      </c>
      <c r="BT108" s="35">
        <v>166</v>
      </c>
      <c r="BU108" s="35">
        <v>49</v>
      </c>
      <c r="BV108" s="35">
        <v>2</v>
      </c>
      <c r="BW108" s="35">
        <v>0.1084229246858564</v>
      </c>
    </row>
    <row r="109" spans="1:75">
      <c r="A109" s="13">
        <v>106</v>
      </c>
      <c r="B109" s="13">
        <v>198</v>
      </c>
      <c r="C109" s="17">
        <v>176.84910790000001</v>
      </c>
      <c r="D109" s="13"/>
      <c r="E109" s="36">
        <v>39.108869406030102</v>
      </c>
      <c r="F109" s="36">
        <v>0.90441176470588203</v>
      </c>
      <c r="G109" s="36"/>
      <c r="H109" s="13"/>
      <c r="I109" s="13"/>
      <c r="J109" s="13"/>
      <c r="K109" s="13"/>
      <c r="L109" s="13"/>
      <c r="M109" s="13">
        <f t="shared" si="8"/>
        <v>-10.682268737373734</v>
      </c>
      <c r="N109" s="13"/>
      <c r="O109" s="13">
        <v>106</v>
      </c>
      <c r="P109" s="13">
        <v>198</v>
      </c>
      <c r="Q109" s="17">
        <v>195.39837829999999</v>
      </c>
      <c r="R109" s="13"/>
      <c r="S109" s="36">
        <v>30.2911599467336</v>
      </c>
      <c r="T109" s="36">
        <v>0.95588235294117596</v>
      </c>
      <c r="U109" s="36"/>
      <c r="V109" s="13"/>
      <c r="W109" s="13"/>
      <c r="X109" s="13"/>
      <c r="Y109" s="13"/>
      <c r="Z109" s="13"/>
      <c r="AA109" s="13">
        <f t="shared" si="5"/>
        <v>-1.3139503535353536</v>
      </c>
      <c r="AB109" s="26">
        <v>0.25354695963879098</v>
      </c>
      <c r="AC109" s="34">
        <v>289</v>
      </c>
      <c r="AD109" s="34">
        <v>29</v>
      </c>
      <c r="AE109" s="34">
        <v>22</v>
      </c>
      <c r="AF109" s="34">
        <v>38</v>
      </c>
      <c r="AG109" s="34">
        <v>0.3289789964161034</v>
      </c>
      <c r="AI109" s="35">
        <v>106</v>
      </c>
      <c r="AJ109" s="35">
        <v>198</v>
      </c>
      <c r="AK109" s="17">
        <v>197.875</v>
      </c>
      <c r="AM109" s="35">
        <v>25.3430954773869</v>
      </c>
      <c r="AN109" s="35">
        <v>0.97205882352941098</v>
      </c>
      <c r="AV109" s="13">
        <f t="shared" si="6"/>
        <v>-6.3131313131314926E-2</v>
      </c>
      <c r="AW109" s="35">
        <v>0.15491324037930099</v>
      </c>
      <c r="AX109" s="35">
        <v>1424</v>
      </c>
      <c r="AY109" s="35">
        <v>24</v>
      </c>
      <c r="AZ109" s="35">
        <v>40</v>
      </c>
      <c r="BA109" s="35">
        <v>14</v>
      </c>
      <c r="BB109" s="35">
        <v>0.25124714910874452</v>
      </c>
      <c r="BD109" s="35">
        <v>106</v>
      </c>
      <c r="BE109" s="35">
        <v>198</v>
      </c>
      <c r="BF109" s="17">
        <v>197.21615539999999</v>
      </c>
      <c r="BH109" s="35">
        <v>26.021449999999898</v>
      </c>
      <c r="BI109" s="35">
        <v>0.97205882352941098</v>
      </c>
      <c r="BQ109" s="13">
        <f t="shared" si="7"/>
        <v>-0.39588111111111823</v>
      </c>
      <c r="BR109" s="35">
        <v>0.13189582242322301</v>
      </c>
      <c r="BS109" s="35">
        <v>590</v>
      </c>
      <c r="BT109" s="35">
        <v>1</v>
      </c>
      <c r="BU109" s="35">
        <v>38</v>
      </c>
      <c r="BV109" s="35">
        <v>20</v>
      </c>
      <c r="BW109" s="35">
        <v>0.1412607472023901</v>
      </c>
    </row>
    <row r="110" spans="1:75">
      <c r="A110" s="13">
        <v>107</v>
      </c>
      <c r="B110" s="13">
        <v>133</v>
      </c>
      <c r="C110" s="17">
        <v>127.9430728</v>
      </c>
      <c r="D110" s="13"/>
      <c r="E110" s="36">
        <v>39.507939502009997</v>
      </c>
      <c r="F110" s="36">
        <v>0.90588235294117603</v>
      </c>
      <c r="G110" s="36"/>
      <c r="H110" s="13"/>
      <c r="I110" s="13"/>
      <c r="J110" s="13"/>
      <c r="K110" s="13"/>
      <c r="L110" s="13"/>
      <c r="M110" s="13">
        <f t="shared" si="8"/>
        <v>-3.8022009022556369</v>
      </c>
      <c r="N110" s="13"/>
      <c r="O110" s="13">
        <v>107</v>
      </c>
      <c r="P110" s="13">
        <v>133</v>
      </c>
      <c r="Q110" s="17">
        <v>132.20923690000001</v>
      </c>
      <c r="R110" s="13"/>
      <c r="S110" s="36">
        <v>30.6002534155778</v>
      </c>
      <c r="T110" s="36">
        <v>0.95588235294117596</v>
      </c>
      <c r="U110" s="36"/>
      <c r="V110" s="13"/>
      <c r="W110" s="13"/>
      <c r="X110" s="13"/>
      <c r="Y110" s="13"/>
      <c r="Z110" s="13"/>
      <c r="AA110" s="13">
        <f t="shared" si="5"/>
        <v>-0.59455872180450564</v>
      </c>
      <c r="AB110" s="26">
        <v>0.25281626785414302</v>
      </c>
      <c r="AC110" s="34">
        <v>1821</v>
      </c>
      <c r="AD110" s="34">
        <v>127</v>
      </c>
      <c r="AE110" s="34">
        <v>17</v>
      </c>
      <c r="AF110" s="34">
        <v>9</v>
      </c>
      <c r="AG110" s="34">
        <v>0.15400471385412179</v>
      </c>
      <c r="AI110" s="35">
        <v>107</v>
      </c>
      <c r="AJ110" s="35">
        <v>133</v>
      </c>
      <c r="AK110" s="17">
        <v>133.0731265</v>
      </c>
      <c r="AM110" s="35">
        <v>25.601698492462301</v>
      </c>
      <c r="AN110" s="35">
        <v>0.97352941176470498</v>
      </c>
      <c r="AV110" s="13">
        <f t="shared" si="6"/>
        <v>5.4982330827058057E-2</v>
      </c>
      <c r="AW110" s="35">
        <v>0.15491324037930099</v>
      </c>
      <c r="AX110" s="35">
        <v>611</v>
      </c>
      <c r="AY110" s="35">
        <v>106</v>
      </c>
      <c r="AZ110" s="35">
        <v>6</v>
      </c>
      <c r="BA110" s="35">
        <v>24</v>
      </c>
      <c r="BB110" s="35">
        <v>0.8615925089551193</v>
      </c>
      <c r="BD110" s="35">
        <v>107</v>
      </c>
      <c r="BE110" s="35">
        <v>133</v>
      </c>
      <c r="BF110" s="17">
        <v>133.95279600000001</v>
      </c>
      <c r="BH110" s="35">
        <v>26.286974999999899</v>
      </c>
      <c r="BI110" s="35">
        <v>0.97352941176470498</v>
      </c>
      <c r="BQ110" s="13">
        <f t="shared" si="7"/>
        <v>0.71638796992481435</v>
      </c>
      <c r="BR110" s="35">
        <v>0.112673754112061</v>
      </c>
      <c r="BS110" s="35">
        <v>596</v>
      </c>
      <c r="BT110" s="35">
        <v>190</v>
      </c>
      <c r="BU110" s="35">
        <v>4</v>
      </c>
      <c r="BV110" s="35">
        <v>24</v>
      </c>
      <c r="BW110" s="35">
        <v>0.56913555587438858</v>
      </c>
    </row>
    <row r="111" spans="1:75">
      <c r="A111" s="13">
        <v>108</v>
      </c>
      <c r="B111" s="13">
        <v>131</v>
      </c>
      <c r="C111" s="17">
        <v>115.10883080000001</v>
      </c>
      <c r="D111" s="13"/>
      <c r="E111" s="36">
        <v>39.907009597989898</v>
      </c>
      <c r="F111" s="36">
        <v>0.90735294117647003</v>
      </c>
      <c r="G111" s="36"/>
      <c r="H111" s="13"/>
      <c r="I111" s="13"/>
      <c r="J111" s="13"/>
      <c r="K111" s="13"/>
      <c r="L111" s="13"/>
      <c r="M111" s="13">
        <f t="shared" si="8"/>
        <v>-12.130663511450379</v>
      </c>
      <c r="N111" s="13"/>
      <c r="O111" s="13">
        <v>108</v>
      </c>
      <c r="P111" s="13">
        <v>131</v>
      </c>
      <c r="Q111" s="17">
        <v>119.02731470000001</v>
      </c>
      <c r="R111" s="13"/>
      <c r="S111" s="36">
        <v>30.909346884422099</v>
      </c>
      <c r="T111" s="36">
        <v>0.95588235294117596</v>
      </c>
      <c r="U111" s="36"/>
      <c r="V111" s="13"/>
      <c r="W111" s="13"/>
      <c r="X111" s="13"/>
      <c r="Y111" s="13"/>
      <c r="Z111" s="13"/>
      <c r="AA111" s="13">
        <f t="shared" si="5"/>
        <v>-9.1394544274809082</v>
      </c>
      <c r="AB111" s="26">
        <v>0.25281626785414302</v>
      </c>
      <c r="AC111" s="34">
        <v>132</v>
      </c>
      <c r="AD111" s="34">
        <v>181</v>
      </c>
      <c r="AE111" s="34">
        <v>46</v>
      </c>
      <c r="AF111" s="34">
        <v>44</v>
      </c>
      <c r="AG111" s="34">
        <v>0.74361636221536564</v>
      </c>
      <c r="AI111" s="35">
        <v>108</v>
      </c>
      <c r="AJ111" s="35">
        <v>131</v>
      </c>
      <c r="AK111" s="17">
        <v>129.78140859999999</v>
      </c>
      <c r="AM111" s="35">
        <v>25.860301507537599</v>
      </c>
      <c r="AN111" s="35">
        <v>0.97352941176470498</v>
      </c>
      <c r="AV111" s="13">
        <f t="shared" si="6"/>
        <v>-0.93022244274809651</v>
      </c>
      <c r="AW111" s="35">
        <v>0.15491324037930099</v>
      </c>
      <c r="AX111" s="35">
        <v>1490</v>
      </c>
      <c r="AY111" s="35">
        <v>153</v>
      </c>
      <c r="AZ111" s="35">
        <v>12</v>
      </c>
      <c r="BA111" s="35">
        <v>29</v>
      </c>
      <c r="BB111" s="35">
        <v>0.90960193454046478</v>
      </c>
      <c r="BD111" s="35">
        <v>108</v>
      </c>
      <c r="BE111" s="35">
        <v>131</v>
      </c>
      <c r="BF111" s="17">
        <v>126.1237368</v>
      </c>
      <c r="BH111" s="35">
        <v>26.552499999999899</v>
      </c>
      <c r="BI111" s="35">
        <v>0.97352941176470498</v>
      </c>
      <c r="BQ111" s="13">
        <f t="shared" si="7"/>
        <v>-3.7223383206106853</v>
      </c>
      <c r="BR111" s="35">
        <v>0.112673754112061</v>
      </c>
      <c r="BS111" s="35">
        <v>972</v>
      </c>
      <c r="BT111" s="35">
        <v>109</v>
      </c>
      <c r="BU111" s="35">
        <v>48</v>
      </c>
      <c r="BV111" s="35">
        <v>14</v>
      </c>
      <c r="BW111" s="35">
        <v>0.10482522113295528</v>
      </c>
    </row>
    <row r="112" spans="1:75">
      <c r="A112" s="13">
        <v>109</v>
      </c>
      <c r="B112" s="13">
        <v>30</v>
      </c>
      <c r="C112" s="17">
        <v>23.699515167025702</v>
      </c>
      <c r="D112" s="13"/>
      <c r="E112" s="36">
        <v>40.306079693969799</v>
      </c>
      <c r="F112" s="36">
        <v>0.90882352941176403</v>
      </c>
      <c r="G112" s="36"/>
      <c r="H112" s="13"/>
      <c r="I112" s="13"/>
      <c r="J112" s="13"/>
      <c r="K112" s="13"/>
      <c r="L112" s="13"/>
      <c r="M112" s="13">
        <f t="shared" si="8"/>
        <v>-21.001616109914323</v>
      </c>
      <c r="N112" s="13"/>
      <c r="O112" s="13">
        <v>109</v>
      </c>
      <c r="P112" s="13">
        <v>30</v>
      </c>
      <c r="Q112" s="17">
        <v>36.506080197972203</v>
      </c>
      <c r="R112" s="13"/>
      <c r="S112" s="36">
        <v>31.218440353266299</v>
      </c>
      <c r="T112" s="36">
        <v>0.95588235294117596</v>
      </c>
      <c r="U112" s="36"/>
      <c r="V112" s="13"/>
      <c r="W112" s="13"/>
      <c r="X112" s="13"/>
      <c r="Y112" s="13"/>
      <c r="Z112" s="13"/>
      <c r="AA112" s="13">
        <f t="shared" si="5"/>
        <v>21.686933993240686</v>
      </c>
      <c r="AB112" s="26">
        <v>0.25281626785414302</v>
      </c>
      <c r="AC112" s="34">
        <v>913</v>
      </c>
      <c r="AD112" s="34">
        <v>93</v>
      </c>
      <c r="AE112" s="34">
        <v>34</v>
      </c>
      <c r="AF112" s="34">
        <v>19</v>
      </c>
      <c r="AG112" s="34">
        <v>0.90555775050507537</v>
      </c>
      <c r="AI112" s="35">
        <v>109</v>
      </c>
      <c r="AJ112" s="35">
        <v>30</v>
      </c>
      <c r="AK112" s="17">
        <v>31.348857160000001</v>
      </c>
      <c r="AM112" s="35">
        <v>26.118904522613001</v>
      </c>
      <c r="AN112" s="35">
        <v>0.97352941176470498</v>
      </c>
      <c r="AV112" s="13">
        <f t="shared" si="6"/>
        <v>4.4961905333333441</v>
      </c>
      <c r="AW112" s="35">
        <v>0.15491324037930099</v>
      </c>
      <c r="AX112" s="35">
        <v>563</v>
      </c>
      <c r="AY112" s="35">
        <v>26</v>
      </c>
      <c r="AZ112" s="35">
        <v>24</v>
      </c>
      <c r="BA112" s="35">
        <v>9</v>
      </c>
      <c r="BB112" s="35">
        <v>0.3057369259679999</v>
      </c>
      <c r="BD112" s="35">
        <v>109</v>
      </c>
      <c r="BE112" s="35">
        <v>30</v>
      </c>
      <c r="BF112" s="17">
        <v>37.718914480000002</v>
      </c>
      <c r="BH112" s="35">
        <v>26.818024999999899</v>
      </c>
      <c r="BI112" s="35">
        <v>0.97499999999999998</v>
      </c>
      <c r="BQ112" s="13">
        <f t="shared" si="7"/>
        <v>25.729714933333337</v>
      </c>
      <c r="BR112" s="35">
        <v>0.112673754112061</v>
      </c>
      <c r="BS112" s="35">
        <v>298</v>
      </c>
      <c r="BT112" s="35">
        <v>65</v>
      </c>
      <c r="BU112" s="35">
        <v>34</v>
      </c>
      <c r="BV112" s="35">
        <v>24</v>
      </c>
      <c r="BW112" s="35">
        <v>0.71817494345491895</v>
      </c>
    </row>
    <row r="113" spans="1:75">
      <c r="A113" s="13">
        <v>110</v>
      </c>
      <c r="B113" s="13">
        <v>37</v>
      </c>
      <c r="C113" s="17">
        <v>46.549681475324697</v>
      </c>
      <c r="D113" s="13"/>
      <c r="E113" s="36">
        <v>40.705149789949701</v>
      </c>
      <c r="F113" s="36">
        <v>0.91176470588235203</v>
      </c>
      <c r="G113" s="36"/>
      <c r="H113" s="13"/>
      <c r="I113" s="13"/>
      <c r="J113" s="13"/>
      <c r="K113" s="13"/>
      <c r="L113" s="13"/>
      <c r="M113" s="13">
        <f t="shared" si="8"/>
        <v>25.809949933309984</v>
      </c>
      <c r="N113" s="13"/>
      <c r="O113" s="13">
        <v>110</v>
      </c>
      <c r="P113" s="13">
        <v>37</v>
      </c>
      <c r="Q113" s="17">
        <v>54.465052460000003</v>
      </c>
      <c r="R113" s="13"/>
      <c r="S113" s="36">
        <v>31.527533822110499</v>
      </c>
      <c r="T113" s="36">
        <v>0.95735294117646996</v>
      </c>
      <c r="U113" s="36"/>
      <c r="V113" s="13"/>
      <c r="W113" s="13"/>
      <c r="X113" s="13"/>
      <c r="Y113" s="13"/>
      <c r="Z113" s="13"/>
      <c r="AA113" s="13">
        <f t="shared" si="5"/>
        <v>47.202844486486484</v>
      </c>
      <c r="AB113" s="26">
        <v>0.25281626785414302</v>
      </c>
      <c r="AC113" s="34">
        <v>1702</v>
      </c>
      <c r="AD113" s="34">
        <v>50</v>
      </c>
      <c r="AE113" s="34">
        <v>21</v>
      </c>
      <c r="AF113" s="34">
        <v>30</v>
      </c>
      <c r="AG113" s="34">
        <v>0.69816736027825421</v>
      </c>
      <c r="AI113" s="35">
        <v>110</v>
      </c>
      <c r="AJ113" s="35">
        <v>37</v>
      </c>
      <c r="AK113" s="17">
        <v>37.872799780000001</v>
      </c>
      <c r="AM113" s="35">
        <v>26.377507537688398</v>
      </c>
      <c r="AN113" s="35">
        <v>0.97352941176470498</v>
      </c>
      <c r="AV113" s="13">
        <f t="shared" si="6"/>
        <v>2.3589183243243328</v>
      </c>
      <c r="AW113" s="35">
        <v>0.15491324037930099</v>
      </c>
      <c r="AX113" s="35">
        <v>523</v>
      </c>
      <c r="AY113" s="35">
        <v>194</v>
      </c>
      <c r="AZ113" s="35">
        <v>10</v>
      </c>
      <c r="BA113" s="35">
        <v>29</v>
      </c>
      <c r="BB113" s="35">
        <v>0.50019680260014332</v>
      </c>
      <c r="BD113" s="35">
        <v>110</v>
      </c>
      <c r="BE113" s="35">
        <v>37</v>
      </c>
      <c r="BF113" s="17">
        <v>43.435663519999999</v>
      </c>
      <c r="BH113" s="35">
        <v>27.083549999999899</v>
      </c>
      <c r="BI113" s="35">
        <v>0.97499999999999998</v>
      </c>
      <c r="BQ113" s="13">
        <f t="shared" si="7"/>
        <v>17.393685189189178</v>
      </c>
      <c r="BR113" s="35">
        <v>0.112673754112061</v>
      </c>
      <c r="BS113" s="35">
        <v>1387</v>
      </c>
      <c r="BT113" s="35">
        <v>118</v>
      </c>
      <c r="BU113" s="35">
        <v>20</v>
      </c>
      <c r="BV113" s="35">
        <v>18</v>
      </c>
      <c r="BW113" s="35">
        <v>0.42056010985029557</v>
      </c>
    </row>
    <row r="114" spans="1:75">
      <c r="A114" s="13">
        <v>111</v>
      </c>
      <c r="B114" s="13">
        <v>48</v>
      </c>
      <c r="C114" s="17">
        <v>53.350666410000002</v>
      </c>
      <c r="D114" s="13"/>
      <c r="E114" s="36">
        <v>41.104219885929602</v>
      </c>
      <c r="F114" s="36">
        <v>0.91470588235294104</v>
      </c>
      <c r="G114" s="36"/>
      <c r="H114" s="13"/>
      <c r="I114" s="13"/>
      <c r="J114" s="13"/>
      <c r="K114" s="13"/>
      <c r="L114" s="13"/>
      <c r="M114" s="13">
        <f t="shared" si="8"/>
        <v>11.147221687499997</v>
      </c>
      <c r="N114" s="13"/>
      <c r="O114" s="13">
        <v>111</v>
      </c>
      <c r="P114" s="13">
        <v>48</v>
      </c>
      <c r="Q114" s="17">
        <v>43.160439429999997</v>
      </c>
      <c r="R114" s="13"/>
      <c r="S114" s="36">
        <v>31.836627290954699</v>
      </c>
      <c r="T114" s="36">
        <v>0.95882352941176396</v>
      </c>
      <c r="U114" s="36"/>
      <c r="V114" s="13"/>
      <c r="W114" s="13"/>
      <c r="X114" s="13"/>
      <c r="Y114" s="13"/>
      <c r="Z114" s="13"/>
      <c r="AA114" s="13">
        <f t="shared" si="5"/>
        <v>-10.082417854166669</v>
      </c>
      <c r="AB114" s="26">
        <v>0.25281626785414302</v>
      </c>
      <c r="AC114" s="34">
        <v>1781</v>
      </c>
      <c r="AD114" s="34">
        <v>28</v>
      </c>
      <c r="AE114" s="34">
        <v>40</v>
      </c>
      <c r="AF114" s="34">
        <v>40</v>
      </c>
      <c r="AG114" s="34">
        <v>0.38638709712467345</v>
      </c>
      <c r="AI114" s="35">
        <v>111</v>
      </c>
      <c r="AJ114" s="35">
        <v>48</v>
      </c>
      <c r="AK114" s="17">
        <v>47.305455510000002</v>
      </c>
      <c r="AM114" s="35">
        <v>26.6361105527638</v>
      </c>
      <c r="AN114" s="35">
        <v>0.97352941176470498</v>
      </c>
      <c r="AV114" s="13">
        <f t="shared" si="6"/>
        <v>-1.4469676875000004</v>
      </c>
      <c r="AW114" s="35">
        <v>0.15491324037930099</v>
      </c>
      <c r="AX114" s="35">
        <v>856</v>
      </c>
      <c r="AY114" s="35">
        <v>62</v>
      </c>
      <c r="AZ114" s="35">
        <v>38</v>
      </c>
      <c r="BA114" s="35">
        <v>38</v>
      </c>
      <c r="BB114" s="35">
        <v>0.87685059111537278</v>
      </c>
      <c r="BD114" s="35">
        <v>111</v>
      </c>
      <c r="BE114" s="35">
        <v>48</v>
      </c>
      <c r="BF114" s="17">
        <v>45.682922050000002</v>
      </c>
      <c r="BH114" s="35">
        <v>27.3490749999999</v>
      </c>
      <c r="BI114" s="35">
        <v>0.97647058823529398</v>
      </c>
      <c r="BQ114" s="13">
        <f t="shared" si="7"/>
        <v>-4.8272457291666626</v>
      </c>
      <c r="BR114" s="35">
        <v>0.112673754112061</v>
      </c>
      <c r="BS114" s="35">
        <v>186</v>
      </c>
      <c r="BT114" s="35">
        <v>162</v>
      </c>
      <c r="BU114" s="35">
        <v>3</v>
      </c>
      <c r="BV114" s="35">
        <v>47</v>
      </c>
      <c r="BW114" s="35">
        <v>0.25193460916256594</v>
      </c>
    </row>
    <row r="115" spans="1:75">
      <c r="A115" s="13">
        <v>112</v>
      </c>
      <c r="B115" s="13">
        <v>230</v>
      </c>
      <c r="C115" s="17">
        <v>175.4492711</v>
      </c>
      <c r="D115" s="13"/>
      <c r="E115" s="36">
        <v>41.503289981909496</v>
      </c>
      <c r="F115" s="36">
        <v>0.91617647058823504</v>
      </c>
      <c r="G115" s="36"/>
      <c r="H115" s="13"/>
      <c r="I115" s="13"/>
      <c r="J115" s="13"/>
      <c r="K115" s="13"/>
      <c r="L115" s="13"/>
      <c r="M115" s="13">
        <f t="shared" si="8"/>
        <v>-23.717708217391298</v>
      </c>
      <c r="N115" s="13"/>
      <c r="O115" s="13">
        <v>112</v>
      </c>
      <c r="P115" s="13">
        <v>230</v>
      </c>
      <c r="Q115" s="17">
        <v>198.1739886</v>
      </c>
      <c r="R115" s="13"/>
      <c r="S115" s="36">
        <v>32.145720759798898</v>
      </c>
      <c r="T115" s="36">
        <v>0.96029411764705797</v>
      </c>
      <c r="U115" s="36"/>
      <c r="V115" s="13"/>
      <c r="W115" s="13"/>
      <c r="X115" s="13"/>
      <c r="Y115" s="13"/>
      <c r="Z115" s="13"/>
      <c r="AA115" s="13">
        <f t="shared" si="5"/>
        <v>-13.837396260869561</v>
      </c>
      <c r="AB115" s="26">
        <v>0.25281626785414302</v>
      </c>
      <c r="AC115" s="34">
        <v>1139</v>
      </c>
      <c r="AD115" s="34">
        <v>119</v>
      </c>
      <c r="AE115" s="34">
        <v>29</v>
      </c>
      <c r="AF115" s="34">
        <v>28</v>
      </c>
      <c r="AG115" s="34">
        <v>0.71228671547785227</v>
      </c>
      <c r="AI115" s="35">
        <v>112</v>
      </c>
      <c r="AJ115" s="35">
        <v>230</v>
      </c>
      <c r="AK115" s="17">
        <v>229.17448730000001</v>
      </c>
      <c r="AM115" s="35">
        <v>26.894713567839101</v>
      </c>
      <c r="AN115" s="35">
        <v>0.97499999999999998</v>
      </c>
      <c r="AV115" s="13">
        <f t="shared" si="6"/>
        <v>-0.35891856521739207</v>
      </c>
      <c r="AW115" s="35">
        <v>0.15491324037930099</v>
      </c>
      <c r="AX115" s="35">
        <v>1192</v>
      </c>
      <c r="AY115" s="35">
        <v>8</v>
      </c>
      <c r="AZ115" s="35">
        <v>14</v>
      </c>
      <c r="BA115" s="35">
        <v>28</v>
      </c>
      <c r="BB115" s="35">
        <v>0.75873824543523316</v>
      </c>
      <c r="BD115" s="35">
        <v>112</v>
      </c>
      <c r="BE115" s="35">
        <v>230</v>
      </c>
      <c r="BF115" s="17">
        <v>223.0205029</v>
      </c>
      <c r="BH115" s="35">
        <v>27.6145999999999</v>
      </c>
      <c r="BI115" s="35">
        <v>0.97647058823529398</v>
      </c>
      <c r="BQ115" s="13">
        <f t="shared" si="7"/>
        <v>-3.0345639565217408</v>
      </c>
      <c r="BR115" s="35">
        <v>0.112673754112061</v>
      </c>
      <c r="BS115" s="35">
        <v>1096</v>
      </c>
      <c r="BT115" s="35">
        <v>59</v>
      </c>
      <c r="BU115" s="35">
        <v>9</v>
      </c>
      <c r="BV115" s="35">
        <v>9</v>
      </c>
      <c r="BW115" s="35">
        <v>0.27619317248263148</v>
      </c>
    </row>
    <row r="116" spans="1:75">
      <c r="A116" s="13">
        <v>113</v>
      </c>
      <c r="B116" s="13">
        <v>153</v>
      </c>
      <c r="C116" s="17">
        <v>124.1300402</v>
      </c>
      <c r="D116" s="13"/>
      <c r="E116" s="36">
        <v>41.902360077889398</v>
      </c>
      <c r="F116" s="36">
        <v>0.91911764705882304</v>
      </c>
      <c r="G116" s="36"/>
      <c r="H116" s="13"/>
      <c r="I116" s="13"/>
      <c r="J116" s="13"/>
      <c r="K116" s="13"/>
      <c r="L116" s="13"/>
      <c r="M116" s="13">
        <f t="shared" si="8"/>
        <v>-18.869254771241827</v>
      </c>
      <c r="N116" s="13"/>
      <c r="O116" s="13">
        <v>113</v>
      </c>
      <c r="P116" s="13">
        <v>153</v>
      </c>
      <c r="Q116" s="17">
        <v>131.66955780000001</v>
      </c>
      <c r="R116" s="13"/>
      <c r="S116" s="36">
        <v>32.454814228643201</v>
      </c>
      <c r="T116" s="36">
        <v>0.96029411764705797</v>
      </c>
      <c r="U116" s="36"/>
      <c r="V116" s="13"/>
      <c r="W116" s="13"/>
      <c r="X116" s="13"/>
      <c r="Y116" s="13"/>
      <c r="Z116" s="13"/>
      <c r="AA116" s="13">
        <f t="shared" si="5"/>
        <v>-13.94146549019607</v>
      </c>
      <c r="AB116" s="26">
        <v>0.240984417580867</v>
      </c>
      <c r="AC116" s="34">
        <v>755</v>
      </c>
      <c r="AD116" s="34">
        <v>123</v>
      </c>
      <c r="AE116" s="34">
        <v>35</v>
      </c>
      <c r="AF116" s="34">
        <v>46</v>
      </c>
      <c r="AG116" s="34">
        <v>0.30974238229565121</v>
      </c>
      <c r="AI116" s="35">
        <v>113</v>
      </c>
      <c r="AJ116" s="35">
        <v>153</v>
      </c>
      <c r="AK116" s="17">
        <v>152.94999999999999</v>
      </c>
      <c r="AM116" s="35">
        <v>27.153316582914499</v>
      </c>
      <c r="AN116" s="35">
        <v>0.97647058823529398</v>
      </c>
      <c r="AV116" s="13">
        <f t="shared" si="6"/>
        <v>-3.2679738562102489E-2</v>
      </c>
      <c r="AW116" s="35">
        <v>0.15491324037930099</v>
      </c>
      <c r="AX116" s="35">
        <v>1245</v>
      </c>
      <c r="AY116" s="35">
        <v>51</v>
      </c>
      <c r="AZ116" s="35">
        <v>42</v>
      </c>
      <c r="BA116" s="35">
        <v>35</v>
      </c>
      <c r="BB116" s="35">
        <v>0.7935675586803238</v>
      </c>
      <c r="BD116" s="35">
        <v>113</v>
      </c>
      <c r="BE116" s="35">
        <v>153</v>
      </c>
      <c r="BF116" s="17">
        <v>151.68361440000001</v>
      </c>
      <c r="BH116" s="35">
        <v>27.8801249999999</v>
      </c>
      <c r="BI116" s="35">
        <v>0.97647058823529398</v>
      </c>
      <c r="BQ116" s="13">
        <f t="shared" si="7"/>
        <v>-0.8603827450980317</v>
      </c>
      <c r="BR116" s="35">
        <v>0.112673754112061</v>
      </c>
      <c r="BS116" s="35">
        <v>1706</v>
      </c>
      <c r="BT116" s="35">
        <v>38</v>
      </c>
      <c r="BU116" s="35">
        <v>32</v>
      </c>
      <c r="BV116" s="35">
        <v>3</v>
      </c>
      <c r="BW116" s="35">
        <v>0.51045387402416353</v>
      </c>
    </row>
    <row r="117" spans="1:75">
      <c r="A117" s="13">
        <v>114</v>
      </c>
      <c r="B117" s="13">
        <v>178</v>
      </c>
      <c r="C117" s="17">
        <v>154.5506796</v>
      </c>
      <c r="D117" s="13"/>
      <c r="E117" s="36">
        <v>42.301430173869299</v>
      </c>
      <c r="F117" s="36">
        <v>0.92058823529411704</v>
      </c>
      <c r="G117" s="36"/>
      <c r="H117" s="13"/>
      <c r="I117" s="13"/>
      <c r="J117" s="13"/>
      <c r="K117" s="13"/>
      <c r="L117" s="13"/>
      <c r="M117" s="13">
        <f t="shared" si="8"/>
        <v>-13.173775505617979</v>
      </c>
      <c r="N117" s="13"/>
      <c r="O117" s="13">
        <v>114</v>
      </c>
      <c r="P117" s="13">
        <v>178</v>
      </c>
      <c r="Q117" s="17">
        <v>167.49993459999999</v>
      </c>
      <c r="R117" s="13"/>
      <c r="S117" s="36">
        <v>32.763907697487397</v>
      </c>
      <c r="T117" s="36">
        <v>0.96176470588235297</v>
      </c>
      <c r="U117" s="36"/>
      <c r="V117" s="13"/>
      <c r="W117" s="13"/>
      <c r="X117" s="13"/>
      <c r="Y117" s="13"/>
      <c r="Z117" s="13"/>
      <c r="AA117" s="13">
        <f t="shared" si="5"/>
        <v>-5.8989131460674198</v>
      </c>
      <c r="AB117" s="26">
        <v>0.240984417580867</v>
      </c>
      <c r="AC117" s="34">
        <v>1898</v>
      </c>
      <c r="AD117" s="34">
        <v>35</v>
      </c>
      <c r="AE117" s="34">
        <v>18</v>
      </c>
      <c r="AF117" s="34">
        <v>36</v>
      </c>
      <c r="AG117" s="34">
        <v>0.83382998210051607</v>
      </c>
      <c r="AI117" s="35">
        <v>114</v>
      </c>
      <c r="AJ117" s="35">
        <v>178</v>
      </c>
      <c r="AK117" s="17">
        <v>177.77281060000001</v>
      </c>
      <c r="AM117" s="35">
        <v>27.4119195979899</v>
      </c>
      <c r="AN117" s="35">
        <v>0.97647058823529398</v>
      </c>
      <c r="AV117" s="13">
        <f t="shared" si="6"/>
        <v>-0.1276344943820118</v>
      </c>
      <c r="AW117" s="35">
        <v>0.15491324037930099</v>
      </c>
      <c r="AX117" s="35">
        <v>583</v>
      </c>
      <c r="AY117" s="35">
        <v>189</v>
      </c>
      <c r="AZ117" s="35">
        <v>12</v>
      </c>
      <c r="BA117" s="35">
        <v>49</v>
      </c>
      <c r="BB117" s="35">
        <v>0.87526882762196001</v>
      </c>
      <c r="BD117" s="35">
        <v>114</v>
      </c>
      <c r="BE117" s="35">
        <v>178</v>
      </c>
      <c r="BF117" s="17">
        <v>175.60917359999999</v>
      </c>
      <c r="BH117" s="35">
        <v>28.1456499999999</v>
      </c>
      <c r="BI117" s="35">
        <v>0.97647058823529398</v>
      </c>
      <c r="BQ117" s="13">
        <f t="shared" si="7"/>
        <v>-1.3431608988764054</v>
      </c>
      <c r="BR117" s="35">
        <v>0.112673754112061</v>
      </c>
      <c r="BS117" s="35">
        <v>1908</v>
      </c>
      <c r="BT117" s="35">
        <v>40</v>
      </c>
      <c r="BU117" s="35">
        <v>40</v>
      </c>
      <c r="BV117" s="35">
        <v>29</v>
      </c>
      <c r="BW117" s="35">
        <v>0.87349376007128732</v>
      </c>
    </row>
    <row r="118" spans="1:75">
      <c r="A118" s="13">
        <v>115</v>
      </c>
      <c r="B118" s="13">
        <v>158</v>
      </c>
      <c r="C118" s="17">
        <v>131.28233800000001</v>
      </c>
      <c r="D118" s="13"/>
      <c r="E118" s="36">
        <v>42.700500269849201</v>
      </c>
      <c r="F118" s="36">
        <v>0.92205882352941104</v>
      </c>
      <c r="G118" s="36"/>
      <c r="H118" s="13"/>
      <c r="I118" s="13"/>
      <c r="J118" s="13"/>
      <c r="K118" s="13"/>
      <c r="L118" s="13"/>
      <c r="M118" s="13">
        <f t="shared" si="8"/>
        <v>-16.909912658227842</v>
      </c>
      <c r="N118" s="13"/>
      <c r="O118" s="13">
        <v>115</v>
      </c>
      <c r="P118" s="13">
        <v>158</v>
      </c>
      <c r="Q118" s="17">
        <v>138.61608050000001</v>
      </c>
      <c r="R118" s="13"/>
      <c r="S118" s="36">
        <v>33.073001166331601</v>
      </c>
      <c r="T118" s="36">
        <v>0.96323529411764697</v>
      </c>
      <c r="U118" s="36"/>
      <c r="V118" s="13"/>
      <c r="W118" s="13"/>
      <c r="X118" s="13"/>
      <c r="Y118" s="13"/>
      <c r="Z118" s="13"/>
      <c r="AA118" s="13">
        <f t="shared" si="5"/>
        <v>-12.268303481012655</v>
      </c>
      <c r="AB118" s="26">
        <v>0.240984417580867</v>
      </c>
      <c r="AC118" s="34">
        <v>463</v>
      </c>
      <c r="AD118" s="34">
        <v>138</v>
      </c>
      <c r="AE118" s="34">
        <v>40</v>
      </c>
      <c r="AF118" s="34">
        <v>3</v>
      </c>
      <c r="AG118" s="34">
        <v>0.70131084201277005</v>
      </c>
      <c r="AI118" s="35">
        <v>115</v>
      </c>
      <c r="AJ118" s="35">
        <v>158</v>
      </c>
      <c r="AK118" s="17">
        <v>155.39268770000001</v>
      </c>
      <c r="AM118" s="35">
        <v>27.670522613065302</v>
      </c>
      <c r="AN118" s="35">
        <v>0.97794117647058798</v>
      </c>
      <c r="AV118" s="13">
        <f t="shared" si="6"/>
        <v>-1.6501976582278366</v>
      </c>
      <c r="AW118" s="35">
        <v>0.15491324037930099</v>
      </c>
      <c r="AX118" s="35">
        <v>1205</v>
      </c>
      <c r="AY118" s="35">
        <v>110</v>
      </c>
      <c r="AZ118" s="35">
        <v>9</v>
      </c>
      <c r="BA118" s="35">
        <v>5</v>
      </c>
      <c r="BB118" s="35">
        <v>0.71342876268562716</v>
      </c>
      <c r="BD118" s="35">
        <v>115</v>
      </c>
      <c r="BE118" s="35">
        <v>158</v>
      </c>
      <c r="BF118" s="17">
        <v>145.51503389999999</v>
      </c>
      <c r="BH118" s="35">
        <v>28.411174999999901</v>
      </c>
      <c r="BI118" s="35">
        <v>0.97647058823529398</v>
      </c>
      <c r="BQ118" s="13">
        <f t="shared" si="7"/>
        <v>-7.9018772784810176</v>
      </c>
      <c r="BR118" s="35">
        <v>0.112673754112061</v>
      </c>
      <c r="BS118" s="35">
        <v>1020</v>
      </c>
      <c r="BT118" s="35">
        <v>189</v>
      </c>
      <c r="BU118" s="35">
        <v>11</v>
      </c>
      <c r="BV118" s="35">
        <v>38</v>
      </c>
      <c r="BW118" s="35">
        <v>0.73554786843264952</v>
      </c>
    </row>
    <row r="119" spans="1:75">
      <c r="A119" s="13">
        <v>116</v>
      </c>
      <c r="B119" s="13">
        <v>111</v>
      </c>
      <c r="C119" s="17">
        <v>114.4758844</v>
      </c>
      <c r="D119" s="13"/>
      <c r="E119" s="36">
        <v>43.099570365829102</v>
      </c>
      <c r="F119" s="36">
        <v>0.92352941176470504</v>
      </c>
      <c r="G119" s="36"/>
      <c r="H119" s="13"/>
      <c r="I119" s="13"/>
      <c r="J119" s="13"/>
      <c r="K119" s="13"/>
      <c r="L119" s="13"/>
      <c r="M119" s="13">
        <f t="shared" si="8"/>
        <v>3.1314273873873866</v>
      </c>
      <c r="N119" s="13"/>
      <c r="O119" s="13">
        <v>116</v>
      </c>
      <c r="P119" s="13">
        <v>111</v>
      </c>
      <c r="Q119" s="17">
        <v>114.3174497</v>
      </c>
      <c r="R119" s="13"/>
      <c r="S119" s="36">
        <v>33.382094635175797</v>
      </c>
      <c r="T119" s="36">
        <v>0.96470588235294097</v>
      </c>
      <c r="U119" s="36"/>
      <c r="V119" s="13"/>
      <c r="W119" s="13"/>
      <c r="X119" s="13"/>
      <c r="Y119" s="13"/>
      <c r="Z119" s="13"/>
      <c r="AA119" s="13">
        <f t="shared" si="5"/>
        <v>2.9886934234234275</v>
      </c>
      <c r="AB119" s="26">
        <v>0.240984417580867</v>
      </c>
      <c r="AC119" s="34">
        <v>1381</v>
      </c>
      <c r="AD119" s="34">
        <v>54</v>
      </c>
      <c r="AE119" s="34">
        <v>17</v>
      </c>
      <c r="AF119" s="34">
        <v>24</v>
      </c>
      <c r="AG119" s="34">
        <v>0.90787152415478878</v>
      </c>
      <c r="AI119" s="35">
        <v>116</v>
      </c>
      <c r="AJ119" s="35">
        <v>111</v>
      </c>
      <c r="AK119" s="17">
        <v>111.08043790000001</v>
      </c>
      <c r="AM119" s="35">
        <v>27.9291256281406</v>
      </c>
      <c r="AN119" s="35">
        <v>0.97794117647058798</v>
      </c>
      <c r="AV119" s="13">
        <f t="shared" si="6"/>
        <v>7.2466576576579733E-2</v>
      </c>
      <c r="AW119" s="35">
        <v>0.14332859145673099</v>
      </c>
      <c r="AX119" s="35">
        <v>434</v>
      </c>
      <c r="AY119" s="35">
        <v>6</v>
      </c>
      <c r="AZ119" s="35">
        <v>15</v>
      </c>
      <c r="BA119" s="35">
        <v>36</v>
      </c>
      <c r="BB119" s="35">
        <v>0.28128373245943478</v>
      </c>
      <c r="BD119" s="35">
        <v>116</v>
      </c>
      <c r="BE119" s="35">
        <v>111</v>
      </c>
      <c r="BF119" s="17">
        <v>111.897328</v>
      </c>
      <c r="BH119" s="35">
        <v>28.676699999999901</v>
      </c>
      <c r="BI119" s="35">
        <v>0.97647058823529398</v>
      </c>
      <c r="BQ119" s="13">
        <f t="shared" si="7"/>
        <v>0.80840360360361352</v>
      </c>
      <c r="BR119" s="35">
        <v>0.112673754112061</v>
      </c>
      <c r="BS119" s="35">
        <v>1832</v>
      </c>
      <c r="BT119" s="35">
        <v>195</v>
      </c>
      <c r="BU119" s="35">
        <v>13</v>
      </c>
      <c r="BV119" s="35">
        <v>39</v>
      </c>
      <c r="BW119" s="35">
        <v>0.70282501693527499</v>
      </c>
    </row>
    <row r="120" spans="1:75">
      <c r="A120" s="13">
        <v>117</v>
      </c>
      <c r="B120" s="13">
        <v>47</v>
      </c>
      <c r="C120" s="17">
        <v>43.186295671238099</v>
      </c>
      <c r="D120" s="13"/>
      <c r="E120" s="36">
        <v>43.498640461809003</v>
      </c>
      <c r="F120" s="36">
        <v>0.92794117647058805</v>
      </c>
      <c r="G120" s="36"/>
      <c r="H120" s="13"/>
      <c r="I120" s="13"/>
      <c r="J120" s="13"/>
      <c r="K120" s="13"/>
      <c r="L120" s="13"/>
      <c r="M120" s="13">
        <f t="shared" si="8"/>
        <v>-8.1142645292806357</v>
      </c>
      <c r="N120" s="13"/>
      <c r="O120" s="13">
        <v>117</v>
      </c>
      <c r="P120" s="13">
        <v>47</v>
      </c>
      <c r="Q120" s="17">
        <v>64.450711080000005</v>
      </c>
      <c r="R120" s="13"/>
      <c r="S120" s="36">
        <v>33.6911881040201</v>
      </c>
      <c r="T120" s="36">
        <v>0.96617647058823497</v>
      </c>
      <c r="U120" s="36"/>
      <c r="V120" s="13"/>
      <c r="W120" s="13"/>
      <c r="X120" s="13"/>
      <c r="Y120" s="13"/>
      <c r="Z120" s="13"/>
      <c r="AA120" s="13">
        <f t="shared" si="5"/>
        <v>37.129172510638298</v>
      </c>
      <c r="AB120" s="26">
        <v>0.240984417580867</v>
      </c>
      <c r="AC120" s="34">
        <v>1607</v>
      </c>
      <c r="AD120" s="34">
        <v>101</v>
      </c>
      <c r="AE120" s="34">
        <v>8</v>
      </c>
      <c r="AF120" s="34">
        <v>50</v>
      </c>
      <c r="AG120" s="34">
        <v>0.9575181723193078</v>
      </c>
      <c r="AI120" s="35">
        <v>117</v>
      </c>
      <c r="AJ120" s="35">
        <v>47</v>
      </c>
      <c r="AK120" s="17">
        <v>48.090212719999997</v>
      </c>
      <c r="AM120" s="35">
        <v>28.187728643216001</v>
      </c>
      <c r="AN120" s="35">
        <v>0.97794117647058798</v>
      </c>
      <c r="AV120" s="13">
        <f t="shared" si="6"/>
        <v>2.3196015319148833</v>
      </c>
      <c r="AW120" s="35">
        <v>0.14332859145673099</v>
      </c>
      <c r="AX120" s="35">
        <v>508</v>
      </c>
      <c r="AY120" s="35">
        <v>104</v>
      </c>
      <c r="AZ120" s="35">
        <v>23</v>
      </c>
      <c r="BA120" s="35">
        <v>41</v>
      </c>
      <c r="BB120" s="35">
        <v>0.96054128022983232</v>
      </c>
      <c r="BD120" s="35">
        <v>117</v>
      </c>
      <c r="BE120" s="35">
        <v>47</v>
      </c>
      <c r="BF120" s="17">
        <v>52.253070020000003</v>
      </c>
      <c r="BH120" s="35">
        <v>28.942224999999901</v>
      </c>
      <c r="BI120" s="35">
        <v>0.97647058823529398</v>
      </c>
      <c r="BQ120" s="13">
        <f t="shared" si="7"/>
        <v>11.176744723404264</v>
      </c>
      <c r="BR120" s="35">
        <v>0.112673754112061</v>
      </c>
      <c r="BS120" s="35">
        <v>1453</v>
      </c>
      <c r="BT120" s="35">
        <v>28</v>
      </c>
      <c r="BU120" s="35">
        <v>5</v>
      </c>
      <c r="BV120" s="35">
        <v>6</v>
      </c>
      <c r="BW120" s="35">
        <v>0.35454899588492239</v>
      </c>
    </row>
    <row r="121" spans="1:75">
      <c r="A121" s="13">
        <v>118</v>
      </c>
      <c r="B121" s="13">
        <v>163</v>
      </c>
      <c r="C121" s="17">
        <v>147.59444260000001</v>
      </c>
      <c r="D121" s="13"/>
      <c r="E121" s="36">
        <v>43.897710557788898</v>
      </c>
      <c r="F121" s="36">
        <v>0.92794117647058805</v>
      </c>
      <c r="G121" s="36"/>
      <c r="H121" s="13"/>
      <c r="I121" s="13"/>
      <c r="J121" s="13"/>
      <c r="K121" s="13"/>
      <c r="L121" s="13"/>
      <c r="M121" s="13">
        <f t="shared" si="8"/>
        <v>-9.4512622085889504</v>
      </c>
      <c r="N121" s="13"/>
      <c r="O121" s="13">
        <v>118</v>
      </c>
      <c r="P121" s="13">
        <v>163</v>
      </c>
      <c r="Q121" s="17">
        <v>157.44819430000001</v>
      </c>
      <c r="R121" s="13"/>
      <c r="S121" s="36">
        <v>34.000281572864303</v>
      </c>
      <c r="T121" s="36">
        <v>0.97058823529411697</v>
      </c>
      <c r="U121" s="36"/>
      <c r="V121" s="13"/>
      <c r="W121" s="13"/>
      <c r="X121" s="13"/>
      <c r="Y121" s="13"/>
      <c r="Z121" s="13"/>
      <c r="AA121" s="13">
        <f t="shared" si="5"/>
        <v>-3.4060157668711621</v>
      </c>
      <c r="AB121" s="26">
        <v>0.240984417580867</v>
      </c>
      <c r="AC121" s="34">
        <v>1323</v>
      </c>
      <c r="AD121" s="34">
        <v>110</v>
      </c>
      <c r="AE121" s="34">
        <v>36</v>
      </c>
      <c r="AF121" s="34">
        <v>27</v>
      </c>
      <c r="AG121" s="34">
        <v>0.8211237839655855</v>
      </c>
      <c r="AI121" s="35">
        <v>118</v>
      </c>
      <c r="AJ121" s="35">
        <v>163</v>
      </c>
      <c r="AK121" s="17">
        <v>162.6670326</v>
      </c>
      <c r="AM121" s="35">
        <v>28.446331658291399</v>
      </c>
      <c r="AN121" s="35">
        <v>0.97941176470588198</v>
      </c>
      <c r="AV121" s="13">
        <f t="shared" si="6"/>
        <v>-0.20427447852761071</v>
      </c>
      <c r="AW121" s="35">
        <v>0.14332859145673099</v>
      </c>
      <c r="AX121" s="35">
        <v>927</v>
      </c>
      <c r="AY121" s="35">
        <v>108</v>
      </c>
      <c r="AZ121" s="35">
        <v>46</v>
      </c>
      <c r="BA121" s="35">
        <v>6</v>
      </c>
      <c r="BB121" s="35">
        <v>0.29523020560519098</v>
      </c>
      <c r="BD121" s="35">
        <v>118</v>
      </c>
      <c r="BE121" s="35">
        <v>163</v>
      </c>
      <c r="BF121" s="17">
        <v>161.13205590000001</v>
      </c>
      <c r="BH121" s="35">
        <v>29.207749999999901</v>
      </c>
      <c r="BI121" s="35">
        <v>0.97647058823529398</v>
      </c>
      <c r="BQ121" s="13">
        <f t="shared" si="7"/>
        <v>-1.1459779754601107</v>
      </c>
      <c r="BR121" s="35">
        <v>0.112673754112061</v>
      </c>
      <c r="BS121" s="35">
        <v>1370</v>
      </c>
      <c r="BT121" s="35">
        <v>95</v>
      </c>
      <c r="BU121" s="35">
        <v>2</v>
      </c>
      <c r="BV121" s="35">
        <v>29</v>
      </c>
      <c r="BW121" s="35">
        <v>0.36408181674908724</v>
      </c>
    </row>
    <row r="122" spans="1:75">
      <c r="A122" s="13">
        <v>119</v>
      </c>
      <c r="B122" s="13">
        <v>8</v>
      </c>
      <c r="C122" s="17">
        <v>8.1694045062510998</v>
      </c>
      <c r="D122" s="13"/>
      <c r="E122" s="36">
        <v>44.296780653768799</v>
      </c>
      <c r="F122" s="36">
        <v>0.93382352941176405</v>
      </c>
      <c r="G122" s="36"/>
      <c r="H122" s="13"/>
      <c r="I122" s="13"/>
      <c r="J122" s="13"/>
      <c r="K122" s="13"/>
      <c r="L122" s="13"/>
      <c r="M122" s="13">
        <f t="shared" si="8"/>
        <v>2.1175563281387477</v>
      </c>
      <c r="N122" s="13"/>
      <c r="O122" s="13">
        <v>119</v>
      </c>
      <c r="P122" s="13">
        <v>8</v>
      </c>
      <c r="Q122" s="17">
        <v>8.7297274925472106</v>
      </c>
      <c r="R122" s="13"/>
      <c r="S122" s="36">
        <v>34.309375041708499</v>
      </c>
      <c r="T122" s="36">
        <v>0.97058823529411697</v>
      </c>
      <c r="U122" s="36"/>
      <c r="V122" s="13"/>
      <c r="W122" s="13"/>
      <c r="X122" s="13"/>
      <c r="Y122" s="13"/>
      <c r="Z122" s="13"/>
      <c r="AA122" s="13">
        <f t="shared" si="5"/>
        <v>9.1215936568401332</v>
      </c>
      <c r="AB122" s="26">
        <v>0.240984417580867</v>
      </c>
      <c r="AC122" s="34">
        <v>785</v>
      </c>
      <c r="AD122" s="34">
        <v>50</v>
      </c>
      <c r="AE122" s="34">
        <v>12</v>
      </c>
      <c r="AF122" s="34">
        <v>47</v>
      </c>
      <c r="AG122" s="34">
        <v>0.16053105815613258</v>
      </c>
      <c r="AI122" s="35">
        <v>119</v>
      </c>
      <c r="AJ122" s="35">
        <v>8</v>
      </c>
      <c r="AK122" s="17">
        <v>8.5725480390000008</v>
      </c>
      <c r="AM122" s="35">
        <v>28.7049346733668</v>
      </c>
      <c r="AN122" s="35">
        <v>0.97941176470588198</v>
      </c>
      <c r="AV122" s="13">
        <f t="shared" si="6"/>
        <v>7.1568504875000105</v>
      </c>
      <c r="AW122" s="35">
        <v>0.14332859145673099</v>
      </c>
      <c r="AX122" s="35">
        <v>699</v>
      </c>
      <c r="AY122" s="35">
        <v>114</v>
      </c>
      <c r="AZ122" s="35">
        <v>13</v>
      </c>
      <c r="BA122" s="35">
        <v>8</v>
      </c>
      <c r="BB122" s="35">
        <v>0.47514006483596805</v>
      </c>
      <c r="BD122" s="35">
        <v>119</v>
      </c>
      <c r="BE122" s="35">
        <v>8</v>
      </c>
      <c r="BF122" s="17">
        <v>7.2352284931117099</v>
      </c>
      <c r="BH122" s="35">
        <v>29.473274999999902</v>
      </c>
      <c r="BI122" s="35">
        <v>0.97647058823529398</v>
      </c>
      <c r="BQ122" s="13">
        <f t="shared" si="7"/>
        <v>-9.5596438361036267</v>
      </c>
      <c r="BR122" s="35">
        <v>0.112673754112061</v>
      </c>
      <c r="BS122" s="35">
        <v>397</v>
      </c>
      <c r="BT122" s="35">
        <v>16</v>
      </c>
      <c r="BU122" s="35">
        <v>47</v>
      </c>
      <c r="BV122" s="35">
        <v>42</v>
      </c>
      <c r="BW122" s="35">
        <v>0.19292877633482752</v>
      </c>
    </row>
    <row r="123" spans="1:75">
      <c r="A123" s="13">
        <v>120</v>
      </c>
      <c r="B123" s="13">
        <v>130</v>
      </c>
      <c r="C123" s="17">
        <v>133.0128598</v>
      </c>
      <c r="D123" s="13"/>
      <c r="E123" s="36">
        <v>44.695850749748701</v>
      </c>
      <c r="F123" s="36">
        <v>0.93529411764705805</v>
      </c>
      <c r="G123" s="36"/>
      <c r="H123" s="13"/>
      <c r="I123" s="13"/>
      <c r="J123" s="13"/>
      <c r="K123" s="13"/>
      <c r="L123" s="13"/>
      <c r="M123" s="13">
        <f t="shared" si="8"/>
        <v>2.3175844615384689</v>
      </c>
      <c r="N123" s="13"/>
      <c r="O123" s="13">
        <v>120</v>
      </c>
      <c r="P123" s="13">
        <v>130</v>
      </c>
      <c r="Q123" s="17">
        <v>133.9650527</v>
      </c>
      <c r="R123" s="13"/>
      <c r="S123" s="36">
        <v>34.618468510552702</v>
      </c>
      <c r="T123" s="36">
        <v>0.97499999999999998</v>
      </c>
      <c r="U123" s="36"/>
      <c r="V123" s="13"/>
      <c r="W123" s="13"/>
      <c r="X123" s="13"/>
      <c r="Y123" s="13"/>
      <c r="Z123" s="13"/>
      <c r="AA123" s="13">
        <f t="shared" si="5"/>
        <v>3.0500405384615403</v>
      </c>
      <c r="AB123" s="26">
        <v>0.240984417580867</v>
      </c>
      <c r="AC123" s="34">
        <v>729</v>
      </c>
      <c r="AD123" s="34">
        <v>72</v>
      </c>
      <c r="AE123" s="34">
        <v>15</v>
      </c>
      <c r="AF123" s="34">
        <v>6</v>
      </c>
      <c r="AG123" s="34">
        <v>0.80429968948297403</v>
      </c>
      <c r="AI123" s="35">
        <v>120</v>
      </c>
      <c r="AJ123" s="35">
        <v>130</v>
      </c>
      <c r="AK123" s="17">
        <v>130.62724320000001</v>
      </c>
      <c r="AM123" s="35">
        <v>28.963537688442202</v>
      </c>
      <c r="AN123" s="35">
        <v>0.97941176470588198</v>
      </c>
      <c r="AV123" s="13">
        <f t="shared" si="6"/>
        <v>0.48249476923076795</v>
      </c>
      <c r="AW123" s="35">
        <v>0.14332859145673099</v>
      </c>
      <c r="AX123" s="35">
        <v>1717</v>
      </c>
      <c r="AY123" s="35">
        <v>111</v>
      </c>
      <c r="AZ123" s="35">
        <v>33</v>
      </c>
      <c r="BA123" s="35">
        <v>11</v>
      </c>
      <c r="BB123" s="35">
        <v>0.18562866685301932</v>
      </c>
      <c r="BD123" s="35">
        <v>120</v>
      </c>
      <c r="BE123" s="35">
        <v>130</v>
      </c>
      <c r="BF123" s="17">
        <v>133.07656979999999</v>
      </c>
      <c r="BH123" s="35">
        <v>29.738799999999902</v>
      </c>
      <c r="BI123" s="35">
        <v>0.97647058823529398</v>
      </c>
      <c r="BQ123" s="13">
        <f t="shared" si="7"/>
        <v>2.3665921538461365</v>
      </c>
      <c r="BR123" s="35">
        <v>0.112673754112061</v>
      </c>
      <c r="BS123" s="35">
        <v>196</v>
      </c>
      <c r="BT123" s="35">
        <v>82</v>
      </c>
      <c r="BU123" s="35">
        <v>22</v>
      </c>
      <c r="BV123" s="35">
        <v>38</v>
      </c>
      <c r="BW123" s="35">
        <v>0.29072733120831551</v>
      </c>
    </row>
    <row r="124" spans="1:75">
      <c r="A124" s="13">
        <v>121</v>
      </c>
      <c r="B124" s="13">
        <v>138</v>
      </c>
      <c r="C124" s="17">
        <v>142.4702776</v>
      </c>
      <c r="D124" s="13"/>
      <c r="E124" s="36">
        <v>45.094920845728602</v>
      </c>
      <c r="F124" s="36">
        <v>0.93529411764705805</v>
      </c>
      <c r="G124" s="36"/>
      <c r="H124" s="13"/>
      <c r="I124" s="13"/>
      <c r="J124" s="13"/>
      <c r="K124" s="13"/>
      <c r="L124" s="13"/>
      <c r="M124" s="13">
        <f t="shared" si="8"/>
        <v>3.2393315942029099</v>
      </c>
      <c r="N124" s="13"/>
      <c r="O124" s="13">
        <v>121</v>
      </c>
      <c r="P124" s="13">
        <v>138</v>
      </c>
      <c r="Q124" s="17">
        <v>143.74711210000001</v>
      </c>
      <c r="R124" s="13"/>
      <c r="S124" s="36">
        <v>34.927561979396899</v>
      </c>
      <c r="T124" s="36">
        <v>0.97499999999999998</v>
      </c>
      <c r="U124" s="36"/>
      <c r="V124" s="13"/>
      <c r="W124" s="13"/>
      <c r="X124" s="13"/>
      <c r="Y124" s="13"/>
      <c r="Z124" s="13"/>
      <c r="AA124" s="13">
        <f t="shared" si="5"/>
        <v>4.1645739855072472</v>
      </c>
      <c r="AB124" s="26">
        <v>0.240984417580867</v>
      </c>
      <c r="AC124" s="34">
        <v>648</v>
      </c>
      <c r="AD124" s="34">
        <v>103</v>
      </c>
      <c r="AE124" s="34">
        <v>5</v>
      </c>
      <c r="AF124" s="34">
        <v>31</v>
      </c>
      <c r="AG124" s="34">
        <v>0.61675614825231206</v>
      </c>
      <c r="AI124" s="35">
        <v>121</v>
      </c>
      <c r="AJ124" s="35">
        <v>138</v>
      </c>
      <c r="AK124" s="17">
        <v>138.53122339999999</v>
      </c>
      <c r="AM124" s="35">
        <v>29.2221407035175</v>
      </c>
      <c r="AN124" s="35">
        <v>0.98088235294117598</v>
      </c>
      <c r="AV124" s="13">
        <f t="shared" si="6"/>
        <v>0.38494449275361386</v>
      </c>
      <c r="AW124" s="35">
        <v>0.14332859145673099</v>
      </c>
      <c r="AX124" s="35">
        <v>1838</v>
      </c>
      <c r="AY124" s="35">
        <v>156</v>
      </c>
      <c r="AZ124" s="35">
        <v>15</v>
      </c>
      <c r="BA124" s="35">
        <v>9</v>
      </c>
      <c r="BB124" s="35">
        <v>0.67851163354507915</v>
      </c>
      <c r="BD124" s="35">
        <v>121</v>
      </c>
      <c r="BE124" s="35">
        <v>138</v>
      </c>
      <c r="BF124" s="17">
        <v>140.8684676</v>
      </c>
      <c r="BH124" s="35">
        <v>30.004324999999898</v>
      </c>
      <c r="BI124" s="35">
        <v>0.97794117647058798</v>
      </c>
      <c r="BQ124" s="13">
        <f t="shared" si="7"/>
        <v>2.0785997101449238</v>
      </c>
      <c r="BR124" s="35">
        <v>0.112673754112061</v>
      </c>
      <c r="BS124" s="35">
        <v>157</v>
      </c>
      <c r="BT124" s="35">
        <v>117</v>
      </c>
      <c r="BU124" s="35">
        <v>29</v>
      </c>
      <c r="BV124" s="35">
        <v>15</v>
      </c>
      <c r="BW124" s="35">
        <v>0.53379932209314451</v>
      </c>
    </row>
    <row r="125" spans="1:75">
      <c r="A125" s="13">
        <v>122</v>
      </c>
      <c r="B125" s="13">
        <v>93</v>
      </c>
      <c r="C125" s="17">
        <v>86.078570909999996</v>
      </c>
      <c r="D125" s="13"/>
      <c r="E125" s="36">
        <v>45.493990941708503</v>
      </c>
      <c r="F125" s="36">
        <v>0.93676470588235194</v>
      </c>
      <c r="G125" s="36"/>
      <c r="H125" s="13"/>
      <c r="I125" s="13"/>
      <c r="J125" s="13"/>
      <c r="K125" s="13"/>
      <c r="L125" s="13"/>
      <c r="M125" s="13">
        <f t="shared" si="8"/>
        <v>-7.442396870967749</v>
      </c>
      <c r="N125" s="13"/>
      <c r="O125" s="13">
        <v>122</v>
      </c>
      <c r="P125" s="13">
        <v>93</v>
      </c>
      <c r="Q125" s="17">
        <v>82.338554830000007</v>
      </c>
      <c r="R125" s="13"/>
      <c r="S125" s="36">
        <v>35.236655448241201</v>
      </c>
      <c r="T125" s="36">
        <v>0.97647058823529398</v>
      </c>
      <c r="U125" s="36"/>
      <c r="V125" s="13"/>
      <c r="W125" s="13"/>
      <c r="X125" s="13"/>
      <c r="Y125" s="13"/>
      <c r="Z125" s="13"/>
      <c r="AA125" s="13">
        <f t="shared" si="5"/>
        <v>-11.463919537634403</v>
      </c>
      <c r="AB125" s="26">
        <v>0.234601831036926</v>
      </c>
      <c r="AC125" s="34">
        <v>1074</v>
      </c>
      <c r="AD125" s="34">
        <v>4</v>
      </c>
      <c r="AE125" s="34">
        <v>47</v>
      </c>
      <c r="AF125" s="34">
        <v>47</v>
      </c>
      <c r="AG125" s="34">
        <v>0.50092157339140986</v>
      </c>
      <c r="AI125" s="35">
        <v>122</v>
      </c>
      <c r="AJ125" s="35">
        <v>93</v>
      </c>
      <c r="AK125" s="17">
        <v>91.981797599999993</v>
      </c>
      <c r="AM125" s="35">
        <v>29.480743718592901</v>
      </c>
      <c r="AN125" s="35">
        <v>0.98088235294117598</v>
      </c>
      <c r="AV125" s="13">
        <f t="shared" si="6"/>
        <v>-1.0948412903225901</v>
      </c>
      <c r="AW125" s="35">
        <v>0.14332859145673099</v>
      </c>
      <c r="AX125" s="35">
        <v>1286</v>
      </c>
      <c r="AY125" s="35">
        <v>1</v>
      </c>
      <c r="AZ125" s="35">
        <v>15</v>
      </c>
      <c r="BA125" s="35">
        <v>10</v>
      </c>
      <c r="BB125" s="35">
        <v>0.19087555370602136</v>
      </c>
      <c r="BD125" s="35">
        <v>122</v>
      </c>
      <c r="BE125" s="35">
        <v>93</v>
      </c>
      <c r="BF125" s="17">
        <v>86.338289709999998</v>
      </c>
      <c r="BH125" s="35">
        <v>30.269849999999899</v>
      </c>
      <c r="BI125" s="35">
        <v>0.97941176470588198</v>
      </c>
      <c r="BQ125" s="13">
        <f t="shared" si="7"/>
        <v>-7.1631293440860277</v>
      </c>
      <c r="BR125" s="35">
        <v>0.110823716994052</v>
      </c>
      <c r="BS125" s="35">
        <v>1078</v>
      </c>
      <c r="BT125" s="35">
        <v>163</v>
      </c>
      <c r="BU125" s="35">
        <v>7</v>
      </c>
      <c r="BV125" s="35">
        <v>7</v>
      </c>
      <c r="BW125" s="35">
        <v>0.7274941848059947</v>
      </c>
    </row>
    <row r="126" spans="1:75">
      <c r="A126" s="13">
        <v>123</v>
      </c>
      <c r="B126" s="13">
        <v>127</v>
      </c>
      <c r="C126" s="17">
        <v>108.4682997</v>
      </c>
      <c r="D126" s="13"/>
      <c r="E126" s="36">
        <v>45.893061037688398</v>
      </c>
      <c r="F126" s="36">
        <v>0.93676470588235194</v>
      </c>
      <c r="G126" s="36"/>
      <c r="H126" s="13"/>
      <c r="I126" s="13"/>
      <c r="J126" s="13"/>
      <c r="K126" s="13"/>
      <c r="L126" s="13"/>
      <c r="M126" s="13">
        <f t="shared" si="8"/>
        <v>-14.591889999999996</v>
      </c>
      <c r="N126" s="13"/>
      <c r="O126" s="13">
        <v>123</v>
      </c>
      <c r="P126" s="13">
        <v>127</v>
      </c>
      <c r="Q126" s="17">
        <v>112.51716089999999</v>
      </c>
      <c r="R126" s="13"/>
      <c r="S126" s="36">
        <v>35.545748917085398</v>
      </c>
      <c r="T126" s="36">
        <v>0.97647058823529398</v>
      </c>
      <c r="U126" s="36"/>
      <c r="V126" s="13"/>
      <c r="W126" s="13"/>
      <c r="X126" s="13"/>
      <c r="Y126" s="13"/>
      <c r="Z126" s="13"/>
      <c r="AA126" s="13">
        <f t="shared" si="5"/>
        <v>-11.403810314960639</v>
      </c>
      <c r="AB126" s="26">
        <v>0.234601831036926</v>
      </c>
      <c r="AC126" s="34">
        <v>1658</v>
      </c>
      <c r="AD126" s="34">
        <v>154</v>
      </c>
      <c r="AE126" s="34">
        <v>32</v>
      </c>
      <c r="AF126" s="34">
        <v>7</v>
      </c>
      <c r="AG126" s="34">
        <v>0.68430982411680163</v>
      </c>
      <c r="AI126" s="35">
        <v>123</v>
      </c>
      <c r="AJ126" s="35">
        <v>127</v>
      </c>
      <c r="AK126" s="17">
        <v>125.97011809999999</v>
      </c>
      <c r="AM126" s="35">
        <v>29.739346733668299</v>
      </c>
      <c r="AN126" s="35">
        <v>0.98088235294117598</v>
      </c>
      <c r="AV126" s="13">
        <f t="shared" si="6"/>
        <v>-0.8109306299212693</v>
      </c>
      <c r="AW126" s="35">
        <v>0.14332859145673099</v>
      </c>
      <c r="AX126" s="35">
        <v>1622</v>
      </c>
      <c r="AY126" s="35">
        <v>177</v>
      </c>
      <c r="AZ126" s="35">
        <v>18</v>
      </c>
      <c r="BA126" s="35">
        <v>17</v>
      </c>
      <c r="BB126" s="35">
        <v>0.71027878023015401</v>
      </c>
      <c r="BD126" s="35">
        <v>123</v>
      </c>
      <c r="BE126" s="35">
        <v>127</v>
      </c>
      <c r="BF126" s="17">
        <v>121.3927241</v>
      </c>
      <c r="BH126" s="35">
        <v>30.535374999999899</v>
      </c>
      <c r="BI126" s="35">
        <v>0.97941176470588198</v>
      </c>
      <c r="BQ126" s="13">
        <f t="shared" si="7"/>
        <v>-4.4151778740157521</v>
      </c>
      <c r="BR126" s="35">
        <v>0.110823716994052</v>
      </c>
      <c r="BS126" s="35">
        <v>817</v>
      </c>
      <c r="BT126" s="35">
        <v>174</v>
      </c>
      <c r="BU126" s="35">
        <v>31</v>
      </c>
      <c r="BV126" s="35">
        <v>35</v>
      </c>
      <c r="BW126" s="35">
        <v>0.27492205231421984</v>
      </c>
    </row>
    <row r="127" spans="1:75">
      <c r="A127" s="13">
        <v>124</v>
      </c>
      <c r="B127" s="13">
        <v>156</v>
      </c>
      <c r="C127" s="17">
        <v>128.92527530000001</v>
      </c>
      <c r="D127" s="13"/>
      <c r="E127" s="36">
        <v>46.292131133668299</v>
      </c>
      <c r="F127" s="36">
        <v>0.93676470588235194</v>
      </c>
      <c r="G127" s="36"/>
      <c r="H127" s="13"/>
      <c r="I127" s="13"/>
      <c r="J127" s="13"/>
      <c r="K127" s="13"/>
      <c r="L127" s="13"/>
      <c r="M127" s="13">
        <f t="shared" si="8"/>
        <v>-17.355592756410253</v>
      </c>
      <c r="N127" s="13"/>
      <c r="O127" s="13">
        <v>124</v>
      </c>
      <c r="P127" s="13">
        <v>156</v>
      </c>
      <c r="Q127" s="17">
        <v>139.52161290000001</v>
      </c>
      <c r="R127" s="13"/>
      <c r="S127" s="36">
        <v>35.854842385929601</v>
      </c>
      <c r="T127" s="36">
        <v>0.97941176470588198</v>
      </c>
      <c r="U127" s="36"/>
      <c r="V127" s="13"/>
      <c r="W127" s="13"/>
      <c r="X127" s="13"/>
      <c r="Y127" s="13"/>
      <c r="Z127" s="13"/>
      <c r="AA127" s="13">
        <f t="shared" si="5"/>
        <v>-10.563068653846152</v>
      </c>
      <c r="AB127" s="26">
        <v>0.234601831036926</v>
      </c>
      <c r="AC127" s="34">
        <v>1204</v>
      </c>
      <c r="AD127" s="34">
        <v>156</v>
      </c>
      <c r="AE127" s="34">
        <v>17</v>
      </c>
      <c r="AF127" s="34">
        <v>21</v>
      </c>
      <c r="AG127" s="34">
        <v>0.94897066258317286</v>
      </c>
      <c r="AI127" s="35">
        <v>124</v>
      </c>
      <c r="AJ127" s="35">
        <v>156</v>
      </c>
      <c r="AK127" s="17">
        <v>155.1883938</v>
      </c>
      <c r="AM127" s="35">
        <v>29.9979497487437</v>
      </c>
      <c r="AN127" s="35">
        <v>0.98088235294117598</v>
      </c>
      <c r="AV127" s="13">
        <f t="shared" si="6"/>
        <v>-0.5202603846153897</v>
      </c>
      <c r="AW127" s="35">
        <v>0.111840973128371</v>
      </c>
      <c r="AX127" s="35">
        <v>1995</v>
      </c>
      <c r="AY127" s="35">
        <v>103</v>
      </c>
      <c r="AZ127" s="35">
        <v>19</v>
      </c>
      <c r="BA127" s="35">
        <v>7</v>
      </c>
      <c r="BB127" s="35">
        <v>0.60669959701716059</v>
      </c>
      <c r="BD127" s="35">
        <v>124</v>
      </c>
      <c r="BE127" s="35">
        <v>156</v>
      </c>
      <c r="BF127" s="17">
        <v>151.09152560000001</v>
      </c>
      <c r="BH127" s="35">
        <v>30.800899999999899</v>
      </c>
      <c r="BI127" s="35">
        <v>0.97941176470588198</v>
      </c>
      <c r="BQ127" s="13">
        <f t="shared" si="7"/>
        <v>-3.14645794871794</v>
      </c>
      <c r="BR127" s="35">
        <v>0.110823716994052</v>
      </c>
      <c r="BS127" s="35">
        <v>1971</v>
      </c>
      <c r="BT127" s="35">
        <v>35</v>
      </c>
      <c r="BU127" s="35">
        <v>48</v>
      </c>
      <c r="BV127" s="35">
        <v>24</v>
      </c>
      <c r="BW127" s="35">
        <v>0.17168217490974497</v>
      </c>
    </row>
    <row r="128" spans="1:75">
      <c r="A128" s="13">
        <v>125</v>
      </c>
      <c r="B128" s="13">
        <v>86</v>
      </c>
      <c r="C128" s="17">
        <v>97.806718509999996</v>
      </c>
      <c r="D128" s="13"/>
      <c r="E128" s="36">
        <v>46.6912012296482</v>
      </c>
      <c r="F128" s="36">
        <v>0.94117647058823495</v>
      </c>
      <c r="G128" s="36"/>
      <c r="H128" s="13"/>
      <c r="I128" s="13"/>
      <c r="J128" s="13"/>
      <c r="K128" s="13"/>
      <c r="L128" s="13"/>
      <c r="M128" s="13">
        <f t="shared" si="8"/>
        <v>13.728742453488362</v>
      </c>
      <c r="N128" s="13"/>
      <c r="O128" s="13">
        <v>125</v>
      </c>
      <c r="P128" s="13">
        <v>86</v>
      </c>
      <c r="Q128" s="17">
        <v>94.250165530000004</v>
      </c>
      <c r="R128" s="13"/>
      <c r="S128" s="36">
        <v>36.163935854773797</v>
      </c>
      <c r="T128" s="36">
        <v>0.97941176470588198</v>
      </c>
      <c r="U128" s="36"/>
      <c r="V128" s="13"/>
      <c r="W128" s="13"/>
      <c r="X128" s="13"/>
      <c r="Y128" s="13"/>
      <c r="Z128" s="13"/>
      <c r="AA128" s="13">
        <f t="shared" si="5"/>
        <v>9.5932157325581358</v>
      </c>
      <c r="AB128" s="26">
        <v>0.234601831036926</v>
      </c>
      <c r="AC128" s="34">
        <v>236</v>
      </c>
      <c r="AD128" s="34">
        <v>124</v>
      </c>
      <c r="AE128" s="34">
        <v>25</v>
      </c>
      <c r="AF128" s="34">
        <v>50</v>
      </c>
      <c r="AG128" s="34">
        <v>0.75865752120748209</v>
      </c>
      <c r="AI128" s="35">
        <v>125</v>
      </c>
      <c r="AJ128" s="35">
        <v>86</v>
      </c>
      <c r="AK128" s="17">
        <v>86.421198419999996</v>
      </c>
      <c r="AM128" s="35">
        <v>30.256552763818998</v>
      </c>
      <c r="AN128" s="35">
        <v>0.98088235294117598</v>
      </c>
      <c r="AV128" s="13">
        <f t="shared" si="6"/>
        <v>0.48976560465114893</v>
      </c>
      <c r="AW128" s="35">
        <v>0.111840973128371</v>
      </c>
      <c r="AX128" s="35">
        <v>1626</v>
      </c>
      <c r="AY128" s="35">
        <v>6</v>
      </c>
      <c r="AZ128" s="35">
        <v>24</v>
      </c>
      <c r="BA128" s="35">
        <v>17</v>
      </c>
      <c r="BB128" s="35">
        <v>0.47712296704600488</v>
      </c>
      <c r="BD128" s="35">
        <v>125</v>
      </c>
      <c r="BE128" s="35">
        <v>86</v>
      </c>
      <c r="BF128" s="17">
        <v>87.787245369999994</v>
      </c>
      <c r="BH128" s="35">
        <v>31.066424999999899</v>
      </c>
      <c r="BI128" s="35">
        <v>0.97941176470588198</v>
      </c>
      <c r="BQ128" s="13">
        <f t="shared" si="7"/>
        <v>2.078192290697678</v>
      </c>
      <c r="BR128" s="35">
        <v>0.109202373161829</v>
      </c>
      <c r="BS128" s="35">
        <v>1248</v>
      </c>
      <c r="BT128" s="35">
        <v>100</v>
      </c>
      <c r="BU128" s="35">
        <v>39</v>
      </c>
      <c r="BV128" s="35">
        <v>32</v>
      </c>
      <c r="BW128" s="35">
        <v>0.55824801093348919</v>
      </c>
    </row>
    <row r="129" spans="1:75">
      <c r="A129" s="13">
        <v>126</v>
      </c>
      <c r="B129" s="13">
        <v>195</v>
      </c>
      <c r="C129" s="17">
        <v>169.5280893</v>
      </c>
      <c r="D129" s="13"/>
      <c r="E129" s="36">
        <v>47.090271325628102</v>
      </c>
      <c r="F129" s="36">
        <v>0.94558823529411695</v>
      </c>
      <c r="G129" s="36"/>
      <c r="H129" s="13"/>
      <c r="I129" s="13"/>
      <c r="J129" s="13"/>
      <c r="K129" s="13"/>
      <c r="L129" s="13"/>
      <c r="M129" s="13">
        <f t="shared" si="8"/>
        <v>-13.062518307692306</v>
      </c>
      <c r="N129" s="13"/>
      <c r="O129" s="13">
        <v>126</v>
      </c>
      <c r="P129" s="13">
        <v>195</v>
      </c>
      <c r="Q129" s="17">
        <v>186.26778949999999</v>
      </c>
      <c r="R129" s="13"/>
      <c r="S129" s="36">
        <v>36.473029323618</v>
      </c>
      <c r="T129" s="36">
        <v>0.98088235294117598</v>
      </c>
      <c r="U129" s="36"/>
      <c r="V129" s="13"/>
      <c r="W129" s="13"/>
      <c r="X129" s="13"/>
      <c r="Y129" s="13"/>
      <c r="Z129" s="13"/>
      <c r="AA129" s="13">
        <f t="shared" si="5"/>
        <v>-4.4780566666666743</v>
      </c>
      <c r="AB129" s="26">
        <v>0.234601831036926</v>
      </c>
      <c r="AC129" s="34">
        <v>1790</v>
      </c>
      <c r="AD129" s="34">
        <v>87</v>
      </c>
      <c r="AE129" s="34">
        <v>17</v>
      </c>
      <c r="AF129" s="34">
        <v>27</v>
      </c>
      <c r="AG129" s="34">
        <v>0.56103028712938685</v>
      </c>
      <c r="AI129" s="35">
        <v>126</v>
      </c>
      <c r="AJ129" s="35">
        <v>195</v>
      </c>
      <c r="AK129" s="17">
        <v>194.8522878</v>
      </c>
      <c r="AM129" s="35">
        <v>30.5151557788944</v>
      </c>
      <c r="AN129" s="35">
        <v>0.98235294117646998</v>
      </c>
      <c r="AV129" s="13">
        <f t="shared" si="6"/>
        <v>-7.574984615384972E-2</v>
      </c>
      <c r="AW129" s="35">
        <v>0.111840973128371</v>
      </c>
      <c r="AX129" s="35">
        <v>1253</v>
      </c>
      <c r="AY129" s="35">
        <v>61</v>
      </c>
      <c r="AZ129" s="35">
        <v>27</v>
      </c>
      <c r="BA129" s="35">
        <v>7</v>
      </c>
      <c r="BB129" s="35">
        <v>0.58785813595080649</v>
      </c>
      <c r="BD129" s="35">
        <v>126</v>
      </c>
      <c r="BE129" s="35">
        <v>195</v>
      </c>
      <c r="BF129" s="17">
        <v>193.8017341</v>
      </c>
      <c r="BH129" s="35">
        <v>31.3319499999999</v>
      </c>
      <c r="BI129" s="35">
        <v>0.98088235294117598</v>
      </c>
      <c r="BQ129" s="13">
        <f t="shared" si="7"/>
        <v>-0.61449533333333139</v>
      </c>
      <c r="BR129" s="35">
        <v>0.109202373161829</v>
      </c>
      <c r="BS129" s="35">
        <v>550</v>
      </c>
      <c r="BT129" s="35">
        <v>164</v>
      </c>
      <c r="BU129" s="35">
        <v>9</v>
      </c>
      <c r="BV129" s="35">
        <v>42</v>
      </c>
      <c r="BW129" s="35">
        <v>0.82400794976446456</v>
      </c>
    </row>
    <row r="130" spans="1:75">
      <c r="A130" s="13">
        <v>127</v>
      </c>
      <c r="B130" s="13">
        <v>125</v>
      </c>
      <c r="C130" s="17">
        <v>131.92971560000001</v>
      </c>
      <c r="D130" s="13"/>
      <c r="E130" s="36">
        <v>47.489341421608003</v>
      </c>
      <c r="F130" s="36">
        <v>0.94558823529411695</v>
      </c>
      <c r="G130" s="36"/>
      <c r="H130" s="13"/>
      <c r="I130" s="13"/>
      <c r="J130" s="13"/>
      <c r="K130" s="13"/>
      <c r="L130" s="13"/>
      <c r="M130" s="13">
        <f t="shared" si="8"/>
        <v>5.5437724799999977</v>
      </c>
      <c r="N130" s="13"/>
      <c r="O130" s="13">
        <v>127</v>
      </c>
      <c r="P130" s="13">
        <v>125</v>
      </c>
      <c r="Q130" s="17">
        <v>134.113891</v>
      </c>
      <c r="R130" s="13"/>
      <c r="S130" s="36">
        <v>36.782122792462303</v>
      </c>
      <c r="T130" s="36">
        <v>0.98235294117646998</v>
      </c>
      <c r="U130" s="36"/>
      <c r="V130" s="13"/>
      <c r="W130" s="13"/>
      <c r="X130" s="13"/>
      <c r="Y130" s="13"/>
      <c r="Z130" s="13"/>
      <c r="AA130" s="13">
        <f t="shared" si="5"/>
        <v>7.2911127999999881</v>
      </c>
      <c r="AB130" s="26">
        <v>0.234601831036926</v>
      </c>
      <c r="AC130" s="34">
        <v>1279</v>
      </c>
      <c r="AD130" s="34">
        <v>194</v>
      </c>
      <c r="AE130" s="34">
        <v>27</v>
      </c>
      <c r="AF130" s="34">
        <v>34</v>
      </c>
      <c r="AG130" s="34">
        <v>0.80340082389567269</v>
      </c>
      <c r="AI130" s="35">
        <v>127</v>
      </c>
      <c r="AJ130" s="35">
        <v>125</v>
      </c>
      <c r="AK130" s="17">
        <v>125.826887</v>
      </c>
      <c r="AM130" s="35">
        <v>30.773758793969801</v>
      </c>
      <c r="AN130" s="35">
        <v>0.98382352941176399</v>
      </c>
      <c r="AV130" s="13">
        <f t="shared" si="6"/>
        <v>0.6615095999999987</v>
      </c>
      <c r="AW130" s="35">
        <v>0.111840973128371</v>
      </c>
      <c r="AX130" s="35">
        <v>894</v>
      </c>
      <c r="AY130" s="35">
        <v>173</v>
      </c>
      <c r="AZ130" s="35">
        <v>38</v>
      </c>
      <c r="BA130" s="35">
        <v>50</v>
      </c>
      <c r="BB130" s="35">
        <v>0.87447711296351505</v>
      </c>
      <c r="BD130" s="35">
        <v>127</v>
      </c>
      <c r="BE130" s="35">
        <v>125</v>
      </c>
      <c r="BF130" s="17">
        <v>131.08120410000001</v>
      </c>
      <c r="BH130" s="35">
        <v>31.5974749999999</v>
      </c>
      <c r="BI130" s="35">
        <v>0.98235294117646998</v>
      </c>
      <c r="BQ130" s="13">
        <f t="shared" si="7"/>
        <v>4.864963280000012</v>
      </c>
      <c r="BR130" s="35">
        <v>0.109202373161829</v>
      </c>
      <c r="BS130" s="35">
        <v>1976</v>
      </c>
      <c r="BT130" s="35">
        <v>128</v>
      </c>
      <c r="BU130" s="35">
        <v>22</v>
      </c>
      <c r="BV130" s="35">
        <v>17</v>
      </c>
      <c r="BW130" s="35">
        <v>0.67781914918557407</v>
      </c>
    </row>
    <row r="131" spans="1:75">
      <c r="A131" s="13">
        <v>128</v>
      </c>
      <c r="B131" s="13">
        <v>71</v>
      </c>
      <c r="C131" s="17">
        <v>91.360407960000003</v>
      </c>
      <c r="D131" s="13"/>
      <c r="E131" s="36">
        <v>47.888411517587897</v>
      </c>
      <c r="F131" s="36">
        <v>0.94705882352941095</v>
      </c>
      <c r="G131" s="36"/>
      <c r="H131" s="13"/>
      <c r="I131" s="13"/>
      <c r="J131" s="13"/>
      <c r="K131" s="13"/>
      <c r="L131" s="13"/>
      <c r="M131" s="13">
        <f t="shared" si="8"/>
        <v>28.676630929577463</v>
      </c>
      <c r="N131" s="13"/>
      <c r="O131" s="13">
        <v>128</v>
      </c>
      <c r="P131" s="13">
        <v>71</v>
      </c>
      <c r="Q131" s="17">
        <v>78.568659420000003</v>
      </c>
      <c r="R131" s="13"/>
      <c r="S131" s="36">
        <v>37.091216261306499</v>
      </c>
      <c r="T131" s="36">
        <v>0.98235294117646998</v>
      </c>
      <c r="U131" s="36"/>
      <c r="V131" s="13"/>
      <c r="W131" s="13"/>
      <c r="X131" s="13"/>
      <c r="Y131" s="13"/>
      <c r="Z131" s="13"/>
      <c r="AA131" s="13">
        <f t="shared" ref="AA131:AA194" si="9">((Q131/P131)-1)*100</f>
        <v>10.660083690140842</v>
      </c>
      <c r="AB131" s="26">
        <v>0.22539028655643301</v>
      </c>
      <c r="AC131" s="34">
        <v>1312</v>
      </c>
      <c r="AD131" s="34">
        <v>96</v>
      </c>
      <c r="AE131" s="34">
        <v>42</v>
      </c>
      <c r="AF131" s="34">
        <v>25</v>
      </c>
      <c r="AG131" s="34">
        <v>0.61196390093595077</v>
      </c>
      <c r="AI131" s="35">
        <v>128</v>
      </c>
      <c r="AJ131" s="35">
        <v>71</v>
      </c>
      <c r="AK131" s="17">
        <v>71.460838530000004</v>
      </c>
      <c r="AM131" s="35">
        <v>31.032361809045199</v>
      </c>
      <c r="AN131" s="35">
        <v>0.98382352941176399</v>
      </c>
      <c r="AV131" s="13">
        <f t="shared" si="6"/>
        <v>0.64906835211269165</v>
      </c>
      <c r="AW131" s="35">
        <v>0.111840973128371</v>
      </c>
      <c r="AX131" s="35">
        <v>851</v>
      </c>
      <c r="AY131" s="35">
        <v>124</v>
      </c>
      <c r="AZ131" s="35">
        <v>42</v>
      </c>
      <c r="BA131" s="35">
        <v>25</v>
      </c>
      <c r="BB131" s="35">
        <v>0.35407952187483982</v>
      </c>
      <c r="BD131" s="35">
        <v>128</v>
      </c>
      <c r="BE131" s="35">
        <v>71</v>
      </c>
      <c r="BF131" s="17">
        <v>72.708318750000004</v>
      </c>
      <c r="BH131" s="35">
        <v>31.8629999999999</v>
      </c>
      <c r="BI131" s="35">
        <v>0.98235294117646998</v>
      </c>
      <c r="BQ131" s="13">
        <f t="shared" si="7"/>
        <v>2.4060827464788881</v>
      </c>
      <c r="BR131" s="35">
        <v>0.109202373161829</v>
      </c>
      <c r="BS131" s="35">
        <v>1898</v>
      </c>
      <c r="BT131" s="35">
        <v>177</v>
      </c>
      <c r="BU131" s="35">
        <v>35</v>
      </c>
      <c r="BV131" s="35">
        <v>25</v>
      </c>
      <c r="BW131" s="35">
        <v>0.26860047889354222</v>
      </c>
    </row>
    <row r="132" spans="1:75">
      <c r="A132" s="13">
        <v>129</v>
      </c>
      <c r="B132" s="13">
        <v>6</v>
      </c>
      <c r="C132" s="17">
        <v>6.7527181560303999</v>
      </c>
      <c r="D132" s="13"/>
      <c r="E132" s="36">
        <v>48.287481613567799</v>
      </c>
      <c r="F132" s="36">
        <v>0.94705882352941095</v>
      </c>
      <c r="G132" s="36"/>
      <c r="H132" s="13"/>
      <c r="I132" s="13"/>
      <c r="J132" s="13"/>
      <c r="K132" s="13"/>
      <c r="L132" s="13"/>
      <c r="M132" s="13">
        <f t="shared" si="8"/>
        <v>12.545302600506659</v>
      </c>
      <c r="N132" s="13"/>
      <c r="O132" s="13">
        <v>129</v>
      </c>
      <c r="P132" s="13">
        <v>6</v>
      </c>
      <c r="Q132" s="17">
        <v>7.6773304584536701</v>
      </c>
      <c r="R132" s="13"/>
      <c r="S132" s="36">
        <v>37.400309730150703</v>
      </c>
      <c r="T132" s="36">
        <v>0.98235294117646998</v>
      </c>
      <c r="U132" s="36"/>
      <c r="V132" s="13"/>
      <c r="W132" s="13"/>
      <c r="X132" s="13"/>
      <c r="Y132" s="13"/>
      <c r="Z132" s="13"/>
      <c r="AA132" s="13">
        <f t="shared" si="9"/>
        <v>27.955507640894496</v>
      </c>
      <c r="AB132" s="26">
        <v>0.22539028655643301</v>
      </c>
      <c r="AC132" s="34">
        <v>651</v>
      </c>
      <c r="AD132" s="34">
        <v>159</v>
      </c>
      <c r="AE132" s="34">
        <v>37</v>
      </c>
      <c r="AF132" s="34">
        <v>38</v>
      </c>
      <c r="AG132" s="34">
        <v>0.16286893726035992</v>
      </c>
      <c r="AI132" s="35">
        <v>129</v>
      </c>
      <c r="AJ132" s="35">
        <v>6</v>
      </c>
      <c r="AK132" s="17">
        <v>7.1610848130000004</v>
      </c>
      <c r="AM132" s="35">
        <v>31.290964824120501</v>
      </c>
      <c r="AN132" s="35">
        <v>0.98382352941176399</v>
      </c>
      <c r="AV132" s="13">
        <f t="shared" ref="AV132:AV195" si="10">((AK132/AJ132)-1)*100</f>
        <v>19.351413550000007</v>
      </c>
      <c r="AW132" s="35">
        <v>0.111840973128371</v>
      </c>
      <c r="AX132" s="35">
        <v>594</v>
      </c>
      <c r="AY132" s="35">
        <v>161</v>
      </c>
      <c r="AZ132" s="35">
        <v>37</v>
      </c>
      <c r="BA132" s="35">
        <v>44</v>
      </c>
      <c r="BB132" s="35">
        <v>0.66240247498544857</v>
      </c>
      <c r="BD132" s="35">
        <v>129</v>
      </c>
      <c r="BE132" s="35">
        <v>6</v>
      </c>
      <c r="BF132" s="17">
        <v>4.0591317070644397</v>
      </c>
      <c r="BH132" s="35">
        <v>32.128524999999897</v>
      </c>
      <c r="BI132" s="35">
        <v>0.98382352941176399</v>
      </c>
      <c r="BQ132" s="13">
        <f t="shared" ref="BQ132:BQ195" si="11">((BF132/BE132)-1)*100</f>
        <v>-32.347804882259332</v>
      </c>
      <c r="BR132" s="35">
        <v>0.109202373161829</v>
      </c>
      <c r="BS132" s="35">
        <v>1680</v>
      </c>
      <c r="BT132" s="35">
        <v>98</v>
      </c>
      <c r="BU132" s="35">
        <v>24</v>
      </c>
      <c r="BV132" s="35">
        <v>29</v>
      </c>
      <c r="BW132" s="35">
        <v>0.60102016779943879</v>
      </c>
    </row>
    <row r="133" spans="1:75">
      <c r="A133" s="13">
        <v>130</v>
      </c>
      <c r="B133" s="13">
        <v>158</v>
      </c>
      <c r="C133" s="17">
        <v>153.6463066</v>
      </c>
      <c r="D133" s="13"/>
      <c r="E133" s="36">
        <v>48.6865517095477</v>
      </c>
      <c r="F133" s="36">
        <v>0.94852941176470495</v>
      </c>
      <c r="G133" s="36"/>
      <c r="H133" s="13"/>
      <c r="I133" s="13"/>
      <c r="J133" s="13"/>
      <c r="K133" s="13"/>
      <c r="L133" s="13"/>
      <c r="M133" s="13">
        <f t="shared" si="8"/>
        <v>-2.7555021518987366</v>
      </c>
      <c r="N133" s="13"/>
      <c r="O133" s="13">
        <v>130</v>
      </c>
      <c r="P133" s="13">
        <v>158</v>
      </c>
      <c r="Q133" s="17">
        <v>160.46808899999999</v>
      </c>
      <c r="R133" s="13"/>
      <c r="S133" s="36">
        <v>37.709403198994899</v>
      </c>
      <c r="T133" s="36">
        <v>0.98382352941176399</v>
      </c>
      <c r="U133" s="36"/>
      <c r="V133" s="13"/>
      <c r="W133" s="13"/>
      <c r="X133" s="13"/>
      <c r="Y133" s="13"/>
      <c r="Z133" s="13"/>
      <c r="AA133" s="13">
        <f t="shared" si="9"/>
        <v>1.5620816455696129</v>
      </c>
      <c r="AB133" s="26">
        <v>0.22539028655643301</v>
      </c>
      <c r="AC133" s="34">
        <v>739</v>
      </c>
      <c r="AD133" s="34">
        <v>157</v>
      </c>
      <c r="AE133" s="34">
        <v>37</v>
      </c>
      <c r="AF133" s="34">
        <v>26</v>
      </c>
      <c r="AG133" s="34">
        <v>0.45857850679741941</v>
      </c>
      <c r="AI133" s="35">
        <v>130</v>
      </c>
      <c r="AJ133" s="35">
        <v>158</v>
      </c>
      <c r="AK133" s="17">
        <v>158.3970286</v>
      </c>
      <c r="AM133" s="35">
        <v>31.549567839195898</v>
      </c>
      <c r="AN133" s="35">
        <v>0.98529411764705799</v>
      </c>
      <c r="AV133" s="13">
        <f t="shared" si="10"/>
        <v>0.25128392405062705</v>
      </c>
      <c r="AW133" s="35">
        <v>9.8611067185032403E-2</v>
      </c>
      <c r="AX133" s="35">
        <v>1983</v>
      </c>
      <c r="AY133" s="35">
        <v>156</v>
      </c>
      <c r="AZ133" s="35">
        <v>22</v>
      </c>
      <c r="BA133" s="35">
        <v>36</v>
      </c>
      <c r="BB133" s="35">
        <v>0.22734185110274141</v>
      </c>
      <c r="BD133" s="35">
        <v>130</v>
      </c>
      <c r="BE133" s="35">
        <v>158</v>
      </c>
      <c r="BF133" s="17">
        <v>160.3170973</v>
      </c>
      <c r="BH133" s="35">
        <v>32.394049999999901</v>
      </c>
      <c r="BI133" s="35">
        <v>0.98382352941176399</v>
      </c>
      <c r="BQ133" s="13">
        <f t="shared" si="11"/>
        <v>1.4665172784810165</v>
      </c>
      <c r="BR133" s="35">
        <v>0.109202373161829</v>
      </c>
      <c r="BS133" s="35">
        <v>376</v>
      </c>
      <c r="BT133" s="35">
        <v>138</v>
      </c>
      <c r="BU133" s="35">
        <v>26</v>
      </c>
      <c r="BV133" s="35">
        <v>5</v>
      </c>
      <c r="BW133" s="35">
        <v>0.7394020203905034</v>
      </c>
    </row>
    <row r="134" spans="1:75">
      <c r="A134" s="13">
        <v>131</v>
      </c>
      <c r="B134" s="13">
        <v>109</v>
      </c>
      <c r="C134" s="17">
        <v>116.8229822</v>
      </c>
      <c r="D134" s="13"/>
      <c r="E134" s="36">
        <v>49.085621805527602</v>
      </c>
      <c r="F134" s="36">
        <v>0.95</v>
      </c>
      <c r="G134" s="36"/>
      <c r="H134" s="13"/>
      <c r="I134" s="13"/>
      <c r="J134" s="13"/>
      <c r="K134" s="13"/>
      <c r="L134" s="13"/>
      <c r="M134" s="13">
        <f t="shared" si="8"/>
        <v>7.1770478899082502</v>
      </c>
      <c r="N134" s="13"/>
      <c r="O134" s="13">
        <v>131</v>
      </c>
      <c r="P134" s="13">
        <v>109</v>
      </c>
      <c r="Q134" s="17">
        <v>115.3069016</v>
      </c>
      <c r="R134" s="13"/>
      <c r="S134" s="36">
        <v>38.018496667839102</v>
      </c>
      <c r="T134" s="36">
        <v>0.98382352941176399</v>
      </c>
      <c r="U134" s="36"/>
      <c r="V134" s="13"/>
      <c r="W134" s="13"/>
      <c r="X134" s="13"/>
      <c r="Y134" s="13"/>
      <c r="Z134" s="13"/>
      <c r="AA134" s="13">
        <f t="shared" si="9"/>
        <v>5.7861482568807299</v>
      </c>
      <c r="AB134" s="26">
        <v>0.22539028655643301</v>
      </c>
      <c r="AC134" s="34">
        <v>165</v>
      </c>
      <c r="AD134" s="34">
        <v>191</v>
      </c>
      <c r="AE134" s="34">
        <v>14</v>
      </c>
      <c r="AF134" s="34">
        <v>39</v>
      </c>
      <c r="AG134" s="34">
        <v>0.39459962001845339</v>
      </c>
      <c r="AI134" s="35">
        <v>131</v>
      </c>
      <c r="AJ134" s="35">
        <v>109</v>
      </c>
      <c r="AK134" s="17">
        <v>109.2417671</v>
      </c>
      <c r="AM134" s="35">
        <v>31.8081708542713</v>
      </c>
      <c r="AN134" s="35">
        <v>0.98529411764705799</v>
      </c>
      <c r="AV134" s="13">
        <f t="shared" si="10"/>
        <v>0.22180467889909572</v>
      </c>
      <c r="AW134" s="35">
        <v>9.8611067185032403E-2</v>
      </c>
      <c r="AX134" s="35">
        <v>380</v>
      </c>
      <c r="AY134" s="35">
        <v>194</v>
      </c>
      <c r="AZ134" s="35">
        <v>39</v>
      </c>
      <c r="BA134" s="35">
        <v>28</v>
      </c>
      <c r="BB134" s="35">
        <v>0.85792870007455857</v>
      </c>
      <c r="BD134" s="35">
        <v>131</v>
      </c>
      <c r="BE134" s="35">
        <v>109</v>
      </c>
      <c r="BF134" s="17">
        <v>111.04292150000001</v>
      </c>
      <c r="BH134" s="35">
        <v>32.659574999999997</v>
      </c>
      <c r="BI134" s="35">
        <v>0.98529411764705799</v>
      </c>
      <c r="BQ134" s="13">
        <f t="shared" si="11"/>
        <v>1.8742399082568806</v>
      </c>
      <c r="BR134" s="35">
        <v>0.109202373161829</v>
      </c>
      <c r="BS134" s="35">
        <v>917</v>
      </c>
      <c r="BT134" s="35">
        <v>18</v>
      </c>
      <c r="BU134" s="35">
        <v>3</v>
      </c>
      <c r="BV134" s="35">
        <v>42</v>
      </c>
      <c r="BW134" s="35">
        <v>0.12324015345908551</v>
      </c>
    </row>
    <row r="135" spans="1:75">
      <c r="A135" s="13">
        <v>132</v>
      </c>
      <c r="B135" s="13">
        <v>137</v>
      </c>
      <c r="C135" s="17">
        <v>134.1977143</v>
      </c>
      <c r="D135" s="13"/>
      <c r="E135" s="36">
        <v>49.484691901507503</v>
      </c>
      <c r="F135" s="36">
        <v>0.95</v>
      </c>
      <c r="G135" s="36"/>
      <c r="H135" s="13"/>
      <c r="I135" s="13"/>
      <c r="J135" s="13"/>
      <c r="K135" s="13"/>
      <c r="L135" s="13"/>
      <c r="M135" s="13">
        <f t="shared" si="8"/>
        <v>-2.0454640145985414</v>
      </c>
      <c r="N135" s="13"/>
      <c r="O135" s="13">
        <v>132</v>
      </c>
      <c r="P135" s="13">
        <v>137</v>
      </c>
      <c r="Q135" s="17">
        <v>137.88881259999999</v>
      </c>
      <c r="R135" s="13"/>
      <c r="S135" s="36">
        <v>38.327590136683398</v>
      </c>
      <c r="T135" s="36">
        <v>0.98382352941176399</v>
      </c>
      <c r="U135" s="36"/>
      <c r="V135" s="13"/>
      <c r="W135" s="13"/>
      <c r="X135" s="13"/>
      <c r="Y135" s="13"/>
      <c r="Z135" s="13"/>
      <c r="AA135" s="13">
        <f t="shared" si="9"/>
        <v>0.64876832116786964</v>
      </c>
      <c r="AB135" s="26">
        <v>0.22539028655643301</v>
      </c>
      <c r="AC135" s="34">
        <v>1815</v>
      </c>
      <c r="AD135" s="34">
        <v>73</v>
      </c>
      <c r="AE135" s="34">
        <v>9</v>
      </c>
      <c r="AF135" s="34">
        <v>41</v>
      </c>
      <c r="AG135" s="34">
        <v>0.83115620472297025</v>
      </c>
      <c r="AI135" s="35">
        <v>132</v>
      </c>
      <c r="AJ135" s="35">
        <v>137</v>
      </c>
      <c r="AK135" s="17">
        <v>137.30290769999999</v>
      </c>
      <c r="AM135" s="35">
        <v>32.066773869346697</v>
      </c>
      <c r="AN135" s="35">
        <v>0.98529411764705799</v>
      </c>
      <c r="AV135" s="13">
        <f t="shared" si="10"/>
        <v>0.22110051094890171</v>
      </c>
      <c r="AW135" s="35">
        <v>9.7271150567335707E-2</v>
      </c>
      <c r="AX135" s="35">
        <v>218</v>
      </c>
      <c r="AY135" s="35">
        <v>94</v>
      </c>
      <c r="AZ135" s="35">
        <v>39</v>
      </c>
      <c r="BA135" s="35">
        <v>15</v>
      </c>
      <c r="BB135" s="35">
        <v>0.1833633617804161</v>
      </c>
      <c r="BD135" s="35">
        <v>132</v>
      </c>
      <c r="BE135" s="35">
        <v>137</v>
      </c>
      <c r="BF135" s="17">
        <v>137.06015410000001</v>
      </c>
      <c r="BH135" s="35">
        <v>32.925099999999901</v>
      </c>
      <c r="BI135" s="35">
        <v>0.98529411764705799</v>
      </c>
      <c r="BQ135" s="13">
        <f t="shared" si="11"/>
        <v>4.3908102189793574E-2</v>
      </c>
      <c r="BR135" s="35">
        <v>0.109202373161829</v>
      </c>
      <c r="BS135" s="35">
        <v>654</v>
      </c>
      <c r="BT135" s="35">
        <v>88</v>
      </c>
      <c r="BU135" s="35">
        <v>36</v>
      </c>
      <c r="BV135" s="35">
        <v>3</v>
      </c>
      <c r="BW135" s="35">
        <v>0.88366919921516696</v>
      </c>
    </row>
    <row r="136" spans="1:75">
      <c r="A136" s="13">
        <v>133</v>
      </c>
      <c r="B136" s="13">
        <v>168</v>
      </c>
      <c r="C136" s="17">
        <v>146.90513490000001</v>
      </c>
      <c r="D136" s="13"/>
      <c r="E136" s="36">
        <v>49.883761997487397</v>
      </c>
      <c r="F136" s="36">
        <v>0.95147058823529396</v>
      </c>
      <c r="G136" s="36"/>
      <c r="H136" s="13"/>
      <c r="I136" s="13"/>
      <c r="J136" s="13"/>
      <c r="K136" s="13"/>
      <c r="L136" s="13"/>
      <c r="M136" s="13">
        <f t="shared" si="8"/>
        <v>-12.556467321428567</v>
      </c>
      <c r="N136" s="13"/>
      <c r="O136" s="13">
        <v>133</v>
      </c>
      <c r="P136" s="13">
        <v>168</v>
      </c>
      <c r="Q136" s="17">
        <v>159.08265109999999</v>
      </c>
      <c r="R136" s="13"/>
      <c r="S136" s="36">
        <v>38.636683605527601</v>
      </c>
      <c r="T136" s="36">
        <v>0.98382352941176399</v>
      </c>
      <c r="U136" s="36"/>
      <c r="V136" s="13"/>
      <c r="W136" s="13"/>
      <c r="X136" s="13"/>
      <c r="Y136" s="13"/>
      <c r="Z136" s="13"/>
      <c r="AA136" s="13">
        <f t="shared" si="9"/>
        <v>-5.3079457738095304</v>
      </c>
      <c r="AB136" s="26">
        <v>0.22539028655643301</v>
      </c>
      <c r="AC136" s="34">
        <v>1246</v>
      </c>
      <c r="AD136" s="34">
        <v>116</v>
      </c>
      <c r="AE136" s="34">
        <v>49</v>
      </c>
      <c r="AF136" s="34">
        <v>35</v>
      </c>
      <c r="AG136" s="34">
        <v>0.48815009302294132</v>
      </c>
      <c r="AI136" s="35">
        <v>133</v>
      </c>
      <c r="AJ136" s="35">
        <v>168</v>
      </c>
      <c r="AK136" s="17">
        <v>167.55220779999999</v>
      </c>
      <c r="AM136" s="35">
        <v>32.325376884422099</v>
      </c>
      <c r="AN136" s="35">
        <v>0.98529411764705799</v>
      </c>
      <c r="AV136" s="13">
        <f t="shared" si="10"/>
        <v>-0.26654297619048695</v>
      </c>
      <c r="AW136" s="35">
        <v>9.7271150567335707E-2</v>
      </c>
      <c r="AX136" s="35">
        <v>1200</v>
      </c>
      <c r="AY136" s="35">
        <v>156</v>
      </c>
      <c r="AZ136" s="35">
        <v>30</v>
      </c>
      <c r="BA136" s="35">
        <v>16</v>
      </c>
      <c r="BB136" s="35">
        <v>0.58582697049010102</v>
      </c>
      <c r="BD136" s="35">
        <v>133</v>
      </c>
      <c r="BE136" s="35">
        <v>168</v>
      </c>
      <c r="BF136" s="17">
        <v>165.60374179999999</v>
      </c>
      <c r="BH136" s="35">
        <v>33.190624999999997</v>
      </c>
      <c r="BI136" s="35">
        <v>0.98529411764705799</v>
      </c>
      <c r="BQ136" s="13">
        <f t="shared" si="11"/>
        <v>-1.426344166666671</v>
      </c>
      <c r="BR136" s="35">
        <v>0.109202373161829</v>
      </c>
      <c r="BS136" s="35">
        <v>921</v>
      </c>
      <c r="BT136" s="35">
        <v>11</v>
      </c>
      <c r="BU136" s="35">
        <v>2</v>
      </c>
      <c r="BV136" s="35">
        <v>46</v>
      </c>
      <c r="BW136" s="35">
        <v>0.35267407707340248</v>
      </c>
    </row>
    <row r="137" spans="1:75">
      <c r="A137" s="13">
        <v>134</v>
      </c>
      <c r="B137" s="13">
        <v>1</v>
      </c>
      <c r="C137" s="17">
        <v>0.95892559465261795</v>
      </c>
      <c r="D137" s="13"/>
      <c r="E137" s="36">
        <v>50.282832093467299</v>
      </c>
      <c r="F137" s="36">
        <v>0.95294117647058796</v>
      </c>
      <c r="G137" s="36"/>
      <c r="H137" s="13"/>
      <c r="I137" s="13"/>
      <c r="J137" s="13"/>
      <c r="K137" s="13"/>
      <c r="L137" s="13"/>
      <c r="M137" s="13">
        <f t="shared" si="8"/>
        <v>-4.1074405347382044</v>
      </c>
      <c r="N137" s="13"/>
      <c r="O137" s="13">
        <v>134</v>
      </c>
      <c r="P137" s="13">
        <v>1</v>
      </c>
      <c r="Q137" s="17">
        <v>1.23598152805519</v>
      </c>
      <c r="R137" s="13"/>
      <c r="S137" s="36">
        <v>38.945777074371797</v>
      </c>
      <c r="T137" s="36">
        <v>0.98382352941176399</v>
      </c>
      <c r="U137" s="36"/>
      <c r="V137" s="13"/>
      <c r="W137" s="13"/>
      <c r="X137" s="13"/>
      <c r="Y137" s="13"/>
      <c r="Z137" s="13"/>
      <c r="AA137" s="13">
        <f t="shared" si="9"/>
        <v>23.598152805519</v>
      </c>
      <c r="AB137" s="26">
        <v>0.22539028655643301</v>
      </c>
      <c r="AC137" s="34">
        <v>1315</v>
      </c>
      <c r="AD137" s="34">
        <v>102</v>
      </c>
      <c r="AE137" s="34">
        <v>33</v>
      </c>
      <c r="AF137" s="34">
        <v>29</v>
      </c>
      <c r="AG137" s="34">
        <v>0.5731770885605586</v>
      </c>
      <c r="AI137" s="35">
        <v>134</v>
      </c>
      <c r="AJ137" s="35">
        <v>1</v>
      </c>
      <c r="AK137" s="17">
        <v>1.100603175</v>
      </c>
      <c r="AM137" s="35">
        <v>32.5839798994974</v>
      </c>
      <c r="AN137" s="35">
        <v>0.98529411764705799</v>
      </c>
      <c r="AV137" s="13">
        <f t="shared" si="10"/>
        <v>10.060317500000004</v>
      </c>
      <c r="AW137" s="35">
        <v>9.7271150567335707E-2</v>
      </c>
      <c r="AX137" s="35">
        <v>1084</v>
      </c>
      <c r="AY137" s="35">
        <v>87</v>
      </c>
      <c r="AZ137" s="35">
        <v>38</v>
      </c>
      <c r="BA137" s="35">
        <v>14</v>
      </c>
      <c r="BB137" s="35">
        <v>0.33915501602214243</v>
      </c>
      <c r="BD137" s="35">
        <v>134</v>
      </c>
      <c r="BE137" s="35">
        <v>1</v>
      </c>
      <c r="BF137" s="17">
        <v>1.04861831429088</v>
      </c>
      <c r="BH137" s="35">
        <v>33.456149999999901</v>
      </c>
      <c r="BI137" s="35">
        <v>0.98529411764705799</v>
      </c>
      <c r="BQ137" s="13">
        <f t="shared" si="11"/>
        <v>4.8618314290880038</v>
      </c>
      <c r="BR137" s="35">
        <v>0.106708156115687</v>
      </c>
      <c r="BS137" s="35">
        <v>115</v>
      </c>
      <c r="BT137" s="35">
        <v>184</v>
      </c>
      <c r="BU137" s="35">
        <v>18</v>
      </c>
      <c r="BV137" s="35">
        <v>48</v>
      </c>
      <c r="BW137" s="35">
        <v>0.33123067519585525</v>
      </c>
    </row>
    <row r="138" spans="1:75">
      <c r="A138" s="13">
        <v>135</v>
      </c>
      <c r="B138" s="13">
        <v>110</v>
      </c>
      <c r="C138" s="17">
        <v>94.417617969999995</v>
      </c>
      <c r="D138" s="13"/>
      <c r="E138" s="36">
        <v>50.6819021894472</v>
      </c>
      <c r="F138" s="36">
        <v>0.95441176470588196</v>
      </c>
      <c r="G138" s="36"/>
      <c r="H138" s="13"/>
      <c r="I138" s="13"/>
      <c r="J138" s="13"/>
      <c r="K138" s="13"/>
      <c r="L138" s="13"/>
      <c r="M138" s="13">
        <f t="shared" si="8"/>
        <v>-14.165801845454551</v>
      </c>
      <c r="N138" s="13"/>
      <c r="O138" s="13">
        <v>135</v>
      </c>
      <c r="P138" s="13">
        <v>110</v>
      </c>
      <c r="Q138" s="17">
        <v>96.778497209999998</v>
      </c>
      <c r="R138" s="13"/>
      <c r="S138" s="36">
        <v>39.254870543216001</v>
      </c>
      <c r="T138" s="36">
        <v>0.98382352941176399</v>
      </c>
      <c r="U138" s="36"/>
      <c r="V138" s="13"/>
      <c r="W138" s="13"/>
      <c r="X138" s="13"/>
      <c r="Y138" s="13"/>
      <c r="Z138" s="13"/>
      <c r="AA138" s="13">
        <f t="shared" si="9"/>
        <v>-12.019547990909096</v>
      </c>
      <c r="AB138" s="26">
        <v>0.22539028655643301</v>
      </c>
      <c r="AC138" s="34">
        <v>651</v>
      </c>
      <c r="AD138" s="34">
        <v>175</v>
      </c>
      <c r="AE138" s="34">
        <v>22</v>
      </c>
      <c r="AF138" s="34">
        <v>43</v>
      </c>
      <c r="AG138" s="34">
        <v>0.52736680419598314</v>
      </c>
      <c r="AI138" s="35">
        <v>135</v>
      </c>
      <c r="AJ138" s="35">
        <v>110</v>
      </c>
      <c r="AK138" s="17">
        <v>109.0641839</v>
      </c>
      <c r="AM138" s="35">
        <v>32.842582914572802</v>
      </c>
      <c r="AN138" s="35">
        <v>0.98529411764705799</v>
      </c>
      <c r="AV138" s="13">
        <f t="shared" si="10"/>
        <v>-0.85074190909090186</v>
      </c>
      <c r="AW138" s="35">
        <v>9.7271150567335707E-2</v>
      </c>
      <c r="AX138" s="35">
        <v>1284</v>
      </c>
      <c r="AY138" s="35">
        <v>62</v>
      </c>
      <c r="AZ138" s="35">
        <v>43</v>
      </c>
      <c r="BA138" s="35">
        <v>38</v>
      </c>
      <c r="BB138" s="35">
        <v>0.93628716792586963</v>
      </c>
      <c r="BD138" s="35">
        <v>135</v>
      </c>
      <c r="BE138" s="35">
        <v>110</v>
      </c>
      <c r="BF138" s="17">
        <v>105.5918842</v>
      </c>
      <c r="BH138" s="35">
        <v>33.721674999999998</v>
      </c>
      <c r="BI138" s="35">
        <v>0.98529411764705799</v>
      </c>
      <c r="BQ138" s="13">
        <f t="shared" si="11"/>
        <v>-4.0073780000000063</v>
      </c>
      <c r="BR138" s="35">
        <v>0.106708156115687</v>
      </c>
      <c r="BS138" s="35">
        <v>1325</v>
      </c>
      <c r="BT138" s="35">
        <v>88</v>
      </c>
      <c r="BU138" s="35">
        <v>4</v>
      </c>
      <c r="BV138" s="35">
        <v>34</v>
      </c>
      <c r="BW138" s="35">
        <v>0.37433249029399052</v>
      </c>
    </row>
    <row r="139" spans="1:75">
      <c r="A139" s="13">
        <v>136</v>
      </c>
      <c r="B139" s="13">
        <v>1</v>
      </c>
      <c r="C139" s="17">
        <v>0.74385221936552004</v>
      </c>
      <c r="D139" s="13"/>
      <c r="E139" s="36">
        <v>51.080972285427102</v>
      </c>
      <c r="F139" s="36">
        <v>0.95588235294117596</v>
      </c>
      <c r="G139" s="36"/>
      <c r="H139" s="13"/>
      <c r="I139" s="13"/>
      <c r="J139" s="13"/>
      <c r="K139" s="13"/>
      <c r="L139" s="13"/>
      <c r="M139" s="13">
        <f t="shared" si="8"/>
        <v>-25.614778063447996</v>
      </c>
      <c r="N139" s="13"/>
      <c r="O139" s="13">
        <v>136</v>
      </c>
      <c r="P139" s="13">
        <v>1</v>
      </c>
      <c r="Q139" s="17">
        <v>1.6045017217197199</v>
      </c>
      <c r="R139" s="13"/>
      <c r="S139" s="36">
        <v>39.563964012060197</v>
      </c>
      <c r="T139" s="36">
        <v>0.98529411764705799</v>
      </c>
      <c r="U139" s="36"/>
      <c r="V139" s="13"/>
      <c r="W139" s="13"/>
      <c r="X139" s="13"/>
      <c r="Y139" s="13"/>
      <c r="Z139" s="13"/>
      <c r="AA139" s="13">
        <f t="shared" si="9"/>
        <v>60.450172171971992</v>
      </c>
      <c r="AB139" s="26">
        <v>0.22539028655643301</v>
      </c>
      <c r="AC139" s="34">
        <v>1811</v>
      </c>
      <c r="AD139" s="34">
        <v>160</v>
      </c>
      <c r="AE139" s="34">
        <v>4</v>
      </c>
      <c r="AF139" s="34">
        <v>37</v>
      </c>
      <c r="AG139" s="34">
        <v>0.33727520131656991</v>
      </c>
      <c r="AI139" s="35">
        <v>136</v>
      </c>
      <c r="AJ139" s="35">
        <v>1</v>
      </c>
      <c r="AK139" s="17">
        <v>0.98013351865378895</v>
      </c>
      <c r="AM139" s="35">
        <v>33.101185929648203</v>
      </c>
      <c r="AN139" s="35">
        <v>0.98529411764705799</v>
      </c>
      <c r="AV139" s="13">
        <f t="shared" si="10"/>
        <v>-1.9866481346211051</v>
      </c>
      <c r="AW139" s="35">
        <v>9.7271150567335707E-2</v>
      </c>
      <c r="AX139" s="35">
        <v>175</v>
      </c>
      <c r="AY139" s="35">
        <v>62</v>
      </c>
      <c r="AZ139" s="35">
        <v>47</v>
      </c>
      <c r="BA139" s="35">
        <v>18</v>
      </c>
      <c r="BB139" s="35">
        <v>0.76709913408097008</v>
      </c>
      <c r="BD139" s="35">
        <v>136</v>
      </c>
      <c r="BE139" s="35">
        <v>1</v>
      </c>
      <c r="BF139" s="17">
        <v>1.06972189144473</v>
      </c>
      <c r="BH139" s="35">
        <v>33.987199999999902</v>
      </c>
      <c r="BI139" s="35">
        <v>0.98529411764705799</v>
      </c>
      <c r="BQ139" s="13">
        <f t="shared" si="11"/>
        <v>6.9721891444729955</v>
      </c>
      <c r="BR139" s="35">
        <v>0.106708156115687</v>
      </c>
      <c r="BS139" s="35">
        <v>1184</v>
      </c>
      <c r="BT139" s="35">
        <v>52</v>
      </c>
      <c r="BU139" s="35">
        <v>29</v>
      </c>
      <c r="BV139" s="35">
        <v>49</v>
      </c>
      <c r="BW139" s="35">
        <v>0.73687983094953313</v>
      </c>
    </row>
    <row r="140" spans="1:75">
      <c r="A140" s="13">
        <v>137</v>
      </c>
      <c r="B140" s="13">
        <v>231</v>
      </c>
      <c r="C140" s="17">
        <v>173.3493637</v>
      </c>
      <c r="D140" s="13"/>
      <c r="E140" s="36">
        <v>51.480042381407003</v>
      </c>
      <c r="F140" s="36">
        <v>0.95735294117646996</v>
      </c>
      <c r="G140" s="36"/>
      <c r="H140" s="13"/>
      <c r="I140" s="13"/>
      <c r="J140" s="13"/>
      <c r="K140" s="13"/>
      <c r="L140" s="13"/>
      <c r="M140" s="13">
        <f t="shared" si="8"/>
        <v>-24.956985411255417</v>
      </c>
      <c r="N140" s="13"/>
      <c r="O140" s="13">
        <v>137</v>
      </c>
      <c r="P140" s="13">
        <v>231</v>
      </c>
      <c r="Q140" s="17">
        <v>198.33255059999999</v>
      </c>
      <c r="R140" s="13"/>
      <c r="S140" s="36">
        <v>39.8730574809045</v>
      </c>
      <c r="T140" s="36">
        <v>0.98529411764705799</v>
      </c>
      <c r="U140" s="36"/>
      <c r="V140" s="13"/>
      <c r="W140" s="13"/>
      <c r="X140" s="13"/>
      <c r="Y140" s="13"/>
      <c r="Z140" s="13"/>
      <c r="AA140" s="13">
        <f t="shared" si="9"/>
        <v>-14.141752987012989</v>
      </c>
      <c r="AB140" s="26">
        <v>0.22539028655643301</v>
      </c>
      <c r="AC140" s="34">
        <v>174</v>
      </c>
      <c r="AD140" s="34">
        <v>167</v>
      </c>
      <c r="AE140" s="34">
        <v>24</v>
      </c>
      <c r="AF140" s="34">
        <v>37</v>
      </c>
      <c r="AG140" s="34">
        <v>0.44350291248244833</v>
      </c>
      <c r="AI140" s="35">
        <v>137</v>
      </c>
      <c r="AJ140" s="35">
        <v>231</v>
      </c>
      <c r="AK140" s="17">
        <v>230.40756669999999</v>
      </c>
      <c r="AM140" s="35">
        <v>33.359788944723597</v>
      </c>
      <c r="AN140" s="35">
        <v>0.98529411764705799</v>
      </c>
      <c r="AV140" s="13">
        <f t="shared" si="10"/>
        <v>-0.25646463203463643</v>
      </c>
      <c r="AW140" s="35">
        <v>9.7271150567335707E-2</v>
      </c>
      <c r="AX140" s="35">
        <v>470</v>
      </c>
      <c r="AY140" s="35">
        <v>43</v>
      </c>
      <c r="AZ140" s="35">
        <v>45</v>
      </c>
      <c r="BA140" s="35">
        <v>15</v>
      </c>
      <c r="BB140" s="35">
        <v>0.96743455349658747</v>
      </c>
      <c r="BD140" s="35">
        <v>137</v>
      </c>
      <c r="BE140" s="35">
        <v>231</v>
      </c>
      <c r="BF140" s="17">
        <v>227.65869230000001</v>
      </c>
      <c r="BH140" s="35">
        <v>34.252724999999899</v>
      </c>
      <c r="BI140" s="35">
        <v>0.98529411764705799</v>
      </c>
      <c r="BQ140" s="13">
        <f t="shared" si="11"/>
        <v>-1.446453549783544</v>
      </c>
      <c r="BR140" s="35">
        <v>0.106708156115687</v>
      </c>
      <c r="BS140" s="35">
        <v>701</v>
      </c>
      <c r="BT140" s="35">
        <v>100</v>
      </c>
      <c r="BU140" s="35">
        <v>30</v>
      </c>
      <c r="BV140" s="35">
        <v>24</v>
      </c>
      <c r="BW140" s="35">
        <v>0.8718283301380817</v>
      </c>
    </row>
    <row r="141" spans="1:75">
      <c r="A141" s="13">
        <v>138</v>
      </c>
      <c r="B141" s="13">
        <v>6</v>
      </c>
      <c r="C141" s="17">
        <v>5.4753916540952696</v>
      </c>
      <c r="D141" s="13"/>
      <c r="E141" s="36">
        <v>51.879112477386897</v>
      </c>
      <c r="F141" s="36">
        <v>0.95735294117646996</v>
      </c>
      <c r="G141" s="36"/>
      <c r="H141" s="13"/>
      <c r="I141" s="13"/>
      <c r="J141" s="13"/>
      <c r="K141" s="13"/>
      <c r="L141" s="13"/>
      <c r="M141" s="13">
        <f t="shared" si="8"/>
        <v>-8.7434724317455021</v>
      </c>
      <c r="N141" s="13"/>
      <c r="O141" s="13">
        <v>138</v>
      </c>
      <c r="P141" s="13">
        <v>6</v>
      </c>
      <c r="Q141" s="17">
        <v>7.2937412407018902</v>
      </c>
      <c r="R141" s="13"/>
      <c r="S141" s="36">
        <v>40.182150949748703</v>
      </c>
      <c r="T141" s="36">
        <v>0.98529411764705799</v>
      </c>
      <c r="U141" s="36"/>
      <c r="V141" s="13"/>
      <c r="W141" s="13"/>
      <c r="X141" s="13"/>
      <c r="Y141" s="13"/>
      <c r="Z141" s="13"/>
      <c r="AA141" s="13">
        <f t="shared" si="9"/>
        <v>21.562354011698169</v>
      </c>
      <c r="AB141" s="26">
        <v>0.22539028655643301</v>
      </c>
      <c r="AC141" s="34">
        <v>373</v>
      </c>
      <c r="AD141" s="34">
        <v>179</v>
      </c>
      <c r="AE141" s="34">
        <v>13</v>
      </c>
      <c r="AF141" s="34">
        <v>30</v>
      </c>
      <c r="AG141" s="34">
        <v>0.73399595111380567</v>
      </c>
      <c r="AI141" s="35">
        <v>138</v>
      </c>
      <c r="AJ141" s="35">
        <v>6</v>
      </c>
      <c r="AK141" s="17">
        <v>6.016</v>
      </c>
      <c r="AM141" s="35">
        <v>33.618391959798899</v>
      </c>
      <c r="AN141" s="35">
        <v>0.98529411764705799</v>
      </c>
      <c r="AV141" s="13">
        <f t="shared" si="10"/>
        <v>0.2666666666666595</v>
      </c>
      <c r="AW141" s="35">
        <v>9.7271150567335707E-2</v>
      </c>
      <c r="AX141" s="35">
        <v>760</v>
      </c>
      <c r="AY141" s="35">
        <v>188</v>
      </c>
      <c r="AZ141" s="35">
        <v>20</v>
      </c>
      <c r="BA141" s="35">
        <v>35</v>
      </c>
      <c r="BB141" s="35">
        <v>0.68827046699044758</v>
      </c>
      <c r="BD141" s="35">
        <v>138</v>
      </c>
      <c r="BE141" s="35">
        <v>6</v>
      </c>
      <c r="BF141" s="17">
        <v>7.8153321330000001</v>
      </c>
      <c r="BH141" s="35">
        <v>34.518249999999902</v>
      </c>
      <c r="BI141" s="35">
        <v>0.98529411764705799</v>
      </c>
      <c r="BQ141" s="13">
        <f t="shared" si="11"/>
        <v>30.255535550000001</v>
      </c>
      <c r="BR141" s="35">
        <v>0.106708156115687</v>
      </c>
      <c r="BS141" s="35">
        <v>1312</v>
      </c>
      <c r="BT141" s="35">
        <v>130</v>
      </c>
      <c r="BU141" s="35">
        <v>48</v>
      </c>
      <c r="BV141" s="35">
        <v>10</v>
      </c>
      <c r="BW141" s="35">
        <v>0.9093647239955388</v>
      </c>
    </row>
    <row r="142" spans="1:75">
      <c r="A142" s="13">
        <v>139</v>
      </c>
      <c r="B142" s="13">
        <v>201</v>
      </c>
      <c r="C142" s="17">
        <v>169.5561045</v>
      </c>
      <c r="D142" s="13"/>
      <c r="E142" s="36">
        <v>52.278182573366799</v>
      </c>
      <c r="F142" s="36">
        <v>0.95735294117646996</v>
      </c>
      <c r="G142" s="36"/>
      <c r="H142" s="13"/>
      <c r="I142" s="13"/>
      <c r="J142" s="13"/>
      <c r="K142" s="13"/>
      <c r="L142" s="13"/>
      <c r="M142" s="13">
        <f t="shared" si="8"/>
        <v>-15.643729104477611</v>
      </c>
      <c r="N142" s="13"/>
      <c r="O142" s="13">
        <v>139</v>
      </c>
      <c r="P142" s="13">
        <v>201</v>
      </c>
      <c r="Q142" s="17">
        <v>186.67158240000001</v>
      </c>
      <c r="R142" s="13"/>
      <c r="S142" s="36">
        <v>40.491244418592899</v>
      </c>
      <c r="T142" s="36">
        <v>0.98529411764705799</v>
      </c>
      <c r="U142" s="36"/>
      <c r="V142" s="13"/>
      <c r="W142" s="13"/>
      <c r="X142" s="13"/>
      <c r="Y142" s="13"/>
      <c r="Z142" s="13"/>
      <c r="AA142" s="13">
        <f t="shared" si="9"/>
        <v>-7.1285659701492481</v>
      </c>
      <c r="AB142" s="26">
        <v>0.22539028655643301</v>
      </c>
      <c r="AC142" s="34">
        <v>103</v>
      </c>
      <c r="AD142" s="34">
        <v>31</v>
      </c>
      <c r="AE142" s="34">
        <v>19</v>
      </c>
      <c r="AF142" s="34">
        <v>45</v>
      </c>
      <c r="AG142" s="34">
        <v>0.40217289014006496</v>
      </c>
      <c r="AI142" s="35">
        <v>139</v>
      </c>
      <c r="AJ142" s="35">
        <v>201</v>
      </c>
      <c r="AK142" s="17">
        <v>201</v>
      </c>
      <c r="AM142" s="35">
        <v>33.8769949748743</v>
      </c>
      <c r="AN142" s="35">
        <v>0.98529411764705799</v>
      </c>
      <c r="AV142" s="13">
        <f t="shared" si="10"/>
        <v>0</v>
      </c>
      <c r="AW142" s="35">
        <v>9.7271150567335707E-2</v>
      </c>
      <c r="AX142" s="35">
        <v>1909</v>
      </c>
      <c r="AY142" s="35">
        <v>65</v>
      </c>
      <c r="AZ142" s="35">
        <v>16</v>
      </c>
      <c r="BA142" s="35">
        <v>35</v>
      </c>
      <c r="BB142" s="35">
        <v>0.94925159684527827</v>
      </c>
      <c r="BD142" s="35">
        <v>139</v>
      </c>
      <c r="BE142" s="35">
        <v>201</v>
      </c>
      <c r="BF142" s="17">
        <v>200.8089947</v>
      </c>
      <c r="BH142" s="35">
        <v>34.783774999999899</v>
      </c>
      <c r="BI142" s="35">
        <v>0.98529411764705799</v>
      </c>
      <c r="BQ142" s="13">
        <f t="shared" si="11"/>
        <v>-9.5027512437806383E-2</v>
      </c>
      <c r="BR142" s="35">
        <v>0.106708156115687</v>
      </c>
      <c r="BS142" s="35">
        <v>555</v>
      </c>
      <c r="BT142" s="35">
        <v>66</v>
      </c>
      <c r="BU142" s="35">
        <v>35</v>
      </c>
      <c r="BV142" s="35">
        <v>6</v>
      </c>
      <c r="BW142" s="35">
        <v>0.89498222420853335</v>
      </c>
    </row>
    <row r="143" spans="1:75">
      <c r="A143" s="13">
        <v>140</v>
      </c>
      <c r="B143" s="13">
        <v>201</v>
      </c>
      <c r="C143" s="17">
        <v>155.6818001</v>
      </c>
      <c r="D143" s="13"/>
      <c r="E143" s="36">
        <v>52.6772526693467</v>
      </c>
      <c r="F143" s="36">
        <v>0.95882352941176396</v>
      </c>
      <c r="G143" s="36"/>
      <c r="H143" s="13"/>
      <c r="I143" s="13"/>
      <c r="J143" s="13"/>
      <c r="K143" s="13"/>
      <c r="L143" s="13"/>
      <c r="M143" s="13">
        <f t="shared" si="8"/>
        <v>-22.546368109452729</v>
      </c>
      <c r="N143" s="13"/>
      <c r="O143" s="13">
        <v>140</v>
      </c>
      <c r="P143" s="13">
        <v>201</v>
      </c>
      <c r="Q143" s="17">
        <v>175.15286750000001</v>
      </c>
      <c r="R143" s="13"/>
      <c r="S143" s="36">
        <v>40.800337887437102</v>
      </c>
      <c r="T143" s="36">
        <v>0.98529411764705799</v>
      </c>
      <c r="U143" s="36"/>
      <c r="V143" s="13"/>
      <c r="W143" s="13"/>
      <c r="X143" s="13"/>
      <c r="Y143" s="13"/>
      <c r="Z143" s="13"/>
      <c r="AA143" s="13">
        <f t="shared" si="9"/>
        <v>-12.859269900497505</v>
      </c>
      <c r="AB143" s="26">
        <v>0.22539028655643301</v>
      </c>
      <c r="AC143" s="34">
        <v>1603</v>
      </c>
      <c r="AD143" s="34">
        <v>85</v>
      </c>
      <c r="AE143" s="34">
        <v>25</v>
      </c>
      <c r="AF143" s="34">
        <v>43</v>
      </c>
      <c r="AG143" s="34">
        <v>0.41412291741925356</v>
      </c>
      <c r="AI143" s="35">
        <v>140</v>
      </c>
      <c r="AJ143" s="35">
        <v>201</v>
      </c>
      <c r="AK143" s="17">
        <v>200.62414010000001</v>
      </c>
      <c r="AM143" s="35">
        <v>34.135597989949702</v>
      </c>
      <c r="AN143" s="35">
        <v>0.98529411764705799</v>
      </c>
      <c r="AV143" s="13">
        <f t="shared" si="10"/>
        <v>-0.18699497512437713</v>
      </c>
      <c r="AW143" s="35">
        <v>9.1374263509437004E-2</v>
      </c>
      <c r="AX143" s="35">
        <v>474</v>
      </c>
      <c r="AY143" s="35">
        <v>147</v>
      </c>
      <c r="AZ143" s="35">
        <v>10</v>
      </c>
      <c r="BA143" s="35">
        <v>39</v>
      </c>
      <c r="BB143" s="35">
        <v>0.18909718753458121</v>
      </c>
      <c r="BD143" s="35">
        <v>140</v>
      </c>
      <c r="BE143" s="35">
        <v>201</v>
      </c>
      <c r="BF143" s="17">
        <v>195.25500790000001</v>
      </c>
      <c r="BH143" s="35">
        <v>35.049299999999903</v>
      </c>
      <c r="BI143" s="35">
        <v>0.98529411764705799</v>
      </c>
      <c r="BQ143" s="13">
        <f t="shared" si="11"/>
        <v>-2.8582050248756152</v>
      </c>
      <c r="BR143" s="35">
        <v>0.102273611107462</v>
      </c>
      <c r="BS143" s="35">
        <v>1332</v>
      </c>
      <c r="BT143" s="35">
        <v>56</v>
      </c>
      <c r="BU143" s="35">
        <v>16</v>
      </c>
      <c r="BV143" s="35">
        <v>45</v>
      </c>
      <c r="BW143" s="35">
        <v>0.49852754296275292</v>
      </c>
    </row>
    <row r="144" spans="1:75">
      <c r="A144" s="13">
        <v>141</v>
      </c>
      <c r="B144" s="13">
        <v>227</v>
      </c>
      <c r="C144" s="17">
        <v>178.33172490000001</v>
      </c>
      <c r="D144" s="13"/>
      <c r="E144" s="36">
        <v>53.076322765326601</v>
      </c>
      <c r="F144" s="36">
        <v>0.95882352941176396</v>
      </c>
      <c r="G144" s="36"/>
      <c r="H144" s="13"/>
      <c r="I144" s="13"/>
      <c r="J144" s="13"/>
      <c r="K144" s="13"/>
      <c r="L144" s="13"/>
      <c r="M144" s="13">
        <f t="shared" si="8"/>
        <v>-21.439768766519819</v>
      </c>
      <c r="N144" s="13"/>
      <c r="O144" s="13">
        <v>141</v>
      </c>
      <c r="P144" s="13">
        <v>227</v>
      </c>
      <c r="Q144" s="17">
        <v>199.59792200000001</v>
      </c>
      <c r="R144" s="13"/>
      <c r="S144" s="36">
        <v>41.109431356281398</v>
      </c>
      <c r="T144" s="36">
        <v>0.98529411764705799</v>
      </c>
      <c r="U144" s="36"/>
      <c r="V144" s="13"/>
      <c r="W144" s="13"/>
      <c r="X144" s="13"/>
      <c r="Y144" s="13"/>
      <c r="Z144" s="13"/>
      <c r="AA144" s="13">
        <f t="shared" si="9"/>
        <v>-12.071399999999999</v>
      </c>
      <c r="AB144" s="26">
        <v>0.22539028655643301</v>
      </c>
      <c r="AC144" s="34">
        <v>70</v>
      </c>
      <c r="AD144" s="34">
        <v>141</v>
      </c>
      <c r="AE144" s="34">
        <v>47</v>
      </c>
      <c r="AF144" s="34">
        <v>1</v>
      </c>
      <c r="AG144" s="34">
        <v>0.45729586441908321</v>
      </c>
      <c r="AI144" s="35">
        <v>141</v>
      </c>
      <c r="AJ144" s="35">
        <v>227</v>
      </c>
      <c r="AK144" s="17">
        <v>223.88967959999999</v>
      </c>
      <c r="AM144" s="35">
        <v>34.394201005025103</v>
      </c>
      <c r="AN144" s="35">
        <v>0.98529411764705799</v>
      </c>
      <c r="AV144" s="13">
        <f t="shared" si="10"/>
        <v>-1.3701851982378832</v>
      </c>
      <c r="AW144" s="35">
        <v>9.1374263509437004E-2</v>
      </c>
      <c r="AX144" s="35">
        <v>1734</v>
      </c>
      <c r="AY144" s="35">
        <v>64</v>
      </c>
      <c r="AZ144" s="35">
        <v>19</v>
      </c>
      <c r="BA144" s="35">
        <v>33</v>
      </c>
      <c r="BB144" s="35">
        <v>0.42841474908868304</v>
      </c>
      <c r="BD144" s="35">
        <v>141</v>
      </c>
      <c r="BE144" s="35">
        <v>227</v>
      </c>
      <c r="BF144" s="17">
        <v>213.17823340000001</v>
      </c>
      <c r="BH144" s="35">
        <v>35.3148249999999</v>
      </c>
      <c r="BI144" s="35">
        <v>0.98529411764705799</v>
      </c>
      <c r="BQ144" s="13">
        <f t="shared" si="11"/>
        <v>-6.0888839647577075</v>
      </c>
      <c r="BR144" s="35">
        <v>0.102273611107462</v>
      </c>
      <c r="BS144" s="35">
        <v>915</v>
      </c>
      <c r="BT144" s="35">
        <v>17</v>
      </c>
      <c r="BU144" s="35">
        <v>12</v>
      </c>
      <c r="BV144" s="35">
        <v>13</v>
      </c>
      <c r="BW144" s="35">
        <v>0.31591677215763692</v>
      </c>
    </row>
    <row r="145" spans="1:75">
      <c r="A145" s="13">
        <v>142</v>
      </c>
      <c r="B145" s="13">
        <v>38</v>
      </c>
      <c r="C145" s="17">
        <v>22.3843040755091</v>
      </c>
      <c r="D145" s="13"/>
      <c r="E145" s="36">
        <v>53.475392861306503</v>
      </c>
      <c r="F145" s="36">
        <v>0.96029411764705797</v>
      </c>
      <c r="G145" s="36"/>
      <c r="H145" s="13"/>
      <c r="I145" s="13"/>
      <c r="J145" s="13"/>
      <c r="K145" s="13"/>
      <c r="L145" s="13"/>
      <c r="M145" s="13">
        <f t="shared" si="8"/>
        <v>-41.093936643397114</v>
      </c>
      <c r="N145" s="13"/>
      <c r="O145" s="13">
        <v>142</v>
      </c>
      <c r="P145" s="13">
        <v>38</v>
      </c>
      <c r="Q145" s="17">
        <v>47.393831290000001</v>
      </c>
      <c r="R145" s="13"/>
      <c r="S145" s="36">
        <v>41.418524825125601</v>
      </c>
      <c r="T145" s="36">
        <v>0.98529411764705799</v>
      </c>
      <c r="U145" s="36"/>
      <c r="V145" s="13"/>
      <c r="W145" s="13"/>
      <c r="X145" s="13"/>
      <c r="Y145" s="13"/>
      <c r="Z145" s="13"/>
      <c r="AA145" s="13">
        <f t="shared" si="9"/>
        <v>24.720608657894736</v>
      </c>
      <c r="AB145" s="26">
        <v>0.22539028655643301</v>
      </c>
      <c r="AC145" s="34">
        <v>1878</v>
      </c>
      <c r="AD145" s="34">
        <v>85</v>
      </c>
      <c r="AE145" s="34">
        <v>38</v>
      </c>
      <c r="AF145" s="34">
        <v>2</v>
      </c>
      <c r="AG145" s="34">
        <v>0.69595451921659535</v>
      </c>
      <c r="AI145" s="35">
        <v>142</v>
      </c>
      <c r="AJ145" s="35">
        <v>38</v>
      </c>
      <c r="AK145" s="17">
        <v>38.262912880000002</v>
      </c>
      <c r="AM145" s="35">
        <v>34.652804020100398</v>
      </c>
      <c r="AN145" s="35">
        <v>0.98529411764705799</v>
      </c>
      <c r="AV145" s="13">
        <f t="shared" si="10"/>
        <v>0.69187600000000238</v>
      </c>
      <c r="AW145" s="35">
        <v>9.1374263509437004E-2</v>
      </c>
      <c r="AX145" s="35">
        <v>920</v>
      </c>
      <c r="AY145" s="35">
        <v>85</v>
      </c>
      <c r="AZ145" s="35">
        <v>23</v>
      </c>
      <c r="BA145" s="35">
        <v>13</v>
      </c>
      <c r="BB145" s="35">
        <v>0.33749578011895587</v>
      </c>
      <c r="BD145" s="35">
        <v>142</v>
      </c>
      <c r="BE145" s="35">
        <v>38</v>
      </c>
      <c r="BF145" s="17">
        <v>39.172922489999998</v>
      </c>
      <c r="BH145" s="35">
        <v>35.580349999999903</v>
      </c>
      <c r="BI145" s="35">
        <v>0.98529411764705799</v>
      </c>
      <c r="BQ145" s="13">
        <f t="shared" si="11"/>
        <v>3.0866381315789448</v>
      </c>
      <c r="BR145" s="35">
        <v>0.102273611107462</v>
      </c>
      <c r="BS145" s="35">
        <v>1832</v>
      </c>
      <c r="BT145" s="35">
        <v>119</v>
      </c>
      <c r="BU145" s="35">
        <v>13</v>
      </c>
      <c r="BV145" s="35">
        <v>16</v>
      </c>
      <c r="BW145" s="35">
        <v>0.35543852529265241</v>
      </c>
    </row>
    <row r="146" spans="1:75">
      <c r="A146" s="13">
        <v>143</v>
      </c>
      <c r="B146" s="13">
        <v>158</v>
      </c>
      <c r="C146" s="17">
        <v>146.50060540000001</v>
      </c>
      <c r="D146" s="13"/>
      <c r="E146" s="36">
        <v>53.874462957286397</v>
      </c>
      <c r="F146" s="36">
        <v>0.96029411764705797</v>
      </c>
      <c r="G146" s="36"/>
      <c r="H146" s="13"/>
      <c r="I146" s="13"/>
      <c r="J146" s="13"/>
      <c r="K146" s="13"/>
      <c r="L146" s="13"/>
      <c r="M146" s="13">
        <f t="shared" si="8"/>
        <v>-7.278097848101261</v>
      </c>
      <c r="N146" s="13"/>
      <c r="O146" s="13">
        <v>143</v>
      </c>
      <c r="P146" s="13">
        <v>158</v>
      </c>
      <c r="Q146" s="17">
        <v>151.5450256</v>
      </c>
      <c r="R146" s="13"/>
      <c r="S146" s="36">
        <v>41.727618293969797</v>
      </c>
      <c r="T146" s="36">
        <v>0.98529411764705799</v>
      </c>
      <c r="U146" s="36"/>
      <c r="V146" s="13"/>
      <c r="W146" s="13"/>
      <c r="X146" s="13"/>
      <c r="Y146" s="13"/>
      <c r="Z146" s="13"/>
      <c r="AA146" s="13">
        <f t="shared" si="9"/>
        <v>-4.0854268354430401</v>
      </c>
      <c r="AB146" s="26">
        <v>0.21717638604709599</v>
      </c>
      <c r="AC146" s="34">
        <v>938</v>
      </c>
      <c r="AD146" s="34">
        <v>29</v>
      </c>
      <c r="AE146" s="34">
        <v>15</v>
      </c>
      <c r="AF146" s="34">
        <v>42</v>
      </c>
      <c r="AG146" s="34">
        <v>0.48682970947566051</v>
      </c>
      <c r="AI146" s="35">
        <v>143</v>
      </c>
      <c r="AJ146" s="35">
        <v>158</v>
      </c>
      <c r="AK146" s="17">
        <v>157.9679625</v>
      </c>
      <c r="AM146" s="35">
        <v>34.911407035175799</v>
      </c>
      <c r="AN146" s="35">
        <v>0.98529411764705799</v>
      </c>
      <c r="AV146" s="13">
        <f t="shared" si="10"/>
        <v>-2.0276898734172821E-2</v>
      </c>
      <c r="AW146" s="35">
        <v>9.1374263509437004E-2</v>
      </c>
      <c r="AX146" s="35">
        <v>1804</v>
      </c>
      <c r="AY146" s="35">
        <v>151</v>
      </c>
      <c r="AZ146" s="35">
        <v>49</v>
      </c>
      <c r="BA146" s="35">
        <v>50</v>
      </c>
      <c r="BB146" s="35">
        <v>0.10800653541315611</v>
      </c>
      <c r="BD146" s="35">
        <v>143</v>
      </c>
      <c r="BE146" s="35">
        <v>158</v>
      </c>
      <c r="BF146" s="17">
        <v>157.65274840000001</v>
      </c>
      <c r="BH146" s="35">
        <v>35.8458749999999</v>
      </c>
      <c r="BI146" s="35">
        <v>0.98529411764705799</v>
      </c>
      <c r="BQ146" s="13">
        <f t="shared" si="11"/>
        <v>-0.21977949367087968</v>
      </c>
      <c r="BR146" s="35">
        <v>0.102273611107462</v>
      </c>
      <c r="BS146" s="35">
        <v>1120</v>
      </c>
      <c r="BT146" s="35">
        <v>25</v>
      </c>
      <c r="BU146" s="35">
        <v>26</v>
      </c>
      <c r="BV146" s="35">
        <v>1</v>
      </c>
      <c r="BW146" s="35">
        <v>0.68091272482335974</v>
      </c>
    </row>
    <row r="147" spans="1:75">
      <c r="A147" s="13">
        <v>144</v>
      </c>
      <c r="B147" s="13">
        <v>64</v>
      </c>
      <c r="C147" s="17">
        <v>83.541475759999997</v>
      </c>
      <c r="D147" s="13"/>
      <c r="E147" s="36">
        <v>54.273533053266299</v>
      </c>
      <c r="F147" s="36">
        <v>0.96176470588235297</v>
      </c>
      <c r="G147" s="36"/>
      <c r="H147" s="13"/>
      <c r="I147" s="13"/>
      <c r="J147" s="13"/>
      <c r="K147" s="13"/>
      <c r="L147" s="13"/>
      <c r="M147" s="13">
        <f t="shared" si="8"/>
        <v>30.533555874999998</v>
      </c>
      <c r="N147" s="13"/>
      <c r="O147" s="13">
        <v>144</v>
      </c>
      <c r="P147" s="13">
        <v>64</v>
      </c>
      <c r="Q147" s="17">
        <v>73.449683730000004</v>
      </c>
      <c r="R147" s="13"/>
      <c r="S147" s="36">
        <v>42.036711762814001</v>
      </c>
      <c r="T147" s="36">
        <v>0.98529411764705799</v>
      </c>
      <c r="U147" s="36"/>
      <c r="V147" s="13"/>
      <c r="W147" s="13"/>
      <c r="X147" s="13"/>
      <c r="Y147" s="13"/>
      <c r="Z147" s="13"/>
      <c r="AA147" s="13">
        <f t="shared" si="9"/>
        <v>14.765130828125006</v>
      </c>
      <c r="AB147" s="26">
        <v>0.21717638604709599</v>
      </c>
      <c r="AC147" s="34">
        <v>873</v>
      </c>
      <c r="AD147" s="34">
        <v>185</v>
      </c>
      <c r="AE147" s="34">
        <v>23</v>
      </c>
      <c r="AF147" s="34">
        <v>43</v>
      </c>
      <c r="AG147" s="34">
        <v>0.85115930296306641</v>
      </c>
      <c r="AI147" s="35">
        <v>144</v>
      </c>
      <c r="AJ147" s="35">
        <v>64</v>
      </c>
      <c r="AK147" s="17">
        <v>64.810767190000007</v>
      </c>
      <c r="AM147" s="35">
        <v>35.1700100502512</v>
      </c>
      <c r="AN147" s="35">
        <v>0.98529411764705799</v>
      </c>
      <c r="AV147" s="13">
        <f t="shared" si="10"/>
        <v>1.2668237343750111</v>
      </c>
      <c r="AW147" s="35">
        <v>9.1374263509437004E-2</v>
      </c>
      <c r="AX147" s="35">
        <v>584</v>
      </c>
      <c r="AY147" s="35">
        <v>197</v>
      </c>
      <c r="AZ147" s="35">
        <v>27</v>
      </c>
      <c r="BA147" s="35">
        <v>45</v>
      </c>
      <c r="BB147" s="35">
        <v>0.95546222064208763</v>
      </c>
      <c r="BD147" s="35">
        <v>144</v>
      </c>
      <c r="BE147" s="35">
        <v>64</v>
      </c>
      <c r="BF147" s="17">
        <v>66.99303433</v>
      </c>
      <c r="BH147" s="35">
        <v>36.111399999999897</v>
      </c>
      <c r="BI147" s="35">
        <v>0.98529411764705799</v>
      </c>
      <c r="BQ147" s="13">
        <f t="shared" si="11"/>
        <v>4.6766161406250006</v>
      </c>
      <c r="BR147" s="35">
        <v>0.102273611107462</v>
      </c>
      <c r="BS147" s="35">
        <v>454</v>
      </c>
      <c r="BT147" s="35">
        <v>150</v>
      </c>
      <c r="BU147" s="35">
        <v>20</v>
      </c>
      <c r="BV147" s="35">
        <v>46</v>
      </c>
      <c r="BW147" s="35">
        <v>0.83299987899639272</v>
      </c>
    </row>
    <row r="148" spans="1:75">
      <c r="A148" s="13">
        <v>145</v>
      </c>
      <c r="B148" s="13">
        <v>66</v>
      </c>
      <c r="C148" s="17">
        <v>89.566824179999998</v>
      </c>
      <c r="D148" s="13"/>
      <c r="E148" s="36">
        <v>54.6726031492462</v>
      </c>
      <c r="F148" s="36">
        <v>0.96323529411764697</v>
      </c>
      <c r="G148" s="36"/>
      <c r="H148" s="13"/>
      <c r="I148" s="13"/>
      <c r="J148" s="13"/>
      <c r="K148" s="13"/>
      <c r="L148" s="13"/>
      <c r="M148" s="13">
        <f t="shared" si="8"/>
        <v>35.707309363636355</v>
      </c>
      <c r="N148" s="13"/>
      <c r="O148" s="13">
        <v>145</v>
      </c>
      <c r="P148" s="13">
        <v>66</v>
      </c>
      <c r="Q148" s="17">
        <v>81.11548449</v>
      </c>
      <c r="R148" s="13"/>
      <c r="S148" s="36">
        <v>42.345805231658197</v>
      </c>
      <c r="T148" s="36">
        <v>0.98529411764705799</v>
      </c>
      <c r="U148" s="36"/>
      <c r="V148" s="13"/>
      <c r="W148" s="13"/>
      <c r="X148" s="13"/>
      <c r="Y148" s="13"/>
      <c r="Z148" s="13"/>
      <c r="AA148" s="13">
        <f t="shared" si="9"/>
        <v>22.90224922727273</v>
      </c>
      <c r="AB148" s="26">
        <v>0.21717638604709599</v>
      </c>
      <c r="AC148" s="34">
        <v>1497</v>
      </c>
      <c r="AD148" s="34">
        <v>52</v>
      </c>
      <c r="AE148" s="34">
        <v>20</v>
      </c>
      <c r="AF148" s="34">
        <v>7</v>
      </c>
      <c r="AG148" s="34">
        <v>0.13630663356478367</v>
      </c>
      <c r="AI148" s="35">
        <v>145</v>
      </c>
      <c r="AJ148" s="35">
        <v>66</v>
      </c>
      <c r="AK148" s="17">
        <v>67.614021489999999</v>
      </c>
      <c r="AM148" s="35">
        <v>35.428613065326601</v>
      </c>
      <c r="AN148" s="35">
        <v>0.98529411764705799</v>
      </c>
      <c r="AV148" s="13">
        <f t="shared" si="10"/>
        <v>2.4454871060606065</v>
      </c>
      <c r="AW148" s="35">
        <v>9.1374263509437004E-2</v>
      </c>
      <c r="AX148" s="35">
        <v>1591</v>
      </c>
      <c r="AY148" s="35">
        <v>170</v>
      </c>
      <c r="AZ148" s="35">
        <v>18</v>
      </c>
      <c r="BA148" s="35">
        <v>22</v>
      </c>
      <c r="BB148" s="35">
        <v>0.55187735458677134</v>
      </c>
      <c r="BD148" s="35">
        <v>145</v>
      </c>
      <c r="BE148" s="35">
        <v>66</v>
      </c>
      <c r="BF148" s="17">
        <v>72.550026430000003</v>
      </c>
      <c r="BH148" s="35">
        <v>36.3769249999999</v>
      </c>
      <c r="BI148" s="35">
        <v>0.98529411764705799</v>
      </c>
      <c r="BQ148" s="13">
        <f t="shared" si="11"/>
        <v>9.9242824696969656</v>
      </c>
      <c r="BR148" s="35">
        <v>0.102273611107462</v>
      </c>
      <c r="BS148" s="35">
        <v>816</v>
      </c>
      <c r="BT148" s="35">
        <v>74</v>
      </c>
      <c r="BU148" s="35">
        <v>16</v>
      </c>
      <c r="BV148" s="35">
        <v>19</v>
      </c>
      <c r="BW148" s="35">
        <v>0.56787920736462205</v>
      </c>
    </row>
    <row r="149" spans="1:75">
      <c r="A149" s="13">
        <v>146</v>
      </c>
      <c r="B149" s="13">
        <v>190</v>
      </c>
      <c r="C149" s="17">
        <v>164.48226500000001</v>
      </c>
      <c r="D149" s="13"/>
      <c r="E149" s="36">
        <v>55.071673245226101</v>
      </c>
      <c r="F149" s="36">
        <v>0.96323529411764697</v>
      </c>
      <c r="G149" s="36"/>
      <c r="H149" s="13"/>
      <c r="I149" s="13"/>
      <c r="J149" s="13"/>
      <c r="K149" s="13"/>
      <c r="L149" s="13"/>
      <c r="M149" s="13">
        <f t="shared" si="8"/>
        <v>-13.430386842105257</v>
      </c>
      <c r="N149" s="13"/>
      <c r="O149" s="13">
        <v>146</v>
      </c>
      <c r="P149" s="13">
        <v>190</v>
      </c>
      <c r="Q149" s="17">
        <v>181.13829699999999</v>
      </c>
      <c r="R149" s="13"/>
      <c r="S149" s="36">
        <v>42.6548987005025</v>
      </c>
      <c r="T149" s="36">
        <v>0.98529411764705799</v>
      </c>
      <c r="U149" s="36"/>
      <c r="V149" s="13"/>
      <c r="W149" s="13"/>
      <c r="X149" s="13"/>
      <c r="Y149" s="13"/>
      <c r="Z149" s="13"/>
      <c r="AA149" s="13">
        <f t="shared" si="9"/>
        <v>-4.6640542105263139</v>
      </c>
      <c r="AB149" s="26">
        <v>0.21717638604709599</v>
      </c>
      <c r="AC149" s="34">
        <v>1208</v>
      </c>
      <c r="AD149" s="34">
        <v>95</v>
      </c>
      <c r="AE149" s="34">
        <v>21</v>
      </c>
      <c r="AF149" s="34">
        <v>37</v>
      </c>
      <c r="AG149" s="34">
        <v>0.97664272689797249</v>
      </c>
      <c r="AI149" s="35">
        <v>146</v>
      </c>
      <c r="AJ149" s="35">
        <v>190</v>
      </c>
      <c r="AK149" s="17">
        <v>189.97016669999999</v>
      </c>
      <c r="AM149" s="35">
        <v>35.687216080402003</v>
      </c>
      <c r="AN149" s="35">
        <v>0.98529411764705799</v>
      </c>
      <c r="AV149" s="13">
        <f t="shared" si="10"/>
        <v>-1.5701736842110847E-2</v>
      </c>
      <c r="AW149" s="35">
        <v>8.9974879818071105E-2</v>
      </c>
      <c r="AX149" s="35">
        <v>1736</v>
      </c>
      <c r="AY149" s="35">
        <v>152</v>
      </c>
      <c r="AZ149" s="35">
        <v>9</v>
      </c>
      <c r="BA149" s="35">
        <v>22</v>
      </c>
      <c r="BB149" s="35">
        <v>0.45888081120367818</v>
      </c>
      <c r="BD149" s="35">
        <v>146</v>
      </c>
      <c r="BE149" s="35">
        <v>190</v>
      </c>
      <c r="BF149" s="17">
        <v>188.8067413</v>
      </c>
      <c r="BH149" s="35">
        <v>36.642449999999997</v>
      </c>
      <c r="BI149" s="35">
        <v>0.98529411764705799</v>
      </c>
      <c r="BQ149" s="13">
        <f t="shared" si="11"/>
        <v>-0.62803089473684182</v>
      </c>
      <c r="BR149" s="35">
        <v>9.3019815197587397E-2</v>
      </c>
      <c r="BS149" s="35">
        <v>1160</v>
      </c>
      <c r="BT149" s="35">
        <v>154</v>
      </c>
      <c r="BU149" s="35">
        <v>39</v>
      </c>
      <c r="BV149" s="35">
        <v>11</v>
      </c>
      <c r="BW149" s="35">
        <v>0.81950180334508893</v>
      </c>
    </row>
    <row r="150" spans="1:75">
      <c r="A150" s="13">
        <v>147</v>
      </c>
      <c r="B150" s="13">
        <v>143</v>
      </c>
      <c r="C150" s="17">
        <v>146.03926269999999</v>
      </c>
      <c r="D150" s="13"/>
      <c r="E150" s="36">
        <v>55.470743341206003</v>
      </c>
      <c r="F150" s="36">
        <v>0.96470588235294097</v>
      </c>
      <c r="G150" s="36"/>
      <c r="H150" s="13"/>
      <c r="I150" s="13"/>
      <c r="J150" s="13"/>
      <c r="K150" s="13"/>
      <c r="L150" s="13"/>
      <c r="M150" s="13">
        <f t="shared" si="8"/>
        <v>2.1253585314685353</v>
      </c>
      <c r="N150" s="13"/>
      <c r="O150" s="13">
        <v>147</v>
      </c>
      <c r="P150" s="13">
        <v>143</v>
      </c>
      <c r="Q150" s="17">
        <v>148.71165730000001</v>
      </c>
      <c r="R150" s="13"/>
      <c r="S150" s="36">
        <v>42.963992169346703</v>
      </c>
      <c r="T150" s="36">
        <v>0.98529411764705799</v>
      </c>
      <c r="U150" s="36"/>
      <c r="V150" s="13"/>
      <c r="W150" s="13"/>
      <c r="X150" s="13"/>
      <c r="Y150" s="13"/>
      <c r="Z150" s="13"/>
      <c r="AA150" s="13">
        <f t="shared" si="9"/>
        <v>3.9941659440559496</v>
      </c>
      <c r="AB150" s="26">
        <v>0.21502027607292501</v>
      </c>
      <c r="AC150" s="34">
        <v>357</v>
      </c>
      <c r="AD150" s="34">
        <v>20</v>
      </c>
      <c r="AE150" s="34">
        <v>49</v>
      </c>
      <c r="AF150" s="34">
        <v>37</v>
      </c>
      <c r="AG150" s="34">
        <v>0.86103390086302922</v>
      </c>
      <c r="AI150" s="35">
        <v>147</v>
      </c>
      <c r="AJ150" s="35">
        <v>143</v>
      </c>
      <c r="AK150" s="17">
        <v>143.7236437</v>
      </c>
      <c r="AM150" s="35">
        <v>35.945819095477297</v>
      </c>
      <c r="AN150" s="35">
        <v>0.98529411764705799</v>
      </c>
      <c r="AV150" s="13">
        <f t="shared" si="10"/>
        <v>0.50604454545455368</v>
      </c>
      <c r="AW150" s="35">
        <v>8.9974879818071105E-2</v>
      </c>
      <c r="AX150" s="35">
        <v>115</v>
      </c>
      <c r="AY150" s="35">
        <v>163</v>
      </c>
      <c r="AZ150" s="35">
        <v>46</v>
      </c>
      <c r="BA150" s="35">
        <v>44</v>
      </c>
      <c r="BB150" s="35">
        <v>0.43576988049007237</v>
      </c>
      <c r="BD150" s="35">
        <v>147</v>
      </c>
      <c r="BE150" s="35">
        <v>143</v>
      </c>
      <c r="BF150" s="17">
        <v>147.0196684</v>
      </c>
      <c r="BH150" s="35">
        <v>36.907974999999901</v>
      </c>
      <c r="BI150" s="35">
        <v>0.98529411764705799</v>
      </c>
      <c r="BQ150" s="13">
        <f t="shared" si="11"/>
        <v>2.8109569230769127</v>
      </c>
      <c r="BR150" s="35">
        <v>9.3019815197587397E-2</v>
      </c>
      <c r="BS150" s="35">
        <v>1763</v>
      </c>
      <c r="BT150" s="35">
        <v>124</v>
      </c>
      <c r="BU150" s="35">
        <v>26</v>
      </c>
      <c r="BV150" s="35">
        <v>26</v>
      </c>
      <c r="BW150" s="35">
        <v>0.37372196624942833</v>
      </c>
    </row>
    <row r="151" spans="1:75">
      <c r="A151" s="13">
        <v>148</v>
      </c>
      <c r="B151" s="13">
        <v>61</v>
      </c>
      <c r="C151" s="17">
        <v>81.766031549999994</v>
      </c>
      <c r="D151" s="13"/>
      <c r="E151" s="36">
        <v>55.869813437185897</v>
      </c>
      <c r="F151" s="36">
        <v>0.96470588235294097</v>
      </c>
      <c r="G151" s="36"/>
      <c r="H151" s="13"/>
      <c r="I151" s="13"/>
      <c r="J151" s="13"/>
      <c r="K151" s="13"/>
      <c r="L151" s="13"/>
      <c r="M151" s="13">
        <f t="shared" si="8"/>
        <v>34.042674672131135</v>
      </c>
      <c r="N151" s="13"/>
      <c r="O151" s="13">
        <v>148</v>
      </c>
      <c r="P151" s="13">
        <v>61</v>
      </c>
      <c r="Q151" s="17">
        <v>69.578595129999997</v>
      </c>
      <c r="R151" s="13"/>
      <c r="S151" s="36">
        <v>43.273085638190899</v>
      </c>
      <c r="T151" s="36">
        <v>0.98529411764705799</v>
      </c>
      <c r="U151" s="36"/>
      <c r="V151" s="13"/>
      <c r="W151" s="13"/>
      <c r="X151" s="13"/>
      <c r="Y151" s="13"/>
      <c r="Z151" s="13"/>
      <c r="AA151" s="13">
        <f t="shared" si="9"/>
        <v>14.063270704918018</v>
      </c>
      <c r="AB151" s="26">
        <v>0.21502027607292501</v>
      </c>
      <c r="AC151" s="34">
        <v>1023</v>
      </c>
      <c r="AD151" s="34">
        <v>149</v>
      </c>
      <c r="AE151" s="34">
        <v>6</v>
      </c>
      <c r="AF151" s="34">
        <v>44</v>
      </c>
      <c r="AG151" s="34">
        <v>0.91256269739774187</v>
      </c>
      <c r="AI151" s="35">
        <v>148</v>
      </c>
      <c r="AJ151" s="35">
        <v>61</v>
      </c>
      <c r="AK151" s="17">
        <v>61.659885529999997</v>
      </c>
      <c r="AM151" s="35">
        <v>36.204422110552699</v>
      </c>
      <c r="AN151" s="35">
        <v>0.98529411764705799</v>
      </c>
      <c r="AV151" s="13">
        <f t="shared" si="10"/>
        <v>1.0817795573770494</v>
      </c>
      <c r="AW151" s="35">
        <v>7.5857334838793394E-2</v>
      </c>
      <c r="AX151" s="35">
        <v>1098</v>
      </c>
      <c r="AY151" s="35">
        <v>144</v>
      </c>
      <c r="AZ151" s="35">
        <v>40</v>
      </c>
      <c r="BA151" s="35">
        <v>30</v>
      </c>
      <c r="BB151" s="35">
        <v>0.47396570992242848</v>
      </c>
      <c r="BD151" s="35">
        <v>148</v>
      </c>
      <c r="BE151" s="35">
        <v>61</v>
      </c>
      <c r="BF151" s="17">
        <v>64.67828308</v>
      </c>
      <c r="BH151" s="35">
        <v>37.173499999999997</v>
      </c>
      <c r="BI151" s="35">
        <v>0.98529411764705799</v>
      </c>
      <c r="BQ151" s="13">
        <f t="shared" si="11"/>
        <v>6.0299722622950913</v>
      </c>
      <c r="BR151" s="35">
        <v>9.3019815197587397E-2</v>
      </c>
      <c r="BS151" s="35">
        <v>115</v>
      </c>
      <c r="BT151" s="35">
        <v>102</v>
      </c>
      <c r="BU151" s="35">
        <v>14</v>
      </c>
      <c r="BV151" s="35">
        <v>23</v>
      </c>
      <c r="BW151" s="35">
        <v>0.26045855394892159</v>
      </c>
    </row>
    <row r="152" spans="1:75">
      <c r="A152" s="13">
        <v>149</v>
      </c>
      <c r="B152" s="13">
        <v>167</v>
      </c>
      <c r="C152" s="17">
        <v>137.17433990000001</v>
      </c>
      <c r="D152" s="13"/>
      <c r="E152" s="36">
        <v>56.268883533165798</v>
      </c>
      <c r="F152" s="36">
        <v>0.96617647058823497</v>
      </c>
      <c r="G152" s="36"/>
      <c r="H152" s="13"/>
      <c r="I152" s="13"/>
      <c r="J152" s="13"/>
      <c r="K152" s="13"/>
      <c r="L152" s="13"/>
      <c r="M152" s="13">
        <f t="shared" si="8"/>
        <v>-17.859676706586825</v>
      </c>
      <c r="N152" s="13"/>
      <c r="O152" s="13">
        <v>149</v>
      </c>
      <c r="P152" s="13">
        <v>167</v>
      </c>
      <c r="Q152" s="17">
        <v>146.93248460000001</v>
      </c>
      <c r="R152" s="13"/>
      <c r="S152" s="36">
        <v>43.582179107035103</v>
      </c>
      <c r="T152" s="36">
        <v>0.98529411764705799</v>
      </c>
      <c r="U152" s="36"/>
      <c r="V152" s="13"/>
      <c r="W152" s="13"/>
      <c r="X152" s="13"/>
      <c r="Y152" s="13"/>
      <c r="Z152" s="13"/>
      <c r="AA152" s="13">
        <f t="shared" si="9"/>
        <v>-12.016476287425149</v>
      </c>
      <c r="AB152" s="26">
        <v>0.21502027607292501</v>
      </c>
      <c r="AC152" s="34">
        <v>1181</v>
      </c>
      <c r="AD152" s="34">
        <v>123</v>
      </c>
      <c r="AE152" s="34">
        <v>47</v>
      </c>
      <c r="AF152" s="34">
        <v>12</v>
      </c>
      <c r="AG152" s="34">
        <v>0.6223621833920806</v>
      </c>
      <c r="AI152" s="35">
        <v>149</v>
      </c>
      <c r="AJ152" s="35">
        <v>167</v>
      </c>
      <c r="AK152" s="17">
        <v>162.1608464</v>
      </c>
      <c r="AM152" s="35">
        <v>36.4630251256281</v>
      </c>
      <c r="AN152" s="35">
        <v>0.98529411764705799</v>
      </c>
      <c r="AV152" s="13">
        <f t="shared" si="10"/>
        <v>-2.8976967664670727</v>
      </c>
      <c r="AW152" s="35">
        <v>7.5857334838793394E-2</v>
      </c>
      <c r="AX152" s="35">
        <v>204</v>
      </c>
      <c r="AY152" s="35">
        <v>102</v>
      </c>
      <c r="AZ152" s="35">
        <v>6</v>
      </c>
      <c r="BA152" s="35">
        <v>17</v>
      </c>
      <c r="BB152" s="35">
        <v>0.38416683312054734</v>
      </c>
      <c r="BD152" s="35">
        <v>149</v>
      </c>
      <c r="BE152" s="35">
        <v>167</v>
      </c>
      <c r="BF152" s="17">
        <v>150.33701189999999</v>
      </c>
      <c r="BH152" s="35">
        <v>37.439024999999901</v>
      </c>
      <c r="BI152" s="35">
        <v>0.98529411764705799</v>
      </c>
      <c r="BQ152" s="13">
        <f t="shared" si="11"/>
        <v>-9.9778371856287471</v>
      </c>
      <c r="BR152" s="35">
        <v>9.3019815197587397E-2</v>
      </c>
      <c r="BS152" s="35">
        <v>378</v>
      </c>
      <c r="BT152" s="35">
        <v>135</v>
      </c>
      <c r="BU152" s="35">
        <v>33</v>
      </c>
      <c r="BV152" s="35">
        <v>35</v>
      </c>
      <c r="BW152" s="35">
        <v>0.45457112352305451</v>
      </c>
    </row>
    <row r="153" spans="1:75">
      <c r="A153" s="13">
        <v>150</v>
      </c>
      <c r="B153" s="13">
        <v>149</v>
      </c>
      <c r="C153" s="17">
        <v>123.4805111</v>
      </c>
      <c r="D153" s="13"/>
      <c r="E153" s="36">
        <v>56.6679536291457</v>
      </c>
      <c r="F153" s="36">
        <v>0.96617647058823497</v>
      </c>
      <c r="G153" s="36"/>
      <c r="H153" s="13"/>
      <c r="I153" s="13"/>
      <c r="J153" s="13"/>
      <c r="K153" s="13"/>
      <c r="L153" s="13"/>
      <c r="M153" s="13">
        <f t="shared" si="8"/>
        <v>-17.127173758389258</v>
      </c>
      <c r="N153" s="13"/>
      <c r="O153" s="13">
        <v>150</v>
      </c>
      <c r="P153" s="13">
        <v>149</v>
      </c>
      <c r="Q153" s="17">
        <v>133.08824970000001</v>
      </c>
      <c r="R153" s="13"/>
      <c r="S153" s="36">
        <v>43.891272575879299</v>
      </c>
      <c r="T153" s="36">
        <v>0.98529411764705799</v>
      </c>
      <c r="U153" s="36"/>
      <c r="V153" s="13"/>
      <c r="W153" s="13"/>
      <c r="X153" s="13"/>
      <c r="Y153" s="13"/>
      <c r="Z153" s="13"/>
      <c r="AA153" s="13">
        <f t="shared" si="9"/>
        <v>-10.679027046979861</v>
      </c>
      <c r="AB153" s="26">
        <v>0.214074680546672</v>
      </c>
      <c r="AC153" s="34">
        <v>1338</v>
      </c>
      <c r="AD153" s="34">
        <v>103</v>
      </c>
      <c r="AE153" s="34">
        <v>6</v>
      </c>
      <c r="AF153" s="34">
        <v>43</v>
      </c>
      <c r="AG153" s="34">
        <v>0.52100847893163904</v>
      </c>
      <c r="AI153" s="35">
        <v>150</v>
      </c>
      <c r="AJ153" s="35">
        <v>149</v>
      </c>
      <c r="AK153" s="17">
        <v>148.0857493</v>
      </c>
      <c r="AM153" s="35">
        <v>36.721628140703501</v>
      </c>
      <c r="AN153" s="35">
        <v>0.98529411764705799</v>
      </c>
      <c r="AV153" s="13">
        <f t="shared" si="10"/>
        <v>-0.61359107382550349</v>
      </c>
      <c r="AW153" s="35">
        <v>7.5857334838793394E-2</v>
      </c>
      <c r="AX153" s="35">
        <v>815</v>
      </c>
      <c r="AY153" s="35">
        <v>124</v>
      </c>
      <c r="AZ153" s="35">
        <v>37</v>
      </c>
      <c r="BA153" s="35">
        <v>24</v>
      </c>
      <c r="BB153" s="35">
        <v>0.42305077906558608</v>
      </c>
      <c r="BD153" s="35">
        <v>150</v>
      </c>
      <c r="BE153" s="35">
        <v>149</v>
      </c>
      <c r="BF153" s="17">
        <v>143.8220268</v>
      </c>
      <c r="BH153" s="35">
        <v>37.704549999999898</v>
      </c>
      <c r="BI153" s="35">
        <v>0.98676470588235299</v>
      </c>
      <c r="BQ153" s="13">
        <f t="shared" si="11"/>
        <v>-3.4751497986577173</v>
      </c>
      <c r="BR153" s="35">
        <v>9.3019815197587397E-2</v>
      </c>
      <c r="BS153" s="35">
        <v>1383</v>
      </c>
      <c r="BT153" s="35">
        <v>125</v>
      </c>
      <c r="BU153" s="35">
        <v>2</v>
      </c>
      <c r="BV153" s="35">
        <v>43</v>
      </c>
      <c r="BW153" s="35">
        <v>0.43524405086873674</v>
      </c>
    </row>
    <row r="154" spans="1:75">
      <c r="A154" s="13">
        <v>151</v>
      </c>
      <c r="B154" s="13">
        <v>9</v>
      </c>
      <c r="C154" s="17">
        <v>7.6398268766552304</v>
      </c>
      <c r="D154" s="13"/>
      <c r="E154" s="36">
        <v>57.067023725125601</v>
      </c>
      <c r="F154" s="36">
        <v>0.96617647058823497</v>
      </c>
      <c r="G154" s="36"/>
      <c r="H154" s="13"/>
      <c r="I154" s="13"/>
      <c r="J154" s="13"/>
      <c r="K154" s="13"/>
      <c r="L154" s="13"/>
      <c r="M154" s="13">
        <f t="shared" si="8"/>
        <v>-15.113034703830774</v>
      </c>
      <c r="N154" s="13"/>
      <c r="O154" s="13">
        <v>151</v>
      </c>
      <c r="P154" s="13">
        <v>9</v>
      </c>
      <c r="Q154" s="17">
        <v>7.28518340116175</v>
      </c>
      <c r="R154" s="13"/>
      <c r="S154" s="36">
        <v>44.200366044723602</v>
      </c>
      <c r="T154" s="36">
        <v>0.98529411764705799</v>
      </c>
      <c r="U154" s="36"/>
      <c r="V154" s="13"/>
      <c r="W154" s="13"/>
      <c r="X154" s="13"/>
      <c r="Y154" s="13"/>
      <c r="Z154" s="13"/>
      <c r="AA154" s="13">
        <f t="shared" si="9"/>
        <v>-19.053517764869444</v>
      </c>
      <c r="AB154" s="26">
        <v>0.214074680546672</v>
      </c>
      <c r="AC154" s="34">
        <v>1310</v>
      </c>
      <c r="AD154" s="34">
        <v>67</v>
      </c>
      <c r="AE154" s="34">
        <v>49</v>
      </c>
      <c r="AF154" s="34">
        <v>11</v>
      </c>
      <c r="AG154" s="34">
        <v>0.3434996916311277</v>
      </c>
      <c r="AI154" s="35">
        <v>151</v>
      </c>
      <c r="AJ154" s="35">
        <v>9</v>
      </c>
      <c r="AK154" s="17">
        <v>9.2806777779999994</v>
      </c>
      <c r="AM154" s="35">
        <v>36.980231155778803</v>
      </c>
      <c r="AN154" s="35">
        <v>0.98529411764705799</v>
      </c>
      <c r="AV154" s="13">
        <f t="shared" si="10"/>
        <v>3.1186419777777807</v>
      </c>
      <c r="AW154" s="35">
        <v>7.5857334838793394E-2</v>
      </c>
      <c r="AX154" s="35">
        <v>1335</v>
      </c>
      <c r="AY154" s="35">
        <v>172</v>
      </c>
      <c r="AZ154" s="35">
        <v>2</v>
      </c>
      <c r="BA154" s="35">
        <v>27</v>
      </c>
      <c r="BB154" s="35">
        <v>0.50418098449572302</v>
      </c>
      <c r="BD154" s="35">
        <v>151</v>
      </c>
      <c r="BE154" s="35">
        <v>9</v>
      </c>
      <c r="BF154" s="17">
        <v>6.8966451007556202</v>
      </c>
      <c r="BH154" s="35">
        <v>37.970074999999902</v>
      </c>
      <c r="BI154" s="35">
        <v>0.98676470588235299</v>
      </c>
      <c r="BQ154" s="13">
        <f t="shared" si="11"/>
        <v>-23.370609991604219</v>
      </c>
      <c r="BR154" s="35">
        <v>9.3019815197587397E-2</v>
      </c>
      <c r="BS154" s="35">
        <v>1096</v>
      </c>
      <c r="BT154" s="35">
        <v>197</v>
      </c>
      <c r="BU154" s="35">
        <v>8</v>
      </c>
      <c r="BV154" s="35">
        <v>29</v>
      </c>
      <c r="BW154" s="35">
        <v>0.35645954536694568</v>
      </c>
    </row>
    <row r="155" spans="1:75">
      <c r="A155" s="13">
        <v>152</v>
      </c>
      <c r="B155" s="13">
        <v>182</v>
      </c>
      <c r="C155" s="17">
        <v>142.9190413</v>
      </c>
      <c r="D155" s="13"/>
      <c r="E155" s="36">
        <v>57.466093821105503</v>
      </c>
      <c r="F155" s="36">
        <v>0.96764705882352897</v>
      </c>
      <c r="G155" s="36"/>
      <c r="H155" s="13"/>
      <c r="I155" s="13"/>
      <c r="J155" s="13"/>
      <c r="K155" s="13"/>
      <c r="L155" s="13"/>
      <c r="M155" s="13">
        <f t="shared" si="8"/>
        <v>-21.473054230769229</v>
      </c>
      <c r="N155" s="13"/>
      <c r="O155" s="13">
        <v>152</v>
      </c>
      <c r="P155" s="13">
        <v>182</v>
      </c>
      <c r="Q155" s="17">
        <v>160.5450041</v>
      </c>
      <c r="R155" s="13"/>
      <c r="S155" s="36">
        <v>44.509459513567798</v>
      </c>
      <c r="T155" s="36">
        <v>0.98529411764705799</v>
      </c>
      <c r="U155" s="36"/>
      <c r="V155" s="13"/>
      <c r="W155" s="13"/>
      <c r="X155" s="13"/>
      <c r="Y155" s="13"/>
      <c r="Z155" s="13"/>
      <c r="AA155" s="13">
        <f t="shared" si="9"/>
        <v>-11.788459285714282</v>
      </c>
      <c r="AB155" s="26">
        <v>0.214074680546672</v>
      </c>
      <c r="AC155" s="34">
        <v>1330</v>
      </c>
      <c r="AD155" s="34">
        <v>12</v>
      </c>
      <c r="AE155" s="34">
        <v>16</v>
      </c>
      <c r="AF155" s="34">
        <v>42</v>
      </c>
      <c r="AG155" s="34">
        <v>0.15875579155800687</v>
      </c>
      <c r="AI155" s="35">
        <v>152</v>
      </c>
      <c r="AJ155" s="35">
        <v>182</v>
      </c>
      <c r="AK155" s="17">
        <v>181.2563935</v>
      </c>
      <c r="AM155" s="35">
        <v>37.238834170854197</v>
      </c>
      <c r="AN155" s="35">
        <v>0.98529411764705799</v>
      </c>
      <c r="AV155" s="13">
        <f t="shared" si="10"/>
        <v>-0.40857499999999991</v>
      </c>
      <c r="AW155" s="35">
        <v>7.5857334838793394E-2</v>
      </c>
      <c r="AX155" s="35">
        <v>452</v>
      </c>
      <c r="AY155" s="35">
        <v>73</v>
      </c>
      <c r="AZ155" s="35">
        <v>7</v>
      </c>
      <c r="BA155" s="35">
        <v>19</v>
      </c>
      <c r="BB155" s="35">
        <v>0.48729723867348762</v>
      </c>
      <c r="BD155" s="35">
        <v>152</v>
      </c>
      <c r="BE155" s="35">
        <v>182</v>
      </c>
      <c r="BF155" s="17">
        <v>176.8016222</v>
      </c>
      <c r="BH155" s="35">
        <v>38.235599999999899</v>
      </c>
      <c r="BI155" s="35">
        <v>0.98676470588235299</v>
      </c>
      <c r="BQ155" s="13">
        <f t="shared" si="11"/>
        <v>-2.8562515384615406</v>
      </c>
      <c r="BR155" s="35">
        <v>9.3019815197587397E-2</v>
      </c>
      <c r="BS155" s="35">
        <v>1128</v>
      </c>
      <c r="BT155" s="35">
        <v>120</v>
      </c>
      <c r="BU155" s="35">
        <v>39</v>
      </c>
      <c r="BV155" s="35">
        <v>4</v>
      </c>
      <c r="BW155" s="35">
        <v>0.46322755797017723</v>
      </c>
    </row>
    <row r="156" spans="1:75">
      <c r="A156" s="13">
        <v>153</v>
      </c>
      <c r="B156" s="13">
        <v>74</v>
      </c>
      <c r="C156" s="17">
        <v>97.936898429999999</v>
      </c>
      <c r="D156" s="13"/>
      <c r="E156" s="36">
        <v>57.865163917085397</v>
      </c>
      <c r="F156" s="36">
        <v>0.97058823529411697</v>
      </c>
      <c r="G156" s="36"/>
      <c r="H156" s="13"/>
      <c r="I156" s="13"/>
      <c r="J156" s="13"/>
      <c r="K156" s="13"/>
      <c r="L156" s="13"/>
      <c r="M156" s="13">
        <f t="shared" si="8"/>
        <v>32.347160040540544</v>
      </c>
      <c r="N156" s="13"/>
      <c r="O156" s="13">
        <v>153</v>
      </c>
      <c r="P156" s="13">
        <v>74</v>
      </c>
      <c r="Q156" s="17">
        <v>93.276944029999996</v>
      </c>
      <c r="R156" s="13"/>
      <c r="S156" s="36">
        <v>44.818552982412001</v>
      </c>
      <c r="T156" s="36">
        <v>0.98529411764705799</v>
      </c>
      <c r="U156" s="36"/>
      <c r="V156" s="13"/>
      <c r="W156" s="13"/>
      <c r="X156" s="13"/>
      <c r="Y156" s="13"/>
      <c r="Z156" s="13"/>
      <c r="AA156" s="13">
        <f t="shared" si="9"/>
        <v>26.049924364864864</v>
      </c>
      <c r="AB156" s="26">
        <v>0.214074680546672</v>
      </c>
      <c r="AC156" s="34">
        <v>637</v>
      </c>
      <c r="AD156" s="34">
        <v>153</v>
      </c>
      <c r="AE156" s="34">
        <v>26</v>
      </c>
      <c r="AF156" s="34">
        <v>22</v>
      </c>
      <c r="AG156" s="34">
        <v>0.15381432817706706</v>
      </c>
      <c r="AI156" s="35">
        <v>153</v>
      </c>
      <c r="AJ156" s="35">
        <v>74</v>
      </c>
      <c r="AK156" s="17">
        <v>75.1288993</v>
      </c>
      <c r="AM156" s="35">
        <v>37.497437185929599</v>
      </c>
      <c r="AN156" s="35">
        <v>0.98529411764705799</v>
      </c>
      <c r="AV156" s="13">
        <f t="shared" si="10"/>
        <v>1.5255395945946049</v>
      </c>
      <c r="AW156" s="35">
        <v>7.5857334838793394E-2</v>
      </c>
      <c r="AX156" s="35">
        <v>1807</v>
      </c>
      <c r="AY156" s="35">
        <v>80</v>
      </c>
      <c r="AZ156" s="35">
        <v>22</v>
      </c>
      <c r="BA156" s="35">
        <v>35</v>
      </c>
      <c r="BB156" s="35">
        <v>0.91245638048256472</v>
      </c>
      <c r="BD156" s="35">
        <v>153</v>
      </c>
      <c r="BE156" s="35">
        <v>74</v>
      </c>
      <c r="BF156" s="17">
        <v>78.195689540000004</v>
      </c>
      <c r="BH156" s="35">
        <v>38.501124999999902</v>
      </c>
      <c r="BI156" s="35">
        <v>0.98676470588235299</v>
      </c>
      <c r="BQ156" s="13">
        <f t="shared" si="11"/>
        <v>5.6698507297297418</v>
      </c>
      <c r="BR156" s="35">
        <v>9.3019815197587397E-2</v>
      </c>
      <c r="BS156" s="35">
        <v>916</v>
      </c>
      <c r="BT156" s="35">
        <v>127</v>
      </c>
      <c r="BU156" s="35">
        <v>44</v>
      </c>
      <c r="BV156" s="35">
        <v>11</v>
      </c>
      <c r="BW156" s="35">
        <v>0.44408059664152377</v>
      </c>
    </row>
    <row r="157" spans="1:75">
      <c r="A157" s="13">
        <v>154</v>
      </c>
      <c r="B157" s="13">
        <v>135</v>
      </c>
      <c r="C157" s="17">
        <v>115.937229</v>
      </c>
      <c r="D157" s="13"/>
      <c r="E157" s="36">
        <v>58.264234013065298</v>
      </c>
      <c r="F157" s="36">
        <v>0.97205882352941098</v>
      </c>
      <c r="G157" s="36"/>
      <c r="H157" s="13"/>
      <c r="I157" s="13"/>
      <c r="J157" s="13"/>
      <c r="K157" s="13"/>
      <c r="L157" s="13"/>
      <c r="M157" s="13">
        <f t="shared" si="8"/>
        <v>-14.120571111111113</v>
      </c>
      <c r="N157" s="13"/>
      <c r="O157" s="13">
        <v>154</v>
      </c>
      <c r="P157" s="13">
        <v>135</v>
      </c>
      <c r="Q157" s="17">
        <v>118.74441</v>
      </c>
      <c r="R157" s="13"/>
      <c r="S157" s="36">
        <v>45.127646451256197</v>
      </c>
      <c r="T157" s="36">
        <v>0.98529411764705799</v>
      </c>
      <c r="U157" s="36"/>
      <c r="V157" s="13"/>
      <c r="W157" s="13"/>
      <c r="X157" s="13"/>
      <c r="Y157" s="13"/>
      <c r="Z157" s="13"/>
      <c r="AA157" s="13">
        <f t="shared" si="9"/>
        <v>-12.041177777777779</v>
      </c>
      <c r="AB157" s="26">
        <v>0.214074680546672</v>
      </c>
      <c r="AC157" s="34">
        <v>901</v>
      </c>
      <c r="AD157" s="34">
        <v>88</v>
      </c>
      <c r="AE157" s="34">
        <v>44</v>
      </c>
      <c r="AF157" s="34">
        <v>23</v>
      </c>
      <c r="AG157" s="34">
        <v>0.63646976429869906</v>
      </c>
      <c r="AI157" s="35">
        <v>154</v>
      </c>
      <c r="AJ157" s="35">
        <v>135</v>
      </c>
      <c r="AK157" s="17">
        <v>134.60675710000001</v>
      </c>
      <c r="AM157" s="35">
        <v>37.756040201005</v>
      </c>
      <c r="AN157" s="35">
        <v>0.98529411764705799</v>
      </c>
      <c r="AV157" s="13">
        <f t="shared" si="10"/>
        <v>-0.29129103703703363</v>
      </c>
      <c r="AW157" s="35">
        <v>7.5857334838793394E-2</v>
      </c>
      <c r="AX157" s="35">
        <v>1492</v>
      </c>
      <c r="AY157" s="35">
        <v>87</v>
      </c>
      <c r="AZ157" s="35">
        <v>17</v>
      </c>
      <c r="BA157" s="35">
        <v>3</v>
      </c>
      <c r="BB157" s="35">
        <v>0.42769679601021893</v>
      </c>
      <c r="BD157" s="35">
        <v>154</v>
      </c>
      <c r="BE157" s="35">
        <v>135</v>
      </c>
      <c r="BF157" s="17">
        <v>130.74751850000001</v>
      </c>
      <c r="BH157" s="35">
        <v>38.766649999999899</v>
      </c>
      <c r="BI157" s="35">
        <v>0.98676470588235299</v>
      </c>
      <c r="BQ157" s="13">
        <f t="shared" si="11"/>
        <v>-3.1499862962962921</v>
      </c>
      <c r="BR157" s="35">
        <v>9.3019815197587397E-2</v>
      </c>
      <c r="BS157" s="35">
        <v>1833</v>
      </c>
      <c r="BT157" s="35">
        <v>38</v>
      </c>
      <c r="BU157" s="35">
        <v>13</v>
      </c>
      <c r="BV157" s="35">
        <v>21</v>
      </c>
      <c r="BW157" s="35">
        <v>0.46312217099952424</v>
      </c>
    </row>
    <row r="158" spans="1:75">
      <c r="A158" s="13">
        <v>155</v>
      </c>
      <c r="B158" s="13">
        <v>36</v>
      </c>
      <c r="C158" s="17">
        <v>57.46428624</v>
      </c>
      <c r="D158" s="13"/>
      <c r="E158" s="36">
        <v>58.6633041090452</v>
      </c>
      <c r="F158" s="36">
        <v>0.97352941176470498</v>
      </c>
      <c r="G158" s="36"/>
      <c r="H158" s="13"/>
      <c r="I158" s="13"/>
      <c r="J158" s="13"/>
      <c r="K158" s="13"/>
      <c r="L158" s="13"/>
      <c r="M158" s="13">
        <f t="shared" si="8"/>
        <v>59.62301733333333</v>
      </c>
      <c r="N158" s="13"/>
      <c r="O158" s="13">
        <v>155</v>
      </c>
      <c r="P158" s="13">
        <v>36</v>
      </c>
      <c r="Q158" s="17">
        <v>42.133453680000002</v>
      </c>
      <c r="R158" s="13"/>
      <c r="S158" s="36">
        <v>45.436739920100401</v>
      </c>
      <c r="T158" s="36">
        <v>0.98529411764705799</v>
      </c>
      <c r="U158" s="36"/>
      <c r="V158" s="13"/>
      <c r="W158" s="13"/>
      <c r="X158" s="13"/>
      <c r="Y158" s="13"/>
      <c r="Z158" s="13"/>
      <c r="AA158" s="13">
        <f t="shared" si="9"/>
        <v>17.03737133333334</v>
      </c>
      <c r="AB158" s="26">
        <v>0.214074680546672</v>
      </c>
      <c r="AC158" s="34">
        <v>1798</v>
      </c>
      <c r="AD158" s="34">
        <v>34</v>
      </c>
      <c r="AE158" s="34">
        <v>41</v>
      </c>
      <c r="AF158" s="34">
        <v>33</v>
      </c>
      <c r="AG158" s="34">
        <v>0.94251615828776214</v>
      </c>
      <c r="AI158" s="35">
        <v>155</v>
      </c>
      <c r="AJ158" s="35">
        <v>36</v>
      </c>
      <c r="AK158" s="17">
        <v>36.016333330000002</v>
      </c>
      <c r="AM158" s="35">
        <v>38.014643216080302</v>
      </c>
      <c r="AN158" s="35">
        <v>0.98529411764705799</v>
      </c>
      <c r="AV158" s="13">
        <f t="shared" si="10"/>
        <v>4.5370361111118918E-2</v>
      </c>
      <c r="AW158" s="35">
        <v>7.5857334838793394E-2</v>
      </c>
      <c r="AX158" s="35">
        <v>1202</v>
      </c>
      <c r="AY158" s="35">
        <v>39</v>
      </c>
      <c r="AZ158" s="35">
        <v>34</v>
      </c>
      <c r="BA158" s="35">
        <v>1</v>
      </c>
      <c r="BB158" s="35">
        <v>0.15324663869647373</v>
      </c>
      <c r="BD158" s="35">
        <v>155</v>
      </c>
      <c r="BE158" s="35">
        <v>36</v>
      </c>
      <c r="BF158" s="17">
        <v>36.259503080000002</v>
      </c>
      <c r="BH158" s="35">
        <v>39.032174999999903</v>
      </c>
      <c r="BI158" s="35">
        <v>0.98676470588235299</v>
      </c>
      <c r="BQ158" s="13">
        <f t="shared" si="11"/>
        <v>0.72084188888890122</v>
      </c>
      <c r="BR158" s="35">
        <v>9.3019815197587397E-2</v>
      </c>
      <c r="BS158" s="35">
        <v>981</v>
      </c>
      <c r="BT158" s="35">
        <v>120</v>
      </c>
      <c r="BU158" s="35">
        <v>30</v>
      </c>
      <c r="BV158" s="35">
        <v>7</v>
      </c>
      <c r="BW158" s="35">
        <v>0.29734381935333942</v>
      </c>
    </row>
    <row r="159" spans="1:75">
      <c r="A159" s="13">
        <v>156</v>
      </c>
      <c r="B159" s="13">
        <v>4</v>
      </c>
      <c r="C159" s="17">
        <v>3.8829921227291102</v>
      </c>
      <c r="D159" s="13"/>
      <c r="E159" s="36">
        <v>59.062374205025101</v>
      </c>
      <c r="F159" s="36">
        <v>0.97352941176470498</v>
      </c>
      <c r="G159" s="36"/>
      <c r="H159" s="13"/>
      <c r="I159" s="13"/>
      <c r="J159" s="13"/>
      <c r="K159" s="13"/>
      <c r="L159" s="13"/>
      <c r="M159" s="13">
        <f t="shared" si="8"/>
        <v>-2.9251969317722448</v>
      </c>
      <c r="N159" s="13"/>
      <c r="O159" s="13">
        <v>156</v>
      </c>
      <c r="P159" s="13">
        <v>4</v>
      </c>
      <c r="Q159" s="17">
        <v>6.2012577205631096</v>
      </c>
      <c r="R159" s="13"/>
      <c r="S159" s="36">
        <v>45.745833388944703</v>
      </c>
      <c r="T159" s="36">
        <v>0.98529411764705799</v>
      </c>
      <c r="U159" s="36"/>
      <c r="V159" s="13"/>
      <c r="W159" s="13"/>
      <c r="X159" s="13"/>
      <c r="Y159" s="13"/>
      <c r="Z159" s="13"/>
      <c r="AA159" s="13">
        <f t="shared" si="9"/>
        <v>55.031443014077738</v>
      </c>
      <c r="AB159" s="26">
        <v>0.20806914172053301</v>
      </c>
      <c r="AC159" s="34">
        <v>720</v>
      </c>
      <c r="AD159" s="34">
        <v>138</v>
      </c>
      <c r="AE159" s="34">
        <v>21</v>
      </c>
      <c r="AF159" s="34">
        <v>1</v>
      </c>
      <c r="AG159" s="34">
        <v>0.55890050038708505</v>
      </c>
      <c r="AI159" s="35">
        <v>156</v>
      </c>
      <c r="AJ159" s="35">
        <v>4</v>
      </c>
      <c r="AK159" s="17">
        <v>4.2959835159999997</v>
      </c>
      <c r="AM159" s="35">
        <v>38.273246231155703</v>
      </c>
      <c r="AN159" s="35">
        <v>0.98529411764705799</v>
      </c>
      <c r="AV159" s="13">
        <f t="shared" si="10"/>
        <v>7.3995878999999931</v>
      </c>
      <c r="AW159" s="35">
        <v>5.7740765072671799E-2</v>
      </c>
      <c r="AX159" s="35">
        <v>1904</v>
      </c>
      <c r="AY159" s="35">
        <v>48</v>
      </c>
      <c r="AZ159" s="35">
        <v>22</v>
      </c>
      <c r="BA159" s="35">
        <v>25</v>
      </c>
      <c r="BB159" s="35">
        <v>0.54280436755585659</v>
      </c>
      <c r="BD159" s="35">
        <v>156</v>
      </c>
      <c r="BE159" s="35">
        <v>4</v>
      </c>
      <c r="BF159" s="17">
        <v>4.8837624751842297</v>
      </c>
      <c r="BH159" s="35">
        <v>39.297699999999899</v>
      </c>
      <c r="BI159" s="35">
        <v>0.98823529411764699</v>
      </c>
      <c r="BQ159" s="13">
        <f t="shared" si="11"/>
        <v>22.094061879605743</v>
      </c>
      <c r="BR159" s="35">
        <v>9.3019815197587397E-2</v>
      </c>
      <c r="BS159" s="35">
        <v>1810</v>
      </c>
      <c r="BT159" s="35">
        <v>67</v>
      </c>
      <c r="BU159" s="35">
        <v>32</v>
      </c>
      <c r="BV159" s="35">
        <v>1</v>
      </c>
      <c r="BW159" s="35">
        <v>0.34079623483823784</v>
      </c>
    </row>
    <row r="160" spans="1:75">
      <c r="A160" s="13">
        <v>157</v>
      </c>
      <c r="B160" s="13">
        <v>115</v>
      </c>
      <c r="C160" s="17">
        <v>122.2474241</v>
      </c>
      <c r="D160" s="13"/>
      <c r="E160" s="36">
        <v>59.461444301005002</v>
      </c>
      <c r="F160" s="36">
        <v>0.97352941176470498</v>
      </c>
      <c r="G160" s="36"/>
      <c r="H160" s="13"/>
      <c r="I160" s="13"/>
      <c r="J160" s="13"/>
      <c r="K160" s="13"/>
      <c r="L160" s="13"/>
      <c r="M160" s="13">
        <f t="shared" si="8"/>
        <v>6.3021079130434865</v>
      </c>
      <c r="N160" s="13"/>
      <c r="O160" s="13">
        <v>157</v>
      </c>
      <c r="P160" s="13">
        <v>115</v>
      </c>
      <c r="Q160" s="17">
        <v>123.087407</v>
      </c>
      <c r="R160" s="13"/>
      <c r="S160" s="36">
        <v>46.054926857788899</v>
      </c>
      <c r="T160" s="36">
        <v>0.98529411764705799</v>
      </c>
      <c r="U160" s="36"/>
      <c r="V160" s="13"/>
      <c r="W160" s="13"/>
      <c r="X160" s="13"/>
      <c r="Y160" s="13"/>
      <c r="Z160" s="13"/>
      <c r="AA160" s="13">
        <f t="shared" si="9"/>
        <v>7.032527826086965</v>
      </c>
      <c r="AB160" s="26">
        <v>0.20806914172053301</v>
      </c>
      <c r="AC160" s="34">
        <v>274</v>
      </c>
      <c r="AD160" s="34">
        <v>108</v>
      </c>
      <c r="AE160" s="34">
        <v>33</v>
      </c>
      <c r="AF160" s="34">
        <v>3</v>
      </c>
      <c r="AG160" s="34">
        <v>0.64055307702398634</v>
      </c>
      <c r="AI160" s="35">
        <v>157</v>
      </c>
      <c r="AJ160" s="35">
        <v>115</v>
      </c>
      <c r="AK160" s="17">
        <v>115.1193136</v>
      </c>
      <c r="AM160" s="35">
        <v>38.531849246231097</v>
      </c>
      <c r="AN160" s="35">
        <v>0.98529411764705799</v>
      </c>
      <c r="AV160" s="13">
        <f t="shared" si="10"/>
        <v>0.10375095652173094</v>
      </c>
      <c r="AW160" s="35">
        <v>5.7740765072671799E-2</v>
      </c>
      <c r="AX160" s="35">
        <v>1415</v>
      </c>
      <c r="AY160" s="35">
        <v>174</v>
      </c>
      <c r="AZ160" s="35">
        <v>34</v>
      </c>
      <c r="BA160" s="35">
        <v>1</v>
      </c>
      <c r="BB160" s="35">
        <v>0.62154798817323698</v>
      </c>
      <c r="BD160" s="35">
        <v>157</v>
      </c>
      <c r="BE160" s="35">
        <v>115</v>
      </c>
      <c r="BF160" s="17">
        <v>116.23444739999999</v>
      </c>
      <c r="BH160" s="35">
        <v>39.563224999999903</v>
      </c>
      <c r="BI160" s="35">
        <v>0.98823529411764699</v>
      </c>
      <c r="BQ160" s="13">
        <f t="shared" si="11"/>
        <v>1.0734325217391261</v>
      </c>
      <c r="BR160" s="35">
        <v>9.3019815197587397E-2</v>
      </c>
      <c r="BS160" s="35">
        <v>786</v>
      </c>
      <c r="BT160" s="35">
        <v>98</v>
      </c>
      <c r="BU160" s="35">
        <v>36</v>
      </c>
      <c r="BV160" s="35">
        <v>14</v>
      </c>
      <c r="BW160" s="35">
        <v>0.70012822560883481</v>
      </c>
    </row>
    <row r="161" spans="1:75">
      <c r="A161" s="13">
        <v>158</v>
      </c>
      <c r="B161" s="13">
        <v>80</v>
      </c>
      <c r="C161" s="17">
        <v>99.590848960000002</v>
      </c>
      <c r="D161" s="13"/>
      <c r="E161" s="36">
        <v>59.860514396984897</v>
      </c>
      <c r="F161" s="36">
        <v>0.97352941176470498</v>
      </c>
      <c r="G161" s="36"/>
      <c r="H161" s="13"/>
      <c r="I161" s="13"/>
      <c r="J161" s="13"/>
      <c r="K161" s="13"/>
      <c r="L161" s="13"/>
      <c r="M161" s="13">
        <f t="shared" si="8"/>
        <v>24.488561200000003</v>
      </c>
      <c r="N161" s="13"/>
      <c r="O161" s="13">
        <v>158</v>
      </c>
      <c r="P161" s="13">
        <v>80</v>
      </c>
      <c r="Q161" s="17">
        <v>94.129206449999998</v>
      </c>
      <c r="R161" s="13"/>
      <c r="S161" s="36">
        <v>46.364020326633103</v>
      </c>
      <c r="T161" s="36">
        <v>0.98529411764705799</v>
      </c>
      <c r="U161" s="36"/>
      <c r="V161" s="13"/>
      <c r="W161" s="13"/>
      <c r="X161" s="13"/>
      <c r="Y161" s="13"/>
      <c r="Z161" s="13"/>
      <c r="AA161" s="13">
        <f t="shared" si="9"/>
        <v>17.661508062499998</v>
      </c>
      <c r="AB161" s="26">
        <v>0.20806914172053301</v>
      </c>
      <c r="AC161" s="34">
        <v>378</v>
      </c>
      <c r="AD161" s="34">
        <v>20</v>
      </c>
      <c r="AE161" s="34">
        <v>17</v>
      </c>
      <c r="AF161" s="34">
        <v>34</v>
      </c>
      <c r="AG161" s="34">
        <v>0.64197325860895027</v>
      </c>
      <c r="AI161" s="35">
        <v>158</v>
      </c>
      <c r="AJ161" s="35">
        <v>80</v>
      </c>
      <c r="AK161" s="17">
        <v>81.974513049999999</v>
      </c>
      <c r="AM161" s="35">
        <v>38.790452261306498</v>
      </c>
      <c r="AN161" s="35">
        <v>0.98823529411764699</v>
      </c>
      <c r="AV161" s="13">
        <f t="shared" si="10"/>
        <v>2.468141312499994</v>
      </c>
      <c r="AW161" s="35">
        <v>5.7740765072671799E-2</v>
      </c>
      <c r="AX161" s="35">
        <v>578</v>
      </c>
      <c r="AY161" s="35">
        <v>115</v>
      </c>
      <c r="AZ161" s="35">
        <v>7</v>
      </c>
      <c r="BA161" s="35">
        <v>17</v>
      </c>
      <c r="BB161" s="35">
        <v>0.30427788316969528</v>
      </c>
      <c r="BD161" s="35">
        <v>158</v>
      </c>
      <c r="BE161" s="35">
        <v>80</v>
      </c>
      <c r="BF161" s="17">
        <v>87.881854829999995</v>
      </c>
      <c r="BH161" s="35">
        <v>39.8287499999999</v>
      </c>
      <c r="BI161" s="35">
        <v>0.98823529411764699</v>
      </c>
      <c r="BQ161" s="13">
        <f t="shared" si="11"/>
        <v>9.8523185374999933</v>
      </c>
      <c r="BR161" s="35">
        <v>9.3019815197587397E-2</v>
      </c>
      <c r="BS161" s="35">
        <v>97</v>
      </c>
      <c r="BT161" s="35">
        <v>189</v>
      </c>
      <c r="BU161" s="35">
        <v>19</v>
      </c>
      <c r="BV161" s="35">
        <v>18</v>
      </c>
      <c r="BW161" s="35">
        <v>0.3603199694604009</v>
      </c>
    </row>
    <row r="162" spans="1:75">
      <c r="A162" s="13">
        <v>159</v>
      </c>
      <c r="B162" s="13">
        <v>15</v>
      </c>
      <c r="C162" s="17">
        <v>10.1679316251694</v>
      </c>
      <c r="D162" s="13"/>
      <c r="E162" s="36">
        <v>60.259584492964798</v>
      </c>
      <c r="F162" s="36">
        <v>0.97499999999999998</v>
      </c>
      <c r="G162" s="36"/>
      <c r="H162" s="13"/>
      <c r="I162" s="13"/>
      <c r="J162" s="13"/>
      <c r="K162" s="13"/>
      <c r="L162" s="13"/>
      <c r="M162" s="13">
        <f t="shared" si="8"/>
        <v>-32.213789165537335</v>
      </c>
      <c r="N162" s="13"/>
      <c r="O162" s="13">
        <v>159</v>
      </c>
      <c r="P162" s="13">
        <v>15</v>
      </c>
      <c r="Q162" s="17">
        <v>11.4659565946773</v>
      </c>
      <c r="R162" s="13"/>
      <c r="S162" s="36">
        <v>46.673113795477299</v>
      </c>
      <c r="T162" s="36">
        <v>0.98529411764705799</v>
      </c>
      <c r="U162" s="36"/>
      <c r="V162" s="13"/>
      <c r="W162" s="13"/>
      <c r="X162" s="13"/>
      <c r="Y162" s="13"/>
      <c r="Z162" s="13"/>
      <c r="AA162" s="13">
        <f t="shared" si="9"/>
        <v>-23.560289368817998</v>
      </c>
      <c r="AB162" s="26">
        <v>0.20806914172053301</v>
      </c>
      <c r="AC162" s="34">
        <v>759</v>
      </c>
      <c r="AD162" s="34">
        <v>18</v>
      </c>
      <c r="AE162" s="34">
        <v>35</v>
      </c>
      <c r="AF162" s="34">
        <v>37</v>
      </c>
      <c r="AG162" s="34">
        <v>0.15028699936038886</v>
      </c>
      <c r="AI162" s="35">
        <v>159</v>
      </c>
      <c r="AJ162" s="35">
        <v>15</v>
      </c>
      <c r="AK162" s="17">
        <v>15.32212092</v>
      </c>
      <c r="AM162" s="35">
        <v>39.0490552763819</v>
      </c>
      <c r="AN162" s="35">
        <v>0.98823529411764699</v>
      </c>
      <c r="AV162" s="13">
        <f t="shared" si="10"/>
        <v>2.1474728000000054</v>
      </c>
      <c r="AW162" s="35">
        <v>5.7740765072671799E-2</v>
      </c>
      <c r="AX162" s="35">
        <v>1577</v>
      </c>
      <c r="AY162" s="35">
        <v>100</v>
      </c>
      <c r="AZ162" s="35">
        <v>2</v>
      </c>
      <c r="BA162" s="35">
        <v>45</v>
      </c>
      <c r="BB162" s="35">
        <v>0.9089506995960106</v>
      </c>
      <c r="BD162" s="35">
        <v>159</v>
      </c>
      <c r="BE162" s="35">
        <v>15</v>
      </c>
      <c r="BF162" s="17">
        <v>18.887482739999999</v>
      </c>
      <c r="BH162" s="35">
        <v>40.094274999999897</v>
      </c>
      <c r="BI162" s="35">
        <v>0.98823529411764699</v>
      </c>
      <c r="BQ162" s="13">
        <f t="shared" si="11"/>
        <v>25.916551599999991</v>
      </c>
      <c r="BR162" s="35">
        <v>9.3019815197587397E-2</v>
      </c>
      <c r="BS162" s="35">
        <v>195</v>
      </c>
      <c r="BT162" s="35">
        <v>76</v>
      </c>
      <c r="BU162" s="35">
        <v>30</v>
      </c>
      <c r="BV162" s="35">
        <v>2</v>
      </c>
      <c r="BW162" s="35">
        <v>0.5520009691375356</v>
      </c>
    </row>
    <row r="163" spans="1:75">
      <c r="A163" s="13">
        <v>160</v>
      </c>
      <c r="B163" s="13">
        <v>233</v>
      </c>
      <c r="C163" s="17">
        <v>170.79876089999999</v>
      </c>
      <c r="D163" s="13"/>
      <c r="E163" s="36">
        <v>60.6586545889447</v>
      </c>
      <c r="F163" s="36">
        <v>0.97499999999999998</v>
      </c>
      <c r="G163" s="36"/>
      <c r="H163" s="13"/>
      <c r="I163" s="13"/>
      <c r="J163" s="13"/>
      <c r="K163" s="13"/>
      <c r="L163" s="13"/>
      <c r="M163" s="13">
        <f t="shared" si="8"/>
        <v>-26.695810772532191</v>
      </c>
      <c r="N163" s="13"/>
      <c r="O163" s="13">
        <v>160</v>
      </c>
      <c r="P163" s="13">
        <v>233</v>
      </c>
      <c r="Q163" s="17">
        <v>199.15396759999999</v>
      </c>
      <c r="R163" s="13"/>
      <c r="S163" s="36">
        <v>46.982207264321602</v>
      </c>
      <c r="T163" s="36">
        <v>0.98676470588235299</v>
      </c>
      <c r="U163" s="36"/>
      <c r="V163" s="13"/>
      <c r="W163" s="13"/>
      <c r="X163" s="13"/>
      <c r="Y163" s="13"/>
      <c r="Z163" s="13"/>
      <c r="AA163" s="13">
        <f t="shared" si="9"/>
        <v>-14.526194163090134</v>
      </c>
      <c r="AB163" s="26">
        <v>0.20806914172053301</v>
      </c>
      <c r="AC163" s="34">
        <v>521</v>
      </c>
      <c r="AD163" s="34">
        <v>36</v>
      </c>
      <c r="AE163" s="34">
        <v>46</v>
      </c>
      <c r="AF163" s="34">
        <v>35</v>
      </c>
      <c r="AG163" s="34">
        <v>0.1522634168673771</v>
      </c>
      <c r="AI163" s="35">
        <v>160</v>
      </c>
      <c r="AJ163" s="35">
        <v>233</v>
      </c>
      <c r="AK163" s="17">
        <v>232.86199999999999</v>
      </c>
      <c r="AM163" s="35">
        <v>39.307658291457201</v>
      </c>
      <c r="AN163" s="35">
        <v>0.98823529411764699</v>
      </c>
      <c r="AV163" s="13">
        <f t="shared" si="10"/>
        <v>-5.9227467811162615E-2</v>
      </c>
      <c r="AW163" s="35">
        <v>4.8800508485534598E-2</v>
      </c>
      <c r="AX163" s="35">
        <v>1596</v>
      </c>
      <c r="AY163" s="35">
        <v>192</v>
      </c>
      <c r="AZ163" s="35">
        <v>14</v>
      </c>
      <c r="BA163" s="35">
        <v>10</v>
      </c>
      <c r="BB163" s="35">
        <v>0.17403100533845417</v>
      </c>
      <c r="BD163" s="35">
        <v>160</v>
      </c>
      <c r="BE163" s="35">
        <v>233</v>
      </c>
      <c r="BF163" s="17">
        <v>229.0405835</v>
      </c>
      <c r="BH163" s="35">
        <v>40.3597999999999</v>
      </c>
      <c r="BI163" s="35">
        <v>0.98970588235294099</v>
      </c>
      <c r="BQ163" s="13">
        <f t="shared" si="11"/>
        <v>-1.699320386266101</v>
      </c>
      <c r="BR163" s="35">
        <v>9.3019815197587397E-2</v>
      </c>
      <c r="BS163" s="35">
        <v>760</v>
      </c>
      <c r="BT163" s="35">
        <v>170</v>
      </c>
      <c r="BU163" s="35">
        <v>37</v>
      </c>
      <c r="BV163" s="35">
        <v>38</v>
      </c>
      <c r="BW163" s="35">
        <v>0.9776868413798705</v>
      </c>
    </row>
    <row r="164" spans="1:75">
      <c r="A164" s="13">
        <v>161</v>
      </c>
      <c r="B164" s="13">
        <v>1</v>
      </c>
      <c r="C164" s="17">
        <v>1.1383084216230099</v>
      </c>
      <c r="D164" s="13"/>
      <c r="E164" s="36">
        <v>61.057724684924601</v>
      </c>
      <c r="F164" s="36">
        <v>0.97499999999999998</v>
      </c>
      <c r="G164" s="36"/>
      <c r="H164" s="13"/>
      <c r="I164" s="13"/>
      <c r="J164" s="13"/>
      <c r="K164" s="13"/>
      <c r="L164" s="13"/>
      <c r="M164" s="13">
        <f t="shared" si="8"/>
        <v>13.830842162300993</v>
      </c>
      <c r="N164" s="13"/>
      <c r="O164" s="13">
        <v>161</v>
      </c>
      <c r="P164" s="13">
        <v>1</v>
      </c>
      <c r="Q164" s="17">
        <v>1.14649396803818</v>
      </c>
      <c r="R164" s="13"/>
      <c r="S164" s="36">
        <v>47.291300733165798</v>
      </c>
      <c r="T164" s="36">
        <v>0.98823529411764699</v>
      </c>
      <c r="U164" s="36"/>
      <c r="V164" s="13"/>
      <c r="W164" s="13"/>
      <c r="X164" s="13"/>
      <c r="Y164" s="13"/>
      <c r="Z164" s="13"/>
      <c r="AA164" s="13">
        <f t="shared" si="9"/>
        <v>14.649396803818004</v>
      </c>
      <c r="AB164" s="26">
        <v>0.20806914172053301</v>
      </c>
      <c r="AC164" s="34">
        <v>865</v>
      </c>
      <c r="AD164" s="34">
        <v>88</v>
      </c>
      <c r="AE164" s="34">
        <v>3</v>
      </c>
      <c r="AF164" s="34">
        <v>16</v>
      </c>
      <c r="AG164" s="34">
        <v>0.19565889619800331</v>
      </c>
      <c r="AI164" s="35">
        <v>161</v>
      </c>
      <c r="AJ164" s="35">
        <v>1</v>
      </c>
      <c r="AK164" s="17">
        <v>1.016</v>
      </c>
      <c r="AM164" s="35">
        <v>39.566261306532603</v>
      </c>
      <c r="AN164" s="35">
        <v>0.98823529411764699</v>
      </c>
      <c r="AV164" s="13">
        <f t="shared" si="10"/>
        <v>1.6000000000000014</v>
      </c>
      <c r="AW164" s="35">
        <v>4.8800508485534598E-2</v>
      </c>
      <c r="AX164" s="35">
        <v>734</v>
      </c>
      <c r="AY164" s="35">
        <v>72</v>
      </c>
      <c r="AZ164" s="35">
        <v>39</v>
      </c>
      <c r="BA164" s="35">
        <v>20</v>
      </c>
      <c r="BB164" s="35">
        <v>0.52233847038852321</v>
      </c>
      <c r="BD164" s="35">
        <v>161</v>
      </c>
      <c r="BE164" s="35">
        <v>1</v>
      </c>
      <c r="BF164" s="17">
        <v>1.1856351404113199</v>
      </c>
      <c r="BH164" s="35">
        <v>40.625324999999997</v>
      </c>
      <c r="BI164" s="35">
        <v>0.99117647058823499</v>
      </c>
      <c r="BQ164" s="13">
        <f t="shared" si="11"/>
        <v>18.563514041131988</v>
      </c>
      <c r="BR164" s="35">
        <v>9.2866803649190699E-2</v>
      </c>
      <c r="BS164" s="35">
        <v>746</v>
      </c>
      <c r="BT164" s="35">
        <v>104</v>
      </c>
      <c r="BU164" s="35">
        <v>4</v>
      </c>
      <c r="BV164" s="35">
        <v>20</v>
      </c>
      <c r="BW164" s="35">
        <v>0.93959221648142621</v>
      </c>
    </row>
    <row r="165" spans="1:75">
      <c r="A165" s="13">
        <v>162</v>
      </c>
      <c r="B165" s="13">
        <v>42</v>
      </c>
      <c r="C165" s="17">
        <v>56.531727959999998</v>
      </c>
      <c r="D165" s="13"/>
      <c r="E165" s="36">
        <v>61.456794780904502</v>
      </c>
      <c r="F165" s="36">
        <v>0.97941176470588198</v>
      </c>
      <c r="G165" s="36"/>
      <c r="H165" s="13"/>
      <c r="I165" s="13"/>
      <c r="J165" s="13"/>
      <c r="K165" s="13"/>
      <c r="L165" s="13"/>
      <c r="M165" s="13">
        <f t="shared" si="8"/>
        <v>34.599352285714289</v>
      </c>
      <c r="N165" s="13"/>
      <c r="O165" s="13">
        <v>162</v>
      </c>
      <c r="P165" s="13">
        <v>42</v>
      </c>
      <c r="Q165" s="17">
        <v>44.031012509999996</v>
      </c>
      <c r="R165" s="13"/>
      <c r="S165" s="36">
        <v>47.600394202010001</v>
      </c>
      <c r="T165" s="36">
        <v>0.98823529411764699</v>
      </c>
      <c r="U165" s="36"/>
      <c r="V165" s="13"/>
      <c r="W165" s="13"/>
      <c r="X165" s="13"/>
      <c r="Y165" s="13"/>
      <c r="Z165" s="13"/>
      <c r="AA165" s="13">
        <f t="shared" si="9"/>
        <v>4.8357440714285715</v>
      </c>
      <c r="AB165" s="26">
        <v>0.20806914172053301</v>
      </c>
      <c r="AC165" s="34">
        <v>348</v>
      </c>
      <c r="AD165" s="34">
        <v>27</v>
      </c>
      <c r="AE165" s="34">
        <v>23</v>
      </c>
      <c r="AF165" s="34">
        <v>15</v>
      </c>
      <c r="AG165" s="34">
        <v>0.58417404575984078</v>
      </c>
      <c r="AI165" s="35">
        <v>162</v>
      </c>
      <c r="AJ165" s="35">
        <v>42</v>
      </c>
      <c r="AK165" s="17">
        <v>41.933769230000003</v>
      </c>
      <c r="AM165" s="35">
        <v>39.824864321607997</v>
      </c>
      <c r="AN165" s="35">
        <v>0.98970588235294099</v>
      </c>
      <c r="AV165" s="13">
        <f t="shared" si="10"/>
        <v>-0.15769230952380475</v>
      </c>
      <c r="AW165" s="35">
        <v>4.8800508485534598E-2</v>
      </c>
      <c r="AX165" s="35">
        <v>712</v>
      </c>
      <c r="AY165" s="35">
        <v>29</v>
      </c>
      <c r="AZ165" s="35">
        <v>6</v>
      </c>
      <c r="BA165" s="35">
        <v>40</v>
      </c>
      <c r="BB165" s="35">
        <v>0.1401098513563514</v>
      </c>
      <c r="BD165" s="35">
        <v>162</v>
      </c>
      <c r="BE165" s="35">
        <v>42</v>
      </c>
      <c r="BF165" s="17">
        <v>42.145405830000001</v>
      </c>
      <c r="BH165" s="35">
        <v>40.890849999999901</v>
      </c>
      <c r="BI165" s="35">
        <v>0.99117647058823499</v>
      </c>
      <c r="BQ165" s="13">
        <f t="shared" si="11"/>
        <v>0.34620435714285414</v>
      </c>
      <c r="BR165" s="35">
        <v>9.2866803649190699E-2</v>
      </c>
      <c r="BS165" s="35">
        <v>419</v>
      </c>
      <c r="BT165" s="35">
        <v>76</v>
      </c>
      <c r="BU165" s="35">
        <v>33</v>
      </c>
      <c r="BV165" s="35">
        <v>9</v>
      </c>
      <c r="BW165" s="35">
        <v>0.29809573233608039</v>
      </c>
    </row>
    <row r="166" spans="1:75">
      <c r="A166" s="13">
        <v>163</v>
      </c>
      <c r="B166" s="13">
        <v>56</v>
      </c>
      <c r="C166" s="17">
        <v>77.615281319999994</v>
      </c>
      <c r="D166" s="13"/>
      <c r="E166" s="36">
        <v>61.855864876884397</v>
      </c>
      <c r="F166" s="36">
        <v>0.97941176470588198</v>
      </c>
      <c r="G166" s="36"/>
      <c r="H166" s="13"/>
      <c r="I166" s="13"/>
      <c r="J166" s="13"/>
      <c r="K166" s="13"/>
      <c r="L166" s="13"/>
      <c r="M166" s="13">
        <f t="shared" ref="M166:M229" si="12">((C166/B166)-1)*100</f>
        <v>38.59871664285712</v>
      </c>
      <c r="N166" s="13"/>
      <c r="O166" s="13">
        <v>163</v>
      </c>
      <c r="P166" s="13">
        <v>56</v>
      </c>
      <c r="Q166" s="17">
        <v>67.301597040000004</v>
      </c>
      <c r="R166" s="13"/>
      <c r="S166" s="36">
        <v>47.909487670854197</v>
      </c>
      <c r="T166" s="36">
        <v>0.98970588235294099</v>
      </c>
      <c r="U166" s="36"/>
      <c r="V166" s="13"/>
      <c r="W166" s="13"/>
      <c r="X166" s="13"/>
      <c r="Y166" s="13"/>
      <c r="Z166" s="13"/>
      <c r="AA166" s="13">
        <f t="shared" si="9"/>
        <v>20.181423285714285</v>
      </c>
      <c r="AB166" s="26">
        <v>0.20806914172053301</v>
      </c>
      <c r="AC166" s="34">
        <v>628</v>
      </c>
      <c r="AD166" s="34">
        <v>43</v>
      </c>
      <c r="AE166" s="34">
        <v>27</v>
      </c>
      <c r="AF166" s="34">
        <v>5</v>
      </c>
      <c r="AG166" s="34">
        <v>0.58882241587958628</v>
      </c>
      <c r="AI166" s="35">
        <v>163</v>
      </c>
      <c r="AJ166" s="35">
        <v>56</v>
      </c>
      <c r="AK166" s="17">
        <v>56.571171229999997</v>
      </c>
      <c r="AM166" s="35">
        <v>40.083467336683398</v>
      </c>
      <c r="AN166" s="35">
        <v>0.99117647058823499</v>
      </c>
      <c r="AV166" s="13">
        <f t="shared" si="10"/>
        <v>1.019948624999989</v>
      </c>
      <c r="AW166" s="35">
        <v>4.8800508485534598E-2</v>
      </c>
      <c r="AX166" s="35">
        <v>1761</v>
      </c>
      <c r="AY166" s="35">
        <v>63</v>
      </c>
      <c r="AZ166" s="35">
        <v>43</v>
      </c>
      <c r="BA166" s="35">
        <v>45</v>
      </c>
      <c r="BB166" s="35">
        <v>0.22207884736245331</v>
      </c>
      <c r="BD166" s="35">
        <v>163</v>
      </c>
      <c r="BE166" s="35">
        <v>56</v>
      </c>
      <c r="BF166" s="17">
        <v>59.314651730000001</v>
      </c>
      <c r="BH166" s="35">
        <v>41.156374999999898</v>
      </c>
      <c r="BI166" s="35">
        <v>0.99117647058823499</v>
      </c>
      <c r="BQ166" s="13">
        <f t="shared" si="11"/>
        <v>5.919020946428577</v>
      </c>
      <c r="BR166" s="35">
        <v>9.2866803649190699E-2</v>
      </c>
      <c r="BS166" s="35">
        <v>1654</v>
      </c>
      <c r="BT166" s="35">
        <v>134</v>
      </c>
      <c r="BU166" s="35">
        <v>34</v>
      </c>
      <c r="BV166" s="35">
        <v>25</v>
      </c>
      <c r="BW166" s="35">
        <v>0.39611957016596278</v>
      </c>
    </row>
    <row r="167" spans="1:75">
      <c r="A167" s="13">
        <v>164</v>
      </c>
      <c r="B167" s="13">
        <v>54</v>
      </c>
      <c r="C167" s="17">
        <v>84.912415730000006</v>
      </c>
      <c r="D167" s="13"/>
      <c r="E167" s="36">
        <v>62.254934972864298</v>
      </c>
      <c r="F167" s="36">
        <v>0.98235294117646998</v>
      </c>
      <c r="G167" s="36"/>
      <c r="H167" s="13"/>
      <c r="I167" s="13"/>
      <c r="J167" s="13"/>
      <c r="K167" s="13"/>
      <c r="L167" s="13"/>
      <c r="M167" s="13">
        <f t="shared" si="12"/>
        <v>57.245214314814817</v>
      </c>
      <c r="N167" s="13"/>
      <c r="O167" s="13">
        <v>164</v>
      </c>
      <c r="P167" s="13">
        <v>54</v>
      </c>
      <c r="Q167" s="17">
        <v>70.939922870000004</v>
      </c>
      <c r="R167" s="13"/>
      <c r="S167" s="36">
        <v>48.218581139698401</v>
      </c>
      <c r="T167" s="36">
        <v>0.98970588235294099</v>
      </c>
      <c r="U167" s="36"/>
      <c r="V167" s="13"/>
      <c r="W167" s="13"/>
      <c r="X167" s="13"/>
      <c r="Y167" s="13"/>
      <c r="Z167" s="13"/>
      <c r="AA167" s="13">
        <f t="shared" si="9"/>
        <v>31.370227537037042</v>
      </c>
      <c r="AB167" s="26">
        <v>0.20806914172053301</v>
      </c>
      <c r="AC167" s="34">
        <v>811</v>
      </c>
      <c r="AD167" s="34">
        <v>89</v>
      </c>
      <c r="AE167" s="34">
        <v>30</v>
      </c>
      <c r="AF167" s="34">
        <v>11</v>
      </c>
      <c r="AG167" s="34">
        <v>0.87400192305126245</v>
      </c>
      <c r="AI167" s="35">
        <v>164</v>
      </c>
      <c r="AJ167" s="35">
        <v>54</v>
      </c>
      <c r="AK167" s="17">
        <v>54.602736559999997</v>
      </c>
      <c r="AM167" s="35">
        <v>40.3420703517587</v>
      </c>
      <c r="AN167" s="35">
        <v>0.99117647058823499</v>
      </c>
      <c r="AV167" s="13">
        <f t="shared" si="10"/>
        <v>1.1161788148148055</v>
      </c>
      <c r="AW167" s="35">
        <v>4.6866521876212201E-2</v>
      </c>
      <c r="AX167" s="35">
        <v>82</v>
      </c>
      <c r="AY167" s="35">
        <v>53</v>
      </c>
      <c r="AZ167" s="35">
        <v>27</v>
      </c>
      <c r="BA167" s="35">
        <v>16</v>
      </c>
      <c r="BB167" s="35">
        <v>0.10689024746112337</v>
      </c>
      <c r="BD167" s="35">
        <v>164</v>
      </c>
      <c r="BE167" s="35">
        <v>54</v>
      </c>
      <c r="BF167" s="17">
        <v>58.402288400000003</v>
      </c>
      <c r="BH167" s="35">
        <v>41.421899999999901</v>
      </c>
      <c r="BI167" s="35">
        <v>0.99117647058823499</v>
      </c>
      <c r="BQ167" s="13">
        <f t="shared" si="11"/>
        <v>8.1523859259259304</v>
      </c>
      <c r="BR167" s="35">
        <v>9.2866803649190699E-2</v>
      </c>
      <c r="BS167" s="35">
        <v>435</v>
      </c>
      <c r="BT167" s="35">
        <v>12</v>
      </c>
      <c r="BU167" s="35">
        <v>25</v>
      </c>
      <c r="BV167" s="35">
        <v>26</v>
      </c>
      <c r="BW167" s="35">
        <v>0.77901534492970159</v>
      </c>
    </row>
    <row r="168" spans="1:75">
      <c r="A168" s="13">
        <v>165</v>
      </c>
      <c r="B168" s="13">
        <v>85</v>
      </c>
      <c r="C168" s="17">
        <v>79.573769060000004</v>
      </c>
      <c r="D168" s="13"/>
      <c r="E168" s="36">
        <v>62.654005068844199</v>
      </c>
      <c r="F168" s="36">
        <v>0.98382352941176399</v>
      </c>
      <c r="G168" s="36"/>
      <c r="H168" s="13"/>
      <c r="I168" s="13"/>
      <c r="J168" s="13"/>
      <c r="K168" s="13"/>
      <c r="L168" s="13"/>
      <c r="M168" s="13">
        <f t="shared" si="12"/>
        <v>-6.3838011058823474</v>
      </c>
      <c r="N168" s="13"/>
      <c r="O168" s="13">
        <v>165</v>
      </c>
      <c r="P168" s="13">
        <v>85</v>
      </c>
      <c r="Q168" s="17">
        <v>75.914055340000004</v>
      </c>
      <c r="R168" s="13"/>
      <c r="S168" s="36">
        <v>48.527674608542704</v>
      </c>
      <c r="T168" s="36">
        <v>0.99117647058823499</v>
      </c>
      <c r="U168" s="36"/>
      <c r="V168" s="13"/>
      <c r="W168" s="13"/>
      <c r="X168" s="13"/>
      <c r="Y168" s="13"/>
      <c r="Z168" s="13"/>
      <c r="AA168" s="13">
        <f t="shared" si="9"/>
        <v>-10.689346658823528</v>
      </c>
      <c r="AB168" s="26">
        <v>0.20806914172053301</v>
      </c>
      <c r="AC168" s="34">
        <v>514</v>
      </c>
      <c r="AD168" s="34">
        <v>184</v>
      </c>
      <c r="AE168" s="34">
        <v>26</v>
      </c>
      <c r="AF168" s="34">
        <v>37</v>
      </c>
      <c r="AG168" s="34">
        <v>0.82835531152105468</v>
      </c>
      <c r="AI168" s="35">
        <v>165</v>
      </c>
      <c r="AJ168" s="35">
        <v>85</v>
      </c>
      <c r="AK168" s="17">
        <v>84.028464729999996</v>
      </c>
      <c r="AM168" s="35">
        <v>40.600673366834101</v>
      </c>
      <c r="AN168" s="35">
        <v>0.99117647058823499</v>
      </c>
      <c r="AV168" s="13">
        <f t="shared" si="10"/>
        <v>-1.142982670588244</v>
      </c>
      <c r="AW168" s="35">
        <v>4.6866521876212201E-2</v>
      </c>
      <c r="AX168" s="35">
        <v>271</v>
      </c>
      <c r="AY168" s="35">
        <v>8</v>
      </c>
      <c r="AZ168" s="35">
        <v>20</v>
      </c>
      <c r="BA168" s="35">
        <v>20</v>
      </c>
      <c r="BB168" s="35">
        <v>0.85577491094064329</v>
      </c>
      <c r="BD168" s="35">
        <v>165</v>
      </c>
      <c r="BE168" s="35">
        <v>85</v>
      </c>
      <c r="BF168" s="17">
        <v>79.103750120000001</v>
      </c>
      <c r="BH168" s="35">
        <v>41.687424999999898</v>
      </c>
      <c r="BI168" s="35">
        <v>0.99117647058823499</v>
      </c>
      <c r="BQ168" s="13">
        <f t="shared" si="11"/>
        <v>-6.9367645647058769</v>
      </c>
      <c r="BR168" s="35">
        <v>9.2866803649190699E-2</v>
      </c>
      <c r="BS168" s="35">
        <v>1256</v>
      </c>
      <c r="BT168" s="35">
        <v>94</v>
      </c>
      <c r="BU168" s="35">
        <v>25</v>
      </c>
      <c r="BV168" s="35">
        <v>18</v>
      </c>
      <c r="BW168" s="35">
        <v>0.63516042094375735</v>
      </c>
    </row>
    <row r="169" spans="1:75">
      <c r="A169" s="13">
        <v>166</v>
      </c>
      <c r="B169" s="13">
        <v>8</v>
      </c>
      <c r="C169" s="17">
        <v>12.8191158848655</v>
      </c>
      <c r="D169" s="13"/>
      <c r="E169" s="36">
        <v>63.053075164824101</v>
      </c>
      <c r="F169" s="36">
        <v>0.98676470588235299</v>
      </c>
      <c r="G169" s="36"/>
      <c r="H169" s="13"/>
      <c r="I169" s="13"/>
      <c r="J169" s="13"/>
      <c r="K169" s="13"/>
      <c r="L169" s="13"/>
      <c r="M169" s="13">
        <f t="shared" si="12"/>
        <v>60.238948560818748</v>
      </c>
      <c r="N169" s="13"/>
      <c r="O169" s="13">
        <v>166</v>
      </c>
      <c r="P169" s="13">
        <v>8</v>
      </c>
      <c r="Q169" s="17">
        <v>7.2874840129251899</v>
      </c>
      <c r="R169" s="13"/>
      <c r="S169" s="36">
        <v>48.8367680773869</v>
      </c>
      <c r="T169" s="36">
        <v>0.99264705882352899</v>
      </c>
      <c r="U169" s="36"/>
      <c r="V169" s="13"/>
      <c r="W169" s="13"/>
      <c r="X169" s="13"/>
      <c r="Y169" s="13"/>
      <c r="Z169" s="13"/>
      <c r="AA169" s="13">
        <f t="shared" si="9"/>
        <v>-8.9064498384351261</v>
      </c>
      <c r="AB169" s="26">
        <v>0.198882242769651</v>
      </c>
      <c r="AC169" s="34">
        <v>1662</v>
      </c>
      <c r="AD169" s="34">
        <v>137</v>
      </c>
      <c r="AE169" s="34">
        <v>33</v>
      </c>
      <c r="AF169" s="34">
        <v>17</v>
      </c>
      <c r="AG169" s="34">
        <v>0.73595277811626425</v>
      </c>
      <c r="AI169" s="35">
        <v>166</v>
      </c>
      <c r="AJ169" s="35">
        <v>8</v>
      </c>
      <c r="AK169" s="17">
        <v>8.7131284769999997</v>
      </c>
      <c r="AM169" s="35">
        <v>40.859276381909503</v>
      </c>
      <c r="AN169" s="35">
        <v>0.99264705882352899</v>
      </c>
      <c r="AV169" s="13">
        <f t="shared" si="10"/>
        <v>8.9141059624999954</v>
      </c>
      <c r="AW169" s="35">
        <v>4.6866521876212201E-2</v>
      </c>
      <c r="AX169" s="35">
        <v>893</v>
      </c>
      <c r="AY169" s="35">
        <v>130</v>
      </c>
      <c r="AZ169" s="35">
        <v>16</v>
      </c>
      <c r="BA169" s="35">
        <v>21</v>
      </c>
      <c r="BB169" s="35">
        <v>0.54316393498884041</v>
      </c>
      <c r="BD169" s="35">
        <v>166</v>
      </c>
      <c r="BE169" s="35">
        <v>8</v>
      </c>
      <c r="BF169" s="17">
        <v>10.388757221601301</v>
      </c>
      <c r="BH169" s="35">
        <v>41.952949999999902</v>
      </c>
      <c r="BI169" s="35">
        <v>0.99117647058823499</v>
      </c>
      <c r="BQ169" s="13">
        <f t="shared" si="11"/>
        <v>29.859465270016262</v>
      </c>
      <c r="BR169" s="35">
        <v>9.2866803649190699E-2</v>
      </c>
      <c r="BS169" s="35">
        <v>317</v>
      </c>
      <c r="BT169" s="35">
        <v>112</v>
      </c>
      <c r="BU169" s="35">
        <v>2</v>
      </c>
      <c r="BV169" s="35">
        <v>23</v>
      </c>
      <c r="BW169" s="35">
        <v>0.98060654550552462</v>
      </c>
    </row>
    <row r="170" spans="1:75">
      <c r="A170" s="13">
        <v>167</v>
      </c>
      <c r="B170" s="13">
        <v>97</v>
      </c>
      <c r="C170" s="17">
        <v>109.9710852</v>
      </c>
      <c r="D170" s="13"/>
      <c r="E170" s="36">
        <v>63.452145260804002</v>
      </c>
      <c r="F170" s="36">
        <v>0.98676470588235299</v>
      </c>
      <c r="G170" s="36"/>
      <c r="H170" s="13"/>
      <c r="I170" s="13"/>
      <c r="J170" s="13"/>
      <c r="K170" s="13"/>
      <c r="L170" s="13"/>
      <c r="M170" s="13">
        <f t="shared" si="12"/>
        <v>13.372252783505157</v>
      </c>
      <c r="N170" s="13"/>
      <c r="O170" s="13">
        <v>167</v>
      </c>
      <c r="P170" s="13">
        <v>97</v>
      </c>
      <c r="Q170" s="17">
        <v>108.81137459999999</v>
      </c>
      <c r="R170" s="13"/>
      <c r="S170" s="36">
        <v>49.145861546231103</v>
      </c>
      <c r="T170" s="36">
        <v>0.99264705882352899</v>
      </c>
      <c r="U170" s="36"/>
      <c r="V170" s="13"/>
      <c r="W170" s="13"/>
      <c r="X170" s="13"/>
      <c r="Y170" s="13"/>
      <c r="Z170" s="13"/>
      <c r="AA170" s="13">
        <f t="shared" si="9"/>
        <v>12.176674845360825</v>
      </c>
      <c r="AB170" s="26">
        <v>0.198882242769651</v>
      </c>
      <c r="AC170" s="34">
        <v>612</v>
      </c>
      <c r="AD170" s="34">
        <v>31</v>
      </c>
      <c r="AE170" s="34">
        <v>3</v>
      </c>
      <c r="AF170" s="34">
        <v>18</v>
      </c>
      <c r="AG170" s="34">
        <v>0.59099616893845697</v>
      </c>
      <c r="AI170" s="35">
        <v>167</v>
      </c>
      <c r="AJ170" s="35">
        <v>97</v>
      </c>
      <c r="AK170" s="17">
        <v>98.499085719999997</v>
      </c>
      <c r="AM170" s="35">
        <v>41.117879396984897</v>
      </c>
      <c r="AN170" s="35">
        <v>0.99264705882352899</v>
      </c>
      <c r="AV170" s="13">
        <f t="shared" si="10"/>
        <v>1.5454491958762917</v>
      </c>
      <c r="AW170" s="35">
        <v>3.3700750143476101E-2</v>
      </c>
      <c r="AX170" s="35">
        <v>877</v>
      </c>
      <c r="AY170" s="35">
        <v>151</v>
      </c>
      <c r="AZ170" s="35">
        <v>33</v>
      </c>
      <c r="BA170" s="35">
        <v>22</v>
      </c>
      <c r="BB170" s="35">
        <v>0.47903165989636343</v>
      </c>
      <c r="BD170" s="35">
        <v>167</v>
      </c>
      <c r="BE170" s="35">
        <v>97</v>
      </c>
      <c r="BF170" s="17">
        <v>103.2480324</v>
      </c>
      <c r="BH170" s="35">
        <v>42.218474999999899</v>
      </c>
      <c r="BI170" s="35">
        <v>0.99264705882352899</v>
      </c>
      <c r="BQ170" s="13">
        <f t="shared" si="11"/>
        <v>6.441270515463926</v>
      </c>
      <c r="BR170" s="35">
        <v>8.9369630032649305E-2</v>
      </c>
      <c r="BS170" s="35">
        <v>1058</v>
      </c>
      <c r="BT170" s="35">
        <v>103</v>
      </c>
      <c r="BU170" s="35">
        <v>21</v>
      </c>
      <c r="BV170" s="35">
        <v>10</v>
      </c>
      <c r="BW170" s="35">
        <v>0.38825659098846321</v>
      </c>
    </row>
    <row r="171" spans="1:75">
      <c r="A171" s="13">
        <v>168</v>
      </c>
      <c r="B171" s="13">
        <v>98</v>
      </c>
      <c r="C171" s="17">
        <v>89.704321440000001</v>
      </c>
      <c r="D171" s="13"/>
      <c r="E171" s="36">
        <v>63.851215356783896</v>
      </c>
      <c r="F171" s="36">
        <v>0.98823529411764699</v>
      </c>
      <c r="G171" s="36"/>
      <c r="H171" s="13"/>
      <c r="I171" s="13"/>
      <c r="J171" s="13"/>
      <c r="K171" s="13"/>
      <c r="L171" s="13"/>
      <c r="M171" s="13">
        <f t="shared" si="12"/>
        <v>-8.464978122448974</v>
      </c>
      <c r="N171" s="13"/>
      <c r="O171" s="13">
        <v>168</v>
      </c>
      <c r="P171" s="13">
        <v>98</v>
      </c>
      <c r="Q171" s="17">
        <v>85.936357549999997</v>
      </c>
      <c r="R171" s="13"/>
      <c r="S171" s="36">
        <v>49.454955015075299</v>
      </c>
      <c r="T171" s="36">
        <v>0.99264705882352899</v>
      </c>
      <c r="U171" s="36"/>
      <c r="V171" s="13"/>
      <c r="W171" s="13"/>
      <c r="X171" s="13"/>
      <c r="Y171" s="13"/>
      <c r="Z171" s="13"/>
      <c r="AA171" s="13">
        <f t="shared" si="9"/>
        <v>-12.309839234693875</v>
      </c>
      <c r="AB171" s="26">
        <v>0.189321776000521</v>
      </c>
      <c r="AC171" s="34">
        <v>729</v>
      </c>
      <c r="AD171" s="34">
        <v>24</v>
      </c>
      <c r="AE171" s="34">
        <v>17</v>
      </c>
      <c r="AF171" s="34">
        <v>35</v>
      </c>
      <c r="AG171" s="34">
        <v>0.92628690402590308</v>
      </c>
      <c r="AI171" s="35">
        <v>168</v>
      </c>
      <c r="AJ171" s="35">
        <v>98</v>
      </c>
      <c r="AK171" s="17">
        <v>96.367320059999997</v>
      </c>
      <c r="AM171" s="35">
        <v>41.376482412060199</v>
      </c>
      <c r="AN171" s="35">
        <v>0.99264705882352899</v>
      </c>
      <c r="AV171" s="13">
        <f t="shared" si="10"/>
        <v>-1.6659999387755087</v>
      </c>
      <c r="AW171" s="35">
        <v>3.3700750143476101E-2</v>
      </c>
      <c r="AX171" s="35">
        <v>1723</v>
      </c>
      <c r="AY171" s="35">
        <v>76</v>
      </c>
      <c r="AZ171" s="35">
        <v>26</v>
      </c>
      <c r="BA171" s="35">
        <v>42</v>
      </c>
      <c r="BB171" s="35">
        <v>0.55074177459326967</v>
      </c>
      <c r="BD171" s="35">
        <v>168</v>
      </c>
      <c r="BE171" s="35">
        <v>98</v>
      </c>
      <c r="BF171" s="17">
        <v>90.532257470000005</v>
      </c>
      <c r="BH171" s="35">
        <v>42.483999999999902</v>
      </c>
      <c r="BI171" s="35">
        <v>0.99264705882352899</v>
      </c>
      <c r="BQ171" s="13">
        <f t="shared" si="11"/>
        <v>-7.6201454387755057</v>
      </c>
      <c r="BR171" s="35">
        <v>8.9369630032649305E-2</v>
      </c>
      <c r="BS171" s="35">
        <v>382</v>
      </c>
      <c r="BT171" s="35">
        <v>175</v>
      </c>
      <c r="BU171" s="35">
        <v>7</v>
      </c>
      <c r="BV171" s="35">
        <v>47</v>
      </c>
      <c r="BW171" s="35">
        <v>0.74652402009806396</v>
      </c>
    </row>
    <row r="172" spans="1:75">
      <c r="A172" s="13">
        <v>169</v>
      </c>
      <c r="B172" s="13">
        <v>36</v>
      </c>
      <c r="C172" s="17">
        <v>32.067358975049302</v>
      </c>
      <c r="D172" s="13"/>
      <c r="E172" s="36">
        <v>64.250285452763805</v>
      </c>
      <c r="F172" s="36">
        <v>0.98823529411764699</v>
      </c>
      <c r="G172" s="36"/>
      <c r="H172" s="13"/>
      <c r="I172" s="13"/>
      <c r="J172" s="13"/>
      <c r="K172" s="13"/>
      <c r="L172" s="13"/>
      <c r="M172" s="13">
        <f t="shared" si="12"/>
        <v>-10.924002847085267</v>
      </c>
      <c r="N172" s="13"/>
      <c r="O172" s="13">
        <v>169</v>
      </c>
      <c r="P172" s="13">
        <v>36</v>
      </c>
      <c r="Q172" s="17">
        <v>55.977921209999998</v>
      </c>
      <c r="R172" s="13"/>
      <c r="S172" s="36">
        <v>49.764048483919503</v>
      </c>
      <c r="T172" s="36">
        <v>0.99264705882352899</v>
      </c>
      <c r="U172" s="36"/>
      <c r="V172" s="13"/>
      <c r="W172" s="13"/>
      <c r="X172" s="13"/>
      <c r="Y172" s="13"/>
      <c r="Z172" s="13"/>
      <c r="AA172" s="13">
        <f t="shared" si="9"/>
        <v>55.494225583333325</v>
      </c>
      <c r="AB172" s="26">
        <v>0.189321776000521</v>
      </c>
      <c r="AC172" s="34">
        <v>1116</v>
      </c>
      <c r="AD172" s="34">
        <v>25</v>
      </c>
      <c r="AE172" s="34">
        <v>18</v>
      </c>
      <c r="AF172" s="34">
        <v>12</v>
      </c>
      <c r="AG172" s="34">
        <v>0.41077432272933589</v>
      </c>
      <c r="AI172" s="35">
        <v>169</v>
      </c>
      <c r="AJ172" s="35">
        <v>36</v>
      </c>
      <c r="AK172" s="17">
        <v>39.09231861</v>
      </c>
      <c r="AM172" s="35">
        <v>41.6350854271356</v>
      </c>
      <c r="AN172" s="35">
        <v>0.99264705882352899</v>
      </c>
      <c r="AV172" s="13">
        <f t="shared" si="10"/>
        <v>8.5897739166666653</v>
      </c>
      <c r="AW172" s="35">
        <v>3.3700750143476101E-2</v>
      </c>
      <c r="AX172" s="35">
        <v>525</v>
      </c>
      <c r="AY172" s="35">
        <v>32</v>
      </c>
      <c r="AZ172" s="35">
        <v>45</v>
      </c>
      <c r="BA172" s="35">
        <v>44</v>
      </c>
      <c r="BB172" s="35">
        <v>0.39800403370583592</v>
      </c>
      <c r="BD172" s="35">
        <v>169</v>
      </c>
      <c r="BE172" s="35">
        <v>36</v>
      </c>
      <c r="BF172" s="17">
        <v>30.747008653839799</v>
      </c>
      <c r="BH172" s="35">
        <v>42.749524999999899</v>
      </c>
      <c r="BI172" s="35">
        <v>0.995588235294117</v>
      </c>
      <c r="BQ172" s="13">
        <f t="shared" si="11"/>
        <v>-14.591642628222779</v>
      </c>
      <c r="BR172" s="35">
        <v>8.9369630032649305E-2</v>
      </c>
      <c r="BS172" s="35">
        <v>995</v>
      </c>
      <c r="BT172" s="35">
        <v>20</v>
      </c>
      <c r="BU172" s="35">
        <v>26</v>
      </c>
      <c r="BV172" s="35">
        <v>27</v>
      </c>
      <c r="BW172" s="35">
        <v>0.9445377430964853</v>
      </c>
    </row>
    <row r="173" spans="1:75">
      <c r="A173" s="13">
        <v>170</v>
      </c>
      <c r="B173" s="13">
        <v>115</v>
      </c>
      <c r="C173" s="17">
        <v>119.45711</v>
      </c>
      <c r="D173" s="13"/>
      <c r="E173" s="36">
        <v>64.649355548743699</v>
      </c>
      <c r="F173" s="36">
        <v>0.98823529411764699</v>
      </c>
      <c r="G173" s="36"/>
      <c r="H173" s="13"/>
      <c r="I173" s="13"/>
      <c r="J173" s="13"/>
      <c r="K173" s="13"/>
      <c r="L173" s="13"/>
      <c r="M173" s="13">
        <f t="shared" si="12"/>
        <v>3.8757478260869505</v>
      </c>
      <c r="N173" s="13"/>
      <c r="O173" s="13">
        <v>170</v>
      </c>
      <c r="P173" s="13">
        <v>115</v>
      </c>
      <c r="Q173" s="17">
        <v>120.05883489999999</v>
      </c>
      <c r="R173" s="13"/>
      <c r="S173" s="36">
        <v>50.073141952763798</v>
      </c>
      <c r="T173" s="36">
        <v>0.99264705882352899</v>
      </c>
      <c r="U173" s="36"/>
      <c r="V173" s="13"/>
      <c r="W173" s="13"/>
      <c r="X173" s="13"/>
      <c r="Y173" s="13"/>
      <c r="Z173" s="13"/>
      <c r="AA173" s="13">
        <f t="shared" si="9"/>
        <v>4.3989868695652135</v>
      </c>
      <c r="AB173" s="26">
        <v>0.189321776000521</v>
      </c>
      <c r="AC173" s="34">
        <v>538</v>
      </c>
      <c r="AD173" s="34">
        <v>30</v>
      </c>
      <c r="AE173" s="34">
        <v>29</v>
      </c>
      <c r="AF173" s="34">
        <v>33</v>
      </c>
      <c r="AG173" s="34">
        <v>0.43818637920701964</v>
      </c>
      <c r="AI173" s="35">
        <v>170</v>
      </c>
      <c r="AJ173" s="35">
        <v>115</v>
      </c>
      <c r="AK173" s="17">
        <v>115.8223246</v>
      </c>
      <c r="AM173" s="35">
        <v>41.893688442211001</v>
      </c>
      <c r="AN173" s="35">
        <v>0.99264705882352899</v>
      </c>
      <c r="AV173" s="13">
        <f t="shared" si="10"/>
        <v>0.71506486956522952</v>
      </c>
      <c r="AW173" s="35">
        <v>3.3353660357996001E-2</v>
      </c>
      <c r="AX173" s="35">
        <v>105</v>
      </c>
      <c r="AY173" s="35">
        <v>65</v>
      </c>
      <c r="AZ173" s="35">
        <v>16</v>
      </c>
      <c r="BA173" s="35">
        <v>15</v>
      </c>
      <c r="BB173" s="35">
        <v>0.41983913596068489</v>
      </c>
      <c r="BD173" s="35">
        <v>170</v>
      </c>
      <c r="BE173" s="35">
        <v>115</v>
      </c>
      <c r="BF173" s="17">
        <v>118.32024749999999</v>
      </c>
      <c r="BH173" s="35">
        <v>43.015049999999903</v>
      </c>
      <c r="BI173" s="35">
        <v>0.995588235294117</v>
      </c>
      <c r="BQ173" s="13">
        <f t="shared" si="11"/>
        <v>2.887171739130423</v>
      </c>
      <c r="BR173" s="35">
        <v>8.9369630032649305E-2</v>
      </c>
      <c r="BS173" s="35">
        <v>492</v>
      </c>
      <c r="BT173" s="35">
        <v>77</v>
      </c>
      <c r="BU173" s="35">
        <v>20</v>
      </c>
      <c r="BV173" s="35">
        <v>25</v>
      </c>
      <c r="BW173" s="35">
        <v>0.13889270211762733</v>
      </c>
    </row>
    <row r="174" spans="1:75">
      <c r="A174" s="13">
        <v>171</v>
      </c>
      <c r="B174" s="13">
        <v>105</v>
      </c>
      <c r="C174" s="17">
        <v>109.7236602</v>
      </c>
      <c r="D174" s="13"/>
      <c r="E174" s="36">
        <v>65.048425644723594</v>
      </c>
      <c r="F174" s="36">
        <v>0.98970588235294099</v>
      </c>
      <c r="G174" s="36"/>
      <c r="H174" s="13"/>
      <c r="I174" s="13"/>
      <c r="J174" s="13"/>
      <c r="K174" s="13"/>
      <c r="L174" s="13"/>
      <c r="M174" s="13">
        <f t="shared" si="12"/>
        <v>4.4987239999999984</v>
      </c>
      <c r="N174" s="13"/>
      <c r="O174" s="13">
        <v>171</v>
      </c>
      <c r="P174" s="13">
        <v>105</v>
      </c>
      <c r="Q174" s="17">
        <v>110.210053</v>
      </c>
      <c r="R174" s="13"/>
      <c r="S174" s="36">
        <v>50.382235421608002</v>
      </c>
      <c r="T174" s="36">
        <v>0.99264705882352899</v>
      </c>
      <c r="U174" s="36"/>
      <c r="V174" s="13"/>
      <c r="W174" s="13"/>
      <c r="X174" s="13"/>
      <c r="Y174" s="13"/>
      <c r="Z174" s="13"/>
      <c r="AA174" s="13">
        <f t="shared" si="9"/>
        <v>4.9619552380952392</v>
      </c>
      <c r="AB174" s="26">
        <v>0.189321776000521</v>
      </c>
      <c r="AC174" s="34">
        <v>1046</v>
      </c>
      <c r="AD174" s="34">
        <v>137</v>
      </c>
      <c r="AE174" s="34">
        <v>10</v>
      </c>
      <c r="AF174" s="34">
        <v>49</v>
      </c>
      <c r="AG174" s="34">
        <v>0.27845758465716697</v>
      </c>
      <c r="AI174" s="35">
        <v>171</v>
      </c>
      <c r="AJ174" s="35">
        <v>105</v>
      </c>
      <c r="AK174" s="17">
        <v>104.9995629</v>
      </c>
      <c r="AM174" s="35">
        <v>42.152291457286402</v>
      </c>
      <c r="AN174" s="35">
        <v>0.994117647058823</v>
      </c>
      <c r="AV174" s="13">
        <f t="shared" si="10"/>
        <v>-4.1628571428864447E-4</v>
      </c>
      <c r="AW174" s="35">
        <v>3.3353660357996001E-2</v>
      </c>
      <c r="AX174" s="35">
        <v>529</v>
      </c>
      <c r="AY174" s="35">
        <v>34</v>
      </c>
      <c r="AZ174" s="35">
        <v>39</v>
      </c>
      <c r="BA174" s="35">
        <v>27</v>
      </c>
      <c r="BB174" s="35">
        <v>0.49249302388244665</v>
      </c>
      <c r="BD174" s="35">
        <v>171</v>
      </c>
      <c r="BE174" s="35">
        <v>105</v>
      </c>
      <c r="BF174" s="17">
        <v>105.7922533</v>
      </c>
      <c r="BH174" s="35">
        <v>43.280574999999899</v>
      </c>
      <c r="BI174" s="35">
        <v>0.997058823529411</v>
      </c>
      <c r="BQ174" s="13">
        <f t="shared" si="11"/>
        <v>0.75452695238094059</v>
      </c>
      <c r="BR174" s="35">
        <v>8.9369630032649305E-2</v>
      </c>
      <c r="BS174" s="35">
        <v>165</v>
      </c>
      <c r="BT174" s="35">
        <v>118</v>
      </c>
      <c r="BU174" s="35">
        <v>38</v>
      </c>
      <c r="BV174" s="35">
        <v>7</v>
      </c>
      <c r="BW174" s="35">
        <v>0.59371250396056596</v>
      </c>
    </row>
    <row r="175" spans="1:75">
      <c r="A175" s="13">
        <v>172</v>
      </c>
      <c r="B175" s="13">
        <v>70</v>
      </c>
      <c r="C175" s="17">
        <v>72.163682429999994</v>
      </c>
      <c r="D175" s="13"/>
      <c r="E175" s="36">
        <v>65.447495740703502</v>
      </c>
      <c r="F175" s="36">
        <v>0.99264705882352899</v>
      </c>
      <c r="G175" s="36"/>
      <c r="H175" s="13"/>
      <c r="I175" s="13"/>
      <c r="J175" s="13"/>
      <c r="K175" s="13"/>
      <c r="L175" s="13"/>
      <c r="M175" s="13">
        <f t="shared" si="12"/>
        <v>3.0909748999999875</v>
      </c>
      <c r="N175" s="13"/>
      <c r="O175" s="13">
        <v>172</v>
      </c>
      <c r="P175" s="13">
        <v>70</v>
      </c>
      <c r="Q175" s="17">
        <v>64.388553569999999</v>
      </c>
      <c r="R175" s="13"/>
      <c r="S175" s="36">
        <v>50.691328890452198</v>
      </c>
      <c r="T175" s="36">
        <v>0.994117647058823</v>
      </c>
      <c r="U175" s="36"/>
      <c r="V175" s="13"/>
      <c r="W175" s="13"/>
      <c r="X175" s="13"/>
      <c r="Y175" s="13"/>
      <c r="Z175" s="13"/>
      <c r="AA175" s="13">
        <f t="shared" si="9"/>
        <v>-8.0163520428571449</v>
      </c>
      <c r="AB175" s="26">
        <v>0.189321776000521</v>
      </c>
      <c r="AC175" s="34">
        <v>1798</v>
      </c>
      <c r="AD175" s="34">
        <v>129</v>
      </c>
      <c r="AE175" s="34">
        <v>42</v>
      </c>
      <c r="AF175" s="34">
        <v>29</v>
      </c>
      <c r="AG175" s="34">
        <v>0.83203935062425149</v>
      </c>
      <c r="AI175" s="35">
        <v>172</v>
      </c>
      <c r="AJ175" s="35">
        <v>70</v>
      </c>
      <c r="AK175" s="17">
        <v>69.191753919999996</v>
      </c>
      <c r="AM175" s="35">
        <v>42.410894472361797</v>
      </c>
      <c r="AN175" s="35">
        <v>0.995588235294117</v>
      </c>
      <c r="AV175" s="13">
        <f t="shared" si="10"/>
        <v>-1.1546372571428654</v>
      </c>
      <c r="AW175" s="35">
        <v>2.2481183485043899E-2</v>
      </c>
      <c r="AX175" s="35">
        <v>1215</v>
      </c>
      <c r="AY175" s="35">
        <v>45</v>
      </c>
      <c r="AZ175" s="35">
        <v>20</v>
      </c>
      <c r="BA175" s="35">
        <v>9</v>
      </c>
      <c r="BB175" s="35">
        <v>0.97208123834950089</v>
      </c>
      <c r="BD175" s="35">
        <v>172</v>
      </c>
      <c r="BE175" s="35">
        <v>70</v>
      </c>
      <c r="BF175" s="17">
        <v>66.639279740000006</v>
      </c>
      <c r="BH175" s="35">
        <v>43.546099999999903</v>
      </c>
      <c r="BI175" s="35">
        <v>0.997058823529411</v>
      </c>
      <c r="BQ175" s="13">
        <f t="shared" si="11"/>
        <v>-4.8010289428571333</v>
      </c>
      <c r="BR175" s="35">
        <v>8.9369630032649305E-2</v>
      </c>
      <c r="BS175" s="35">
        <v>1809</v>
      </c>
      <c r="BT175" s="35">
        <v>119</v>
      </c>
      <c r="BU175" s="35">
        <v>46</v>
      </c>
      <c r="BV175" s="35">
        <v>43</v>
      </c>
      <c r="BW175" s="35">
        <v>0.9342641429755717</v>
      </c>
    </row>
    <row r="176" spans="1:75">
      <c r="A176" s="13">
        <v>173</v>
      </c>
      <c r="B176" s="13">
        <v>94</v>
      </c>
      <c r="C176" s="17">
        <v>83.656787199999997</v>
      </c>
      <c r="D176" s="13"/>
      <c r="E176" s="36">
        <v>65.846565836683396</v>
      </c>
      <c r="F176" s="36">
        <v>0.99264705882352899</v>
      </c>
      <c r="G176" s="36"/>
      <c r="H176" s="13"/>
      <c r="I176" s="13"/>
      <c r="J176" s="13"/>
      <c r="K176" s="13"/>
      <c r="L176" s="13"/>
      <c r="M176" s="13">
        <f t="shared" si="12"/>
        <v>-11.003417872340426</v>
      </c>
      <c r="N176" s="13"/>
      <c r="O176" s="13">
        <v>173</v>
      </c>
      <c r="P176" s="13">
        <v>94</v>
      </c>
      <c r="Q176" s="17">
        <v>82.744600809999994</v>
      </c>
      <c r="R176" s="13"/>
      <c r="S176" s="36">
        <v>51.000422359296401</v>
      </c>
      <c r="T176" s="36">
        <v>0.994117647058823</v>
      </c>
      <c r="U176" s="36"/>
      <c r="V176" s="13"/>
      <c r="W176" s="13"/>
      <c r="X176" s="13"/>
      <c r="Y176" s="13"/>
      <c r="Z176" s="13"/>
      <c r="AA176" s="13">
        <f t="shared" si="9"/>
        <v>-11.973828925531926</v>
      </c>
      <c r="AB176" s="26">
        <v>0.189321776000521</v>
      </c>
      <c r="AC176" s="34">
        <v>1991</v>
      </c>
      <c r="AD176" s="34">
        <v>25</v>
      </c>
      <c r="AE176" s="34">
        <v>17</v>
      </c>
      <c r="AF176" s="34">
        <v>49</v>
      </c>
      <c r="AG176" s="34">
        <v>0.25862972981575971</v>
      </c>
      <c r="AI176" s="35">
        <v>173</v>
      </c>
      <c r="AJ176" s="35">
        <v>94</v>
      </c>
      <c r="AK176" s="17">
        <v>93.210402619999996</v>
      </c>
      <c r="AM176" s="35">
        <v>42.669497487437098</v>
      </c>
      <c r="AN176" s="35">
        <v>0.995588235294117</v>
      </c>
      <c r="AV176" s="13">
        <f t="shared" si="10"/>
        <v>-0.83999721276596384</v>
      </c>
      <c r="AW176" s="35">
        <v>2.2481183485043899E-2</v>
      </c>
      <c r="AX176" s="35">
        <v>1057</v>
      </c>
      <c r="AY176" s="35">
        <v>118</v>
      </c>
      <c r="AZ176" s="35">
        <v>11</v>
      </c>
      <c r="BA176" s="35">
        <v>46</v>
      </c>
      <c r="BB176" s="35">
        <v>0.72312042749396011</v>
      </c>
      <c r="BD176" s="35">
        <v>173</v>
      </c>
      <c r="BE176" s="35">
        <v>94</v>
      </c>
      <c r="BF176" s="17">
        <v>90.141247649999997</v>
      </c>
      <c r="BH176" s="35">
        <v>43.8116249999999</v>
      </c>
      <c r="BI176" s="35">
        <v>0.997058823529411</v>
      </c>
      <c r="BQ176" s="13">
        <f t="shared" si="11"/>
        <v>-4.1050556914893672</v>
      </c>
      <c r="BR176" s="35">
        <v>8.9369630032649305E-2</v>
      </c>
      <c r="BS176" s="35">
        <v>920</v>
      </c>
      <c r="BT176" s="35">
        <v>121</v>
      </c>
      <c r="BU176" s="35">
        <v>20</v>
      </c>
      <c r="BV176" s="35">
        <v>21</v>
      </c>
      <c r="BW176" s="35">
        <v>0.14284648831965255</v>
      </c>
    </row>
    <row r="177" spans="1:75">
      <c r="A177" s="13">
        <v>174</v>
      </c>
      <c r="B177" s="13">
        <v>179</v>
      </c>
      <c r="C177" s="17">
        <v>168.73654690000001</v>
      </c>
      <c r="D177" s="13"/>
      <c r="E177" s="36">
        <v>66.245635932663305</v>
      </c>
      <c r="F177" s="36">
        <v>0.99264705882352899</v>
      </c>
      <c r="G177" s="36"/>
      <c r="H177" s="13"/>
      <c r="I177" s="13"/>
      <c r="J177" s="13"/>
      <c r="K177" s="13"/>
      <c r="L177" s="13"/>
      <c r="M177" s="13">
        <f t="shared" si="12"/>
        <v>-5.7337726815642416</v>
      </c>
      <c r="N177" s="13"/>
      <c r="O177" s="13">
        <v>174</v>
      </c>
      <c r="P177" s="13">
        <v>179</v>
      </c>
      <c r="Q177" s="17">
        <v>178.08153770000001</v>
      </c>
      <c r="R177" s="13"/>
      <c r="S177" s="36">
        <v>51.309515828140697</v>
      </c>
      <c r="T177" s="36">
        <v>0.994117647058823</v>
      </c>
      <c r="U177" s="36"/>
      <c r="V177" s="13"/>
      <c r="W177" s="13"/>
      <c r="X177" s="13"/>
      <c r="Y177" s="13"/>
      <c r="Z177" s="13"/>
      <c r="AA177" s="13">
        <f t="shared" si="9"/>
        <v>-0.51310743016759197</v>
      </c>
      <c r="AB177" s="26">
        <v>0.189321776000521</v>
      </c>
      <c r="AC177" s="34">
        <v>66</v>
      </c>
      <c r="AD177" s="34">
        <v>122</v>
      </c>
      <c r="AE177" s="34">
        <v>12</v>
      </c>
      <c r="AF177" s="34">
        <v>23</v>
      </c>
      <c r="AG177" s="34">
        <v>0.17345045414918026</v>
      </c>
      <c r="AI177" s="35">
        <v>174</v>
      </c>
      <c r="AJ177" s="35">
        <v>179</v>
      </c>
      <c r="AK177" s="17">
        <v>179.24969780000001</v>
      </c>
      <c r="AM177" s="35">
        <v>42.9281005025125</v>
      </c>
      <c r="AN177" s="35">
        <v>0.995588235294117</v>
      </c>
      <c r="AV177" s="13">
        <f t="shared" si="10"/>
        <v>0.13949597765363642</v>
      </c>
      <c r="AW177" s="35">
        <v>2.2481183485043899E-2</v>
      </c>
      <c r="AX177" s="35">
        <v>710</v>
      </c>
      <c r="AY177" s="35">
        <v>190</v>
      </c>
      <c r="AZ177" s="35">
        <v>50</v>
      </c>
      <c r="BA177" s="35">
        <v>36</v>
      </c>
      <c r="BB177" s="35">
        <v>0.38662441662435532</v>
      </c>
      <c r="BD177" s="35">
        <v>174</v>
      </c>
      <c r="BE177" s="35">
        <v>179</v>
      </c>
      <c r="BF177" s="17">
        <v>179.28308609999999</v>
      </c>
      <c r="BH177" s="35">
        <v>44.077149999999897</v>
      </c>
      <c r="BI177" s="35">
        <v>0.997058823529411</v>
      </c>
      <c r="BQ177" s="13">
        <f t="shared" si="11"/>
        <v>0.15814865921788268</v>
      </c>
      <c r="BR177" s="35">
        <v>8.9369630032649305E-2</v>
      </c>
      <c r="BS177" s="35">
        <v>543</v>
      </c>
      <c r="BT177" s="35">
        <v>89</v>
      </c>
      <c r="BU177" s="35">
        <v>33</v>
      </c>
      <c r="BV177" s="35">
        <v>47</v>
      </c>
      <c r="BW177" s="35">
        <v>0.54176133948219574</v>
      </c>
    </row>
    <row r="178" spans="1:75">
      <c r="A178" s="13">
        <v>175</v>
      </c>
      <c r="B178" s="13">
        <v>185</v>
      </c>
      <c r="C178" s="17">
        <v>146.22250990000001</v>
      </c>
      <c r="D178" s="13"/>
      <c r="E178" s="36">
        <v>66.644706028643199</v>
      </c>
      <c r="F178" s="36">
        <v>0.994117647058823</v>
      </c>
      <c r="G178" s="36"/>
      <c r="H178" s="13"/>
      <c r="I178" s="13"/>
      <c r="J178" s="13"/>
      <c r="K178" s="13"/>
      <c r="L178" s="13"/>
      <c r="M178" s="13">
        <f t="shared" si="12"/>
        <v>-20.960805459459454</v>
      </c>
      <c r="N178" s="13"/>
      <c r="O178" s="13">
        <v>175</v>
      </c>
      <c r="P178" s="13">
        <v>185</v>
      </c>
      <c r="Q178" s="17">
        <v>160.27392610000001</v>
      </c>
      <c r="R178" s="13"/>
      <c r="S178" s="36">
        <v>51.6186092969849</v>
      </c>
      <c r="T178" s="36">
        <v>0.994117647058823</v>
      </c>
      <c r="U178" s="36"/>
      <c r="V178" s="13"/>
      <c r="X178" s="13"/>
      <c r="Y178" s="13"/>
      <c r="Z178" s="13"/>
      <c r="AA178" s="13">
        <f t="shared" si="9"/>
        <v>-13.365445351351346</v>
      </c>
      <c r="AB178" s="26">
        <v>0.18230440822101601</v>
      </c>
      <c r="AC178" s="26">
        <v>356</v>
      </c>
      <c r="AD178" s="26">
        <v>14</v>
      </c>
      <c r="AE178" s="26">
        <v>3</v>
      </c>
      <c r="AF178" s="26">
        <v>2</v>
      </c>
      <c r="AG178" s="26">
        <v>0.81269999999999998</v>
      </c>
      <c r="AI178" s="35">
        <v>175</v>
      </c>
      <c r="AJ178" s="35">
        <v>185</v>
      </c>
      <c r="AK178" s="17">
        <v>184.95716669999999</v>
      </c>
      <c r="AM178" s="35">
        <v>43.186703517587901</v>
      </c>
      <c r="AN178" s="35">
        <v>0.995588235294117</v>
      </c>
      <c r="AV178" s="13">
        <f t="shared" si="10"/>
        <v>-2.3153135135145497E-2</v>
      </c>
      <c r="AW178" s="35">
        <v>2.2481183485043899E-2</v>
      </c>
      <c r="AX178" s="35">
        <v>1652</v>
      </c>
      <c r="AY178" s="35">
        <v>104</v>
      </c>
      <c r="AZ178" s="35">
        <v>22</v>
      </c>
      <c r="BA178" s="35">
        <v>44</v>
      </c>
      <c r="BB178" s="35">
        <v>0.84106495683169813</v>
      </c>
      <c r="BD178" s="35">
        <v>175</v>
      </c>
      <c r="BE178" s="35">
        <v>185</v>
      </c>
      <c r="BF178" s="17">
        <v>183.7346364</v>
      </c>
      <c r="BH178" s="35">
        <v>44.3426749999999</v>
      </c>
      <c r="BI178" s="35">
        <v>0.997058823529411</v>
      </c>
      <c r="BQ178" s="13">
        <f t="shared" si="11"/>
        <v>-0.6839803243243292</v>
      </c>
      <c r="BR178" s="35">
        <v>8.9369630032649305E-2</v>
      </c>
      <c r="BS178" s="35">
        <v>998</v>
      </c>
      <c r="BT178" s="35">
        <v>193</v>
      </c>
      <c r="BU178" s="35">
        <v>49</v>
      </c>
      <c r="BV178" s="35">
        <v>33</v>
      </c>
      <c r="BW178" s="35">
        <v>0.65772318036366173</v>
      </c>
    </row>
    <row r="179" spans="1:75">
      <c r="A179" s="13">
        <v>176</v>
      </c>
      <c r="B179" s="13">
        <v>212</v>
      </c>
      <c r="C179" s="17">
        <v>179.8524511</v>
      </c>
      <c r="D179" s="13"/>
      <c r="E179" s="36">
        <v>67.043776124623093</v>
      </c>
      <c r="F179" s="36">
        <v>0.994117647058823</v>
      </c>
      <c r="G179" s="36"/>
      <c r="H179" s="13"/>
      <c r="I179" s="13"/>
      <c r="J179" s="13"/>
      <c r="K179" s="13"/>
      <c r="L179" s="13"/>
      <c r="M179" s="13">
        <f t="shared" si="12"/>
        <v>-15.163938160377356</v>
      </c>
      <c r="N179" s="13"/>
      <c r="O179" s="13">
        <v>176</v>
      </c>
      <c r="P179" s="13">
        <v>212</v>
      </c>
      <c r="Q179" s="17">
        <v>204.0738638</v>
      </c>
      <c r="R179" s="13"/>
      <c r="S179" s="36">
        <v>51.927702765829103</v>
      </c>
      <c r="T179" s="36">
        <v>0.994117647058823</v>
      </c>
      <c r="U179" s="36"/>
      <c r="V179" s="13"/>
      <c r="X179" s="13"/>
      <c r="Y179" s="13"/>
      <c r="Z179" s="13"/>
      <c r="AA179" s="13">
        <f t="shared" si="9"/>
        <v>-3.7387434905660433</v>
      </c>
      <c r="AB179" s="26">
        <v>0.18230440822101601</v>
      </c>
      <c r="AC179" s="34">
        <v>315</v>
      </c>
      <c r="AD179" s="34">
        <v>194</v>
      </c>
      <c r="AE179" s="34">
        <v>45</v>
      </c>
      <c r="AF179" s="34">
        <v>20</v>
      </c>
      <c r="AG179" s="34">
        <v>0.60248383605408784</v>
      </c>
      <c r="AI179" s="35">
        <v>176</v>
      </c>
      <c r="AJ179" s="35">
        <v>212</v>
      </c>
      <c r="AK179" s="17">
        <v>211.77633950000001</v>
      </c>
      <c r="AM179" s="35">
        <v>43.445306532663302</v>
      </c>
      <c r="AN179" s="35">
        <v>0.995588235294117</v>
      </c>
      <c r="AV179" s="13">
        <f t="shared" si="10"/>
        <v>-0.10550023584905421</v>
      </c>
      <c r="AW179" s="35">
        <v>2.2481183485043899E-2</v>
      </c>
      <c r="AX179" s="35">
        <v>1324</v>
      </c>
      <c r="AY179" s="35">
        <v>128</v>
      </c>
      <c r="AZ179" s="35">
        <v>32</v>
      </c>
      <c r="BA179" s="35">
        <v>24</v>
      </c>
      <c r="BB179" s="35">
        <v>0.26483876999045924</v>
      </c>
      <c r="BD179" s="35">
        <v>176</v>
      </c>
      <c r="BE179" s="35">
        <v>212</v>
      </c>
      <c r="BF179" s="17">
        <v>208.2214942</v>
      </c>
      <c r="BH179" s="35">
        <v>44.608199999999897</v>
      </c>
      <c r="BI179" s="35">
        <v>0.997058823529411</v>
      </c>
      <c r="BN179" s="26"/>
      <c r="BQ179" s="13">
        <f t="shared" si="11"/>
        <v>-1.7823140566037732</v>
      </c>
      <c r="BR179" s="26">
        <v>7.1689702694675395E-2</v>
      </c>
      <c r="BS179" s="26">
        <v>529</v>
      </c>
      <c r="BT179" s="26">
        <v>16</v>
      </c>
      <c r="BU179" s="26">
        <v>5</v>
      </c>
      <c r="BV179" s="26">
        <v>2</v>
      </c>
      <c r="BW179" s="26">
        <v>0.76490000000000002</v>
      </c>
    </row>
    <row r="180" spans="1:75">
      <c r="A180" s="13">
        <v>177</v>
      </c>
      <c r="B180" s="13">
        <v>130</v>
      </c>
      <c r="C180" s="17">
        <v>127.50661119999999</v>
      </c>
      <c r="D180" s="13"/>
      <c r="E180" s="36">
        <v>67.442846220603002</v>
      </c>
      <c r="F180" s="36">
        <v>0.994117647058823</v>
      </c>
      <c r="G180" s="36"/>
      <c r="H180" s="13"/>
      <c r="I180" s="13"/>
      <c r="J180" s="13"/>
      <c r="K180" s="13"/>
      <c r="L180" s="13"/>
      <c r="M180" s="13">
        <f t="shared" si="12"/>
        <v>-1.9179913846153918</v>
      </c>
      <c r="N180" s="13"/>
      <c r="O180" s="13">
        <v>177</v>
      </c>
      <c r="P180" s="13">
        <v>130</v>
      </c>
      <c r="Q180" s="17">
        <v>130.9523733</v>
      </c>
      <c r="R180" s="13"/>
      <c r="S180" s="36">
        <v>52.236796234673299</v>
      </c>
      <c r="T180" s="36">
        <v>0.995588235294117</v>
      </c>
      <c r="U180" s="36"/>
      <c r="V180" s="13"/>
      <c r="X180" s="13"/>
      <c r="Y180" s="13"/>
      <c r="Z180" s="13"/>
      <c r="AA180" s="13">
        <f t="shared" si="9"/>
        <v>0.73259484615384451</v>
      </c>
      <c r="AB180" s="26">
        <v>0.18230440822101601</v>
      </c>
      <c r="AC180" s="34">
        <v>1934</v>
      </c>
      <c r="AD180" s="34">
        <v>58</v>
      </c>
      <c r="AE180" s="34">
        <v>30</v>
      </c>
      <c r="AF180" s="34">
        <v>16</v>
      </c>
      <c r="AG180" s="34">
        <v>0.87974100455423709</v>
      </c>
      <c r="AI180" s="35">
        <v>177</v>
      </c>
      <c r="AJ180" s="35">
        <v>130</v>
      </c>
      <c r="AK180" s="17">
        <v>129.83198440000001</v>
      </c>
      <c r="AM180" s="35">
        <v>43.703909547738597</v>
      </c>
      <c r="AN180" s="35">
        <v>0.995588235294117</v>
      </c>
      <c r="AV180" s="13">
        <f t="shared" si="10"/>
        <v>-0.12924276923076405</v>
      </c>
      <c r="AW180" s="35">
        <v>2.2481183485043899E-2</v>
      </c>
      <c r="AX180" s="35">
        <v>1091</v>
      </c>
      <c r="AY180" s="35">
        <v>91</v>
      </c>
      <c r="AZ180" s="35">
        <v>42</v>
      </c>
      <c r="BA180" s="35">
        <v>25</v>
      </c>
      <c r="BB180" s="35">
        <v>0.62665660015682811</v>
      </c>
      <c r="BD180" s="35">
        <v>177</v>
      </c>
      <c r="BE180" s="35">
        <v>130</v>
      </c>
      <c r="BF180" s="17">
        <v>130.65885900000001</v>
      </c>
      <c r="BH180" s="35">
        <v>44.873724999999901</v>
      </c>
      <c r="BI180" s="35">
        <v>0.997058823529411</v>
      </c>
      <c r="BQ180" s="13">
        <f t="shared" si="11"/>
        <v>0.50681461538462091</v>
      </c>
      <c r="BR180" s="26">
        <v>7.1689702694675395E-2</v>
      </c>
      <c r="BS180" s="35">
        <v>1945</v>
      </c>
      <c r="BT180" s="35">
        <v>16</v>
      </c>
      <c r="BU180" s="35">
        <v>10</v>
      </c>
      <c r="BV180" s="35">
        <v>2</v>
      </c>
      <c r="BW180" s="35">
        <v>0.43564673530982367</v>
      </c>
    </row>
    <row r="181" spans="1:75">
      <c r="A181" s="13">
        <v>178</v>
      </c>
      <c r="B181" s="13">
        <v>163</v>
      </c>
      <c r="C181" s="17">
        <v>134.39850709999999</v>
      </c>
      <c r="D181" s="13"/>
      <c r="E181" s="36">
        <v>67.841916316582896</v>
      </c>
      <c r="F181" s="36">
        <v>0.994117647058823</v>
      </c>
      <c r="G181" s="36"/>
      <c r="H181" s="13"/>
      <c r="I181" s="13"/>
      <c r="J181" s="13"/>
      <c r="K181" s="13"/>
      <c r="L181" s="13"/>
      <c r="M181" s="13">
        <f t="shared" si="12"/>
        <v>-17.546928159509211</v>
      </c>
      <c r="N181" s="13"/>
      <c r="O181" s="13">
        <v>178</v>
      </c>
      <c r="P181" s="13">
        <v>163</v>
      </c>
      <c r="Q181" s="17">
        <v>145.50977929999999</v>
      </c>
      <c r="R181" s="13"/>
      <c r="S181" s="36">
        <v>52.545889703517503</v>
      </c>
      <c r="T181" s="36">
        <v>0.995588235294117</v>
      </c>
      <c r="U181" s="36"/>
      <c r="V181" s="13"/>
      <c r="X181" s="13"/>
      <c r="Y181" s="13"/>
      <c r="Z181" s="13"/>
      <c r="AA181" s="13">
        <f t="shared" si="9"/>
        <v>-10.730196748466259</v>
      </c>
      <c r="AB181" s="26">
        <v>0.18230440822101601</v>
      </c>
      <c r="AC181" s="34">
        <v>1761</v>
      </c>
      <c r="AD181" s="34">
        <v>88</v>
      </c>
      <c r="AE181" s="34">
        <v>3</v>
      </c>
      <c r="AF181" s="34">
        <v>41</v>
      </c>
      <c r="AG181" s="34">
        <v>0.59671695242241851</v>
      </c>
      <c r="AI181" s="35">
        <v>178</v>
      </c>
      <c r="AJ181" s="35">
        <v>163</v>
      </c>
      <c r="AK181" s="17">
        <v>162.00640110000001</v>
      </c>
      <c r="AM181" s="35">
        <v>43.962512562813998</v>
      </c>
      <c r="AN181" s="35">
        <v>0.995588235294117</v>
      </c>
      <c r="AV181" s="13">
        <f t="shared" si="10"/>
        <v>-0.60956987730060863</v>
      </c>
      <c r="AW181" s="35">
        <v>2.2481183485043899E-2</v>
      </c>
      <c r="AX181" s="35">
        <v>1819</v>
      </c>
      <c r="AY181" s="35">
        <v>22</v>
      </c>
      <c r="AZ181" s="35">
        <v>22</v>
      </c>
      <c r="BA181" s="35">
        <v>31</v>
      </c>
      <c r="BB181" s="35">
        <v>0.1363941380833161</v>
      </c>
      <c r="BD181" s="35">
        <v>178</v>
      </c>
      <c r="BE181" s="35">
        <v>163</v>
      </c>
      <c r="BF181" s="17">
        <v>156.07790209999999</v>
      </c>
      <c r="BH181" s="35">
        <v>45.139249999999898</v>
      </c>
      <c r="BI181" s="35">
        <v>0.997058823529411</v>
      </c>
      <c r="BQ181" s="13">
        <f t="shared" si="11"/>
        <v>-4.2466858282208637</v>
      </c>
      <c r="BR181" s="26">
        <v>7.1689702694675395E-2</v>
      </c>
      <c r="BS181" s="35">
        <v>1737</v>
      </c>
      <c r="BT181" s="35">
        <v>142</v>
      </c>
      <c r="BU181" s="35">
        <v>7</v>
      </c>
      <c r="BV181" s="35">
        <v>41</v>
      </c>
      <c r="BW181" s="35">
        <v>0.3879776748828152</v>
      </c>
    </row>
    <row r="182" spans="1:75">
      <c r="A182" s="13">
        <v>179</v>
      </c>
      <c r="B182" s="13">
        <v>189</v>
      </c>
      <c r="C182" s="17">
        <v>156.9042445</v>
      </c>
      <c r="D182" s="13"/>
      <c r="E182" s="36">
        <v>68.240986412562805</v>
      </c>
      <c r="F182" s="36">
        <v>0.994117647058823</v>
      </c>
      <c r="G182" s="36"/>
      <c r="H182" s="13"/>
      <c r="I182" s="13"/>
      <c r="J182" s="13"/>
      <c r="K182" s="13"/>
      <c r="L182" s="13"/>
      <c r="M182" s="13">
        <f t="shared" si="12"/>
        <v>-16.981881216931217</v>
      </c>
      <c r="N182" s="13"/>
      <c r="O182" s="13">
        <v>179</v>
      </c>
      <c r="P182" s="13">
        <v>189</v>
      </c>
      <c r="Q182" s="17">
        <v>171.48165059999999</v>
      </c>
      <c r="R182" s="13"/>
      <c r="S182" s="36">
        <v>52.854983172361798</v>
      </c>
      <c r="T182" s="36">
        <v>0.997058823529411</v>
      </c>
      <c r="U182" s="36"/>
      <c r="V182" s="13"/>
      <c r="X182" s="13"/>
      <c r="Y182" s="13"/>
      <c r="Z182" s="13"/>
      <c r="AA182" s="13">
        <f t="shared" si="9"/>
        <v>-9.2689679365079432</v>
      </c>
      <c r="AB182" s="26">
        <v>0.18230440822101601</v>
      </c>
      <c r="AC182" s="34">
        <v>108</v>
      </c>
      <c r="AD182" s="34">
        <v>98</v>
      </c>
      <c r="AE182" s="34">
        <v>33</v>
      </c>
      <c r="AF182" s="34">
        <v>18</v>
      </c>
      <c r="AG182" s="34">
        <v>0.39875403100693885</v>
      </c>
      <c r="AI182" s="35">
        <v>179</v>
      </c>
      <c r="AJ182" s="35">
        <v>189</v>
      </c>
      <c r="AK182" s="17">
        <v>188.43179559999999</v>
      </c>
      <c r="AM182" s="35">
        <v>44.2211155778894</v>
      </c>
      <c r="AN182" s="35">
        <v>0.995588235294117</v>
      </c>
      <c r="AV182" s="13">
        <f t="shared" si="10"/>
        <v>-0.30063724867726016</v>
      </c>
      <c r="AW182" s="35">
        <v>2.2481183485043899E-2</v>
      </c>
      <c r="AX182" s="35">
        <v>1966</v>
      </c>
      <c r="AY182" s="35">
        <v>30</v>
      </c>
      <c r="AZ182" s="35">
        <v>44</v>
      </c>
      <c r="BA182" s="35">
        <v>37</v>
      </c>
      <c r="BB182" s="35">
        <v>0.19815120554687465</v>
      </c>
      <c r="BD182" s="35">
        <v>179</v>
      </c>
      <c r="BE182" s="35">
        <v>189</v>
      </c>
      <c r="BF182" s="17">
        <v>185.61118440000001</v>
      </c>
      <c r="BH182" s="35">
        <v>45.404774999999901</v>
      </c>
      <c r="BI182" s="35">
        <v>0.997058823529411</v>
      </c>
      <c r="BQ182" s="13">
        <f t="shared" si="11"/>
        <v>-1.7930241269841218</v>
      </c>
      <c r="BR182" s="26">
        <v>7.1689702694675395E-2</v>
      </c>
      <c r="BS182" s="35">
        <v>1578</v>
      </c>
      <c r="BT182" s="35">
        <v>42</v>
      </c>
      <c r="BU182" s="35">
        <v>15</v>
      </c>
      <c r="BV182" s="35">
        <v>3</v>
      </c>
      <c r="BW182" s="35">
        <v>0.49382009042437747</v>
      </c>
    </row>
    <row r="183" spans="1:75">
      <c r="A183" s="13">
        <v>180</v>
      </c>
      <c r="B183" s="13">
        <v>57</v>
      </c>
      <c r="C183" s="17">
        <v>61.136542159999998</v>
      </c>
      <c r="D183" s="13"/>
      <c r="E183" s="36">
        <v>68.640056508542699</v>
      </c>
      <c r="F183" s="36">
        <v>0.994117647058823</v>
      </c>
      <c r="G183" s="36"/>
      <c r="H183" s="13"/>
      <c r="I183" s="13"/>
      <c r="J183" s="13"/>
      <c r="K183" s="13"/>
      <c r="L183" s="13"/>
      <c r="M183" s="13">
        <f t="shared" si="12"/>
        <v>7.2570915087719179</v>
      </c>
      <c r="N183" s="13"/>
      <c r="O183" s="13">
        <v>180</v>
      </c>
      <c r="P183" s="13">
        <v>57</v>
      </c>
      <c r="Q183" s="17">
        <v>52.496808280000003</v>
      </c>
      <c r="R183" s="13"/>
      <c r="S183" s="36">
        <v>53.164076641206002</v>
      </c>
      <c r="T183" s="36">
        <v>0.997058823529411</v>
      </c>
      <c r="U183" s="36"/>
      <c r="V183" s="13"/>
      <c r="W183" s="13"/>
      <c r="X183" s="13"/>
      <c r="Y183" s="13"/>
      <c r="Z183" s="13"/>
      <c r="AA183" s="13">
        <f t="shared" si="9"/>
        <v>-7.9003363508771907</v>
      </c>
      <c r="AB183" s="26">
        <v>0.18230440822101601</v>
      </c>
      <c r="AC183" s="34">
        <v>838</v>
      </c>
      <c r="AD183" s="34">
        <v>43</v>
      </c>
      <c r="AE183" s="34">
        <v>46</v>
      </c>
      <c r="AF183" s="34">
        <v>40</v>
      </c>
      <c r="AG183" s="34">
        <v>0.15310142024109699</v>
      </c>
      <c r="AI183" s="35">
        <v>180</v>
      </c>
      <c r="AJ183" s="35">
        <v>57</v>
      </c>
      <c r="AK183" s="17">
        <v>56.599813339999997</v>
      </c>
      <c r="AM183" s="35">
        <v>44.479718592964801</v>
      </c>
      <c r="AN183" s="35">
        <v>0.995588235294117</v>
      </c>
      <c r="AV183" s="13">
        <f t="shared" si="10"/>
        <v>-0.7020818596491285</v>
      </c>
      <c r="AW183" s="35">
        <v>2.2481183485043899E-2</v>
      </c>
      <c r="AX183" s="35">
        <v>1545</v>
      </c>
      <c r="AY183" s="35">
        <v>188</v>
      </c>
      <c r="AZ183" s="35">
        <v>47</v>
      </c>
      <c r="BA183" s="35">
        <v>46</v>
      </c>
      <c r="BB183" s="35">
        <v>0.71581046142981608</v>
      </c>
      <c r="BD183" s="35">
        <v>180</v>
      </c>
      <c r="BE183" s="35">
        <v>57</v>
      </c>
      <c r="BF183" s="17">
        <v>55.627375280000003</v>
      </c>
      <c r="BH183" s="35">
        <v>45.670299999999898</v>
      </c>
      <c r="BI183" s="35">
        <v>0.997058823529411</v>
      </c>
      <c r="BQ183" s="13">
        <f t="shared" si="11"/>
        <v>-2.4081135438596468</v>
      </c>
      <c r="BR183" s="26">
        <v>7.1689702694675395E-2</v>
      </c>
      <c r="BS183" s="35">
        <v>1809</v>
      </c>
      <c r="BT183" s="35">
        <v>56</v>
      </c>
      <c r="BU183" s="35">
        <v>4</v>
      </c>
      <c r="BV183" s="35">
        <v>7</v>
      </c>
      <c r="BW183" s="35">
        <v>0.53505604430409104</v>
      </c>
    </row>
    <row r="184" spans="1:75">
      <c r="A184" s="13">
        <v>181</v>
      </c>
      <c r="B184" s="13">
        <v>11</v>
      </c>
      <c r="C184" s="17">
        <v>13.261228869819799</v>
      </c>
      <c r="D184" s="13"/>
      <c r="E184" s="36">
        <v>69.039126604522593</v>
      </c>
      <c r="F184" s="36">
        <v>0.994117647058823</v>
      </c>
      <c r="G184" s="36"/>
      <c r="H184" s="13"/>
      <c r="I184" s="13"/>
      <c r="J184" s="13"/>
      <c r="K184" s="13"/>
      <c r="L184" s="13"/>
      <c r="M184" s="13">
        <f t="shared" si="12"/>
        <v>20.556626089270914</v>
      </c>
      <c r="N184" s="13"/>
      <c r="O184" s="13">
        <v>181</v>
      </c>
      <c r="P184" s="13">
        <v>11</v>
      </c>
      <c r="Q184" s="17">
        <v>17.673822593179999</v>
      </c>
      <c r="R184" s="13"/>
      <c r="S184" s="36">
        <v>53.473170110050198</v>
      </c>
      <c r="T184" s="36">
        <v>0.997058823529411</v>
      </c>
      <c r="U184" s="36"/>
      <c r="V184" s="13"/>
      <c r="W184" s="13"/>
      <c r="X184" s="13"/>
      <c r="Y184" s="13"/>
      <c r="Z184" s="13"/>
      <c r="AA184" s="13">
        <f t="shared" si="9"/>
        <v>60.671114483454524</v>
      </c>
      <c r="AB184" s="26">
        <v>0.18230440822101601</v>
      </c>
      <c r="AC184" s="34">
        <v>1286</v>
      </c>
      <c r="AD184" s="34">
        <v>82</v>
      </c>
      <c r="AE184" s="34">
        <v>33</v>
      </c>
      <c r="AF184" s="34">
        <v>14</v>
      </c>
      <c r="AG184" s="34">
        <v>0.74457405213873495</v>
      </c>
      <c r="AI184" s="35">
        <v>181</v>
      </c>
      <c r="AJ184" s="35">
        <v>11</v>
      </c>
      <c r="AK184" s="17">
        <v>11.182216670000001</v>
      </c>
      <c r="AM184" s="35">
        <v>44.738321608040103</v>
      </c>
      <c r="AN184" s="35">
        <v>0.997058823529411</v>
      </c>
      <c r="AV184" s="13">
        <f t="shared" si="10"/>
        <v>1.6565151818181967</v>
      </c>
      <c r="AW184" s="35">
        <v>2.2481183485043899E-2</v>
      </c>
      <c r="AX184" s="35">
        <v>228</v>
      </c>
      <c r="AY184" s="35">
        <v>134</v>
      </c>
      <c r="AZ184" s="35">
        <v>33</v>
      </c>
      <c r="BA184" s="35">
        <v>18</v>
      </c>
      <c r="BB184" s="35">
        <v>0.46214203132942389</v>
      </c>
      <c r="BD184" s="35">
        <v>181</v>
      </c>
      <c r="BE184" s="35">
        <v>11</v>
      </c>
      <c r="BF184" s="17">
        <v>11.256761405665999</v>
      </c>
      <c r="BH184" s="35">
        <v>45.935824999999902</v>
      </c>
      <c r="BI184" s="35">
        <v>0.997058823529411</v>
      </c>
      <c r="BQ184" s="13">
        <f t="shared" si="11"/>
        <v>2.3341945969636235</v>
      </c>
      <c r="BR184" s="26">
        <v>7.1689702694675395E-2</v>
      </c>
      <c r="BS184" s="35">
        <v>1458</v>
      </c>
      <c r="BT184" s="35">
        <v>196</v>
      </c>
      <c r="BU184" s="35">
        <v>40</v>
      </c>
      <c r="BV184" s="35">
        <v>15</v>
      </c>
      <c r="BW184" s="35">
        <v>0.75894847223074646</v>
      </c>
    </row>
    <row r="185" spans="1:75">
      <c r="A185" s="13">
        <v>182</v>
      </c>
      <c r="B185" s="13">
        <v>79</v>
      </c>
      <c r="C185" s="17">
        <v>99.823720519999995</v>
      </c>
      <c r="D185" s="13"/>
      <c r="E185" s="36">
        <v>69.438196700502502</v>
      </c>
      <c r="F185" s="36">
        <v>0.994117647058823</v>
      </c>
      <c r="G185" s="36"/>
      <c r="H185" s="13"/>
      <c r="I185" s="13"/>
      <c r="J185" s="13"/>
      <c r="K185" s="13"/>
      <c r="L185" s="13"/>
      <c r="M185" s="13">
        <f t="shared" si="12"/>
        <v>26.359139898734174</v>
      </c>
      <c r="N185" s="13"/>
      <c r="O185" s="13">
        <v>182</v>
      </c>
      <c r="P185" s="13">
        <v>79</v>
      </c>
      <c r="Q185" s="17">
        <v>91.46058171</v>
      </c>
      <c r="R185" s="13"/>
      <c r="S185" s="36">
        <v>53.782263578894401</v>
      </c>
      <c r="T185" s="36">
        <v>0.997058823529411</v>
      </c>
      <c r="U185" s="36"/>
      <c r="V185" s="13"/>
      <c r="W185" s="13"/>
      <c r="X185" s="13"/>
      <c r="Y185" s="13"/>
      <c r="Z185" s="13"/>
      <c r="AA185" s="13">
        <f t="shared" si="9"/>
        <v>15.772888240506333</v>
      </c>
      <c r="AB185" s="26">
        <v>0.18230440822101601</v>
      </c>
      <c r="AC185" s="34">
        <v>1000</v>
      </c>
      <c r="AD185" s="34">
        <v>64</v>
      </c>
      <c r="AE185" s="34">
        <v>20</v>
      </c>
      <c r="AF185" s="34">
        <v>32</v>
      </c>
      <c r="AG185" s="34">
        <v>0.72271860340469207</v>
      </c>
      <c r="AI185" s="35">
        <v>182</v>
      </c>
      <c r="AJ185" s="35">
        <v>79</v>
      </c>
      <c r="AK185" s="17">
        <v>80.568531899999996</v>
      </c>
      <c r="AM185" s="35">
        <v>44.996924623115497</v>
      </c>
      <c r="AN185" s="35">
        <v>0.997058823529411</v>
      </c>
      <c r="AV185" s="13">
        <f t="shared" si="10"/>
        <v>1.9854834177215119</v>
      </c>
      <c r="AW185" s="35">
        <v>2.2481183485043899E-2</v>
      </c>
      <c r="AX185" s="35">
        <v>407</v>
      </c>
      <c r="AY185" s="35">
        <v>38</v>
      </c>
      <c r="AZ185" s="35">
        <v>15</v>
      </c>
      <c r="BA185" s="35">
        <v>33</v>
      </c>
      <c r="BB185" s="35">
        <v>0.76437266699591533</v>
      </c>
      <c r="BD185" s="35">
        <v>182</v>
      </c>
      <c r="BE185" s="35">
        <v>79</v>
      </c>
      <c r="BF185" s="17">
        <v>86.549487319999997</v>
      </c>
      <c r="BH185" s="35">
        <v>46.201349999999898</v>
      </c>
      <c r="BI185" s="35">
        <v>0.997058823529411</v>
      </c>
      <c r="BQ185" s="13">
        <f t="shared" si="11"/>
        <v>9.5563130632911442</v>
      </c>
      <c r="BR185" s="26">
        <v>7.1689702694675395E-2</v>
      </c>
      <c r="BS185" s="35">
        <v>1925</v>
      </c>
      <c r="BT185" s="35">
        <v>7</v>
      </c>
      <c r="BU185" s="35">
        <v>41</v>
      </c>
      <c r="BV185" s="35">
        <v>21</v>
      </c>
      <c r="BW185" s="35">
        <v>0.30335222944872958</v>
      </c>
    </row>
    <row r="186" spans="1:75">
      <c r="A186" s="13">
        <v>183</v>
      </c>
      <c r="B186" s="13">
        <v>69</v>
      </c>
      <c r="C186" s="17">
        <v>78.998977499999995</v>
      </c>
      <c r="D186" s="13"/>
      <c r="E186" s="36">
        <v>69.837266796482396</v>
      </c>
      <c r="F186" s="36">
        <v>0.995588235294117</v>
      </c>
      <c r="G186" s="36"/>
      <c r="H186" s="13"/>
      <c r="I186" s="13"/>
      <c r="J186" s="13"/>
      <c r="K186" s="13"/>
      <c r="L186" s="13"/>
      <c r="M186" s="13">
        <f t="shared" si="12"/>
        <v>14.491271739130429</v>
      </c>
      <c r="N186" s="13"/>
      <c r="O186" s="13">
        <v>183</v>
      </c>
      <c r="P186" s="13">
        <v>69</v>
      </c>
      <c r="Q186" s="17">
        <v>66.578042030000006</v>
      </c>
      <c r="R186" s="13"/>
      <c r="S186" s="36">
        <v>54.091357047738597</v>
      </c>
      <c r="T186" s="36">
        <v>0.997058823529411</v>
      </c>
      <c r="U186" s="36"/>
      <c r="V186" s="13"/>
      <c r="W186" s="13"/>
      <c r="X186" s="13"/>
      <c r="Y186" s="13"/>
      <c r="Z186" s="13"/>
      <c r="AA186" s="13">
        <f t="shared" si="9"/>
        <v>-3.5100840144927425</v>
      </c>
      <c r="AB186" s="26">
        <v>0.18230440822101601</v>
      </c>
      <c r="AC186" s="34">
        <v>662</v>
      </c>
      <c r="AD186" s="34">
        <v>179</v>
      </c>
      <c r="AE186" s="34">
        <v>20</v>
      </c>
      <c r="AF186" s="34">
        <v>12</v>
      </c>
      <c r="AG186" s="34">
        <v>0.77375660396005463</v>
      </c>
      <c r="AI186" s="35">
        <v>183</v>
      </c>
      <c r="AJ186" s="35">
        <v>69</v>
      </c>
      <c r="AK186" s="17">
        <v>68.781633769999999</v>
      </c>
      <c r="AM186" s="35">
        <v>45.255527638190898</v>
      </c>
      <c r="AN186" s="35">
        <v>0.997058823529411</v>
      </c>
      <c r="AV186" s="13">
        <f t="shared" si="10"/>
        <v>-0.31647279710145249</v>
      </c>
      <c r="AW186" s="35">
        <v>2.2481183485043899E-2</v>
      </c>
      <c r="AX186" s="35">
        <v>1302</v>
      </c>
      <c r="AY186" s="35">
        <v>165</v>
      </c>
      <c r="AZ186" s="35">
        <v>26</v>
      </c>
      <c r="BA186" s="35">
        <v>19</v>
      </c>
      <c r="BB186" s="35">
        <v>0.15010845194294212</v>
      </c>
      <c r="BD186" s="35">
        <v>183</v>
      </c>
      <c r="BE186" s="35">
        <v>69</v>
      </c>
      <c r="BF186" s="17">
        <v>68.435690879999996</v>
      </c>
      <c r="BH186" s="35">
        <v>46.466874999999902</v>
      </c>
      <c r="BI186" s="35">
        <v>0.997058823529411</v>
      </c>
      <c r="BQ186" s="13">
        <f t="shared" si="11"/>
        <v>-0.81783930434783381</v>
      </c>
      <c r="BR186" s="26">
        <v>7.1689702694675395E-2</v>
      </c>
      <c r="BS186" s="35">
        <v>1058</v>
      </c>
      <c r="BT186" s="35">
        <v>85</v>
      </c>
      <c r="BU186" s="35">
        <v>49</v>
      </c>
      <c r="BV186" s="35">
        <v>43</v>
      </c>
      <c r="BW186" s="35">
        <v>0.80238929909722312</v>
      </c>
    </row>
    <row r="187" spans="1:75">
      <c r="A187" s="13">
        <v>184</v>
      </c>
      <c r="B187" s="13">
        <v>79</v>
      </c>
      <c r="C187" s="17">
        <v>95.376580279999999</v>
      </c>
      <c r="D187" s="13"/>
      <c r="E187" s="36">
        <v>70.236336892462305</v>
      </c>
      <c r="F187" s="36">
        <v>0.995588235294117</v>
      </c>
      <c r="G187" s="36"/>
      <c r="H187" s="13"/>
      <c r="I187" s="13"/>
      <c r="J187" s="13"/>
      <c r="K187" s="13"/>
      <c r="L187" s="13"/>
      <c r="M187" s="13">
        <f t="shared" si="12"/>
        <v>20.72984845569621</v>
      </c>
      <c r="N187" s="13"/>
      <c r="O187" s="13">
        <v>184</v>
      </c>
      <c r="P187" s="13">
        <v>79</v>
      </c>
      <c r="Q187" s="17">
        <v>90.044454860000002</v>
      </c>
      <c r="R187" s="13"/>
      <c r="S187" s="36">
        <v>54.4004505165829</v>
      </c>
      <c r="T187" s="36">
        <v>0.997058823529411</v>
      </c>
      <c r="U187" s="36"/>
      <c r="V187" s="13"/>
      <c r="W187" s="13"/>
      <c r="X187" s="13"/>
      <c r="Y187" s="13"/>
      <c r="Z187" s="13"/>
      <c r="AA187" s="13">
        <f t="shared" si="9"/>
        <v>13.980322607594942</v>
      </c>
      <c r="AB187" s="26">
        <v>0.18230440822101601</v>
      </c>
      <c r="AC187" s="34">
        <v>1517</v>
      </c>
      <c r="AD187" s="34">
        <v>147</v>
      </c>
      <c r="AE187" s="34">
        <v>42</v>
      </c>
      <c r="AF187" s="34">
        <v>25</v>
      </c>
      <c r="AG187" s="34">
        <v>0.2347641908562271</v>
      </c>
      <c r="AI187" s="35">
        <v>184</v>
      </c>
      <c r="AJ187" s="35">
        <v>79</v>
      </c>
      <c r="AK187" s="17">
        <v>81.661302190000001</v>
      </c>
      <c r="AM187" s="35">
        <v>45.514130653266299</v>
      </c>
      <c r="AN187" s="35">
        <v>0.997058823529411</v>
      </c>
      <c r="AV187" s="13">
        <f t="shared" si="10"/>
        <v>3.3687369493670793</v>
      </c>
      <c r="AW187" s="35">
        <v>2.2481183485043899E-2</v>
      </c>
      <c r="AX187" s="35">
        <v>1351</v>
      </c>
      <c r="AY187" s="35">
        <v>196</v>
      </c>
      <c r="AZ187" s="35">
        <v>10</v>
      </c>
      <c r="BA187" s="35">
        <v>45</v>
      </c>
      <c r="BB187" s="35">
        <v>0.47988395202735956</v>
      </c>
      <c r="BD187" s="35">
        <v>184</v>
      </c>
      <c r="BE187" s="35">
        <v>79</v>
      </c>
      <c r="BF187" s="17">
        <v>85.908448640000003</v>
      </c>
      <c r="BH187" s="35">
        <v>46.732399999999899</v>
      </c>
      <c r="BI187" s="35">
        <v>0.997058823529411</v>
      </c>
      <c r="BQ187" s="13">
        <f t="shared" si="11"/>
        <v>8.7448716962025266</v>
      </c>
      <c r="BR187" s="26">
        <v>7.1689702694675395E-2</v>
      </c>
      <c r="BS187" s="35">
        <v>630</v>
      </c>
      <c r="BT187" s="35">
        <v>58</v>
      </c>
      <c r="BU187" s="35">
        <v>30</v>
      </c>
      <c r="BV187" s="35">
        <v>46</v>
      </c>
      <c r="BW187" s="35">
        <v>0.51087204455177693</v>
      </c>
    </row>
    <row r="188" spans="1:75">
      <c r="A188" s="13">
        <v>185</v>
      </c>
      <c r="B188" s="13">
        <v>185</v>
      </c>
      <c r="C188" s="17">
        <v>169.20834529999999</v>
      </c>
      <c r="D188" s="13"/>
      <c r="E188" s="36">
        <v>70.635406988442199</v>
      </c>
      <c r="F188" s="36">
        <v>0.997058823529411</v>
      </c>
      <c r="G188" s="36"/>
      <c r="H188" s="13"/>
      <c r="I188" s="13"/>
      <c r="J188" s="13"/>
      <c r="K188" s="13"/>
      <c r="L188" s="13"/>
      <c r="M188" s="13">
        <f t="shared" si="12"/>
        <v>-8.5360295675675708</v>
      </c>
      <c r="N188" s="13"/>
      <c r="O188" s="13">
        <v>185</v>
      </c>
      <c r="P188" s="13">
        <v>185</v>
      </c>
      <c r="Q188" s="17">
        <v>183.1852025</v>
      </c>
      <c r="R188" s="13"/>
      <c r="S188" s="36">
        <v>54.709543985427104</v>
      </c>
      <c r="T188" s="36">
        <v>0.997058823529411</v>
      </c>
      <c r="U188" s="36"/>
      <c r="V188" s="13"/>
      <c r="W188" s="13"/>
      <c r="X188" s="13"/>
      <c r="Y188" s="13"/>
      <c r="Z188" s="13"/>
      <c r="AA188" s="13">
        <f t="shared" si="9"/>
        <v>-0.980971621621618</v>
      </c>
      <c r="AB188" s="26">
        <v>0.18230440822101601</v>
      </c>
      <c r="AC188" s="34">
        <v>361</v>
      </c>
      <c r="AD188" s="34">
        <v>185</v>
      </c>
      <c r="AE188" s="34">
        <v>11</v>
      </c>
      <c r="AF188" s="34">
        <v>19</v>
      </c>
      <c r="AG188" s="34">
        <v>0.73018728529320809</v>
      </c>
      <c r="AI188" s="35">
        <v>185</v>
      </c>
      <c r="AJ188" s="35">
        <v>185</v>
      </c>
      <c r="AK188" s="17">
        <v>185.02166779999999</v>
      </c>
      <c r="AM188" s="35">
        <v>45.772733668341601</v>
      </c>
      <c r="AN188" s="35">
        <v>0.997058823529411</v>
      </c>
      <c r="AV188" s="13">
        <f t="shared" si="10"/>
        <v>1.1712324324308909E-2</v>
      </c>
      <c r="AW188" s="35">
        <v>2.2481183485043899E-2</v>
      </c>
      <c r="AX188" s="35">
        <v>1840</v>
      </c>
      <c r="AY188" s="35">
        <v>109</v>
      </c>
      <c r="AZ188" s="35">
        <v>20</v>
      </c>
      <c r="BA188" s="35">
        <v>21</v>
      </c>
      <c r="BB188" s="35">
        <v>0.48033233987456125</v>
      </c>
      <c r="BD188" s="35">
        <v>185</v>
      </c>
      <c r="BE188" s="35">
        <v>185</v>
      </c>
      <c r="BF188" s="17">
        <v>184.58573699999999</v>
      </c>
      <c r="BH188" s="35">
        <v>46.997924999999903</v>
      </c>
      <c r="BI188" s="35">
        <v>0.997058823529411</v>
      </c>
      <c r="BQ188" s="13">
        <f t="shared" si="11"/>
        <v>-0.22392594594594639</v>
      </c>
      <c r="BR188" s="26">
        <v>7.1689702694675395E-2</v>
      </c>
      <c r="BS188" s="35">
        <v>75</v>
      </c>
      <c r="BT188" s="35">
        <v>26</v>
      </c>
      <c r="BU188" s="35">
        <v>30</v>
      </c>
      <c r="BV188" s="35">
        <v>43</v>
      </c>
      <c r="BW188" s="35">
        <v>0.9648784993308398</v>
      </c>
    </row>
    <row r="189" spans="1:75">
      <c r="A189" s="13">
        <v>186</v>
      </c>
      <c r="B189" s="13">
        <v>176</v>
      </c>
      <c r="C189" s="17">
        <v>156.78514799999999</v>
      </c>
      <c r="D189" s="13"/>
      <c r="E189" s="36">
        <v>71.034477084422093</v>
      </c>
      <c r="F189" s="36">
        <v>0.997058823529411</v>
      </c>
      <c r="G189" s="36"/>
      <c r="H189" s="13"/>
      <c r="I189" s="13"/>
      <c r="J189" s="13"/>
      <c r="K189" s="13"/>
      <c r="L189" s="13"/>
      <c r="M189" s="13">
        <f t="shared" si="12"/>
        <v>-10.917529545454553</v>
      </c>
      <c r="N189" s="13"/>
      <c r="O189" s="13">
        <v>186</v>
      </c>
      <c r="P189" s="13">
        <v>176</v>
      </c>
      <c r="Q189" s="17">
        <v>168.77383699999999</v>
      </c>
      <c r="R189" s="13"/>
      <c r="S189" s="36">
        <v>55.0186374542713</v>
      </c>
      <c r="T189" s="36">
        <v>0.997058823529411</v>
      </c>
      <c r="U189" s="36"/>
      <c r="V189" s="13"/>
      <c r="W189" s="13"/>
      <c r="X189" s="13"/>
      <c r="Y189" s="13"/>
      <c r="Z189" s="13"/>
      <c r="AA189" s="13">
        <f t="shared" si="9"/>
        <v>-4.1057744318181877</v>
      </c>
      <c r="AB189" s="26">
        <v>0.18230440822101601</v>
      </c>
      <c r="AC189" s="34">
        <v>191</v>
      </c>
      <c r="AD189" s="34">
        <v>77</v>
      </c>
      <c r="AE189" s="34">
        <v>45</v>
      </c>
      <c r="AF189" s="34">
        <v>16</v>
      </c>
      <c r="AG189" s="34">
        <v>0.53870278604270527</v>
      </c>
      <c r="AI189" s="35">
        <v>186</v>
      </c>
      <c r="AJ189" s="35">
        <v>176</v>
      </c>
      <c r="AK189" s="17">
        <v>176.07740000000001</v>
      </c>
      <c r="AM189" s="35">
        <v>46.031336683417003</v>
      </c>
      <c r="AN189" s="35">
        <v>0.997058823529411</v>
      </c>
      <c r="AV189" s="13">
        <f t="shared" si="10"/>
        <v>4.3977272727269145E-2</v>
      </c>
      <c r="AW189" s="35">
        <v>2.2481183485043899E-2</v>
      </c>
      <c r="AX189" s="35">
        <v>1580</v>
      </c>
      <c r="AY189" s="35">
        <v>120</v>
      </c>
      <c r="AZ189" s="35">
        <v>7</v>
      </c>
      <c r="BA189" s="35">
        <v>49</v>
      </c>
      <c r="BB189" s="35">
        <v>0.96887495037756621</v>
      </c>
      <c r="BD189" s="35">
        <v>186</v>
      </c>
      <c r="BE189" s="35">
        <v>176</v>
      </c>
      <c r="BF189" s="17">
        <v>175.1532301</v>
      </c>
      <c r="BH189" s="35">
        <v>47.263449999999899</v>
      </c>
      <c r="BI189" s="35">
        <v>0.997058823529411</v>
      </c>
      <c r="BQ189" s="13">
        <f t="shared" si="11"/>
        <v>-0.48111926136363836</v>
      </c>
      <c r="BR189" s="26">
        <v>7.1689702694675395E-2</v>
      </c>
      <c r="BS189" s="35">
        <v>331</v>
      </c>
      <c r="BT189" s="35">
        <v>146</v>
      </c>
      <c r="BU189" s="35">
        <v>29</v>
      </c>
      <c r="BV189" s="35">
        <v>25</v>
      </c>
      <c r="BW189" s="35">
        <v>0.63524460581679465</v>
      </c>
    </row>
    <row r="190" spans="1:75">
      <c r="A190" s="13">
        <v>187</v>
      </c>
      <c r="B190" s="13">
        <v>177</v>
      </c>
      <c r="C190" s="17">
        <v>162.0158002</v>
      </c>
      <c r="D190" s="13"/>
      <c r="E190" s="36">
        <v>71.433547180402002</v>
      </c>
      <c r="F190" s="36">
        <v>0.997058823529411</v>
      </c>
      <c r="G190" s="36"/>
      <c r="H190" s="13"/>
      <c r="I190" s="13"/>
      <c r="J190" s="13"/>
      <c r="K190" s="13"/>
      <c r="L190" s="13"/>
      <c r="M190" s="13">
        <f t="shared" si="12"/>
        <v>-8.4656496045197756</v>
      </c>
      <c r="N190" s="13"/>
      <c r="O190" s="13">
        <v>187</v>
      </c>
      <c r="P190" s="13">
        <v>177</v>
      </c>
      <c r="Q190" s="17">
        <v>175.4021056</v>
      </c>
      <c r="R190" s="13"/>
      <c r="S190" s="36">
        <v>55.327730923115503</v>
      </c>
      <c r="T190" s="36">
        <v>0.997058823529411</v>
      </c>
      <c r="U190" s="36"/>
      <c r="V190" s="13"/>
      <c r="W190" s="13"/>
      <c r="X190" s="13"/>
      <c r="Y190" s="13"/>
      <c r="Z190" s="13"/>
      <c r="AA190" s="13">
        <f t="shared" si="9"/>
        <v>-0.90276519774011854</v>
      </c>
      <c r="AB190" s="26">
        <v>0.18230440822101601</v>
      </c>
      <c r="AC190" s="34">
        <v>1269</v>
      </c>
      <c r="AD190" s="34">
        <v>77</v>
      </c>
      <c r="AE190" s="34">
        <v>50</v>
      </c>
      <c r="AF190" s="34">
        <v>15</v>
      </c>
      <c r="AG190" s="34">
        <v>0.77028834738641783</v>
      </c>
      <c r="AI190" s="35">
        <v>187</v>
      </c>
      <c r="AJ190" s="35">
        <v>177</v>
      </c>
      <c r="AK190" s="17">
        <v>177.73405790000001</v>
      </c>
      <c r="AM190" s="35">
        <v>46.289939698492397</v>
      </c>
      <c r="AN190" s="35">
        <v>0.997058823529411</v>
      </c>
      <c r="AV190" s="13">
        <f t="shared" si="10"/>
        <v>0.41472197740113348</v>
      </c>
      <c r="AW190" s="35">
        <v>1.6619604161757E-2</v>
      </c>
      <c r="AX190" s="35">
        <v>70</v>
      </c>
      <c r="AY190" s="35">
        <v>104</v>
      </c>
      <c r="AZ190" s="35">
        <v>28</v>
      </c>
      <c r="BA190" s="35">
        <v>10</v>
      </c>
      <c r="BB190" s="35">
        <v>0.32461601195729162</v>
      </c>
      <c r="BD190" s="35">
        <v>187</v>
      </c>
      <c r="BE190" s="35">
        <v>177</v>
      </c>
      <c r="BF190" s="17">
        <v>175.28012319999999</v>
      </c>
      <c r="BH190" s="35">
        <v>47.528974999999903</v>
      </c>
      <c r="BI190" s="35">
        <v>0.997058823529411</v>
      </c>
      <c r="BQ190" s="13">
        <f t="shared" si="11"/>
        <v>-0.9716818079096079</v>
      </c>
      <c r="BR190" s="26">
        <v>7.1689702694675395E-2</v>
      </c>
      <c r="BS190" s="35">
        <v>1516</v>
      </c>
      <c r="BT190" s="35">
        <v>176</v>
      </c>
      <c r="BU190" s="35">
        <v>19</v>
      </c>
      <c r="BV190" s="35">
        <v>9</v>
      </c>
      <c r="BW190" s="35">
        <v>0.13910439578775277</v>
      </c>
    </row>
    <row r="191" spans="1:75">
      <c r="A191" s="13">
        <v>188</v>
      </c>
      <c r="B191" s="13">
        <v>146</v>
      </c>
      <c r="C191" s="17">
        <v>141.08706119999999</v>
      </c>
      <c r="D191" s="13"/>
      <c r="E191" s="36">
        <v>71.832617276381896</v>
      </c>
      <c r="F191" s="36">
        <v>0.997058823529411</v>
      </c>
      <c r="G191" s="36"/>
      <c r="H191" s="13"/>
      <c r="I191" s="13"/>
      <c r="J191" s="13"/>
      <c r="K191" s="13"/>
      <c r="L191" s="13"/>
      <c r="M191" s="13">
        <f t="shared" si="12"/>
        <v>-3.3650265753424669</v>
      </c>
      <c r="N191" s="13"/>
      <c r="O191" s="13">
        <v>188</v>
      </c>
      <c r="P191" s="13">
        <v>146</v>
      </c>
      <c r="Q191" s="17">
        <v>145.1267249</v>
      </c>
      <c r="R191" s="13"/>
      <c r="S191" s="36">
        <v>55.636824391959699</v>
      </c>
      <c r="T191" s="36">
        <v>0.997058823529411</v>
      </c>
      <c r="U191" s="36"/>
      <c r="V191" s="13"/>
      <c r="W191" s="13"/>
      <c r="X191" s="13"/>
      <c r="Y191" s="13"/>
      <c r="Z191" s="13"/>
      <c r="AA191" s="13">
        <f t="shared" si="9"/>
        <v>-0.59813363013698773</v>
      </c>
      <c r="AB191" s="26">
        <v>0.18230440822101601</v>
      </c>
      <c r="AC191" s="34">
        <v>1900</v>
      </c>
      <c r="AD191" s="34">
        <v>153</v>
      </c>
      <c r="AE191" s="34">
        <v>31</v>
      </c>
      <c r="AF191" s="34">
        <v>8</v>
      </c>
      <c r="AG191" s="34">
        <v>0.84779083034593994</v>
      </c>
      <c r="AI191" s="35">
        <v>188</v>
      </c>
      <c r="AJ191" s="35">
        <v>146</v>
      </c>
      <c r="AK191" s="17">
        <v>146.13127159999999</v>
      </c>
      <c r="AM191" s="35">
        <v>46.548542713567798</v>
      </c>
      <c r="AN191" s="35">
        <v>0.997058823529411</v>
      </c>
      <c r="AV191" s="13">
        <f t="shared" si="10"/>
        <v>8.9912054794516472E-2</v>
      </c>
      <c r="AW191" s="35">
        <v>1.6619604161757E-2</v>
      </c>
      <c r="AX191" s="35">
        <v>134</v>
      </c>
      <c r="AY191" s="35">
        <v>91</v>
      </c>
      <c r="AZ191" s="35">
        <v>21</v>
      </c>
      <c r="BA191" s="35">
        <v>28</v>
      </c>
      <c r="BB191" s="35">
        <v>0.59522287932991147</v>
      </c>
      <c r="BD191" s="35">
        <v>188</v>
      </c>
      <c r="BE191" s="35">
        <v>146</v>
      </c>
      <c r="BF191" s="17">
        <v>145.40145200000001</v>
      </c>
      <c r="BH191" s="35">
        <v>47.7944999999999</v>
      </c>
      <c r="BI191" s="35">
        <v>0.997058823529411</v>
      </c>
      <c r="BQ191" s="13">
        <f t="shared" si="11"/>
        <v>-0.40996438356164511</v>
      </c>
      <c r="BR191" s="26">
        <v>7.1689702694675395E-2</v>
      </c>
      <c r="BS191" s="35">
        <v>1822</v>
      </c>
      <c r="BT191" s="35">
        <v>11</v>
      </c>
      <c r="BU191" s="35">
        <v>27</v>
      </c>
      <c r="BV191" s="35">
        <v>4</v>
      </c>
      <c r="BW191" s="35">
        <v>0.79795273623095397</v>
      </c>
    </row>
    <row r="192" spans="1:75">
      <c r="A192" s="13">
        <v>189</v>
      </c>
      <c r="B192" s="13">
        <v>52</v>
      </c>
      <c r="C192" s="17">
        <v>82.396921680000005</v>
      </c>
      <c r="D192" s="13"/>
      <c r="E192" s="36">
        <v>72.231687372361804</v>
      </c>
      <c r="F192" s="36">
        <v>0.997058823529411</v>
      </c>
      <c r="G192" s="36"/>
      <c r="H192" s="13"/>
      <c r="I192" s="13"/>
      <c r="J192" s="13"/>
      <c r="K192" s="13"/>
      <c r="L192" s="13"/>
      <c r="M192" s="13">
        <f t="shared" si="12"/>
        <v>58.455618615384623</v>
      </c>
      <c r="N192" s="13"/>
      <c r="O192" s="13">
        <v>189</v>
      </c>
      <c r="P192" s="13">
        <v>52</v>
      </c>
      <c r="Q192" s="17">
        <v>70.515665510000005</v>
      </c>
      <c r="R192" s="13"/>
      <c r="S192" s="36">
        <v>55.945917860804002</v>
      </c>
      <c r="T192" s="36">
        <v>0.997058823529411</v>
      </c>
      <c r="U192" s="36"/>
      <c r="V192" s="13"/>
      <c r="W192" s="13"/>
      <c r="X192" s="13"/>
      <c r="Y192" s="13"/>
      <c r="Z192" s="13"/>
      <c r="AA192" s="13">
        <f t="shared" si="9"/>
        <v>35.607049057692322</v>
      </c>
      <c r="AB192" s="26">
        <v>0.18230440822101601</v>
      </c>
      <c r="AC192" s="34">
        <v>1308</v>
      </c>
      <c r="AD192" s="34">
        <v>129</v>
      </c>
      <c r="AE192" s="34">
        <v>38</v>
      </c>
      <c r="AF192" s="34">
        <v>23</v>
      </c>
      <c r="AG192" s="34">
        <v>0.293874775775266</v>
      </c>
      <c r="AI192" s="35">
        <v>189</v>
      </c>
      <c r="AJ192" s="35">
        <v>52</v>
      </c>
      <c r="AK192" s="17">
        <v>52.096633050000001</v>
      </c>
      <c r="AM192" s="35">
        <v>46.807145728643199</v>
      </c>
      <c r="AN192" s="35">
        <v>0.997058823529411</v>
      </c>
      <c r="AV192" s="13">
        <f t="shared" si="10"/>
        <v>0.18583278846153739</v>
      </c>
      <c r="AW192" s="26">
        <v>1.5750230831770799E-2</v>
      </c>
      <c r="AX192" s="26">
        <v>478</v>
      </c>
      <c r="AY192" s="26">
        <v>11</v>
      </c>
      <c r="AZ192" s="26">
        <v>4</v>
      </c>
      <c r="BA192" s="26">
        <v>1</v>
      </c>
      <c r="BB192" s="26">
        <v>0.69320000000000004</v>
      </c>
      <c r="BD192" s="35">
        <v>189</v>
      </c>
      <c r="BE192" s="35">
        <v>52</v>
      </c>
      <c r="BF192" s="17">
        <v>54.553608359999998</v>
      </c>
      <c r="BH192" s="35">
        <v>48.060024999999897</v>
      </c>
      <c r="BI192" s="35">
        <v>0.997058823529411</v>
      </c>
      <c r="BQ192" s="13">
        <f t="shared" si="11"/>
        <v>4.9107853076923114</v>
      </c>
      <c r="BR192" s="26">
        <v>7.1689702694675395E-2</v>
      </c>
      <c r="BS192" s="35">
        <v>1662</v>
      </c>
      <c r="BT192" s="35">
        <v>95</v>
      </c>
      <c r="BU192" s="35">
        <v>31</v>
      </c>
      <c r="BV192" s="35">
        <v>39</v>
      </c>
      <c r="BW192" s="35">
        <v>0.93714858176140214</v>
      </c>
    </row>
    <row r="193" spans="1:75">
      <c r="A193" s="13">
        <v>190</v>
      </c>
      <c r="B193" s="13">
        <v>214</v>
      </c>
      <c r="C193" s="17">
        <v>163.5469425</v>
      </c>
      <c r="D193" s="13"/>
      <c r="E193" s="36">
        <v>72.630757468341699</v>
      </c>
      <c r="F193" s="36">
        <v>0.997058823529411</v>
      </c>
      <c r="G193" s="36"/>
      <c r="H193" s="13"/>
      <c r="I193" s="13"/>
      <c r="J193" s="13"/>
      <c r="K193" s="13"/>
      <c r="L193" s="13"/>
      <c r="M193" s="13">
        <f t="shared" si="12"/>
        <v>-23.57619509345794</v>
      </c>
      <c r="N193" s="13"/>
      <c r="O193" s="13">
        <v>190</v>
      </c>
      <c r="P193" s="13">
        <v>214</v>
      </c>
      <c r="Q193" s="17">
        <v>188.90347790000001</v>
      </c>
      <c r="R193" s="13"/>
      <c r="S193" s="36">
        <v>56.255011329648198</v>
      </c>
      <c r="T193" s="36">
        <v>0.997058823529411</v>
      </c>
      <c r="U193" s="36"/>
      <c r="V193" s="13"/>
      <c r="W193" s="13"/>
      <c r="X193" s="13"/>
      <c r="Y193" s="13"/>
      <c r="Z193" s="13"/>
      <c r="AA193" s="13">
        <f t="shared" si="9"/>
        <v>-11.72734677570093</v>
      </c>
      <c r="AB193" s="26">
        <v>0.18230440822101601</v>
      </c>
      <c r="AC193" s="34">
        <v>1635</v>
      </c>
      <c r="AD193" s="34">
        <v>117</v>
      </c>
      <c r="AE193" s="34">
        <v>28</v>
      </c>
      <c r="AF193" s="34">
        <v>7</v>
      </c>
      <c r="AG193" s="34">
        <v>0.45264022198334986</v>
      </c>
      <c r="AI193" s="35">
        <v>190</v>
      </c>
      <c r="AJ193" s="35">
        <v>214</v>
      </c>
      <c r="AK193" s="17">
        <v>213.20206160000001</v>
      </c>
      <c r="AM193" s="35">
        <v>47.065748743718501</v>
      </c>
      <c r="AN193" s="35">
        <v>0.997058823529411</v>
      </c>
      <c r="AV193" s="13">
        <f t="shared" si="10"/>
        <v>-0.37286841121495495</v>
      </c>
      <c r="AW193" s="26">
        <v>1.5750230831770799E-2</v>
      </c>
      <c r="AX193" s="35">
        <v>1313</v>
      </c>
      <c r="AY193" s="35">
        <v>112</v>
      </c>
      <c r="AZ193" s="35">
        <v>14</v>
      </c>
      <c r="BA193" s="35">
        <v>20</v>
      </c>
      <c r="BB193" s="35">
        <v>0.15607431040482889</v>
      </c>
      <c r="BD193" s="35">
        <v>190</v>
      </c>
      <c r="BE193" s="35">
        <v>214</v>
      </c>
      <c r="BF193" s="17">
        <v>208.63160389999999</v>
      </c>
      <c r="BH193" s="35">
        <v>48.3255499999999</v>
      </c>
      <c r="BI193" s="35">
        <v>0.997058823529411</v>
      </c>
      <c r="BQ193" s="13">
        <f t="shared" si="11"/>
        <v>-2.5085963084112262</v>
      </c>
      <c r="BR193" s="26">
        <v>7.1689702694675395E-2</v>
      </c>
      <c r="BS193" s="35">
        <v>1962</v>
      </c>
      <c r="BT193" s="35">
        <v>188</v>
      </c>
      <c r="BU193" s="35">
        <v>15</v>
      </c>
      <c r="BV193" s="35">
        <v>21</v>
      </c>
      <c r="BW193" s="35">
        <v>0.28500078976920495</v>
      </c>
    </row>
    <row r="194" spans="1:75">
      <c r="A194" s="13">
        <v>191</v>
      </c>
      <c r="B194" s="13">
        <v>87</v>
      </c>
      <c r="C194" s="17">
        <v>80.115726850000001</v>
      </c>
      <c r="D194" s="13"/>
      <c r="E194" s="36">
        <v>73.029827564321593</v>
      </c>
      <c r="F194" s="36">
        <v>0.997058823529411</v>
      </c>
      <c r="G194" s="36"/>
      <c r="H194" s="13"/>
      <c r="I194" s="13"/>
      <c r="J194" s="13"/>
      <c r="K194" s="13"/>
      <c r="L194" s="13"/>
      <c r="M194" s="13">
        <f t="shared" si="12"/>
        <v>-7.9129576436781646</v>
      </c>
      <c r="N194" s="13"/>
      <c r="O194" s="13">
        <v>191</v>
      </c>
      <c r="P194" s="13">
        <v>87</v>
      </c>
      <c r="Q194" s="17">
        <v>72.858298860000005</v>
      </c>
      <c r="R194" s="13"/>
      <c r="S194" s="36">
        <v>56.564104798492401</v>
      </c>
      <c r="T194" s="36">
        <v>0.997058823529411</v>
      </c>
      <c r="U194" s="36"/>
      <c r="V194" s="13"/>
      <c r="W194" s="13"/>
      <c r="X194" s="13"/>
      <c r="Y194" s="13"/>
      <c r="Z194" s="13"/>
      <c r="AA194" s="13">
        <f t="shared" si="9"/>
        <v>-16.254828896551722</v>
      </c>
      <c r="AB194" s="26">
        <v>0.18230440822101601</v>
      </c>
      <c r="AC194" s="34">
        <v>1740</v>
      </c>
      <c r="AD194" s="34">
        <v>111</v>
      </c>
      <c r="AE194" s="34">
        <v>20</v>
      </c>
      <c r="AF194" s="34">
        <v>33</v>
      </c>
      <c r="AG194" s="34">
        <v>0.61236647972572278</v>
      </c>
      <c r="AI194" s="35">
        <v>191</v>
      </c>
      <c r="AJ194" s="35">
        <v>87</v>
      </c>
      <c r="AK194" s="17">
        <v>84.65458289</v>
      </c>
      <c r="AM194" s="35">
        <v>47.324351758793902</v>
      </c>
      <c r="AN194" s="35">
        <v>0.997058823529411</v>
      </c>
      <c r="AV194" s="13">
        <f t="shared" si="10"/>
        <v>-2.6958817356321885</v>
      </c>
      <c r="AW194" s="26">
        <v>1.5750230831770799E-2</v>
      </c>
      <c r="AX194" s="35">
        <v>1382</v>
      </c>
      <c r="AY194" s="35">
        <v>165</v>
      </c>
      <c r="AZ194" s="35">
        <v>39</v>
      </c>
      <c r="BA194" s="35">
        <v>7</v>
      </c>
      <c r="BB194" s="35">
        <v>0.34398208699438548</v>
      </c>
      <c r="BD194" s="35">
        <v>191</v>
      </c>
      <c r="BE194" s="35">
        <v>87</v>
      </c>
      <c r="BF194" s="17">
        <v>79.065992489999999</v>
      </c>
      <c r="BH194" s="35">
        <v>48.591074999999897</v>
      </c>
      <c r="BI194" s="35">
        <v>0.997058823529411</v>
      </c>
      <c r="BQ194" s="13">
        <f t="shared" si="11"/>
        <v>-9.1195488620689709</v>
      </c>
      <c r="BR194" s="26">
        <v>7.1689702694675395E-2</v>
      </c>
      <c r="BS194" s="35">
        <v>1242</v>
      </c>
      <c r="BT194" s="35">
        <v>89</v>
      </c>
      <c r="BU194" s="35">
        <v>32</v>
      </c>
      <c r="BV194" s="35">
        <v>39</v>
      </c>
      <c r="BW194" s="35">
        <v>0.15696645411629379</v>
      </c>
    </row>
    <row r="195" spans="1:75">
      <c r="A195" s="13">
        <v>192</v>
      </c>
      <c r="B195" s="13">
        <v>153</v>
      </c>
      <c r="C195" s="17">
        <v>145.5749194</v>
      </c>
      <c r="D195" s="13"/>
      <c r="E195" s="36">
        <v>73.428897660301502</v>
      </c>
      <c r="F195" s="36">
        <v>0.997058823529411</v>
      </c>
      <c r="G195" s="36"/>
      <c r="H195" s="13"/>
      <c r="I195" s="13"/>
      <c r="J195" s="13"/>
      <c r="K195" s="13"/>
      <c r="L195" s="13"/>
      <c r="M195" s="13">
        <f t="shared" si="12"/>
        <v>-4.852993856209153</v>
      </c>
      <c r="N195" s="13"/>
      <c r="O195" s="13">
        <v>192</v>
      </c>
      <c r="P195" s="13">
        <v>153</v>
      </c>
      <c r="Q195" s="17">
        <v>153.45251630000001</v>
      </c>
      <c r="R195" s="13"/>
      <c r="S195" s="36">
        <v>56.873198267336598</v>
      </c>
      <c r="T195" s="36">
        <v>0.997058823529411</v>
      </c>
      <c r="U195" s="36"/>
      <c r="V195" s="13"/>
      <c r="W195" s="13"/>
      <c r="X195" s="13"/>
      <c r="Y195" s="13"/>
      <c r="Z195" s="13"/>
      <c r="AA195" s="13">
        <f t="shared" ref="AA195:AA258" si="13">((Q195/P195)-1)*100</f>
        <v>0.29576228758170231</v>
      </c>
      <c r="AB195" s="26">
        <v>0.18230440822101601</v>
      </c>
      <c r="AC195" s="34">
        <v>89</v>
      </c>
      <c r="AD195" s="34">
        <v>111</v>
      </c>
      <c r="AE195" s="34">
        <v>27</v>
      </c>
      <c r="AF195" s="34">
        <v>21</v>
      </c>
      <c r="AG195" s="34">
        <v>0.7877067491450509</v>
      </c>
      <c r="AI195" s="35">
        <v>192</v>
      </c>
      <c r="AJ195" s="35">
        <v>153</v>
      </c>
      <c r="AK195" s="17">
        <v>152.9942222</v>
      </c>
      <c r="AM195" s="35">
        <v>47.582954773869297</v>
      </c>
      <c r="AN195" s="35">
        <v>0.997058823529411</v>
      </c>
      <c r="AV195" s="13">
        <f t="shared" si="10"/>
        <v>-3.7763398692880479E-3</v>
      </c>
      <c r="AW195" s="26">
        <v>1.5750230831770799E-2</v>
      </c>
      <c r="AX195" s="35">
        <v>781</v>
      </c>
      <c r="AY195" s="35">
        <v>117</v>
      </c>
      <c r="AZ195" s="35">
        <v>14</v>
      </c>
      <c r="BA195" s="35">
        <v>19</v>
      </c>
      <c r="BB195" s="35">
        <v>0.57602463508184187</v>
      </c>
      <c r="BD195" s="35">
        <v>192</v>
      </c>
      <c r="BE195" s="35">
        <v>153</v>
      </c>
      <c r="BF195" s="17">
        <v>153.33792299999999</v>
      </c>
      <c r="BH195" s="35">
        <v>48.856599999999901</v>
      </c>
      <c r="BI195" s="35">
        <v>0.997058823529411</v>
      </c>
      <c r="BQ195" s="13">
        <f t="shared" si="11"/>
        <v>0.22086470588233986</v>
      </c>
      <c r="BR195" s="26">
        <v>7.1689702694675395E-2</v>
      </c>
      <c r="BS195" s="35">
        <v>1992</v>
      </c>
      <c r="BT195" s="35">
        <v>186</v>
      </c>
      <c r="BU195" s="35">
        <v>18</v>
      </c>
      <c r="BV195" s="35">
        <v>29</v>
      </c>
      <c r="BW195" s="35">
        <v>0.60232837723225707</v>
      </c>
    </row>
    <row r="196" spans="1:75">
      <c r="A196" s="13">
        <v>193</v>
      </c>
      <c r="B196" s="13">
        <v>208</v>
      </c>
      <c r="C196" s="17">
        <v>177.50388799999999</v>
      </c>
      <c r="D196" s="13"/>
      <c r="E196" s="36">
        <v>73.827967756281396</v>
      </c>
      <c r="F196" s="36">
        <v>0.997058823529411</v>
      </c>
      <c r="G196" s="36"/>
      <c r="H196" s="13"/>
      <c r="I196" s="13"/>
      <c r="J196" s="13"/>
      <c r="K196" s="13"/>
      <c r="L196" s="13"/>
      <c r="M196" s="13">
        <f t="shared" si="12"/>
        <v>-14.661592307692317</v>
      </c>
      <c r="N196" s="13"/>
      <c r="O196" s="13">
        <v>193</v>
      </c>
      <c r="P196" s="13">
        <v>208</v>
      </c>
      <c r="Q196" s="17">
        <v>198.4368801</v>
      </c>
      <c r="R196" s="13"/>
      <c r="S196" s="36">
        <v>57.1822917361809</v>
      </c>
      <c r="T196" s="36">
        <v>0.997058823529411</v>
      </c>
      <c r="U196" s="36"/>
      <c r="V196" s="13"/>
      <c r="W196" s="13"/>
      <c r="X196" s="13"/>
      <c r="Y196" s="13"/>
      <c r="Z196" s="13"/>
      <c r="AA196" s="13">
        <f t="shared" si="13"/>
        <v>-4.5976537980769283</v>
      </c>
      <c r="AB196" s="26">
        <v>0.18230440822101601</v>
      </c>
      <c r="AC196" s="34">
        <v>961</v>
      </c>
      <c r="AD196" s="34">
        <v>14</v>
      </c>
      <c r="AE196" s="34">
        <v>40</v>
      </c>
      <c r="AF196" s="34">
        <v>34</v>
      </c>
      <c r="AG196" s="34">
        <v>0.27983826568911013</v>
      </c>
      <c r="AI196" s="35">
        <v>193</v>
      </c>
      <c r="AJ196" s="35">
        <v>208</v>
      </c>
      <c r="AK196" s="17">
        <v>207.7116407</v>
      </c>
      <c r="AM196" s="35">
        <v>47.841557788944698</v>
      </c>
      <c r="AN196" s="35">
        <v>0.997058823529411</v>
      </c>
      <c r="AV196" s="13">
        <f t="shared" ref="AV196:AV259" si="14">((AK196/AJ196)-1)*100</f>
        <v>-0.13863427884615032</v>
      </c>
      <c r="AW196" s="26">
        <v>1.5750230831770799E-2</v>
      </c>
      <c r="AX196" s="35">
        <v>1361</v>
      </c>
      <c r="AY196" s="35">
        <v>167</v>
      </c>
      <c r="AZ196" s="35">
        <v>7</v>
      </c>
      <c r="BA196" s="35">
        <v>15</v>
      </c>
      <c r="BB196" s="35">
        <v>0.46818396804713014</v>
      </c>
      <c r="BD196" s="35">
        <v>193</v>
      </c>
      <c r="BE196" s="35">
        <v>208</v>
      </c>
      <c r="BF196" s="17">
        <v>206.0969599</v>
      </c>
      <c r="BH196" s="35">
        <v>49.122124999999897</v>
      </c>
      <c r="BI196" s="35">
        <v>0.997058823529411</v>
      </c>
      <c r="BQ196" s="13">
        <f t="shared" ref="BQ196:BQ259" si="15">((BF196/BE196)-1)*100</f>
        <v>-0.91492312500000006</v>
      </c>
      <c r="BR196" s="26">
        <v>7.1689702694675395E-2</v>
      </c>
      <c r="BS196" s="35">
        <v>210</v>
      </c>
      <c r="BT196" s="35">
        <v>194</v>
      </c>
      <c r="BU196" s="35">
        <v>6</v>
      </c>
      <c r="BV196" s="35">
        <v>24</v>
      </c>
      <c r="BW196" s="35">
        <v>0.79945243827229473</v>
      </c>
    </row>
    <row r="197" spans="1:75">
      <c r="A197" s="13">
        <v>194</v>
      </c>
      <c r="B197" s="13">
        <v>143</v>
      </c>
      <c r="C197" s="17">
        <v>113.82868070000001</v>
      </c>
      <c r="D197" s="13"/>
      <c r="E197" s="36">
        <v>74.227037852261304</v>
      </c>
      <c r="F197" s="36">
        <v>0.997058823529411</v>
      </c>
      <c r="G197" s="36"/>
      <c r="H197" s="13"/>
      <c r="I197" s="13"/>
      <c r="J197" s="13"/>
      <c r="K197" s="13"/>
      <c r="L197" s="13"/>
      <c r="M197" s="13">
        <f t="shared" si="12"/>
        <v>-20.399523986013978</v>
      </c>
      <c r="N197" s="13"/>
      <c r="O197" s="13">
        <v>194</v>
      </c>
      <c r="P197" s="13">
        <v>143</v>
      </c>
      <c r="Q197" s="17">
        <v>122.4881807</v>
      </c>
      <c r="R197" s="13"/>
      <c r="S197" s="36">
        <v>57.491385205025097</v>
      </c>
      <c r="T197" s="36">
        <v>0.997058823529411</v>
      </c>
      <c r="U197" s="36"/>
      <c r="V197" s="13"/>
      <c r="W197" s="13"/>
      <c r="X197" s="13"/>
      <c r="Y197" s="13"/>
      <c r="Z197" s="13"/>
      <c r="AA197" s="13">
        <f t="shared" si="13"/>
        <v>-14.343929580419578</v>
      </c>
      <c r="AB197" s="26">
        <v>0.18230440822101601</v>
      </c>
      <c r="AC197" s="34">
        <v>1991</v>
      </c>
      <c r="AD197" s="34">
        <v>3</v>
      </c>
      <c r="AE197" s="34">
        <v>16</v>
      </c>
      <c r="AF197" s="34">
        <v>13</v>
      </c>
      <c r="AG197" s="34">
        <v>0.5213968430519158</v>
      </c>
      <c r="AI197" s="35">
        <v>194</v>
      </c>
      <c r="AJ197" s="35">
        <v>143</v>
      </c>
      <c r="AK197" s="17">
        <v>141.7563696</v>
      </c>
      <c r="AM197" s="35">
        <v>48.10016080402</v>
      </c>
      <c r="AN197" s="35">
        <v>0.997058823529411</v>
      </c>
      <c r="AV197" s="13">
        <f t="shared" si="14"/>
        <v>-0.86967160839160895</v>
      </c>
      <c r="AW197" s="26">
        <v>1.5750230831770799E-2</v>
      </c>
      <c r="AX197" s="35">
        <v>1824</v>
      </c>
      <c r="AY197" s="35">
        <v>200</v>
      </c>
      <c r="AZ197" s="35">
        <v>39</v>
      </c>
      <c r="BA197" s="35">
        <v>5</v>
      </c>
      <c r="BB197" s="35">
        <v>0.67183287589448371</v>
      </c>
      <c r="BD197" s="35">
        <v>194</v>
      </c>
      <c r="BE197" s="35">
        <v>143</v>
      </c>
      <c r="BF197" s="17">
        <v>134.5321088</v>
      </c>
      <c r="BH197" s="35">
        <v>49.387649999999901</v>
      </c>
      <c r="BI197" s="35">
        <v>0.997058823529411</v>
      </c>
      <c r="BQ197" s="13">
        <f t="shared" si="15"/>
        <v>-5.9216022377622357</v>
      </c>
      <c r="BR197" s="26">
        <v>7.1689702694675395E-2</v>
      </c>
      <c r="BS197" s="35">
        <v>641</v>
      </c>
      <c r="BT197" s="35">
        <v>102</v>
      </c>
      <c r="BU197" s="35">
        <v>4</v>
      </c>
      <c r="BV197" s="35">
        <v>5</v>
      </c>
      <c r="BW197" s="35">
        <v>0.83430427912388472</v>
      </c>
    </row>
    <row r="198" spans="1:75">
      <c r="A198" s="13">
        <v>195</v>
      </c>
      <c r="B198" s="13">
        <v>30</v>
      </c>
      <c r="C198" s="17">
        <v>47.578916069999998</v>
      </c>
      <c r="D198" s="13"/>
      <c r="E198" s="36">
        <v>74.626107948241199</v>
      </c>
      <c r="F198" s="36">
        <v>0.997058823529411</v>
      </c>
      <c r="G198" s="36"/>
      <c r="H198" s="13"/>
      <c r="I198" s="13"/>
      <c r="J198" s="13"/>
      <c r="K198" s="13"/>
      <c r="L198" s="13"/>
      <c r="M198" s="13">
        <f t="shared" si="12"/>
        <v>58.596386899999999</v>
      </c>
      <c r="N198" s="13"/>
      <c r="O198" s="13">
        <v>195</v>
      </c>
      <c r="P198" s="13">
        <v>30</v>
      </c>
      <c r="Q198" s="17">
        <v>33.561173549999999</v>
      </c>
      <c r="R198" s="13"/>
      <c r="S198" s="36">
        <v>57.8004786738693</v>
      </c>
      <c r="T198" s="36">
        <v>0.997058823529411</v>
      </c>
      <c r="U198" s="36"/>
      <c r="V198" s="13"/>
      <c r="W198" s="13"/>
      <c r="X198" s="13"/>
      <c r="Y198" s="13"/>
      <c r="Z198" s="13"/>
      <c r="AA198" s="13">
        <f t="shared" si="13"/>
        <v>11.870578499999995</v>
      </c>
      <c r="AB198" s="26">
        <v>0.18230440822101601</v>
      </c>
      <c r="AC198" s="34">
        <v>954</v>
      </c>
      <c r="AD198" s="34">
        <v>131</v>
      </c>
      <c r="AE198" s="34">
        <v>29</v>
      </c>
      <c r="AF198" s="34">
        <v>23</v>
      </c>
      <c r="AG198" s="34">
        <v>0.62396346777454492</v>
      </c>
      <c r="AI198" s="35">
        <v>195</v>
      </c>
      <c r="AJ198" s="35">
        <v>30</v>
      </c>
      <c r="AK198" s="17">
        <v>29.874955669999999</v>
      </c>
      <c r="AM198" s="35">
        <v>48.358763819095401</v>
      </c>
      <c r="AN198" s="35">
        <v>0.997058823529411</v>
      </c>
      <c r="AV198" s="13">
        <f t="shared" si="14"/>
        <v>-0.41681443333333457</v>
      </c>
      <c r="AW198" s="26">
        <v>1.5750230831770799E-2</v>
      </c>
      <c r="AX198" s="35">
        <v>1994</v>
      </c>
      <c r="AY198" s="35">
        <v>74</v>
      </c>
      <c r="AZ198" s="35">
        <v>5</v>
      </c>
      <c r="BA198" s="35">
        <v>48</v>
      </c>
      <c r="BB198" s="35">
        <v>0.28426193903489783</v>
      </c>
      <c r="BD198" s="35">
        <v>195</v>
      </c>
      <c r="BE198" s="35">
        <v>30</v>
      </c>
      <c r="BF198" s="17">
        <v>32.04723044</v>
      </c>
      <c r="BH198" s="35">
        <v>49.653174999999898</v>
      </c>
      <c r="BI198" s="35">
        <v>0.997058823529411</v>
      </c>
      <c r="BQ198" s="13">
        <f t="shared" si="15"/>
        <v>6.8241014666666766</v>
      </c>
      <c r="BR198" s="26">
        <v>7.1689702694675395E-2</v>
      </c>
      <c r="BS198" s="35">
        <v>1409</v>
      </c>
      <c r="BT198" s="35">
        <v>111</v>
      </c>
      <c r="BU198" s="35">
        <v>50</v>
      </c>
      <c r="BV198" s="35">
        <v>1</v>
      </c>
      <c r="BW198" s="35">
        <v>0.91436361394723942</v>
      </c>
    </row>
    <row r="199" spans="1:75">
      <c r="A199" s="13">
        <v>196</v>
      </c>
      <c r="B199" s="13">
        <v>181</v>
      </c>
      <c r="C199" s="17">
        <v>160.8572451</v>
      </c>
      <c r="D199" s="13"/>
      <c r="E199" s="36">
        <v>75.025178044221093</v>
      </c>
      <c r="F199" s="36">
        <v>0.997058823529411</v>
      </c>
      <c r="G199" s="36"/>
      <c r="H199" s="13"/>
      <c r="I199" s="13"/>
      <c r="J199" s="13"/>
      <c r="K199" s="13"/>
      <c r="L199" s="13"/>
      <c r="M199" s="13">
        <f t="shared" si="12"/>
        <v>-11.128593867403314</v>
      </c>
      <c r="N199" s="13"/>
      <c r="O199" s="13">
        <v>196</v>
      </c>
      <c r="P199" s="13">
        <v>181</v>
      </c>
      <c r="Q199" s="17">
        <v>174.0739945</v>
      </c>
      <c r="R199" s="13"/>
      <c r="S199" s="36">
        <v>58.109572142713503</v>
      </c>
      <c r="T199" s="36">
        <v>0.997058823529411</v>
      </c>
      <c r="U199" s="36"/>
      <c r="V199" s="13"/>
      <c r="W199" s="13"/>
      <c r="X199" s="13"/>
      <c r="Y199" s="13"/>
      <c r="Z199" s="13"/>
      <c r="AA199" s="13">
        <f t="shared" si="13"/>
        <v>-3.8265223756906108</v>
      </c>
      <c r="AB199" s="26">
        <v>0.18230440822101601</v>
      </c>
      <c r="AC199" s="34">
        <v>978</v>
      </c>
      <c r="AD199" s="34">
        <v>94</v>
      </c>
      <c r="AE199" s="34">
        <v>6</v>
      </c>
      <c r="AF199" s="34">
        <v>14</v>
      </c>
      <c r="AG199" s="34">
        <v>0.6843227358678271</v>
      </c>
      <c r="AI199" s="35">
        <v>196</v>
      </c>
      <c r="AJ199" s="35">
        <v>181</v>
      </c>
      <c r="AK199" s="17">
        <v>181.07996030000001</v>
      </c>
      <c r="AM199" s="35">
        <v>48.617366834170802</v>
      </c>
      <c r="AN199" s="35">
        <v>0.997058823529411</v>
      </c>
      <c r="AV199" s="13">
        <f t="shared" si="14"/>
        <v>4.4176961325970154E-2</v>
      </c>
      <c r="AW199" s="26">
        <v>1.5750230831770799E-2</v>
      </c>
      <c r="AX199" s="35">
        <v>1090</v>
      </c>
      <c r="AY199" s="35">
        <v>171</v>
      </c>
      <c r="AZ199" s="35">
        <v>6</v>
      </c>
      <c r="BA199" s="35">
        <v>46</v>
      </c>
      <c r="BB199" s="35">
        <v>0.21943239523135971</v>
      </c>
      <c r="BD199" s="35">
        <v>196</v>
      </c>
      <c r="BE199" s="35">
        <v>181</v>
      </c>
      <c r="BF199" s="17">
        <v>180.6244658</v>
      </c>
      <c r="BH199" s="35">
        <v>49.918699999999902</v>
      </c>
      <c r="BI199" s="35">
        <v>0.997058823529411</v>
      </c>
      <c r="BQ199" s="13">
        <f t="shared" si="15"/>
        <v>-0.20747745856354305</v>
      </c>
      <c r="BR199" s="26">
        <v>7.1689702694675395E-2</v>
      </c>
      <c r="BS199" s="35">
        <v>104</v>
      </c>
      <c r="BT199" s="35">
        <v>26</v>
      </c>
      <c r="BU199" s="35">
        <v>26</v>
      </c>
      <c r="BV199" s="35">
        <v>4</v>
      </c>
      <c r="BW199" s="35">
        <v>0.2742726468702264</v>
      </c>
    </row>
    <row r="200" spans="1:75">
      <c r="A200" s="13">
        <v>197</v>
      </c>
      <c r="B200" s="13">
        <v>67</v>
      </c>
      <c r="C200" s="17">
        <v>66.438728060000003</v>
      </c>
      <c r="D200" s="13"/>
      <c r="E200" s="36">
        <v>75.424248140201001</v>
      </c>
      <c r="F200" s="36">
        <v>0.997058823529411</v>
      </c>
      <c r="G200" s="36"/>
      <c r="H200" s="13"/>
      <c r="I200" s="13"/>
      <c r="J200" s="13"/>
      <c r="K200" s="13"/>
      <c r="L200" s="13"/>
      <c r="M200" s="13">
        <f t="shared" si="12"/>
        <v>-0.83771931343282757</v>
      </c>
      <c r="N200" s="13"/>
      <c r="O200" s="13">
        <v>197</v>
      </c>
      <c r="P200" s="13">
        <v>67</v>
      </c>
      <c r="Q200" s="17">
        <v>58.20065108</v>
      </c>
      <c r="R200" s="13"/>
      <c r="S200" s="36">
        <v>58.418665611557699</v>
      </c>
      <c r="T200" s="36">
        <v>0.997058823529411</v>
      </c>
      <c r="U200" s="36"/>
      <c r="V200" s="13"/>
      <c r="W200" s="13"/>
      <c r="X200" s="13"/>
      <c r="Y200" s="13"/>
      <c r="Z200" s="13"/>
      <c r="AA200" s="13">
        <f t="shared" si="13"/>
        <v>-13.133356597014922</v>
      </c>
      <c r="AB200" s="26">
        <v>0.18230440822101601</v>
      </c>
      <c r="AC200" s="34">
        <v>1880</v>
      </c>
      <c r="AD200" s="34">
        <v>123</v>
      </c>
      <c r="AE200" s="34">
        <v>9</v>
      </c>
      <c r="AF200" s="34">
        <v>37</v>
      </c>
      <c r="AG200" s="34">
        <v>0.78417449261563887</v>
      </c>
      <c r="AI200" s="35">
        <v>197</v>
      </c>
      <c r="AJ200" s="35">
        <v>67</v>
      </c>
      <c r="AK200" s="17">
        <v>66.352114060000005</v>
      </c>
      <c r="AM200" s="35">
        <v>48.875969849246196</v>
      </c>
      <c r="AN200" s="35">
        <v>0.997058823529411</v>
      </c>
      <c r="AV200" s="13">
        <f t="shared" si="14"/>
        <v>-0.9669939402984995</v>
      </c>
      <c r="AW200" s="26">
        <v>1.5750230831770799E-2</v>
      </c>
      <c r="AX200" s="35">
        <v>1821</v>
      </c>
      <c r="AY200" s="35">
        <v>130</v>
      </c>
      <c r="AZ200" s="35">
        <v>37</v>
      </c>
      <c r="BA200" s="35">
        <v>41</v>
      </c>
      <c r="BB200" s="35">
        <v>0.3321616139273319</v>
      </c>
      <c r="BD200" s="35">
        <v>197</v>
      </c>
      <c r="BE200" s="35">
        <v>67</v>
      </c>
      <c r="BF200" s="17">
        <v>62.495518480000001</v>
      </c>
      <c r="BH200" s="35">
        <v>50.184224999999898</v>
      </c>
      <c r="BI200" s="35">
        <v>0.998529411764705</v>
      </c>
      <c r="BQ200" s="13">
        <f t="shared" si="15"/>
        <v>-6.7231067462686589</v>
      </c>
      <c r="BR200" s="26">
        <v>7.1689702694675395E-2</v>
      </c>
      <c r="BS200" s="35">
        <v>581</v>
      </c>
      <c r="BT200" s="35">
        <v>179</v>
      </c>
      <c r="BU200" s="35">
        <v>44</v>
      </c>
      <c r="BV200" s="35">
        <v>28</v>
      </c>
      <c r="BW200" s="35">
        <v>0.3735298060807587</v>
      </c>
    </row>
    <row r="201" spans="1:75">
      <c r="A201" s="13">
        <v>198</v>
      </c>
      <c r="B201" s="13">
        <v>85</v>
      </c>
      <c r="C201" s="17">
        <v>101.0155953</v>
      </c>
      <c r="D201" s="13"/>
      <c r="E201" s="36">
        <v>75.823318236180896</v>
      </c>
      <c r="F201" s="36">
        <v>0.997058823529411</v>
      </c>
      <c r="G201" s="36"/>
      <c r="H201" s="13"/>
      <c r="I201" s="13"/>
      <c r="J201" s="13"/>
      <c r="K201" s="13"/>
      <c r="L201" s="13"/>
      <c r="M201" s="13">
        <f t="shared" si="12"/>
        <v>18.841876823529404</v>
      </c>
      <c r="N201" s="13"/>
      <c r="O201" s="13">
        <v>198</v>
      </c>
      <c r="P201" s="13">
        <v>85</v>
      </c>
      <c r="Q201" s="17">
        <v>98.797208940000004</v>
      </c>
      <c r="R201" s="13"/>
      <c r="S201" s="36">
        <v>58.727759080402002</v>
      </c>
      <c r="T201" s="36">
        <v>0.997058823529411</v>
      </c>
      <c r="U201" s="36"/>
      <c r="V201" s="13"/>
      <c r="W201" s="13"/>
      <c r="X201" s="13"/>
      <c r="Y201" s="13"/>
      <c r="Z201" s="13"/>
      <c r="AA201" s="13">
        <f t="shared" si="13"/>
        <v>16.232010517647065</v>
      </c>
      <c r="AB201" s="26">
        <v>0.18230440822101601</v>
      </c>
      <c r="AC201" s="34">
        <v>607</v>
      </c>
      <c r="AD201" s="34">
        <v>72</v>
      </c>
      <c r="AE201" s="34">
        <v>12</v>
      </c>
      <c r="AF201" s="34">
        <v>35</v>
      </c>
      <c r="AG201" s="34">
        <v>0.79008824884760143</v>
      </c>
      <c r="AI201" s="35">
        <v>198</v>
      </c>
      <c r="AJ201" s="35">
        <v>85</v>
      </c>
      <c r="AK201" s="17">
        <v>85.646210370000006</v>
      </c>
      <c r="AM201" s="35">
        <v>49.134572864321498</v>
      </c>
      <c r="AN201" s="35">
        <v>0.997058823529411</v>
      </c>
      <c r="AV201" s="13">
        <f t="shared" si="14"/>
        <v>0.76024749411764958</v>
      </c>
      <c r="AW201" s="26">
        <v>1.5750230831770799E-2</v>
      </c>
      <c r="AX201" s="35">
        <v>721</v>
      </c>
      <c r="AY201" s="35">
        <v>76</v>
      </c>
      <c r="AZ201" s="35">
        <v>18</v>
      </c>
      <c r="BA201" s="35">
        <v>13</v>
      </c>
      <c r="BB201" s="35">
        <v>0.30379187226170279</v>
      </c>
      <c r="BD201" s="35">
        <v>198</v>
      </c>
      <c r="BE201" s="35">
        <v>85</v>
      </c>
      <c r="BF201" s="17">
        <v>87.804857560000002</v>
      </c>
      <c r="BH201" s="35">
        <v>50.449749999999902</v>
      </c>
      <c r="BI201" s="35">
        <v>0.998529411764705</v>
      </c>
      <c r="BQ201" s="13">
        <f t="shared" si="15"/>
        <v>3.2998324235294252</v>
      </c>
      <c r="BR201" s="26">
        <v>7.1689702694675395E-2</v>
      </c>
      <c r="BS201" s="35">
        <v>909</v>
      </c>
      <c r="BT201" s="35">
        <v>54</v>
      </c>
      <c r="BU201" s="35">
        <v>33</v>
      </c>
      <c r="BV201" s="35">
        <v>20</v>
      </c>
      <c r="BW201" s="35">
        <v>0.83316770058558154</v>
      </c>
    </row>
    <row r="202" spans="1:75">
      <c r="A202" s="13">
        <v>199</v>
      </c>
      <c r="B202" s="13">
        <v>202</v>
      </c>
      <c r="C202" s="17">
        <v>173.49258660000001</v>
      </c>
      <c r="D202" s="13"/>
      <c r="E202" s="36">
        <v>76.222388332160804</v>
      </c>
      <c r="F202" s="36">
        <v>0.997058823529411</v>
      </c>
      <c r="G202" s="36"/>
      <c r="H202" s="13"/>
      <c r="I202" s="13"/>
      <c r="J202" s="13"/>
      <c r="K202" s="13"/>
      <c r="L202" s="13"/>
      <c r="M202" s="13">
        <f t="shared" si="12"/>
        <v>-14.112580891089099</v>
      </c>
      <c r="N202" s="13"/>
      <c r="O202" s="13">
        <v>199</v>
      </c>
      <c r="P202" s="13">
        <v>202</v>
      </c>
      <c r="Q202" s="17">
        <v>193.65718810000001</v>
      </c>
      <c r="R202" s="13"/>
      <c r="S202" s="36">
        <v>59.036852549246198</v>
      </c>
      <c r="T202" s="36">
        <v>0.998529411764705</v>
      </c>
      <c r="U202" s="36"/>
      <c r="V202" s="13"/>
      <c r="W202" s="13"/>
      <c r="X202" s="13"/>
      <c r="Y202" s="13"/>
      <c r="Z202" s="13"/>
      <c r="AA202" s="13">
        <f t="shared" si="13"/>
        <v>-4.1301049009900943</v>
      </c>
      <c r="AB202" s="26">
        <v>0.18230440822101601</v>
      </c>
      <c r="AC202" s="34">
        <v>1612</v>
      </c>
      <c r="AD202" s="34">
        <v>106</v>
      </c>
      <c r="AE202" s="34">
        <v>36</v>
      </c>
      <c r="AF202" s="34">
        <v>29</v>
      </c>
      <c r="AG202" s="34">
        <v>0.39757619056677185</v>
      </c>
      <c r="AI202" s="35">
        <v>199</v>
      </c>
      <c r="AJ202" s="35">
        <v>202</v>
      </c>
      <c r="AK202" s="17">
        <v>201.72499550000001</v>
      </c>
      <c r="AM202" s="35">
        <v>49.3931758793969</v>
      </c>
      <c r="AN202" s="35">
        <v>0.997058823529411</v>
      </c>
      <c r="AV202" s="13">
        <f t="shared" si="14"/>
        <v>-0.13614084158415363</v>
      </c>
      <c r="AW202" s="26">
        <v>1.5750230831770799E-2</v>
      </c>
      <c r="AX202" s="35">
        <v>1448</v>
      </c>
      <c r="AY202" s="35">
        <v>181</v>
      </c>
      <c r="AZ202" s="35">
        <v>47</v>
      </c>
      <c r="BA202" s="35">
        <v>17</v>
      </c>
      <c r="BB202" s="35">
        <v>0.78989120892864606</v>
      </c>
      <c r="BD202" s="35">
        <v>199</v>
      </c>
      <c r="BE202" s="35">
        <v>202</v>
      </c>
      <c r="BF202" s="17">
        <v>200.13876139999999</v>
      </c>
      <c r="BH202" s="35">
        <v>50.715274999999899</v>
      </c>
      <c r="BI202" s="35">
        <v>0.998529411764705</v>
      </c>
      <c r="BQ202" s="13">
        <f t="shared" si="15"/>
        <v>-0.92140524752475361</v>
      </c>
      <c r="BR202" s="26">
        <v>7.1689702694675395E-2</v>
      </c>
      <c r="BS202" s="35">
        <v>1825</v>
      </c>
      <c r="BT202" s="35">
        <v>27</v>
      </c>
      <c r="BU202" s="35">
        <v>12</v>
      </c>
      <c r="BV202" s="35">
        <v>4</v>
      </c>
      <c r="BW202" s="35">
        <v>0.23149524239647404</v>
      </c>
    </row>
    <row r="203" spans="1:75">
      <c r="A203" s="13">
        <v>200</v>
      </c>
      <c r="B203" s="13">
        <v>148</v>
      </c>
      <c r="C203" s="17">
        <v>143.23665539999999</v>
      </c>
      <c r="D203" s="13"/>
      <c r="E203" s="36">
        <v>76.621458428140699</v>
      </c>
      <c r="F203" s="36">
        <v>0.998529411764705</v>
      </c>
      <c r="G203" s="36"/>
      <c r="H203" s="13"/>
      <c r="I203" s="13"/>
      <c r="J203" s="13"/>
      <c r="K203" s="13"/>
      <c r="L203" s="13"/>
      <c r="M203" s="13">
        <f t="shared" si="12"/>
        <v>-3.2184760810810897</v>
      </c>
      <c r="N203" s="13"/>
      <c r="O203" s="13">
        <v>200</v>
      </c>
      <c r="P203" s="13">
        <v>148</v>
      </c>
      <c r="Q203" s="17">
        <v>149.90517159999999</v>
      </c>
      <c r="R203" s="13"/>
      <c r="S203" s="36">
        <v>59.345946018090402</v>
      </c>
      <c r="T203" s="36">
        <v>0.998529411764705</v>
      </c>
      <c r="U203" s="36"/>
      <c r="V203" s="13"/>
      <c r="W203" s="13"/>
      <c r="X203" s="13"/>
      <c r="Y203" s="13"/>
      <c r="Z203" s="13"/>
      <c r="AA203" s="13">
        <f t="shared" si="13"/>
        <v>1.287278108108092</v>
      </c>
      <c r="AB203" s="13"/>
      <c r="AC203" s="34"/>
      <c r="AD203" s="34"/>
      <c r="AE203" s="34"/>
      <c r="AF203" s="34"/>
      <c r="AG203" s="34"/>
      <c r="AI203" s="35">
        <v>200</v>
      </c>
      <c r="AJ203" s="35">
        <v>148</v>
      </c>
      <c r="AK203" s="17">
        <v>148.12552650000001</v>
      </c>
      <c r="AM203" s="35">
        <v>49.651778894472301</v>
      </c>
      <c r="AN203" s="35">
        <v>0.997058823529411</v>
      </c>
      <c r="AV203" s="13">
        <f t="shared" si="14"/>
        <v>8.481520270271492E-2</v>
      </c>
      <c r="BD203" s="35">
        <v>200</v>
      </c>
      <c r="BE203" s="35">
        <v>148</v>
      </c>
      <c r="BF203" s="17">
        <v>149.45069219999999</v>
      </c>
      <c r="BH203" s="35">
        <v>50.980799999999903</v>
      </c>
      <c r="BI203" s="35">
        <v>0.998529411764705</v>
      </c>
      <c r="BQ203" s="13">
        <f t="shared" si="15"/>
        <v>0.98019743243242807</v>
      </c>
    </row>
    <row r="204" spans="1:75">
      <c r="A204" s="13">
        <v>201</v>
      </c>
      <c r="B204" s="13">
        <v>25</v>
      </c>
      <c r="C204" s="17">
        <v>22.480128152605701</v>
      </c>
      <c r="D204" s="13"/>
      <c r="E204" s="36">
        <v>77.020528524120607</v>
      </c>
      <c r="F204" s="36">
        <v>0.998529411764705</v>
      </c>
      <c r="G204" s="36"/>
      <c r="H204" s="13"/>
      <c r="I204" s="13"/>
      <c r="J204" s="13"/>
      <c r="K204" s="13"/>
      <c r="L204" s="13"/>
      <c r="M204" s="13">
        <f t="shared" si="12"/>
        <v>-10.07948738957719</v>
      </c>
      <c r="N204" s="13"/>
      <c r="O204" s="13">
        <v>201</v>
      </c>
      <c r="P204" s="13">
        <v>25</v>
      </c>
      <c r="Q204" s="17">
        <v>39.1637485775641</v>
      </c>
      <c r="R204" s="13"/>
      <c r="S204" s="36">
        <v>59.655039486934598</v>
      </c>
      <c r="T204" s="36">
        <v>0.998529411764705</v>
      </c>
      <c r="U204" s="36"/>
      <c r="V204" s="13"/>
      <c r="W204" s="13"/>
      <c r="X204" s="13"/>
      <c r="Y204" s="13"/>
      <c r="Z204" s="13"/>
      <c r="AA204" s="13">
        <f t="shared" si="13"/>
        <v>56.654994310256399</v>
      </c>
      <c r="AB204" s="13"/>
      <c r="AC204" s="34"/>
      <c r="AD204" s="34"/>
      <c r="AE204" s="34"/>
      <c r="AF204" s="34"/>
      <c r="AG204" s="34"/>
      <c r="AI204" s="35">
        <v>201</v>
      </c>
      <c r="AJ204" s="35">
        <v>25</v>
      </c>
      <c r="AK204" s="17">
        <v>26.92067304</v>
      </c>
      <c r="AM204" s="35">
        <v>49.910381909547702</v>
      </c>
      <c r="AN204" s="35">
        <v>0.997058823529411</v>
      </c>
      <c r="AV204" s="13">
        <f t="shared" si="14"/>
        <v>7.6826921599999931</v>
      </c>
      <c r="BD204" s="35">
        <v>201</v>
      </c>
      <c r="BE204" s="35">
        <v>25</v>
      </c>
      <c r="BF204" s="17">
        <v>18.327268975286799</v>
      </c>
      <c r="BH204" s="35">
        <v>51.246324999999899</v>
      </c>
      <c r="BI204" s="35">
        <v>0.998529411764705</v>
      </c>
      <c r="BQ204" s="13">
        <f t="shared" si="15"/>
        <v>-26.690924098852808</v>
      </c>
    </row>
    <row r="205" spans="1:75">
      <c r="A205" s="13">
        <v>202</v>
      </c>
      <c r="B205" s="13">
        <v>42</v>
      </c>
      <c r="C205" s="17">
        <v>64.234933093286202</v>
      </c>
      <c r="D205" s="13"/>
      <c r="E205" s="36">
        <v>77.419598620100501</v>
      </c>
      <c r="F205" s="36">
        <v>0.998529411764705</v>
      </c>
      <c r="G205" s="36"/>
      <c r="H205" s="13"/>
      <c r="I205" s="13"/>
      <c r="J205" s="13"/>
      <c r="K205" s="13"/>
      <c r="L205" s="13"/>
      <c r="M205" s="13">
        <f t="shared" si="12"/>
        <v>52.940316888776671</v>
      </c>
      <c r="N205" s="13"/>
      <c r="O205" s="13">
        <v>202</v>
      </c>
      <c r="P205" s="13">
        <v>42</v>
      </c>
      <c r="Q205" s="17">
        <v>55.984107680000001</v>
      </c>
      <c r="R205" s="13"/>
      <c r="S205" s="36">
        <v>59.964132955778801</v>
      </c>
      <c r="T205" s="36">
        <v>0.998529411764705</v>
      </c>
      <c r="U205" s="36"/>
      <c r="V205" s="13"/>
      <c r="W205" s="13"/>
      <c r="X205" s="13"/>
      <c r="Y205" s="13"/>
      <c r="Z205" s="13"/>
      <c r="AA205" s="13">
        <f t="shared" si="13"/>
        <v>33.29549447619047</v>
      </c>
      <c r="AB205" s="13"/>
      <c r="AC205" s="34"/>
      <c r="AD205" s="34"/>
      <c r="AE205" s="34"/>
      <c r="AF205" s="34"/>
      <c r="AG205" s="34"/>
      <c r="AI205" s="35">
        <v>202</v>
      </c>
      <c r="AJ205" s="35">
        <v>42</v>
      </c>
      <c r="AK205" s="17">
        <v>42.487255480000002</v>
      </c>
      <c r="AM205" s="35">
        <v>50.168984924623103</v>
      </c>
      <c r="AN205" s="35">
        <v>0.997058823529411</v>
      </c>
      <c r="AV205" s="13">
        <f t="shared" si="14"/>
        <v>1.1601320952381089</v>
      </c>
      <c r="BD205" s="35">
        <v>202</v>
      </c>
      <c r="BE205" s="35">
        <v>42</v>
      </c>
      <c r="BF205" s="17">
        <v>44.58736013</v>
      </c>
      <c r="BH205" s="35">
        <v>51.511849999999903</v>
      </c>
      <c r="BI205" s="35">
        <v>0.998529411764705</v>
      </c>
      <c r="BQ205" s="13">
        <f t="shared" si="15"/>
        <v>6.1603812619047682</v>
      </c>
    </row>
    <row r="206" spans="1:75">
      <c r="A206" s="13">
        <v>203</v>
      </c>
      <c r="B206" s="13">
        <v>180</v>
      </c>
      <c r="C206" s="17">
        <v>148.13626830000001</v>
      </c>
      <c r="D206" s="13"/>
      <c r="E206" s="36">
        <v>77.818668716080396</v>
      </c>
      <c r="F206" s="36">
        <v>0.998529411764705</v>
      </c>
      <c r="G206" s="36"/>
      <c r="H206" s="13"/>
      <c r="I206" s="13"/>
      <c r="J206" s="13"/>
      <c r="K206" s="13"/>
      <c r="L206" s="13"/>
      <c r="M206" s="13">
        <f t="shared" si="12"/>
        <v>-17.702073166666665</v>
      </c>
      <c r="N206" s="13"/>
      <c r="O206" s="13">
        <v>203</v>
      </c>
      <c r="P206" s="13">
        <v>180</v>
      </c>
      <c r="Q206" s="17">
        <v>159.02928729999999</v>
      </c>
      <c r="R206" s="13"/>
      <c r="S206" s="36">
        <v>60.273226424623097</v>
      </c>
      <c r="T206" s="36">
        <v>0.998529411764705</v>
      </c>
      <c r="U206" s="36"/>
      <c r="V206" s="13"/>
      <c r="W206" s="13"/>
      <c r="X206" s="13"/>
      <c r="Y206" s="13"/>
      <c r="Z206" s="13"/>
      <c r="AA206" s="13">
        <f t="shared" si="13"/>
        <v>-11.650395944444448</v>
      </c>
      <c r="AB206" s="13"/>
      <c r="AC206" s="34"/>
      <c r="AD206" s="34"/>
      <c r="AE206" s="34"/>
      <c r="AF206" s="34"/>
      <c r="AG206" s="34"/>
      <c r="AI206" s="35">
        <v>203</v>
      </c>
      <c r="AJ206" s="35">
        <v>180</v>
      </c>
      <c r="AK206" s="17">
        <v>176.68328410000001</v>
      </c>
      <c r="AM206" s="35">
        <v>50.427587939698398</v>
      </c>
      <c r="AN206" s="35">
        <v>0.997058823529411</v>
      </c>
      <c r="AV206" s="13">
        <f t="shared" si="14"/>
        <v>-1.8426199444444347</v>
      </c>
      <c r="BD206" s="35">
        <v>203</v>
      </c>
      <c r="BE206" s="35">
        <v>180</v>
      </c>
      <c r="BF206" s="17">
        <v>167.92859730000001</v>
      </c>
      <c r="BH206" s="35">
        <v>51.7773749999999</v>
      </c>
      <c r="BI206" s="35">
        <v>0.998529411764705</v>
      </c>
      <c r="BQ206" s="13">
        <f t="shared" si="15"/>
        <v>-6.7063348333333277</v>
      </c>
    </row>
    <row r="207" spans="1:75">
      <c r="A207" s="13">
        <v>204</v>
      </c>
      <c r="B207" s="13">
        <v>56</v>
      </c>
      <c r="C207" s="17">
        <v>67.832492939999995</v>
      </c>
      <c r="D207" s="13"/>
      <c r="E207" s="36">
        <v>78.217738812060304</v>
      </c>
      <c r="F207" s="36">
        <v>0.998529411764705</v>
      </c>
      <c r="G207" s="36"/>
      <c r="H207" s="13"/>
      <c r="I207" s="13"/>
      <c r="J207" s="13"/>
      <c r="K207" s="13"/>
      <c r="L207" s="13"/>
      <c r="M207" s="13">
        <f t="shared" si="12"/>
        <v>21.12945167857141</v>
      </c>
      <c r="N207" s="13"/>
      <c r="O207" s="13">
        <v>204</v>
      </c>
      <c r="P207" s="13">
        <v>56</v>
      </c>
      <c r="Q207" s="17">
        <v>52.446960310000001</v>
      </c>
      <c r="R207" s="13"/>
      <c r="S207" s="36">
        <v>60.5823198934673</v>
      </c>
      <c r="T207" s="36">
        <v>0.998529411764705</v>
      </c>
      <c r="U207" s="36"/>
      <c r="V207" s="13"/>
      <c r="W207" s="13"/>
      <c r="X207" s="13"/>
      <c r="Y207" s="13"/>
      <c r="Z207" s="13"/>
      <c r="AA207" s="13">
        <f t="shared" si="13"/>
        <v>-6.3447137321428588</v>
      </c>
      <c r="AB207" s="13"/>
      <c r="AC207" s="34"/>
      <c r="AD207" s="34"/>
      <c r="AE207" s="34"/>
      <c r="AF207" s="34"/>
      <c r="AG207" s="34"/>
      <c r="AI207" s="35">
        <v>204</v>
      </c>
      <c r="AJ207" s="35">
        <v>56</v>
      </c>
      <c r="AK207" s="17">
        <v>55.839560609999999</v>
      </c>
      <c r="AM207" s="35">
        <v>50.686190954773799</v>
      </c>
      <c r="AN207" s="35">
        <v>0.998529411764705</v>
      </c>
      <c r="AV207" s="13">
        <f t="shared" si="14"/>
        <v>-0.28649891071428346</v>
      </c>
      <c r="BD207" s="35">
        <v>204</v>
      </c>
      <c r="BE207" s="35">
        <v>56</v>
      </c>
      <c r="BF207" s="17">
        <v>54.280683539999998</v>
      </c>
      <c r="BH207" s="35">
        <v>52.042899999999896</v>
      </c>
      <c r="BI207" s="35">
        <v>0.998529411764705</v>
      </c>
      <c r="BQ207" s="13">
        <f t="shared" si="15"/>
        <v>-3.0702079642857205</v>
      </c>
    </row>
    <row r="208" spans="1:75">
      <c r="A208" s="13">
        <v>205</v>
      </c>
      <c r="B208" s="13">
        <v>136</v>
      </c>
      <c r="C208" s="17">
        <v>134.5259926</v>
      </c>
      <c r="D208" s="13"/>
      <c r="E208" s="36">
        <v>78.616808908040198</v>
      </c>
      <c r="F208" s="36">
        <v>0.998529411764705</v>
      </c>
      <c r="G208" s="36"/>
      <c r="H208" s="13"/>
      <c r="I208" s="13"/>
      <c r="J208" s="13"/>
      <c r="K208" s="13"/>
      <c r="L208" s="13"/>
      <c r="M208" s="13">
        <f t="shared" si="12"/>
        <v>-1.0838289705882409</v>
      </c>
      <c r="N208" s="13"/>
      <c r="O208" s="13">
        <v>205</v>
      </c>
      <c r="P208" s="13">
        <v>136</v>
      </c>
      <c r="Q208" s="17">
        <v>137.18418980000001</v>
      </c>
      <c r="R208" s="13"/>
      <c r="S208" s="36">
        <v>60.891413362311503</v>
      </c>
      <c r="T208" s="36">
        <v>0.998529411764705</v>
      </c>
      <c r="U208" s="36"/>
      <c r="V208" s="13"/>
      <c r="W208" s="13"/>
      <c r="X208" s="13"/>
      <c r="Y208" s="13"/>
      <c r="Z208" s="13"/>
      <c r="AA208" s="13">
        <f t="shared" si="13"/>
        <v>0.87072779411765389</v>
      </c>
      <c r="AB208" s="13"/>
      <c r="AC208" s="34"/>
      <c r="AD208" s="34"/>
      <c r="AE208" s="34"/>
      <c r="AF208" s="34"/>
      <c r="AG208" s="34"/>
      <c r="AI208" s="35">
        <v>205</v>
      </c>
      <c r="AJ208" s="35">
        <v>136</v>
      </c>
      <c r="AK208" s="17">
        <v>136.5544616</v>
      </c>
      <c r="AM208" s="35">
        <v>50.944793969849201</v>
      </c>
      <c r="AN208" s="35">
        <v>0.998529411764705</v>
      </c>
      <c r="AV208" s="13">
        <f t="shared" si="14"/>
        <v>0.40769235294118022</v>
      </c>
      <c r="BD208" s="35">
        <v>205</v>
      </c>
      <c r="BE208" s="35">
        <v>136</v>
      </c>
      <c r="BF208" s="17">
        <v>136.7100092</v>
      </c>
      <c r="BH208" s="35">
        <v>52.3084249999999</v>
      </c>
      <c r="BI208" s="35">
        <v>0.998529411764705</v>
      </c>
      <c r="BQ208" s="13">
        <f t="shared" si="15"/>
        <v>0.52206558823528759</v>
      </c>
    </row>
    <row r="209" spans="1:69">
      <c r="A209" s="13">
        <v>206</v>
      </c>
      <c r="B209" s="13">
        <v>243</v>
      </c>
      <c r="C209" s="17">
        <v>177.76062540000001</v>
      </c>
      <c r="D209" s="13"/>
      <c r="E209" s="36">
        <v>79.015879004020107</v>
      </c>
      <c r="F209" s="36">
        <v>0.998529411764705</v>
      </c>
      <c r="G209" s="36"/>
      <c r="H209" s="13"/>
      <c r="I209" s="13"/>
      <c r="J209" s="13"/>
      <c r="K209" s="13"/>
      <c r="L209" s="13"/>
      <c r="M209" s="13">
        <f t="shared" si="12"/>
        <v>-26.847479259259256</v>
      </c>
      <c r="N209" s="13"/>
      <c r="O209" s="13">
        <v>206</v>
      </c>
      <c r="P209" s="13">
        <v>243</v>
      </c>
      <c r="Q209" s="17">
        <v>210.13308599999999</v>
      </c>
      <c r="R209" s="13"/>
      <c r="S209" s="36">
        <v>61.2005068311557</v>
      </c>
      <c r="T209" s="36">
        <v>0.998529411764705</v>
      </c>
      <c r="U209" s="36"/>
      <c r="V209" s="13"/>
      <c r="W209" s="13"/>
      <c r="X209" s="13"/>
      <c r="Y209" s="13"/>
      <c r="Z209" s="13"/>
      <c r="AA209" s="13">
        <f t="shared" si="13"/>
        <v>-13.525479012345688</v>
      </c>
      <c r="AB209" s="13"/>
      <c r="AC209" s="34"/>
      <c r="AD209" s="34"/>
      <c r="AE209" s="34"/>
      <c r="AF209" s="34"/>
      <c r="AG209" s="34"/>
      <c r="AI209" s="35">
        <v>206</v>
      </c>
      <c r="AJ209" s="35">
        <v>243</v>
      </c>
      <c r="AK209" s="17">
        <v>242.8018333</v>
      </c>
      <c r="AM209" s="35">
        <v>51.203396984924602</v>
      </c>
      <c r="AN209" s="35">
        <v>0.998529411764705</v>
      </c>
      <c r="AV209" s="13">
        <f t="shared" si="14"/>
        <v>-8.1550082304526761E-2</v>
      </c>
      <c r="BD209" s="35">
        <v>206</v>
      </c>
      <c r="BE209" s="35">
        <v>243</v>
      </c>
      <c r="BF209" s="17">
        <v>238.6388614</v>
      </c>
      <c r="BH209" s="35">
        <v>52.573949999999897</v>
      </c>
      <c r="BI209" s="35">
        <v>0.998529411764705</v>
      </c>
      <c r="BQ209" s="13">
        <f t="shared" si="15"/>
        <v>-1.7947072427983546</v>
      </c>
    </row>
    <row r="210" spans="1:69">
      <c r="A210" s="13">
        <v>207</v>
      </c>
      <c r="B210" s="13">
        <v>88</v>
      </c>
      <c r="C210" s="17">
        <v>103.0984772</v>
      </c>
      <c r="D210" s="13"/>
      <c r="E210" s="36">
        <v>79.414949100000001</v>
      </c>
      <c r="F210" s="36">
        <v>1</v>
      </c>
      <c r="G210" s="36"/>
      <c r="H210" s="13"/>
      <c r="I210" s="13"/>
      <c r="J210" s="13"/>
      <c r="K210" s="13"/>
      <c r="L210" s="13"/>
      <c r="M210" s="13">
        <f t="shared" si="12"/>
        <v>17.157360454545454</v>
      </c>
      <c r="N210" s="13"/>
      <c r="O210" s="13">
        <v>207</v>
      </c>
      <c r="P210" s="13">
        <v>88</v>
      </c>
      <c r="Q210" s="17">
        <v>99.098595970000005</v>
      </c>
      <c r="R210" s="13"/>
      <c r="S210" s="36">
        <v>61.509600299999903</v>
      </c>
      <c r="T210" s="36">
        <v>1</v>
      </c>
      <c r="U210" s="36"/>
      <c r="V210" s="13"/>
      <c r="W210" s="13"/>
      <c r="X210" s="13"/>
      <c r="Y210" s="13"/>
      <c r="Z210" s="13"/>
      <c r="AA210" s="13">
        <f t="shared" si="13"/>
        <v>12.612040875000009</v>
      </c>
      <c r="AB210" s="13"/>
      <c r="AC210" s="34"/>
      <c r="AD210" s="34"/>
      <c r="AE210" s="34"/>
      <c r="AF210" s="34"/>
      <c r="AG210" s="34"/>
      <c r="AI210" s="35">
        <v>207</v>
      </c>
      <c r="AJ210" s="35">
        <v>88</v>
      </c>
      <c r="AK210" s="17">
        <v>89.453049489999998</v>
      </c>
      <c r="AM210" s="35">
        <v>51.461999999999897</v>
      </c>
      <c r="AN210" s="35">
        <v>1</v>
      </c>
      <c r="AV210" s="13">
        <f t="shared" si="14"/>
        <v>1.651192602272733</v>
      </c>
      <c r="BD210" s="35">
        <v>207</v>
      </c>
      <c r="BE210" s="35">
        <v>88</v>
      </c>
      <c r="BF210" s="17">
        <v>93.805146289999996</v>
      </c>
      <c r="BH210" s="35">
        <v>52.839474999999901</v>
      </c>
      <c r="BI210" s="35">
        <v>1</v>
      </c>
      <c r="BQ210" s="13">
        <f t="shared" si="15"/>
        <v>6.5967571477272724</v>
      </c>
    </row>
    <row r="211" spans="1:69">
      <c r="A211" s="13">
        <v>208</v>
      </c>
      <c r="B211" s="13">
        <v>206</v>
      </c>
      <c r="C211" s="17">
        <v>159.15062760000001</v>
      </c>
      <c r="D211" s="13"/>
      <c r="H211" s="13"/>
      <c r="I211" s="13"/>
      <c r="J211" s="13"/>
      <c r="K211" s="13"/>
      <c r="L211" s="13"/>
      <c r="M211" s="13">
        <f t="shared" si="12"/>
        <v>-22.742413786407766</v>
      </c>
      <c r="N211" s="13"/>
      <c r="O211" s="13">
        <v>208</v>
      </c>
      <c r="P211" s="13">
        <v>206</v>
      </c>
      <c r="Q211" s="17">
        <v>179.7734628</v>
      </c>
      <c r="R211" s="13"/>
      <c r="S211" s="13"/>
      <c r="T211" s="13"/>
      <c r="U211" s="13"/>
      <c r="V211" s="13"/>
      <c r="W211" s="13"/>
      <c r="X211" s="13"/>
      <c r="Y211" s="13"/>
      <c r="Z211" s="13"/>
      <c r="AA211" s="13">
        <f t="shared" si="13"/>
        <v>-12.731328737864079</v>
      </c>
      <c r="AB211" s="13"/>
      <c r="AC211" s="34"/>
      <c r="AD211" s="34"/>
      <c r="AE211" s="34"/>
      <c r="AF211" s="34"/>
      <c r="AG211" s="34"/>
      <c r="AI211" s="35">
        <v>208</v>
      </c>
      <c r="AJ211" s="35">
        <v>206</v>
      </c>
      <c r="AK211" s="17">
        <v>203.61383839999999</v>
      </c>
      <c r="AV211" s="13">
        <f t="shared" si="14"/>
        <v>-1.1583308737864173</v>
      </c>
      <c r="BD211" s="35">
        <v>208</v>
      </c>
      <c r="BE211" s="35">
        <v>206</v>
      </c>
      <c r="BF211" s="17">
        <v>193.44321550000001</v>
      </c>
      <c r="BQ211" s="13">
        <f t="shared" si="15"/>
        <v>-6.0955264563106741</v>
      </c>
    </row>
    <row r="212" spans="1:69">
      <c r="A212" s="13">
        <v>209</v>
      </c>
      <c r="B212" s="13">
        <v>140</v>
      </c>
      <c r="C212" s="17">
        <v>137.4888297</v>
      </c>
      <c r="D212" s="13"/>
      <c r="H212" s="13"/>
      <c r="I212" s="13"/>
      <c r="J212" s="13"/>
      <c r="K212" s="13"/>
      <c r="L212" s="13"/>
      <c r="M212" s="13">
        <f t="shared" si="12"/>
        <v>-1.7936930714285704</v>
      </c>
      <c r="N212" s="13"/>
      <c r="O212" s="13">
        <v>209</v>
      </c>
      <c r="P212" s="13">
        <v>140</v>
      </c>
      <c r="Q212" s="17">
        <v>138.77547999999999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>
        <f t="shared" si="13"/>
        <v>-0.87465714285714924</v>
      </c>
      <c r="AB212" s="13"/>
      <c r="AC212" s="34"/>
      <c r="AD212" s="34"/>
      <c r="AE212" s="34"/>
      <c r="AF212" s="34"/>
      <c r="AG212" s="34"/>
      <c r="AI212" s="35">
        <v>209</v>
      </c>
      <c r="AJ212" s="35">
        <v>140</v>
      </c>
      <c r="AK212" s="17">
        <v>139.78007779999999</v>
      </c>
      <c r="AV212" s="13">
        <f t="shared" si="14"/>
        <v>-0.15708728571429686</v>
      </c>
      <c r="BD212" s="35">
        <v>209</v>
      </c>
      <c r="BE212" s="35">
        <v>140</v>
      </c>
      <c r="BF212" s="17">
        <v>139.3434081</v>
      </c>
      <c r="BQ212" s="13">
        <f t="shared" si="15"/>
        <v>-0.46899421428571175</v>
      </c>
    </row>
    <row r="213" spans="1:69">
      <c r="A213" s="13">
        <v>210</v>
      </c>
      <c r="B213" s="13">
        <v>196</v>
      </c>
      <c r="C213" s="17">
        <v>169.89614349999999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>
        <f t="shared" si="12"/>
        <v>-13.318294132653063</v>
      </c>
      <c r="N213" s="13"/>
      <c r="O213" s="13">
        <v>210</v>
      </c>
      <c r="P213" s="13">
        <v>196</v>
      </c>
      <c r="Q213" s="17">
        <v>190.26970489999999</v>
      </c>
      <c r="R213" s="13"/>
      <c r="S213" s="13"/>
      <c r="T213" s="13"/>
      <c r="U213" s="13"/>
      <c r="V213" s="13"/>
      <c r="W213" s="13"/>
      <c r="X213" s="13"/>
      <c r="Y213" s="13"/>
      <c r="Z213" s="13"/>
      <c r="AA213" s="13">
        <f t="shared" si="13"/>
        <v>-2.9236199489795944</v>
      </c>
      <c r="AB213" s="13"/>
      <c r="AC213" s="34"/>
      <c r="AD213" s="34"/>
      <c r="AE213" s="34"/>
      <c r="AF213" s="34"/>
      <c r="AG213" s="34"/>
      <c r="AI213" s="35">
        <v>210</v>
      </c>
      <c r="AJ213" s="35">
        <v>196</v>
      </c>
      <c r="AK213" s="17">
        <v>195.6285154</v>
      </c>
      <c r="AV213" s="13">
        <f t="shared" si="14"/>
        <v>-0.18953295918366919</v>
      </c>
      <c r="BD213" s="35">
        <v>210</v>
      </c>
      <c r="BE213" s="35">
        <v>196</v>
      </c>
      <c r="BF213" s="17">
        <v>194.7784738</v>
      </c>
      <c r="BQ213" s="13">
        <f t="shared" si="15"/>
        <v>-0.62322765306122019</v>
      </c>
    </row>
    <row r="214" spans="1:69">
      <c r="A214" s="13">
        <v>211</v>
      </c>
      <c r="B214" s="13">
        <v>204</v>
      </c>
      <c r="C214" s="17">
        <v>177.74293829999999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>
        <f t="shared" si="12"/>
        <v>-12.871108676470588</v>
      </c>
      <c r="N214" s="13"/>
      <c r="O214" s="13">
        <v>211</v>
      </c>
      <c r="P214" s="13">
        <v>204</v>
      </c>
      <c r="Q214" s="17">
        <v>189.46349119999999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>
        <f t="shared" si="13"/>
        <v>-7.1257396078431405</v>
      </c>
      <c r="AB214" s="13"/>
      <c r="AC214" s="34"/>
      <c r="AD214" s="34"/>
      <c r="AE214" s="34"/>
      <c r="AF214" s="34"/>
      <c r="AG214" s="34"/>
      <c r="AI214" s="35">
        <v>211</v>
      </c>
      <c r="AJ214" s="35">
        <v>204</v>
      </c>
      <c r="AK214" s="17">
        <v>203.8131515</v>
      </c>
      <c r="AV214" s="13">
        <f t="shared" si="14"/>
        <v>-9.1592401960782777E-2</v>
      </c>
      <c r="BD214" s="35">
        <v>211</v>
      </c>
      <c r="BE214" s="35">
        <v>204</v>
      </c>
      <c r="BF214" s="17">
        <v>202.2885023</v>
      </c>
      <c r="BQ214" s="13">
        <f t="shared" si="15"/>
        <v>-0.83896946078431123</v>
      </c>
    </row>
    <row r="215" spans="1:69">
      <c r="A215" s="13">
        <v>212</v>
      </c>
      <c r="B215" s="13">
        <v>62</v>
      </c>
      <c r="C215" s="17">
        <v>88.542720540000005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>
        <f t="shared" si="12"/>
        <v>42.81083958064518</v>
      </c>
      <c r="N215" s="13"/>
      <c r="O215" s="13">
        <v>212</v>
      </c>
      <c r="P215" s="13">
        <v>62</v>
      </c>
      <c r="Q215" s="17">
        <v>78.348713829999994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>
        <f t="shared" si="13"/>
        <v>26.368893274193539</v>
      </c>
      <c r="AB215" s="13"/>
      <c r="AC215" s="34"/>
      <c r="AD215" s="34"/>
      <c r="AE215" s="34"/>
      <c r="AF215" s="34"/>
      <c r="AG215" s="34"/>
      <c r="AI215" s="35">
        <v>212</v>
      </c>
      <c r="AJ215" s="35">
        <v>62</v>
      </c>
      <c r="AK215" s="17">
        <v>63.581114370000002</v>
      </c>
      <c r="AV215" s="13">
        <f t="shared" si="14"/>
        <v>2.5501844677419339</v>
      </c>
      <c r="BD215" s="35">
        <v>212</v>
      </c>
      <c r="BE215" s="35">
        <v>62</v>
      </c>
      <c r="BF215" s="17">
        <v>70.753592620000006</v>
      </c>
      <c r="BQ215" s="13">
        <f t="shared" si="15"/>
        <v>14.118697774193567</v>
      </c>
    </row>
    <row r="216" spans="1:69">
      <c r="A216" s="13">
        <v>213</v>
      </c>
      <c r="B216" s="13">
        <v>91</v>
      </c>
      <c r="C216" s="17">
        <v>107.1255412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>
        <f t="shared" si="12"/>
        <v>17.720374945054939</v>
      </c>
      <c r="N216" s="13"/>
      <c r="O216" s="13">
        <v>213</v>
      </c>
      <c r="P216" s="13">
        <v>91</v>
      </c>
      <c r="Q216" s="17">
        <v>102.2522951</v>
      </c>
      <c r="R216" s="13"/>
      <c r="S216" s="13"/>
      <c r="T216" s="13"/>
      <c r="U216" s="13"/>
      <c r="V216" s="13"/>
      <c r="W216" s="13"/>
      <c r="X216" s="13"/>
      <c r="Y216" s="13"/>
      <c r="Z216" s="13"/>
      <c r="AA216" s="13">
        <f t="shared" si="13"/>
        <v>12.365159450549456</v>
      </c>
      <c r="AB216" s="13"/>
      <c r="AC216" s="34"/>
      <c r="AD216" s="34"/>
      <c r="AE216" s="34"/>
      <c r="AF216" s="34"/>
      <c r="AG216" s="34"/>
      <c r="AI216" s="35">
        <v>213</v>
      </c>
      <c r="AJ216" s="35">
        <v>91</v>
      </c>
      <c r="AK216" s="17">
        <v>93.505957420000001</v>
      </c>
      <c r="AV216" s="13">
        <f t="shared" si="14"/>
        <v>2.7537993626373547</v>
      </c>
      <c r="BD216" s="35">
        <v>213</v>
      </c>
      <c r="BE216" s="35">
        <v>91</v>
      </c>
      <c r="BF216" s="17">
        <v>98.682159249999998</v>
      </c>
      <c r="BQ216" s="13">
        <f t="shared" si="15"/>
        <v>8.4419332417582371</v>
      </c>
    </row>
    <row r="217" spans="1:69">
      <c r="A217" s="13">
        <v>214</v>
      </c>
      <c r="B217" s="13">
        <v>223</v>
      </c>
      <c r="C217" s="17">
        <v>173.41583249999999</v>
      </c>
      <c r="D217" s="13"/>
      <c r="E217" s="13"/>
      <c r="F217" s="13"/>
      <c r="G217" s="13"/>
      <c r="H217" s="13"/>
      <c r="I217" s="13"/>
      <c r="J217" s="13"/>
      <c r="K217" s="13"/>
      <c r="L217" s="13"/>
      <c r="M217" s="13">
        <f t="shared" si="12"/>
        <v>-22.235052690582958</v>
      </c>
      <c r="N217" s="13"/>
      <c r="O217" s="13">
        <v>214</v>
      </c>
      <c r="P217" s="13">
        <v>223</v>
      </c>
      <c r="Q217" s="17">
        <v>196.4939066</v>
      </c>
      <c r="R217" s="13"/>
      <c r="S217" s="13"/>
      <c r="T217" s="13"/>
      <c r="U217" s="13"/>
      <c r="V217" s="13"/>
      <c r="W217" s="13"/>
      <c r="X217" s="13"/>
      <c r="Y217" s="13"/>
      <c r="Z217" s="13"/>
      <c r="AA217" s="13">
        <f t="shared" si="13"/>
        <v>-11.886140538116596</v>
      </c>
      <c r="AB217" s="13"/>
      <c r="AC217" s="34"/>
      <c r="AD217" s="34"/>
      <c r="AE217" s="34"/>
      <c r="AF217" s="34"/>
      <c r="AG217" s="34"/>
      <c r="AI217" s="35">
        <v>214</v>
      </c>
      <c r="AJ217" s="35">
        <v>223</v>
      </c>
      <c r="AK217" s="17">
        <v>221.11061720000001</v>
      </c>
      <c r="AV217" s="13">
        <f t="shared" si="14"/>
        <v>-0.84725686098654496</v>
      </c>
      <c r="BD217" s="35">
        <v>214</v>
      </c>
      <c r="BE217" s="35">
        <v>223</v>
      </c>
      <c r="BF217" s="17">
        <v>212.03033690000001</v>
      </c>
      <c r="BQ217" s="13">
        <f t="shared" si="15"/>
        <v>-4.919131434977575</v>
      </c>
    </row>
    <row r="218" spans="1:69">
      <c r="A218" s="13">
        <v>215</v>
      </c>
      <c r="B218" s="13">
        <v>165</v>
      </c>
      <c r="C218" s="17">
        <v>156.6061436</v>
      </c>
      <c r="D218" s="13"/>
      <c r="E218" s="13"/>
      <c r="F218" s="13"/>
      <c r="G218" s="13"/>
      <c r="H218" s="13"/>
      <c r="I218" s="13"/>
      <c r="J218" s="13"/>
      <c r="K218" s="13"/>
      <c r="L218" s="13"/>
      <c r="M218" s="13">
        <f t="shared" si="12"/>
        <v>-5.0871856969696978</v>
      </c>
      <c r="N218" s="13"/>
      <c r="O218" s="13">
        <v>215</v>
      </c>
      <c r="P218" s="13">
        <v>165</v>
      </c>
      <c r="Q218" s="17">
        <v>165.6690241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>
        <f t="shared" si="13"/>
        <v>0.40546915151515872</v>
      </c>
      <c r="AB218" s="13"/>
      <c r="AC218" s="34"/>
      <c r="AD218" s="34"/>
      <c r="AE218" s="34"/>
      <c r="AF218" s="34"/>
      <c r="AG218" s="34"/>
      <c r="AI218" s="35">
        <v>215</v>
      </c>
      <c r="AJ218" s="35">
        <v>165</v>
      </c>
      <c r="AK218" s="17">
        <v>165.21646709999999</v>
      </c>
      <c r="AV218" s="13">
        <f t="shared" si="14"/>
        <v>0.13119218181818493</v>
      </c>
      <c r="BD218" s="35">
        <v>215</v>
      </c>
      <c r="BE218" s="35">
        <v>165</v>
      </c>
      <c r="BF218" s="17">
        <v>166.3026083</v>
      </c>
      <c r="BQ218" s="13">
        <f t="shared" si="15"/>
        <v>0.78945957575757841</v>
      </c>
    </row>
    <row r="219" spans="1:69">
      <c r="A219" s="13">
        <v>216</v>
      </c>
      <c r="B219" s="13">
        <v>60</v>
      </c>
      <c r="C219" s="17">
        <v>89.189509319999999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>
        <f t="shared" si="12"/>
        <v>48.649182200000006</v>
      </c>
      <c r="N219" s="13"/>
      <c r="O219" s="13">
        <v>216</v>
      </c>
      <c r="P219" s="13">
        <v>60</v>
      </c>
      <c r="Q219" s="17">
        <v>78.699191709999994</v>
      </c>
      <c r="R219" s="13"/>
      <c r="S219" s="13"/>
      <c r="T219" s="13"/>
      <c r="U219" s="13"/>
      <c r="V219" s="13"/>
      <c r="W219" s="13"/>
      <c r="X219" s="13"/>
      <c r="Y219" s="13"/>
      <c r="Z219" s="13"/>
      <c r="AA219" s="13">
        <f t="shared" si="13"/>
        <v>31.165319516666656</v>
      </c>
      <c r="AB219" s="13"/>
      <c r="AC219" s="34"/>
      <c r="AD219" s="34"/>
      <c r="AE219" s="34"/>
      <c r="AF219" s="34"/>
      <c r="AG219" s="34"/>
      <c r="AI219" s="35">
        <v>216</v>
      </c>
      <c r="AJ219" s="35">
        <v>60</v>
      </c>
      <c r="AK219" s="17">
        <v>61.075835210000001</v>
      </c>
      <c r="AV219" s="13">
        <f t="shared" si="14"/>
        <v>1.7930586833333262</v>
      </c>
      <c r="BD219" s="35">
        <v>216</v>
      </c>
      <c r="BE219" s="35">
        <v>60</v>
      </c>
      <c r="BF219" s="17">
        <v>65.066969959999994</v>
      </c>
      <c r="BQ219" s="13">
        <f t="shared" si="15"/>
        <v>8.4449499333333335</v>
      </c>
    </row>
    <row r="220" spans="1:69">
      <c r="A220" s="13">
        <v>217</v>
      </c>
      <c r="B220" s="13">
        <v>151</v>
      </c>
      <c r="C220" s="17">
        <v>146.79301369999999</v>
      </c>
      <c r="D220" s="13"/>
      <c r="E220" s="13"/>
      <c r="F220" s="13"/>
      <c r="G220" s="13"/>
      <c r="H220" s="13"/>
      <c r="I220" s="13"/>
      <c r="J220" s="13"/>
      <c r="K220" s="13"/>
      <c r="L220" s="13"/>
      <c r="M220" s="13">
        <f t="shared" si="12"/>
        <v>-2.7860836423841184</v>
      </c>
      <c r="N220" s="13"/>
      <c r="O220" s="13">
        <v>217</v>
      </c>
      <c r="P220" s="13">
        <v>151</v>
      </c>
      <c r="Q220" s="17">
        <v>151.01820609999999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>
        <f t="shared" si="13"/>
        <v>1.20570198675507E-2</v>
      </c>
      <c r="AB220" s="13"/>
      <c r="AC220" s="34"/>
      <c r="AD220" s="34"/>
      <c r="AE220" s="34"/>
      <c r="AF220" s="34"/>
      <c r="AG220" s="34"/>
      <c r="AI220" s="35">
        <v>217</v>
      </c>
      <c r="AJ220" s="35">
        <v>151</v>
      </c>
      <c r="AK220" s="17">
        <v>151.20900829999999</v>
      </c>
      <c r="AV220" s="13">
        <f t="shared" si="14"/>
        <v>0.13841609271523225</v>
      </c>
      <c r="BD220" s="35">
        <v>217</v>
      </c>
      <c r="BE220" s="35">
        <v>151</v>
      </c>
      <c r="BF220" s="17">
        <v>150.5113198</v>
      </c>
      <c r="BQ220" s="13">
        <f t="shared" si="15"/>
        <v>-0.32362927152318477</v>
      </c>
    </row>
    <row r="221" spans="1:69">
      <c r="A221" s="13">
        <v>218</v>
      </c>
      <c r="B221" s="13">
        <v>82</v>
      </c>
      <c r="C221" s="17">
        <v>95.055801639999999</v>
      </c>
      <c r="D221" s="13"/>
      <c r="E221" s="13"/>
      <c r="F221" s="13"/>
      <c r="G221" s="13"/>
      <c r="H221" s="13"/>
      <c r="I221" s="13"/>
      <c r="J221" s="13"/>
      <c r="K221" s="13"/>
      <c r="L221" s="13"/>
      <c r="M221" s="13">
        <f t="shared" si="12"/>
        <v>15.921709317073173</v>
      </c>
      <c r="N221" s="13"/>
      <c r="O221" s="13">
        <v>218</v>
      </c>
      <c r="P221" s="13">
        <v>82</v>
      </c>
      <c r="Q221" s="17">
        <v>87.105847620000006</v>
      </c>
      <c r="R221" s="13"/>
      <c r="S221" s="13"/>
      <c r="T221" s="13"/>
      <c r="U221" s="13"/>
      <c r="V221" s="13"/>
      <c r="W221" s="13"/>
      <c r="X221" s="13"/>
      <c r="Y221" s="13"/>
      <c r="Z221" s="13"/>
      <c r="AA221" s="13">
        <f t="shared" si="13"/>
        <v>6.226643439024393</v>
      </c>
      <c r="AB221" s="13"/>
      <c r="AC221" s="34"/>
      <c r="AD221" s="34"/>
      <c r="AE221" s="34"/>
      <c r="AF221" s="34"/>
      <c r="AG221" s="34"/>
      <c r="AI221" s="35">
        <v>218</v>
      </c>
      <c r="AJ221" s="35">
        <v>82</v>
      </c>
      <c r="AK221" s="17">
        <v>83.125822580000005</v>
      </c>
      <c r="AV221" s="13">
        <f t="shared" si="14"/>
        <v>1.3729543658536736</v>
      </c>
      <c r="BD221" s="35">
        <v>218</v>
      </c>
      <c r="BE221" s="35">
        <v>82</v>
      </c>
      <c r="BF221" s="17">
        <v>85.192393150000001</v>
      </c>
      <c r="BQ221" s="13">
        <f t="shared" si="15"/>
        <v>3.8931623780487756</v>
      </c>
    </row>
    <row r="222" spans="1:69">
      <c r="A222" s="13">
        <v>219</v>
      </c>
      <c r="B222" s="13">
        <v>228</v>
      </c>
      <c r="C222" s="17">
        <v>166.68439609999999</v>
      </c>
      <c r="D222" s="13"/>
      <c r="E222" s="13"/>
      <c r="F222" s="13"/>
      <c r="G222" s="13"/>
      <c r="H222" s="13"/>
      <c r="I222" s="13"/>
      <c r="J222" s="13"/>
      <c r="K222" s="13"/>
      <c r="L222" s="13"/>
      <c r="M222" s="13">
        <f t="shared" si="12"/>
        <v>-26.892808728070182</v>
      </c>
      <c r="N222" s="13"/>
      <c r="O222" s="13">
        <v>219</v>
      </c>
      <c r="P222" s="13">
        <v>228</v>
      </c>
      <c r="Q222" s="17">
        <v>194.25770840000001</v>
      </c>
      <c r="R222" s="13"/>
      <c r="S222" s="13"/>
      <c r="T222" s="13"/>
      <c r="U222" s="13"/>
      <c r="V222" s="13"/>
      <c r="W222" s="13"/>
      <c r="X222" s="13"/>
      <c r="Y222" s="13"/>
      <c r="Z222" s="13"/>
      <c r="AA222" s="13">
        <f t="shared" si="13"/>
        <v>-14.799250701754385</v>
      </c>
      <c r="AB222" s="13"/>
      <c r="AC222" s="34"/>
      <c r="AD222" s="34"/>
      <c r="AE222" s="34"/>
      <c r="AF222" s="34"/>
      <c r="AG222" s="34"/>
      <c r="AI222" s="35">
        <v>219</v>
      </c>
      <c r="AJ222" s="35">
        <v>228</v>
      </c>
      <c r="AK222" s="17">
        <v>226.95338140000001</v>
      </c>
      <c r="AV222" s="13">
        <f t="shared" si="14"/>
        <v>-0.45904324561403254</v>
      </c>
      <c r="BD222" s="35">
        <v>219</v>
      </c>
      <c r="BE222" s="35">
        <v>228</v>
      </c>
      <c r="BF222" s="17">
        <v>220.82820709999999</v>
      </c>
      <c r="BQ222" s="13">
        <f t="shared" si="15"/>
        <v>-3.1455232017543966</v>
      </c>
    </row>
    <row r="223" spans="1:69">
      <c r="A223" s="13">
        <v>220</v>
      </c>
      <c r="B223" s="13">
        <v>186</v>
      </c>
      <c r="C223" s="17">
        <v>168.91542319999999</v>
      </c>
      <c r="D223" s="13"/>
      <c r="E223" s="13"/>
      <c r="F223" s="13"/>
      <c r="G223" s="13"/>
      <c r="H223" s="13"/>
      <c r="I223" s="13"/>
      <c r="J223" s="13"/>
      <c r="K223" s="13"/>
      <c r="L223" s="13"/>
      <c r="M223" s="13">
        <f t="shared" si="12"/>
        <v>-9.1852563440860244</v>
      </c>
      <c r="N223" s="13"/>
      <c r="O223" s="13">
        <v>220</v>
      </c>
      <c r="P223" s="13">
        <v>186</v>
      </c>
      <c r="Q223" s="17">
        <v>183.14216519999999</v>
      </c>
      <c r="R223" s="13"/>
      <c r="S223" s="13"/>
      <c r="T223" s="13"/>
      <c r="U223" s="13"/>
      <c r="V223" s="13"/>
      <c r="W223" s="13"/>
      <c r="X223" s="13"/>
      <c r="Y223" s="13"/>
      <c r="Z223" s="13"/>
      <c r="AA223" s="13">
        <f t="shared" si="13"/>
        <v>-1.536470322580652</v>
      </c>
      <c r="AB223" s="13"/>
      <c r="AC223" s="34"/>
      <c r="AD223" s="34"/>
      <c r="AE223" s="34"/>
      <c r="AF223" s="34"/>
      <c r="AG223" s="34"/>
      <c r="AI223" s="35">
        <v>220</v>
      </c>
      <c r="AJ223" s="35">
        <v>186</v>
      </c>
      <c r="AK223" s="17">
        <v>185.58224559999999</v>
      </c>
      <c r="AV223" s="13">
        <f t="shared" si="14"/>
        <v>-0.22459913978495338</v>
      </c>
      <c r="BD223" s="35">
        <v>220</v>
      </c>
      <c r="BE223" s="35">
        <v>186</v>
      </c>
      <c r="BF223" s="17">
        <v>183.61688530000001</v>
      </c>
      <c r="BQ223" s="13">
        <f t="shared" si="15"/>
        <v>-1.2812444623655828</v>
      </c>
    </row>
    <row r="224" spans="1:69">
      <c r="A224" s="13">
        <v>221</v>
      </c>
      <c r="B224" s="13">
        <v>182</v>
      </c>
      <c r="C224" s="17">
        <v>173.11672300000001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13">
        <f t="shared" si="12"/>
        <v>-4.880921428571428</v>
      </c>
      <c r="N224" s="13"/>
      <c r="O224" s="13">
        <v>221</v>
      </c>
      <c r="P224" s="13">
        <v>182</v>
      </c>
      <c r="Q224" s="17">
        <v>182.73729710000001</v>
      </c>
      <c r="R224" s="13"/>
      <c r="S224" s="13"/>
      <c r="T224" s="13"/>
      <c r="U224" s="13"/>
      <c r="V224" s="13"/>
      <c r="W224" s="13"/>
      <c r="X224" s="13"/>
      <c r="Y224" s="13"/>
      <c r="Z224" s="13"/>
      <c r="AA224" s="13">
        <f t="shared" si="13"/>
        <v>0.40510829670330484</v>
      </c>
      <c r="AB224" s="13"/>
      <c r="AC224" s="34"/>
      <c r="AD224" s="34"/>
      <c r="AE224" s="34"/>
      <c r="AF224" s="34"/>
      <c r="AG224" s="34"/>
      <c r="AI224" s="35">
        <v>221</v>
      </c>
      <c r="AJ224" s="35">
        <v>182</v>
      </c>
      <c r="AK224" s="17">
        <v>181.92539880000001</v>
      </c>
      <c r="AV224" s="13">
        <f t="shared" si="14"/>
        <v>-4.0989670329660832E-2</v>
      </c>
      <c r="BD224" s="35">
        <v>221</v>
      </c>
      <c r="BE224" s="35">
        <v>182</v>
      </c>
      <c r="BF224" s="17">
        <v>182.88009450000001</v>
      </c>
      <c r="BQ224" s="13">
        <f t="shared" si="15"/>
        <v>0.48356840659340428</v>
      </c>
    </row>
    <row r="225" spans="1:69">
      <c r="A225" s="13">
        <v>222</v>
      </c>
      <c r="B225" s="13">
        <v>49</v>
      </c>
      <c r="C225" s="17">
        <v>59.782719970000002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>
        <f t="shared" si="12"/>
        <v>22.005550959183683</v>
      </c>
      <c r="N225" s="13"/>
      <c r="O225" s="13">
        <v>222</v>
      </c>
      <c r="P225" s="13">
        <v>49</v>
      </c>
      <c r="Q225" s="17">
        <v>47.781017730000002</v>
      </c>
      <c r="R225" s="13"/>
      <c r="S225" s="13"/>
      <c r="T225" s="13"/>
      <c r="U225" s="13"/>
      <c r="V225" s="13"/>
      <c r="W225" s="13"/>
      <c r="X225" s="13"/>
      <c r="Y225" s="13"/>
      <c r="Z225" s="13"/>
      <c r="AA225" s="13">
        <f t="shared" si="13"/>
        <v>-2.4877189183673432</v>
      </c>
      <c r="AB225" s="13"/>
      <c r="AC225" s="34"/>
      <c r="AD225" s="34"/>
      <c r="AE225" s="34"/>
      <c r="AF225" s="34"/>
      <c r="AG225" s="34"/>
      <c r="AI225" s="35">
        <v>222</v>
      </c>
      <c r="AJ225" s="35">
        <v>49</v>
      </c>
      <c r="AK225" s="17">
        <v>48.532574779999997</v>
      </c>
      <c r="AV225" s="13">
        <f t="shared" si="14"/>
        <v>-0.95392902040817296</v>
      </c>
      <c r="BD225" s="35">
        <v>222</v>
      </c>
      <c r="BE225" s="35">
        <v>49</v>
      </c>
      <c r="BF225" s="17">
        <v>49.56628791</v>
      </c>
      <c r="BQ225" s="13">
        <f t="shared" si="15"/>
        <v>1.1556896122449034</v>
      </c>
    </row>
    <row r="226" spans="1:69">
      <c r="A226" s="13">
        <v>223</v>
      </c>
      <c r="B226" s="13">
        <v>210</v>
      </c>
      <c r="C226" s="17">
        <v>177.36376680000001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>
        <f t="shared" si="12"/>
        <v>-15.541063428571423</v>
      </c>
      <c r="N226" s="13"/>
      <c r="O226" s="13">
        <v>223</v>
      </c>
      <c r="P226" s="13">
        <v>210</v>
      </c>
      <c r="Q226" s="17">
        <v>197.46896380000001</v>
      </c>
      <c r="R226" s="13"/>
      <c r="S226" s="13"/>
      <c r="T226" s="13"/>
      <c r="U226" s="13"/>
      <c r="V226" s="13"/>
      <c r="W226" s="13"/>
      <c r="X226" s="13"/>
      <c r="Y226" s="13"/>
      <c r="Z226" s="13"/>
      <c r="AA226" s="13">
        <f t="shared" si="13"/>
        <v>-5.9671600952380892</v>
      </c>
      <c r="AB226" s="13"/>
      <c r="AC226" s="34"/>
      <c r="AD226" s="34"/>
      <c r="AE226" s="34"/>
      <c r="AF226" s="34"/>
      <c r="AG226" s="34"/>
      <c r="AI226" s="35">
        <v>223</v>
      </c>
      <c r="AJ226" s="35">
        <v>210</v>
      </c>
      <c r="AK226" s="17">
        <v>209.89674239999999</v>
      </c>
      <c r="AV226" s="13">
        <f t="shared" si="14"/>
        <v>-4.9170285714283946E-2</v>
      </c>
      <c r="BD226" s="35">
        <v>223</v>
      </c>
      <c r="BE226" s="35">
        <v>210</v>
      </c>
      <c r="BF226" s="17">
        <v>206.74718469999999</v>
      </c>
      <c r="BQ226" s="13">
        <f t="shared" si="15"/>
        <v>-1.5489596666666716</v>
      </c>
    </row>
    <row r="227" spans="1:69">
      <c r="A227" s="13">
        <v>224</v>
      </c>
      <c r="B227" s="13">
        <v>197</v>
      </c>
      <c r="C227" s="17">
        <v>174.40728709999999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>
        <f t="shared" si="12"/>
        <v>-11.468382182741122</v>
      </c>
      <c r="N227" s="13"/>
      <c r="O227" s="13">
        <v>224</v>
      </c>
      <c r="P227" s="13">
        <v>197</v>
      </c>
      <c r="Q227" s="17">
        <v>190.34594480000001</v>
      </c>
      <c r="R227" s="13"/>
      <c r="S227" s="13"/>
      <c r="T227" s="13"/>
      <c r="U227" s="13"/>
      <c r="V227" s="13"/>
      <c r="W227" s="13"/>
      <c r="X227" s="13"/>
      <c r="Y227" s="13"/>
      <c r="Z227" s="13"/>
      <c r="AA227" s="13">
        <f t="shared" si="13"/>
        <v>-3.3776929949238532</v>
      </c>
      <c r="AB227" s="13"/>
      <c r="AC227" s="34"/>
      <c r="AD227" s="34"/>
      <c r="AE227" s="34"/>
      <c r="AF227" s="34"/>
      <c r="AG227" s="34"/>
      <c r="AI227" s="35">
        <v>224</v>
      </c>
      <c r="AJ227" s="35">
        <v>197</v>
      </c>
      <c r="AK227" s="17">
        <v>196.4579234</v>
      </c>
      <c r="AV227" s="13">
        <f t="shared" si="14"/>
        <v>-0.27516578680203407</v>
      </c>
      <c r="BD227" s="35">
        <v>224</v>
      </c>
      <c r="BE227" s="35">
        <v>197</v>
      </c>
      <c r="BF227" s="17">
        <v>193.32770529999999</v>
      </c>
      <c r="BQ227" s="13">
        <f t="shared" si="15"/>
        <v>-1.8641089847715731</v>
      </c>
    </row>
    <row r="228" spans="1:69">
      <c r="A228" s="13">
        <v>225</v>
      </c>
      <c r="B228" s="13">
        <v>186</v>
      </c>
      <c r="C228" s="17">
        <v>142.0232408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>
        <f t="shared" si="12"/>
        <v>-23.643418924731186</v>
      </c>
      <c r="N228" s="13"/>
      <c r="O228" s="13">
        <v>225</v>
      </c>
      <c r="P228" s="13">
        <v>186</v>
      </c>
      <c r="Q228" s="17">
        <v>159.16273279999999</v>
      </c>
      <c r="R228" s="13"/>
      <c r="S228" s="13"/>
      <c r="T228" s="13"/>
      <c r="U228" s="13"/>
      <c r="V228" s="13"/>
      <c r="W228" s="13"/>
      <c r="X228" s="13"/>
      <c r="Y228" s="13"/>
      <c r="Z228" s="13"/>
      <c r="AA228" s="13">
        <f t="shared" si="13"/>
        <v>-14.428638279569906</v>
      </c>
      <c r="AB228" s="13"/>
      <c r="AC228" s="34"/>
      <c r="AD228" s="34"/>
      <c r="AE228" s="34"/>
      <c r="AF228" s="34"/>
      <c r="AG228" s="34"/>
      <c r="AI228" s="35">
        <v>225</v>
      </c>
      <c r="AJ228" s="35">
        <v>186</v>
      </c>
      <c r="AK228" s="17">
        <v>185.79010980000001</v>
      </c>
      <c r="AV228" s="13">
        <f t="shared" si="14"/>
        <v>-0.11284419354837816</v>
      </c>
      <c r="BD228" s="35">
        <v>225</v>
      </c>
      <c r="BE228" s="35">
        <v>186</v>
      </c>
      <c r="BF228" s="17">
        <v>182.82546629999999</v>
      </c>
      <c r="BQ228" s="13">
        <f t="shared" si="15"/>
        <v>-1.7067385483870989</v>
      </c>
    </row>
    <row r="229" spans="1:69">
      <c r="A229" s="13">
        <v>226</v>
      </c>
      <c r="B229" s="13">
        <v>208</v>
      </c>
      <c r="C229" s="17">
        <v>178.75366579999999</v>
      </c>
      <c r="D229" s="13"/>
      <c r="E229" s="13"/>
      <c r="F229" s="13"/>
      <c r="G229" s="13"/>
      <c r="H229" s="13"/>
      <c r="I229" s="13"/>
      <c r="J229" s="13"/>
      <c r="K229" s="13"/>
      <c r="L229" s="13"/>
      <c r="M229" s="13">
        <f t="shared" si="12"/>
        <v>-14.060737596153849</v>
      </c>
      <c r="N229" s="13"/>
      <c r="O229" s="13">
        <v>226</v>
      </c>
      <c r="P229" s="13">
        <v>208</v>
      </c>
      <c r="Q229" s="17">
        <v>197.68478920000001</v>
      </c>
      <c r="R229" s="13"/>
      <c r="S229" s="13"/>
      <c r="T229" s="13"/>
      <c r="U229" s="13"/>
      <c r="V229" s="13"/>
      <c r="W229" s="13"/>
      <c r="X229" s="13"/>
      <c r="Y229" s="13"/>
      <c r="Z229" s="13"/>
      <c r="AA229" s="13">
        <f t="shared" si="13"/>
        <v>-4.9592359615384556</v>
      </c>
      <c r="AB229" s="13"/>
      <c r="AC229" s="34"/>
      <c r="AD229" s="34"/>
      <c r="AE229" s="34"/>
      <c r="AF229" s="34"/>
      <c r="AG229" s="34"/>
      <c r="AI229" s="35">
        <v>226</v>
      </c>
      <c r="AJ229" s="35">
        <v>208</v>
      </c>
      <c r="AK229" s="17">
        <v>207.9833333</v>
      </c>
      <c r="AV229" s="13">
        <f t="shared" si="14"/>
        <v>-8.012836538462409E-3</v>
      </c>
      <c r="BD229" s="35">
        <v>226</v>
      </c>
      <c r="BE229" s="35">
        <v>208</v>
      </c>
      <c r="BF229" s="17">
        <v>207.33249430000001</v>
      </c>
      <c r="BQ229" s="13">
        <f t="shared" si="15"/>
        <v>-0.32091620192307158</v>
      </c>
    </row>
    <row r="230" spans="1:69">
      <c r="A230" s="13">
        <v>227</v>
      </c>
      <c r="B230" s="13">
        <v>39</v>
      </c>
      <c r="C230" s="17">
        <v>61.6007685358787</v>
      </c>
      <c r="D230" s="13"/>
      <c r="E230" s="13"/>
      <c r="F230" s="13"/>
      <c r="G230" s="13"/>
      <c r="H230" s="13"/>
      <c r="I230" s="13"/>
      <c r="J230" s="13"/>
      <c r="K230" s="13"/>
      <c r="L230" s="13"/>
      <c r="M230" s="13">
        <f t="shared" ref="M230:M293" si="16">((C230/B230)-1)*100</f>
        <v>57.950688553535137</v>
      </c>
      <c r="N230" s="13"/>
      <c r="O230" s="13">
        <v>227</v>
      </c>
      <c r="P230" s="13">
        <v>39</v>
      </c>
      <c r="Q230" s="17">
        <v>58.15871319</v>
      </c>
      <c r="R230" s="13"/>
      <c r="S230" s="13"/>
      <c r="T230" s="13"/>
      <c r="U230" s="13"/>
      <c r="V230" s="13"/>
      <c r="W230" s="13"/>
      <c r="X230" s="13"/>
      <c r="Y230" s="13"/>
      <c r="Z230" s="13"/>
      <c r="AA230" s="13">
        <f t="shared" si="13"/>
        <v>49.124905615384606</v>
      </c>
      <c r="AB230" s="13"/>
      <c r="AC230" s="34"/>
      <c r="AD230" s="34"/>
      <c r="AE230" s="34"/>
      <c r="AF230" s="34"/>
      <c r="AG230" s="34"/>
      <c r="AI230" s="35">
        <v>227</v>
      </c>
      <c r="AJ230" s="35">
        <v>39</v>
      </c>
      <c r="AK230" s="17">
        <v>39.807729700000003</v>
      </c>
      <c r="AV230" s="13">
        <f t="shared" si="14"/>
        <v>2.0711017948717991</v>
      </c>
      <c r="BD230" s="35">
        <v>227</v>
      </c>
      <c r="BE230" s="35">
        <v>39</v>
      </c>
      <c r="BF230" s="17">
        <v>45.148685700000001</v>
      </c>
      <c r="BQ230" s="13">
        <f t="shared" si="15"/>
        <v>15.765860769230766</v>
      </c>
    </row>
    <row r="231" spans="1:69">
      <c r="A231" s="13">
        <v>228</v>
      </c>
      <c r="B231" s="13">
        <v>14</v>
      </c>
      <c r="C231" s="17">
        <v>18.419239328499899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>
        <f t="shared" si="16"/>
        <v>31.565995203570708</v>
      </c>
      <c r="N231" s="13"/>
      <c r="O231" s="13">
        <v>228</v>
      </c>
      <c r="P231" s="13">
        <v>14</v>
      </c>
      <c r="Q231" s="17">
        <v>15.9932733286026</v>
      </c>
      <c r="R231" s="13"/>
      <c r="S231" s="13"/>
      <c r="T231" s="13"/>
      <c r="U231" s="13"/>
      <c r="V231" s="13"/>
      <c r="W231" s="13"/>
      <c r="X231" s="13"/>
      <c r="Y231" s="13"/>
      <c r="Z231" s="13"/>
      <c r="AA231" s="13">
        <f t="shared" si="13"/>
        <v>14.237666632875712</v>
      </c>
      <c r="AB231" s="13"/>
      <c r="AC231" s="34"/>
      <c r="AD231" s="34"/>
      <c r="AE231" s="34"/>
      <c r="AF231" s="34"/>
      <c r="AG231" s="34"/>
      <c r="AI231" s="35">
        <v>228</v>
      </c>
      <c r="AJ231" s="35">
        <v>14</v>
      </c>
      <c r="AK231" s="17">
        <v>14.30460714</v>
      </c>
      <c r="AV231" s="13">
        <f t="shared" si="14"/>
        <v>2.1757652857142817</v>
      </c>
      <c r="BD231" s="35">
        <v>228</v>
      </c>
      <c r="BE231" s="35">
        <v>14</v>
      </c>
      <c r="BF231" s="17">
        <v>16.32331563</v>
      </c>
      <c r="BQ231" s="13">
        <f t="shared" si="15"/>
        <v>16.595111642857141</v>
      </c>
    </row>
    <row r="232" spans="1:69">
      <c r="A232" s="13">
        <v>229</v>
      </c>
      <c r="B232" s="13">
        <v>94</v>
      </c>
      <c r="C232" s="17">
        <v>107.888876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>
        <f t="shared" si="16"/>
        <v>14.775399999999994</v>
      </c>
      <c r="N232" s="13"/>
      <c r="O232" s="13">
        <v>229</v>
      </c>
      <c r="P232" s="13">
        <v>94</v>
      </c>
      <c r="Q232" s="17">
        <v>104.1936664</v>
      </c>
      <c r="R232" s="13"/>
      <c r="S232" s="13"/>
      <c r="T232" s="13"/>
      <c r="U232" s="13"/>
      <c r="V232" s="13"/>
      <c r="W232" s="13"/>
      <c r="X232" s="13"/>
      <c r="Y232" s="13"/>
      <c r="Z232" s="13"/>
      <c r="AA232" s="13">
        <f t="shared" si="13"/>
        <v>10.844325957446799</v>
      </c>
      <c r="AB232" s="13"/>
      <c r="AC232" s="34"/>
      <c r="AD232" s="34"/>
      <c r="AE232" s="34"/>
      <c r="AF232" s="34"/>
      <c r="AG232" s="34"/>
      <c r="AI232" s="35">
        <v>229</v>
      </c>
      <c r="AJ232" s="35">
        <v>94</v>
      </c>
      <c r="AK232" s="17">
        <v>95.285107100000005</v>
      </c>
      <c r="AV232" s="13">
        <f t="shared" si="14"/>
        <v>1.3671352127659686</v>
      </c>
      <c r="BD232" s="35">
        <v>229</v>
      </c>
      <c r="BE232" s="35">
        <v>94</v>
      </c>
      <c r="BF232" s="17">
        <v>98.825651649999998</v>
      </c>
      <c r="BQ232" s="13">
        <f t="shared" si="15"/>
        <v>5.1336719680850962</v>
      </c>
    </row>
    <row r="233" spans="1:69">
      <c r="A233" s="13">
        <v>230</v>
      </c>
      <c r="B233" s="13">
        <v>135</v>
      </c>
      <c r="C233" s="17">
        <v>128.12410389999999</v>
      </c>
      <c r="D233" s="13"/>
      <c r="E233" s="13"/>
      <c r="F233" s="13"/>
      <c r="G233" s="13"/>
      <c r="H233" s="13"/>
      <c r="I233" s="13"/>
      <c r="J233" s="13"/>
      <c r="K233" s="13"/>
      <c r="L233" s="13"/>
      <c r="M233" s="13">
        <f t="shared" si="16"/>
        <v>-5.0932563703703693</v>
      </c>
      <c r="N233" s="13"/>
      <c r="O233" s="13">
        <v>230</v>
      </c>
      <c r="P233" s="13">
        <v>135</v>
      </c>
      <c r="Q233" s="17">
        <v>135.09781369999999</v>
      </c>
      <c r="R233" s="13"/>
      <c r="S233" s="13"/>
      <c r="T233" s="13"/>
      <c r="U233" s="13"/>
      <c r="V233" s="13"/>
      <c r="W233" s="13"/>
      <c r="X233" s="13"/>
      <c r="Y233" s="13"/>
      <c r="Z233" s="13"/>
      <c r="AA233" s="13">
        <f t="shared" si="13"/>
        <v>7.2454592592574585E-2</v>
      </c>
      <c r="AB233" s="13"/>
      <c r="AC233" s="34"/>
      <c r="AD233" s="34"/>
      <c r="AE233" s="34"/>
      <c r="AF233" s="34"/>
      <c r="AG233" s="34"/>
      <c r="AI233" s="35">
        <v>230</v>
      </c>
      <c r="AJ233" s="35">
        <v>135</v>
      </c>
      <c r="AK233" s="17">
        <v>134.82661340000001</v>
      </c>
      <c r="AV233" s="13">
        <f t="shared" si="14"/>
        <v>-0.1284345185185054</v>
      </c>
      <c r="BD233" s="35">
        <v>230</v>
      </c>
      <c r="BE233" s="35">
        <v>135</v>
      </c>
      <c r="BF233" s="17">
        <v>135.03260499999999</v>
      </c>
      <c r="BQ233" s="13">
        <f t="shared" si="15"/>
        <v>2.4151851851850203E-2</v>
      </c>
    </row>
    <row r="234" spans="1:69">
      <c r="A234" s="13">
        <v>231</v>
      </c>
      <c r="B234" s="13">
        <v>179</v>
      </c>
      <c r="C234" s="17">
        <v>146.97335290000001</v>
      </c>
      <c r="D234" s="13"/>
      <c r="E234" s="13"/>
      <c r="F234" s="13"/>
      <c r="G234" s="13"/>
      <c r="H234" s="13"/>
      <c r="I234" s="13"/>
      <c r="J234" s="13"/>
      <c r="K234" s="13"/>
      <c r="L234" s="13"/>
      <c r="M234" s="13">
        <f t="shared" si="16"/>
        <v>-17.891981620111729</v>
      </c>
      <c r="N234" s="13"/>
      <c r="O234" s="13">
        <v>231</v>
      </c>
      <c r="P234" s="13">
        <v>179</v>
      </c>
      <c r="Q234" s="17">
        <v>160.0833222</v>
      </c>
      <c r="R234" s="13"/>
      <c r="S234" s="13"/>
      <c r="T234" s="13"/>
      <c r="U234" s="13"/>
      <c r="V234" s="13"/>
      <c r="W234" s="13"/>
      <c r="X234" s="13"/>
      <c r="Y234" s="13"/>
      <c r="Z234" s="13"/>
      <c r="AA234" s="13">
        <f t="shared" si="13"/>
        <v>-10.567976424581005</v>
      </c>
      <c r="AB234" s="13"/>
      <c r="AC234" s="34"/>
      <c r="AD234" s="34"/>
      <c r="AE234" s="34"/>
      <c r="AF234" s="34"/>
      <c r="AG234" s="34"/>
      <c r="AI234" s="35">
        <v>231</v>
      </c>
      <c r="AJ234" s="35">
        <v>179</v>
      </c>
      <c r="AK234" s="17">
        <v>177.3527133</v>
      </c>
      <c r="AV234" s="13">
        <f t="shared" si="14"/>
        <v>-0.92027189944133836</v>
      </c>
      <c r="BD234" s="35">
        <v>231</v>
      </c>
      <c r="BE234" s="35">
        <v>179</v>
      </c>
      <c r="BF234" s="17">
        <v>170.43507439999999</v>
      </c>
      <c r="BQ234" s="13">
        <f t="shared" si="15"/>
        <v>-4.7848746368715167</v>
      </c>
    </row>
    <row r="235" spans="1:69">
      <c r="A235" s="13">
        <v>232</v>
      </c>
      <c r="B235" s="13">
        <v>151</v>
      </c>
      <c r="C235" s="17">
        <v>124.46270079999999</v>
      </c>
      <c r="D235" s="13"/>
      <c r="E235" s="13"/>
      <c r="F235" s="13"/>
      <c r="G235" s="13"/>
      <c r="H235" s="13"/>
      <c r="I235" s="13"/>
      <c r="J235" s="13"/>
      <c r="K235" s="13"/>
      <c r="L235" s="13"/>
      <c r="M235" s="13">
        <f t="shared" si="16"/>
        <v>-17.574370331125834</v>
      </c>
      <c r="N235" s="13"/>
      <c r="O235" s="13">
        <v>232</v>
      </c>
      <c r="P235" s="13">
        <v>151</v>
      </c>
      <c r="Q235" s="17">
        <v>131.0518141</v>
      </c>
      <c r="R235" s="13"/>
      <c r="S235" s="13"/>
      <c r="T235" s="13"/>
      <c r="U235" s="13"/>
      <c r="V235" s="13"/>
      <c r="W235" s="13"/>
      <c r="X235" s="13"/>
      <c r="Y235" s="13"/>
      <c r="Z235" s="13"/>
      <c r="AA235" s="13">
        <f t="shared" si="13"/>
        <v>-13.210719139072847</v>
      </c>
      <c r="AB235" s="13"/>
      <c r="AC235" s="34"/>
      <c r="AD235" s="34"/>
      <c r="AE235" s="34"/>
      <c r="AF235" s="34"/>
      <c r="AG235" s="34"/>
      <c r="AI235" s="35">
        <v>232</v>
      </c>
      <c r="AJ235" s="35">
        <v>151</v>
      </c>
      <c r="AK235" s="17">
        <v>148.991118</v>
      </c>
      <c r="AV235" s="13">
        <f t="shared" si="14"/>
        <v>-1.3303854304635765</v>
      </c>
      <c r="BD235" s="35">
        <v>232</v>
      </c>
      <c r="BE235" s="35">
        <v>151</v>
      </c>
      <c r="BF235" s="17">
        <v>141.48843160000001</v>
      </c>
      <c r="BQ235" s="13">
        <f t="shared" si="15"/>
        <v>-6.2990519205297968</v>
      </c>
    </row>
    <row r="236" spans="1:69">
      <c r="A236" s="13">
        <v>233</v>
      </c>
      <c r="B236" s="13">
        <v>136</v>
      </c>
      <c r="C236" s="17">
        <v>112.8157598</v>
      </c>
      <c r="D236" s="13"/>
      <c r="E236" s="13"/>
      <c r="F236" s="13"/>
      <c r="G236" s="13"/>
      <c r="H236" s="13"/>
      <c r="I236" s="13"/>
      <c r="J236" s="13"/>
      <c r="K236" s="13"/>
      <c r="L236" s="13"/>
      <c r="M236" s="13">
        <f t="shared" si="16"/>
        <v>-17.047235441176479</v>
      </c>
      <c r="N236" s="13"/>
      <c r="O236" s="13">
        <v>233</v>
      </c>
      <c r="P236" s="13">
        <v>136</v>
      </c>
      <c r="Q236" s="17">
        <v>118.479181</v>
      </c>
      <c r="R236" s="13"/>
      <c r="S236" s="13"/>
      <c r="T236" s="13"/>
      <c r="U236" s="13"/>
      <c r="V236" s="13"/>
      <c r="W236" s="13"/>
      <c r="X236" s="13"/>
      <c r="Y236" s="13"/>
      <c r="Z236" s="13"/>
      <c r="AA236" s="13">
        <f t="shared" si="13"/>
        <v>-12.882955147058828</v>
      </c>
      <c r="AB236" s="13"/>
      <c r="AC236" s="34"/>
      <c r="AD236" s="34"/>
      <c r="AE236" s="34"/>
      <c r="AF236" s="34"/>
      <c r="AG236" s="34"/>
      <c r="AI236" s="35">
        <v>233</v>
      </c>
      <c r="AJ236" s="35">
        <v>136</v>
      </c>
      <c r="AK236" s="17">
        <v>133.31282680000001</v>
      </c>
      <c r="AV236" s="13">
        <f t="shared" si="14"/>
        <v>-1.9758626470588125</v>
      </c>
      <c r="BD236" s="35">
        <v>233</v>
      </c>
      <c r="BE236" s="35">
        <v>136</v>
      </c>
      <c r="BF236" s="17">
        <v>124.135093</v>
      </c>
      <c r="BQ236" s="13">
        <f t="shared" si="15"/>
        <v>-8.7241963235294087</v>
      </c>
    </row>
    <row r="237" spans="1:69">
      <c r="A237" s="13">
        <v>234</v>
      </c>
      <c r="B237" s="13">
        <v>180</v>
      </c>
      <c r="C237" s="17">
        <v>163.34662399999999</v>
      </c>
      <c r="D237" s="13"/>
      <c r="E237" s="13"/>
      <c r="F237" s="13"/>
      <c r="G237" s="13"/>
      <c r="H237" s="13"/>
      <c r="I237" s="13"/>
      <c r="J237" s="13"/>
      <c r="K237" s="13"/>
      <c r="L237" s="13"/>
      <c r="M237" s="13">
        <f t="shared" si="16"/>
        <v>-9.2518755555555554</v>
      </c>
      <c r="N237" s="13"/>
      <c r="O237" s="13">
        <v>234</v>
      </c>
      <c r="P237" s="13">
        <v>180</v>
      </c>
      <c r="Q237" s="17">
        <v>179.22198879999999</v>
      </c>
      <c r="R237" s="13"/>
      <c r="S237" s="13"/>
      <c r="T237" s="13"/>
      <c r="U237" s="13"/>
      <c r="V237" s="13"/>
      <c r="W237" s="13"/>
      <c r="X237" s="13"/>
      <c r="Y237" s="13"/>
      <c r="Z237" s="13"/>
      <c r="AA237" s="13">
        <f t="shared" si="13"/>
        <v>-0.43222844444444908</v>
      </c>
      <c r="AB237" s="13"/>
      <c r="AC237" s="34"/>
      <c r="AD237" s="34"/>
      <c r="AE237" s="34"/>
      <c r="AF237" s="34"/>
      <c r="AG237" s="34"/>
      <c r="AI237" s="35">
        <v>234</v>
      </c>
      <c r="AJ237" s="35">
        <v>180</v>
      </c>
      <c r="AK237" s="17">
        <v>179.90198760000001</v>
      </c>
      <c r="AV237" s="13">
        <f t="shared" si="14"/>
        <v>-5.4451333333327412E-2</v>
      </c>
      <c r="BD237" s="35">
        <v>234</v>
      </c>
      <c r="BE237" s="35">
        <v>180</v>
      </c>
      <c r="BF237" s="17">
        <v>180.1032793</v>
      </c>
      <c r="BQ237" s="13">
        <f t="shared" si="15"/>
        <v>5.7377388888890657E-2</v>
      </c>
    </row>
    <row r="238" spans="1:69">
      <c r="A238" s="13">
        <v>235</v>
      </c>
      <c r="B238" s="13">
        <v>16</v>
      </c>
      <c r="C238" s="17">
        <v>22.610820454630701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>
        <f t="shared" si="16"/>
        <v>41.317627841441883</v>
      </c>
      <c r="N238" s="13"/>
      <c r="O238" s="13">
        <v>235</v>
      </c>
      <c r="P238" s="13">
        <v>16</v>
      </c>
      <c r="Q238" s="17">
        <v>17.6443377149645</v>
      </c>
      <c r="R238" s="13"/>
      <c r="S238" s="13"/>
      <c r="T238" s="13"/>
      <c r="U238" s="13"/>
      <c r="V238" s="13"/>
      <c r="W238" s="13"/>
      <c r="X238" s="13"/>
      <c r="Y238" s="13"/>
      <c r="Z238" s="13"/>
      <c r="AA238" s="13">
        <f t="shared" si="13"/>
        <v>10.277110718528126</v>
      </c>
      <c r="AB238" s="13"/>
      <c r="AC238" s="34"/>
      <c r="AD238" s="34"/>
      <c r="AE238" s="34"/>
      <c r="AF238" s="34"/>
      <c r="AG238" s="34"/>
      <c r="AI238" s="35">
        <v>235</v>
      </c>
      <c r="AJ238" s="35">
        <v>16</v>
      </c>
      <c r="AK238" s="17">
        <v>15.994999999999999</v>
      </c>
      <c r="AV238" s="13">
        <f t="shared" si="14"/>
        <v>-3.1250000000004885E-2</v>
      </c>
      <c r="BD238" s="35">
        <v>235</v>
      </c>
      <c r="BE238" s="35">
        <v>16</v>
      </c>
      <c r="BF238" s="17">
        <v>16.608940140000001</v>
      </c>
      <c r="BQ238" s="13">
        <f t="shared" si="15"/>
        <v>3.8058758750000088</v>
      </c>
    </row>
    <row r="239" spans="1:69">
      <c r="A239" s="13">
        <v>236</v>
      </c>
      <c r="B239" s="13">
        <v>23</v>
      </c>
      <c r="C239" s="17">
        <v>30.157265745636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>
        <f t="shared" si="16"/>
        <v>31.118546720156527</v>
      </c>
      <c r="N239" s="13"/>
      <c r="O239" s="13">
        <v>236</v>
      </c>
      <c r="P239" s="13">
        <v>23</v>
      </c>
      <c r="Q239" s="17">
        <v>35.769193792555903</v>
      </c>
      <c r="R239" s="13"/>
      <c r="S239" s="13"/>
      <c r="T239" s="13"/>
      <c r="U239" s="13"/>
      <c r="V239" s="13"/>
      <c r="W239" s="13"/>
      <c r="X239" s="13"/>
      <c r="Y239" s="13"/>
      <c r="Z239" s="13"/>
      <c r="AA239" s="13">
        <f t="shared" si="13"/>
        <v>55.518233880677847</v>
      </c>
      <c r="AB239" s="13"/>
      <c r="AC239" s="34"/>
      <c r="AD239" s="34"/>
      <c r="AE239" s="34"/>
      <c r="AF239" s="34"/>
      <c r="AG239" s="34"/>
      <c r="AI239" s="35">
        <v>236</v>
      </c>
      <c r="AJ239" s="35">
        <v>23</v>
      </c>
      <c r="AK239" s="17">
        <v>23.708124179999999</v>
      </c>
      <c r="AV239" s="13">
        <f t="shared" si="14"/>
        <v>3.0788007826086927</v>
      </c>
      <c r="BD239" s="35">
        <v>236</v>
      </c>
      <c r="BE239" s="35">
        <v>23</v>
      </c>
      <c r="BF239" s="17">
        <v>28.785123980000002</v>
      </c>
      <c r="BQ239" s="13">
        <f t="shared" si="15"/>
        <v>25.15271295652175</v>
      </c>
    </row>
    <row r="240" spans="1:69">
      <c r="A240" s="13">
        <v>237</v>
      </c>
      <c r="B240" s="13">
        <v>77</v>
      </c>
      <c r="C240" s="17">
        <v>101.2293459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13">
        <f t="shared" si="16"/>
        <v>31.466682987012984</v>
      </c>
      <c r="N240" s="13"/>
      <c r="O240" s="13">
        <v>237</v>
      </c>
      <c r="P240" s="13">
        <v>77</v>
      </c>
      <c r="Q240" s="17">
        <v>90.964327999999995</v>
      </c>
      <c r="R240" s="13"/>
      <c r="S240" s="13"/>
      <c r="T240" s="13"/>
      <c r="U240" s="13"/>
      <c r="V240" s="13"/>
      <c r="W240" s="13"/>
      <c r="X240" s="13"/>
      <c r="Y240" s="13"/>
      <c r="Z240" s="13"/>
      <c r="AA240" s="13">
        <f t="shared" si="13"/>
        <v>18.135490909090901</v>
      </c>
      <c r="AB240" s="13"/>
      <c r="AC240" s="34"/>
      <c r="AD240" s="34"/>
      <c r="AE240" s="34"/>
      <c r="AF240" s="34"/>
      <c r="AG240" s="34"/>
      <c r="AI240" s="35">
        <v>237</v>
      </c>
      <c r="AJ240" s="35">
        <v>77</v>
      </c>
      <c r="AK240" s="17">
        <v>78.548596140000001</v>
      </c>
      <c r="AV240" s="13">
        <f t="shared" si="14"/>
        <v>2.011163818181827</v>
      </c>
      <c r="BD240" s="35">
        <v>237</v>
      </c>
      <c r="BE240" s="35">
        <v>77</v>
      </c>
      <c r="BF240" s="17">
        <v>83.570630969999996</v>
      </c>
      <c r="BQ240" s="13">
        <f t="shared" si="15"/>
        <v>8.5332869740259767</v>
      </c>
    </row>
    <row r="241" spans="1:69">
      <c r="A241" s="13">
        <v>238</v>
      </c>
      <c r="B241" s="13">
        <v>160</v>
      </c>
      <c r="C241" s="17">
        <v>132.6425691</v>
      </c>
      <c r="D241" s="13"/>
      <c r="E241" s="13"/>
      <c r="F241" s="13"/>
      <c r="G241" s="13"/>
      <c r="H241" s="13"/>
      <c r="I241" s="13"/>
      <c r="J241" s="13"/>
      <c r="K241" s="13"/>
      <c r="L241" s="13"/>
      <c r="M241" s="13">
        <f t="shared" si="16"/>
        <v>-17.098394312499998</v>
      </c>
      <c r="N241" s="13"/>
      <c r="O241" s="13">
        <v>238</v>
      </c>
      <c r="P241" s="13">
        <v>160</v>
      </c>
      <c r="Q241" s="17">
        <v>140.33984129999999</v>
      </c>
      <c r="R241" s="13"/>
      <c r="S241" s="13"/>
      <c r="T241" s="13"/>
      <c r="U241" s="13"/>
      <c r="V241" s="13"/>
      <c r="W241" s="13"/>
      <c r="X241" s="13"/>
      <c r="Y241" s="13"/>
      <c r="Z241" s="13"/>
      <c r="AA241" s="13">
        <f t="shared" si="13"/>
        <v>-12.287599187500009</v>
      </c>
      <c r="AB241" s="13"/>
      <c r="AC241" s="34"/>
      <c r="AD241" s="34"/>
      <c r="AE241" s="34"/>
      <c r="AF241" s="34"/>
      <c r="AG241" s="34"/>
      <c r="AI241" s="35">
        <v>238</v>
      </c>
      <c r="AJ241" s="35">
        <v>160</v>
      </c>
      <c r="AK241" s="17">
        <v>157.0134797</v>
      </c>
      <c r="AV241" s="13">
        <f t="shared" si="14"/>
        <v>-1.866575187499997</v>
      </c>
      <c r="BD241" s="35">
        <v>238</v>
      </c>
      <c r="BE241" s="35">
        <v>160</v>
      </c>
      <c r="BF241" s="17">
        <v>147.29457550000001</v>
      </c>
      <c r="BQ241" s="13">
        <f t="shared" si="15"/>
        <v>-7.9408903124999934</v>
      </c>
    </row>
    <row r="242" spans="1:69">
      <c r="A242" s="13">
        <v>239</v>
      </c>
      <c r="B242" s="13">
        <v>126</v>
      </c>
      <c r="C242" s="17">
        <v>123.24721599999999</v>
      </c>
      <c r="D242" s="13"/>
      <c r="E242" s="13"/>
      <c r="F242" s="13"/>
      <c r="G242" s="13"/>
      <c r="H242" s="13"/>
      <c r="I242" s="13"/>
      <c r="J242" s="13"/>
      <c r="K242" s="13"/>
      <c r="L242" s="13"/>
      <c r="M242" s="13">
        <f t="shared" si="16"/>
        <v>-2.1847492063492124</v>
      </c>
      <c r="N242" s="13"/>
      <c r="O242" s="13">
        <v>239</v>
      </c>
      <c r="P242" s="13">
        <v>126</v>
      </c>
      <c r="Q242" s="17">
        <v>127.17830429999999</v>
      </c>
      <c r="R242" s="13"/>
      <c r="S242" s="13"/>
      <c r="T242" s="13"/>
      <c r="U242" s="13"/>
      <c r="V242" s="13"/>
      <c r="W242" s="13"/>
      <c r="X242" s="13"/>
      <c r="Y242" s="13"/>
      <c r="Z242" s="13"/>
      <c r="AA242" s="13">
        <f t="shared" si="13"/>
        <v>0.93516214285713772</v>
      </c>
      <c r="AB242" s="13"/>
      <c r="AC242" s="34"/>
      <c r="AD242" s="34"/>
      <c r="AE242" s="34"/>
      <c r="AF242" s="34"/>
      <c r="AG242" s="34"/>
      <c r="AI242" s="35">
        <v>239</v>
      </c>
      <c r="AJ242" s="35">
        <v>126</v>
      </c>
      <c r="AK242" s="17">
        <v>125.6902272</v>
      </c>
      <c r="AV242" s="13">
        <f t="shared" si="14"/>
        <v>-0.24585142857143083</v>
      </c>
      <c r="BD242" s="35">
        <v>239</v>
      </c>
      <c r="BE242" s="35">
        <v>126</v>
      </c>
      <c r="BF242" s="17">
        <v>126.7962381</v>
      </c>
      <c r="BQ242" s="13">
        <f t="shared" si="15"/>
        <v>0.63193500000000569</v>
      </c>
    </row>
    <row r="243" spans="1:69">
      <c r="A243" s="13">
        <v>240</v>
      </c>
      <c r="B243" s="13">
        <v>145</v>
      </c>
      <c r="C243" s="17">
        <v>138.81890430000001</v>
      </c>
      <c r="D243" s="13"/>
      <c r="E243" s="13"/>
      <c r="F243" s="13"/>
      <c r="G243" s="13"/>
      <c r="H243" s="13"/>
      <c r="I243" s="13"/>
      <c r="J243" s="13"/>
      <c r="K243" s="13"/>
      <c r="L243" s="13"/>
      <c r="M243" s="13">
        <f t="shared" si="16"/>
        <v>-4.2628246206896421</v>
      </c>
      <c r="N243" s="13"/>
      <c r="O243" s="13">
        <v>240</v>
      </c>
      <c r="P243" s="13">
        <v>145</v>
      </c>
      <c r="Q243" s="17">
        <v>146.34805539999999</v>
      </c>
      <c r="R243" s="13"/>
      <c r="S243" s="13"/>
      <c r="T243" s="13"/>
      <c r="U243" s="13"/>
      <c r="V243" s="13"/>
      <c r="W243" s="13"/>
      <c r="X243" s="13"/>
      <c r="Y243" s="13"/>
      <c r="Z243" s="13"/>
      <c r="AA243" s="13">
        <f t="shared" si="13"/>
        <v>0.9296933793103479</v>
      </c>
      <c r="AB243" s="13"/>
      <c r="AC243" s="34"/>
      <c r="AD243" s="34"/>
      <c r="AE243" s="34"/>
      <c r="AF243" s="34"/>
      <c r="AG243" s="34"/>
      <c r="AI243" s="35">
        <v>240</v>
      </c>
      <c r="AJ243" s="35">
        <v>145</v>
      </c>
      <c r="AK243" s="17">
        <v>145.47737849999999</v>
      </c>
      <c r="AV243" s="13">
        <f t="shared" si="14"/>
        <v>0.32922655172413773</v>
      </c>
      <c r="BD243" s="35">
        <v>240</v>
      </c>
      <c r="BE243" s="35">
        <v>145</v>
      </c>
      <c r="BF243" s="17">
        <v>145.93140589999999</v>
      </c>
      <c r="BQ243" s="13">
        <f t="shared" si="15"/>
        <v>0.64234889655172545</v>
      </c>
    </row>
    <row r="244" spans="1:69">
      <c r="A244" s="13">
        <v>241</v>
      </c>
      <c r="B244" s="13">
        <v>173</v>
      </c>
      <c r="C244" s="17">
        <v>158.93797760000001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>
        <f t="shared" si="16"/>
        <v>-8.1283366473988377</v>
      </c>
      <c r="N244" s="13"/>
      <c r="O244" s="13">
        <v>241</v>
      </c>
      <c r="P244" s="13">
        <v>173</v>
      </c>
      <c r="Q244" s="17">
        <v>170.57347820000001</v>
      </c>
      <c r="R244" s="13"/>
      <c r="S244" s="13"/>
      <c r="T244" s="13"/>
      <c r="U244" s="13"/>
      <c r="V244" s="13"/>
      <c r="W244" s="13"/>
      <c r="X244" s="13"/>
      <c r="Y244" s="13"/>
      <c r="Z244" s="13"/>
      <c r="AA244" s="13">
        <f t="shared" si="13"/>
        <v>-1.4026137572254238</v>
      </c>
      <c r="AB244" s="13"/>
      <c r="AC244" s="34"/>
      <c r="AD244" s="34"/>
      <c r="AE244" s="34"/>
      <c r="AF244" s="34"/>
      <c r="AG244" s="34"/>
      <c r="AI244" s="35">
        <v>241</v>
      </c>
      <c r="AJ244" s="35">
        <v>173</v>
      </c>
      <c r="AK244" s="17">
        <v>173.01386669999999</v>
      </c>
      <c r="AV244" s="13">
        <f t="shared" si="14"/>
        <v>8.0154335259985388E-3</v>
      </c>
      <c r="BD244" s="35">
        <v>241</v>
      </c>
      <c r="BE244" s="35">
        <v>173</v>
      </c>
      <c r="BF244" s="17">
        <v>173.34040999999999</v>
      </c>
      <c r="BQ244" s="13">
        <f t="shared" si="15"/>
        <v>0.19676878612715498</v>
      </c>
    </row>
    <row r="245" spans="1:69">
      <c r="A245" s="13">
        <v>242</v>
      </c>
      <c r="B245" s="13">
        <v>68</v>
      </c>
      <c r="C245" s="17">
        <v>99.803153300000005</v>
      </c>
      <c r="D245" s="13"/>
      <c r="E245" s="13"/>
      <c r="F245" s="13"/>
      <c r="G245" s="13"/>
      <c r="H245" s="13"/>
      <c r="I245" s="13"/>
      <c r="J245" s="13"/>
      <c r="K245" s="13"/>
      <c r="L245" s="13"/>
      <c r="M245" s="13">
        <f t="shared" si="16"/>
        <v>46.769343088235303</v>
      </c>
      <c r="N245" s="13"/>
      <c r="O245" s="13">
        <v>242</v>
      </c>
      <c r="P245" s="13">
        <v>68</v>
      </c>
      <c r="Q245" s="17">
        <v>88.645882650000004</v>
      </c>
      <c r="R245" s="13"/>
      <c r="S245" s="13"/>
      <c r="T245" s="13"/>
      <c r="U245" s="13"/>
      <c r="V245" s="13"/>
      <c r="W245" s="13"/>
      <c r="X245" s="13"/>
      <c r="Y245" s="13"/>
      <c r="Z245" s="13"/>
      <c r="AA245" s="13">
        <f t="shared" si="13"/>
        <v>30.361592132352943</v>
      </c>
      <c r="AB245" s="13"/>
      <c r="AC245" s="34"/>
      <c r="AD245" s="34"/>
      <c r="AE245" s="34"/>
      <c r="AF245" s="34"/>
      <c r="AG245" s="34"/>
      <c r="AI245" s="35">
        <v>242</v>
      </c>
      <c r="AJ245" s="35">
        <v>68</v>
      </c>
      <c r="AK245" s="17">
        <v>68.382895239999996</v>
      </c>
      <c r="AV245" s="13">
        <f t="shared" si="14"/>
        <v>0.56308123529411613</v>
      </c>
      <c r="BD245" s="35">
        <v>242</v>
      </c>
      <c r="BE245" s="35">
        <v>68</v>
      </c>
      <c r="BF245" s="17">
        <v>71.272080459999998</v>
      </c>
      <c r="BQ245" s="13">
        <f t="shared" si="15"/>
        <v>4.8118830294117565</v>
      </c>
    </row>
    <row r="246" spans="1:69">
      <c r="A246" s="13">
        <v>243</v>
      </c>
      <c r="B246" s="13">
        <v>59</v>
      </c>
      <c r="C246" s="17">
        <v>66.658555300000003</v>
      </c>
      <c r="D246" s="13"/>
      <c r="E246" s="13"/>
      <c r="F246" s="13"/>
      <c r="G246" s="13"/>
      <c r="H246" s="13"/>
      <c r="I246" s="13"/>
      <c r="J246" s="13"/>
      <c r="K246" s="13"/>
      <c r="L246" s="13"/>
      <c r="M246" s="13">
        <f t="shared" si="16"/>
        <v>12.980602203389836</v>
      </c>
      <c r="N246" s="13"/>
      <c r="O246" s="13">
        <v>243</v>
      </c>
      <c r="P246" s="13">
        <v>59</v>
      </c>
      <c r="Q246" s="17">
        <v>56.07170679</v>
      </c>
      <c r="R246" s="13"/>
      <c r="S246" s="13"/>
      <c r="T246" s="13"/>
      <c r="U246" s="13"/>
      <c r="V246" s="13"/>
      <c r="W246" s="13"/>
      <c r="X246" s="13"/>
      <c r="Y246" s="13"/>
      <c r="Z246" s="13"/>
      <c r="AA246" s="13">
        <f t="shared" si="13"/>
        <v>-4.9632088305084698</v>
      </c>
      <c r="AB246" s="13"/>
      <c r="AC246" s="34"/>
      <c r="AD246" s="34"/>
      <c r="AE246" s="34"/>
      <c r="AF246" s="34"/>
      <c r="AG246" s="34"/>
      <c r="AI246" s="35">
        <v>243</v>
      </c>
      <c r="AJ246" s="35">
        <v>59</v>
      </c>
      <c r="AK246" s="17">
        <v>58.438480890000001</v>
      </c>
      <c r="AV246" s="13">
        <f t="shared" si="14"/>
        <v>-0.95172730508474856</v>
      </c>
      <c r="BD246" s="35">
        <v>243</v>
      </c>
      <c r="BE246" s="35">
        <v>59</v>
      </c>
      <c r="BF246" s="17">
        <v>57.495948589999998</v>
      </c>
      <c r="BQ246" s="13">
        <f t="shared" si="15"/>
        <v>-2.5492396779661086</v>
      </c>
    </row>
    <row r="247" spans="1:69">
      <c r="A247" s="13">
        <v>244</v>
      </c>
      <c r="B247" s="13">
        <v>191</v>
      </c>
      <c r="C247" s="17">
        <v>165.8326581</v>
      </c>
      <c r="D247" s="13"/>
      <c r="E247" s="13"/>
      <c r="F247" s="13"/>
      <c r="G247" s="13"/>
      <c r="H247" s="13"/>
      <c r="I247" s="13"/>
      <c r="J247" s="13"/>
      <c r="K247" s="13"/>
      <c r="L247" s="13"/>
      <c r="M247" s="13">
        <f t="shared" si="16"/>
        <v>-13.176618795811512</v>
      </c>
      <c r="N247" s="13"/>
      <c r="O247" s="13">
        <v>244</v>
      </c>
      <c r="P247" s="13">
        <v>191</v>
      </c>
      <c r="Q247" s="17">
        <v>181.49533310000001</v>
      </c>
      <c r="R247" s="13"/>
      <c r="S247" s="13"/>
      <c r="T247" s="13"/>
      <c r="U247" s="13"/>
      <c r="V247" s="13"/>
      <c r="W247" s="13"/>
      <c r="X247" s="13"/>
      <c r="Y247" s="13"/>
      <c r="Z247" s="13"/>
      <c r="AA247" s="13">
        <f t="shared" si="13"/>
        <v>-4.9762653926701539</v>
      </c>
      <c r="AB247" s="13"/>
      <c r="AC247" s="34"/>
      <c r="AD247" s="34"/>
      <c r="AE247" s="34"/>
      <c r="AF247" s="34"/>
      <c r="AG247" s="34"/>
      <c r="AI247" s="35">
        <v>244</v>
      </c>
      <c r="AJ247" s="35">
        <v>191</v>
      </c>
      <c r="AK247" s="17">
        <v>190.7040557</v>
      </c>
      <c r="AV247" s="13">
        <f t="shared" si="14"/>
        <v>-0.1549446596858628</v>
      </c>
      <c r="BD247" s="35">
        <v>244</v>
      </c>
      <c r="BE247" s="35">
        <v>191</v>
      </c>
      <c r="BF247" s="17">
        <v>188.6142993</v>
      </c>
      <c r="BQ247" s="13">
        <f t="shared" si="15"/>
        <v>-1.2490579581151851</v>
      </c>
    </row>
    <row r="248" spans="1:69">
      <c r="A248" s="13">
        <v>245</v>
      </c>
      <c r="B248" s="13">
        <v>35</v>
      </c>
      <c r="C248" s="17">
        <v>32.390205176298501</v>
      </c>
      <c r="D248" s="13"/>
      <c r="E248" s="13"/>
      <c r="F248" s="13"/>
      <c r="G248" s="13"/>
      <c r="H248" s="13"/>
      <c r="I248" s="13"/>
      <c r="J248" s="13"/>
      <c r="K248" s="13"/>
      <c r="L248" s="13"/>
      <c r="M248" s="13">
        <f t="shared" si="16"/>
        <v>-7.4565566391471378</v>
      </c>
      <c r="N248" s="13"/>
      <c r="O248" s="13">
        <v>245</v>
      </c>
      <c r="P248" s="13">
        <v>35</v>
      </c>
      <c r="Q248" s="17">
        <v>50.389088790000002</v>
      </c>
      <c r="R248" s="13"/>
      <c r="S248" s="13"/>
      <c r="T248" s="13"/>
      <c r="U248" s="13"/>
      <c r="V248" s="13"/>
      <c r="W248" s="13"/>
      <c r="X248" s="13"/>
      <c r="Y248" s="13"/>
      <c r="Z248" s="13"/>
      <c r="AA248" s="13">
        <f t="shared" si="13"/>
        <v>43.968825114285728</v>
      </c>
      <c r="AB248" s="13"/>
      <c r="AC248" s="34"/>
      <c r="AD248" s="34"/>
      <c r="AE248" s="34"/>
      <c r="AF248" s="34"/>
      <c r="AG248" s="34"/>
      <c r="AI248" s="35">
        <v>245</v>
      </c>
      <c r="AJ248" s="35">
        <v>35</v>
      </c>
      <c r="AK248" s="17">
        <v>35.607290900000002</v>
      </c>
      <c r="AV248" s="13">
        <f t="shared" si="14"/>
        <v>1.735116857142871</v>
      </c>
      <c r="BD248" s="35">
        <v>245</v>
      </c>
      <c r="BE248" s="35">
        <v>35</v>
      </c>
      <c r="BF248" s="17">
        <v>38.499055290000001</v>
      </c>
      <c r="BQ248" s="13">
        <f t="shared" si="15"/>
        <v>9.9973008285714435</v>
      </c>
    </row>
    <row r="249" spans="1:69">
      <c r="A249" s="13">
        <v>246</v>
      </c>
      <c r="B249" s="13">
        <v>132</v>
      </c>
      <c r="C249" s="17">
        <v>115.1608138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13">
        <f t="shared" si="16"/>
        <v>-12.756959242424237</v>
      </c>
      <c r="N249" s="13"/>
      <c r="O249" s="13">
        <v>246</v>
      </c>
      <c r="P249" s="13">
        <v>132</v>
      </c>
      <c r="Q249" s="17">
        <v>118.86687070000001</v>
      </c>
      <c r="R249" s="13"/>
      <c r="S249" s="13"/>
      <c r="T249" s="13"/>
      <c r="U249" s="13"/>
      <c r="V249" s="13"/>
      <c r="W249" s="13"/>
      <c r="X249" s="13"/>
      <c r="Y249" s="13"/>
      <c r="Z249" s="13"/>
      <c r="AA249" s="13">
        <f t="shared" si="13"/>
        <v>-9.9493403787878734</v>
      </c>
      <c r="AB249" s="13"/>
      <c r="AC249" s="34"/>
      <c r="AD249" s="34"/>
      <c r="AE249" s="34"/>
      <c r="AF249" s="34"/>
      <c r="AG249" s="34"/>
      <c r="AI249" s="35">
        <v>246</v>
      </c>
      <c r="AJ249" s="35">
        <v>132</v>
      </c>
      <c r="AK249" s="17">
        <v>130.78677039999999</v>
      </c>
      <c r="AV249" s="13">
        <f t="shared" si="14"/>
        <v>-0.91911333333333234</v>
      </c>
      <c r="BD249" s="35">
        <v>246</v>
      </c>
      <c r="BE249" s="35">
        <v>132</v>
      </c>
      <c r="BF249" s="17">
        <v>125.8547124</v>
      </c>
      <c r="BQ249" s="13">
        <f t="shared" si="15"/>
        <v>-4.6555209090909155</v>
      </c>
    </row>
    <row r="250" spans="1:69">
      <c r="A250" s="13">
        <v>247</v>
      </c>
      <c r="B250" s="13">
        <v>102</v>
      </c>
      <c r="C250" s="17">
        <v>115.085363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13">
        <f t="shared" si="16"/>
        <v>12.828787254901952</v>
      </c>
      <c r="N250" s="13"/>
      <c r="O250" s="13">
        <v>247</v>
      </c>
      <c r="P250" s="13">
        <v>102</v>
      </c>
      <c r="Q250" s="17">
        <v>112.4931715</v>
      </c>
      <c r="R250" s="13"/>
      <c r="S250" s="13"/>
      <c r="T250" s="13"/>
      <c r="U250" s="13"/>
      <c r="V250" s="13"/>
      <c r="W250" s="13"/>
      <c r="X250" s="13"/>
      <c r="Y250" s="13"/>
      <c r="Z250" s="13"/>
      <c r="AA250" s="13">
        <f t="shared" si="13"/>
        <v>10.287423039215682</v>
      </c>
      <c r="AB250" s="13"/>
      <c r="AC250" s="34"/>
      <c r="AD250" s="34"/>
      <c r="AE250" s="34"/>
      <c r="AF250" s="34"/>
      <c r="AG250" s="34"/>
      <c r="AI250" s="35">
        <v>247</v>
      </c>
      <c r="AJ250" s="35">
        <v>102</v>
      </c>
      <c r="AK250" s="17">
        <v>102.7803693</v>
      </c>
      <c r="AV250" s="13">
        <f t="shared" si="14"/>
        <v>0.76506794117647825</v>
      </c>
      <c r="BD250" s="35">
        <v>247</v>
      </c>
      <c r="BE250" s="35">
        <v>102</v>
      </c>
      <c r="BF250" s="17">
        <v>106.0350754</v>
      </c>
      <c r="BQ250" s="13">
        <f t="shared" si="15"/>
        <v>3.9559562745097976</v>
      </c>
    </row>
    <row r="251" spans="1:69">
      <c r="A251" s="13">
        <v>248</v>
      </c>
      <c r="B251" s="13">
        <v>41</v>
      </c>
      <c r="C251" s="17">
        <v>59.344431543782001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>
        <f t="shared" si="16"/>
        <v>44.742515960443896</v>
      </c>
      <c r="N251" s="13"/>
      <c r="O251" s="13">
        <v>248</v>
      </c>
      <c r="P251" s="13">
        <v>41</v>
      </c>
      <c r="Q251" s="17">
        <v>56.467943200000001</v>
      </c>
      <c r="R251" s="13"/>
      <c r="S251" s="13"/>
      <c r="T251" s="13"/>
      <c r="U251" s="13"/>
      <c r="V251" s="13"/>
      <c r="W251" s="13"/>
      <c r="X251" s="13"/>
      <c r="Y251" s="13"/>
      <c r="Z251" s="13"/>
      <c r="AA251" s="13">
        <f t="shared" si="13"/>
        <v>37.726690731707315</v>
      </c>
      <c r="AB251" s="13"/>
      <c r="AC251" s="34"/>
      <c r="AD251" s="34"/>
      <c r="AE251" s="34"/>
      <c r="AF251" s="34"/>
      <c r="AG251" s="34"/>
      <c r="AI251" s="35">
        <v>248</v>
      </c>
      <c r="AJ251" s="35">
        <v>41</v>
      </c>
      <c r="AK251" s="17">
        <v>42.333993419999999</v>
      </c>
      <c r="AV251" s="13">
        <f t="shared" si="14"/>
        <v>3.2536424878048642</v>
      </c>
      <c r="BD251" s="35">
        <v>248</v>
      </c>
      <c r="BE251" s="35">
        <v>41</v>
      </c>
      <c r="BF251" s="17">
        <v>46.113960159999998</v>
      </c>
      <c r="BQ251" s="13">
        <f t="shared" si="15"/>
        <v>12.4730735609756</v>
      </c>
    </row>
    <row r="252" spans="1:69">
      <c r="A252" s="13">
        <v>249</v>
      </c>
      <c r="B252" s="13">
        <v>13</v>
      </c>
      <c r="C252" s="17">
        <v>9.4462991921834103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>
        <f t="shared" si="16"/>
        <v>-27.336160060127611</v>
      </c>
      <c r="N252" s="13"/>
      <c r="O252" s="13">
        <v>249</v>
      </c>
      <c r="P252" s="13">
        <v>13</v>
      </c>
      <c r="Q252" s="17">
        <v>14.9717432370323</v>
      </c>
      <c r="R252" s="13"/>
      <c r="S252" s="13"/>
      <c r="T252" s="13"/>
      <c r="U252" s="13"/>
      <c r="V252" s="13"/>
      <c r="W252" s="13"/>
      <c r="X252" s="13"/>
      <c r="Y252" s="13"/>
      <c r="Z252" s="13"/>
      <c r="AA252" s="13">
        <f t="shared" si="13"/>
        <v>15.167255669479228</v>
      </c>
      <c r="AB252" s="13"/>
      <c r="AC252" s="34"/>
      <c r="AD252" s="34"/>
      <c r="AE252" s="34"/>
      <c r="AF252" s="34"/>
      <c r="AG252" s="34"/>
      <c r="AI252" s="35">
        <v>249</v>
      </c>
      <c r="AJ252" s="35">
        <v>13</v>
      </c>
      <c r="AK252" s="17">
        <v>13.053000000000001</v>
      </c>
      <c r="AV252" s="13">
        <f t="shared" si="14"/>
        <v>0.40769230769230891</v>
      </c>
      <c r="BD252" s="35">
        <v>249</v>
      </c>
      <c r="BE252" s="35">
        <v>13</v>
      </c>
      <c r="BF252" s="17">
        <v>15.77413196</v>
      </c>
      <c r="BQ252" s="13">
        <f t="shared" si="15"/>
        <v>21.339476615384623</v>
      </c>
    </row>
    <row r="253" spans="1:69">
      <c r="A253" s="13">
        <v>250</v>
      </c>
      <c r="B253" s="13">
        <v>66</v>
      </c>
      <c r="C253" s="17">
        <v>88.669352799999999</v>
      </c>
      <c r="D253" s="13"/>
      <c r="E253" s="13"/>
      <c r="F253" s="13"/>
      <c r="G253" s="13"/>
      <c r="H253" s="13"/>
      <c r="I253" s="13"/>
      <c r="J253" s="13"/>
      <c r="K253" s="13"/>
      <c r="L253" s="13"/>
      <c r="M253" s="13">
        <f t="shared" si="16"/>
        <v>34.347504242424229</v>
      </c>
      <c r="N253" s="13"/>
      <c r="O253" s="13">
        <v>250</v>
      </c>
      <c r="P253" s="13">
        <v>66</v>
      </c>
      <c r="Q253" s="17">
        <v>76.773709190000005</v>
      </c>
      <c r="R253" s="13"/>
      <c r="S253" s="13"/>
      <c r="T253" s="13"/>
      <c r="U253" s="13"/>
      <c r="V253" s="13"/>
      <c r="W253" s="13"/>
      <c r="X253" s="13"/>
      <c r="Y253" s="13"/>
      <c r="Z253" s="13"/>
      <c r="AA253" s="13">
        <f t="shared" si="13"/>
        <v>16.323801803030303</v>
      </c>
      <c r="AB253" s="13"/>
      <c r="AC253" s="34"/>
      <c r="AD253" s="34"/>
      <c r="AE253" s="34"/>
      <c r="AF253" s="34"/>
      <c r="AG253" s="34"/>
      <c r="AI253" s="35">
        <v>250</v>
      </c>
      <c r="AJ253" s="35">
        <v>66</v>
      </c>
      <c r="AK253" s="17">
        <v>66.578495079999996</v>
      </c>
      <c r="AV253" s="13">
        <f t="shared" si="14"/>
        <v>0.87650769696969721</v>
      </c>
      <c r="BD253" s="35">
        <v>250</v>
      </c>
      <c r="BE253" s="35">
        <v>66</v>
      </c>
      <c r="BF253" s="17">
        <v>67.521918670000005</v>
      </c>
      <c r="BQ253" s="13">
        <f t="shared" si="15"/>
        <v>2.3059373787878812</v>
      </c>
    </row>
    <row r="254" spans="1:69">
      <c r="A254" s="13">
        <v>251</v>
      </c>
      <c r="B254" s="13">
        <v>144</v>
      </c>
      <c r="C254" s="17">
        <v>137.9757017</v>
      </c>
      <c r="D254" s="13"/>
      <c r="E254" s="13"/>
      <c r="F254" s="13"/>
      <c r="G254" s="13"/>
      <c r="H254" s="13"/>
      <c r="I254" s="13"/>
      <c r="J254" s="13"/>
      <c r="K254" s="13"/>
      <c r="L254" s="13"/>
      <c r="M254" s="13">
        <f t="shared" si="16"/>
        <v>-4.1835404861111147</v>
      </c>
      <c r="N254" s="13"/>
      <c r="O254" s="13">
        <v>251</v>
      </c>
      <c r="P254" s="13">
        <v>144</v>
      </c>
      <c r="Q254" s="17">
        <v>142.0138341</v>
      </c>
      <c r="R254" s="13"/>
      <c r="S254" s="13"/>
      <c r="T254" s="13"/>
      <c r="U254" s="13"/>
      <c r="V254" s="13"/>
      <c r="W254" s="13"/>
      <c r="X254" s="13"/>
      <c r="Y254" s="13"/>
      <c r="Z254" s="13"/>
      <c r="AA254" s="13">
        <f t="shared" si="13"/>
        <v>-1.3792818750000047</v>
      </c>
      <c r="AB254" s="13"/>
      <c r="AC254" s="34"/>
      <c r="AD254" s="34"/>
      <c r="AE254" s="34"/>
      <c r="AF254" s="34"/>
      <c r="AG254" s="34"/>
      <c r="AI254" s="35">
        <v>251</v>
      </c>
      <c r="AJ254" s="35">
        <v>144</v>
      </c>
      <c r="AK254" s="17">
        <v>143.95016290000001</v>
      </c>
      <c r="AV254" s="13">
        <f t="shared" si="14"/>
        <v>-3.4609097222215723E-2</v>
      </c>
      <c r="BD254" s="35">
        <v>251</v>
      </c>
      <c r="BE254" s="35">
        <v>144</v>
      </c>
      <c r="BF254" s="17">
        <v>143.1111799</v>
      </c>
      <c r="BQ254" s="13">
        <f t="shared" si="15"/>
        <v>-0.61723618055555818</v>
      </c>
    </row>
    <row r="255" spans="1:69">
      <c r="A255" s="13">
        <v>252</v>
      </c>
      <c r="B255" s="13">
        <v>116</v>
      </c>
      <c r="C255" s="17">
        <v>102.4835999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>
        <f t="shared" si="16"/>
        <v>-11.652069051724133</v>
      </c>
      <c r="N255" s="13"/>
      <c r="O255" s="13">
        <v>252</v>
      </c>
      <c r="P255" s="13">
        <v>116</v>
      </c>
      <c r="Q255" s="17">
        <v>105.29180909999999</v>
      </c>
      <c r="R255" s="13"/>
      <c r="S255" s="13"/>
      <c r="T255" s="13"/>
      <c r="U255" s="13"/>
      <c r="V255" s="13"/>
      <c r="W255" s="13"/>
      <c r="X255" s="13"/>
      <c r="Y255" s="13"/>
      <c r="Z255" s="13"/>
      <c r="AA255" s="13">
        <f t="shared" si="13"/>
        <v>-9.2311990517241362</v>
      </c>
      <c r="AB255" s="13"/>
      <c r="AC255" s="34"/>
      <c r="AD255" s="34"/>
      <c r="AE255" s="34"/>
      <c r="AF255" s="34"/>
      <c r="AG255" s="34"/>
      <c r="AI255" s="35">
        <v>252</v>
      </c>
      <c r="AJ255" s="35">
        <v>116</v>
      </c>
      <c r="AK255" s="17">
        <v>114.2765967</v>
      </c>
      <c r="AV255" s="13">
        <f t="shared" si="14"/>
        <v>-1.4856925000000021</v>
      </c>
      <c r="BD255" s="35">
        <v>252</v>
      </c>
      <c r="BE255" s="35">
        <v>116</v>
      </c>
      <c r="BF255" s="17">
        <v>108.53468359999999</v>
      </c>
      <c r="BQ255" s="13">
        <f t="shared" si="15"/>
        <v>-6.4356175862068987</v>
      </c>
    </row>
    <row r="256" spans="1:69">
      <c r="A256" s="13">
        <v>253</v>
      </c>
      <c r="B256" s="13">
        <v>109</v>
      </c>
      <c r="C256" s="17">
        <v>119.84660169999999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>
        <f t="shared" si="16"/>
        <v>9.9510107339449547</v>
      </c>
      <c r="N256" s="13"/>
      <c r="O256" s="13">
        <v>253</v>
      </c>
      <c r="P256" s="13">
        <v>109</v>
      </c>
      <c r="Q256" s="17">
        <v>119.8574397</v>
      </c>
      <c r="R256" s="13"/>
      <c r="S256" s="13"/>
      <c r="T256" s="13"/>
      <c r="U256" s="13"/>
      <c r="V256" s="13"/>
      <c r="W256" s="13"/>
      <c r="X256" s="13"/>
      <c r="Y256" s="13"/>
      <c r="Z256" s="13"/>
      <c r="AA256" s="13">
        <f t="shared" si="13"/>
        <v>9.9609538532110076</v>
      </c>
      <c r="AB256" s="13"/>
      <c r="AC256" s="34"/>
      <c r="AD256" s="34"/>
      <c r="AE256" s="34"/>
      <c r="AF256" s="34"/>
      <c r="AG256" s="34"/>
      <c r="AI256" s="35">
        <v>253</v>
      </c>
      <c r="AJ256" s="35">
        <v>109</v>
      </c>
      <c r="AK256" s="17">
        <v>109.6715234</v>
      </c>
      <c r="AV256" s="13">
        <f t="shared" si="14"/>
        <v>0.61607651376147654</v>
      </c>
      <c r="BD256" s="35">
        <v>253</v>
      </c>
      <c r="BE256" s="35">
        <v>109</v>
      </c>
      <c r="BF256" s="17">
        <v>114.30240929999999</v>
      </c>
      <c r="BQ256" s="13">
        <f t="shared" si="15"/>
        <v>4.8645956880733809</v>
      </c>
    </row>
    <row r="257" spans="1:69">
      <c r="A257" s="13">
        <v>254</v>
      </c>
      <c r="B257" s="13">
        <v>127</v>
      </c>
      <c r="C257" s="17">
        <v>122.9748431</v>
      </c>
      <c r="D257" s="13"/>
      <c r="E257" s="13"/>
      <c r="F257" s="13"/>
      <c r="G257" s="13"/>
      <c r="H257" s="13"/>
      <c r="I257" s="13"/>
      <c r="J257" s="13"/>
      <c r="K257" s="13"/>
      <c r="L257" s="13"/>
      <c r="M257" s="13">
        <f t="shared" si="16"/>
        <v>-3.1694148818897649</v>
      </c>
      <c r="N257" s="13"/>
      <c r="O257" s="13">
        <v>254</v>
      </c>
      <c r="P257" s="13">
        <v>127</v>
      </c>
      <c r="Q257" s="17">
        <v>127.86138800000001</v>
      </c>
      <c r="R257" s="13"/>
      <c r="S257" s="13"/>
      <c r="T257" s="13"/>
      <c r="U257" s="13"/>
      <c r="V257" s="13"/>
      <c r="W257" s="13"/>
      <c r="X257" s="13"/>
      <c r="Y257" s="13"/>
      <c r="Z257" s="13"/>
      <c r="AA257" s="13">
        <f t="shared" si="13"/>
        <v>0.67825826771654718</v>
      </c>
      <c r="AB257" s="13"/>
      <c r="AC257" s="34"/>
      <c r="AD257" s="34"/>
      <c r="AE257" s="34"/>
      <c r="AF257" s="34"/>
      <c r="AG257" s="34"/>
      <c r="AI257" s="35">
        <v>254</v>
      </c>
      <c r="AJ257" s="35">
        <v>127</v>
      </c>
      <c r="AK257" s="17">
        <v>126.8987206</v>
      </c>
      <c r="AV257" s="13">
        <f t="shared" si="14"/>
        <v>-7.9747559055109996E-2</v>
      </c>
      <c r="BD257" s="35">
        <v>254</v>
      </c>
      <c r="BE257" s="35">
        <v>127</v>
      </c>
      <c r="BF257" s="17">
        <v>128.3797855</v>
      </c>
      <c r="BQ257" s="13">
        <f t="shared" si="15"/>
        <v>1.0864452755905418</v>
      </c>
    </row>
    <row r="258" spans="1:69">
      <c r="A258" s="13">
        <v>255</v>
      </c>
      <c r="B258" s="13">
        <v>161</v>
      </c>
      <c r="C258" s="17">
        <v>130.4113146</v>
      </c>
      <c r="D258" s="13"/>
      <c r="E258" s="13"/>
      <c r="F258" s="13"/>
      <c r="G258" s="13"/>
      <c r="H258" s="13"/>
      <c r="I258" s="13"/>
      <c r="J258" s="13"/>
      <c r="K258" s="13"/>
      <c r="L258" s="13"/>
      <c r="M258" s="13">
        <f t="shared" si="16"/>
        <v>-18.999183478260871</v>
      </c>
      <c r="N258" s="13"/>
      <c r="O258" s="13">
        <v>255</v>
      </c>
      <c r="P258" s="13">
        <v>161</v>
      </c>
      <c r="Q258" s="17">
        <v>141.5163076</v>
      </c>
      <c r="R258" s="13"/>
      <c r="S258" s="13"/>
      <c r="T258" s="13"/>
      <c r="U258" s="13"/>
      <c r="V258" s="13"/>
      <c r="W258" s="13"/>
      <c r="X258" s="13"/>
      <c r="Y258" s="13"/>
      <c r="Z258" s="13"/>
      <c r="AA258" s="13">
        <f t="shared" si="13"/>
        <v>-12.101672298136645</v>
      </c>
      <c r="AB258" s="13"/>
      <c r="AC258" s="34"/>
      <c r="AD258" s="34"/>
      <c r="AE258" s="34"/>
      <c r="AF258" s="34"/>
      <c r="AG258" s="34"/>
      <c r="AI258" s="35">
        <v>255</v>
      </c>
      <c r="AJ258" s="35">
        <v>161</v>
      </c>
      <c r="AK258" s="17">
        <v>158.47133410000001</v>
      </c>
      <c r="AV258" s="13">
        <f t="shared" si="14"/>
        <v>-1.5705999378881952</v>
      </c>
      <c r="BD258" s="35">
        <v>255</v>
      </c>
      <c r="BE258" s="35">
        <v>161</v>
      </c>
      <c r="BF258" s="17">
        <v>150.03208269999999</v>
      </c>
      <c r="BQ258" s="13">
        <f t="shared" si="15"/>
        <v>-6.8123709937888304</v>
      </c>
    </row>
    <row r="259" spans="1:69">
      <c r="A259" s="13">
        <v>256</v>
      </c>
      <c r="B259" s="13">
        <v>151</v>
      </c>
      <c r="C259" s="17">
        <v>141.5841819</v>
      </c>
      <c r="D259" s="13"/>
      <c r="E259" s="13"/>
      <c r="F259" s="13"/>
      <c r="G259" s="13"/>
      <c r="H259" s="13"/>
      <c r="I259" s="13"/>
      <c r="J259" s="13"/>
      <c r="K259" s="13"/>
      <c r="L259" s="13"/>
      <c r="M259" s="13">
        <f t="shared" si="16"/>
        <v>-6.2356411258278062</v>
      </c>
      <c r="N259" s="13"/>
      <c r="O259" s="13">
        <v>256</v>
      </c>
      <c r="P259" s="13">
        <v>151</v>
      </c>
      <c r="Q259" s="17">
        <v>148.38126439999999</v>
      </c>
      <c r="R259" s="13"/>
      <c r="S259" s="13"/>
      <c r="T259" s="13"/>
      <c r="U259" s="13"/>
      <c r="V259" s="13"/>
      <c r="W259" s="13"/>
      <c r="X259" s="13"/>
      <c r="Y259" s="13"/>
      <c r="Z259" s="13"/>
      <c r="AA259" s="13">
        <f t="shared" ref="AA259:AA322" si="17">((Q259/P259)-1)*100</f>
        <v>-1.7342619867549702</v>
      </c>
      <c r="AB259" s="13"/>
      <c r="AC259" s="34"/>
      <c r="AD259" s="34"/>
      <c r="AE259" s="34"/>
      <c r="AF259" s="34"/>
      <c r="AG259" s="34"/>
      <c r="AI259" s="35">
        <v>256</v>
      </c>
      <c r="AJ259" s="35">
        <v>151</v>
      </c>
      <c r="AK259" s="17">
        <v>150.52570170000001</v>
      </c>
      <c r="AV259" s="13">
        <f t="shared" si="14"/>
        <v>-0.31410483443707893</v>
      </c>
      <c r="BD259" s="35">
        <v>256</v>
      </c>
      <c r="BE259" s="35">
        <v>151</v>
      </c>
      <c r="BF259" s="17">
        <v>149.50545070000001</v>
      </c>
      <c r="BQ259" s="13">
        <f t="shared" si="15"/>
        <v>-0.98976774834436121</v>
      </c>
    </row>
    <row r="260" spans="1:69">
      <c r="A260" s="13">
        <v>257</v>
      </c>
      <c r="B260" s="13">
        <v>21</v>
      </c>
      <c r="C260" s="17">
        <v>27.422557925301199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>
        <f t="shared" si="16"/>
        <v>30.583609168100946</v>
      </c>
      <c r="N260" s="13"/>
      <c r="O260" s="13">
        <v>257</v>
      </c>
      <c r="P260" s="13">
        <v>21</v>
      </c>
      <c r="Q260" s="17">
        <v>25.332746386948401</v>
      </c>
      <c r="R260" s="13"/>
      <c r="S260" s="13"/>
      <c r="T260" s="13"/>
      <c r="U260" s="13"/>
      <c r="V260" s="13"/>
      <c r="W260" s="13"/>
      <c r="X260" s="13"/>
      <c r="Y260" s="13"/>
      <c r="Z260" s="13"/>
      <c r="AA260" s="13">
        <f t="shared" si="17"/>
        <v>20.632125652135237</v>
      </c>
      <c r="AB260" s="13"/>
      <c r="AC260" s="34"/>
      <c r="AD260" s="34"/>
      <c r="AE260" s="34"/>
      <c r="AF260" s="34"/>
      <c r="AG260" s="34"/>
      <c r="AI260" s="35">
        <v>257</v>
      </c>
      <c r="AJ260" s="35">
        <v>21</v>
      </c>
      <c r="AK260" s="17">
        <v>22.036436290000001</v>
      </c>
      <c r="AV260" s="13">
        <f t="shared" ref="AV260:AV323" si="18">((AK260/AJ260)-1)*100</f>
        <v>4.9354109047619055</v>
      </c>
      <c r="BD260" s="35">
        <v>257</v>
      </c>
      <c r="BE260" s="35">
        <v>21</v>
      </c>
      <c r="BF260" s="17">
        <v>13.710665526071001</v>
      </c>
      <c r="BQ260" s="13">
        <f t="shared" ref="BQ260:BQ323" si="19">((BF260/BE260)-1)*100</f>
        <v>-34.711116542519051</v>
      </c>
    </row>
    <row r="261" spans="1:69">
      <c r="A261" s="13">
        <v>258</v>
      </c>
      <c r="B261" s="13">
        <v>31</v>
      </c>
      <c r="C261" s="17">
        <v>29.8811061014305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>
        <f t="shared" si="16"/>
        <v>-3.6093351566758081</v>
      </c>
      <c r="N261" s="13"/>
      <c r="O261" s="13">
        <v>258</v>
      </c>
      <c r="P261" s="13">
        <v>31</v>
      </c>
      <c r="Q261" s="17">
        <v>49.068530050559502</v>
      </c>
      <c r="R261" s="13"/>
      <c r="S261" s="13"/>
      <c r="T261" s="13"/>
      <c r="U261" s="13"/>
      <c r="V261" s="13"/>
      <c r="W261" s="13"/>
      <c r="X261" s="13"/>
      <c r="Y261" s="13"/>
      <c r="Z261" s="13"/>
      <c r="AA261" s="13">
        <f t="shared" si="17"/>
        <v>58.285580808256455</v>
      </c>
      <c r="AB261" s="13"/>
      <c r="AC261" s="34"/>
      <c r="AD261" s="34"/>
      <c r="AE261" s="34"/>
      <c r="AF261" s="34"/>
      <c r="AG261" s="34"/>
      <c r="AI261" s="35">
        <v>258</v>
      </c>
      <c r="AJ261" s="35">
        <v>31</v>
      </c>
      <c r="AK261" s="17">
        <v>31.948647730000001</v>
      </c>
      <c r="AV261" s="13">
        <f t="shared" si="18"/>
        <v>3.0601539677419298</v>
      </c>
      <c r="BD261" s="35">
        <v>258</v>
      </c>
      <c r="BE261" s="35">
        <v>31</v>
      </c>
      <c r="BF261" s="17">
        <v>35.993180610000003</v>
      </c>
      <c r="BQ261" s="13">
        <f t="shared" si="19"/>
        <v>16.107034225806458</v>
      </c>
    </row>
    <row r="262" spans="1:69">
      <c r="A262" s="13">
        <v>259</v>
      </c>
      <c r="B262" s="13">
        <v>193</v>
      </c>
      <c r="C262" s="17">
        <v>169.3459967</v>
      </c>
      <c r="D262" s="13"/>
      <c r="E262" s="13"/>
      <c r="F262" s="13"/>
      <c r="G262" s="13"/>
      <c r="H262" s="13"/>
      <c r="I262" s="13"/>
      <c r="J262" s="13"/>
      <c r="K262" s="13"/>
      <c r="L262" s="13"/>
      <c r="M262" s="13">
        <f t="shared" si="16"/>
        <v>-12.255960259067356</v>
      </c>
      <c r="N262" s="13"/>
      <c r="O262" s="13">
        <v>259</v>
      </c>
      <c r="P262" s="13">
        <v>193</v>
      </c>
      <c r="Q262" s="17">
        <v>184.9969988</v>
      </c>
      <c r="R262" s="13"/>
      <c r="S262" s="13"/>
      <c r="T262" s="13"/>
      <c r="U262" s="13"/>
      <c r="V262" s="13"/>
      <c r="W262" s="13"/>
      <c r="X262" s="13"/>
      <c r="Y262" s="13"/>
      <c r="Z262" s="13"/>
      <c r="AA262" s="13">
        <f t="shared" si="17"/>
        <v>-4.1466327461139869</v>
      </c>
      <c r="AB262" s="13"/>
      <c r="AC262" s="34"/>
      <c r="AD262" s="34"/>
      <c r="AE262" s="34"/>
      <c r="AF262" s="34"/>
      <c r="AG262" s="34"/>
      <c r="AI262" s="35">
        <v>259</v>
      </c>
      <c r="AJ262" s="35">
        <v>193</v>
      </c>
      <c r="AK262" s="17">
        <v>193.10223329999999</v>
      </c>
      <c r="AV262" s="13">
        <f t="shared" si="18"/>
        <v>5.2970621761661008E-2</v>
      </c>
      <c r="BD262" s="35">
        <v>259</v>
      </c>
      <c r="BE262" s="35">
        <v>193</v>
      </c>
      <c r="BF262" s="17">
        <v>192.2480272</v>
      </c>
      <c r="BQ262" s="13">
        <f t="shared" si="19"/>
        <v>-0.38962321243523057</v>
      </c>
    </row>
    <row r="263" spans="1:69">
      <c r="A263" s="13">
        <v>260</v>
      </c>
      <c r="B263" s="13">
        <v>131</v>
      </c>
      <c r="C263" s="17">
        <v>135.6929829</v>
      </c>
      <c r="D263" s="13"/>
      <c r="E263" s="13"/>
      <c r="F263" s="13"/>
      <c r="G263" s="13"/>
      <c r="H263" s="13"/>
      <c r="I263" s="13"/>
      <c r="J263" s="13"/>
      <c r="K263" s="13"/>
      <c r="L263" s="13"/>
      <c r="M263" s="13">
        <f t="shared" si="16"/>
        <v>3.5824296946564971</v>
      </c>
      <c r="N263" s="13"/>
      <c r="O263" s="13">
        <v>260</v>
      </c>
      <c r="P263" s="13">
        <v>131</v>
      </c>
      <c r="Q263" s="17">
        <v>133.93764400000001</v>
      </c>
      <c r="R263" s="13"/>
      <c r="S263" s="13"/>
      <c r="T263" s="13"/>
      <c r="U263" s="13"/>
      <c r="V263" s="13"/>
      <c r="W263" s="13"/>
      <c r="X263" s="13"/>
      <c r="Y263" s="13"/>
      <c r="Z263" s="13"/>
      <c r="AA263" s="13">
        <f t="shared" si="17"/>
        <v>2.2424763358778632</v>
      </c>
      <c r="AB263" s="13"/>
      <c r="AC263" s="34"/>
      <c r="AD263" s="34"/>
      <c r="AE263" s="34"/>
      <c r="AF263" s="34"/>
      <c r="AG263" s="34"/>
      <c r="AI263" s="35">
        <v>260</v>
      </c>
      <c r="AJ263" s="35">
        <v>131</v>
      </c>
      <c r="AK263" s="17">
        <v>131.22313080000001</v>
      </c>
      <c r="AV263" s="13">
        <f t="shared" si="18"/>
        <v>0.17032885496184313</v>
      </c>
      <c r="BD263" s="35">
        <v>260</v>
      </c>
      <c r="BE263" s="35">
        <v>131</v>
      </c>
      <c r="BF263" s="17">
        <v>131.73739699999999</v>
      </c>
      <c r="BQ263" s="13">
        <f t="shared" si="19"/>
        <v>0.56289847328243603</v>
      </c>
    </row>
    <row r="264" spans="1:69">
      <c r="A264" s="13">
        <v>261</v>
      </c>
      <c r="B264" s="13">
        <v>106</v>
      </c>
      <c r="C264" s="17">
        <v>93.503184919999995</v>
      </c>
      <c r="D264" s="13"/>
      <c r="E264" s="13"/>
      <c r="F264" s="13"/>
      <c r="G264" s="13"/>
      <c r="H264" s="13"/>
      <c r="I264" s="13"/>
      <c r="J264" s="13"/>
      <c r="K264" s="13"/>
      <c r="L264" s="13"/>
      <c r="M264" s="13">
        <f t="shared" si="16"/>
        <v>-11.789448188679252</v>
      </c>
      <c r="N264" s="13"/>
      <c r="O264" s="13">
        <v>261</v>
      </c>
      <c r="P264" s="13">
        <v>106</v>
      </c>
      <c r="Q264" s="17">
        <v>92.028503119999996</v>
      </c>
      <c r="R264" s="13"/>
      <c r="S264" s="13"/>
      <c r="T264" s="13"/>
      <c r="U264" s="13"/>
      <c r="V264" s="13"/>
      <c r="W264" s="13"/>
      <c r="X264" s="13"/>
      <c r="Y264" s="13"/>
      <c r="Z264" s="13"/>
      <c r="AA264" s="13">
        <f t="shared" si="17"/>
        <v>-13.180657433962272</v>
      </c>
      <c r="AB264" s="13"/>
      <c r="AC264" s="34"/>
      <c r="AD264" s="34"/>
      <c r="AE264" s="34"/>
      <c r="AF264" s="34"/>
      <c r="AG264" s="34"/>
      <c r="AI264" s="35">
        <v>261</v>
      </c>
      <c r="AJ264" s="35">
        <v>106</v>
      </c>
      <c r="AK264" s="17">
        <v>103.4170783</v>
      </c>
      <c r="AV264" s="13">
        <f t="shared" si="18"/>
        <v>-2.4367185849056616</v>
      </c>
      <c r="BD264" s="35">
        <v>261</v>
      </c>
      <c r="BE264" s="35">
        <v>106</v>
      </c>
      <c r="BF264" s="17">
        <v>96.771051790000001</v>
      </c>
      <c r="BQ264" s="13">
        <f t="shared" si="19"/>
        <v>-8.7065549150943333</v>
      </c>
    </row>
    <row r="265" spans="1:69">
      <c r="A265" s="13">
        <v>262</v>
      </c>
      <c r="B265" s="13">
        <v>102</v>
      </c>
      <c r="C265" s="17">
        <v>110.0260588</v>
      </c>
      <c r="D265" s="13"/>
      <c r="E265" s="13"/>
      <c r="F265" s="13"/>
      <c r="G265" s="13"/>
      <c r="H265" s="13"/>
      <c r="I265" s="13"/>
      <c r="J265" s="13"/>
      <c r="K265" s="13"/>
      <c r="L265" s="13"/>
      <c r="M265" s="13">
        <f t="shared" si="16"/>
        <v>7.8686850980392187</v>
      </c>
      <c r="N265" s="13"/>
      <c r="O265" s="13">
        <v>262</v>
      </c>
      <c r="P265" s="13">
        <v>102</v>
      </c>
      <c r="Q265" s="17">
        <v>108.2525526</v>
      </c>
      <c r="R265" s="13"/>
      <c r="S265" s="13"/>
      <c r="T265" s="13"/>
      <c r="U265" s="13"/>
      <c r="V265" s="13"/>
      <c r="W265" s="13"/>
      <c r="X265" s="13"/>
      <c r="Y265" s="13"/>
      <c r="Z265" s="13"/>
      <c r="AA265" s="13">
        <f t="shared" si="17"/>
        <v>6.1299535294117691</v>
      </c>
      <c r="AB265" s="13"/>
      <c r="AC265" s="34"/>
      <c r="AD265" s="34"/>
      <c r="AE265" s="34"/>
      <c r="AF265" s="34"/>
      <c r="AG265" s="34"/>
      <c r="AI265" s="35">
        <v>262</v>
      </c>
      <c r="AJ265" s="35">
        <v>102</v>
      </c>
      <c r="AK265" s="17">
        <v>102.3038074</v>
      </c>
      <c r="AV265" s="13">
        <f t="shared" si="18"/>
        <v>0.29785039215686204</v>
      </c>
      <c r="BD265" s="35">
        <v>262</v>
      </c>
      <c r="BE265" s="35">
        <v>102</v>
      </c>
      <c r="BF265" s="17">
        <v>104.46885039999999</v>
      </c>
      <c r="BQ265" s="13">
        <f t="shared" si="19"/>
        <v>2.4204415686274405</v>
      </c>
    </row>
    <row r="266" spans="1:69">
      <c r="A266" s="13">
        <v>263</v>
      </c>
      <c r="B266" s="13">
        <v>88</v>
      </c>
      <c r="C266" s="17">
        <v>81.693429989999998</v>
      </c>
      <c r="D266" s="13"/>
      <c r="E266" s="13"/>
      <c r="F266" s="13"/>
      <c r="G266" s="13"/>
      <c r="H266" s="13"/>
      <c r="I266" s="13"/>
      <c r="J266" s="13"/>
      <c r="K266" s="13"/>
      <c r="L266" s="13"/>
      <c r="M266" s="13">
        <f t="shared" si="16"/>
        <v>-7.1665568295454563</v>
      </c>
      <c r="N266" s="13"/>
      <c r="O266" s="13">
        <v>263</v>
      </c>
      <c r="P266" s="13">
        <v>88</v>
      </c>
      <c r="Q266" s="17">
        <v>76.289135229999999</v>
      </c>
      <c r="R266" s="13"/>
      <c r="S266" s="13"/>
      <c r="T266" s="13"/>
      <c r="U266" s="13"/>
      <c r="V266" s="13"/>
      <c r="W266" s="13"/>
      <c r="X266" s="13"/>
      <c r="Y266" s="13"/>
      <c r="Z266" s="13"/>
      <c r="AA266" s="13">
        <f t="shared" si="17"/>
        <v>-13.307800874999998</v>
      </c>
      <c r="AB266" s="13"/>
      <c r="AC266" s="34"/>
      <c r="AD266" s="34"/>
      <c r="AE266" s="34"/>
      <c r="AF266" s="34"/>
      <c r="AG266" s="34"/>
      <c r="AI266" s="35">
        <v>263</v>
      </c>
      <c r="AJ266" s="35">
        <v>88</v>
      </c>
      <c r="AK266" s="17">
        <v>84.990703190000005</v>
      </c>
      <c r="AV266" s="13">
        <f t="shared" si="18"/>
        <v>-3.4196554659090883</v>
      </c>
      <c r="BD266" s="35">
        <v>263</v>
      </c>
      <c r="BE266" s="35">
        <v>88</v>
      </c>
      <c r="BF266" s="17">
        <v>78.380156479999997</v>
      </c>
      <c r="BQ266" s="13">
        <f t="shared" si="19"/>
        <v>-10.931640363636363</v>
      </c>
    </row>
    <row r="267" spans="1:69">
      <c r="A267" s="13">
        <v>264</v>
      </c>
      <c r="B267" s="13">
        <v>122</v>
      </c>
      <c r="C267" s="17">
        <v>103.4665055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>
        <f t="shared" si="16"/>
        <v>-15.191388934426231</v>
      </c>
      <c r="N267" s="13"/>
      <c r="O267" s="13">
        <v>264</v>
      </c>
      <c r="P267" s="13">
        <v>122</v>
      </c>
      <c r="Q267" s="17">
        <v>107.88134239999999</v>
      </c>
      <c r="R267" s="13"/>
      <c r="S267" s="13"/>
      <c r="T267" s="13"/>
      <c r="U267" s="13"/>
      <c r="V267" s="13"/>
      <c r="W267" s="13"/>
      <c r="X267" s="13"/>
      <c r="Y267" s="13"/>
      <c r="Z267" s="13"/>
      <c r="AA267" s="13">
        <f t="shared" si="17"/>
        <v>-11.572670163934429</v>
      </c>
      <c r="AB267" s="13"/>
      <c r="AC267" s="34"/>
      <c r="AD267" s="34"/>
      <c r="AE267" s="34"/>
      <c r="AF267" s="34"/>
      <c r="AG267" s="34"/>
      <c r="AI267" s="35">
        <v>264</v>
      </c>
      <c r="AJ267" s="35">
        <v>122</v>
      </c>
      <c r="AK267" s="17">
        <v>119.08042930000001</v>
      </c>
      <c r="AV267" s="13">
        <f t="shared" si="18"/>
        <v>-2.3930907377049171</v>
      </c>
      <c r="BD267" s="35">
        <v>264</v>
      </c>
      <c r="BE267" s="35">
        <v>122</v>
      </c>
      <c r="BF267" s="17">
        <v>111.15803579999999</v>
      </c>
      <c r="BQ267" s="13">
        <f t="shared" si="19"/>
        <v>-8.8868559016393451</v>
      </c>
    </row>
    <row r="268" spans="1:69">
      <c r="A268" s="13">
        <v>265</v>
      </c>
      <c r="B268" s="13">
        <v>191</v>
      </c>
      <c r="C268" s="17">
        <v>175.62822739999999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>
        <f t="shared" si="16"/>
        <v>-8.0480484816753961</v>
      </c>
      <c r="N268" s="13"/>
      <c r="O268" s="13">
        <v>265</v>
      </c>
      <c r="P268" s="13">
        <v>191</v>
      </c>
      <c r="Q268" s="17">
        <v>190.6503467</v>
      </c>
      <c r="R268" s="13"/>
      <c r="S268" s="13"/>
      <c r="T268" s="13"/>
      <c r="U268" s="13"/>
      <c r="V268" s="13"/>
      <c r="W268" s="13"/>
      <c r="X268" s="13"/>
      <c r="Y268" s="13"/>
      <c r="Z268" s="13"/>
      <c r="AA268" s="13">
        <f t="shared" si="17"/>
        <v>-0.1830645549738219</v>
      </c>
      <c r="AB268" s="13"/>
      <c r="AC268" s="34"/>
      <c r="AD268" s="34"/>
      <c r="AE268" s="34"/>
      <c r="AF268" s="34"/>
      <c r="AG268" s="34"/>
      <c r="AI268" s="35">
        <v>265</v>
      </c>
      <c r="AJ268" s="35">
        <v>191</v>
      </c>
      <c r="AK268" s="17">
        <v>191.04437150000001</v>
      </c>
      <c r="AV268" s="13">
        <f t="shared" si="18"/>
        <v>2.3231151832470154E-2</v>
      </c>
      <c r="BD268" s="35">
        <v>265</v>
      </c>
      <c r="BE268" s="35">
        <v>191</v>
      </c>
      <c r="BF268" s="17">
        <v>190.54611969999999</v>
      </c>
      <c r="BQ268" s="13">
        <f t="shared" si="19"/>
        <v>-0.23763366492146609</v>
      </c>
    </row>
    <row r="269" spans="1:69">
      <c r="A269" s="13">
        <v>266</v>
      </c>
      <c r="B269" s="13">
        <v>219</v>
      </c>
      <c r="C269" s="17">
        <v>183.42560499999999</v>
      </c>
      <c r="D269" s="13"/>
      <c r="E269" s="13"/>
      <c r="F269" s="13"/>
      <c r="G269" s="13"/>
      <c r="H269" s="13"/>
      <c r="I269" s="13"/>
      <c r="J269" s="13"/>
      <c r="K269" s="13"/>
      <c r="L269" s="13"/>
      <c r="M269" s="13">
        <f t="shared" si="16"/>
        <v>-16.24401598173516</v>
      </c>
      <c r="N269" s="13"/>
      <c r="O269" s="13">
        <v>266</v>
      </c>
      <c r="P269" s="13">
        <v>219</v>
      </c>
      <c r="Q269" s="17">
        <v>204.86802259999999</v>
      </c>
      <c r="R269" s="13"/>
      <c r="S269" s="13"/>
      <c r="T269" s="13"/>
      <c r="U269" s="13"/>
      <c r="V269" s="13"/>
      <c r="W269" s="13"/>
      <c r="X269" s="13"/>
      <c r="Y269" s="13"/>
      <c r="Z269" s="13"/>
      <c r="AA269" s="13">
        <f t="shared" si="17"/>
        <v>-6.4529577168949803</v>
      </c>
      <c r="AB269" s="13"/>
      <c r="AC269" s="34"/>
      <c r="AD269" s="34"/>
      <c r="AE269" s="34"/>
      <c r="AF269" s="34"/>
      <c r="AG269" s="34"/>
      <c r="AI269" s="35">
        <v>266</v>
      </c>
      <c r="AJ269" s="35">
        <v>219</v>
      </c>
      <c r="AK269" s="17">
        <v>219.00333330000001</v>
      </c>
      <c r="AV269" s="13">
        <f t="shared" si="18"/>
        <v>1.5220547945338225E-3</v>
      </c>
      <c r="BD269" s="35">
        <v>266</v>
      </c>
      <c r="BE269" s="35">
        <v>219</v>
      </c>
      <c r="BF269" s="17">
        <v>218.0383425</v>
      </c>
      <c r="BQ269" s="13">
        <f t="shared" si="19"/>
        <v>-0.4391130136986332</v>
      </c>
    </row>
    <row r="270" spans="1:69">
      <c r="A270" s="13">
        <v>267</v>
      </c>
      <c r="B270" s="13">
        <v>7</v>
      </c>
      <c r="C270" s="17">
        <v>9.8068744528564</v>
      </c>
      <c r="D270" s="13"/>
      <c r="E270" s="13"/>
      <c r="F270" s="13"/>
      <c r="G270" s="13"/>
      <c r="H270" s="13"/>
      <c r="I270" s="13"/>
      <c r="J270" s="13"/>
      <c r="K270" s="13"/>
      <c r="L270" s="13"/>
      <c r="M270" s="13">
        <f t="shared" si="16"/>
        <v>40.098206469377139</v>
      </c>
      <c r="N270" s="13"/>
      <c r="O270" s="13">
        <v>267</v>
      </c>
      <c r="P270" s="13">
        <v>7</v>
      </c>
      <c r="Q270" s="17">
        <v>9.7076805324855506</v>
      </c>
      <c r="R270" s="13"/>
      <c r="S270" s="13"/>
      <c r="T270" s="13"/>
      <c r="U270" s="13"/>
      <c r="V270" s="13"/>
      <c r="W270" s="13"/>
      <c r="X270" s="13"/>
      <c r="Y270" s="13"/>
      <c r="Z270" s="13"/>
      <c r="AA270" s="13">
        <f t="shared" si="17"/>
        <v>38.681150464079295</v>
      </c>
      <c r="AB270" s="13"/>
      <c r="AC270" s="34"/>
      <c r="AD270" s="34"/>
      <c r="AE270" s="34"/>
      <c r="AF270" s="34"/>
      <c r="AG270" s="34"/>
      <c r="AI270" s="35">
        <v>267</v>
      </c>
      <c r="AJ270" s="35">
        <v>7</v>
      </c>
      <c r="AK270" s="17">
        <v>7.1585000000000001</v>
      </c>
      <c r="AV270" s="13">
        <f t="shared" si="18"/>
        <v>2.2642857142857187</v>
      </c>
      <c r="BD270" s="35">
        <v>267</v>
      </c>
      <c r="BE270" s="35">
        <v>7</v>
      </c>
      <c r="BF270" s="17">
        <v>8.0376211370000004</v>
      </c>
      <c r="BQ270" s="13">
        <f t="shared" si="19"/>
        <v>14.823159100000005</v>
      </c>
    </row>
    <row r="271" spans="1:69">
      <c r="A271" s="13">
        <v>268</v>
      </c>
      <c r="B271" s="13">
        <v>44</v>
      </c>
      <c r="C271" s="17">
        <v>58.17614906</v>
      </c>
      <c r="D271" s="13"/>
      <c r="E271" s="13"/>
      <c r="F271" s="13"/>
      <c r="G271" s="13"/>
      <c r="H271" s="13"/>
      <c r="I271" s="13"/>
      <c r="J271" s="13"/>
      <c r="K271" s="13"/>
      <c r="L271" s="13"/>
      <c r="M271" s="13">
        <f t="shared" si="16"/>
        <v>32.21852059090908</v>
      </c>
      <c r="N271" s="13"/>
      <c r="O271" s="13">
        <v>268</v>
      </c>
      <c r="P271" s="13">
        <v>44</v>
      </c>
      <c r="Q271" s="17">
        <v>47.157544860000002</v>
      </c>
      <c r="R271" s="13"/>
      <c r="S271" s="13"/>
      <c r="T271" s="13"/>
      <c r="U271" s="13"/>
      <c r="V271" s="13"/>
      <c r="W271" s="13"/>
      <c r="X271" s="13"/>
      <c r="Y271" s="13"/>
      <c r="Z271" s="13"/>
      <c r="AA271" s="13">
        <f t="shared" si="17"/>
        <v>7.1762383181818157</v>
      </c>
      <c r="AB271" s="13"/>
      <c r="AC271" s="34"/>
      <c r="AD271" s="34"/>
      <c r="AE271" s="34"/>
      <c r="AF271" s="34"/>
      <c r="AG271" s="34"/>
      <c r="AI271" s="35">
        <v>268</v>
      </c>
      <c r="AJ271" s="35">
        <v>44</v>
      </c>
      <c r="AK271" s="17">
        <v>44.152042520000002</v>
      </c>
      <c r="AV271" s="13">
        <f t="shared" si="18"/>
        <v>0.34555118181818223</v>
      </c>
      <c r="BD271" s="35">
        <v>268</v>
      </c>
      <c r="BE271" s="35">
        <v>44</v>
      </c>
      <c r="BF271" s="17">
        <v>44.373400609999997</v>
      </c>
      <c r="BQ271" s="13">
        <f t="shared" si="19"/>
        <v>0.84863774999999197</v>
      </c>
    </row>
    <row r="272" spans="1:69">
      <c r="A272" s="13">
        <v>269</v>
      </c>
      <c r="B272" s="13">
        <v>222</v>
      </c>
      <c r="C272" s="17">
        <v>164.88105039999999</v>
      </c>
      <c r="D272" s="13"/>
      <c r="E272" s="13"/>
      <c r="F272" s="13"/>
      <c r="G272" s="13"/>
      <c r="H272" s="13"/>
      <c r="I272" s="13"/>
      <c r="J272" s="13"/>
      <c r="K272" s="13"/>
      <c r="L272" s="13"/>
      <c r="M272" s="13">
        <f t="shared" si="16"/>
        <v>-25.729256576576574</v>
      </c>
      <c r="N272" s="13"/>
      <c r="O272" s="13">
        <v>269</v>
      </c>
      <c r="P272" s="13">
        <v>222</v>
      </c>
      <c r="Q272" s="17">
        <v>190.48753210000001</v>
      </c>
      <c r="R272" s="13"/>
      <c r="S272" s="13"/>
      <c r="T272" s="13"/>
      <c r="U272" s="13"/>
      <c r="V272" s="13"/>
      <c r="W272" s="13"/>
      <c r="X272" s="13"/>
      <c r="Y272" s="13"/>
      <c r="Z272" s="13"/>
      <c r="AA272" s="13">
        <f t="shared" si="17"/>
        <v>-14.194805360360352</v>
      </c>
      <c r="AB272" s="13"/>
      <c r="AC272" s="34"/>
      <c r="AD272" s="34"/>
      <c r="AE272" s="34"/>
      <c r="AF272" s="34"/>
      <c r="AG272" s="34"/>
      <c r="AI272" s="35">
        <v>269</v>
      </c>
      <c r="AJ272" s="35">
        <v>222</v>
      </c>
      <c r="AK272" s="17">
        <v>221.50386839999999</v>
      </c>
      <c r="AV272" s="13">
        <f t="shared" si="18"/>
        <v>-0.22348270270270421</v>
      </c>
      <c r="BD272" s="35">
        <v>269</v>
      </c>
      <c r="BE272" s="35">
        <v>222</v>
      </c>
      <c r="BF272" s="17">
        <v>217.62398010000001</v>
      </c>
      <c r="BQ272" s="13">
        <f t="shared" si="19"/>
        <v>-1.971180135135131</v>
      </c>
    </row>
    <row r="273" spans="1:69">
      <c r="A273" s="13">
        <v>270</v>
      </c>
      <c r="B273" s="13">
        <v>100</v>
      </c>
      <c r="C273" s="17">
        <v>113.351178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>
        <f t="shared" si="16"/>
        <v>13.351178000000008</v>
      </c>
      <c r="N273" s="13"/>
      <c r="O273" s="13">
        <v>270</v>
      </c>
      <c r="P273" s="13">
        <v>100</v>
      </c>
      <c r="Q273" s="17">
        <v>111.540178</v>
      </c>
      <c r="R273" s="13"/>
      <c r="S273" s="13"/>
      <c r="T273" s="13"/>
      <c r="U273" s="13"/>
      <c r="V273" s="13"/>
      <c r="W273" s="13"/>
      <c r="X273" s="13"/>
      <c r="Y273" s="13"/>
      <c r="Z273" s="13"/>
      <c r="AA273" s="13">
        <f t="shared" si="17"/>
        <v>11.540178000000001</v>
      </c>
      <c r="AB273" s="13"/>
      <c r="AC273" s="34"/>
      <c r="AD273" s="34"/>
      <c r="AE273" s="34"/>
      <c r="AF273" s="34"/>
      <c r="AG273" s="34"/>
      <c r="AI273" s="35">
        <v>270</v>
      </c>
      <c r="AJ273" s="35">
        <v>100</v>
      </c>
      <c r="AK273" s="17">
        <v>101.2342242</v>
      </c>
      <c r="AV273" s="13">
        <f t="shared" si="18"/>
        <v>1.2342241999999892</v>
      </c>
      <c r="BD273" s="35">
        <v>270</v>
      </c>
      <c r="BE273" s="35">
        <v>100</v>
      </c>
      <c r="BF273" s="17">
        <v>106.56624650000001</v>
      </c>
      <c r="BQ273" s="13">
        <f t="shared" si="19"/>
        <v>6.5662464999999948</v>
      </c>
    </row>
    <row r="274" spans="1:69">
      <c r="A274" s="13">
        <v>271</v>
      </c>
      <c r="B274" s="13">
        <v>103</v>
      </c>
      <c r="C274" s="17">
        <v>108.4910007</v>
      </c>
      <c r="D274" s="13"/>
      <c r="E274" s="13"/>
      <c r="F274" s="13"/>
      <c r="G274" s="13"/>
      <c r="H274" s="13"/>
      <c r="I274" s="13"/>
      <c r="J274" s="13"/>
      <c r="K274" s="13"/>
      <c r="L274" s="13"/>
      <c r="M274" s="13">
        <f t="shared" si="16"/>
        <v>5.3310686407767038</v>
      </c>
      <c r="N274" s="13"/>
      <c r="O274" s="13">
        <v>271</v>
      </c>
      <c r="P274" s="13">
        <v>103</v>
      </c>
      <c r="Q274" s="17">
        <v>106.1962474</v>
      </c>
      <c r="R274" s="13"/>
      <c r="S274" s="13"/>
      <c r="T274" s="13"/>
      <c r="U274" s="13"/>
      <c r="V274" s="13"/>
      <c r="W274" s="13"/>
      <c r="X274" s="13"/>
      <c r="Y274" s="13"/>
      <c r="Z274" s="13"/>
      <c r="AA274" s="13">
        <f t="shared" si="17"/>
        <v>3.1031528155339938</v>
      </c>
      <c r="AB274" s="13"/>
      <c r="AC274" s="34"/>
      <c r="AD274" s="34"/>
      <c r="AE274" s="34"/>
      <c r="AF274" s="34"/>
      <c r="AG274" s="34"/>
      <c r="AI274" s="35">
        <v>271</v>
      </c>
      <c r="AJ274" s="35">
        <v>103</v>
      </c>
      <c r="AK274" s="17">
        <v>103.16370689999999</v>
      </c>
      <c r="AV274" s="13">
        <f t="shared" si="18"/>
        <v>0.15893873786407831</v>
      </c>
      <c r="BD274" s="35">
        <v>271</v>
      </c>
      <c r="BE274" s="35">
        <v>103</v>
      </c>
      <c r="BF274" s="17">
        <v>105.8747934</v>
      </c>
      <c r="BQ274" s="13">
        <f t="shared" si="19"/>
        <v>2.7910615533980554</v>
      </c>
    </row>
    <row r="275" spans="1:69">
      <c r="A275" s="13">
        <v>272</v>
      </c>
      <c r="B275" s="13">
        <v>64</v>
      </c>
      <c r="C275" s="17">
        <v>88.472403220000004</v>
      </c>
      <c r="D275" s="13"/>
      <c r="E275" s="13"/>
      <c r="F275" s="13"/>
      <c r="G275" s="13"/>
      <c r="H275" s="13"/>
      <c r="I275" s="13"/>
      <c r="J275" s="13"/>
      <c r="K275" s="13"/>
      <c r="L275" s="13"/>
      <c r="M275" s="13">
        <f t="shared" si="16"/>
        <v>38.238130031250009</v>
      </c>
      <c r="N275" s="13"/>
      <c r="O275" s="13">
        <v>272</v>
      </c>
      <c r="P275" s="13">
        <v>64</v>
      </c>
      <c r="Q275" s="17">
        <v>78.907820450000003</v>
      </c>
      <c r="R275" s="13"/>
      <c r="S275" s="13"/>
      <c r="T275" s="13"/>
      <c r="U275" s="13"/>
      <c r="V275" s="13"/>
      <c r="W275" s="13"/>
      <c r="X275" s="13"/>
      <c r="Y275" s="13"/>
      <c r="Z275" s="13"/>
      <c r="AA275" s="13">
        <f t="shared" si="17"/>
        <v>23.293469453125006</v>
      </c>
      <c r="AB275" s="13"/>
      <c r="AC275" s="34"/>
      <c r="AD275" s="34"/>
      <c r="AE275" s="34"/>
      <c r="AF275" s="34"/>
      <c r="AG275" s="34"/>
      <c r="AI275" s="35">
        <v>272</v>
      </c>
      <c r="AJ275" s="35">
        <v>64</v>
      </c>
      <c r="AK275" s="17">
        <v>66.560002800000007</v>
      </c>
      <c r="AV275" s="13">
        <f t="shared" si="18"/>
        <v>4.0000043750000103</v>
      </c>
      <c r="BD275" s="35">
        <v>272</v>
      </c>
      <c r="BE275" s="35">
        <v>64</v>
      </c>
      <c r="BF275" s="17">
        <v>73.546890480000002</v>
      </c>
      <c r="BQ275" s="13">
        <f t="shared" si="19"/>
        <v>14.917016375000003</v>
      </c>
    </row>
    <row r="276" spans="1:69">
      <c r="A276" s="13">
        <v>273</v>
      </c>
      <c r="B276" s="13">
        <v>46</v>
      </c>
      <c r="C276" s="17">
        <v>54.710602354534799</v>
      </c>
      <c r="D276" s="13"/>
      <c r="E276" s="13"/>
      <c r="F276" s="13"/>
      <c r="G276" s="13"/>
      <c r="H276" s="13"/>
      <c r="I276" s="13"/>
      <c r="J276" s="13"/>
      <c r="K276" s="13"/>
      <c r="L276" s="13"/>
      <c r="M276" s="13">
        <f t="shared" si="16"/>
        <v>18.936092075075649</v>
      </c>
      <c r="N276" s="13"/>
      <c r="O276" s="13">
        <v>273</v>
      </c>
      <c r="P276" s="13">
        <v>46</v>
      </c>
      <c r="Q276" s="17">
        <v>65.478523659999993</v>
      </c>
      <c r="R276" s="13"/>
      <c r="S276" s="13"/>
      <c r="T276" s="13"/>
      <c r="U276" s="13"/>
      <c r="V276" s="13"/>
      <c r="W276" s="13"/>
      <c r="X276" s="13"/>
      <c r="Y276" s="13"/>
      <c r="Z276" s="13"/>
      <c r="AA276" s="13">
        <f t="shared" si="17"/>
        <v>42.344616652173904</v>
      </c>
      <c r="AB276" s="13"/>
      <c r="AC276" s="34"/>
      <c r="AD276" s="34"/>
      <c r="AE276" s="34"/>
      <c r="AF276" s="34"/>
      <c r="AG276" s="34"/>
      <c r="AI276" s="35">
        <v>273</v>
      </c>
      <c r="AJ276" s="35">
        <v>46</v>
      </c>
      <c r="AK276" s="17">
        <v>47.603005520000004</v>
      </c>
      <c r="AV276" s="13">
        <f t="shared" si="18"/>
        <v>3.4847946086956627</v>
      </c>
      <c r="BD276" s="35">
        <v>273</v>
      </c>
      <c r="BE276" s="35">
        <v>46</v>
      </c>
      <c r="BF276" s="17">
        <v>53.866969539999999</v>
      </c>
      <c r="BQ276" s="13">
        <f t="shared" si="19"/>
        <v>17.102107695652169</v>
      </c>
    </row>
    <row r="277" spans="1:69">
      <c r="A277" s="13">
        <v>274</v>
      </c>
      <c r="B277" s="13">
        <v>68</v>
      </c>
      <c r="C277" s="17">
        <v>68.012824449999997</v>
      </c>
      <c r="D277" s="13"/>
      <c r="E277" s="13"/>
      <c r="F277" s="13"/>
      <c r="G277" s="13"/>
      <c r="H277" s="13"/>
      <c r="I277" s="13"/>
      <c r="J277" s="13"/>
      <c r="K277" s="13"/>
      <c r="L277" s="13"/>
      <c r="M277" s="13">
        <f t="shared" si="16"/>
        <v>1.8859485294120404E-2</v>
      </c>
      <c r="N277" s="13"/>
      <c r="O277" s="13">
        <v>274</v>
      </c>
      <c r="P277" s="13">
        <v>68</v>
      </c>
      <c r="Q277" s="17">
        <v>60.484727630000002</v>
      </c>
      <c r="R277" s="13"/>
      <c r="S277" s="13"/>
      <c r="T277" s="13"/>
      <c r="U277" s="13"/>
      <c r="V277" s="13"/>
      <c r="W277" s="13"/>
      <c r="X277" s="13"/>
      <c r="Y277" s="13"/>
      <c r="Z277" s="13"/>
      <c r="AA277" s="13">
        <f t="shared" si="17"/>
        <v>-11.051871132352941</v>
      </c>
      <c r="AB277" s="13"/>
      <c r="AC277" s="34"/>
      <c r="AD277" s="34"/>
      <c r="AE277" s="34"/>
      <c r="AF277" s="34"/>
      <c r="AG277" s="34"/>
      <c r="AI277" s="35">
        <v>274</v>
      </c>
      <c r="AJ277" s="35">
        <v>68</v>
      </c>
      <c r="AK277" s="17">
        <v>66.03288268</v>
      </c>
      <c r="AV277" s="13">
        <f t="shared" si="18"/>
        <v>-2.8928195882352958</v>
      </c>
      <c r="BD277" s="35">
        <v>274</v>
      </c>
      <c r="BE277" s="35">
        <v>68</v>
      </c>
      <c r="BF277" s="17">
        <v>62.96670933</v>
      </c>
      <c r="BQ277" s="13">
        <f t="shared" si="19"/>
        <v>-7.4018980441176492</v>
      </c>
    </row>
    <row r="278" spans="1:69">
      <c r="A278" s="13">
        <v>275</v>
      </c>
      <c r="B278" s="13">
        <v>202</v>
      </c>
      <c r="C278" s="17">
        <v>159.84859929999999</v>
      </c>
      <c r="D278" s="13"/>
      <c r="E278" s="13"/>
      <c r="F278" s="13"/>
      <c r="G278" s="13"/>
      <c r="H278" s="13"/>
      <c r="I278" s="13"/>
      <c r="J278" s="13"/>
      <c r="K278" s="13"/>
      <c r="L278" s="13"/>
      <c r="M278" s="13">
        <f t="shared" si="16"/>
        <v>-20.867030049504955</v>
      </c>
      <c r="N278" s="13"/>
      <c r="O278" s="13">
        <v>275</v>
      </c>
      <c r="P278" s="13">
        <v>202</v>
      </c>
      <c r="Q278" s="17">
        <v>178.89669280000001</v>
      </c>
      <c r="R278" s="13"/>
      <c r="S278" s="13"/>
      <c r="T278" s="13"/>
      <c r="U278" s="13"/>
      <c r="V278" s="13"/>
      <c r="W278" s="13"/>
      <c r="X278" s="13"/>
      <c r="Y278" s="13"/>
      <c r="Z278" s="13"/>
      <c r="AA278" s="13">
        <f t="shared" si="17"/>
        <v>-11.437280792079207</v>
      </c>
      <c r="AB278" s="13"/>
      <c r="AC278" s="34"/>
      <c r="AD278" s="34"/>
      <c r="AE278" s="34"/>
      <c r="AF278" s="34"/>
      <c r="AG278" s="34"/>
      <c r="AI278" s="35">
        <v>275</v>
      </c>
      <c r="AJ278" s="35">
        <v>202</v>
      </c>
      <c r="AK278" s="17">
        <v>201.253118</v>
      </c>
      <c r="AV278" s="13">
        <f t="shared" si="18"/>
        <v>-0.36974356435643951</v>
      </c>
      <c r="BD278" s="35">
        <v>275</v>
      </c>
      <c r="BE278" s="35">
        <v>202</v>
      </c>
      <c r="BF278" s="17">
        <v>194.9759932</v>
      </c>
      <c r="BQ278" s="13">
        <f t="shared" si="19"/>
        <v>-3.477231089108912</v>
      </c>
    </row>
    <row r="279" spans="1:69">
      <c r="A279" s="13">
        <v>276</v>
      </c>
      <c r="B279" s="13">
        <v>67</v>
      </c>
      <c r="C279" s="17">
        <v>82.778118890000002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>
        <f t="shared" si="16"/>
        <v>23.549431179104484</v>
      </c>
      <c r="N279" s="13"/>
      <c r="O279" s="13">
        <v>276</v>
      </c>
      <c r="P279" s="13">
        <v>67</v>
      </c>
      <c r="Q279" s="17">
        <v>75.463063680000005</v>
      </c>
      <c r="R279" s="13"/>
      <c r="S279" s="13"/>
      <c r="T279" s="13"/>
      <c r="U279" s="13"/>
      <c r="V279" s="13"/>
      <c r="W279" s="13"/>
      <c r="X279" s="13"/>
      <c r="Y279" s="13"/>
      <c r="Z279" s="13"/>
      <c r="AA279" s="13">
        <f t="shared" si="17"/>
        <v>12.631438328358225</v>
      </c>
      <c r="AB279" s="13"/>
      <c r="AC279" s="34"/>
      <c r="AD279" s="34"/>
      <c r="AE279" s="34"/>
      <c r="AF279" s="34"/>
      <c r="AG279" s="34"/>
      <c r="AI279" s="35">
        <v>276</v>
      </c>
      <c r="AJ279" s="35">
        <v>67</v>
      </c>
      <c r="AK279" s="17">
        <v>68.044569530000004</v>
      </c>
      <c r="AV279" s="13">
        <f t="shared" si="18"/>
        <v>1.559058999999996</v>
      </c>
      <c r="BD279" s="35">
        <v>276</v>
      </c>
      <c r="BE279" s="35">
        <v>67</v>
      </c>
      <c r="BF279" s="17">
        <v>72.490044879999999</v>
      </c>
      <c r="BQ279" s="13">
        <f t="shared" si="19"/>
        <v>8.1940968358208863</v>
      </c>
    </row>
    <row r="280" spans="1:69">
      <c r="A280" s="13">
        <v>277</v>
      </c>
      <c r="B280" s="13">
        <v>55</v>
      </c>
      <c r="C280" s="17">
        <v>64.072221409999997</v>
      </c>
      <c r="D280" s="13"/>
      <c r="E280" s="13"/>
      <c r="F280" s="13"/>
      <c r="G280" s="13"/>
      <c r="H280" s="13"/>
      <c r="I280" s="13"/>
      <c r="J280" s="13"/>
      <c r="K280" s="13"/>
      <c r="L280" s="13"/>
      <c r="M280" s="13">
        <f t="shared" si="16"/>
        <v>16.494948018181809</v>
      </c>
      <c r="N280" s="13"/>
      <c r="O280" s="13">
        <v>277</v>
      </c>
      <c r="P280" s="13">
        <v>55</v>
      </c>
      <c r="Q280" s="17">
        <v>51.8707432</v>
      </c>
      <c r="R280" s="13"/>
      <c r="S280" s="13"/>
      <c r="T280" s="13"/>
      <c r="U280" s="13"/>
      <c r="V280" s="13"/>
      <c r="W280" s="13"/>
      <c r="X280" s="13"/>
      <c r="Y280" s="13"/>
      <c r="Z280" s="13"/>
      <c r="AA280" s="13">
        <f t="shared" si="17"/>
        <v>-5.6895578181818234</v>
      </c>
      <c r="AB280" s="13"/>
      <c r="AC280" s="34"/>
      <c r="AD280" s="34"/>
      <c r="AE280" s="34"/>
      <c r="AF280" s="34"/>
      <c r="AG280" s="34"/>
      <c r="AI280" s="35">
        <v>277</v>
      </c>
      <c r="AJ280" s="35">
        <v>55</v>
      </c>
      <c r="AK280" s="17">
        <v>54.86693983</v>
      </c>
      <c r="AV280" s="13">
        <f t="shared" si="18"/>
        <v>-0.24192758181817986</v>
      </c>
      <c r="BD280" s="35">
        <v>277</v>
      </c>
      <c r="BE280" s="35">
        <v>55</v>
      </c>
      <c r="BF280" s="17">
        <v>53.131598240000002</v>
      </c>
      <c r="BQ280" s="13">
        <f t="shared" si="19"/>
        <v>-3.3970941090909035</v>
      </c>
    </row>
    <row r="281" spans="1:69">
      <c r="A281" s="13">
        <v>278</v>
      </c>
      <c r="B281" s="13">
        <v>234</v>
      </c>
      <c r="C281" s="17">
        <v>167.4873815</v>
      </c>
      <c r="D281" s="13"/>
      <c r="E281" s="13"/>
      <c r="F281" s="13"/>
      <c r="G281" s="13"/>
      <c r="H281" s="13"/>
      <c r="I281" s="13"/>
      <c r="J281" s="13"/>
      <c r="K281" s="13"/>
      <c r="L281" s="13"/>
      <c r="M281" s="13">
        <f t="shared" si="16"/>
        <v>-28.424195940170939</v>
      </c>
      <c r="N281" s="13"/>
      <c r="O281" s="13">
        <v>278</v>
      </c>
      <c r="P281" s="13">
        <v>234</v>
      </c>
      <c r="Q281" s="17">
        <v>196.2906917</v>
      </c>
      <c r="R281" s="13"/>
      <c r="S281" s="13"/>
      <c r="T281" s="13"/>
      <c r="U281" s="13"/>
      <c r="V281" s="13"/>
      <c r="W281" s="13"/>
      <c r="X281" s="13"/>
      <c r="Y281" s="13"/>
      <c r="Z281" s="13"/>
      <c r="AA281" s="13">
        <f t="shared" si="17"/>
        <v>-16.115089017094022</v>
      </c>
      <c r="AB281" s="13"/>
      <c r="AC281" s="34"/>
      <c r="AD281" s="34"/>
      <c r="AE281" s="34"/>
      <c r="AF281" s="34"/>
      <c r="AG281" s="34"/>
      <c r="AI281" s="35">
        <v>278</v>
      </c>
      <c r="AJ281" s="35">
        <v>234</v>
      </c>
      <c r="AK281" s="17">
        <v>233.52406120000001</v>
      </c>
      <c r="AV281" s="13">
        <f t="shared" si="18"/>
        <v>-0.20339264957264236</v>
      </c>
      <c r="BD281" s="35">
        <v>278</v>
      </c>
      <c r="BE281" s="35">
        <v>234</v>
      </c>
      <c r="BF281" s="17">
        <v>230.78630340000001</v>
      </c>
      <c r="BQ281" s="13">
        <f t="shared" si="19"/>
        <v>-1.3733746153846149</v>
      </c>
    </row>
    <row r="282" spans="1:69">
      <c r="A282" s="13">
        <v>279</v>
      </c>
      <c r="B282" s="13">
        <v>203</v>
      </c>
      <c r="C282" s="17">
        <v>179.49972270000001</v>
      </c>
      <c r="D282" s="13"/>
      <c r="E282" s="13"/>
      <c r="F282" s="13"/>
      <c r="G282" s="13"/>
      <c r="H282" s="13"/>
      <c r="I282" s="13"/>
      <c r="J282" s="13"/>
      <c r="K282" s="13"/>
      <c r="L282" s="13"/>
      <c r="M282" s="13">
        <f t="shared" si="16"/>
        <v>-11.57649128078817</v>
      </c>
      <c r="N282" s="13"/>
      <c r="O282" s="13">
        <v>279</v>
      </c>
      <c r="P282" s="13">
        <v>203</v>
      </c>
      <c r="Q282" s="17">
        <v>196.8433947</v>
      </c>
      <c r="R282" s="13"/>
      <c r="S282" s="13"/>
      <c r="T282" s="13"/>
      <c r="U282" s="13"/>
      <c r="V282" s="13"/>
      <c r="W282" s="13"/>
      <c r="X282" s="13"/>
      <c r="Y282" s="13"/>
      <c r="Z282" s="13"/>
      <c r="AA282" s="13">
        <f t="shared" si="17"/>
        <v>-3.0328104926108379</v>
      </c>
      <c r="AB282" s="13"/>
      <c r="AC282" s="34"/>
      <c r="AD282" s="34"/>
      <c r="AE282" s="34"/>
      <c r="AF282" s="34"/>
      <c r="AG282" s="34"/>
      <c r="AI282" s="35">
        <v>279</v>
      </c>
      <c r="AJ282" s="35">
        <v>203</v>
      </c>
      <c r="AK282" s="17">
        <v>202.60426620000001</v>
      </c>
      <c r="AV282" s="13">
        <f t="shared" si="18"/>
        <v>-0.19494275862068644</v>
      </c>
      <c r="BD282" s="35">
        <v>279</v>
      </c>
      <c r="BE282" s="35">
        <v>203</v>
      </c>
      <c r="BF282" s="17">
        <v>199.75418089999999</v>
      </c>
      <c r="BQ282" s="13">
        <f t="shared" si="19"/>
        <v>-1.5989256650246308</v>
      </c>
    </row>
    <row r="283" spans="1:69">
      <c r="A283" s="13">
        <v>280</v>
      </c>
      <c r="B283" s="13">
        <v>240</v>
      </c>
      <c r="C283" s="17">
        <v>178.77734989999999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>
        <f t="shared" si="16"/>
        <v>-25.509437541666667</v>
      </c>
      <c r="N283" s="13"/>
      <c r="O283" s="13">
        <v>280</v>
      </c>
      <c r="P283" s="13">
        <v>240</v>
      </c>
      <c r="Q283" s="17">
        <v>205.68806810000001</v>
      </c>
      <c r="R283" s="13"/>
      <c r="S283" s="13"/>
      <c r="T283" s="13"/>
      <c r="U283" s="13"/>
      <c r="V283" s="13"/>
      <c r="W283" s="13"/>
      <c r="X283" s="13"/>
      <c r="Y283" s="13"/>
      <c r="Z283" s="13"/>
      <c r="AA283" s="13">
        <f t="shared" si="17"/>
        <v>-14.296638291666664</v>
      </c>
      <c r="AB283" s="13"/>
      <c r="AC283" s="34"/>
      <c r="AD283" s="34"/>
      <c r="AE283" s="34"/>
      <c r="AF283" s="34"/>
      <c r="AG283" s="34"/>
      <c r="AI283" s="35">
        <v>280</v>
      </c>
      <c r="AJ283" s="35">
        <v>240</v>
      </c>
      <c r="AK283" s="17">
        <v>239.82599999999999</v>
      </c>
      <c r="AV283" s="13">
        <f t="shared" si="18"/>
        <v>-7.2499999999997566E-2</v>
      </c>
      <c r="BD283" s="35">
        <v>280</v>
      </c>
      <c r="BE283" s="35">
        <v>240</v>
      </c>
      <c r="BF283" s="17">
        <v>237.956718</v>
      </c>
      <c r="BQ283" s="13">
        <f t="shared" si="19"/>
        <v>-0.85136749999999983</v>
      </c>
    </row>
    <row r="284" spans="1:69">
      <c r="A284" s="13">
        <v>281</v>
      </c>
      <c r="B284" s="13">
        <v>134</v>
      </c>
      <c r="C284" s="17">
        <v>117.8386484</v>
      </c>
      <c r="D284" s="13"/>
      <c r="E284" s="13"/>
      <c r="F284" s="13"/>
      <c r="G284" s="13"/>
      <c r="H284" s="13"/>
      <c r="I284" s="13"/>
      <c r="J284" s="13"/>
      <c r="K284" s="13"/>
      <c r="L284" s="13"/>
      <c r="M284" s="13">
        <f t="shared" si="16"/>
        <v>-12.060710149253728</v>
      </c>
      <c r="N284" s="13"/>
      <c r="O284" s="13">
        <v>281</v>
      </c>
      <c r="P284" s="13">
        <v>134</v>
      </c>
      <c r="Q284" s="17">
        <v>120.3110514</v>
      </c>
      <c r="R284" s="13"/>
      <c r="S284" s="13"/>
      <c r="T284" s="13"/>
      <c r="U284" s="13"/>
      <c r="V284" s="13"/>
      <c r="W284" s="13"/>
      <c r="X284" s="13"/>
      <c r="Y284" s="13"/>
      <c r="Z284" s="13"/>
      <c r="AA284" s="13">
        <f t="shared" si="17"/>
        <v>-10.215633283582093</v>
      </c>
      <c r="AB284" s="13"/>
      <c r="AC284" s="34"/>
      <c r="AD284" s="34"/>
      <c r="AE284" s="34"/>
      <c r="AF284" s="34"/>
      <c r="AG284" s="34"/>
      <c r="AI284" s="35">
        <v>281</v>
      </c>
      <c r="AJ284" s="35">
        <v>134</v>
      </c>
      <c r="AK284" s="17">
        <v>131.9541542</v>
      </c>
      <c r="AV284" s="13">
        <f t="shared" si="18"/>
        <v>-1.5267505970149253</v>
      </c>
      <c r="BD284" s="35">
        <v>281</v>
      </c>
      <c r="BE284" s="35">
        <v>134</v>
      </c>
      <c r="BF284" s="17">
        <v>127.1504887</v>
      </c>
      <c r="BQ284" s="13">
        <f t="shared" si="19"/>
        <v>-5.1115755970149284</v>
      </c>
    </row>
    <row r="285" spans="1:69">
      <c r="A285" s="13">
        <v>282</v>
      </c>
      <c r="B285" s="13">
        <v>116</v>
      </c>
      <c r="C285" s="17">
        <v>115.1916942</v>
      </c>
      <c r="D285" s="13"/>
      <c r="E285" s="13"/>
      <c r="F285" s="13"/>
      <c r="G285" s="13"/>
      <c r="H285" s="13"/>
      <c r="I285" s="13"/>
      <c r="J285" s="13"/>
      <c r="K285" s="13"/>
      <c r="L285" s="13"/>
      <c r="M285" s="13">
        <f t="shared" si="16"/>
        <v>-0.69681534482758378</v>
      </c>
      <c r="N285" s="13"/>
      <c r="O285" s="13">
        <v>282</v>
      </c>
      <c r="P285" s="13">
        <v>116</v>
      </c>
      <c r="Q285" s="17">
        <v>116.3387997</v>
      </c>
      <c r="R285" s="13"/>
      <c r="S285" s="13"/>
      <c r="T285" s="13"/>
      <c r="U285" s="13"/>
      <c r="V285" s="13"/>
      <c r="W285" s="13"/>
      <c r="X285" s="13"/>
      <c r="Y285" s="13"/>
      <c r="Z285" s="13"/>
      <c r="AA285" s="13">
        <f t="shared" si="17"/>
        <v>0.29206870689655329</v>
      </c>
      <c r="AB285" s="13"/>
      <c r="AC285" s="34"/>
      <c r="AD285" s="34"/>
      <c r="AE285" s="34"/>
      <c r="AF285" s="34"/>
      <c r="AG285" s="34"/>
      <c r="AI285" s="35">
        <v>282</v>
      </c>
      <c r="AJ285" s="35">
        <v>116</v>
      </c>
      <c r="AK285" s="17">
        <v>115.4655838</v>
      </c>
      <c r="AV285" s="13">
        <f t="shared" si="18"/>
        <v>-0.46070362068965087</v>
      </c>
      <c r="BD285" s="35">
        <v>282</v>
      </c>
      <c r="BE285" s="35">
        <v>116</v>
      </c>
      <c r="BF285" s="17">
        <v>116.16449849999999</v>
      </c>
      <c r="BQ285" s="13">
        <f t="shared" si="19"/>
        <v>0.14180905172413993</v>
      </c>
    </row>
    <row r="286" spans="1:69">
      <c r="A286" s="13">
        <v>283</v>
      </c>
      <c r="B286" s="13">
        <v>138</v>
      </c>
      <c r="C286" s="17">
        <v>113.3044512</v>
      </c>
      <c r="D286" s="13"/>
      <c r="E286" s="13"/>
      <c r="F286" s="13"/>
      <c r="G286" s="13"/>
      <c r="H286" s="13"/>
      <c r="I286" s="13"/>
      <c r="J286" s="13"/>
      <c r="K286" s="13"/>
      <c r="L286" s="13"/>
      <c r="M286" s="13">
        <f t="shared" si="16"/>
        <v>-17.895325217391299</v>
      </c>
      <c r="N286" s="13"/>
      <c r="O286" s="13">
        <v>283</v>
      </c>
      <c r="P286" s="13">
        <v>138</v>
      </c>
      <c r="Q286" s="17">
        <v>121.0491742</v>
      </c>
      <c r="R286" s="13"/>
      <c r="S286" s="13"/>
      <c r="T286" s="13"/>
      <c r="U286" s="13"/>
      <c r="V286" s="13"/>
      <c r="W286" s="13"/>
      <c r="X286" s="13"/>
      <c r="Y286" s="13"/>
      <c r="Z286" s="13"/>
      <c r="AA286" s="13">
        <f t="shared" si="17"/>
        <v>-12.283207101449278</v>
      </c>
      <c r="AB286" s="13"/>
      <c r="AC286" s="34"/>
      <c r="AD286" s="34"/>
      <c r="AE286" s="34"/>
      <c r="AF286" s="34"/>
      <c r="AG286" s="34"/>
      <c r="AI286" s="35">
        <v>283</v>
      </c>
      <c r="AJ286" s="35">
        <v>138</v>
      </c>
      <c r="AK286" s="17">
        <v>135.66834209999999</v>
      </c>
      <c r="AV286" s="13">
        <f t="shared" si="18"/>
        <v>-1.6896071739130547</v>
      </c>
      <c r="BD286" s="35">
        <v>283</v>
      </c>
      <c r="BE286" s="35">
        <v>138</v>
      </c>
      <c r="BF286" s="17">
        <v>130.15597639999999</v>
      </c>
      <c r="BQ286" s="13">
        <f t="shared" si="19"/>
        <v>-5.684075072463779</v>
      </c>
    </row>
    <row r="287" spans="1:69">
      <c r="A287" s="13">
        <v>284</v>
      </c>
      <c r="B287" s="13">
        <v>164</v>
      </c>
      <c r="C287" s="17">
        <v>136.66953810000001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13">
        <f t="shared" si="16"/>
        <v>-16.664915792682923</v>
      </c>
      <c r="N287" s="13"/>
      <c r="O287" s="13">
        <v>284</v>
      </c>
      <c r="P287" s="13">
        <v>164</v>
      </c>
      <c r="Q287" s="17">
        <v>147.0663251</v>
      </c>
      <c r="R287" s="13"/>
      <c r="S287" s="13"/>
      <c r="T287" s="13"/>
      <c r="U287" s="13"/>
      <c r="V287" s="13"/>
      <c r="W287" s="13"/>
      <c r="X287" s="13"/>
      <c r="Y287" s="13"/>
      <c r="Z287" s="13"/>
      <c r="AA287" s="13">
        <f t="shared" si="17"/>
        <v>-10.325411524390249</v>
      </c>
      <c r="AB287" s="13"/>
      <c r="AC287" s="34"/>
      <c r="AD287" s="34"/>
      <c r="AE287" s="34"/>
      <c r="AF287" s="34"/>
      <c r="AG287" s="34"/>
      <c r="AI287" s="35">
        <v>284</v>
      </c>
      <c r="AJ287" s="35">
        <v>164</v>
      </c>
      <c r="AK287" s="17">
        <v>163.59769109999999</v>
      </c>
      <c r="AV287" s="13">
        <f t="shared" si="18"/>
        <v>-0.24531030487805472</v>
      </c>
      <c r="BD287" s="35">
        <v>284</v>
      </c>
      <c r="BE287" s="35">
        <v>164</v>
      </c>
      <c r="BF287" s="17">
        <v>159.200005</v>
      </c>
      <c r="BQ287" s="13">
        <f t="shared" si="19"/>
        <v>-2.9268262195121908</v>
      </c>
    </row>
    <row r="288" spans="1:69">
      <c r="A288" s="13">
        <v>285</v>
      </c>
      <c r="B288" s="13">
        <v>145</v>
      </c>
      <c r="C288" s="17">
        <v>135.3862125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>
        <f t="shared" si="16"/>
        <v>-6.6301982758620648</v>
      </c>
      <c r="N288" s="13"/>
      <c r="O288" s="13">
        <v>285</v>
      </c>
      <c r="P288" s="13">
        <v>145</v>
      </c>
      <c r="Q288" s="17">
        <v>139.91326319999999</v>
      </c>
      <c r="R288" s="13"/>
      <c r="S288" s="13"/>
      <c r="T288" s="13"/>
      <c r="U288" s="13"/>
      <c r="V288" s="13"/>
      <c r="W288" s="13"/>
      <c r="X288" s="13"/>
      <c r="Y288" s="13"/>
      <c r="Z288" s="13"/>
      <c r="AA288" s="13">
        <f t="shared" si="17"/>
        <v>-3.5080943448275947</v>
      </c>
      <c r="AB288" s="13"/>
      <c r="AC288" s="34"/>
      <c r="AD288" s="34"/>
      <c r="AE288" s="34"/>
      <c r="AF288" s="34"/>
      <c r="AG288" s="34"/>
      <c r="AI288" s="35">
        <v>285</v>
      </c>
      <c r="AJ288" s="35">
        <v>145</v>
      </c>
      <c r="AK288" s="17">
        <v>145.00323460000001</v>
      </c>
      <c r="AV288" s="13">
        <f t="shared" si="18"/>
        <v>2.2307586206915531E-3</v>
      </c>
      <c r="BD288" s="35">
        <v>285</v>
      </c>
      <c r="BE288" s="35">
        <v>145</v>
      </c>
      <c r="BF288" s="17">
        <v>145.2076471</v>
      </c>
      <c r="BQ288" s="13">
        <f t="shared" si="19"/>
        <v>0.14320489655172963</v>
      </c>
    </row>
    <row r="289" spans="1:69">
      <c r="A289" s="13">
        <v>286</v>
      </c>
      <c r="B289" s="13">
        <v>104</v>
      </c>
      <c r="C289" s="17">
        <v>112.8829783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>
        <f t="shared" si="16"/>
        <v>8.5413252884615432</v>
      </c>
      <c r="N289" s="13"/>
      <c r="O289" s="13">
        <v>286</v>
      </c>
      <c r="P289" s="13">
        <v>104</v>
      </c>
      <c r="Q289" s="17">
        <v>111.4755833</v>
      </c>
      <c r="R289" s="13"/>
      <c r="S289" s="13"/>
      <c r="T289" s="13"/>
      <c r="U289" s="13"/>
      <c r="V289" s="13"/>
      <c r="W289" s="13"/>
      <c r="X289" s="13"/>
      <c r="Y289" s="13"/>
      <c r="Z289" s="13"/>
      <c r="AA289" s="13">
        <f t="shared" si="17"/>
        <v>7.1880608653846156</v>
      </c>
      <c r="AB289" s="13"/>
      <c r="AC289" s="34"/>
      <c r="AD289" s="34"/>
      <c r="AE289" s="34"/>
      <c r="AF289" s="34"/>
      <c r="AG289" s="34"/>
      <c r="AI289" s="35">
        <v>286</v>
      </c>
      <c r="AJ289" s="35">
        <v>104</v>
      </c>
      <c r="AK289" s="17">
        <v>104.63378280000001</v>
      </c>
      <c r="AV289" s="13">
        <f t="shared" si="18"/>
        <v>0.60940653846155435</v>
      </c>
      <c r="BD289" s="35">
        <v>286</v>
      </c>
      <c r="BE289" s="35">
        <v>104</v>
      </c>
      <c r="BF289" s="17">
        <v>106.6575895</v>
      </c>
      <c r="BQ289" s="13">
        <f t="shared" si="19"/>
        <v>2.5553745192307797</v>
      </c>
    </row>
    <row r="290" spans="1:69">
      <c r="A290" s="13">
        <v>287</v>
      </c>
      <c r="B290" s="13">
        <v>22</v>
      </c>
      <c r="C290" s="17">
        <v>33.287297070463602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>
        <f t="shared" si="16"/>
        <v>51.305895774834553</v>
      </c>
      <c r="N290" s="13"/>
      <c r="O290" s="13">
        <v>287</v>
      </c>
      <c r="P290" s="13">
        <v>22</v>
      </c>
      <c r="Q290" s="17">
        <v>26.024962250349301</v>
      </c>
      <c r="R290" s="13"/>
      <c r="S290" s="13"/>
      <c r="T290" s="13"/>
      <c r="U290" s="13"/>
      <c r="V290" s="13"/>
      <c r="W290" s="13"/>
      <c r="X290" s="13"/>
      <c r="Y290" s="13"/>
      <c r="Z290" s="13"/>
      <c r="AA290" s="13">
        <f t="shared" si="17"/>
        <v>18.295282956133185</v>
      </c>
      <c r="AB290" s="13"/>
      <c r="AC290" s="34"/>
      <c r="AD290" s="34"/>
      <c r="AE290" s="34"/>
      <c r="AF290" s="34"/>
      <c r="AG290" s="34"/>
      <c r="AI290" s="35">
        <v>287</v>
      </c>
      <c r="AJ290" s="35">
        <v>22</v>
      </c>
      <c r="AK290" s="17">
        <v>24.732804309999999</v>
      </c>
      <c r="AV290" s="13">
        <f t="shared" si="18"/>
        <v>12.421837772727272</v>
      </c>
      <c r="BD290" s="35">
        <v>287</v>
      </c>
      <c r="BE290" s="35">
        <v>22</v>
      </c>
      <c r="BF290" s="17">
        <v>27.310707726126399</v>
      </c>
      <c r="BQ290" s="13">
        <f t="shared" si="19"/>
        <v>24.13958057330181</v>
      </c>
    </row>
    <row r="291" spans="1:69">
      <c r="A291" s="13">
        <v>288</v>
      </c>
      <c r="B291" s="13">
        <v>25</v>
      </c>
      <c r="C291" s="17">
        <v>27.977719561850002</v>
      </c>
      <c r="D291" s="13"/>
      <c r="E291" s="13"/>
      <c r="F291" s="13"/>
      <c r="G291" s="13"/>
      <c r="H291" s="13"/>
      <c r="I291" s="13"/>
      <c r="J291" s="13"/>
      <c r="K291" s="13"/>
      <c r="L291" s="13"/>
      <c r="M291" s="13">
        <f t="shared" si="16"/>
        <v>11.910878247400003</v>
      </c>
      <c r="N291" s="13"/>
      <c r="O291" s="13">
        <v>288</v>
      </c>
      <c r="P291" s="13">
        <v>25</v>
      </c>
      <c r="Q291" s="17">
        <v>35.625371739999999</v>
      </c>
      <c r="R291" s="13"/>
      <c r="S291" s="13"/>
      <c r="T291" s="13"/>
      <c r="U291" s="13"/>
      <c r="V291" s="13"/>
      <c r="W291" s="13"/>
      <c r="X291" s="13"/>
      <c r="Y291" s="13"/>
      <c r="Z291" s="13"/>
      <c r="AA291" s="13">
        <f t="shared" si="17"/>
        <v>42.501486960000001</v>
      </c>
      <c r="AB291" s="13"/>
      <c r="AC291" s="34"/>
      <c r="AD291" s="34"/>
      <c r="AE291" s="34"/>
      <c r="AF291" s="34"/>
      <c r="AG291" s="34"/>
      <c r="AI291" s="35">
        <v>288</v>
      </c>
      <c r="AJ291" s="35">
        <v>25</v>
      </c>
      <c r="AK291" s="17">
        <v>25.33181209</v>
      </c>
      <c r="AV291" s="13">
        <f t="shared" si="18"/>
        <v>1.3272483599999996</v>
      </c>
      <c r="BD291" s="35">
        <v>288</v>
      </c>
      <c r="BE291" s="35">
        <v>25</v>
      </c>
      <c r="BF291" s="17">
        <v>28.141778559999999</v>
      </c>
      <c r="BQ291" s="13">
        <f t="shared" si="19"/>
        <v>12.567114239999988</v>
      </c>
    </row>
    <row r="292" spans="1:69">
      <c r="A292" s="13">
        <v>289</v>
      </c>
      <c r="B292" s="13">
        <v>100</v>
      </c>
      <c r="C292" s="17">
        <v>106.7676536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>
        <f t="shared" si="16"/>
        <v>6.7676536000000009</v>
      </c>
      <c r="N292" s="13"/>
      <c r="O292" s="13">
        <v>289</v>
      </c>
      <c r="P292" s="13">
        <v>100</v>
      </c>
      <c r="Q292" s="17">
        <v>105.2939356</v>
      </c>
      <c r="R292" s="13"/>
      <c r="S292" s="13"/>
      <c r="T292" s="13"/>
      <c r="U292" s="13"/>
      <c r="V292" s="13"/>
      <c r="W292" s="13"/>
      <c r="X292" s="13"/>
      <c r="Y292" s="13"/>
      <c r="Z292" s="13"/>
      <c r="AA292" s="13">
        <f t="shared" si="17"/>
        <v>5.2939355999999993</v>
      </c>
      <c r="AB292" s="13"/>
      <c r="AC292" s="34"/>
      <c r="AD292" s="34"/>
      <c r="AE292" s="34"/>
      <c r="AF292" s="34"/>
      <c r="AG292" s="34"/>
      <c r="AI292" s="35">
        <v>289</v>
      </c>
      <c r="AJ292" s="35">
        <v>100</v>
      </c>
      <c r="AK292" s="17">
        <v>100.8852749</v>
      </c>
      <c r="AV292" s="13">
        <f t="shared" si="18"/>
        <v>0.88527489999998821</v>
      </c>
      <c r="BD292" s="35">
        <v>289</v>
      </c>
      <c r="BE292" s="35">
        <v>100</v>
      </c>
      <c r="BF292" s="17">
        <v>103.799677</v>
      </c>
      <c r="BQ292" s="13">
        <f t="shared" si="19"/>
        <v>3.7996770000000124</v>
      </c>
    </row>
    <row r="293" spans="1:69">
      <c r="A293" s="13">
        <v>290</v>
      </c>
      <c r="B293" s="13">
        <v>166</v>
      </c>
      <c r="C293" s="17">
        <v>155.2887997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>
        <f t="shared" si="16"/>
        <v>-6.452530301204817</v>
      </c>
      <c r="N293" s="13"/>
      <c r="O293" s="13">
        <v>290</v>
      </c>
      <c r="P293" s="13">
        <v>166</v>
      </c>
      <c r="Q293" s="17">
        <v>163.400329</v>
      </c>
      <c r="R293" s="13"/>
      <c r="S293" s="13"/>
      <c r="T293" s="13"/>
      <c r="U293" s="13"/>
      <c r="V293" s="13"/>
      <c r="W293" s="13"/>
      <c r="X293" s="13"/>
      <c r="Y293" s="13"/>
      <c r="Z293" s="13"/>
      <c r="AA293" s="13">
        <f t="shared" si="17"/>
        <v>-1.5660668674698841</v>
      </c>
      <c r="AB293" s="13"/>
      <c r="AC293" s="34"/>
      <c r="AD293" s="34"/>
      <c r="AE293" s="34"/>
      <c r="AF293" s="34"/>
      <c r="AG293" s="34"/>
      <c r="AI293" s="35">
        <v>290</v>
      </c>
      <c r="AJ293" s="35">
        <v>166</v>
      </c>
      <c r="AK293" s="17">
        <v>166.05016079999999</v>
      </c>
      <c r="AV293" s="13">
        <f t="shared" si="18"/>
        <v>3.0217349397587689E-2</v>
      </c>
      <c r="BD293" s="35">
        <v>290</v>
      </c>
      <c r="BE293" s="35">
        <v>166</v>
      </c>
      <c r="BF293" s="17">
        <v>166.70428440000001</v>
      </c>
      <c r="BQ293" s="13">
        <f t="shared" si="19"/>
        <v>0.42426771084338455</v>
      </c>
    </row>
    <row r="294" spans="1:69">
      <c r="A294" s="13">
        <v>291</v>
      </c>
      <c r="B294" s="13">
        <v>68</v>
      </c>
      <c r="C294" s="17">
        <v>86.249095460000007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>
        <f t="shared" ref="M294:M357" si="20">((C294/B294)-1)*100</f>
        <v>26.836905088235309</v>
      </c>
      <c r="N294" s="13"/>
      <c r="O294" s="13">
        <v>291</v>
      </c>
      <c r="P294" s="13">
        <v>68</v>
      </c>
      <c r="Q294" s="17">
        <v>78.576956809999999</v>
      </c>
      <c r="R294" s="13"/>
      <c r="S294" s="13"/>
      <c r="T294" s="13"/>
      <c r="U294" s="13"/>
      <c r="V294" s="13"/>
      <c r="W294" s="13"/>
      <c r="X294" s="13"/>
      <c r="Y294" s="13"/>
      <c r="Z294" s="13"/>
      <c r="AA294" s="13">
        <f t="shared" si="17"/>
        <v>15.554348249999993</v>
      </c>
      <c r="AB294" s="13"/>
      <c r="AC294" s="34"/>
      <c r="AD294" s="34"/>
      <c r="AE294" s="34"/>
      <c r="AF294" s="34"/>
      <c r="AG294" s="34"/>
      <c r="AI294" s="35">
        <v>291</v>
      </c>
      <c r="AJ294" s="35">
        <v>68</v>
      </c>
      <c r="AK294" s="17">
        <v>69.791486430000006</v>
      </c>
      <c r="AV294" s="13">
        <f t="shared" si="18"/>
        <v>2.6345388676470627</v>
      </c>
      <c r="BD294" s="35">
        <v>291</v>
      </c>
      <c r="BE294" s="35">
        <v>68</v>
      </c>
      <c r="BF294" s="17">
        <v>74.235553629999998</v>
      </c>
      <c r="BQ294" s="13">
        <f t="shared" si="19"/>
        <v>9.1699318088235273</v>
      </c>
    </row>
    <row r="295" spans="1:69">
      <c r="A295" s="13">
        <v>292</v>
      </c>
      <c r="B295" s="13">
        <v>26</v>
      </c>
      <c r="C295" s="17">
        <v>14.5202081585703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>
        <f t="shared" si="20"/>
        <v>-44.153045543960381</v>
      </c>
      <c r="N295" s="13"/>
      <c r="O295" s="13">
        <v>292</v>
      </c>
      <c r="P295" s="13">
        <v>26</v>
      </c>
      <c r="Q295" s="17">
        <v>27.174339554460399</v>
      </c>
      <c r="R295" s="13"/>
      <c r="S295" s="13"/>
      <c r="T295" s="13"/>
      <c r="U295" s="13"/>
      <c r="V295" s="13"/>
      <c r="W295" s="13"/>
      <c r="X295" s="13"/>
      <c r="Y295" s="13"/>
      <c r="Z295" s="13"/>
      <c r="AA295" s="13">
        <f t="shared" si="17"/>
        <v>4.5166905940784652</v>
      </c>
      <c r="AB295" s="13"/>
      <c r="AC295" s="34"/>
      <c r="AD295" s="34"/>
      <c r="AE295" s="34"/>
      <c r="AF295" s="34"/>
      <c r="AG295" s="34"/>
      <c r="AI295" s="35">
        <v>292</v>
      </c>
      <c r="AJ295" s="35">
        <v>26</v>
      </c>
      <c r="AK295" s="17">
        <v>26.600579549999999</v>
      </c>
      <c r="AV295" s="13">
        <f t="shared" si="18"/>
        <v>2.3099213461538426</v>
      </c>
      <c r="BD295" s="35">
        <v>292</v>
      </c>
      <c r="BE295" s="35">
        <v>26</v>
      </c>
      <c r="BF295" s="17">
        <v>33.15617357</v>
      </c>
      <c r="BQ295" s="13">
        <f t="shared" si="19"/>
        <v>27.523744499999992</v>
      </c>
    </row>
    <row r="296" spans="1:69">
      <c r="A296" s="13">
        <v>293</v>
      </c>
      <c r="B296" s="13">
        <v>40</v>
      </c>
      <c r="C296" s="17">
        <v>63.340095169999998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>
        <f t="shared" si="20"/>
        <v>58.350237925000002</v>
      </c>
      <c r="N296" s="13"/>
      <c r="O296" s="13">
        <v>293</v>
      </c>
      <c r="P296" s="13">
        <v>40</v>
      </c>
      <c r="Q296" s="17">
        <v>45.283469150000002</v>
      </c>
      <c r="R296" s="13"/>
      <c r="S296" s="13"/>
      <c r="T296" s="13"/>
      <c r="U296" s="13"/>
      <c r="V296" s="13"/>
      <c r="W296" s="13"/>
      <c r="X296" s="13"/>
      <c r="Y296" s="13"/>
      <c r="Z296" s="13"/>
      <c r="AA296" s="13">
        <f t="shared" si="17"/>
        <v>13.208672875000005</v>
      </c>
      <c r="AB296" s="13"/>
      <c r="AC296" s="34"/>
      <c r="AD296" s="34"/>
      <c r="AE296" s="34"/>
      <c r="AF296" s="34"/>
      <c r="AG296" s="34"/>
      <c r="AI296" s="35">
        <v>293</v>
      </c>
      <c r="AJ296" s="35">
        <v>40</v>
      </c>
      <c r="AK296" s="17">
        <v>40.09897823</v>
      </c>
      <c r="AV296" s="13">
        <f t="shared" si="18"/>
        <v>0.24744557500000486</v>
      </c>
      <c r="BD296" s="35">
        <v>293</v>
      </c>
      <c r="BE296" s="35">
        <v>40</v>
      </c>
      <c r="BF296" s="17">
        <v>40.754383750000002</v>
      </c>
      <c r="BQ296" s="13">
        <f t="shared" si="19"/>
        <v>1.8859593750000014</v>
      </c>
    </row>
    <row r="297" spans="1:69">
      <c r="A297" s="13">
        <v>294</v>
      </c>
      <c r="B297" s="13">
        <v>12</v>
      </c>
      <c r="C297" s="17">
        <v>9.9791394960254092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>
        <f t="shared" si="20"/>
        <v>-16.840504199788253</v>
      </c>
      <c r="N297" s="13"/>
      <c r="O297" s="13">
        <v>294</v>
      </c>
      <c r="P297" s="13">
        <v>12</v>
      </c>
      <c r="Q297" s="17">
        <v>11.7420520649103</v>
      </c>
      <c r="R297" s="13"/>
      <c r="S297" s="13"/>
      <c r="T297" s="13"/>
      <c r="U297" s="13"/>
      <c r="V297" s="13"/>
      <c r="W297" s="13"/>
      <c r="X297" s="13"/>
      <c r="Y297" s="13"/>
      <c r="Z297" s="13"/>
      <c r="AA297" s="13">
        <f t="shared" si="17"/>
        <v>-2.149566125747493</v>
      </c>
      <c r="AB297" s="13"/>
      <c r="AC297" s="34"/>
      <c r="AD297" s="34"/>
      <c r="AE297" s="34"/>
      <c r="AF297" s="34"/>
      <c r="AG297" s="34"/>
      <c r="AI297" s="35">
        <v>294</v>
      </c>
      <c r="AJ297" s="35">
        <v>12</v>
      </c>
      <c r="AK297" s="17">
        <v>14.14688645</v>
      </c>
      <c r="AV297" s="13">
        <f t="shared" si="18"/>
        <v>17.89072041666666</v>
      </c>
      <c r="BD297" s="35">
        <v>294</v>
      </c>
      <c r="BE297" s="35">
        <v>12</v>
      </c>
      <c r="BF297" s="17">
        <v>14.5779093229648</v>
      </c>
      <c r="BQ297" s="13">
        <f t="shared" si="19"/>
        <v>21.48257769137334</v>
      </c>
    </row>
    <row r="298" spans="1:69">
      <c r="A298" s="13">
        <v>295</v>
      </c>
      <c r="B298" s="13">
        <v>147</v>
      </c>
      <c r="C298" s="17">
        <v>120.330665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>
        <f t="shared" si="20"/>
        <v>-18.142404761904764</v>
      </c>
      <c r="N298" s="13"/>
      <c r="O298" s="13">
        <v>295</v>
      </c>
      <c r="P298" s="13">
        <v>147</v>
      </c>
      <c r="Q298" s="17">
        <v>128.80470310000001</v>
      </c>
      <c r="R298" s="13"/>
      <c r="S298" s="13"/>
      <c r="T298" s="13"/>
      <c r="U298" s="13"/>
      <c r="V298" s="13"/>
      <c r="W298" s="13"/>
      <c r="X298" s="13"/>
      <c r="Y298" s="13"/>
      <c r="Z298" s="13"/>
      <c r="AA298" s="13">
        <f t="shared" si="17"/>
        <v>-12.377752993197266</v>
      </c>
      <c r="AB298" s="13"/>
      <c r="AC298" s="34"/>
      <c r="AD298" s="34"/>
      <c r="AE298" s="34"/>
      <c r="AF298" s="34"/>
      <c r="AG298" s="34"/>
      <c r="AI298" s="35">
        <v>295</v>
      </c>
      <c r="AJ298" s="35">
        <v>147</v>
      </c>
      <c r="AK298" s="17">
        <v>145.5772302</v>
      </c>
      <c r="AV298" s="13">
        <f t="shared" si="18"/>
        <v>-0.96787061224489213</v>
      </c>
      <c r="BD298" s="35">
        <v>295</v>
      </c>
      <c r="BE298" s="35">
        <v>147</v>
      </c>
      <c r="BF298" s="17">
        <v>139.46606600000001</v>
      </c>
      <c r="BQ298" s="13">
        <f t="shared" si="19"/>
        <v>-5.1251251700680234</v>
      </c>
    </row>
    <row r="299" spans="1:69">
      <c r="A299" s="13">
        <v>296</v>
      </c>
      <c r="B299" s="13">
        <v>211</v>
      </c>
      <c r="C299" s="17">
        <v>159.8139683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>
        <f t="shared" si="20"/>
        <v>-24.258782796208532</v>
      </c>
      <c r="N299" s="13"/>
      <c r="O299" s="13">
        <v>296</v>
      </c>
      <c r="P299" s="13">
        <v>211</v>
      </c>
      <c r="Q299" s="17">
        <v>183.56310690000001</v>
      </c>
      <c r="R299" s="13"/>
      <c r="S299" s="13"/>
      <c r="T299" s="13"/>
      <c r="U299" s="13"/>
      <c r="V299" s="13"/>
      <c r="W299" s="13"/>
      <c r="X299" s="13"/>
      <c r="Y299" s="13"/>
      <c r="Z299" s="13"/>
      <c r="AA299" s="13">
        <f t="shared" si="17"/>
        <v>-13.00326687203791</v>
      </c>
      <c r="AB299" s="13"/>
      <c r="AC299" s="34"/>
      <c r="AD299" s="34"/>
      <c r="AE299" s="34"/>
      <c r="AF299" s="34"/>
      <c r="AG299" s="34"/>
      <c r="AI299" s="35">
        <v>296</v>
      </c>
      <c r="AJ299" s="35">
        <v>211</v>
      </c>
      <c r="AK299" s="17">
        <v>210.5599656</v>
      </c>
      <c r="AV299" s="13">
        <f t="shared" si="18"/>
        <v>-0.20854710900474194</v>
      </c>
      <c r="BD299" s="35">
        <v>296</v>
      </c>
      <c r="BE299" s="35">
        <v>211</v>
      </c>
      <c r="BF299" s="17">
        <v>206.28326440000001</v>
      </c>
      <c r="BQ299" s="13">
        <f t="shared" si="19"/>
        <v>-2.2354197156398081</v>
      </c>
    </row>
    <row r="300" spans="1:69">
      <c r="A300" s="13">
        <v>297</v>
      </c>
      <c r="B300" s="13">
        <v>192</v>
      </c>
      <c r="C300" s="17">
        <v>154.30168119999999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>
        <f t="shared" si="20"/>
        <v>-19.634541041666676</v>
      </c>
      <c r="N300" s="13"/>
      <c r="O300" s="13">
        <v>297</v>
      </c>
      <c r="P300" s="13">
        <v>192</v>
      </c>
      <c r="Q300" s="17">
        <v>169.84091069999999</v>
      </c>
      <c r="R300" s="13"/>
      <c r="S300" s="13"/>
      <c r="T300" s="13"/>
      <c r="U300" s="13"/>
      <c r="V300" s="13"/>
      <c r="W300" s="13"/>
      <c r="X300" s="13"/>
      <c r="Y300" s="13"/>
      <c r="Z300" s="13"/>
      <c r="AA300" s="13">
        <f t="shared" si="17"/>
        <v>-11.541192343750007</v>
      </c>
      <c r="AB300" s="13"/>
      <c r="AC300" s="34"/>
      <c r="AD300" s="34"/>
      <c r="AE300" s="34"/>
      <c r="AF300" s="34"/>
      <c r="AG300" s="34"/>
      <c r="AI300" s="35">
        <v>297</v>
      </c>
      <c r="AJ300" s="35">
        <v>192</v>
      </c>
      <c r="AK300" s="17">
        <v>189.1195347</v>
      </c>
      <c r="AV300" s="13">
        <f t="shared" si="18"/>
        <v>-1.5002423437500023</v>
      </c>
      <c r="BD300" s="35">
        <v>297</v>
      </c>
      <c r="BE300" s="35">
        <v>192</v>
      </c>
      <c r="BF300" s="17">
        <v>178.4522393</v>
      </c>
      <c r="BQ300" s="13">
        <f t="shared" si="19"/>
        <v>-7.0561253645833322</v>
      </c>
    </row>
    <row r="301" spans="1:69">
      <c r="A301" s="13">
        <v>298</v>
      </c>
      <c r="B301" s="13">
        <v>154</v>
      </c>
      <c r="C301" s="17">
        <v>127.0882397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>
        <f t="shared" si="20"/>
        <v>-17.475169025974026</v>
      </c>
      <c r="N301" s="13"/>
      <c r="O301" s="13">
        <v>298</v>
      </c>
      <c r="P301" s="13">
        <v>154</v>
      </c>
      <c r="Q301" s="17">
        <v>136.6866905</v>
      </c>
      <c r="R301" s="13"/>
      <c r="S301" s="13"/>
      <c r="T301" s="13"/>
      <c r="U301" s="13"/>
      <c r="V301" s="13"/>
      <c r="W301" s="13"/>
      <c r="X301" s="13"/>
      <c r="Y301" s="13"/>
      <c r="Z301" s="13"/>
      <c r="AA301" s="13">
        <f t="shared" si="17"/>
        <v>-11.242408766233769</v>
      </c>
      <c r="AB301" s="13"/>
      <c r="AC301" s="34"/>
      <c r="AD301" s="34"/>
      <c r="AE301" s="34"/>
      <c r="AF301" s="34"/>
      <c r="AG301" s="34"/>
      <c r="AI301" s="35">
        <v>298</v>
      </c>
      <c r="AJ301" s="35">
        <v>154</v>
      </c>
      <c r="AK301" s="17">
        <v>151.0222914</v>
      </c>
      <c r="AV301" s="13">
        <f t="shared" si="18"/>
        <v>-1.9335770129870089</v>
      </c>
      <c r="BD301" s="35">
        <v>298</v>
      </c>
      <c r="BE301" s="35">
        <v>154</v>
      </c>
      <c r="BF301" s="17">
        <v>143.74764020000001</v>
      </c>
      <c r="BQ301" s="13">
        <f t="shared" si="19"/>
        <v>-6.6573764935064839</v>
      </c>
    </row>
    <row r="302" spans="1:69">
      <c r="A302" s="13">
        <v>299</v>
      </c>
      <c r="B302" s="13">
        <v>211</v>
      </c>
      <c r="C302" s="17">
        <v>175.11211030000001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>
        <f t="shared" si="20"/>
        <v>-17.008478530805682</v>
      </c>
      <c r="N302" s="13"/>
      <c r="O302" s="13">
        <v>299</v>
      </c>
      <c r="P302" s="13">
        <v>211</v>
      </c>
      <c r="Q302" s="17">
        <v>198.37472299999999</v>
      </c>
      <c r="R302" s="13"/>
      <c r="S302" s="13"/>
      <c r="T302" s="13"/>
      <c r="U302" s="13"/>
      <c r="V302" s="13"/>
      <c r="W302" s="13"/>
      <c r="X302" s="13"/>
      <c r="Y302" s="13"/>
      <c r="Z302" s="13"/>
      <c r="AA302" s="13">
        <f t="shared" si="17"/>
        <v>-5.983543601895736</v>
      </c>
      <c r="AB302" s="13"/>
      <c r="AC302" s="34"/>
      <c r="AD302" s="34"/>
      <c r="AE302" s="34"/>
      <c r="AF302" s="34"/>
      <c r="AG302" s="34"/>
      <c r="AI302" s="35">
        <v>299</v>
      </c>
      <c r="AJ302" s="35">
        <v>211</v>
      </c>
      <c r="AK302" s="17">
        <v>210.9884333</v>
      </c>
      <c r="AV302" s="13">
        <f t="shared" si="18"/>
        <v>-5.4818483412377716E-3</v>
      </c>
      <c r="BD302" s="35">
        <v>299</v>
      </c>
      <c r="BE302" s="35">
        <v>211</v>
      </c>
      <c r="BF302" s="17">
        <v>208.9849131</v>
      </c>
      <c r="BQ302" s="13">
        <f t="shared" si="19"/>
        <v>-0.95501748815165488</v>
      </c>
    </row>
    <row r="303" spans="1:69">
      <c r="A303" s="13">
        <v>300</v>
      </c>
      <c r="B303" s="13">
        <v>39</v>
      </c>
      <c r="C303" s="17">
        <v>58.34289725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>
        <f t="shared" si="20"/>
        <v>49.597172435897427</v>
      </c>
      <c r="N303" s="13"/>
      <c r="O303" s="13">
        <v>300</v>
      </c>
      <c r="P303" s="13">
        <v>39</v>
      </c>
      <c r="Q303" s="17">
        <v>40.822500220000002</v>
      </c>
      <c r="R303" s="13"/>
      <c r="S303" s="13"/>
      <c r="T303" s="13"/>
      <c r="U303" s="13"/>
      <c r="V303" s="13"/>
      <c r="W303" s="13"/>
      <c r="X303" s="13"/>
      <c r="Y303" s="13"/>
      <c r="Z303" s="13"/>
      <c r="AA303" s="13">
        <f t="shared" si="17"/>
        <v>4.6730774871794889</v>
      </c>
      <c r="AB303" s="13"/>
      <c r="AC303" s="34"/>
      <c r="AD303" s="34"/>
      <c r="AE303" s="34"/>
      <c r="AF303" s="34"/>
      <c r="AG303" s="34"/>
      <c r="AI303" s="35">
        <v>300</v>
      </c>
      <c r="AJ303" s="35">
        <v>39</v>
      </c>
      <c r="AK303" s="17">
        <v>38.879166669999996</v>
      </c>
      <c r="AV303" s="13">
        <f t="shared" si="18"/>
        <v>-0.30982905128206228</v>
      </c>
      <c r="BD303" s="35">
        <v>300</v>
      </c>
      <c r="BE303" s="35">
        <v>39</v>
      </c>
      <c r="BF303" s="17">
        <v>38.619529790000001</v>
      </c>
      <c r="BQ303" s="13">
        <f t="shared" si="19"/>
        <v>-0.97556464102563911</v>
      </c>
    </row>
    <row r="304" spans="1:69">
      <c r="A304" s="13">
        <v>301</v>
      </c>
      <c r="B304" s="13">
        <v>183</v>
      </c>
      <c r="C304" s="17">
        <v>166.51652290000001</v>
      </c>
      <c r="D304" s="13"/>
      <c r="E304" s="13"/>
      <c r="F304" s="13"/>
      <c r="G304" s="13"/>
      <c r="H304" s="13"/>
      <c r="I304" s="13"/>
      <c r="J304" s="13"/>
      <c r="K304" s="13"/>
      <c r="L304" s="13"/>
      <c r="M304" s="13">
        <f t="shared" si="20"/>
        <v>-9.0073645355191125</v>
      </c>
      <c r="N304" s="13"/>
      <c r="O304" s="13">
        <v>301</v>
      </c>
      <c r="P304" s="13">
        <v>183</v>
      </c>
      <c r="Q304" s="17">
        <v>180.02759459999999</v>
      </c>
      <c r="R304" s="13"/>
      <c r="S304" s="13"/>
      <c r="T304" s="13"/>
      <c r="U304" s="13"/>
      <c r="V304" s="13"/>
      <c r="W304" s="13"/>
      <c r="X304" s="13"/>
      <c r="Y304" s="13"/>
      <c r="Z304" s="13"/>
      <c r="AA304" s="13">
        <f t="shared" si="17"/>
        <v>-1.624265245901646</v>
      </c>
      <c r="AB304" s="13"/>
      <c r="AC304" s="34"/>
      <c r="AD304" s="34"/>
      <c r="AE304" s="34"/>
      <c r="AF304" s="34"/>
      <c r="AG304" s="34"/>
      <c r="AI304" s="35">
        <v>301</v>
      </c>
      <c r="AJ304" s="35">
        <v>183</v>
      </c>
      <c r="AK304" s="17">
        <v>182.3744944</v>
      </c>
      <c r="AV304" s="13">
        <f t="shared" si="18"/>
        <v>-0.34180633879781208</v>
      </c>
      <c r="BD304" s="35">
        <v>301</v>
      </c>
      <c r="BE304" s="35">
        <v>183</v>
      </c>
      <c r="BF304" s="17">
        <v>180.03071249999999</v>
      </c>
      <c r="BQ304" s="13">
        <f t="shared" si="19"/>
        <v>-1.622561475409845</v>
      </c>
    </row>
    <row r="305" spans="1:69">
      <c r="A305" s="13">
        <v>302</v>
      </c>
      <c r="B305" s="13">
        <v>80</v>
      </c>
      <c r="C305" s="17">
        <v>93.093534300000002</v>
      </c>
      <c r="D305" s="13"/>
      <c r="E305" s="13"/>
      <c r="F305" s="13"/>
      <c r="G305" s="13"/>
      <c r="H305" s="13"/>
      <c r="I305" s="13"/>
      <c r="J305" s="13"/>
      <c r="K305" s="13"/>
      <c r="L305" s="13"/>
      <c r="M305" s="13">
        <f t="shared" si="20"/>
        <v>16.366917874999999</v>
      </c>
      <c r="N305" s="13"/>
      <c r="O305" s="13">
        <v>302</v>
      </c>
      <c r="P305" s="13">
        <v>80</v>
      </c>
      <c r="Q305" s="17">
        <v>85.170157230000001</v>
      </c>
      <c r="R305" s="13"/>
      <c r="S305" s="13"/>
      <c r="T305" s="13"/>
      <c r="U305" s="13"/>
      <c r="V305" s="13"/>
      <c r="W305" s="13"/>
      <c r="X305" s="13"/>
      <c r="Y305" s="13"/>
      <c r="Z305" s="13"/>
      <c r="AA305" s="13">
        <f t="shared" si="17"/>
        <v>6.4626965375000012</v>
      </c>
      <c r="AB305" s="13"/>
      <c r="AC305" s="34"/>
      <c r="AD305" s="34"/>
      <c r="AE305" s="34"/>
      <c r="AF305" s="34"/>
      <c r="AG305" s="34"/>
      <c r="AI305" s="35">
        <v>302</v>
      </c>
      <c r="AJ305" s="35">
        <v>80</v>
      </c>
      <c r="AK305" s="17">
        <v>80.364974149999995</v>
      </c>
      <c r="AV305" s="13">
        <f t="shared" si="18"/>
        <v>0.45621768749999347</v>
      </c>
      <c r="BD305" s="35">
        <v>302</v>
      </c>
      <c r="BE305" s="35">
        <v>80</v>
      </c>
      <c r="BF305" s="17">
        <v>81.869342709999998</v>
      </c>
      <c r="BQ305" s="13">
        <f t="shared" si="19"/>
        <v>2.3366783875000019</v>
      </c>
    </row>
    <row r="306" spans="1:69">
      <c r="A306" s="13">
        <v>303</v>
      </c>
      <c r="B306" s="13">
        <v>176</v>
      </c>
      <c r="C306" s="17">
        <v>162.15975789999999</v>
      </c>
      <c r="D306" s="13"/>
      <c r="E306" s="13"/>
      <c r="F306" s="13"/>
      <c r="G306" s="13"/>
      <c r="H306" s="13"/>
      <c r="I306" s="13"/>
      <c r="J306" s="13"/>
      <c r="K306" s="13"/>
      <c r="L306" s="13"/>
      <c r="M306" s="13">
        <f t="shared" si="20"/>
        <v>-7.8637739204545536</v>
      </c>
      <c r="N306" s="13"/>
      <c r="O306" s="13">
        <v>303</v>
      </c>
      <c r="P306" s="13">
        <v>176</v>
      </c>
      <c r="Q306" s="17">
        <v>175.86941630000001</v>
      </c>
      <c r="R306" s="13"/>
      <c r="S306" s="13"/>
      <c r="T306" s="13"/>
      <c r="U306" s="13"/>
      <c r="V306" s="13"/>
      <c r="W306" s="13"/>
      <c r="X306" s="13"/>
      <c r="Y306" s="13"/>
      <c r="Z306" s="13"/>
      <c r="AA306" s="13">
        <f t="shared" si="17"/>
        <v>-7.4195284090905478E-2</v>
      </c>
      <c r="AB306" s="13"/>
      <c r="AC306" s="34"/>
      <c r="AD306" s="34"/>
      <c r="AE306" s="34"/>
      <c r="AF306" s="34"/>
      <c r="AG306" s="34"/>
      <c r="AI306" s="35">
        <v>303</v>
      </c>
      <c r="AJ306" s="35">
        <v>176</v>
      </c>
      <c r="AK306" s="17">
        <v>175.74186220000001</v>
      </c>
      <c r="AV306" s="13">
        <f t="shared" si="18"/>
        <v>-0.14666920454544652</v>
      </c>
      <c r="BD306" s="35">
        <v>303</v>
      </c>
      <c r="BE306" s="35">
        <v>176</v>
      </c>
      <c r="BF306" s="17">
        <v>175.4682407</v>
      </c>
      <c r="BQ306" s="13">
        <f t="shared" si="19"/>
        <v>-0.30213596590908942</v>
      </c>
    </row>
    <row r="307" spans="1:69">
      <c r="A307" s="13">
        <v>304</v>
      </c>
      <c r="B307" s="13">
        <v>126</v>
      </c>
      <c r="C307" s="17">
        <v>135.52628250000001</v>
      </c>
      <c r="D307" s="13"/>
      <c r="E307" s="13"/>
      <c r="F307" s="13"/>
      <c r="G307" s="13"/>
      <c r="H307" s="13"/>
      <c r="I307" s="13"/>
      <c r="J307" s="13"/>
      <c r="K307" s="13"/>
      <c r="L307" s="13"/>
      <c r="M307" s="13">
        <f t="shared" si="20"/>
        <v>7.5605416666666647</v>
      </c>
      <c r="N307" s="13"/>
      <c r="O307" s="13">
        <v>304</v>
      </c>
      <c r="P307" s="13">
        <v>126</v>
      </c>
      <c r="Q307" s="17">
        <v>136.19171220000001</v>
      </c>
      <c r="R307" s="13"/>
      <c r="S307" s="13"/>
      <c r="T307" s="13"/>
      <c r="U307" s="13"/>
      <c r="V307" s="13"/>
      <c r="W307" s="13"/>
      <c r="X307" s="13"/>
      <c r="Y307" s="13"/>
      <c r="Z307" s="13"/>
      <c r="AA307" s="13">
        <f t="shared" si="17"/>
        <v>8.0886604761904799</v>
      </c>
      <c r="AB307" s="13"/>
      <c r="AC307" s="34"/>
      <c r="AD307" s="34"/>
      <c r="AE307" s="34"/>
      <c r="AF307" s="34"/>
      <c r="AG307" s="34"/>
      <c r="AI307" s="35">
        <v>304</v>
      </c>
      <c r="AJ307" s="35">
        <v>126</v>
      </c>
      <c r="AK307" s="17">
        <v>126.574342</v>
      </c>
      <c r="AV307" s="13">
        <f t="shared" si="18"/>
        <v>0.45582698412698353</v>
      </c>
      <c r="BD307" s="35">
        <v>304</v>
      </c>
      <c r="BE307" s="35">
        <v>126</v>
      </c>
      <c r="BF307" s="17">
        <v>131.0387332</v>
      </c>
      <c r="BQ307" s="13">
        <f t="shared" si="19"/>
        <v>3.9989946031746104</v>
      </c>
    </row>
    <row r="308" spans="1:69">
      <c r="A308" s="13">
        <v>305</v>
      </c>
      <c r="B308" s="13">
        <v>168</v>
      </c>
      <c r="C308" s="17">
        <v>142.222385</v>
      </c>
      <c r="D308" s="13"/>
      <c r="E308" s="13"/>
      <c r="F308" s="13"/>
      <c r="G308" s="13"/>
      <c r="H308" s="13"/>
      <c r="I308" s="13"/>
      <c r="J308" s="13"/>
      <c r="K308" s="13"/>
      <c r="L308" s="13"/>
      <c r="M308" s="13">
        <f t="shared" si="20"/>
        <v>-15.343818452380953</v>
      </c>
      <c r="N308" s="13"/>
      <c r="O308" s="13">
        <v>305</v>
      </c>
      <c r="P308" s="13">
        <v>168</v>
      </c>
      <c r="Q308" s="17">
        <v>152.3476138</v>
      </c>
      <c r="R308" s="13"/>
      <c r="S308" s="13"/>
      <c r="T308" s="13"/>
      <c r="U308" s="13"/>
      <c r="V308" s="13"/>
      <c r="W308" s="13"/>
      <c r="X308" s="13"/>
      <c r="Y308" s="13"/>
      <c r="Z308" s="13"/>
      <c r="AA308" s="13">
        <f t="shared" si="17"/>
        <v>-9.3168965476190468</v>
      </c>
      <c r="AB308" s="13"/>
      <c r="AC308" s="34"/>
      <c r="AD308" s="34"/>
      <c r="AE308" s="34"/>
      <c r="AF308" s="34"/>
      <c r="AG308" s="34"/>
      <c r="AI308" s="35">
        <v>305</v>
      </c>
      <c r="AJ308" s="35">
        <v>168</v>
      </c>
      <c r="AK308" s="17">
        <v>167.63726349999999</v>
      </c>
      <c r="AV308" s="13">
        <f t="shared" si="18"/>
        <v>-0.21591458333334312</v>
      </c>
      <c r="BD308" s="35">
        <v>305</v>
      </c>
      <c r="BE308" s="35">
        <v>168</v>
      </c>
      <c r="BF308" s="17">
        <v>166.89372230000001</v>
      </c>
      <c r="BQ308" s="13">
        <f t="shared" si="19"/>
        <v>-0.65849863095237549</v>
      </c>
    </row>
    <row r="309" spans="1:69">
      <c r="A309" s="13">
        <v>306</v>
      </c>
      <c r="B309" s="13">
        <v>165</v>
      </c>
      <c r="C309" s="17">
        <v>133.97470759999999</v>
      </c>
      <c r="D309" s="13"/>
      <c r="E309" s="13"/>
      <c r="F309" s="13"/>
      <c r="G309" s="13"/>
      <c r="H309" s="13"/>
      <c r="I309" s="13"/>
      <c r="J309" s="13"/>
      <c r="K309" s="13"/>
      <c r="L309" s="13"/>
      <c r="M309" s="13">
        <f t="shared" si="20"/>
        <v>-18.80320751515152</v>
      </c>
      <c r="N309" s="13"/>
      <c r="O309" s="13">
        <v>306</v>
      </c>
      <c r="P309" s="13">
        <v>165</v>
      </c>
      <c r="Q309" s="17">
        <v>145.40456789999999</v>
      </c>
      <c r="R309" s="13"/>
      <c r="S309" s="13"/>
      <c r="T309" s="13"/>
      <c r="U309" s="13"/>
      <c r="V309" s="13"/>
      <c r="W309" s="13"/>
      <c r="X309" s="13"/>
      <c r="Y309" s="13"/>
      <c r="Z309" s="13"/>
      <c r="AA309" s="13">
        <f t="shared" si="17"/>
        <v>-11.87601945454546</v>
      </c>
      <c r="AB309" s="13"/>
      <c r="AC309" s="34"/>
      <c r="AD309" s="34"/>
      <c r="AE309" s="34"/>
      <c r="AF309" s="34"/>
      <c r="AG309" s="34"/>
      <c r="AI309" s="35">
        <v>306</v>
      </c>
      <c r="AJ309" s="35">
        <v>165</v>
      </c>
      <c r="AK309" s="17">
        <v>163.6184781</v>
      </c>
      <c r="AV309" s="13">
        <f t="shared" si="18"/>
        <v>-0.83728599999999265</v>
      </c>
      <c r="BD309" s="35">
        <v>306</v>
      </c>
      <c r="BE309" s="35">
        <v>165</v>
      </c>
      <c r="BF309" s="17">
        <v>156.37654119999999</v>
      </c>
      <c r="BQ309" s="13">
        <f t="shared" si="19"/>
        <v>-5.226338666666674</v>
      </c>
    </row>
    <row r="310" spans="1:69">
      <c r="A310" s="13">
        <v>307</v>
      </c>
      <c r="B310" s="13">
        <v>61</v>
      </c>
      <c r="C310" s="17">
        <v>85.544447750000003</v>
      </c>
      <c r="D310" s="13"/>
      <c r="E310" s="13"/>
      <c r="F310" s="13"/>
      <c r="G310" s="13"/>
      <c r="H310" s="13"/>
      <c r="I310" s="13"/>
      <c r="J310" s="13"/>
      <c r="K310" s="13"/>
      <c r="L310" s="13"/>
      <c r="M310" s="13">
        <f t="shared" si="20"/>
        <v>40.236799590163926</v>
      </c>
      <c r="N310" s="13"/>
      <c r="O310" s="13">
        <v>307</v>
      </c>
      <c r="P310" s="13">
        <v>61</v>
      </c>
      <c r="Q310" s="17">
        <v>74.688735969999996</v>
      </c>
      <c r="R310" s="13"/>
      <c r="S310" s="13"/>
      <c r="T310" s="13"/>
      <c r="U310" s="13"/>
      <c r="V310" s="13"/>
      <c r="W310" s="13"/>
      <c r="X310" s="13"/>
      <c r="Y310" s="13"/>
      <c r="Z310" s="13"/>
      <c r="AA310" s="13">
        <f t="shared" si="17"/>
        <v>22.440550770491807</v>
      </c>
      <c r="AB310" s="13"/>
      <c r="AC310" s="34"/>
      <c r="AD310" s="34"/>
      <c r="AE310" s="34"/>
      <c r="AF310" s="34"/>
      <c r="AG310" s="34"/>
      <c r="AI310" s="35">
        <v>307</v>
      </c>
      <c r="AJ310" s="35">
        <v>61</v>
      </c>
      <c r="AK310" s="17">
        <v>63.92027101</v>
      </c>
      <c r="AV310" s="13">
        <f t="shared" si="18"/>
        <v>4.7873295245901559</v>
      </c>
      <c r="BD310" s="35">
        <v>307</v>
      </c>
      <c r="BE310" s="35">
        <v>61</v>
      </c>
      <c r="BF310" s="17">
        <v>72.11741207</v>
      </c>
      <c r="BQ310" s="13">
        <f t="shared" si="19"/>
        <v>18.225265688524583</v>
      </c>
    </row>
    <row r="311" spans="1:69">
      <c r="A311" s="13">
        <v>308</v>
      </c>
      <c r="B311" s="13">
        <v>160</v>
      </c>
      <c r="C311" s="17">
        <v>145.9572733</v>
      </c>
      <c r="D311" s="13"/>
      <c r="E311" s="13"/>
      <c r="F311" s="13"/>
      <c r="G311" s="13"/>
      <c r="H311" s="13"/>
      <c r="I311" s="13"/>
      <c r="J311" s="13"/>
      <c r="K311" s="13"/>
      <c r="L311" s="13"/>
      <c r="M311" s="13">
        <f t="shared" si="20"/>
        <v>-8.7767041875000054</v>
      </c>
      <c r="N311" s="13"/>
      <c r="O311" s="13">
        <v>308</v>
      </c>
      <c r="P311" s="13">
        <v>160</v>
      </c>
      <c r="Q311" s="17">
        <v>154.4724784</v>
      </c>
      <c r="R311" s="13"/>
      <c r="S311" s="13"/>
      <c r="T311" s="13"/>
      <c r="U311" s="13"/>
      <c r="V311" s="13"/>
      <c r="W311" s="13"/>
      <c r="X311" s="13"/>
      <c r="Y311" s="13"/>
      <c r="Z311" s="13"/>
      <c r="AA311" s="13">
        <f t="shared" si="17"/>
        <v>-3.4547010000000045</v>
      </c>
      <c r="AB311" s="13"/>
      <c r="AC311" s="34"/>
      <c r="AD311" s="34"/>
      <c r="AE311" s="34"/>
      <c r="AF311" s="34"/>
      <c r="AG311" s="34"/>
      <c r="AI311" s="35">
        <v>308</v>
      </c>
      <c r="AJ311" s="35">
        <v>160</v>
      </c>
      <c r="AK311" s="17">
        <v>160.23244980000001</v>
      </c>
      <c r="AV311" s="13">
        <f t="shared" si="18"/>
        <v>0.14528112500000745</v>
      </c>
      <c r="BD311" s="35">
        <v>308</v>
      </c>
      <c r="BE311" s="35">
        <v>160</v>
      </c>
      <c r="BF311" s="17">
        <v>159.5484591</v>
      </c>
      <c r="BQ311" s="13">
        <f t="shared" si="19"/>
        <v>-0.282213062500003</v>
      </c>
    </row>
    <row r="312" spans="1:69">
      <c r="A312" s="13">
        <v>309</v>
      </c>
      <c r="B312" s="13">
        <v>108</v>
      </c>
      <c r="C312" s="17">
        <v>109.2392155</v>
      </c>
      <c r="D312" s="13"/>
      <c r="E312" s="13"/>
      <c r="F312" s="13"/>
      <c r="G312" s="13"/>
      <c r="H312" s="13"/>
      <c r="I312" s="13"/>
      <c r="J312" s="13"/>
      <c r="K312" s="13"/>
      <c r="L312" s="13"/>
      <c r="M312" s="13">
        <f t="shared" si="20"/>
        <v>1.1474217592592595</v>
      </c>
      <c r="N312" s="13"/>
      <c r="O312" s="13">
        <v>309</v>
      </c>
      <c r="P312" s="13">
        <v>108</v>
      </c>
      <c r="Q312" s="17">
        <v>106.9271119</v>
      </c>
      <c r="R312" s="13"/>
      <c r="S312" s="13"/>
      <c r="T312" s="13"/>
      <c r="U312" s="13"/>
      <c r="V312" s="13"/>
      <c r="W312" s="13"/>
      <c r="X312" s="13"/>
      <c r="Y312" s="13"/>
      <c r="Z312" s="13"/>
      <c r="AA312" s="13">
        <f t="shared" si="17"/>
        <v>-0.99341490740740834</v>
      </c>
      <c r="AB312" s="13"/>
      <c r="AC312" s="34"/>
      <c r="AD312" s="34"/>
      <c r="AE312" s="34"/>
      <c r="AF312" s="34"/>
      <c r="AG312" s="34"/>
      <c r="AI312" s="35">
        <v>309</v>
      </c>
      <c r="AJ312" s="35">
        <v>108</v>
      </c>
      <c r="AK312" s="17">
        <v>107.9946872</v>
      </c>
      <c r="AV312" s="13">
        <f t="shared" si="18"/>
        <v>-4.9192592592617324E-3</v>
      </c>
      <c r="BD312" s="35">
        <v>309</v>
      </c>
      <c r="BE312" s="35">
        <v>108</v>
      </c>
      <c r="BF312" s="17">
        <v>107.6646823</v>
      </c>
      <c r="BQ312" s="13">
        <f t="shared" si="19"/>
        <v>-0.3104793518518556</v>
      </c>
    </row>
    <row r="313" spans="1:69">
      <c r="A313" s="13">
        <v>310</v>
      </c>
      <c r="B313" s="13">
        <v>209</v>
      </c>
      <c r="C313" s="17">
        <v>161.353106</v>
      </c>
      <c r="D313" s="13"/>
      <c r="E313" s="13"/>
      <c r="F313" s="13"/>
      <c r="G313" s="13"/>
      <c r="H313" s="13"/>
      <c r="I313" s="13"/>
      <c r="J313" s="13"/>
      <c r="K313" s="13"/>
      <c r="L313" s="13"/>
      <c r="M313" s="13">
        <f t="shared" si="20"/>
        <v>-22.797556937799047</v>
      </c>
      <c r="N313" s="13"/>
      <c r="O313" s="13">
        <v>310</v>
      </c>
      <c r="P313" s="13">
        <v>209</v>
      </c>
      <c r="Q313" s="17">
        <v>184.2844508</v>
      </c>
      <c r="R313" s="13"/>
      <c r="S313" s="13"/>
      <c r="T313" s="13"/>
      <c r="U313" s="13"/>
      <c r="V313" s="13"/>
      <c r="W313" s="13"/>
      <c r="X313" s="13"/>
      <c r="Y313" s="13"/>
      <c r="Z313" s="13"/>
      <c r="AA313" s="13">
        <f t="shared" si="17"/>
        <v>-11.825621626794259</v>
      </c>
      <c r="AB313" s="13"/>
      <c r="AC313" s="34"/>
      <c r="AD313" s="34"/>
      <c r="AE313" s="34"/>
      <c r="AF313" s="34"/>
      <c r="AG313" s="34"/>
      <c r="AI313" s="35">
        <v>310</v>
      </c>
      <c r="AJ313" s="35">
        <v>209</v>
      </c>
      <c r="AK313" s="17">
        <v>205.9667647</v>
      </c>
      <c r="AV313" s="13">
        <f t="shared" si="18"/>
        <v>-1.4513087559808624</v>
      </c>
      <c r="BD313" s="35">
        <v>310</v>
      </c>
      <c r="BE313" s="35">
        <v>209</v>
      </c>
      <c r="BF313" s="17">
        <v>194.94377739999999</v>
      </c>
      <c r="BQ313" s="13">
        <f t="shared" si="19"/>
        <v>-6.7254653588516788</v>
      </c>
    </row>
    <row r="314" spans="1:69">
      <c r="A314" s="13">
        <v>311</v>
      </c>
      <c r="B314" s="13">
        <v>123</v>
      </c>
      <c r="C314" s="17">
        <v>107.10288250000001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13">
        <f t="shared" si="20"/>
        <v>-12.92448577235772</v>
      </c>
      <c r="N314" s="13"/>
      <c r="O314" s="13">
        <v>311</v>
      </c>
      <c r="P314" s="13">
        <v>123</v>
      </c>
      <c r="Q314" s="17">
        <v>108.5362654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3">
        <f t="shared" si="17"/>
        <v>-11.759133821138212</v>
      </c>
      <c r="AB314" s="13"/>
      <c r="AC314" s="34"/>
      <c r="AD314" s="34"/>
      <c r="AE314" s="34"/>
      <c r="AF314" s="34"/>
      <c r="AG314" s="34"/>
      <c r="AI314" s="35">
        <v>311</v>
      </c>
      <c r="AJ314" s="35">
        <v>123</v>
      </c>
      <c r="AK314" s="17">
        <v>122.7473085</v>
      </c>
      <c r="AV314" s="13">
        <f t="shared" si="18"/>
        <v>-0.20544024390243276</v>
      </c>
      <c r="BD314" s="35">
        <v>311</v>
      </c>
      <c r="BE314" s="35">
        <v>123</v>
      </c>
      <c r="BF314" s="17">
        <v>118.7995274</v>
      </c>
      <c r="BQ314" s="13">
        <f t="shared" si="19"/>
        <v>-3.4150183739837359</v>
      </c>
    </row>
    <row r="315" spans="1:69">
      <c r="A315" s="13">
        <v>312</v>
      </c>
      <c r="B315" s="13">
        <v>31</v>
      </c>
      <c r="C315" s="17">
        <v>30.968126763431901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>
        <f t="shared" si="20"/>
        <v>-0.10281689215515533</v>
      </c>
      <c r="N315" s="13"/>
      <c r="O315" s="13">
        <v>312</v>
      </c>
      <c r="P315" s="13">
        <v>31</v>
      </c>
      <c r="Q315" s="17">
        <v>32.681340669999997</v>
      </c>
      <c r="R315" s="13"/>
      <c r="S315" s="13"/>
      <c r="T315" s="13"/>
      <c r="U315" s="13"/>
      <c r="V315" s="13"/>
      <c r="W315" s="13"/>
      <c r="X315" s="13"/>
      <c r="Y315" s="13"/>
      <c r="Z315" s="13"/>
      <c r="AA315" s="13">
        <f t="shared" si="17"/>
        <v>5.4236795806451576</v>
      </c>
      <c r="AB315" s="13"/>
      <c r="AC315" s="34"/>
      <c r="AD315" s="34"/>
      <c r="AE315" s="34"/>
      <c r="AF315" s="34"/>
      <c r="AG315" s="34"/>
      <c r="AI315" s="35">
        <v>312</v>
      </c>
      <c r="AJ315" s="35">
        <v>31</v>
      </c>
      <c r="AK315" s="17">
        <v>30.917250849999999</v>
      </c>
      <c r="AV315" s="13">
        <f t="shared" si="18"/>
        <v>-0.26693274193548833</v>
      </c>
      <c r="BD315" s="35">
        <v>312</v>
      </c>
      <c r="BE315" s="35">
        <v>31</v>
      </c>
      <c r="BF315" s="17">
        <v>31.910927940000001</v>
      </c>
      <c r="BQ315" s="13">
        <f t="shared" si="19"/>
        <v>2.9384772258064462</v>
      </c>
    </row>
    <row r="316" spans="1:69">
      <c r="A316" s="13">
        <v>313</v>
      </c>
      <c r="B316" s="13">
        <v>167</v>
      </c>
      <c r="C316" s="17">
        <v>160.06882279999999</v>
      </c>
      <c r="D316" s="13"/>
      <c r="E316" s="13"/>
      <c r="F316" s="13"/>
      <c r="G316" s="13"/>
      <c r="H316" s="13"/>
      <c r="I316" s="13"/>
      <c r="J316" s="13"/>
      <c r="K316" s="13"/>
      <c r="L316" s="13"/>
      <c r="M316" s="13">
        <f t="shared" si="20"/>
        <v>-4.1504055089820362</v>
      </c>
      <c r="N316" s="13"/>
      <c r="O316" s="13">
        <v>313</v>
      </c>
      <c r="P316" s="13">
        <v>167</v>
      </c>
      <c r="Q316" s="17">
        <v>168.54979599999999</v>
      </c>
      <c r="R316" s="13"/>
      <c r="S316" s="13"/>
      <c r="T316" s="13"/>
      <c r="U316" s="13"/>
      <c r="V316" s="13"/>
      <c r="W316" s="13"/>
      <c r="X316" s="13"/>
      <c r="Y316" s="13"/>
      <c r="Z316" s="13"/>
      <c r="AA316" s="13">
        <f t="shared" si="17"/>
        <v>0.92802155688622712</v>
      </c>
      <c r="AB316" s="13"/>
      <c r="AC316" s="34"/>
      <c r="AD316" s="34"/>
      <c r="AE316" s="34"/>
      <c r="AF316" s="34"/>
      <c r="AG316" s="34"/>
      <c r="AI316" s="35">
        <v>313</v>
      </c>
      <c r="AJ316" s="35">
        <v>167</v>
      </c>
      <c r="AK316" s="17">
        <v>166.93154379999999</v>
      </c>
      <c r="AV316" s="13">
        <f t="shared" si="18"/>
        <v>-4.0991736526951872E-2</v>
      </c>
      <c r="BD316" s="35">
        <v>313</v>
      </c>
      <c r="BE316" s="35">
        <v>167</v>
      </c>
      <c r="BF316" s="17">
        <v>168.02422089999999</v>
      </c>
      <c r="BQ316" s="13">
        <f t="shared" si="19"/>
        <v>0.61330592814370366</v>
      </c>
    </row>
    <row r="317" spans="1:69">
      <c r="A317" s="13">
        <v>314</v>
      </c>
      <c r="B317" s="13">
        <v>109</v>
      </c>
      <c r="C317" s="17">
        <v>107.1626077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>
        <f t="shared" si="20"/>
        <v>-1.6856810091743113</v>
      </c>
      <c r="N317" s="13"/>
      <c r="O317" s="13">
        <v>314</v>
      </c>
      <c r="P317" s="13">
        <v>109</v>
      </c>
      <c r="Q317" s="17">
        <v>108.3935431</v>
      </c>
      <c r="R317" s="13"/>
      <c r="S317" s="13"/>
      <c r="T317" s="13"/>
      <c r="U317" s="13"/>
      <c r="V317" s="13"/>
      <c r="W317" s="13"/>
      <c r="X317" s="13"/>
      <c r="Y317" s="13"/>
      <c r="Z317" s="13"/>
      <c r="AA317" s="13">
        <f t="shared" si="17"/>
        <v>-0.55638247706422117</v>
      </c>
      <c r="AB317" s="13"/>
      <c r="AC317" s="34"/>
      <c r="AD317" s="34"/>
      <c r="AE317" s="34"/>
      <c r="AF317" s="34"/>
      <c r="AG317" s="34"/>
      <c r="AI317" s="35">
        <v>314</v>
      </c>
      <c r="AJ317" s="35">
        <v>109</v>
      </c>
      <c r="AK317" s="17">
        <v>108.8644432</v>
      </c>
      <c r="AV317" s="13">
        <f t="shared" si="18"/>
        <v>-0.12436403669725538</v>
      </c>
      <c r="BD317" s="35">
        <v>314</v>
      </c>
      <c r="BE317" s="35">
        <v>109</v>
      </c>
      <c r="BF317" s="17">
        <v>108.6323555</v>
      </c>
      <c r="BQ317" s="13">
        <f t="shared" si="19"/>
        <v>-0.33728853211009158</v>
      </c>
    </row>
    <row r="318" spans="1:69">
      <c r="A318" s="13">
        <v>315</v>
      </c>
      <c r="B318" s="13">
        <v>132</v>
      </c>
      <c r="C318" s="17">
        <v>132.87871559999999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>
        <f t="shared" si="20"/>
        <v>0.6656936363636401</v>
      </c>
      <c r="N318" s="13"/>
      <c r="O318" s="13">
        <v>315</v>
      </c>
      <c r="P318" s="13">
        <v>132</v>
      </c>
      <c r="Q318" s="17">
        <v>135.62376029999999</v>
      </c>
      <c r="R318" s="13"/>
      <c r="S318" s="13"/>
      <c r="T318" s="13"/>
      <c r="U318" s="13"/>
      <c r="V318" s="13"/>
      <c r="W318" s="13"/>
      <c r="X318" s="13"/>
      <c r="Y318" s="13"/>
      <c r="Z318" s="13"/>
      <c r="AA318" s="13">
        <f t="shared" si="17"/>
        <v>2.7452729545454524</v>
      </c>
      <c r="AB318" s="13"/>
      <c r="AC318" s="34"/>
      <c r="AD318" s="34"/>
      <c r="AE318" s="34"/>
      <c r="AF318" s="34"/>
      <c r="AG318" s="34"/>
      <c r="AI318" s="35">
        <v>315</v>
      </c>
      <c r="AJ318" s="35">
        <v>132</v>
      </c>
      <c r="AK318" s="17">
        <v>132.0824882</v>
      </c>
      <c r="AV318" s="13">
        <f t="shared" si="18"/>
        <v>6.2491060606051363E-2</v>
      </c>
      <c r="BD318" s="35">
        <v>315</v>
      </c>
      <c r="BE318" s="35">
        <v>132</v>
      </c>
      <c r="BF318" s="17">
        <v>134.02137719999999</v>
      </c>
      <c r="BQ318" s="13">
        <f t="shared" si="19"/>
        <v>1.5313463636363656</v>
      </c>
    </row>
    <row r="319" spans="1:69">
      <c r="A319" s="13">
        <v>316</v>
      </c>
      <c r="B319" s="13">
        <v>15</v>
      </c>
      <c r="C319" s="17">
        <v>15.545585434365501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>
        <f t="shared" si="20"/>
        <v>3.6372362291033467</v>
      </c>
      <c r="N319" s="13"/>
      <c r="O319" s="13">
        <v>316</v>
      </c>
      <c r="P319" s="13">
        <v>15</v>
      </c>
      <c r="Q319" s="17">
        <v>10.3626176029676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>
        <f t="shared" si="17"/>
        <v>-30.915882646882665</v>
      </c>
      <c r="AB319" s="13"/>
      <c r="AC319" s="34"/>
      <c r="AD319" s="34"/>
      <c r="AE319" s="34"/>
      <c r="AF319" s="34"/>
      <c r="AG319" s="34"/>
      <c r="AI319" s="35">
        <v>316</v>
      </c>
      <c r="AJ319" s="35">
        <v>15</v>
      </c>
      <c r="AK319" s="17">
        <v>17.645068970000001</v>
      </c>
      <c r="AV319" s="13">
        <f t="shared" si="18"/>
        <v>17.633793133333331</v>
      </c>
      <c r="BD319" s="35">
        <v>316</v>
      </c>
      <c r="BE319" s="35">
        <v>15</v>
      </c>
      <c r="BF319" s="17">
        <v>15.191133518203801</v>
      </c>
      <c r="BQ319" s="13">
        <f t="shared" si="19"/>
        <v>1.2742234546920139</v>
      </c>
    </row>
    <row r="320" spans="1:69">
      <c r="A320" s="13">
        <v>317</v>
      </c>
      <c r="B320" s="13">
        <v>69</v>
      </c>
      <c r="C320" s="17">
        <v>90.293738410000003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>
        <f t="shared" si="20"/>
        <v>30.860490449275368</v>
      </c>
      <c r="N320" s="13"/>
      <c r="O320" s="13">
        <v>317</v>
      </c>
      <c r="P320" s="13">
        <v>69</v>
      </c>
      <c r="Q320" s="17">
        <v>80.37945431</v>
      </c>
      <c r="R320" s="13"/>
      <c r="S320" s="13"/>
      <c r="T320" s="13"/>
      <c r="U320" s="13"/>
      <c r="V320" s="13"/>
      <c r="W320" s="13"/>
      <c r="X320" s="13"/>
      <c r="Y320" s="13"/>
      <c r="Z320" s="13"/>
      <c r="AA320" s="13">
        <f t="shared" si="17"/>
        <v>16.491962768115933</v>
      </c>
      <c r="AB320" s="13"/>
      <c r="AC320" s="34"/>
      <c r="AD320" s="34"/>
      <c r="AE320" s="34"/>
      <c r="AF320" s="34"/>
      <c r="AG320" s="34"/>
      <c r="AI320" s="35">
        <v>317</v>
      </c>
      <c r="AJ320" s="35">
        <v>69</v>
      </c>
      <c r="AK320" s="17">
        <v>69.212618320000004</v>
      </c>
      <c r="AV320" s="13">
        <f t="shared" si="18"/>
        <v>0.30814249275363803</v>
      </c>
      <c r="BD320" s="35">
        <v>317</v>
      </c>
      <c r="BE320" s="35">
        <v>69</v>
      </c>
      <c r="BF320" s="17">
        <v>71.60861543</v>
      </c>
      <c r="BQ320" s="13">
        <f t="shared" si="19"/>
        <v>3.780602072463779</v>
      </c>
    </row>
    <row r="321" spans="1:69">
      <c r="A321" s="13">
        <v>318</v>
      </c>
      <c r="B321" s="13">
        <v>246</v>
      </c>
      <c r="C321" s="17">
        <v>182.9489657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>
        <f t="shared" si="20"/>
        <v>-25.630501747967482</v>
      </c>
      <c r="N321" s="13"/>
      <c r="O321" s="13">
        <v>318</v>
      </c>
      <c r="P321" s="13">
        <v>246</v>
      </c>
      <c r="Q321" s="17">
        <v>212.54247340000001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>
        <f t="shared" si="17"/>
        <v>-13.600620569105693</v>
      </c>
      <c r="AB321" s="13"/>
      <c r="AC321" s="34"/>
      <c r="AD321" s="34"/>
      <c r="AE321" s="34"/>
      <c r="AF321" s="34"/>
      <c r="AG321" s="34"/>
      <c r="AI321" s="35">
        <v>318</v>
      </c>
      <c r="AJ321" s="35">
        <v>246</v>
      </c>
      <c r="AK321" s="17">
        <v>245.16775759999999</v>
      </c>
      <c r="AV321" s="13">
        <f t="shared" si="18"/>
        <v>-0.3383099186991867</v>
      </c>
      <c r="BD321" s="35">
        <v>318</v>
      </c>
      <c r="BE321" s="35">
        <v>246</v>
      </c>
      <c r="BF321" s="17">
        <v>239.38470939999999</v>
      </c>
      <c r="BQ321" s="13">
        <f t="shared" si="19"/>
        <v>-2.6891425203252051</v>
      </c>
    </row>
    <row r="322" spans="1:69">
      <c r="A322" s="13">
        <v>319</v>
      </c>
      <c r="B322" s="13">
        <v>239</v>
      </c>
      <c r="C322" s="17">
        <v>181.0312759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>
        <f t="shared" si="20"/>
        <v>-24.254696276150632</v>
      </c>
      <c r="N322" s="13"/>
      <c r="O322" s="13">
        <v>319</v>
      </c>
      <c r="P322" s="13">
        <v>239</v>
      </c>
      <c r="Q322" s="17">
        <v>210.5927566</v>
      </c>
      <c r="R322" s="13"/>
      <c r="S322" s="13"/>
      <c r="T322" s="13"/>
      <c r="U322" s="13"/>
      <c r="V322" s="13"/>
      <c r="W322" s="13"/>
      <c r="X322" s="13"/>
      <c r="Y322" s="13"/>
      <c r="Z322" s="13"/>
      <c r="AA322" s="13">
        <f t="shared" si="17"/>
        <v>-11.885875899581588</v>
      </c>
      <c r="AB322" s="13"/>
      <c r="AC322" s="34"/>
      <c r="AD322" s="34"/>
      <c r="AE322" s="34"/>
      <c r="AF322" s="34"/>
      <c r="AG322" s="34"/>
      <c r="AI322" s="35">
        <v>319</v>
      </c>
      <c r="AJ322" s="35">
        <v>239</v>
      </c>
      <c r="AK322" s="17">
        <v>237.1548118</v>
      </c>
      <c r="AV322" s="13">
        <f t="shared" si="18"/>
        <v>-0.77204527196652606</v>
      </c>
      <c r="BD322" s="35">
        <v>319</v>
      </c>
      <c r="BE322" s="35">
        <v>239</v>
      </c>
      <c r="BF322" s="17">
        <v>228.82604319999999</v>
      </c>
      <c r="BQ322" s="13">
        <f t="shared" si="19"/>
        <v>-4.2568856903765777</v>
      </c>
    </row>
    <row r="323" spans="1:69">
      <c r="A323" s="13">
        <v>320</v>
      </c>
      <c r="B323" s="13">
        <v>163</v>
      </c>
      <c r="C323" s="17">
        <v>155.085274</v>
      </c>
      <c r="D323" s="13"/>
      <c r="E323" s="13"/>
      <c r="F323" s="13"/>
      <c r="G323" s="13"/>
      <c r="H323" s="13"/>
      <c r="I323" s="13"/>
      <c r="J323" s="13"/>
      <c r="K323" s="13"/>
      <c r="L323" s="13"/>
      <c r="M323" s="13">
        <f t="shared" si="20"/>
        <v>-4.8556601226993905</v>
      </c>
      <c r="N323" s="13"/>
      <c r="O323" s="13">
        <v>320</v>
      </c>
      <c r="P323" s="13">
        <v>163</v>
      </c>
      <c r="Q323" s="17">
        <v>167.352394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>
        <f t="shared" ref="AA323:AA386" si="21">((Q323/P323)-1)*100</f>
        <v>2.6701803680981628</v>
      </c>
      <c r="AB323" s="13"/>
      <c r="AC323" s="34"/>
      <c r="AD323" s="34"/>
      <c r="AE323" s="34"/>
      <c r="AF323" s="34"/>
      <c r="AG323" s="34"/>
      <c r="AI323" s="35">
        <v>320</v>
      </c>
      <c r="AJ323" s="35">
        <v>163</v>
      </c>
      <c r="AK323" s="17">
        <v>163.22898040000001</v>
      </c>
      <c r="AV323" s="13">
        <f t="shared" si="18"/>
        <v>0.14047877300613631</v>
      </c>
      <c r="BD323" s="35">
        <v>320</v>
      </c>
      <c r="BE323" s="35">
        <v>163</v>
      </c>
      <c r="BF323" s="17">
        <v>164.5696978</v>
      </c>
      <c r="BQ323" s="13">
        <f t="shared" si="19"/>
        <v>0.96300478527606703</v>
      </c>
    </row>
    <row r="324" spans="1:69">
      <c r="A324" s="13">
        <v>321</v>
      </c>
      <c r="B324" s="13">
        <v>90</v>
      </c>
      <c r="C324" s="17">
        <v>82.068682600000002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>
        <f t="shared" si="20"/>
        <v>-8.8125748888888911</v>
      </c>
      <c r="N324" s="13"/>
      <c r="O324" s="13">
        <v>321</v>
      </c>
      <c r="P324" s="13">
        <v>90</v>
      </c>
      <c r="Q324" s="17">
        <v>81.413208470000001</v>
      </c>
      <c r="R324" s="13"/>
      <c r="S324" s="13"/>
      <c r="T324" s="13"/>
      <c r="U324" s="13"/>
      <c r="V324" s="13"/>
      <c r="W324" s="13"/>
      <c r="X324" s="13"/>
      <c r="Y324" s="13"/>
      <c r="Z324" s="13"/>
      <c r="AA324" s="13">
        <f t="shared" si="21"/>
        <v>-9.540879477777775</v>
      </c>
      <c r="AB324" s="13"/>
      <c r="AC324" s="34"/>
      <c r="AD324" s="34"/>
      <c r="AE324" s="34"/>
      <c r="AF324" s="34"/>
      <c r="AG324" s="34"/>
      <c r="AI324" s="35">
        <v>321</v>
      </c>
      <c r="AJ324" s="35">
        <v>90</v>
      </c>
      <c r="AK324" s="17">
        <v>89.879589390000007</v>
      </c>
      <c r="AV324" s="13">
        <f t="shared" ref="AV324:AV387" si="22">((AK324/AJ324)-1)*100</f>
        <v>-0.13378956666666442</v>
      </c>
      <c r="BD324" s="35">
        <v>321</v>
      </c>
      <c r="BE324" s="35">
        <v>90</v>
      </c>
      <c r="BF324" s="17">
        <v>88.032397230000001</v>
      </c>
      <c r="BQ324" s="13">
        <f t="shared" ref="BQ324:BQ387" si="23">((BF324/BE324)-1)*100</f>
        <v>-2.1862252999999998</v>
      </c>
    </row>
    <row r="325" spans="1:69">
      <c r="A325" s="13">
        <v>322</v>
      </c>
      <c r="B325" s="13">
        <v>70</v>
      </c>
      <c r="C325" s="17">
        <v>89.271952380000002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>
        <f t="shared" si="20"/>
        <v>27.531360542857144</v>
      </c>
      <c r="N325" s="13"/>
      <c r="O325" s="13">
        <v>322</v>
      </c>
      <c r="P325" s="13">
        <v>70</v>
      </c>
      <c r="Q325" s="17">
        <v>80.615000140000006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>
        <f t="shared" si="21"/>
        <v>15.164285914285713</v>
      </c>
      <c r="AB325" s="13"/>
      <c r="AC325" s="34"/>
      <c r="AD325" s="34"/>
      <c r="AE325" s="34"/>
      <c r="AF325" s="34"/>
      <c r="AG325" s="34"/>
      <c r="AI325" s="35">
        <v>322</v>
      </c>
      <c r="AJ325" s="35">
        <v>70</v>
      </c>
      <c r="AK325" s="17">
        <v>72.6393384</v>
      </c>
      <c r="AV325" s="13">
        <f t="shared" si="22"/>
        <v>3.770483428571425</v>
      </c>
      <c r="BD325" s="35">
        <v>322</v>
      </c>
      <c r="BE325" s="35">
        <v>70</v>
      </c>
      <c r="BF325" s="17">
        <v>78.097392839999998</v>
      </c>
      <c r="BQ325" s="13">
        <f t="shared" si="23"/>
        <v>11.567704057142848</v>
      </c>
    </row>
    <row r="326" spans="1:69">
      <c r="A326" s="13">
        <v>323</v>
      </c>
      <c r="B326" s="13">
        <v>78</v>
      </c>
      <c r="C326" s="17">
        <v>77.045759669999995</v>
      </c>
      <c r="D326" s="13"/>
      <c r="E326" s="13"/>
      <c r="F326" s="13"/>
      <c r="G326" s="13"/>
      <c r="H326" s="13"/>
      <c r="I326" s="13"/>
      <c r="J326" s="13"/>
      <c r="K326" s="13"/>
      <c r="L326" s="13"/>
      <c r="M326" s="13">
        <f t="shared" si="20"/>
        <v>-1.2233850384615441</v>
      </c>
      <c r="N326" s="13"/>
      <c r="O326" s="13">
        <v>323</v>
      </c>
      <c r="P326" s="13">
        <v>78</v>
      </c>
      <c r="Q326" s="17">
        <v>71.833836550000001</v>
      </c>
      <c r="R326" s="13"/>
      <c r="S326" s="13"/>
      <c r="T326" s="13"/>
      <c r="U326" s="13"/>
      <c r="V326" s="13"/>
      <c r="W326" s="13"/>
      <c r="X326" s="13"/>
      <c r="Y326" s="13"/>
      <c r="Z326" s="13"/>
      <c r="AA326" s="13">
        <f t="shared" si="21"/>
        <v>-7.9053377564102583</v>
      </c>
      <c r="AB326" s="13"/>
      <c r="AC326" s="34"/>
      <c r="AD326" s="34"/>
      <c r="AE326" s="34"/>
      <c r="AF326" s="34"/>
      <c r="AG326" s="34"/>
      <c r="AI326" s="35">
        <v>323</v>
      </c>
      <c r="AJ326" s="35">
        <v>78</v>
      </c>
      <c r="AK326" s="17">
        <v>77.212792870000001</v>
      </c>
      <c r="AV326" s="13">
        <f t="shared" si="22"/>
        <v>-1.0092399102564098</v>
      </c>
      <c r="BD326" s="35">
        <v>323</v>
      </c>
      <c r="BE326" s="35">
        <v>78</v>
      </c>
      <c r="BF326" s="17">
        <v>75.124723650000007</v>
      </c>
      <c r="BQ326" s="13">
        <f t="shared" si="23"/>
        <v>-3.6862517307692189</v>
      </c>
    </row>
    <row r="327" spans="1:69">
      <c r="A327" s="13">
        <v>324</v>
      </c>
      <c r="B327" s="13">
        <v>181</v>
      </c>
      <c r="C327" s="17">
        <v>160.86107390000001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>
        <f t="shared" si="20"/>
        <v>-11.126478508287285</v>
      </c>
      <c r="N327" s="13"/>
      <c r="O327" s="13">
        <v>324</v>
      </c>
      <c r="P327" s="13">
        <v>181</v>
      </c>
      <c r="Q327" s="17">
        <v>177.6402756</v>
      </c>
      <c r="R327" s="13"/>
      <c r="S327" s="13"/>
      <c r="T327" s="13"/>
      <c r="U327" s="13"/>
      <c r="V327" s="13"/>
      <c r="W327" s="13"/>
      <c r="X327" s="13"/>
      <c r="Y327" s="13"/>
      <c r="Z327" s="13"/>
      <c r="AA327" s="13">
        <f t="shared" si="21"/>
        <v>-1.8562013259668553</v>
      </c>
      <c r="AB327" s="13"/>
      <c r="AC327" s="34"/>
      <c r="AD327" s="34"/>
      <c r="AE327" s="34"/>
      <c r="AF327" s="34"/>
      <c r="AG327" s="34"/>
      <c r="AI327" s="35">
        <v>324</v>
      </c>
      <c r="AJ327" s="35">
        <v>181</v>
      </c>
      <c r="AK327" s="17">
        <v>181.23966279999999</v>
      </c>
      <c r="AV327" s="13">
        <f t="shared" si="22"/>
        <v>0.13241038674032257</v>
      </c>
      <c r="BD327" s="35">
        <v>324</v>
      </c>
      <c r="BE327" s="35">
        <v>181</v>
      </c>
      <c r="BF327" s="17">
        <v>180.1979949</v>
      </c>
      <c r="BQ327" s="13">
        <f t="shared" si="23"/>
        <v>-0.44309674033149449</v>
      </c>
    </row>
    <row r="328" spans="1:69">
      <c r="A328" s="13">
        <v>325</v>
      </c>
      <c r="B328" s="13">
        <v>92</v>
      </c>
      <c r="C328" s="17">
        <v>103.7133013</v>
      </c>
      <c r="D328" s="13"/>
      <c r="E328" s="13"/>
      <c r="F328" s="13"/>
      <c r="G328" s="13"/>
      <c r="H328" s="13"/>
      <c r="I328" s="13"/>
      <c r="J328" s="13"/>
      <c r="K328" s="13"/>
      <c r="L328" s="13"/>
      <c r="M328" s="13">
        <f t="shared" si="20"/>
        <v>12.731849239130423</v>
      </c>
      <c r="N328" s="13"/>
      <c r="O328" s="13">
        <v>325</v>
      </c>
      <c r="P328" s="13">
        <v>92</v>
      </c>
      <c r="Q328" s="17">
        <v>96.566520429999997</v>
      </c>
      <c r="R328" s="13"/>
      <c r="S328" s="13"/>
      <c r="T328" s="13"/>
      <c r="U328" s="13"/>
      <c r="V328" s="13"/>
      <c r="W328" s="13"/>
      <c r="X328" s="13"/>
      <c r="Y328" s="13"/>
      <c r="Z328" s="13"/>
      <c r="AA328" s="13">
        <f t="shared" si="21"/>
        <v>4.9636091630434809</v>
      </c>
      <c r="AB328" s="13"/>
      <c r="AC328" s="34"/>
      <c r="AD328" s="34"/>
      <c r="AE328" s="34"/>
      <c r="AF328" s="34"/>
      <c r="AG328" s="34"/>
      <c r="AI328" s="35">
        <v>325</v>
      </c>
      <c r="AJ328" s="35">
        <v>92</v>
      </c>
      <c r="AK328" s="17">
        <v>92.488809119999999</v>
      </c>
      <c r="AV328" s="13">
        <f t="shared" si="22"/>
        <v>0.53131426086956424</v>
      </c>
      <c r="BD328" s="35">
        <v>325</v>
      </c>
      <c r="BE328" s="35">
        <v>92</v>
      </c>
      <c r="BF328" s="17">
        <v>94.169653299999993</v>
      </c>
      <c r="BQ328" s="13">
        <f t="shared" si="23"/>
        <v>2.3583188043478254</v>
      </c>
    </row>
    <row r="329" spans="1:69">
      <c r="A329" s="13">
        <v>326</v>
      </c>
      <c r="B329" s="13">
        <v>6</v>
      </c>
      <c r="C329" s="17">
        <v>5.9925436854082896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>
        <f t="shared" si="20"/>
        <v>-0.12427190986183945</v>
      </c>
      <c r="N329" s="13"/>
      <c r="O329" s="13">
        <v>326</v>
      </c>
      <c r="P329" s="13">
        <v>6</v>
      </c>
      <c r="Q329" s="17">
        <v>8.5699499739355307</v>
      </c>
      <c r="R329" s="13"/>
      <c r="S329" s="13"/>
      <c r="T329" s="13"/>
      <c r="U329" s="13"/>
      <c r="V329" s="13"/>
      <c r="W329" s="13"/>
      <c r="X329" s="13"/>
      <c r="Y329" s="13"/>
      <c r="Z329" s="13"/>
      <c r="AA329" s="13">
        <f t="shared" si="21"/>
        <v>42.832499565592187</v>
      </c>
      <c r="AB329" s="13"/>
      <c r="AC329" s="34"/>
      <c r="AD329" s="34"/>
      <c r="AE329" s="34"/>
      <c r="AF329" s="34"/>
      <c r="AG329" s="34"/>
      <c r="AI329" s="35">
        <v>326</v>
      </c>
      <c r="AJ329" s="35">
        <v>6</v>
      </c>
      <c r="AK329" s="17">
        <v>6.3165873020000003</v>
      </c>
      <c r="AV329" s="13">
        <f t="shared" si="22"/>
        <v>5.2764550333333382</v>
      </c>
      <c r="BD329" s="35">
        <v>326</v>
      </c>
      <c r="BE329" s="35">
        <v>6</v>
      </c>
      <c r="BF329" s="17">
        <v>6.4795553161593196</v>
      </c>
      <c r="BQ329" s="13">
        <f t="shared" si="23"/>
        <v>7.9925886026553261</v>
      </c>
    </row>
    <row r="330" spans="1:69">
      <c r="A330" s="13">
        <v>327</v>
      </c>
      <c r="B330" s="13">
        <v>13</v>
      </c>
      <c r="C330" s="17">
        <v>14.9508816003696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>
        <f t="shared" si="20"/>
        <v>15.006781541304616</v>
      </c>
      <c r="N330" s="13"/>
      <c r="O330" s="13">
        <v>327</v>
      </c>
      <c r="P330" s="13">
        <v>13</v>
      </c>
      <c r="Q330" s="17">
        <v>7.3338991911376601</v>
      </c>
      <c r="R330" s="13"/>
      <c r="S330" s="13"/>
      <c r="T330" s="13"/>
      <c r="U330" s="13"/>
      <c r="V330" s="13"/>
      <c r="W330" s="13"/>
      <c r="X330" s="13"/>
      <c r="Y330" s="13"/>
      <c r="Z330" s="13"/>
      <c r="AA330" s="13">
        <f t="shared" si="21"/>
        <v>-43.585390837402613</v>
      </c>
      <c r="AB330" s="13"/>
      <c r="AC330" s="34"/>
      <c r="AD330" s="34"/>
      <c r="AE330" s="34"/>
      <c r="AF330" s="34"/>
      <c r="AG330" s="34"/>
      <c r="AI330" s="35">
        <v>327</v>
      </c>
      <c r="AJ330" s="35">
        <v>13</v>
      </c>
      <c r="AK330" s="17">
        <v>14.09737395</v>
      </c>
      <c r="AV330" s="13">
        <f t="shared" si="22"/>
        <v>8.441338076923067</v>
      </c>
      <c r="BD330" s="35">
        <v>327</v>
      </c>
      <c r="BE330" s="35">
        <v>13</v>
      </c>
      <c r="BF330" s="17">
        <v>15.428857569552999</v>
      </c>
      <c r="BQ330" s="13">
        <f t="shared" si="23"/>
        <v>18.683519765792301</v>
      </c>
    </row>
    <row r="331" spans="1:69">
      <c r="A331" s="13">
        <v>328</v>
      </c>
      <c r="B331" s="13">
        <v>122</v>
      </c>
      <c r="C331" s="17">
        <v>123.9270855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>
        <f t="shared" si="20"/>
        <v>1.5795782786885315</v>
      </c>
      <c r="N331" s="13"/>
      <c r="O331" s="13">
        <v>328</v>
      </c>
      <c r="P331" s="13">
        <v>122</v>
      </c>
      <c r="Q331" s="17">
        <v>128.869935</v>
      </c>
      <c r="R331" s="13"/>
      <c r="S331" s="13"/>
      <c r="T331" s="13"/>
      <c r="U331" s="13"/>
      <c r="V331" s="13"/>
      <c r="W331" s="13"/>
      <c r="X331" s="13"/>
      <c r="Y331" s="13"/>
      <c r="Z331" s="13"/>
      <c r="AA331" s="13">
        <f t="shared" si="21"/>
        <v>5.6310942622950888</v>
      </c>
      <c r="AB331" s="13"/>
      <c r="AC331" s="34"/>
      <c r="AD331" s="34"/>
      <c r="AE331" s="34"/>
      <c r="AF331" s="34"/>
      <c r="AG331" s="34"/>
      <c r="AI331" s="35">
        <v>328</v>
      </c>
      <c r="AJ331" s="35">
        <v>122</v>
      </c>
      <c r="AK331" s="17">
        <v>122.7711788</v>
      </c>
      <c r="AV331" s="13">
        <f t="shared" si="22"/>
        <v>0.6321137704917934</v>
      </c>
      <c r="BD331" s="35">
        <v>328</v>
      </c>
      <c r="BE331" s="35">
        <v>122</v>
      </c>
      <c r="BF331" s="17">
        <v>125.1960411</v>
      </c>
      <c r="BQ331" s="13">
        <f t="shared" si="23"/>
        <v>2.6197058196721246</v>
      </c>
    </row>
    <row r="332" spans="1:69">
      <c r="A332" s="13">
        <v>329</v>
      </c>
      <c r="B332" s="13">
        <v>21</v>
      </c>
      <c r="C332" s="17">
        <v>25.254887277462799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>
        <f t="shared" si="20"/>
        <v>20.261367987918089</v>
      </c>
      <c r="N332" s="13"/>
      <c r="O332" s="13">
        <v>329</v>
      </c>
      <c r="P332" s="13">
        <v>21</v>
      </c>
      <c r="Q332" s="17">
        <v>15.597962005927601</v>
      </c>
      <c r="R332" s="13"/>
      <c r="S332" s="13"/>
      <c r="T332" s="13"/>
      <c r="U332" s="13"/>
      <c r="V332" s="13"/>
      <c r="W332" s="13"/>
      <c r="X332" s="13"/>
      <c r="Y332" s="13"/>
      <c r="Z332" s="13"/>
      <c r="AA332" s="13">
        <f t="shared" si="21"/>
        <v>-25.723990447963807</v>
      </c>
      <c r="AB332" s="13"/>
      <c r="AC332" s="34"/>
      <c r="AD332" s="34"/>
      <c r="AE332" s="34"/>
      <c r="AF332" s="34"/>
      <c r="AG332" s="34"/>
      <c r="AI332" s="35">
        <v>329</v>
      </c>
      <c r="AJ332" s="35">
        <v>21</v>
      </c>
      <c r="AK332" s="17">
        <v>22.705464970000001</v>
      </c>
      <c r="AV332" s="13">
        <f t="shared" si="22"/>
        <v>8.1212617619047744</v>
      </c>
      <c r="BD332" s="35">
        <v>329</v>
      </c>
      <c r="BE332" s="35">
        <v>21</v>
      </c>
      <c r="BF332" s="17">
        <v>26.4924046740033</v>
      </c>
      <c r="BQ332" s="13">
        <f t="shared" si="23"/>
        <v>26.15430797144429</v>
      </c>
    </row>
    <row r="333" spans="1:69">
      <c r="A333" s="13">
        <v>330</v>
      </c>
      <c r="B333" s="13">
        <v>78</v>
      </c>
      <c r="C333" s="17">
        <v>101.1896402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>
        <f t="shared" si="20"/>
        <v>29.730307948717936</v>
      </c>
      <c r="N333" s="13"/>
      <c r="O333" s="13">
        <v>330</v>
      </c>
      <c r="P333" s="13">
        <v>78</v>
      </c>
      <c r="Q333" s="17">
        <v>92.635259579999996</v>
      </c>
      <c r="R333" s="13"/>
      <c r="S333" s="13"/>
      <c r="T333" s="13"/>
      <c r="U333" s="13"/>
      <c r="V333" s="13"/>
      <c r="W333" s="13"/>
      <c r="X333" s="13"/>
      <c r="Y333" s="13"/>
      <c r="Z333" s="13"/>
      <c r="AA333" s="13">
        <f t="shared" si="21"/>
        <v>18.763153307692292</v>
      </c>
      <c r="AB333" s="13"/>
      <c r="AC333" s="34"/>
      <c r="AD333" s="34"/>
      <c r="AE333" s="34"/>
      <c r="AF333" s="34"/>
      <c r="AG333" s="34"/>
      <c r="AI333" s="35">
        <v>330</v>
      </c>
      <c r="AJ333" s="35">
        <v>78</v>
      </c>
      <c r="AK333" s="17">
        <v>81.015319009999999</v>
      </c>
      <c r="AV333" s="13">
        <f t="shared" si="22"/>
        <v>3.8657936025640938</v>
      </c>
      <c r="BD333" s="35">
        <v>330</v>
      </c>
      <c r="BE333" s="35">
        <v>78</v>
      </c>
      <c r="BF333" s="17">
        <v>87.926962250000003</v>
      </c>
      <c r="BQ333" s="13">
        <f t="shared" si="23"/>
        <v>12.726874679487189</v>
      </c>
    </row>
    <row r="334" spans="1:69">
      <c r="A334" s="13">
        <v>331</v>
      </c>
      <c r="B334" s="13">
        <v>34</v>
      </c>
      <c r="C334" s="17">
        <v>51.16701553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>
        <f t="shared" si="20"/>
        <v>50.491222147058835</v>
      </c>
      <c r="N334" s="13"/>
      <c r="O334" s="13">
        <v>331</v>
      </c>
      <c r="P334" s="13">
        <v>34</v>
      </c>
      <c r="Q334" s="17">
        <v>37.558096329999998</v>
      </c>
      <c r="R334" s="13"/>
      <c r="S334" s="13"/>
      <c r="T334" s="13"/>
      <c r="U334" s="13"/>
      <c r="V334" s="13"/>
      <c r="W334" s="13"/>
      <c r="X334" s="13"/>
      <c r="Y334" s="13"/>
      <c r="Z334" s="13"/>
      <c r="AA334" s="13">
        <f t="shared" si="21"/>
        <v>10.464989205882347</v>
      </c>
      <c r="AB334" s="13"/>
      <c r="AC334" s="34"/>
      <c r="AD334" s="34"/>
      <c r="AE334" s="34"/>
      <c r="AF334" s="34"/>
      <c r="AG334" s="34"/>
      <c r="AI334" s="35">
        <v>331</v>
      </c>
      <c r="AJ334" s="35">
        <v>34</v>
      </c>
      <c r="AK334" s="17">
        <v>33.788088889999997</v>
      </c>
      <c r="AV334" s="13">
        <f t="shared" si="22"/>
        <v>-0.62326797058824823</v>
      </c>
      <c r="BD334" s="35">
        <v>331</v>
      </c>
      <c r="BE334" s="35">
        <v>34</v>
      </c>
      <c r="BF334" s="17">
        <v>34.739987769999999</v>
      </c>
      <c r="BQ334" s="13">
        <f t="shared" si="23"/>
        <v>2.1764346176470495</v>
      </c>
    </row>
    <row r="335" spans="1:69">
      <c r="A335" s="13">
        <v>332</v>
      </c>
      <c r="B335" s="13">
        <v>73</v>
      </c>
      <c r="C335" s="17">
        <v>95.660519550000004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>
        <f t="shared" si="20"/>
        <v>31.041807602739734</v>
      </c>
      <c r="N335" s="13"/>
      <c r="O335" s="13">
        <v>332</v>
      </c>
      <c r="P335" s="13">
        <v>73</v>
      </c>
      <c r="Q335" s="17">
        <v>86.039397370000003</v>
      </c>
      <c r="R335" s="13"/>
      <c r="S335" s="13"/>
      <c r="T335" s="13"/>
      <c r="U335" s="13"/>
      <c r="V335" s="13"/>
      <c r="W335" s="13"/>
      <c r="X335" s="13"/>
      <c r="Y335" s="13"/>
      <c r="Z335" s="13"/>
      <c r="AA335" s="13">
        <f t="shared" si="21"/>
        <v>17.862188178082206</v>
      </c>
      <c r="AB335" s="13"/>
      <c r="AC335" s="34"/>
      <c r="AD335" s="34"/>
      <c r="AE335" s="34"/>
      <c r="AF335" s="34"/>
      <c r="AG335" s="34"/>
      <c r="AI335" s="35">
        <v>332</v>
      </c>
      <c r="AJ335" s="35">
        <v>73</v>
      </c>
      <c r="AK335" s="17">
        <v>73.147890799999999</v>
      </c>
      <c r="AV335" s="13">
        <f t="shared" si="22"/>
        <v>0.20259013698629147</v>
      </c>
      <c r="BD335" s="35">
        <v>332</v>
      </c>
      <c r="BE335" s="35">
        <v>73</v>
      </c>
      <c r="BF335" s="17">
        <v>73.768969749999997</v>
      </c>
      <c r="BQ335" s="13">
        <f t="shared" si="23"/>
        <v>1.0533832191780723</v>
      </c>
    </row>
    <row r="336" spans="1:69">
      <c r="A336" s="13">
        <v>333</v>
      </c>
      <c r="B336" s="13">
        <v>229</v>
      </c>
      <c r="C336" s="17">
        <v>174.7323529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>
        <f t="shared" si="20"/>
        <v>-23.697662489082973</v>
      </c>
      <c r="N336" s="13"/>
      <c r="O336" s="13">
        <v>333</v>
      </c>
      <c r="P336" s="13">
        <v>229</v>
      </c>
      <c r="Q336" s="17">
        <v>199.8571628</v>
      </c>
      <c r="R336" s="13"/>
      <c r="S336" s="13"/>
      <c r="T336" s="13"/>
      <c r="U336" s="13"/>
      <c r="V336" s="13"/>
      <c r="W336" s="13"/>
      <c r="X336" s="13"/>
      <c r="Y336" s="13"/>
      <c r="Z336" s="13"/>
      <c r="AA336" s="13">
        <f t="shared" si="21"/>
        <v>-12.72612978165939</v>
      </c>
      <c r="AB336" s="13"/>
      <c r="AC336" s="34"/>
      <c r="AD336" s="34"/>
      <c r="AE336" s="34"/>
      <c r="AF336" s="34"/>
      <c r="AG336" s="34"/>
      <c r="AI336" s="35">
        <v>333</v>
      </c>
      <c r="AJ336" s="35">
        <v>229</v>
      </c>
      <c r="AK336" s="17">
        <v>227.3945866</v>
      </c>
      <c r="AV336" s="13">
        <f t="shared" si="22"/>
        <v>-0.70105388646288791</v>
      </c>
      <c r="BD336" s="35">
        <v>333</v>
      </c>
      <c r="BE336" s="35">
        <v>229</v>
      </c>
      <c r="BF336" s="17">
        <v>217.5328208</v>
      </c>
      <c r="BQ336" s="13">
        <f t="shared" si="23"/>
        <v>-5.0075018340611344</v>
      </c>
    </row>
    <row r="337" spans="1:69">
      <c r="A337" s="13">
        <v>334</v>
      </c>
      <c r="B337" s="13">
        <v>50</v>
      </c>
      <c r="C337" s="17">
        <v>58.553384229999999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>
        <f t="shared" si="20"/>
        <v>17.106768459999987</v>
      </c>
      <c r="N337" s="13"/>
      <c r="O337" s="13">
        <v>334</v>
      </c>
      <c r="P337" s="13">
        <v>50</v>
      </c>
      <c r="Q337" s="17">
        <v>46.415057529999999</v>
      </c>
      <c r="R337" s="13"/>
      <c r="S337" s="13"/>
      <c r="T337" s="13"/>
      <c r="U337" s="13"/>
      <c r="V337" s="13"/>
      <c r="W337" s="13"/>
      <c r="X337" s="13"/>
      <c r="Y337" s="13"/>
      <c r="Z337" s="13"/>
      <c r="AA337" s="13">
        <f t="shared" si="21"/>
        <v>-7.1698849400000046</v>
      </c>
      <c r="AB337" s="13"/>
      <c r="AC337" s="34"/>
      <c r="AD337" s="34"/>
      <c r="AE337" s="34"/>
      <c r="AF337" s="34"/>
      <c r="AG337" s="34"/>
      <c r="AI337" s="35">
        <v>334</v>
      </c>
      <c r="AJ337" s="35">
        <v>50</v>
      </c>
      <c r="AK337" s="17">
        <v>49.716086920000002</v>
      </c>
      <c r="AV337" s="13">
        <f t="shared" si="22"/>
        <v>-0.56782615999999564</v>
      </c>
      <c r="BD337" s="35">
        <v>334</v>
      </c>
      <c r="BE337" s="35">
        <v>50</v>
      </c>
      <c r="BF337" s="17">
        <v>47.859551549999999</v>
      </c>
      <c r="BQ337" s="13">
        <f t="shared" si="23"/>
        <v>-4.2808968999999975</v>
      </c>
    </row>
    <row r="338" spans="1:69">
      <c r="A338" s="13">
        <v>335</v>
      </c>
      <c r="B338" s="13">
        <v>33</v>
      </c>
      <c r="C338" s="17">
        <v>51.384647752167801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>
        <f t="shared" si="20"/>
        <v>55.711053794447871</v>
      </c>
      <c r="N338" s="13"/>
      <c r="O338" s="13">
        <v>335</v>
      </c>
      <c r="P338" s="13">
        <v>33</v>
      </c>
      <c r="Q338" s="17">
        <v>37.91744782</v>
      </c>
      <c r="R338" s="13"/>
      <c r="S338" s="13"/>
      <c r="T338" s="13"/>
      <c r="U338" s="13"/>
      <c r="V338" s="13"/>
      <c r="W338" s="13"/>
      <c r="X338" s="13"/>
      <c r="Y338" s="13"/>
      <c r="Z338" s="13"/>
      <c r="AA338" s="13">
        <f t="shared" si="21"/>
        <v>14.90135703030302</v>
      </c>
      <c r="AB338" s="13"/>
      <c r="AC338" s="34"/>
      <c r="AD338" s="34"/>
      <c r="AE338" s="34"/>
      <c r="AF338" s="34"/>
      <c r="AG338" s="34"/>
      <c r="AI338" s="35">
        <v>335</v>
      </c>
      <c r="AJ338" s="35">
        <v>33</v>
      </c>
      <c r="AK338" s="17">
        <v>33.47088102</v>
      </c>
      <c r="AV338" s="13">
        <f t="shared" si="22"/>
        <v>1.4269121818181851</v>
      </c>
      <c r="BD338" s="35">
        <v>335</v>
      </c>
      <c r="BE338" s="35">
        <v>33</v>
      </c>
      <c r="BF338" s="17">
        <v>35.453349930000002</v>
      </c>
      <c r="BQ338" s="13">
        <f t="shared" si="23"/>
        <v>7.4343937272727256</v>
      </c>
    </row>
    <row r="339" spans="1:69">
      <c r="A339" s="13">
        <v>336</v>
      </c>
      <c r="B339" s="13">
        <v>10</v>
      </c>
      <c r="C339" s="17">
        <v>13.5940360786594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>
        <f t="shared" si="20"/>
        <v>35.940360786593992</v>
      </c>
      <c r="N339" s="13"/>
      <c r="O339" s="13">
        <v>336</v>
      </c>
      <c r="P339" s="13">
        <v>10</v>
      </c>
      <c r="Q339" s="17">
        <v>11.766774685094701</v>
      </c>
      <c r="R339" s="13"/>
      <c r="S339" s="13"/>
      <c r="T339" s="13"/>
      <c r="U339" s="13"/>
      <c r="V339" s="13"/>
      <c r="W339" s="13"/>
      <c r="X339" s="13"/>
      <c r="Y339" s="13"/>
      <c r="Z339" s="13"/>
      <c r="AA339" s="13">
        <f t="shared" si="21"/>
        <v>17.667746850947008</v>
      </c>
      <c r="AB339" s="13"/>
      <c r="AC339" s="34"/>
      <c r="AD339" s="34"/>
      <c r="AE339" s="34"/>
      <c r="AF339" s="34"/>
      <c r="AG339" s="34"/>
      <c r="AI339" s="35">
        <v>336</v>
      </c>
      <c r="AJ339" s="35">
        <v>10</v>
      </c>
      <c r="AK339" s="17">
        <v>12.651721200000001</v>
      </c>
      <c r="AV339" s="13">
        <f t="shared" si="22"/>
        <v>26.517212000000011</v>
      </c>
      <c r="BD339" s="35">
        <v>336</v>
      </c>
      <c r="BE339" s="35">
        <v>10</v>
      </c>
      <c r="BF339" s="17">
        <v>12.6598582380577</v>
      </c>
      <c r="BQ339" s="13">
        <f t="shared" si="23"/>
        <v>26.598582380576996</v>
      </c>
    </row>
    <row r="340" spans="1:69">
      <c r="A340" s="13">
        <v>337</v>
      </c>
      <c r="B340" s="13">
        <v>237</v>
      </c>
      <c r="C340" s="17">
        <v>186.21140449999999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>
        <f t="shared" si="20"/>
        <v>-21.429787130801692</v>
      </c>
      <c r="N340" s="13"/>
      <c r="O340" s="13">
        <v>337</v>
      </c>
      <c r="P340" s="13">
        <v>237</v>
      </c>
      <c r="Q340" s="17">
        <v>210.37220289999999</v>
      </c>
      <c r="R340" s="13"/>
      <c r="S340" s="13"/>
      <c r="T340" s="13"/>
      <c r="U340" s="13"/>
      <c r="V340" s="13"/>
      <c r="W340" s="13"/>
      <c r="X340" s="13"/>
      <c r="Y340" s="13"/>
      <c r="Z340" s="13"/>
      <c r="AA340" s="13">
        <f t="shared" si="21"/>
        <v>-11.235357426160341</v>
      </c>
      <c r="AB340" s="13"/>
      <c r="AC340" s="34"/>
      <c r="AD340" s="34"/>
      <c r="AE340" s="34"/>
      <c r="AF340" s="34"/>
      <c r="AG340" s="34"/>
      <c r="AI340" s="35">
        <v>337</v>
      </c>
      <c r="AJ340" s="35">
        <v>237</v>
      </c>
      <c r="AK340" s="17">
        <v>236.02431559999999</v>
      </c>
      <c r="AV340" s="13">
        <f t="shared" si="22"/>
        <v>-0.41168118143459775</v>
      </c>
      <c r="BD340" s="35">
        <v>337</v>
      </c>
      <c r="BE340" s="35">
        <v>237</v>
      </c>
      <c r="BF340" s="17">
        <v>227.7302669</v>
      </c>
      <c r="BQ340" s="13">
        <f t="shared" si="23"/>
        <v>-3.9112797890295314</v>
      </c>
    </row>
    <row r="341" spans="1:69">
      <c r="A341" s="13">
        <v>338</v>
      </c>
      <c r="B341" s="13">
        <v>76</v>
      </c>
      <c r="C341" s="17">
        <v>76.750866369999997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>
        <f t="shared" si="20"/>
        <v>0.98798206578947223</v>
      </c>
      <c r="N341" s="13"/>
      <c r="O341" s="13">
        <v>338</v>
      </c>
      <c r="P341" s="13">
        <v>76</v>
      </c>
      <c r="Q341" s="17">
        <v>69.701439480000005</v>
      </c>
      <c r="R341" s="13"/>
      <c r="S341" s="13"/>
      <c r="T341" s="13"/>
      <c r="U341" s="13"/>
      <c r="V341" s="13"/>
      <c r="W341" s="13"/>
      <c r="X341" s="13"/>
      <c r="Y341" s="13"/>
      <c r="Z341" s="13"/>
      <c r="AA341" s="13">
        <f t="shared" si="21"/>
        <v>-8.2875796315789447</v>
      </c>
      <c r="AB341" s="13"/>
      <c r="AC341" s="34"/>
      <c r="AD341" s="34"/>
      <c r="AE341" s="34"/>
      <c r="AF341" s="34"/>
      <c r="AG341" s="34"/>
      <c r="AI341" s="35">
        <v>338</v>
      </c>
      <c r="AJ341" s="35">
        <v>76</v>
      </c>
      <c r="AK341" s="17">
        <v>74.454480230000001</v>
      </c>
      <c r="AV341" s="13">
        <f t="shared" si="22"/>
        <v>-2.0335786447368442</v>
      </c>
      <c r="BD341" s="35">
        <v>338</v>
      </c>
      <c r="BE341" s="35">
        <v>76</v>
      </c>
      <c r="BF341" s="17">
        <v>71.877699070000006</v>
      </c>
      <c r="BQ341" s="13">
        <f t="shared" si="23"/>
        <v>-5.4240801710526254</v>
      </c>
    </row>
    <row r="342" spans="1:69">
      <c r="A342" s="13">
        <v>339</v>
      </c>
      <c r="B342" s="13">
        <v>72</v>
      </c>
      <c r="C342" s="17">
        <v>91.960830020000003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>
        <f t="shared" si="20"/>
        <v>27.723375027777774</v>
      </c>
      <c r="N342" s="13"/>
      <c r="O342" s="13">
        <v>339</v>
      </c>
      <c r="P342" s="13">
        <v>72</v>
      </c>
      <c r="Q342" s="17">
        <v>82.447816919999994</v>
      </c>
      <c r="R342" s="13"/>
      <c r="S342" s="13"/>
      <c r="T342" s="13"/>
      <c r="U342" s="13"/>
      <c r="V342" s="13"/>
      <c r="W342" s="13"/>
      <c r="X342" s="13"/>
      <c r="Y342" s="13"/>
      <c r="Z342" s="13"/>
      <c r="AA342" s="13">
        <f t="shared" si="21"/>
        <v>14.51085683333333</v>
      </c>
      <c r="AB342" s="13"/>
      <c r="AC342" s="34"/>
      <c r="AD342" s="34"/>
      <c r="AE342" s="34"/>
      <c r="AF342" s="34"/>
      <c r="AG342" s="34"/>
      <c r="AI342" s="35">
        <v>339</v>
      </c>
      <c r="AJ342" s="35">
        <v>72</v>
      </c>
      <c r="AK342" s="17">
        <v>72.105916669999999</v>
      </c>
      <c r="AV342" s="13">
        <f t="shared" si="22"/>
        <v>0.14710648611111488</v>
      </c>
      <c r="BD342" s="35">
        <v>339</v>
      </c>
      <c r="BE342" s="35">
        <v>72</v>
      </c>
      <c r="BF342" s="17">
        <v>72.604723989999997</v>
      </c>
      <c r="BQ342" s="13">
        <f t="shared" si="23"/>
        <v>0.83989443055554336</v>
      </c>
    </row>
    <row r="343" spans="1:69">
      <c r="A343" s="13">
        <v>340</v>
      </c>
      <c r="B343" s="13">
        <v>145</v>
      </c>
      <c r="C343" s="17">
        <v>117.2156533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>
        <f t="shared" si="20"/>
        <v>-19.161618413793104</v>
      </c>
      <c r="N343" s="13"/>
      <c r="O343" s="13">
        <v>340</v>
      </c>
      <c r="P343" s="13">
        <v>145</v>
      </c>
      <c r="Q343" s="17">
        <v>124.3724046</v>
      </c>
      <c r="R343" s="13"/>
      <c r="S343" s="13"/>
      <c r="T343" s="13"/>
      <c r="U343" s="13"/>
      <c r="V343" s="13"/>
      <c r="W343" s="13"/>
      <c r="X343" s="13"/>
      <c r="Y343" s="13"/>
      <c r="Z343" s="13"/>
      <c r="AA343" s="13">
        <f t="shared" si="21"/>
        <v>-14.225927862068966</v>
      </c>
      <c r="AB343" s="13"/>
      <c r="AC343" s="34"/>
      <c r="AD343" s="34"/>
      <c r="AE343" s="34"/>
      <c r="AF343" s="34"/>
      <c r="AG343" s="34"/>
      <c r="AI343" s="35">
        <v>340</v>
      </c>
      <c r="AJ343" s="35">
        <v>145</v>
      </c>
      <c r="AK343" s="17">
        <v>143.8628721</v>
      </c>
      <c r="AV343" s="13">
        <f t="shared" si="22"/>
        <v>-0.78422613793103224</v>
      </c>
      <c r="BD343" s="35">
        <v>340</v>
      </c>
      <c r="BE343" s="35">
        <v>145</v>
      </c>
      <c r="BF343" s="17">
        <v>138.1611412</v>
      </c>
      <c r="BQ343" s="13">
        <f t="shared" si="23"/>
        <v>-4.7164543448275804</v>
      </c>
    </row>
    <row r="344" spans="1:69">
      <c r="A344" s="13">
        <v>341</v>
      </c>
      <c r="B344" s="13">
        <v>81</v>
      </c>
      <c r="C344" s="17">
        <v>100.5498918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>
        <f t="shared" si="20"/>
        <v>24.135668888888894</v>
      </c>
      <c r="N344" s="13"/>
      <c r="O344" s="13">
        <v>341</v>
      </c>
      <c r="P344" s="13">
        <v>81</v>
      </c>
      <c r="Q344" s="17">
        <v>94.179164619999995</v>
      </c>
      <c r="R344" s="13"/>
      <c r="S344" s="13"/>
      <c r="T344" s="13"/>
      <c r="U344" s="13"/>
      <c r="V344" s="13"/>
      <c r="W344" s="13"/>
      <c r="X344" s="13"/>
      <c r="Y344" s="13"/>
      <c r="Z344" s="13"/>
      <c r="AA344" s="13">
        <f t="shared" si="21"/>
        <v>16.270573604938264</v>
      </c>
      <c r="AB344" s="13"/>
      <c r="AC344" s="34"/>
      <c r="AD344" s="34"/>
      <c r="AE344" s="34"/>
      <c r="AF344" s="34"/>
      <c r="AG344" s="34"/>
      <c r="AI344" s="35">
        <v>341</v>
      </c>
      <c r="AJ344" s="35">
        <v>81</v>
      </c>
      <c r="AK344" s="17">
        <v>82.473715069999997</v>
      </c>
      <c r="AV344" s="13">
        <f t="shared" si="22"/>
        <v>1.8194013209876569</v>
      </c>
      <c r="BD344" s="35">
        <v>341</v>
      </c>
      <c r="BE344" s="35">
        <v>81</v>
      </c>
      <c r="BF344" s="17">
        <v>85.738537010000002</v>
      </c>
      <c r="BQ344" s="13">
        <f t="shared" si="23"/>
        <v>5.8500456913580301</v>
      </c>
    </row>
    <row r="345" spans="1:69">
      <c r="A345" s="13">
        <v>342</v>
      </c>
      <c r="B345" s="13">
        <v>216</v>
      </c>
      <c r="C345" s="17">
        <v>174.6585383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>
        <f t="shared" si="20"/>
        <v>-19.139565601851849</v>
      </c>
      <c r="N345" s="13"/>
      <c r="O345" s="13">
        <v>342</v>
      </c>
      <c r="P345" s="13">
        <v>216</v>
      </c>
      <c r="Q345" s="17">
        <v>191.71651180000001</v>
      </c>
      <c r="R345" s="13"/>
      <c r="S345" s="13"/>
      <c r="T345" s="13"/>
      <c r="U345" s="13"/>
      <c r="V345" s="13"/>
      <c r="W345" s="13"/>
      <c r="X345" s="13"/>
      <c r="Y345" s="13"/>
      <c r="Z345" s="13"/>
      <c r="AA345" s="13">
        <f t="shared" si="21"/>
        <v>-11.24235564814815</v>
      </c>
      <c r="AB345" s="13"/>
      <c r="AC345" s="34"/>
      <c r="AD345" s="34"/>
      <c r="AE345" s="34"/>
      <c r="AF345" s="34"/>
      <c r="AG345" s="34"/>
      <c r="AI345" s="35">
        <v>342</v>
      </c>
      <c r="AJ345" s="35">
        <v>216</v>
      </c>
      <c r="AK345" s="17">
        <v>213.5694446</v>
      </c>
      <c r="AV345" s="13">
        <f t="shared" si="22"/>
        <v>-1.125257129629631</v>
      </c>
      <c r="BD345" s="35">
        <v>342</v>
      </c>
      <c r="BE345" s="35">
        <v>216</v>
      </c>
      <c r="BF345" s="17">
        <v>204.4397219</v>
      </c>
      <c r="BQ345" s="13">
        <f t="shared" si="23"/>
        <v>-5.3519806018518583</v>
      </c>
    </row>
    <row r="346" spans="1:69">
      <c r="A346" s="13">
        <v>343</v>
      </c>
      <c r="B346" s="13">
        <v>104</v>
      </c>
      <c r="C346" s="17">
        <v>117.4058977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>
        <f t="shared" si="20"/>
        <v>12.890286249999994</v>
      </c>
      <c r="N346" s="13"/>
      <c r="O346" s="13">
        <v>343</v>
      </c>
      <c r="P346" s="13">
        <v>104</v>
      </c>
      <c r="Q346" s="17">
        <v>115.4247956</v>
      </c>
      <c r="R346" s="13"/>
      <c r="S346" s="13"/>
      <c r="T346" s="13"/>
      <c r="U346" s="13"/>
      <c r="V346" s="13"/>
      <c r="W346" s="13"/>
      <c r="X346" s="13"/>
      <c r="Y346" s="13"/>
      <c r="Z346" s="13"/>
      <c r="AA346" s="13">
        <f t="shared" si="21"/>
        <v>10.985380384615384</v>
      </c>
      <c r="AB346" s="13"/>
      <c r="AC346" s="34"/>
      <c r="AD346" s="34"/>
      <c r="AE346" s="34"/>
      <c r="AF346" s="34"/>
      <c r="AG346" s="34"/>
      <c r="AI346" s="35">
        <v>343</v>
      </c>
      <c r="AJ346" s="35">
        <v>104</v>
      </c>
      <c r="AK346" s="17">
        <v>105.41042520000001</v>
      </c>
      <c r="AV346" s="13">
        <f t="shared" si="22"/>
        <v>1.3561780769230758</v>
      </c>
      <c r="BD346" s="35">
        <v>343</v>
      </c>
      <c r="BE346" s="35">
        <v>104</v>
      </c>
      <c r="BF346" s="17">
        <v>111.20098729999999</v>
      </c>
      <c r="BQ346" s="13">
        <f t="shared" si="23"/>
        <v>6.9240262499999927</v>
      </c>
    </row>
    <row r="347" spans="1:69">
      <c r="A347" s="13">
        <v>344</v>
      </c>
      <c r="B347" s="13">
        <v>33</v>
      </c>
      <c r="C347" s="17">
        <v>33.996358565921099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>
        <f t="shared" si="20"/>
        <v>3.0192683815790877</v>
      </c>
      <c r="N347" s="13"/>
      <c r="O347" s="13">
        <v>344</v>
      </c>
      <c r="P347" s="13">
        <v>33</v>
      </c>
      <c r="Q347" s="17">
        <v>48.114561399999999</v>
      </c>
      <c r="R347" s="13"/>
      <c r="S347" s="13"/>
      <c r="T347" s="13"/>
      <c r="U347" s="13"/>
      <c r="V347" s="13"/>
      <c r="W347" s="13"/>
      <c r="X347" s="13"/>
      <c r="Y347" s="13"/>
      <c r="Z347" s="13"/>
      <c r="AA347" s="13">
        <f t="shared" si="21"/>
        <v>45.801701212121216</v>
      </c>
      <c r="AB347" s="13"/>
      <c r="AC347" s="34"/>
      <c r="AD347" s="34"/>
      <c r="AE347" s="34"/>
      <c r="AF347" s="34"/>
      <c r="AG347" s="34"/>
      <c r="AI347" s="35">
        <v>344</v>
      </c>
      <c r="AJ347" s="35">
        <v>33</v>
      </c>
      <c r="AK347" s="17">
        <v>34.57957674</v>
      </c>
      <c r="AV347" s="13">
        <f t="shared" si="22"/>
        <v>4.7865961818181813</v>
      </c>
      <c r="BD347" s="35">
        <v>344</v>
      </c>
      <c r="BE347" s="35">
        <v>33</v>
      </c>
      <c r="BF347" s="17">
        <v>39.135349069999997</v>
      </c>
      <c r="BQ347" s="13">
        <f t="shared" si="23"/>
        <v>18.591966878787858</v>
      </c>
    </row>
    <row r="348" spans="1:69">
      <c r="A348" s="13">
        <v>345</v>
      </c>
      <c r="B348" s="13">
        <v>96</v>
      </c>
      <c r="C348" s="17">
        <v>100.8069833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>
        <f t="shared" si="20"/>
        <v>5.0072742708333395</v>
      </c>
      <c r="N348" s="13"/>
      <c r="O348" s="13">
        <v>345</v>
      </c>
      <c r="P348" s="13">
        <v>96</v>
      </c>
      <c r="Q348" s="17">
        <v>98.517757250000003</v>
      </c>
      <c r="R348" s="13"/>
      <c r="S348" s="13"/>
      <c r="T348" s="13"/>
      <c r="U348" s="13"/>
      <c r="V348" s="13"/>
      <c r="W348" s="13"/>
      <c r="X348" s="13"/>
      <c r="Y348" s="13"/>
      <c r="Z348" s="13"/>
      <c r="AA348" s="13">
        <f t="shared" si="21"/>
        <v>2.6226638020833359</v>
      </c>
      <c r="AB348" s="13"/>
      <c r="AC348" s="34"/>
      <c r="AD348" s="34"/>
      <c r="AE348" s="34"/>
      <c r="AF348" s="34"/>
      <c r="AG348" s="34"/>
      <c r="AI348" s="35">
        <v>345</v>
      </c>
      <c r="AJ348" s="35">
        <v>96</v>
      </c>
      <c r="AK348" s="17">
        <v>96.118261889999999</v>
      </c>
      <c r="AV348" s="13">
        <f t="shared" si="22"/>
        <v>0.1231894687500068</v>
      </c>
      <c r="BD348" s="35">
        <v>345</v>
      </c>
      <c r="BE348" s="35">
        <v>96</v>
      </c>
      <c r="BF348" s="17">
        <v>96.490684630000004</v>
      </c>
      <c r="BQ348" s="13">
        <f t="shared" si="23"/>
        <v>0.5111298229166783</v>
      </c>
    </row>
    <row r="349" spans="1:69">
      <c r="A349" s="13">
        <v>346</v>
      </c>
      <c r="B349" s="13">
        <v>104</v>
      </c>
      <c r="C349" s="17">
        <v>90.063575169999993</v>
      </c>
      <c r="D349" s="13"/>
      <c r="E349" s="13"/>
      <c r="F349" s="13"/>
      <c r="G349" s="13"/>
      <c r="H349" s="13"/>
      <c r="I349" s="13"/>
      <c r="J349" s="13"/>
      <c r="K349" s="13"/>
      <c r="L349" s="13"/>
      <c r="M349" s="13">
        <f t="shared" si="20"/>
        <v>-13.400408490384619</v>
      </c>
      <c r="N349" s="13"/>
      <c r="O349" s="13">
        <v>346</v>
      </c>
      <c r="P349" s="13">
        <v>104</v>
      </c>
      <c r="Q349" s="17">
        <v>89.791890980000005</v>
      </c>
      <c r="R349" s="13"/>
      <c r="S349" s="13"/>
      <c r="T349" s="13"/>
      <c r="U349" s="13"/>
      <c r="V349" s="13"/>
      <c r="W349" s="13"/>
      <c r="X349" s="13"/>
      <c r="Y349" s="13"/>
      <c r="Z349" s="13"/>
      <c r="AA349" s="13">
        <f t="shared" si="21"/>
        <v>-13.661643288461534</v>
      </c>
      <c r="AB349" s="13"/>
      <c r="AC349" s="34"/>
      <c r="AD349" s="34"/>
      <c r="AE349" s="34"/>
      <c r="AF349" s="34"/>
      <c r="AG349" s="34"/>
      <c r="AI349" s="35">
        <v>346</v>
      </c>
      <c r="AJ349" s="35">
        <v>104</v>
      </c>
      <c r="AK349" s="17">
        <v>103.07639589999999</v>
      </c>
      <c r="AV349" s="13">
        <f t="shared" si="22"/>
        <v>-0.88808086538462172</v>
      </c>
      <c r="BD349" s="35">
        <v>346</v>
      </c>
      <c r="BE349" s="35">
        <v>104</v>
      </c>
      <c r="BF349" s="17">
        <v>98.987048900000005</v>
      </c>
      <c r="BQ349" s="13">
        <f t="shared" si="23"/>
        <v>-4.8201452884615303</v>
      </c>
    </row>
    <row r="350" spans="1:69">
      <c r="A350" s="13">
        <v>347</v>
      </c>
      <c r="B350" s="13">
        <v>123</v>
      </c>
      <c r="C350" s="17">
        <v>119.7995646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>
        <f t="shared" si="20"/>
        <v>-2.6019800000000037</v>
      </c>
      <c r="N350" s="13"/>
      <c r="O350" s="13">
        <v>347</v>
      </c>
      <c r="P350" s="13">
        <v>123</v>
      </c>
      <c r="Q350" s="17">
        <v>122.92476480000001</v>
      </c>
      <c r="R350" s="13"/>
      <c r="S350" s="13"/>
      <c r="T350" s="13"/>
      <c r="U350" s="13"/>
      <c r="V350" s="13"/>
      <c r="W350" s="13"/>
      <c r="X350" s="13"/>
      <c r="Y350" s="13"/>
      <c r="Z350" s="13"/>
      <c r="AA350" s="13">
        <f t="shared" si="21"/>
        <v>-6.1166829268288758E-2</v>
      </c>
      <c r="AB350" s="13"/>
      <c r="AC350" s="34"/>
      <c r="AD350" s="34"/>
      <c r="AE350" s="34"/>
      <c r="AF350" s="34"/>
      <c r="AG350" s="34"/>
      <c r="AI350" s="35">
        <v>347</v>
      </c>
      <c r="AJ350" s="35">
        <v>123</v>
      </c>
      <c r="AK350" s="17">
        <v>122.9082428</v>
      </c>
      <c r="AV350" s="13">
        <f t="shared" si="22"/>
        <v>-7.4599349593496012E-2</v>
      </c>
      <c r="BD350" s="35">
        <v>347</v>
      </c>
      <c r="BE350" s="35">
        <v>123</v>
      </c>
      <c r="BF350" s="17">
        <v>123.1427685</v>
      </c>
      <c r="BQ350" s="13">
        <f t="shared" si="23"/>
        <v>0.11607195121952074</v>
      </c>
    </row>
    <row r="351" spans="1:69">
      <c r="A351" s="13">
        <v>348</v>
      </c>
      <c r="B351" s="13">
        <v>76</v>
      </c>
      <c r="C351" s="17">
        <v>94.164739330000003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>
        <f t="shared" si="20"/>
        <v>23.900972802631593</v>
      </c>
      <c r="N351" s="13"/>
      <c r="O351" s="13">
        <v>348</v>
      </c>
      <c r="P351" s="13">
        <v>76</v>
      </c>
      <c r="Q351" s="17">
        <v>84.855220610000003</v>
      </c>
      <c r="R351" s="13"/>
      <c r="S351" s="13"/>
      <c r="T351" s="13"/>
      <c r="U351" s="13"/>
      <c r="V351" s="13"/>
      <c r="W351" s="13"/>
      <c r="X351" s="13"/>
      <c r="Y351" s="13"/>
      <c r="Z351" s="13"/>
      <c r="AA351" s="13">
        <f t="shared" si="21"/>
        <v>11.651606065789476</v>
      </c>
      <c r="AB351" s="13"/>
      <c r="AC351" s="34"/>
      <c r="AD351" s="34"/>
      <c r="AE351" s="34"/>
      <c r="AF351" s="34"/>
      <c r="AG351" s="34"/>
      <c r="AI351" s="35">
        <v>348</v>
      </c>
      <c r="AJ351" s="35">
        <v>76</v>
      </c>
      <c r="AK351" s="17">
        <v>77.4730177</v>
      </c>
      <c r="AV351" s="13">
        <f t="shared" si="22"/>
        <v>1.938181184210519</v>
      </c>
      <c r="BD351" s="35">
        <v>348</v>
      </c>
      <c r="BE351" s="35">
        <v>76</v>
      </c>
      <c r="BF351" s="17">
        <v>80.541184009999995</v>
      </c>
      <c r="BQ351" s="13">
        <f t="shared" si="23"/>
        <v>5.9752421184210425</v>
      </c>
    </row>
    <row r="352" spans="1:69">
      <c r="A352" s="13">
        <v>349</v>
      </c>
      <c r="B352" s="13">
        <v>190</v>
      </c>
      <c r="C352" s="17">
        <v>166.13523710000001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>
        <f t="shared" si="20"/>
        <v>-12.560401526315779</v>
      </c>
      <c r="N352" s="13"/>
      <c r="O352" s="13">
        <v>349</v>
      </c>
      <c r="P352" s="13">
        <v>190</v>
      </c>
      <c r="Q352" s="17">
        <v>184.66759149999999</v>
      </c>
      <c r="R352" s="13"/>
      <c r="S352" s="13"/>
      <c r="T352" s="13"/>
      <c r="U352" s="13"/>
      <c r="V352" s="13"/>
      <c r="W352" s="13"/>
      <c r="X352" s="13"/>
      <c r="Y352" s="13"/>
      <c r="Z352" s="13"/>
      <c r="AA352" s="13">
        <f t="shared" si="21"/>
        <v>-2.8065307894736935</v>
      </c>
      <c r="AB352" s="13"/>
      <c r="AC352" s="34"/>
      <c r="AD352" s="34"/>
      <c r="AE352" s="34"/>
      <c r="AF352" s="34"/>
      <c r="AG352" s="34"/>
      <c r="AI352" s="35">
        <v>349</v>
      </c>
      <c r="AJ352" s="35">
        <v>190</v>
      </c>
      <c r="AK352" s="17">
        <v>189.90308479999999</v>
      </c>
      <c r="AV352" s="13">
        <f t="shared" si="22"/>
        <v>-5.1008000000007936E-2</v>
      </c>
      <c r="BD352" s="35">
        <v>349</v>
      </c>
      <c r="BE352" s="35">
        <v>190</v>
      </c>
      <c r="BF352" s="17">
        <v>189.23126769999999</v>
      </c>
      <c r="BQ352" s="13">
        <f t="shared" si="23"/>
        <v>-0.40459594736842464</v>
      </c>
    </row>
    <row r="353" spans="1:69">
      <c r="A353" s="13">
        <v>350</v>
      </c>
      <c r="B353" s="13">
        <v>35</v>
      </c>
      <c r="C353" s="17">
        <v>50.089820551363701</v>
      </c>
      <c r="D353" s="13"/>
      <c r="E353" s="13"/>
      <c r="F353" s="13"/>
      <c r="G353" s="13"/>
      <c r="H353" s="13"/>
      <c r="I353" s="13"/>
      <c r="J353" s="13"/>
      <c r="K353" s="13"/>
      <c r="L353" s="13"/>
      <c r="M353" s="13">
        <f t="shared" si="20"/>
        <v>43.113773003896291</v>
      </c>
      <c r="N353" s="13"/>
      <c r="O353" s="13">
        <v>350</v>
      </c>
      <c r="P353" s="13">
        <v>35</v>
      </c>
      <c r="Q353" s="17">
        <v>53.383407320000003</v>
      </c>
      <c r="R353" s="13"/>
      <c r="S353" s="13"/>
      <c r="T353" s="13"/>
      <c r="U353" s="13"/>
      <c r="V353" s="13"/>
      <c r="W353" s="13"/>
      <c r="X353" s="13"/>
      <c r="Y353" s="13"/>
      <c r="Z353" s="13"/>
      <c r="AA353" s="13">
        <f t="shared" si="21"/>
        <v>52.524020914285721</v>
      </c>
      <c r="AB353" s="13"/>
      <c r="AC353" s="34"/>
      <c r="AD353" s="34"/>
      <c r="AE353" s="34"/>
      <c r="AF353" s="34"/>
      <c r="AG353" s="34"/>
      <c r="AI353" s="35">
        <v>350</v>
      </c>
      <c r="AJ353" s="35">
        <v>35</v>
      </c>
      <c r="AK353" s="17">
        <v>36.746815269999999</v>
      </c>
      <c r="AV353" s="13">
        <f t="shared" si="22"/>
        <v>4.9909007714285636</v>
      </c>
      <c r="BD353" s="35">
        <v>350</v>
      </c>
      <c r="BE353" s="35">
        <v>35</v>
      </c>
      <c r="BF353" s="17">
        <v>45.154747759999999</v>
      </c>
      <c r="BQ353" s="13">
        <f t="shared" si="23"/>
        <v>29.013565028571421</v>
      </c>
    </row>
    <row r="354" spans="1:69">
      <c r="A354" s="13">
        <v>351</v>
      </c>
      <c r="B354" s="13">
        <v>210</v>
      </c>
      <c r="C354" s="17">
        <v>163.4373741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>
        <f t="shared" si="20"/>
        <v>-22.172678999999995</v>
      </c>
      <c r="N354" s="13"/>
      <c r="O354" s="13">
        <v>351</v>
      </c>
      <c r="P354" s="13">
        <v>210</v>
      </c>
      <c r="Q354" s="17">
        <v>184.33307060000001</v>
      </c>
      <c r="R354" s="13"/>
      <c r="S354" s="13"/>
      <c r="T354" s="13"/>
      <c r="U354" s="13"/>
      <c r="V354" s="13"/>
      <c r="W354" s="13"/>
      <c r="X354" s="13"/>
      <c r="Y354" s="13"/>
      <c r="Z354" s="13"/>
      <c r="AA354" s="13">
        <f t="shared" si="21"/>
        <v>-12.222347333333328</v>
      </c>
      <c r="AB354" s="13"/>
      <c r="AC354" s="34"/>
      <c r="AD354" s="34"/>
      <c r="AE354" s="34"/>
      <c r="AF354" s="34"/>
      <c r="AG354" s="34"/>
      <c r="AI354" s="35">
        <v>351</v>
      </c>
      <c r="AJ354" s="35">
        <v>210</v>
      </c>
      <c r="AK354" s="17">
        <v>209.47116790000001</v>
      </c>
      <c r="AV354" s="13">
        <f t="shared" si="22"/>
        <v>-0.25182480952380404</v>
      </c>
      <c r="BD354" s="35">
        <v>351</v>
      </c>
      <c r="BE354" s="35">
        <v>210</v>
      </c>
      <c r="BF354" s="17">
        <v>205.04631670000001</v>
      </c>
      <c r="BQ354" s="13">
        <f t="shared" si="23"/>
        <v>-2.3588968095238028</v>
      </c>
    </row>
    <row r="355" spans="1:69">
      <c r="A355" s="13">
        <v>352</v>
      </c>
      <c r="B355" s="13">
        <v>176</v>
      </c>
      <c r="C355" s="17">
        <v>145.04402250000001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>
        <f t="shared" si="20"/>
        <v>-17.588623579545448</v>
      </c>
      <c r="N355" s="13"/>
      <c r="O355" s="13">
        <v>352</v>
      </c>
      <c r="P355" s="13">
        <v>176</v>
      </c>
      <c r="Q355" s="17">
        <v>154.55279010000001</v>
      </c>
      <c r="R355" s="13"/>
      <c r="S355" s="13"/>
      <c r="T355" s="13"/>
      <c r="U355" s="13"/>
      <c r="V355" s="13"/>
      <c r="W355" s="13"/>
      <c r="X355" s="13"/>
      <c r="Y355" s="13"/>
      <c r="Z355" s="13"/>
      <c r="AA355" s="13">
        <f t="shared" si="21"/>
        <v>-12.185914715909085</v>
      </c>
      <c r="AB355" s="13"/>
      <c r="AC355" s="34"/>
      <c r="AD355" s="34"/>
      <c r="AE355" s="34"/>
      <c r="AF355" s="34"/>
      <c r="AG355" s="34"/>
      <c r="AI355" s="35">
        <v>352</v>
      </c>
      <c r="AJ355" s="35">
        <v>176</v>
      </c>
      <c r="AK355" s="17">
        <v>173.1702756</v>
      </c>
      <c r="AV355" s="13">
        <f t="shared" si="22"/>
        <v>-1.6077979545454535</v>
      </c>
      <c r="BD355" s="35">
        <v>352</v>
      </c>
      <c r="BE355" s="35">
        <v>176</v>
      </c>
      <c r="BF355" s="17">
        <v>163.8956355</v>
      </c>
      <c r="BQ355" s="13">
        <f t="shared" si="23"/>
        <v>-6.877479829545452</v>
      </c>
    </row>
    <row r="356" spans="1:69">
      <c r="A356" s="13">
        <v>353</v>
      </c>
      <c r="B356" s="13">
        <v>122</v>
      </c>
      <c r="C356" s="17">
        <v>122.67274500000001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>
        <f t="shared" si="20"/>
        <v>0.55143032786886259</v>
      </c>
      <c r="N356" s="13"/>
      <c r="O356" s="13">
        <v>353</v>
      </c>
      <c r="P356" s="13">
        <v>122</v>
      </c>
      <c r="Q356" s="17">
        <v>125.0947231</v>
      </c>
      <c r="R356" s="13"/>
      <c r="S356" s="13"/>
      <c r="T356" s="13"/>
      <c r="U356" s="13"/>
      <c r="V356" s="13"/>
      <c r="W356" s="13"/>
      <c r="X356" s="13"/>
      <c r="Y356" s="13"/>
      <c r="Z356" s="13"/>
      <c r="AA356" s="13">
        <f t="shared" si="21"/>
        <v>2.5366582786885195</v>
      </c>
      <c r="AB356" s="13"/>
      <c r="AC356" s="34"/>
      <c r="AD356" s="34"/>
      <c r="AE356" s="34"/>
      <c r="AF356" s="34"/>
      <c r="AG356" s="34"/>
      <c r="AI356" s="35">
        <v>353</v>
      </c>
      <c r="AJ356" s="35">
        <v>122</v>
      </c>
      <c r="AK356" s="17">
        <v>122.54333870000001</v>
      </c>
      <c r="AV356" s="13">
        <f t="shared" si="22"/>
        <v>0.44535959016394067</v>
      </c>
      <c r="BD356" s="35">
        <v>353</v>
      </c>
      <c r="BE356" s="35">
        <v>122</v>
      </c>
      <c r="BF356" s="17">
        <v>124.13970740000001</v>
      </c>
      <c r="BQ356" s="13">
        <f t="shared" si="23"/>
        <v>1.7538585245901794</v>
      </c>
    </row>
    <row r="357" spans="1:69">
      <c r="A357" s="13">
        <v>354</v>
      </c>
      <c r="B357" s="13">
        <v>58</v>
      </c>
      <c r="C357" s="17">
        <v>84.357779530000002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>
        <f t="shared" si="20"/>
        <v>45.444447465517236</v>
      </c>
      <c r="N357" s="13"/>
      <c r="O357" s="13">
        <v>354</v>
      </c>
      <c r="P357" s="13">
        <v>58</v>
      </c>
      <c r="Q357" s="17">
        <v>73.146481780000002</v>
      </c>
      <c r="R357" s="13"/>
      <c r="S357" s="13"/>
      <c r="T357" s="13"/>
      <c r="U357" s="13"/>
      <c r="V357" s="13"/>
      <c r="W357" s="13"/>
      <c r="X357" s="13"/>
      <c r="Y357" s="13"/>
      <c r="Z357" s="13"/>
      <c r="AA357" s="13">
        <f t="shared" si="21"/>
        <v>26.114623758620702</v>
      </c>
      <c r="AB357" s="13"/>
      <c r="AC357" s="34"/>
      <c r="AD357" s="34"/>
      <c r="AE357" s="34"/>
      <c r="AF357" s="34"/>
      <c r="AG357" s="34"/>
      <c r="AI357" s="35">
        <v>354</v>
      </c>
      <c r="AJ357" s="35">
        <v>58</v>
      </c>
      <c r="AK357" s="17">
        <v>61.149410009999997</v>
      </c>
      <c r="AV357" s="13">
        <f t="shared" si="22"/>
        <v>5.4300172586206896</v>
      </c>
      <c r="BD357" s="35">
        <v>354</v>
      </c>
      <c r="BE357" s="35">
        <v>58</v>
      </c>
      <c r="BF357" s="17">
        <v>69.132024110000003</v>
      </c>
      <c r="BQ357" s="13">
        <f t="shared" si="23"/>
        <v>19.193145017241385</v>
      </c>
    </row>
    <row r="358" spans="1:69">
      <c r="A358" s="13">
        <v>355</v>
      </c>
      <c r="B358" s="13">
        <v>105</v>
      </c>
      <c r="C358" s="17">
        <v>112.422467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>
        <f t="shared" ref="M358:M421" si="24">((C358/B358)-1)*100</f>
        <v>7.0690161904761961</v>
      </c>
      <c r="N358" s="13"/>
      <c r="O358" s="13">
        <v>355</v>
      </c>
      <c r="P358" s="13">
        <v>105</v>
      </c>
      <c r="Q358" s="17">
        <v>110.9442458</v>
      </c>
      <c r="R358" s="13"/>
      <c r="S358" s="13"/>
      <c r="T358" s="13"/>
      <c r="U358" s="13"/>
      <c r="V358" s="13"/>
      <c r="W358" s="13"/>
      <c r="X358" s="13"/>
      <c r="Y358" s="13"/>
      <c r="Z358" s="13"/>
      <c r="AA358" s="13">
        <f t="shared" si="21"/>
        <v>5.6611864761904718</v>
      </c>
      <c r="AB358" s="13"/>
      <c r="AC358" s="34"/>
      <c r="AD358" s="34"/>
      <c r="AE358" s="34"/>
      <c r="AF358" s="34"/>
      <c r="AG358" s="34"/>
      <c r="AI358" s="35">
        <v>355</v>
      </c>
      <c r="AJ358" s="35">
        <v>105</v>
      </c>
      <c r="AK358" s="17">
        <v>105.2205362</v>
      </c>
      <c r="AV358" s="13">
        <f t="shared" si="22"/>
        <v>0.21003447619047932</v>
      </c>
      <c r="BD358" s="35">
        <v>355</v>
      </c>
      <c r="BE358" s="35">
        <v>105</v>
      </c>
      <c r="BF358" s="17">
        <v>106.76216359999999</v>
      </c>
      <c r="BQ358" s="13">
        <f t="shared" si="23"/>
        <v>1.6782510476190504</v>
      </c>
    </row>
    <row r="359" spans="1:69">
      <c r="A359" s="13">
        <v>356</v>
      </c>
      <c r="B359" s="13">
        <v>150</v>
      </c>
      <c r="C359" s="17">
        <v>147.55635269999999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>
        <f t="shared" si="24"/>
        <v>-1.6290982000000009</v>
      </c>
      <c r="N359" s="13"/>
      <c r="O359" s="13">
        <v>356</v>
      </c>
      <c r="P359" s="13">
        <v>150</v>
      </c>
      <c r="Q359" s="17">
        <v>152.93377770000001</v>
      </c>
      <c r="R359" s="13"/>
      <c r="S359" s="13"/>
      <c r="T359" s="13"/>
      <c r="U359" s="13"/>
      <c r="V359" s="13"/>
      <c r="W359" s="13"/>
      <c r="X359" s="13"/>
      <c r="Y359" s="13"/>
      <c r="Z359" s="13"/>
      <c r="AA359" s="13">
        <f t="shared" si="21"/>
        <v>1.9558517999999969</v>
      </c>
      <c r="AB359" s="13"/>
      <c r="AC359" s="34"/>
      <c r="AD359" s="34"/>
      <c r="AE359" s="34"/>
      <c r="AF359" s="34"/>
      <c r="AG359" s="34"/>
      <c r="AI359" s="35">
        <v>356</v>
      </c>
      <c r="AJ359" s="35">
        <v>150</v>
      </c>
      <c r="AK359" s="17">
        <v>150.71691989999999</v>
      </c>
      <c r="AV359" s="13">
        <f t="shared" si="22"/>
        <v>0.477946600000001</v>
      </c>
      <c r="BD359" s="35">
        <v>356</v>
      </c>
      <c r="BE359" s="35">
        <v>150</v>
      </c>
      <c r="BF359" s="17">
        <v>151.12378000000001</v>
      </c>
      <c r="BQ359" s="13">
        <f t="shared" si="23"/>
        <v>0.7491866666666791</v>
      </c>
    </row>
    <row r="360" spans="1:69">
      <c r="A360" s="13">
        <v>357</v>
      </c>
      <c r="B360" s="13">
        <v>136</v>
      </c>
      <c r="C360" s="17">
        <v>138.33934970000001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>
        <f t="shared" si="24"/>
        <v>1.7201100735294128</v>
      </c>
      <c r="N360" s="13"/>
      <c r="O360" s="13">
        <v>357</v>
      </c>
      <c r="P360" s="13">
        <v>136</v>
      </c>
      <c r="Q360" s="17">
        <v>140.9879492</v>
      </c>
      <c r="R360" s="13"/>
      <c r="S360" s="13"/>
      <c r="T360" s="13"/>
      <c r="U360" s="13"/>
      <c r="V360" s="13"/>
      <c r="W360" s="13"/>
      <c r="X360" s="13"/>
      <c r="Y360" s="13"/>
      <c r="Z360" s="13"/>
      <c r="AA360" s="13">
        <f t="shared" si="21"/>
        <v>3.6676097058823576</v>
      </c>
      <c r="AB360" s="13"/>
      <c r="AC360" s="34"/>
      <c r="AD360" s="34"/>
      <c r="AE360" s="34"/>
      <c r="AF360" s="34"/>
      <c r="AG360" s="34"/>
      <c r="AI360" s="35">
        <v>357</v>
      </c>
      <c r="AJ360" s="35">
        <v>136</v>
      </c>
      <c r="AK360" s="17">
        <v>137.61080319999999</v>
      </c>
      <c r="AV360" s="13">
        <f t="shared" si="22"/>
        <v>1.184414117647048</v>
      </c>
      <c r="BD360" s="35">
        <v>357</v>
      </c>
      <c r="BE360" s="35">
        <v>136</v>
      </c>
      <c r="BF360" s="17">
        <v>139.58914390000001</v>
      </c>
      <c r="BQ360" s="13">
        <f t="shared" si="23"/>
        <v>2.639076397058826</v>
      </c>
    </row>
    <row r="361" spans="1:69">
      <c r="A361" s="13">
        <v>358</v>
      </c>
      <c r="B361" s="13">
        <v>175</v>
      </c>
      <c r="C361" s="17">
        <v>166.9233175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>
        <f t="shared" si="24"/>
        <v>-4.6152471428571484</v>
      </c>
      <c r="N361" s="13"/>
      <c r="O361" s="13">
        <v>358</v>
      </c>
      <c r="P361" s="13">
        <v>175</v>
      </c>
      <c r="Q361" s="17">
        <v>175.48056460000001</v>
      </c>
      <c r="R361" s="13"/>
      <c r="S361" s="13"/>
      <c r="T361" s="13"/>
      <c r="U361" s="13"/>
      <c r="V361" s="13"/>
      <c r="W361" s="13"/>
      <c r="X361" s="13"/>
      <c r="Y361" s="13"/>
      <c r="Z361" s="13"/>
      <c r="AA361" s="13">
        <f t="shared" si="21"/>
        <v>0.27460834285715219</v>
      </c>
      <c r="AB361" s="13"/>
      <c r="AC361" s="34"/>
      <c r="AD361" s="34"/>
      <c r="AE361" s="34"/>
      <c r="AF361" s="34"/>
      <c r="AG361" s="34"/>
      <c r="AI361" s="35">
        <v>358</v>
      </c>
      <c r="AJ361" s="35">
        <v>175</v>
      </c>
      <c r="AK361" s="17">
        <v>175.15260670000001</v>
      </c>
      <c r="AV361" s="13">
        <f t="shared" si="22"/>
        <v>8.7203828571436048E-2</v>
      </c>
      <c r="BD361" s="35">
        <v>358</v>
      </c>
      <c r="BE361" s="35">
        <v>175</v>
      </c>
      <c r="BF361" s="17">
        <v>174.86564809999999</v>
      </c>
      <c r="BQ361" s="13">
        <f t="shared" si="23"/>
        <v>-7.6772514285716742E-2</v>
      </c>
    </row>
    <row r="362" spans="1:69">
      <c r="A362" s="13">
        <v>359</v>
      </c>
      <c r="B362" s="13">
        <v>29</v>
      </c>
      <c r="C362" s="17">
        <v>41.111351706381001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>
        <f t="shared" si="24"/>
        <v>41.763281746141388</v>
      </c>
      <c r="N362" s="13"/>
      <c r="O362" s="13">
        <v>359</v>
      </c>
      <c r="P362" s="13">
        <v>29</v>
      </c>
      <c r="Q362" s="17">
        <v>20.489331893533599</v>
      </c>
      <c r="R362" s="13"/>
      <c r="S362" s="13"/>
      <c r="T362" s="13"/>
      <c r="U362" s="13"/>
      <c r="V362" s="13"/>
      <c r="W362" s="13"/>
      <c r="X362" s="13"/>
      <c r="Y362" s="13"/>
      <c r="Z362" s="13"/>
      <c r="AA362" s="13">
        <f t="shared" si="21"/>
        <v>-29.347131401608284</v>
      </c>
      <c r="AB362" s="13"/>
      <c r="AC362" s="34"/>
      <c r="AD362" s="34"/>
      <c r="AE362" s="34"/>
      <c r="AF362" s="34"/>
      <c r="AG362" s="34"/>
      <c r="AI362" s="35">
        <v>359</v>
      </c>
      <c r="AJ362" s="35">
        <v>29</v>
      </c>
      <c r="AK362" s="17">
        <v>30.180852730000002</v>
      </c>
      <c r="AV362" s="13">
        <f t="shared" si="22"/>
        <v>4.0719059655172529</v>
      </c>
      <c r="BD362" s="35">
        <v>359</v>
      </c>
      <c r="BE362" s="35">
        <v>29</v>
      </c>
      <c r="BF362" s="17">
        <v>35.112352719999997</v>
      </c>
      <c r="BQ362" s="13">
        <f t="shared" si="23"/>
        <v>21.077078344827569</v>
      </c>
    </row>
    <row r="363" spans="1:69">
      <c r="A363" s="13">
        <v>360</v>
      </c>
      <c r="B363" s="13">
        <v>97</v>
      </c>
      <c r="C363" s="17">
        <v>107.1886495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>
        <f t="shared" si="24"/>
        <v>10.503762371134018</v>
      </c>
      <c r="N363" s="13"/>
      <c r="O363" s="13">
        <v>360</v>
      </c>
      <c r="P363" s="13">
        <v>97</v>
      </c>
      <c r="Q363" s="17">
        <v>105.1380037</v>
      </c>
      <c r="R363" s="13"/>
      <c r="S363" s="13"/>
      <c r="T363" s="13"/>
      <c r="U363" s="13"/>
      <c r="V363" s="13"/>
      <c r="W363" s="13"/>
      <c r="X363" s="13"/>
      <c r="Y363" s="13"/>
      <c r="Z363" s="13"/>
      <c r="AA363" s="13">
        <f t="shared" si="21"/>
        <v>8.3896945360824695</v>
      </c>
      <c r="AB363" s="13"/>
      <c r="AC363" s="34"/>
      <c r="AD363" s="34"/>
      <c r="AE363" s="34"/>
      <c r="AF363" s="34"/>
      <c r="AG363" s="34"/>
      <c r="AI363" s="35">
        <v>360</v>
      </c>
      <c r="AJ363" s="35">
        <v>97</v>
      </c>
      <c r="AK363" s="17">
        <v>97.668826620000004</v>
      </c>
      <c r="AV363" s="13">
        <f t="shared" si="22"/>
        <v>0.68951197938145192</v>
      </c>
      <c r="BD363" s="35">
        <v>360</v>
      </c>
      <c r="BE363" s="35">
        <v>97</v>
      </c>
      <c r="BF363" s="17">
        <v>100.2422637</v>
      </c>
      <c r="BQ363" s="13">
        <f t="shared" si="23"/>
        <v>3.342539896907204</v>
      </c>
    </row>
    <row r="364" spans="1:69">
      <c r="A364" s="13">
        <v>361</v>
      </c>
      <c r="B364" s="13">
        <v>36</v>
      </c>
      <c r="C364" s="17">
        <v>50.688917161464701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>
        <f t="shared" si="24"/>
        <v>40.802547670735279</v>
      </c>
      <c r="N364" s="13"/>
      <c r="O364" s="13">
        <v>361</v>
      </c>
      <c r="P364" s="13">
        <v>36</v>
      </c>
      <c r="Q364" s="17">
        <v>52.937522219999998</v>
      </c>
      <c r="R364" s="13"/>
      <c r="S364" s="13"/>
      <c r="T364" s="13"/>
      <c r="U364" s="13"/>
      <c r="V364" s="13"/>
      <c r="W364" s="13"/>
      <c r="X364" s="13"/>
      <c r="Y364" s="13"/>
      <c r="Z364" s="13"/>
      <c r="AA364" s="13">
        <f t="shared" si="21"/>
        <v>47.048672833333342</v>
      </c>
      <c r="AB364" s="13"/>
      <c r="AC364" s="34"/>
      <c r="AD364" s="34"/>
      <c r="AE364" s="34"/>
      <c r="AF364" s="34"/>
      <c r="AG364" s="34"/>
      <c r="AI364" s="35">
        <v>361</v>
      </c>
      <c r="AJ364" s="35">
        <v>36</v>
      </c>
      <c r="AK364" s="17">
        <v>36.11931818</v>
      </c>
      <c r="AV364" s="13">
        <f t="shared" si="22"/>
        <v>0.3314393888888878</v>
      </c>
      <c r="BD364" s="35">
        <v>361</v>
      </c>
      <c r="BE364" s="35">
        <v>36</v>
      </c>
      <c r="BF364" s="17">
        <v>37.93318335</v>
      </c>
      <c r="BQ364" s="13">
        <f t="shared" si="23"/>
        <v>5.3699537500000005</v>
      </c>
    </row>
    <row r="365" spans="1:69">
      <c r="A365" s="13">
        <v>362</v>
      </c>
      <c r="B365" s="13">
        <v>17</v>
      </c>
      <c r="C365" s="17">
        <v>23.320546079113601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>
        <f t="shared" si="24"/>
        <v>37.1796828183153</v>
      </c>
      <c r="N365" s="13"/>
      <c r="O365" s="13">
        <v>362</v>
      </c>
      <c r="P365" s="13">
        <v>17</v>
      </c>
      <c r="Q365" s="17">
        <v>15.7449560962815</v>
      </c>
      <c r="R365" s="13"/>
      <c r="S365" s="13"/>
      <c r="T365" s="13"/>
      <c r="U365" s="13"/>
      <c r="V365" s="13"/>
      <c r="W365" s="13"/>
      <c r="X365" s="13"/>
      <c r="Y365" s="13"/>
      <c r="Z365" s="13"/>
      <c r="AA365" s="13">
        <f t="shared" si="21"/>
        <v>-7.3826111983441134</v>
      </c>
      <c r="AB365" s="13"/>
      <c r="AC365" s="34"/>
      <c r="AD365" s="34"/>
      <c r="AE365" s="34"/>
      <c r="AF365" s="34"/>
      <c r="AG365" s="34"/>
      <c r="AI365" s="35">
        <v>362</v>
      </c>
      <c r="AJ365" s="35">
        <v>17</v>
      </c>
      <c r="AK365" s="17">
        <v>18.084666739999999</v>
      </c>
      <c r="AV365" s="13">
        <f t="shared" si="22"/>
        <v>6.3803925882352841</v>
      </c>
      <c r="BD365" s="35">
        <v>362</v>
      </c>
      <c r="BE365" s="35">
        <v>17</v>
      </c>
      <c r="BF365" s="17">
        <v>22.132018410000001</v>
      </c>
      <c r="BQ365" s="13">
        <f t="shared" si="23"/>
        <v>30.188343588235298</v>
      </c>
    </row>
    <row r="366" spans="1:69">
      <c r="A366" s="13">
        <v>363</v>
      </c>
      <c r="B366" s="13">
        <v>241</v>
      </c>
      <c r="C366" s="17">
        <v>178.02658109999999</v>
      </c>
      <c r="D366" s="13"/>
      <c r="E366" s="13"/>
      <c r="F366" s="13"/>
      <c r="G366" s="13"/>
      <c r="H366" s="13"/>
      <c r="I366" s="13"/>
      <c r="J366" s="13"/>
      <c r="K366" s="13"/>
      <c r="L366" s="13"/>
      <c r="M366" s="13">
        <f t="shared" si="24"/>
        <v>-26.130049336099592</v>
      </c>
      <c r="N366" s="13"/>
      <c r="O366" s="13">
        <v>363</v>
      </c>
      <c r="P366" s="13">
        <v>241</v>
      </c>
      <c r="Q366" s="17">
        <v>207.1910116</v>
      </c>
      <c r="R366" s="13"/>
      <c r="S366" s="13"/>
      <c r="T366" s="13"/>
      <c r="U366" s="13"/>
      <c r="V366" s="13"/>
      <c r="W366" s="13"/>
      <c r="X366" s="13"/>
      <c r="Y366" s="13"/>
      <c r="Z366" s="13"/>
      <c r="AA366" s="13">
        <f t="shared" si="21"/>
        <v>-14.028625892116187</v>
      </c>
      <c r="AB366" s="13"/>
      <c r="AC366" s="34"/>
      <c r="AD366" s="34"/>
      <c r="AE366" s="34"/>
      <c r="AF366" s="34"/>
      <c r="AG366" s="34"/>
      <c r="AI366" s="35">
        <v>363</v>
      </c>
      <c r="AJ366" s="35">
        <v>241</v>
      </c>
      <c r="AK366" s="17">
        <v>240.6995714</v>
      </c>
      <c r="AV366" s="13">
        <f t="shared" si="22"/>
        <v>-0.12465917012448591</v>
      </c>
      <c r="BD366" s="35">
        <v>363</v>
      </c>
      <c r="BE366" s="35">
        <v>241</v>
      </c>
      <c r="BF366" s="17">
        <v>237.10012599999999</v>
      </c>
      <c r="BQ366" s="13">
        <f t="shared" si="23"/>
        <v>-1.6182049792531128</v>
      </c>
    </row>
    <row r="367" spans="1:69">
      <c r="A367" s="13">
        <v>364</v>
      </c>
      <c r="B367" s="13">
        <v>106</v>
      </c>
      <c r="C367" s="17">
        <v>118.6138673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>
        <f t="shared" si="24"/>
        <v>11.899874811320753</v>
      </c>
      <c r="N367" s="13"/>
      <c r="O367" s="13">
        <v>364</v>
      </c>
      <c r="P367" s="13">
        <v>106</v>
      </c>
      <c r="Q367" s="17">
        <v>113.8139783</v>
      </c>
      <c r="R367" s="13"/>
      <c r="S367" s="13"/>
      <c r="T367" s="13"/>
      <c r="U367" s="13"/>
      <c r="V367" s="13"/>
      <c r="W367" s="13"/>
      <c r="X367" s="13"/>
      <c r="Y367" s="13"/>
      <c r="Z367" s="13"/>
      <c r="AA367" s="13">
        <f t="shared" si="21"/>
        <v>7.3716776415094332</v>
      </c>
      <c r="AB367" s="13"/>
      <c r="AC367" s="34"/>
      <c r="AD367" s="34"/>
      <c r="AE367" s="34"/>
      <c r="AF367" s="34"/>
      <c r="AG367" s="34"/>
      <c r="AI367" s="35">
        <v>364</v>
      </c>
      <c r="AJ367" s="35">
        <v>106</v>
      </c>
      <c r="AK367" s="17">
        <v>106.6235999</v>
      </c>
      <c r="AV367" s="13">
        <f t="shared" si="22"/>
        <v>0.58830179245283887</v>
      </c>
      <c r="BD367" s="35">
        <v>364</v>
      </c>
      <c r="BE367" s="35">
        <v>106</v>
      </c>
      <c r="BF367" s="17">
        <v>109.951955</v>
      </c>
      <c r="BQ367" s="13">
        <f t="shared" si="23"/>
        <v>3.7282594339622666</v>
      </c>
    </row>
    <row r="368" spans="1:69">
      <c r="A368" s="13">
        <v>365</v>
      </c>
      <c r="B368" s="13">
        <v>183</v>
      </c>
      <c r="C368" s="17">
        <v>165.14884029999999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>
        <f t="shared" si="24"/>
        <v>-9.7547320765027372</v>
      </c>
      <c r="N368" s="13"/>
      <c r="O368" s="13">
        <v>365</v>
      </c>
      <c r="P368" s="13">
        <v>183</v>
      </c>
      <c r="Q368" s="17">
        <v>179.0890077</v>
      </c>
      <c r="R368" s="13"/>
      <c r="S368" s="13"/>
      <c r="T368" s="13"/>
      <c r="U368" s="13"/>
      <c r="V368" s="13"/>
      <c r="W368" s="13"/>
      <c r="X368" s="13"/>
      <c r="Y368" s="13"/>
      <c r="Z368" s="13"/>
      <c r="AA368" s="13">
        <f t="shared" si="21"/>
        <v>-2.1371542622950823</v>
      </c>
      <c r="AB368" s="13"/>
      <c r="AC368" s="34"/>
      <c r="AD368" s="34"/>
      <c r="AE368" s="34"/>
      <c r="AF368" s="34"/>
      <c r="AG368" s="34"/>
      <c r="AI368" s="35">
        <v>365</v>
      </c>
      <c r="AJ368" s="35">
        <v>183</v>
      </c>
      <c r="AK368" s="17">
        <v>182.73408599999999</v>
      </c>
      <c r="AV368" s="13">
        <f t="shared" si="22"/>
        <v>-0.14530819672131656</v>
      </c>
      <c r="BD368" s="35">
        <v>365</v>
      </c>
      <c r="BE368" s="35">
        <v>183</v>
      </c>
      <c r="BF368" s="17">
        <v>182.16976690000001</v>
      </c>
      <c r="BQ368" s="13">
        <f t="shared" si="23"/>
        <v>-0.45367928961748127</v>
      </c>
    </row>
    <row r="369" spans="1:69">
      <c r="A369" s="13">
        <v>366</v>
      </c>
      <c r="B369" s="13">
        <v>14</v>
      </c>
      <c r="C369" s="17">
        <v>22.6095227849985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>
        <f t="shared" si="24"/>
        <v>61.496591321417846</v>
      </c>
      <c r="N369" s="13"/>
      <c r="O369" s="13">
        <v>366</v>
      </c>
      <c r="P369" s="13">
        <v>14</v>
      </c>
      <c r="Q369" s="17">
        <v>12.5264671220651</v>
      </c>
      <c r="R369" s="13"/>
      <c r="S369" s="13"/>
      <c r="T369" s="13"/>
      <c r="U369" s="13"/>
      <c r="V369" s="13"/>
      <c r="W369" s="13"/>
      <c r="X369" s="13"/>
      <c r="Y369" s="13"/>
      <c r="Z369" s="13"/>
      <c r="AA369" s="13">
        <f t="shared" si="21"/>
        <v>-10.52523484239215</v>
      </c>
      <c r="AB369" s="13"/>
      <c r="AC369" s="34"/>
      <c r="AD369" s="34"/>
      <c r="AE369" s="34"/>
      <c r="AF369" s="34"/>
      <c r="AG369" s="34"/>
      <c r="AI369" s="35">
        <v>366</v>
      </c>
      <c r="AJ369" s="35">
        <v>14</v>
      </c>
      <c r="AK369" s="17">
        <v>14.90305042</v>
      </c>
      <c r="AV369" s="13">
        <f t="shared" si="22"/>
        <v>6.4503601428571367</v>
      </c>
      <c r="BD369" s="35">
        <v>366</v>
      </c>
      <c r="BE369" s="35">
        <v>14</v>
      </c>
      <c r="BF369" s="17">
        <v>12.057362551294</v>
      </c>
      <c r="BQ369" s="13">
        <f t="shared" si="23"/>
        <v>-13.875981776471424</v>
      </c>
    </row>
    <row r="370" spans="1:69">
      <c r="A370" s="13">
        <v>367</v>
      </c>
      <c r="B370" s="13">
        <v>22</v>
      </c>
      <c r="C370" s="17">
        <v>35.414668820282401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>
        <f t="shared" si="24"/>
        <v>60.97576736492001</v>
      </c>
      <c r="N370" s="13"/>
      <c r="O370" s="13">
        <v>367</v>
      </c>
      <c r="P370" s="13">
        <v>22</v>
      </c>
      <c r="Q370" s="17">
        <v>29.3089595616125</v>
      </c>
      <c r="R370" s="13"/>
      <c r="S370" s="13"/>
      <c r="T370" s="13"/>
      <c r="U370" s="13"/>
      <c r="V370" s="13"/>
      <c r="W370" s="13"/>
      <c r="X370" s="13"/>
      <c r="Y370" s="13"/>
      <c r="Z370" s="13"/>
      <c r="AA370" s="13">
        <f t="shared" si="21"/>
        <v>33.222543461875006</v>
      </c>
      <c r="AB370" s="13"/>
      <c r="AC370" s="34"/>
      <c r="AD370" s="34"/>
      <c r="AE370" s="34"/>
      <c r="AF370" s="34"/>
      <c r="AG370" s="34"/>
      <c r="AI370" s="35">
        <v>367</v>
      </c>
      <c r="AJ370" s="35">
        <v>22</v>
      </c>
      <c r="AK370" s="17">
        <v>22.727701660000001</v>
      </c>
      <c r="AV370" s="13">
        <f t="shared" si="22"/>
        <v>3.3077348181818289</v>
      </c>
      <c r="BD370" s="35">
        <v>367</v>
      </c>
      <c r="BE370" s="35">
        <v>22</v>
      </c>
      <c r="BF370" s="17">
        <v>26.517900050000001</v>
      </c>
      <c r="BQ370" s="13">
        <f t="shared" si="23"/>
        <v>20.535909318181833</v>
      </c>
    </row>
    <row r="371" spans="1:69">
      <c r="A371" s="13">
        <v>368</v>
      </c>
      <c r="B371" s="13">
        <v>130</v>
      </c>
      <c r="C371" s="17">
        <v>110.3898116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>
        <f t="shared" si="24"/>
        <v>-15.084760307692303</v>
      </c>
      <c r="N371" s="13"/>
      <c r="O371" s="13">
        <v>368</v>
      </c>
      <c r="P371" s="13">
        <v>130</v>
      </c>
      <c r="Q371" s="17">
        <v>113.3078946</v>
      </c>
      <c r="R371" s="13"/>
      <c r="S371" s="13"/>
      <c r="T371" s="13"/>
      <c r="U371" s="13"/>
      <c r="V371" s="13"/>
      <c r="W371" s="13"/>
      <c r="X371" s="13"/>
      <c r="Y371" s="13"/>
      <c r="Z371" s="13"/>
      <c r="AA371" s="13">
        <f t="shared" si="21"/>
        <v>-12.840081076923083</v>
      </c>
      <c r="AB371" s="13"/>
      <c r="AC371" s="34"/>
      <c r="AD371" s="34"/>
      <c r="AE371" s="34"/>
      <c r="AF371" s="34"/>
      <c r="AG371" s="34"/>
      <c r="AI371" s="35">
        <v>368</v>
      </c>
      <c r="AJ371" s="35">
        <v>130</v>
      </c>
      <c r="AK371" s="17">
        <v>127.1198849</v>
      </c>
      <c r="AV371" s="13">
        <f t="shared" si="22"/>
        <v>-2.2154731538461481</v>
      </c>
      <c r="BD371" s="35">
        <v>368</v>
      </c>
      <c r="BE371" s="35">
        <v>130</v>
      </c>
      <c r="BF371" s="17">
        <v>119.9309543</v>
      </c>
      <c r="BQ371" s="13">
        <f t="shared" si="23"/>
        <v>-7.7454197692307769</v>
      </c>
    </row>
    <row r="372" spans="1:69">
      <c r="A372" s="13">
        <v>369</v>
      </c>
      <c r="B372" s="13">
        <v>37</v>
      </c>
      <c r="C372" s="17">
        <v>20.961071023250501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>
        <f t="shared" si="24"/>
        <v>-43.348456693917569</v>
      </c>
      <c r="N372" s="13"/>
      <c r="O372" s="13">
        <v>369</v>
      </c>
      <c r="P372" s="13">
        <v>37</v>
      </c>
      <c r="Q372" s="17">
        <v>44.657302659999999</v>
      </c>
      <c r="R372" s="13"/>
      <c r="S372" s="13"/>
      <c r="T372" s="13"/>
      <c r="U372" s="13"/>
      <c r="V372" s="13"/>
      <c r="W372" s="13"/>
      <c r="X372" s="13"/>
      <c r="Y372" s="13"/>
      <c r="Z372" s="13"/>
      <c r="AA372" s="13">
        <f t="shared" si="21"/>
        <v>20.695412594594597</v>
      </c>
      <c r="AB372" s="13"/>
      <c r="AC372" s="34"/>
      <c r="AD372" s="34"/>
      <c r="AE372" s="34"/>
      <c r="AF372" s="34"/>
      <c r="AG372" s="34"/>
      <c r="AI372" s="35">
        <v>369</v>
      </c>
      <c r="AJ372" s="35">
        <v>37</v>
      </c>
      <c r="AK372" s="17">
        <v>36.902228989999998</v>
      </c>
      <c r="AV372" s="13">
        <f t="shared" si="22"/>
        <v>-0.26424597297297625</v>
      </c>
      <c r="BD372" s="35">
        <v>369</v>
      </c>
      <c r="BE372" s="35">
        <v>37</v>
      </c>
      <c r="BF372" s="17">
        <v>36.961808619999999</v>
      </c>
      <c r="BQ372" s="13">
        <f t="shared" si="23"/>
        <v>-0.10321994594594264</v>
      </c>
    </row>
    <row r="373" spans="1:69">
      <c r="A373" s="13">
        <v>370</v>
      </c>
      <c r="B373" s="13">
        <v>48</v>
      </c>
      <c r="C373" s="17">
        <v>45.693493247845602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>
        <f t="shared" si="24"/>
        <v>-4.8052224003216626</v>
      </c>
      <c r="N373" s="13"/>
      <c r="O373" s="13">
        <v>370</v>
      </c>
      <c r="P373" s="13">
        <v>48</v>
      </c>
      <c r="Q373" s="17">
        <v>62.189843500000002</v>
      </c>
      <c r="R373" s="13"/>
      <c r="S373" s="13"/>
      <c r="T373" s="13"/>
      <c r="U373" s="13"/>
      <c r="V373" s="13"/>
      <c r="W373" s="13"/>
      <c r="X373" s="13"/>
      <c r="Y373" s="13"/>
      <c r="Z373" s="13"/>
      <c r="AA373" s="13">
        <f t="shared" si="21"/>
        <v>29.562173958333339</v>
      </c>
      <c r="AB373" s="13"/>
      <c r="AC373" s="34"/>
      <c r="AD373" s="34"/>
      <c r="AE373" s="34"/>
      <c r="AF373" s="34"/>
      <c r="AG373" s="34"/>
      <c r="AI373" s="35">
        <v>370</v>
      </c>
      <c r="AJ373" s="35">
        <v>48</v>
      </c>
      <c r="AK373" s="17">
        <v>48.178737480000002</v>
      </c>
      <c r="AV373" s="13">
        <f t="shared" si="22"/>
        <v>0.37236975000001227</v>
      </c>
      <c r="BD373" s="35">
        <v>370</v>
      </c>
      <c r="BE373" s="35">
        <v>48</v>
      </c>
      <c r="BF373" s="17">
        <v>49.878166110000002</v>
      </c>
      <c r="BQ373" s="13">
        <f t="shared" si="23"/>
        <v>3.9128460624999972</v>
      </c>
    </row>
    <row r="374" spans="1:69">
      <c r="A374" s="13">
        <v>371</v>
      </c>
      <c r="B374" s="13">
        <v>46</v>
      </c>
      <c r="C374" s="17">
        <v>54.391532920000003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>
        <f t="shared" si="24"/>
        <v>18.242462869565234</v>
      </c>
      <c r="N374" s="13"/>
      <c r="O374" s="13">
        <v>371</v>
      </c>
      <c r="P374" s="13">
        <v>46</v>
      </c>
      <c r="Q374" s="17">
        <v>47.351430219999997</v>
      </c>
      <c r="R374" s="13"/>
      <c r="S374" s="13"/>
      <c r="T374" s="13"/>
      <c r="U374" s="13"/>
      <c r="V374" s="13"/>
      <c r="W374" s="13"/>
      <c r="X374" s="13"/>
      <c r="Y374" s="13"/>
      <c r="Z374" s="13"/>
      <c r="AA374" s="13">
        <f t="shared" si="21"/>
        <v>2.9378917826086814</v>
      </c>
      <c r="AB374" s="13"/>
      <c r="AC374" s="34"/>
      <c r="AD374" s="34"/>
      <c r="AE374" s="34"/>
      <c r="AF374" s="34"/>
      <c r="AG374" s="34"/>
      <c r="AI374" s="35">
        <v>371</v>
      </c>
      <c r="AJ374" s="35">
        <v>46</v>
      </c>
      <c r="AK374" s="17">
        <v>46.088258699999997</v>
      </c>
      <c r="AV374" s="13">
        <f t="shared" si="22"/>
        <v>0.19186673913043073</v>
      </c>
      <c r="BD374" s="35">
        <v>371</v>
      </c>
      <c r="BE374" s="35">
        <v>46</v>
      </c>
      <c r="BF374" s="17">
        <v>47.1382008</v>
      </c>
      <c r="BQ374" s="13">
        <f t="shared" si="23"/>
        <v>2.474349565217393</v>
      </c>
    </row>
    <row r="375" spans="1:69">
      <c r="A375" s="13">
        <v>372</v>
      </c>
      <c r="B375" s="13">
        <v>90</v>
      </c>
      <c r="C375" s="17">
        <v>101.9438117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>
        <f t="shared" si="24"/>
        <v>13.270901888888886</v>
      </c>
      <c r="N375" s="13"/>
      <c r="O375" s="13">
        <v>372</v>
      </c>
      <c r="P375" s="13">
        <v>90</v>
      </c>
      <c r="Q375" s="17">
        <v>96.699570969999996</v>
      </c>
      <c r="R375" s="13"/>
      <c r="S375" s="13"/>
      <c r="T375" s="13"/>
      <c r="U375" s="13"/>
      <c r="V375" s="13"/>
      <c r="W375" s="13"/>
      <c r="X375" s="13"/>
      <c r="Y375" s="13"/>
      <c r="Z375" s="13"/>
      <c r="AA375" s="13">
        <f t="shared" si="21"/>
        <v>7.4439677444444463</v>
      </c>
      <c r="AB375" s="13"/>
      <c r="AC375" s="34"/>
      <c r="AD375" s="34"/>
      <c r="AE375" s="34"/>
      <c r="AF375" s="34"/>
      <c r="AG375" s="34"/>
      <c r="AI375" s="35">
        <v>372</v>
      </c>
      <c r="AJ375" s="35">
        <v>90</v>
      </c>
      <c r="AK375" s="17">
        <v>90.202739840000007</v>
      </c>
      <c r="AV375" s="13">
        <f t="shared" si="22"/>
        <v>0.22526648888889778</v>
      </c>
      <c r="BD375" s="35">
        <v>372</v>
      </c>
      <c r="BE375" s="35">
        <v>90</v>
      </c>
      <c r="BF375" s="17">
        <v>92.585558500000005</v>
      </c>
      <c r="BQ375" s="13">
        <f t="shared" si="23"/>
        <v>2.8728427777777732</v>
      </c>
    </row>
    <row r="376" spans="1:69">
      <c r="A376" s="13">
        <v>373</v>
      </c>
      <c r="B376" s="13">
        <v>94</v>
      </c>
      <c r="C376" s="17">
        <v>101.48572369999999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>
        <f t="shared" si="24"/>
        <v>7.9635358510638188</v>
      </c>
      <c r="N376" s="13"/>
      <c r="O376" s="13">
        <v>373</v>
      </c>
      <c r="P376" s="13">
        <v>94</v>
      </c>
      <c r="Q376" s="17">
        <v>98.5549812</v>
      </c>
      <c r="R376" s="13"/>
      <c r="S376" s="13"/>
      <c r="T376" s="13"/>
      <c r="U376" s="13"/>
      <c r="V376" s="13"/>
      <c r="W376" s="13"/>
      <c r="X376" s="13"/>
      <c r="Y376" s="13"/>
      <c r="Z376" s="13"/>
      <c r="AA376" s="13">
        <f t="shared" si="21"/>
        <v>4.8457246808510712</v>
      </c>
      <c r="AB376" s="13"/>
      <c r="AC376" s="34"/>
      <c r="AD376" s="34"/>
      <c r="AE376" s="34"/>
      <c r="AF376" s="34"/>
      <c r="AG376" s="34"/>
      <c r="AI376" s="35">
        <v>373</v>
      </c>
      <c r="AJ376" s="35">
        <v>94</v>
      </c>
      <c r="AK376" s="17">
        <v>94.564755379999994</v>
      </c>
      <c r="AV376" s="13">
        <f t="shared" si="22"/>
        <v>0.60080359574468112</v>
      </c>
      <c r="BD376" s="35">
        <v>373</v>
      </c>
      <c r="BE376" s="35">
        <v>94</v>
      </c>
      <c r="BF376" s="17">
        <v>95.610520989999998</v>
      </c>
      <c r="BQ376" s="13">
        <f t="shared" si="23"/>
        <v>1.7133202021276661</v>
      </c>
    </row>
    <row r="377" spans="1:69">
      <c r="A377" s="13">
        <v>374</v>
      </c>
      <c r="B377" s="13">
        <v>27</v>
      </c>
      <c r="C377" s="17">
        <v>30.4966882624026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>
        <f t="shared" si="24"/>
        <v>12.950697268157786</v>
      </c>
      <c r="N377" s="13"/>
      <c r="O377" s="13">
        <v>374</v>
      </c>
      <c r="P377" s="13">
        <v>27</v>
      </c>
      <c r="Q377" s="17">
        <v>39.786736592021803</v>
      </c>
      <c r="R377" s="13"/>
      <c r="S377" s="13"/>
      <c r="T377" s="13"/>
      <c r="U377" s="13"/>
      <c r="V377" s="13"/>
      <c r="W377" s="13"/>
      <c r="X377" s="13"/>
      <c r="Y377" s="13"/>
      <c r="Z377" s="13"/>
      <c r="AA377" s="13">
        <f t="shared" si="21"/>
        <v>47.358283674154819</v>
      </c>
      <c r="AB377" s="13"/>
      <c r="AC377" s="34"/>
      <c r="AD377" s="34"/>
      <c r="AE377" s="34"/>
      <c r="AF377" s="34"/>
      <c r="AG377" s="34"/>
      <c r="AI377" s="35">
        <v>374</v>
      </c>
      <c r="AJ377" s="35">
        <v>27</v>
      </c>
      <c r="AK377" s="17">
        <v>27.036999999999999</v>
      </c>
      <c r="AV377" s="13">
        <f t="shared" si="22"/>
        <v>0.13703703703702441</v>
      </c>
      <c r="BD377" s="35">
        <v>374</v>
      </c>
      <c r="BE377" s="35">
        <v>27</v>
      </c>
      <c r="BF377" s="17">
        <v>29.054321529999999</v>
      </c>
      <c r="BQ377" s="13">
        <f t="shared" si="23"/>
        <v>7.6085982592592583</v>
      </c>
    </row>
    <row r="378" spans="1:69">
      <c r="A378" s="13">
        <v>375</v>
      </c>
      <c r="B378" s="13">
        <v>142</v>
      </c>
      <c r="C378" s="17">
        <v>117.0775721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>
        <f t="shared" si="24"/>
        <v>-17.551005563380283</v>
      </c>
      <c r="N378" s="13"/>
      <c r="O378" s="13">
        <v>375</v>
      </c>
      <c r="P378" s="13">
        <v>142</v>
      </c>
      <c r="Q378" s="17">
        <v>123.895895</v>
      </c>
      <c r="R378" s="13"/>
      <c r="S378" s="13"/>
      <c r="T378" s="13"/>
      <c r="U378" s="13"/>
      <c r="V378" s="13"/>
      <c r="W378" s="13"/>
      <c r="X378" s="13"/>
      <c r="Y378" s="13"/>
      <c r="Z378" s="13"/>
      <c r="AA378" s="13">
        <f t="shared" si="21"/>
        <v>-12.749369718309866</v>
      </c>
      <c r="AB378" s="13"/>
      <c r="AC378" s="34"/>
      <c r="AD378" s="34"/>
      <c r="AE378" s="34"/>
      <c r="AF378" s="34"/>
      <c r="AG378" s="34"/>
      <c r="AI378" s="35">
        <v>375</v>
      </c>
      <c r="AJ378" s="35">
        <v>142</v>
      </c>
      <c r="AK378" s="17">
        <v>138.31431789999999</v>
      </c>
      <c r="AV378" s="13">
        <f t="shared" si="22"/>
        <v>-2.5955507746478923</v>
      </c>
      <c r="BD378" s="35">
        <v>375</v>
      </c>
      <c r="BE378" s="35">
        <v>142</v>
      </c>
      <c r="BF378" s="17">
        <v>130.42677449999999</v>
      </c>
      <c r="BQ378" s="13">
        <f t="shared" si="23"/>
        <v>-8.1501588028169092</v>
      </c>
    </row>
    <row r="379" spans="1:69">
      <c r="A379" s="13">
        <v>376</v>
      </c>
      <c r="B379" s="13">
        <v>150</v>
      </c>
      <c r="C379" s="17">
        <v>124.1557012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>
        <f t="shared" si="24"/>
        <v>-17.229532533333337</v>
      </c>
      <c r="N379" s="13"/>
      <c r="O379" s="13">
        <v>376</v>
      </c>
      <c r="P379" s="13">
        <v>150</v>
      </c>
      <c r="Q379" s="17">
        <v>130.75486710000001</v>
      </c>
      <c r="R379" s="13"/>
      <c r="S379" s="13"/>
      <c r="T379" s="13"/>
      <c r="U379" s="13"/>
      <c r="V379" s="13"/>
      <c r="W379" s="13"/>
      <c r="X379" s="13"/>
      <c r="Y379" s="13"/>
      <c r="Z379" s="13"/>
      <c r="AA379" s="13">
        <f t="shared" si="21"/>
        <v>-12.830088599999989</v>
      </c>
      <c r="AB379" s="13"/>
      <c r="AC379" s="34"/>
      <c r="AD379" s="34"/>
      <c r="AE379" s="34"/>
      <c r="AF379" s="34"/>
      <c r="AG379" s="34"/>
      <c r="AI379" s="35">
        <v>376</v>
      </c>
      <c r="AJ379" s="35">
        <v>150</v>
      </c>
      <c r="AK379" s="17">
        <v>146.91370259999999</v>
      </c>
      <c r="AV379" s="13">
        <f t="shared" si="22"/>
        <v>-2.0575316000000066</v>
      </c>
      <c r="BD379" s="35">
        <v>376</v>
      </c>
      <c r="BE379" s="35">
        <v>150</v>
      </c>
      <c r="BF379" s="17">
        <v>138.64311000000001</v>
      </c>
      <c r="BQ379" s="13">
        <f t="shared" si="23"/>
        <v>-7.5712599999999908</v>
      </c>
    </row>
    <row r="380" spans="1:69">
      <c r="A380" s="13">
        <v>377</v>
      </c>
      <c r="B380" s="13">
        <v>0</v>
      </c>
      <c r="C380" s="17">
        <v>42.904802959999998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 t="e">
        <f t="shared" si="24"/>
        <v>#DIV/0!</v>
      </c>
      <c r="N380" s="13"/>
      <c r="O380" s="13">
        <v>377</v>
      </c>
      <c r="P380" s="13">
        <v>0</v>
      </c>
      <c r="Q380" s="17">
        <v>23.647938490000001</v>
      </c>
      <c r="R380" s="13"/>
      <c r="S380" s="13"/>
      <c r="T380" s="13"/>
      <c r="U380" s="13"/>
      <c r="V380" s="13"/>
      <c r="W380" s="13"/>
      <c r="X380" s="13"/>
      <c r="Y380" s="13"/>
      <c r="Z380" s="13"/>
      <c r="AA380" s="13" t="e">
        <f t="shared" si="21"/>
        <v>#DIV/0!</v>
      </c>
      <c r="AB380" s="13"/>
      <c r="AC380" s="34"/>
      <c r="AD380" s="34"/>
      <c r="AE380" s="34"/>
      <c r="AF380" s="34"/>
      <c r="AG380" s="34"/>
      <c r="AI380" s="35">
        <v>377</v>
      </c>
      <c r="AJ380" s="35">
        <v>0</v>
      </c>
      <c r="AK380" s="17">
        <v>0.84203101300000005</v>
      </c>
      <c r="AV380" s="13" t="e">
        <f t="shared" si="22"/>
        <v>#DIV/0!</v>
      </c>
      <c r="BD380" s="35">
        <v>377</v>
      </c>
      <c r="BE380" s="35">
        <v>0</v>
      </c>
      <c r="BF380" s="17">
        <v>9.634154659</v>
      </c>
      <c r="BQ380" s="13" t="e">
        <f t="shared" si="23"/>
        <v>#DIV/0!</v>
      </c>
    </row>
    <row r="381" spans="1:69">
      <c r="A381" s="13">
        <v>378</v>
      </c>
      <c r="B381" s="13">
        <v>63</v>
      </c>
      <c r="C381" s="17">
        <v>69.195615860000004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>
        <f t="shared" si="24"/>
        <v>9.8343108888888864</v>
      </c>
      <c r="N381" s="13"/>
      <c r="O381" s="13">
        <v>378</v>
      </c>
      <c r="P381" s="13">
        <v>63</v>
      </c>
      <c r="Q381" s="17">
        <v>61.864243549999998</v>
      </c>
      <c r="R381" s="13"/>
      <c r="S381" s="13"/>
      <c r="T381" s="13"/>
      <c r="U381" s="13"/>
      <c r="V381" s="13"/>
      <c r="W381" s="13"/>
      <c r="X381" s="13"/>
      <c r="Y381" s="13"/>
      <c r="Z381" s="13"/>
      <c r="AA381" s="13">
        <f t="shared" si="21"/>
        <v>-1.8027880158730247</v>
      </c>
      <c r="AB381" s="13"/>
      <c r="AC381" s="34"/>
      <c r="AD381" s="34"/>
      <c r="AE381" s="34"/>
      <c r="AF381" s="34"/>
      <c r="AG381" s="34"/>
      <c r="AI381" s="35">
        <v>378</v>
      </c>
      <c r="AJ381" s="35">
        <v>63</v>
      </c>
      <c r="AK381" s="17">
        <v>63.083432889999997</v>
      </c>
      <c r="AV381" s="13">
        <f t="shared" si="22"/>
        <v>0.13243315873014971</v>
      </c>
      <c r="BD381" s="35">
        <v>378</v>
      </c>
      <c r="BE381" s="35">
        <v>63</v>
      </c>
      <c r="BF381" s="17">
        <v>62.285692009999998</v>
      </c>
      <c r="BQ381" s="13">
        <f t="shared" si="23"/>
        <v>-1.1338222063492109</v>
      </c>
    </row>
    <row r="382" spans="1:69">
      <c r="A382" s="13">
        <v>379</v>
      </c>
      <c r="B382" s="13">
        <v>162</v>
      </c>
      <c r="C382" s="17">
        <v>131.8765588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>
        <f t="shared" si="24"/>
        <v>-18.594716790123456</v>
      </c>
      <c r="N382" s="13"/>
      <c r="O382" s="13">
        <v>379</v>
      </c>
      <c r="P382" s="13">
        <v>162</v>
      </c>
      <c r="Q382" s="17">
        <v>144.2193067</v>
      </c>
      <c r="R382" s="13"/>
      <c r="S382" s="13"/>
      <c r="T382" s="13"/>
      <c r="U382" s="13"/>
      <c r="V382" s="13"/>
      <c r="W382" s="13"/>
      <c r="X382" s="13"/>
      <c r="Y382" s="13"/>
      <c r="Z382" s="13"/>
      <c r="AA382" s="13">
        <f t="shared" si="21"/>
        <v>-10.97573660493827</v>
      </c>
      <c r="AB382" s="13"/>
      <c r="AC382" s="34"/>
      <c r="AD382" s="34"/>
      <c r="AE382" s="34"/>
      <c r="AF382" s="34"/>
      <c r="AG382" s="34"/>
      <c r="AI382" s="35">
        <v>379</v>
      </c>
      <c r="AJ382" s="35">
        <v>162</v>
      </c>
      <c r="AK382" s="17">
        <v>160.77390349999999</v>
      </c>
      <c r="AV382" s="13">
        <f t="shared" si="22"/>
        <v>-0.75684969135803026</v>
      </c>
      <c r="BD382" s="35">
        <v>379</v>
      </c>
      <c r="BE382" s="35">
        <v>162</v>
      </c>
      <c r="BF382" s="17">
        <v>154.16587770000001</v>
      </c>
      <c r="BQ382" s="13">
        <f t="shared" si="23"/>
        <v>-4.8358779629629538</v>
      </c>
    </row>
    <row r="383" spans="1:69">
      <c r="A383" s="13">
        <v>380</v>
      </c>
      <c r="B383" s="13">
        <v>60</v>
      </c>
      <c r="C383" s="17">
        <v>64.278425479999996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>
        <f t="shared" si="24"/>
        <v>7.130709133333335</v>
      </c>
      <c r="N383" s="13"/>
      <c r="O383" s="13">
        <v>380</v>
      </c>
      <c r="P383" s="13">
        <v>60</v>
      </c>
      <c r="Q383" s="17">
        <v>52.450812450000001</v>
      </c>
      <c r="R383" s="13"/>
      <c r="S383" s="13"/>
      <c r="T383" s="13"/>
      <c r="U383" s="13"/>
      <c r="V383" s="13"/>
      <c r="W383" s="13"/>
      <c r="X383" s="13"/>
      <c r="Y383" s="13"/>
      <c r="Z383" s="13"/>
      <c r="AA383" s="13">
        <f t="shared" si="21"/>
        <v>-12.581979249999996</v>
      </c>
      <c r="AB383" s="13"/>
      <c r="AC383" s="34"/>
      <c r="AD383" s="34"/>
      <c r="AE383" s="34"/>
      <c r="AF383" s="34"/>
      <c r="AG383" s="34"/>
      <c r="AI383" s="35">
        <v>380</v>
      </c>
      <c r="AJ383" s="35">
        <v>60</v>
      </c>
      <c r="AK383" s="17">
        <v>58.812022880000001</v>
      </c>
      <c r="AV383" s="13">
        <f t="shared" si="22"/>
        <v>-1.9799618666666685</v>
      </c>
      <c r="BD383" s="35">
        <v>380</v>
      </c>
      <c r="BE383" s="35">
        <v>60</v>
      </c>
      <c r="BF383" s="17">
        <v>56.497170349999998</v>
      </c>
      <c r="BQ383" s="13">
        <f t="shared" si="23"/>
        <v>-5.838049416666669</v>
      </c>
    </row>
    <row r="384" spans="1:69">
      <c r="A384" s="13">
        <v>381</v>
      </c>
      <c r="B384" s="13">
        <v>129</v>
      </c>
      <c r="C384" s="17">
        <v>111.7285809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>
        <f t="shared" si="24"/>
        <v>-13.388696976744185</v>
      </c>
      <c r="N384" s="13"/>
      <c r="O384" s="13">
        <v>381</v>
      </c>
      <c r="P384" s="13">
        <v>129</v>
      </c>
      <c r="Q384" s="17">
        <v>118.4353042</v>
      </c>
      <c r="R384" s="13"/>
      <c r="S384" s="13"/>
      <c r="T384" s="13"/>
      <c r="U384" s="13"/>
      <c r="V384" s="13"/>
      <c r="W384" s="13"/>
      <c r="X384" s="13"/>
      <c r="Y384" s="13"/>
      <c r="Z384" s="13"/>
      <c r="AA384" s="13">
        <f t="shared" si="21"/>
        <v>-8.1896866666666632</v>
      </c>
      <c r="AB384" s="13"/>
      <c r="AC384" s="34"/>
      <c r="AD384" s="34"/>
      <c r="AE384" s="34"/>
      <c r="AF384" s="34"/>
      <c r="AG384" s="34"/>
      <c r="AI384" s="35">
        <v>381</v>
      </c>
      <c r="AJ384" s="35">
        <v>129</v>
      </c>
      <c r="AK384" s="17">
        <v>128.01346079999999</v>
      </c>
      <c r="AV384" s="13">
        <f t="shared" si="22"/>
        <v>-0.76475906976745112</v>
      </c>
      <c r="BD384" s="35">
        <v>381</v>
      </c>
      <c r="BE384" s="35">
        <v>129</v>
      </c>
      <c r="BF384" s="17">
        <v>123.267944</v>
      </c>
      <c r="BQ384" s="13">
        <f t="shared" si="23"/>
        <v>-4.4434542635658936</v>
      </c>
    </row>
    <row r="385" spans="1:69">
      <c r="A385" s="13">
        <v>382</v>
      </c>
      <c r="B385" s="13">
        <v>43</v>
      </c>
      <c r="C385" s="17">
        <v>49.382421858574297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>
        <f t="shared" si="24"/>
        <v>14.842841531568141</v>
      </c>
      <c r="N385" s="13"/>
      <c r="O385" s="13">
        <v>382</v>
      </c>
      <c r="P385" s="13">
        <v>43</v>
      </c>
      <c r="Q385" s="17">
        <v>62.574935519999997</v>
      </c>
      <c r="R385" s="13"/>
      <c r="S385" s="13"/>
      <c r="T385" s="13"/>
      <c r="U385" s="13"/>
      <c r="V385" s="13"/>
      <c r="W385" s="13"/>
      <c r="X385" s="13"/>
      <c r="Y385" s="13"/>
      <c r="Z385" s="13"/>
      <c r="AA385" s="13">
        <f t="shared" si="21"/>
        <v>45.523105860465108</v>
      </c>
      <c r="AB385" s="13"/>
      <c r="AC385" s="34"/>
      <c r="AD385" s="34"/>
      <c r="AE385" s="34"/>
      <c r="AF385" s="34"/>
      <c r="AG385" s="34"/>
      <c r="AI385" s="35">
        <v>382</v>
      </c>
      <c r="AJ385" s="35">
        <v>43</v>
      </c>
      <c r="AK385" s="17">
        <v>44.536041529999999</v>
      </c>
      <c r="AV385" s="13">
        <f t="shared" si="22"/>
        <v>3.5721896046511548</v>
      </c>
      <c r="BD385" s="35">
        <v>382</v>
      </c>
      <c r="BE385" s="35">
        <v>43</v>
      </c>
      <c r="BF385" s="17">
        <v>51.447501979999998</v>
      </c>
      <c r="BQ385" s="13">
        <f t="shared" si="23"/>
        <v>19.645353441860468</v>
      </c>
    </row>
    <row r="386" spans="1:69">
      <c r="A386" s="13">
        <v>383</v>
      </c>
      <c r="B386" s="13">
        <v>22</v>
      </c>
      <c r="C386" s="17">
        <v>14.2836668777583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>
        <f t="shared" si="24"/>
        <v>-35.074241464735003</v>
      </c>
      <c r="N386" s="13"/>
      <c r="O386" s="13">
        <v>383</v>
      </c>
      <c r="P386" s="13">
        <v>22</v>
      </c>
      <c r="Q386" s="17">
        <v>34.397594410000004</v>
      </c>
      <c r="R386" s="13"/>
      <c r="S386" s="13"/>
      <c r="T386" s="13"/>
      <c r="U386" s="13"/>
      <c r="V386" s="13"/>
      <c r="W386" s="13"/>
      <c r="X386" s="13"/>
      <c r="Y386" s="13"/>
      <c r="Z386" s="13"/>
      <c r="AA386" s="13">
        <f t="shared" si="21"/>
        <v>56.352701863636391</v>
      </c>
      <c r="AB386" s="13"/>
      <c r="AC386" s="34"/>
      <c r="AD386" s="34"/>
      <c r="AE386" s="34"/>
      <c r="AF386" s="34"/>
      <c r="AG386" s="34"/>
      <c r="AI386" s="35">
        <v>383</v>
      </c>
      <c r="AJ386" s="35">
        <v>22</v>
      </c>
      <c r="AK386" s="17">
        <v>22.107761289999999</v>
      </c>
      <c r="AV386" s="13">
        <f t="shared" si="22"/>
        <v>0.4898240454545455</v>
      </c>
      <c r="BD386" s="35">
        <v>383</v>
      </c>
      <c r="BE386" s="35">
        <v>22</v>
      </c>
      <c r="BF386" s="17">
        <v>24.274981489999998</v>
      </c>
      <c r="BQ386" s="13">
        <f t="shared" si="23"/>
        <v>10.340824954545447</v>
      </c>
    </row>
    <row r="387" spans="1:69">
      <c r="A387" s="13">
        <v>384</v>
      </c>
      <c r="B387" s="13">
        <v>170</v>
      </c>
      <c r="C387" s="17">
        <v>137.9206337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>
        <f t="shared" si="24"/>
        <v>-18.870215470588235</v>
      </c>
      <c r="N387" s="13"/>
      <c r="O387" s="13">
        <v>384</v>
      </c>
      <c r="P387" s="13">
        <v>170</v>
      </c>
      <c r="Q387" s="17">
        <v>150.08503970000001</v>
      </c>
      <c r="R387" s="13"/>
      <c r="S387" s="13"/>
      <c r="T387" s="13"/>
      <c r="U387" s="13"/>
      <c r="V387" s="13"/>
      <c r="W387" s="13"/>
      <c r="X387" s="13"/>
      <c r="Y387" s="13"/>
      <c r="Z387" s="13"/>
      <c r="AA387" s="13">
        <f t="shared" ref="AA387:AA450" si="25">((Q387/P387)-1)*100</f>
        <v>-11.714682529411757</v>
      </c>
      <c r="AB387" s="13"/>
      <c r="AC387" s="34"/>
      <c r="AD387" s="34"/>
      <c r="AE387" s="34"/>
      <c r="AF387" s="34"/>
      <c r="AG387" s="34"/>
      <c r="AI387" s="35">
        <v>384</v>
      </c>
      <c r="AJ387" s="35">
        <v>170</v>
      </c>
      <c r="AK387" s="17">
        <v>166.73169250000001</v>
      </c>
      <c r="AV387" s="13">
        <f t="shared" si="22"/>
        <v>-1.9225338235294043</v>
      </c>
      <c r="BD387" s="35">
        <v>384</v>
      </c>
      <c r="BE387" s="35">
        <v>170</v>
      </c>
      <c r="BF387" s="17">
        <v>158.16439439999999</v>
      </c>
      <c r="BQ387" s="13">
        <f t="shared" si="23"/>
        <v>-6.9621209411764751</v>
      </c>
    </row>
    <row r="388" spans="1:69">
      <c r="A388" s="13">
        <v>385</v>
      </c>
      <c r="B388" s="13">
        <v>162</v>
      </c>
      <c r="C388" s="17">
        <v>152.44181330000001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>
        <f t="shared" si="24"/>
        <v>-5.9001152469135736</v>
      </c>
      <c r="N388" s="13"/>
      <c r="O388" s="13">
        <v>385</v>
      </c>
      <c r="P388" s="13">
        <v>162</v>
      </c>
      <c r="Q388" s="17">
        <v>163.01867390000001</v>
      </c>
      <c r="R388" s="13"/>
      <c r="S388" s="13"/>
      <c r="T388" s="13"/>
      <c r="U388" s="13"/>
      <c r="V388" s="13"/>
      <c r="W388" s="13"/>
      <c r="X388" s="13"/>
      <c r="Y388" s="13"/>
      <c r="Z388" s="13"/>
      <c r="AA388" s="13">
        <f t="shared" si="25"/>
        <v>0.62881104938272703</v>
      </c>
      <c r="AB388" s="13"/>
      <c r="AC388" s="34"/>
      <c r="AD388" s="34"/>
      <c r="AE388" s="34"/>
      <c r="AF388" s="34"/>
      <c r="AG388" s="34"/>
      <c r="AI388" s="35">
        <v>385</v>
      </c>
      <c r="AJ388" s="35">
        <v>162</v>
      </c>
      <c r="AK388" s="17">
        <v>162.00853739999999</v>
      </c>
      <c r="AV388" s="13">
        <f t="shared" ref="AV388:AV451" si="26">((AK388/AJ388)-1)*100</f>
        <v>5.26999999999056E-3</v>
      </c>
      <c r="BD388" s="35">
        <v>385</v>
      </c>
      <c r="BE388" s="35">
        <v>162</v>
      </c>
      <c r="BF388" s="17">
        <v>162.64763210000001</v>
      </c>
      <c r="BQ388" s="13">
        <f t="shared" ref="BQ388:BQ451" si="27">((BF388/BE388)-1)*100</f>
        <v>0.39977290123456299</v>
      </c>
    </row>
    <row r="389" spans="1:69">
      <c r="A389" s="13">
        <v>386</v>
      </c>
      <c r="B389" s="13">
        <v>238</v>
      </c>
      <c r="C389" s="17">
        <v>180.34305560000001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>
        <f t="shared" si="24"/>
        <v>-24.225606890756303</v>
      </c>
      <c r="N389" s="13"/>
      <c r="O389" s="13">
        <v>386</v>
      </c>
      <c r="P389" s="13">
        <v>238</v>
      </c>
      <c r="Q389" s="17">
        <v>208.01681769999999</v>
      </c>
      <c r="R389" s="13"/>
      <c r="S389" s="13"/>
      <c r="T389" s="13"/>
      <c r="U389" s="13"/>
      <c r="V389" s="13"/>
      <c r="W389" s="13"/>
      <c r="X389" s="13"/>
      <c r="Y389" s="13"/>
      <c r="Z389" s="13"/>
      <c r="AA389" s="13">
        <f t="shared" si="25"/>
        <v>-12.597975756302526</v>
      </c>
      <c r="AB389" s="13"/>
      <c r="AC389" s="34"/>
      <c r="AD389" s="34"/>
      <c r="AE389" s="34"/>
      <c r="AF389" s="34"/>
      <c r="AG389" s="34"/>
      <c r="AI389" s="35">
        <v>386</v>
      </c>
      <c r="AJ389" s="35">
        <v>238</v>
      </c>
      <c r="AK389" s="17">
        <v>236.26738080000001</v>
      </c>
      <c r="AV389" s="13">
        <f t="shared" si="26"/>
        <v>-0.7279912605042016</v>
      </c>
      <c r="BD389" s="35">
        <v>386</v>
      </c>
      <c r="BE389" s="35">
        <v>238</v>
      </c>
      <c r="BF389" s="17">
        <v>223.7955245</v>
      </c>
      <c r="BQ389" s="13">
        <f t="shared" si="27"/>
        <v>-5.9682670168067276</v>
      </c>
    </row>
    <row r="390" spans="1:69">
      <c r="A390" s="13">
        <v>387</v>
      </c>
      <c r="B390" s="13">
        <v>183</v>
      </c>
      <c r="C390" s="17">
        <v>148.26775129999999</v>
      </c>
      <c r="D390" s="13"/>
      <c r="E390" s="13"/>
      <c r="F390" s="13"/>
      <c r="G390" s="13"/>
      <c r="H390" s="13"/>
      <c r="I390" s="13"/>
      <c r="J390" s="13"/>
      <c r="K390" s="13"/>
      <c r="L390" s="13"/>
      <c r="M390" s="13">
        <f t="shared" si="24"/>
        <v>-18.979370874316949</v>
      </c>
      <c r="N390" s="13"/>
      <c r="O390" s="13">
        <v>387</v>
      </c>
      <c r="P390" s="13">
        <v>183</v>
      </c>
      <c r="Q390" s="17">
        <v>161.83596990000001</v>
      </c>
      <c r="R390" s="13"/>
      <c r="S390" s="13"/>
      <c r="T390" s="13"/>
      <c r="U390" s="13"/>
      <c r="V390" s="13"/>
      <c r="W390" s="13"/>
      <c r="X390" s="13"/>
      <c r="Y390" s="13"/>
      <c r="Z390" s="13"/>
      <c r="AA390" s="13">
        <f t="shared" si="25"/>
        <v>-11.565043770491801</v>
      </c>
      <c r="AB390" s="13"/>
      <c r="AC390" s="34"/>
      <c r="AD390" s="34"/>
      <c r="AE390" s="34"/>
      <c r="AF390" s="34"/>
      <c r="AG390" s="34"/>
      <c r="AI390" s="35">
        <v>387</v>
      </c>
      <c r="AJ390" s="35">
        <v>183</v>
      </c>
      <c r="AK390" s="17">
        <v>181.9816802</v>
      </c>
      <c r="AV390" s="13">
        <f t="shared" si="26"/>
        <v>-0.5564589071038295</v>
      </c>
      <c r="BD390" s="35">
        <v>387</v>
      </c>
      <c r="BE390" s="35">
        <v>183</v>
      </c>
      <c r="BF390" s="17">
        <v>175.16385249999999</v>
      </c>
      <c r="BQ390" s="13">
        <f t="shared" si="27"/>
        <v>-4.2820478142076563</v>
      </c>
    </row>
    <row r="391" spans="1:69">
      <c r="A391" s="13">
        <v>388</v>
      </c>
      <c r="B391" s="13">
        <v>107</v>
      </c>
      <c r="C391" s="17">
        <v>109.7701959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>
        <f t="shared" si="24"/>
        <v>2.5889681308411294</v>
      </c>
      <c r="N391" s="13"/>
      <c r="O391" s="13">
        <v>388</v>
      </c>
      <c r="P391" s="13">
        <v>107</v>
      </c>
      <c r="Q391" s="17">
        <v>110.79831710000001</v>
      </c>
      <c r="R391" s="13"/>
      <c r="S391" s="13"/>
      <c r="T391" s="13"/>
      <c r="U391" s="13"/>
      <c r="V391" s="13"/>
      <c r="W391" s="13"/>
      <c r="X391" s="13"/>
      <c r="Y391" s="13"/>
      <c r="Z391" s="13"/>
      <c r="AA391" s="13">
        <f t="shared" si="25"/>
        <v>3.5498290654205622</v>
      </c>
      <c r="AB391" s="13"/>
      <c r="AC391" s="34"/>
      <c r="AD391" s="34"/>
      <c r="AE391" s="34"/>
      <c r="AF391" s="34"/>
      <c r="AG391" s="34"/>
      <c r="AI391" s="35">
        <v>388</v>
      </c>
      <c r="AJ391" s="35">
        <v>107</v>
      </c>
      <c r="AK391" s="17">
        <v>107.09195029999999</v>
      </c>
      <c r="AV391" s="13">
        <f t="shared" si="26"/>
        <v>8.5934859813074915E-2</v>
      </c>
      <c r="BD391" s="35">
        <v>388</v>
      </c>
      <c r="BE391" s="35">
        <v>107</v>
      </c>
      <c r="BF391" s="17">
        <v>107.9560468</v>
      </c>
      <c r="BQ391" s="13">
        <f t="shared" si="27"/>
        <v>0.89350168224298088</v>
      </c>
    </row>
    <row r="392" spans="1:69">
      <c r="A392" s="13">
        <v>389</v>
      </c>
      <c r="B392" s="13">
        <v>197</v>
      </c>
      <c r="C392" s="17">
        <v>165.81818770000001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>
        <f t="shared" si="24"/>
        <v>-15.82833111675126</v>
      </c>
      <c r="N392" s="13"/>
      <c r="O392" s="13">
        <v>389</v>
      </c>
      <c r="P392" s="13">
        <v>197</v>
      </c>
      <c r="Q392" s="17">
        <v>187.35500959999999</v>
      </c>
      <c r="R392" s="13"/>
      <c r="S392" s="13"/>
      <c r="T392" s="13"/>
      <c r="U392" s="13"/>
      <c r="V392" s="13"/>
      <c r="W392" s="13"/>
      <c r="X392" s="13"/>
      <c r="Y392" s="13"/>
      <c r="Z392" s="13"/>
      <c r="AA392" s="13">
        <f t="shared" si="25"/>
        <v>-4.8959342131979717</v>
      </c>
      <c r="AB392" s="13"/>
      <c r="AC392" s="34"/>
      <c r="AD392" s="34"/>
      <c r="AE392" s="34"/>
      <c r="AF392" s="34"/>
      <c r="AG392" s="34"/>
      <c r="AI392" s="35">
        <v>389</v>
      </c>
      <c r="AJ392" s="35">
        <v>197</v>
      </c>
      <c r="AK392" s="17">
        <v>196.8583333</v>
      </c>
      <c r="AV392" s="13">
        <f t="shared" si="26"/>
        <v>-7.1912030456855458E-2</v>
      </c>
      <c r="BD392" s="35">
        <v>389</v>
      </c>
      <c r="BE392" s="35">
        <v>197</v>
      </c>
      <c r="BF392" s="17">
        <v>195.61709669999999</v>
      </c>
      <c r="BQ392" s="13">
        <f t="shared" si="27"/>
        <v>-0.70198137055837995</v>
      </c>
    </row>
    <row r="393" spans="1:69">
      <c r="A393" s="13">
        <v>390</v>
      </c>
      <c r="B393" s="13">
        <v>91</v>
      </c>
      <c r="C393" s="17">
        <v>91.923457049999996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>
        <f t="shared" si="24"/>
        <v>1.0147879670329596</v>
      </c>
      <c r="N393" s="13"/>
      <c r="O393" s="13">
        <v>390</v>
      </c>
      <c r="P393" s="13">
        <v>91</v>
      </c>
      <c r="Q393" s="17">
        <v>86.841565549999999</v>
      </c>
      <c r="R393" s="13"/>
      <c r="S393" s="13"/>
      <c r="T393" s="13"/>
      <c r="U393" s="13"/>
      <c r="V393" s="13"/>
      <c r="W393" s="13"/>
      <c r="X393" s="13"/>
      <c r="Y393" s="13"/>
      <c r="Z393" s="13"/>
      <c r="AA393" s="13">
        <f t="shared" si="25"/>
        <v>-4.5697081868131928</v>
      </c>
      <c r="AB393" s="13"/>
      <c r="AC393" s="34"/>
      <c r="AD393" s="34"/>
      <c r="AE393" s="34"/>
      <c r="AF393" s="34"/>
      <c r="AG393" s="34"/>
      <c r="AI393" s="35">
        <v>390</v>
      </c>
      <c r="AJ393" s="35">
        <v>91</v>
      </c>
      <c r="AK393" s="17">
        <v>90.532858079999997</v>
      </c>
      <c r="AV393" s="13">
        <f t="shared" si="26"/>
        <v>-0.51334276923077349</v>
      </c>
      <c r="BD393" s="35">
        <v>390</v>
      </c>
      <c r="BE393" s="35">
        <v>91</v>
      </c>
      <c r="BF393" s="17">
        <v>89.228779459999998</v>
      </c>
      <c r="BQ393" s="13">
        <f t="shared" si="27"/>
        <v>-1.9463961978022026</v>
      </c>
    </row>
    <row r="394" spans="1:69">
      <c r="A394" s="13">
        <v>391</v>
      </c>
      <c r="B394" s="13">
        <v>56</v>
      </c>
      <c r="C394" s="17">
        <v>31.857761942423899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>
        <f t="shared" si="24"/>
        <v>-43.111139388528755</v>
      </c>
      <c r="N394" s="13"/>
      <c r="O394" s="13">
        <v>391</v>
      </c>
      <c r="P394" s="13">
        <v>56</v>
      </c>
      <c r="Q394" s="17">
        <v>74.908897859999996</v>
      </c>
      <c r="R394" s="13"/>
      <c r="S394" s="13"/>
      <c r="T394" s="13"/>
      <c r="U394" s="13"/>
      <c r="V394" s="13"/>
      <c r="W394" s="13"/>
      <c r="X394" s="13"/>
      <c r="Y394" s="13"/>
      <c r="Z394" s="13"/>
      <c r="AA394" s="13">
        <f t="shared" si="25"/>
        <v>33.765889035714267</v>
      </c>
      <c r="AB394" s="13"/>
      <c r="AC394" s="34"/>
      <c r="AD394" s="34"/>
      <c r="AE394" s="34"/>
      <c r="AF394" s="34"/>
      <c r="AG394" s="34"/>
      <c r="AI394" s="35">
        <v>391</v>
      </c>
      <c r="AJ394" s="35">
        <v>56</v>
      </c>
      <c r="AK394" s="17">
        <v>56.892518930000001</v>
      </c>
      <c r="AV394" s="13">
        <f t="shared" si="26"/>
        <v>1.5937838035714247</v>
      </c>
      <c r="BD394" s="35">
        <v>391</v>
      </c>
      <c r="BE394" s="35">
        <v>56</v>
      </c>
      <c r="BF394" s="17">
        <v>61.212626180000001</v>
      </c>
      <c r="BQ394" s="13">
        <f t="shared" si="27"/>
        <v>9.3082610357142936</v>
      </c>
    </row>
    <row r="395" spans="1:69">
      <c r="A395" s="13">
        <v>392</v>
      </c>
      <c r="B395" s="13">
        <v>196</v>
      </c>
      <c r="C395" s="17">
        <v>175.94698199999999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>
        <f t="shared" si="24"/>
        <v>-10.231131632653067</v>
      </c>
      <c r="N395" s="13"/>
      <c r="O395" s="13">
        <v>392</v>
      </c>
      <c r="P395" s="13">
        <v>196</v>
      </c>
      <c r="Q395" s="17">
        <v>192.10659240000001</v>
      </c>
      <c r="R395" s="13"/>
      <c r="S395" s="13"/>
      <c r="T395" s="13"/>
      <c r="U395" s="13"/>
      <c r="V395" s="13"/>
      <c r="W395" s="13"/>
      <c r="X395" s="13"/>
      <c r="Y395" s="13"/>
      <c r="Z395" s="13"/>
      <c r="AA395" s="13">
        <f t="shared" si="25"/>
        <v>-1.9864324489795915</v>
      </c>
      <c r="AB395" s="13"/>
      <c r="AC395" s="34"/>
      <c r="AD395" s="34"/>
      <c r="AE395" s="34"/>
      <c r="AF395" s="34"/>
      <c r="AG395" s="34"/>
      <c r="AI395" s="35">
        <v>392</v>
      </c>
      <c r="AJ395" s="35">
        <v>196</v>
      </c>
      <c r="AK395" s="17">
        <v>196.28138659999999</v>
      </c>
      <c r="AV395" s="13">
        <f t="shared" si="26"/>
        <v>0.1435645918367312</v>
      </c>
      <c r="BD395" s="35">
        <v>392</v>
      </c>
      <c r="BE395" s="35">
        <v>196</v>
      </c>
      <c r="BF395" s="17">
        <v>195.3982599</v>
      </c>
      <c r="BQ395" s="13">
        <f t="shared" si="27"/>
        <v>-0.30701025510203594</v>
      </c>
    </row>
    <row r="396" spans="1:69">
      <c r="A396" s="13">
        <v>393</v>
      </c>
      <c r="B396" s="13">
        <v>141</v>
      </c>
      <c r="C396" s="17">
        <v>121.2994825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>
        <f t="shared" si="24"/>
        <v>-13.971998226950355</v>
      </c>
      <c r="N396" s="13"/>
      <c r="O396" s="13">
        <v>393</v>
      </c>
      <c r="P396" s="13">
        <v>141</v>
      </c>
      <c r="Q396" s="17">
        <v>126.72897380000001</v>
      </c>
      <c r="R396" s="13"/>
      <c r="S396" s="13"/>
      <c r="T396" s="13"/>
      <c r="U396" s="13"/>
      <c r="V396" s="13"/>
      <c r="W396" s="13"/>
      <c r="X396" s="13"/>
      <c r="Y396" s="13"/>
      <c r="Z396" s="13"/>
      <c r="AA396" s="13">
        <f t="shared" si="25"/>
        <v>-10.121295177304956</v>
      </c>
      <c r="AB396" s="13"/>
      <c r="AC396" s="34"/>
      <c r="AD396" s="34"/>
      <c r="AE396" s="34"/>
      <c r="AF396" s="34"/>
      <c r="AG396" s="34"/>
      <c r="AI396" s="35">
        <v>393</v>
      </c>
      <c r="AJ396" s="35">
        <v>141</v>
      </c>
      <c r="AK396" s="17">
        <v>139.69737129999999</v>
      </c>
      <c r="AV396" s="13">
        <f t="shared" si="26"/>
        <v>-0.92385014184398484</v>
      </c>
      <c r="BD396" s="35">
        <v>393</v>
      </c>
      <c r="BE396" s="35">
        <v>141</v>
      </c>
      <c r="BF396" s="17">
        <v>134.38319820000001</v>
      </c>
      <c r="BQ396" s="13">
        <f t="shared" si="27"/>
        <v>-4.6927672340425497</v>
      </c>
    </row>
    <row r="397" spans="1:69">
      <c r="A397" s="13">
        <v>394</v>
      </c>
      <c r="B397" s="13">
        <v>112</v>
      </c>
      <c r="C397" s="17">
        <v>117.8976493</v>
      </c>
      <c r="D397" s="13"/>
      <c r="E397" s="13"/>
      <c r="F397" s="13"/>
      <c r="G397" s="13"/>
      <c r="H397" s="13"/>
      <c r="I397" s="13"/>
      <c r="J397" s="13"/>
      <c r="K397" s="13"/>
      <c r="L397" s="13"/>
      <c r="M397" s="13">
        <f t="shared" si="24"/>
        <v>5.2657583035714328</v>
      </c>
      <c r="N397" s="13"/>
      <c r="O397" s="13">
        <v>394</v>
      </c>
      <c r="P397" s="13">
        <v>112</v>
      </c>
      <c r="Q397" s="17">
        <v>117.2459391</v>
      </c>
      <c r="R397" s="13"/>
      <c r="S397" s="13"/>
      <c r="T397" s="13"/>
      <c r="U397" s="13"/>
      <c r="V397" s="13"/>
      <c r="W397" s="13"/>
      <c r="X397" s="13"/>
      <c r="Y397" s="13"/>
      <c r="Z397" s="13"/>
      <c r="AA397" s="13">
        <f t="shared" si="25"/>
        <v>4.6838741964285724</v>
      </c>
      <c r="AB397" s="13"/>
      <c r="AC397" s="34"/>
      <c r="AD397" s="34"/>
      <c r="AE397" s="34"/>
      <c r="AF397" s="34"/>
      <c r="AG397" s="34"/>
      <c r="AI397" s="35">
        <v>394</v>
      </c>
      <c r="AJ397" s="35">
        <v>112</v>
      </c>
      <c r="AK397" s="17">
        <v>112.56292240000001</v>
      </c>
      <c r="AV397" s="13">
        <f t="shared" si="26"/>
        <v>0.50260928571428387</v>
      </c>
      <c r="BD397" s="35">
        <v>394</v>
      </c>
      <c r="BE397" s="35">
        <v>112</v>
      </c>
      <c r="BF397" s="17">
        <v>114.1579488</v>
      </c>
      <c r="BQ397" s="13">
        <f t="shared" si="27"/>
        <v>1.9267399999999935</v>
      </c>
    </row>
    <row r="398" spans="1:69">
      <c r="A398" s="13">
        <v>395</v>
      </c>
      <c r="B398" s="13">
        <v>19</v>
      </c>
      <c r="C398" s="17">
        <v>25.8725578423462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>
        <f t="shared" si="24"/>
        <v>36.17135706498</v>
      </c>
      <c r="N398" s="13"/>
      <c r="O398" s="13">
        <v>395</v>
      </c>
      <c r="P398" s="13">
        <v>19</v>
      </c>
      <c r="Q398" s="17">
        <v>24.915759655509699</v>
      </c>
      <c r="R398" s="13"/>
      <c r="S398" s="13"/>
      <c r="T398" s="13"/>
      <c r="U398" s="13"/>
      <c r="V398" s="13"/>
      <c r="W398" s="13"/>
      <c r="X398" s="13"/>
      <c r="Y398" s="13"/>
      <c r="Z398" s="13"/>
      <c r="AA398" s="13">
        <f t="shared" si="25"/>
        <v>31.135577134261581</v>
      </c>
      <c r="AB398" s="13"/>
      <c r="AC398" s="34"/>
      <c r="AD398" s="34"/>
      <c r="AE398" s="34"/>
      <c r="AF398" s="34"/>
      <c r="AG398" s="34"/>
      <c r="AI398" s="35">
        <v>395</v>
      </c>
      <c r="AJ398" s="35">
        <v>19</v>
      </c>
      <c r="AK398" s="17">
        <v>20.34160683</v>
      </c>
      <c r="AV398" s="13">
        <f t="shared" si="26"/>
        <v>7.061088578947361</v>
      </c>
      <c r="BD398" s="35">
        <v>395</v>
      </c>
      <c r="BE398" s="35">
        <v>19</v>
      </c>
      <c r="BF398" s="17">
        <v>22.8230163910779</v>
      </c>
      <c r="BQ398" s="13">
        <f t="shared" si="27"/>
        <v>20.121138900410006</v>
      </c>
    </row>
    <row r="399" spans="1:69">
      <c r="A399" s="13">
        <v>396</v>
      </c>
      <c r="B399" s="13">
        <v>74</v>
      </c>
      <c r="C399" s="17">
        <v>76.029179880000001</v>
      </c>
      <c r="D399" s="13"/>
      <c r="E399" s="13"/>
      <c r="F399" s="13"/>
      <c r="G399" s="13"/>
      <c r="H399" s="13"/>
      <c r="I399" s="13"/>
      <c r="J399" s="13"/>
      <c r="K399" s="13"/>
      <c r="L399" s="13"/>
      <c r="M399" s="13">
        <f t="shared" si="24"/>
        <v>2.742134972972976</v>
      </c>
      <c r="N399" s="13"/>
      <c r="O399" s="13">
        <v>396</v>
      </c>
      <c r="P399" s="13">
        <v>74</v>
      </c>
      <c r="Q399" s="17">
        <v>65.857948690000001</v>
      </c>
      <c r="R399" s="13"/>
      <c r="S399" s="13"/>
      <c r="T399" s="13"/>
      <c r="U399" s="13"/>
      <c r="V399" s="13"/>
      <c r="W399" s="13"/>
      <c r="X399" s="13"/>
      <c r="Y399" s="13"/>
      <c r="Z399" s="13"/>
      <c r="AA399" s="13">
        <f t="shared" si="25"/>
        <v>-11.002772040540542</v>
      </c>
      <c r="AB399" s="13"/>
      <c r="AC399" s="34"/>
      <c r="AD399" s="34"/>
      <c r="AE399" s="34"/>
      <c r="AF399" s="34"/>
      <c r="AG399" s="34"/>
      <c r="AI399" s="35">
        <v>396</v>
      </c>
      <c r="AJ399" s="35">
        <v>74</v>
      </c>
      <c r="AK399" s="17">
        <v>73.774654819999995</v>
      </c>
      <c r="AV399" s="13">
        <f t="shared" si="26"/>
        <v>-0.30452051351351761</v>
      </c>
      <c r="BD399" s="35">
        <v>396</v>
      </c>
      <c r="BE399" s="35">
        <v>74</v>
      </c>
      <c r="BF399" s="17">
        <v>69.476976539999995</v>
      </c>
      <c r="BQ399" s="13">
        <f t="shared" si="27"/>
        <v>-6.1121938648648673</v>
      </c>
    </row>
    <row r="400" spans="1:69">
      <c r="A400" s="13">
        <v>397</v>
      </c>
      <c r="B400" s="13">
        <v>71</v>
      </c>
      <c r="C400" s="17">
        <v>95.920519350000006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>
        <f t="shared" si="24"/>
        <v>35.099323028169024</v>
      </c>
      <c r="N400" s="13"/>
      <c r="O400" s="13">
        <v>397</v>
      </c>
      <c r="P400" s="13">
        <v>71</v>
      </c>
      <c r="Q400" s="17">
        <v>85.409303359999996</v>
      </c>
      <c r="R400" s="13"/>
      <c r="S400" s="13"/>
      <c r="T400" s="13"/>
      <c r="U400" s="13"/>
      <c r="V400" s="13"/>
      <c r="W400" s="13"/>
      <c r="X400" s="13"/>
      <c r="Y400" s="13"/>
      <c r="Z400" s="13"/>
      <c r="AA400" s="13">
        <f t="shared" si="25"/>
        <v>20.294793464788729</v>
      </c>
      <c r="AB400" s="13"/>
      <c r="AC400" s="34"/>
      <c r="AD400" s="34"/>
      <c r="AE400" s="34"/>
      <c r="AF400" s="34"/>
      <c r="AG400" s="34"/>
      <c r="AI400" s="35">
        <v>397</v>
      </c>
      <c r="AJ400" s="35">
        <v>71</v>
      </c>
      <c r="AK400" s="17">
        <v>72.602284269999998</v>
      </c>
      <c r="AV400" s="13">
        <f t="shared" si="26"/>
        <v>2.2567384084507092</v>
      </c>
      <c r="BD400" s="35">
        <v>397</v>
      </c>
      <c r="BE400" s="35">
        <v>71</v>
      </c>
      <c r="BF400" s="17">
        <v>78.033085909999997</v>
      </c>
      <c r="BQ400" s="13">
        <f t="shared" si="27"/>
        <v>9.9057548028169009</v>
      </c>
    </row>
    <row r="401" spans="1:69">
      <c r="A401" s="13">
        <v>398</v>
      </c>
      <c r="B401" s="13">
        <v>171</v>
      </c>
      <c r="C401" s="17">
        <v>162.87888810000001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>
        <f t="shared" si="24"/>
        <v>-4.7491882456140333</v>
      </c>
      <c r="N401" s="13"/>
      <c r="O401" s="13">
        <v>398</v>
      </c>
      <c r="P401" s="13">
        <v>171</v>
      </c>
      <c r="Q401" s="17">
        <v>173.72155129999999</v>
      </c>
      <c r="R401" s="13"/>
      <c r="S401" s="13"/>
      <c r="T401" s="13"/>
      <c r="U401" s="13"/>
      <c r="V401" s="13"/>
      <c r="W401" s="13"/>
      <c r="X401" s="13"/>
      <c r="Y401" s="13"/>
      <c r="Z401" s="13"/>
      <c r="AA401" s="13">
        <f t="shared" si="25"/>
        <v>1.5915504678362558</v>
      </c>
      <c r="AB401" s="13"/>
      <c r="AC401" s="34"/>
      <c r="AD401" s="34"/>
      <c r="AE401" s="34"/>
      <c r="AF401" s="34"/>
      <c r="AG401" s="34"/>
      <c r="AI401" s="35">
        <v>398</v>
      </c>
      <c r="AJ401" s="35">
        <v>171</v>
      </c>
      <c r="AK401" s="17">
        <v>170.72523469999999</v>
      </c>
      <c r="AV401" s="13">
        <f t="shared" si="26"/>
        <v>-0.16068146198831013</v>
      </c>
      <c r="BD401" s="35">
        <v>398</v>
      </c>
      <c r="BE401" s="35">
        <v>171</v>
      </c>
      <c r="BF401" s="17">
        <v>172.1382442</v>
      </c>
      <c r="BQ401" s="13">
        <f t="shared" si="27"/>
        <v>0.66563988304093602</v>
      </c>
    </row>
    <row r="402" spans="1:69">
      <c r="A402" s="13">
        <v>399</v>
      </c>
      <c r="B402" s="13">
        <v>147</v>
      </c>
      <c r="C402" s="17">
        <v>137.1655427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>
        <f t="shared" si="24"/>
        <v>-6.6901070068027142</v>
      </c>
      <c r="N402" s="13"/>
      <c r="O402" s="13">
        <v>399</v>
      </c>
      <c r="P402" s="13">
        <v>147</v>
      </c>
      <c r="Q402" s="17">
        <v>146.99551500000001</v>
      </c>
      <c r="R402" s="13"/>
      <c r="S402" s="13"/>
      <c r="T402" s="13"/>
      <c r="U402" s="13"/>
      <c r="V402" s="13"/>
      <c r="W402" s="13"/>
      <c r="X402" s="13"/>
      <c r="Y402" s="13"/>
      <c r="Z402" s="13"/>
      <c r="AA402" s="13">
        <f t="shared" si="25"/>
        <v>-3.0510204081513059E-3</v>
      </c>
      <c r="AB402" s="13"/>
      <c r="AC402" s="34"/>
      <c r="AD402" s="34"/>
      <c r="AE402" s="34"/>
      <c r="AF402" s="34"/>
      <c r="AG402" s="34"/>
      <c r="AI402" s="35">
        <v>399</v>
      </c>
      <c r="AJ402" s="35">
        <v>147</v>
      </c>
      <c r="AK402" s="17">
        <v>146.70679319999999</v>
      </c>
      <c r="AV402" s="13">
        <f t="shared" si="26"/>
        <v>-0.1994604081632656</v>
      </c>
      <c r="BD402" s="35">
        <v>399</v>
      </c>
      <c r="BE402" s="35">
        <v>147</v>
      </c>
      <c r="BF402" s="17">
        <v>147.9712418</v>
      </c>
      <c r="BQ402" s="13">
        <f t="shared" si="27"/>
        <v>0.66070870748300425</v>
      </c>
    </row>
    <row r="403" spans="1:69">
      <c r="A403" s="13">
        <v>400</v>
      </c>
      <c r="B403" s="13">
        <v>53</v>
      </c>
      <c r="C403" s="17">
        <v>84.549416559999997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>
        <f t="shared" si="24"/>
        <v>59.527201056603765</v>
      </c>
      <c r="N403" s="13"/>
      <c r="O403" s="13">
        <v>400</v>
      </c>
      <c r="P403" s="13">
        <v>53</v>
      </c>
      <c r="Q403" s="17">
        <v>71.004967669999999</v>
      </c>
      <c r="R403" s="13"/>
      <c r="S403" s="13"/>
      <c r="T403" s="13"/>
      <c r="U403" s="13"/>
      <c r="V403" s="13"/>
      <c r="W403" s="13"/>
      <c r="X403" s="13"/>
      <c r="Y403" s="13"/>
      <c r="Z403" s="13"/>
      <c r="AA403" s="13">
        <f t="shared" si="25"/>
        <v>33.971637113207542</v>
      </c>
      <c r="AB403" s="13"/>
      <c r="AC403" s="34"/>
      <c r="AD403" s="34"/>
      <c r="AE403" s="34"/>
      <c r="AF403" s="34"/>
      <c r="AG403" s="34"/>
      <c r="AI403" s="35">
        <v>400</v>
      </c>
      <c r="AJ403" s="35">
        <v>53</v>
      </c>
      <c r="AK403" s="17">
        <v>54.302929589999998</v>
      </c>
      <c r="AV403" s="13">
        <f t="shared" si="26"/>
        <v>2.4583577169811299</v>
      </c>
      <c r="BD403" s="35">
        <v>400</v>
      </c>
      <c r="BE403" s="35">
        <v>53</v>
      </c>
      <c r="BF403" s="17">
        <v>59.020076639999999</v>
      </c>
      <c r="BQ403" s="13">
        <f t="shared" si="27"/>
        <v>11.358635169811325</v>
      </c>
    </row>
    <row r="404" spans="1:69">
      <c r="A404" s="13">
        <v>401</v>
      </c>
      <c r="B404" s="13">
        <v>45</v>
      </c>
      <c r="C404" s="17">
        <v>46.842539444385402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>
        <f t="shared" si="24"/>
        <v>4.0945320986342182</v>
      </c>
      <c r="N404" s="13"/>
      <c r="O404" s="13">
        <v>401</v>
      </c>
      <c r="P404" s="13">
        <v>45</v>
      </c>
      <c r="Q404" s="17">
        <v>61.90156116</v>
      </c>
      <c r="R404" s="13"/>
      <c r="S404" s="13"/>
      <c r="T404" s="13"/>
      <c r="U404" s="13"/>
      <c r="V404" s="13"/>
      <c r="W404" s="13"/>
      <c r="X404" s="13"/>
      <c r="Y404" s="13"/>
      <c r="Z404" s="13"/>
      <c r="AA404" s="13">
        <f t="shared" si="25"/>
        <v>37.559024799999996</v>
      </c>
      <c r="AB404" s="13"/>
      <c r="AC404" s="34"/>
      <c r="AD404" s="34"/>
      <c r="AE404" s="34"/>
      <c r="AF404" s="34"/>
      <c r="AG404" s="34"/>
      <c r="AI404" s="35">
        <v>401</v>
      </c>
      <c r="AJ404" s="35">
        <v>45</v>
      </c>
      <c r="AK404" s="17">
        <v>45.944652990000002</v>
      </c>
      <c r="AV404" s="13">
        <f t="shared" si="26"/>
        <v>2.0992288666666692</v>
      </c>
      <c r="BD404" s="35">
        <v>401</v>
      </c>
      <c r="BE404" s="35">
        <v>45</v>
      </c>
      <c r="BF404" s="17">
        <v>48.034376330000001</v>
      </c>
      <c r="BQ404" s="13">
        <f t="shared" si="27"/>
        <v>6.7430585111111219</v>
      </c>
    </row>
    <row r="405" spans="1:69">
      <c r="A405" s="13">
        <v>402</v>
      </c>
      <c r="B405" s="13">
        <v>205</v>
      </c>
      <c r="C405" s="17">
        <v>175.47664689999999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>
        <f t="shared" si="24"/>
        <v>-14.401635658536593</v>
      </c>
      <c r="N405" s="13"/>
      <c r="O405" s="13">
        <v>402</v>
      </c>
      <c r="P405" s="13">
        <v>205</v>
      </c>
      <c r="Q405" s="17">
        <v>198.49609469999999</v>
      </c>
      <c r="R405" s="13"/>
      <c r="S405" s="13"/>
      <c r="T405" s="13"/>
      <c r="U405" s="13"/>
      <c r="V405" s="13"/>
      <c r="W405" s="13"/>
      <c r="X405" s="13"/>
      <c r="Y405" s="13"/>
      <c r="Z405" s="13"/>
      <c r="AA405" s="13">
        <f t="shared" si="25"/>
        <v>-3.1726367317073234</v>
      </c>
      <c r="AB405" s="13"/>
      <c r="AC405" s="34"/>
      <c r="AD405" s="34"/>
      <c r="AE405" s="34"/>
      <c r="AF405" s="34"/>
      <c r="AG405" s="34"/>
      <c r="AI405" s="35">
        <v>402</v>
      </c>
      <c r="AJ405" s="35">
        <v>205</v>
      </c>
      <c r="AK405" s="17">
        <v>205.06379469999999</v>
      </c>
      <c r="AV405" s="13">
        <f t="shared" si="26"/>
        <v>3.111936585364905E-2</v>
      </c>
      <c r="BD405" s="35">
        <v>402</v>
      </c>
      <c r="BE405" s="35">
        <v>205</v>
      </c>
      <c r="BF405" s="17">
        <v>204.11041359999999</v>
      </c>
      <c r="BQ405" s="13">
        <f t="shared" si="27"/>
        <v>-0.43394458536586411</v>
      </c>
    </row>
    <row r="406" spans="1:69">
      <c r="A406" s="13">
        <v>403</v>
      </c>
      <c r="B406" s="13">
        <v>35</v>
      </c>
      <c r="C406" s="17">
        <v>55.385194300000002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>
        <f t="shared" si="24"/>
        <v>58.2434122857143</v>
      </c>
      <c r="N406" s="13"/>
      <c r="O406" s="13">
        <v>403</v>
      </c>
      <c r="P406" s="13">
        <v>35</v>
      </c>
      <c r="Q406" s="17">
        <v>41.545388070000001</v>
      </c>
      <c r="R406" s="13"/>
      <c r="S406" s="13"/>
      <c r="T406" s="13"/>
      <c r="U406" s="13"/>
      <c r="V406" s="13"/>
      <c r="W406" s="13"/>
      <c r="X406" s="13"/>
      <c r="Y406" s="13"/>
      <c r="Z406" s="13"/>
      <c r="AA406" s="13">
        <f t="shared" si="25"/>
        <v>18.701108771428565</v>
      </c>
      <c r="AB406" s="13"/>
      <c r="AC406" s="34"/>
      <c r="AD406" s="34"/>
      <c r="AE406" s="34"/>
      <c r="AF406" s="34"/>
      <c r="AG406" s="34"/>
      <c r="AI406" s="35">
        <v>403</v>
      </c>
      <c r="AJ406" s="35">
        <v>35</v>
      </c>
      <c r="AK406" s="17">
        <v>34.926056369999998</v>
      </c>
      <c r="AV406" s="13">
        <f t="shared" si="26"/>
        <v>-0.21126751428571788</v>
      </c>
      <c r="BD406" s="35">
        <v>403</v>
      </c>
      <c r="BE406" s="35">
        <v>35</v>
      </c>
      <c r="BF406" s="17">
        <v>36.288735019999997</v>
      </c>
      <c r="BQ406" s="13">
        <f t="shared" si="27"/>
        <v>3.6821000571428453</v>
      </c>
    </row>
    <row r="407" spans="1:69">
      <c r="A407" s="13">
        <v>404</v>
      </c>
      <c r="B407" s="13">
        <v>125</v>
      </c>
      <c r="C407" s="17">
        <v>104.77248109999999</v>
      </c>
      <c r="D407" s="13"/>
      <c r="E407" s="13"/>
      <c r="F407" s="13"/>
      <c r="G407" s="13"/>
      <c r="H407" s="13"/>
      <c r="I407" s="13"/>
      <c r="J407" s="13"/>
      <c r="K407" s="13"/>
      <c r="L407" s="13"/>
      <c r="M407" s="13">
        <f t="shared" si="24"/>
        <v>-16.182015120000003</v>
      </c>
      <c r="N407" s="13"/>
      <c r="O407" s="13">
        <v>404</v>
      </c>
      <c r="P407" s="13">
        <v>125</v>
      </c>
      <c r="Q407" s="17">
        <v>107.44761939999999</v>
      </c>
      <c r="R407" s="13"/>
      <c r="S407" s="13"/>
      <c r="T407" s="13"/>
      <c r="U407" s="13"/>
      <c r="V407" s="13"/>
      <c r="W407" s="13"/>
      <c r="X407" s="13"/>
      <c r="Y407" s="13"/>
      <c r="Z407" s="13"/>
      <c r="AA407" s="13">
        <f t="shared" si="25"/>
        <v>-14.041904479999999</v>
      </c>
      <c r="AB407" s="13"/>
      <c r="AC407" s="34"/>
      <c r="AD407" s="34"/>
      <c r="AE407" s="34"/>
      <c r="AF407" s="34"/>
      <c r="AG407" s="34"/>
      <c r="AI407" s="35">
        <v>404</v>
      </c>
      <c r="AJ407" s="35">
        <v>125</v>
      </c>
      <c r="AK407" s="17">
        <v>119.65257130000001</v>
      </c>
      <c r="AV407" s="13">
        <f t="shared" si="26"/>
        <v>-4.2779429599999919</v>
      </c>
      <c r="BD407" s="35">
        <v>404</v>
      </c>
      <c r="BE407" s="35">
        <v>125</v>
      </c>
      <c r="BF407" s="17">
        <v>111.8484725</v>
      </c>
      <c r="BQ407" s="13">
        <f t="shared" si="27"/>
        <v>-10.521221999999996</v>
      </c>
    </row>
    <row r="408" spans="1:69">
      <c r="A408" s="13">
        <v>405</v>
      </c>
      <c r="B408" s="13">
        <v>207</v>
      </c>
      <c r="C408" s="17">
        <v>165.19845989999999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>
        <f t="shared" si="24"/>
        <v>-20.193980724637683</v>
      </c>
      <c r="N408" s="13"/>
      <c r="O408" s="13">
        <v>405</v>
      </c>
      <c r="P408" s="13">
        <v>207</v>
      </c>
      <c r="Q408" s="17">
        <v>183.6876882</v>
      </c>
      <c r="R408" s="13"/>
      <c r="S408" s="13"/>
      <c r="T408" s="13"/>
      <c r="U408" s="13"/>
      <c r="V408" s="13"/>
      <c r="W408" s="13"/>
      <c r="X408" s="13"/>
      <c r="Y408" s="13"/>
      <c r="Z408" s="13"/>
      <c r="AA408" s="13">
        <f t="shared" si="25"/>
        <v>-11.261986376811596</v>
      </c>
      <c r="AB408" s="13"/>
      <c r="AC408" s="34"/>
      <c r="AD408" s="34"/>
      <c r="AE408" s="34"/>
      <c r="AF408" s="34"/>
      <c r="AG408" s="34"/>
      <c r="AI408" s="35">
        <v>405</v>
      </c>
      <c r="AJ408" s="35">
        <v>207</v>
      </c>
      <c r="AK408" s="17">
        <v>206.73623079999999</v>
      </c>
      <c r="AV408" s="13">
        <f t="shared" si="26"/>
        <v>-0.12742473429951939</v>
      </c>
      <c r="BD408" s="35">
        <v>405</v>
      </c>
      <c r="BE408" s="35">
        <v>207</v>
      </c>
      <c r="BF408" s="17">
        <v>202.99214409999999</v>
      </c>
      <c r="BQ408" s="13">
        <f t="shared" si="27"/>
        <v>-1.9361622705314052</v>
      </c>
    </row>
    <row r="409" spans="1:69">
      <c r="A409" s="13">
        <v>406</v>
      </c>
      <c r="B409" s="13">
        <v>82</v>
      </c>
      <c r="C409" s="17">
        <v>104.99954219999999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>
        <f t="shared" si="24"/>
        <v>28.048222195121951</v>
      </c>
      <c r="N409" s="13"/>
      <c r="O409" s="13">
        <v>406</v>
      </c>
      <c r="P409" s="13">
        <v>82</v>
      </c>
      <c r="Q409" s="17">
        <v>98.651247940000005</v>
      </c>
      <c r="R409" s="13"/>
      <c r="S409" s="13"/>
      <c r="T409" s="13"/>
      <c r="U409" s="13"/>
      <c r="V409" s="13"/>
      <c r="W409" s="13"/>
      <c r="X409" s="13"/>
      <c r="Y409" s="13"/>
      <c r="Z409" s="13"/>
      <c r="AA409" s="13">
        <f t="shared" si="25"/>
        <v>20.306399926829279</v>
      </c>
      <c r="AB409" s="13"/>
      <c r="AC409" s="34"/>
      <c r="AD409" s="34"/>
      <c r="AE409" s="34"/>
      <c r="AF409" s="34"/>
      <c r="AG409" s="34"/>
      <c r="AI409" s="35">
        <v>406</v>
      </c>
      <c r="AJ409" s="35">
        <v>82</v>
      </c>
      <c r="AK409" s="17">
        <v>83.530349380000004</v>
      </c>
      <c r="AV409" s="13">
        <f t="shared" si="26"/>
        <v>1.866279731707321</v>
      </c>
      <c r="BD409" s="35">
        <v>406</v>
      </c>
      <c r="BE409" s="35">
        <v>82</v>
      </c>
      <c r="BF409" s="17">
        <v>89.925127320000001</v>
      </c>
      <c r="BQ409" s="13">
        <f t="shared" si="27"/>
        <v>9.6647894146341571</v>
      </c>
    </row>
    <row r="410" spans="1:69">
      <c r="A410" s="13">
        <v>407</v>
      </c>
      <c r="B410" s="13">
        <v>174</v>
      </c>
      <c r="C410" s="17">
        <v>141.1636489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>
        <f t="shared" si="24"/>
        <v>-18.871466149425288</v>
      </c>
      <c r="N410" s="13"/>
      <c r="O410" s="13">
        <v>407</v>
      </c>
      <c r="P410" s="13">
        <v>174</v>
      </c>
      <c r="Q410" s="17">
        <v>152.2782345</v>
      </c>
      <c r="R410" s="13"/>
      <c r="S410" s="13"/>
      <c r="T410" s="13"/>
      <c r="U410" s="13"/>
      <c r="V410" s="13"/>
      <c r="W410" s="13"/>
      <c r="X410" s="13"/>
      <c r="Y410" s="13"/>
      <c r="Z410" s="13"/>
      <c r="AA410" s="13">
        <f t="shared" si="25"/>
        <v>-12.483773275862076</v>
      </c>
      <c r="AB410" s="13"/>
      <c r="AC410" s="34"/>
      <c r="AD410" s="34"/>
      <c r="AE410" s="34"/>
      <c r="AF410" s="34"/>
      <c r="AG410" s="34"/>
      <c r="AI410" s="35">
        <v>407</v>
      </c>
      <c r="AJ410" s="35">
        <v>174</v>
      </c>
      <c r="AK410" s="17">
        <v>170.71718039999999</v>
      </c>
      <c r="AV410" s="13">
        <f t="shared" si="26"/>
        <v>-1.8866779310344861</v>
      </c>
      <c r="BD410" s="35">
        <v>407</v>
      </c>
      <c r="BE410" s="35">
        <v>174</v>
      </c>
      <c r="BF410" s="17">
        <v>160.36472420000001</v>
      </c>
      <c r="BQ410" s="13">
        <f t="shared" si="27"/>
        <v>-7.8363654022988394</v>
      </c>
    </row>
    <row r="411" spans="1:69">
      <c r="A411" s="13">
        <v>408</v>
      </c>
      <c r="B411" s="13">
        <v>10</v>
      </c>
      <c r="C411" s="17">
        <v>13.888887671462401</v>
      </c>
      <c r="D411" s="13"/>
      <c r="E411" s="13"/>
      <c r="F411" s="13"/>
      <c r="G411" s="13"/>
      <c r="H411" s="13"/>
      <c r="I411" s="13"/>
      <c r="J411" s="13"/>
      <c r="K411" s="13"/>
      <c r="L411" s="13"/>
      <c r="M411" s="13">
        <f t="shared" si="24"/>
        <v>38.888876714623997</v>
      </c>
      <c r="N411" s="13"/>
      <c r="O411" s="13">
        <v>408</v>
      </c>
      <c r="P411" s="13">
        <v>10</v>
      </c>
      <c r="Q411" s="17">
        <v>9.5318979544064799</v>
      </c>
      <c r="R411" s="13"/>
      <c r="S411" s="13"/>
      <c r="T411" s="13"/>
      <c r="U411" s="13"/>
      <c r="V411" s="13"/>
      <c r="W411" s="13"/>
      <c r="X411" s="13"/>
      <c r="Y411" s="13"/>
      <c r="Z411" s="13"/>
      <c r="AA411" s="13">
        <f t="shared" si="25"/>
        <v>-4.6810204559352027</v>
      </c>
      <c r="AB411" s="13"/>
      <c r="AC411" s="34"/>
      <c r="AD411" s="34"/>
      <c r="AE411" s="34"/>
      <c r="AF411" s="34"/>
      <c r="AG411" s="34"/>
      <c r="AI411" s="35">
        <v>408</v>
      </c>
      <c r="AJ411" s="35">
        <v>10</v>
      </c>
      <c r="AK411" s="17">
        <v>10.332316670000001</v>
      </c>
      <c r="AV411" s="13">
        <f t="shared" si="26"/>
        <v>3.3231667000000131</v>
      </c>
      <c r="BD411" s="35">
        <v>408</v>
      </c>
      <c r="BE411" s="35">
        <v>10</v>
      </c>
      <c r="BF411" s="17">
        <v>11.909052617013399</v>
      </c>
      <c r="BQ411" s="13">
        <f t="shared" si="27"/>
        <v>19.090526170134005</v>
      </c>
    </row>
    <row r="412" spans="1:69">
      <c r="A412" s="13">
        <v>409</v>
      </c>
      <c r="B412" s="13">
        <v>52</v>
      </c>
      <c r="C412" s="17">
        <v>63.659811429999998</v>
      </c>
      <c r="D412" s="13"/>
      <c r="E412" s="13"/>
      <c r="F412" s="13"/>
      <c r="G412" s="13"/>
      <c r="H412" s="13"/>
      <c r="I412" s="13"/>
      <c r="J412" s="13"/>
      <c r="K412" s="13"/>
      <c r="L412" s="13"/>
      <c r="M412" s="13">
        <f t="shared" si="24"/>
        <v>22.422714288461542</v>
      </c>
      <c r="N412" s="13"/>
      <c r="O412" s="13">
        <v>409</v>
      </c>
      <c r="P412" s="13">
        <v>52</v>
      </c>
      <c r="Q412" s="17">
        <v>49.957913009999999</v>
      </c>
      <c r="R412" s="13"/>
      <c r="S412" s="13"/>
      <c r="T412" s="13"/>
      <c r="U412" s="13"/>
      <c r="V412" s="13"/>
      <c r="W412" s="13"/>
      <c r="X412" s="13"/>
      <c r="Y412" s="13"/>
      <c r="Z412" s="13"/>
      <c r="AA412" s="13">
        <f t="shared" si="25"/>
        <v>-3.9270903653846223</v>
      </c>
      <c r="AB412" s="13"/>
      <c r="AC412" s="34"/>
      <c r="AD412" s="34"/>
      <c r="AE412" s="34"/>
      <c r="AF412" s="34"/>
      <c r="AG412" s="34"/>
      <c r="AI412" s="35">
        <v>409</v>
      </c>
      <c r="AJ412" s="35">
        <v>52</v>
      </c>
      <c r="AK412" s="17">
        <v>51.799068599999998</v>
      </c>
      <c r="AV412" s="13">
        <f t="shared" si="26"/>
        <v>-0.38640653846153672</v>
      </c>
      <c r="BD412" s="35">
        <v>409</v>
      </c>
      <c r="BE412" s="35">
        <v>52</v>
      </c>
      <c r="BF412" s="17">
        <v>50.430556070000002</v>
      </c>
      <c r="BQ412" s="13">
        <f t="shared" si="27"/>
        <v>-3.0181614038461535</v>
      </c>
    </row>
    <row r="413" spans="1:69">
      <c r="A413" s="13">
        <v>410</v>
      </c>
      <c r="B413" s="13">
        <v>102</v>
      </c>
      <c r="C413" s="17">
        <v>97.085456859999994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>
        <f t="shared" si="24"/>
        <v>-4.8181795490196189</v>
      </c>
      <c r="N413" s="13"/>
      <c r="O413" s="13">
        <v>410</v>
      </c>
      <c r="P413" s="13">
        <v>102</v>
      </c>
      <c r="Q413" s="17">
        <v>94.940022429999999</v>
      </c>
      <c r="R413" s="13"/>
      <c r="S413" s="13"/>
      <c r="T413" s="13"/>
      <c r="U413" s="13"/>
      <c r="V413" s="13"/>
      <c r="W413" s="13"/>
      <c r="X413" s="13"/>
      <c r="Y413" s="13"/>
      <c r="Z413" s="13"/>
      <c r="AA413" s="13">
        <f t="shared" si="25"/>
        <v>-6.921546637254905</v>
      </c>
      <c r="AB413" s="13"/>
      <c r="AC413" s="34"/>
      <c r="AD413" s="34"/>
      <c r="AE413" s="34"/>
      <c r="AF413" s="34"/>
      <c r="AG413" s="34"/>
      <c r="AI413" s="35">
        <v>410</v>
      </c>
      <c r="AJ413" s="35">
        <v>102</v>
      </c>
      <c r="AK413" s="17">
        <v>101.56916750000001</v>
      </c>
      <c r="AV413" s="13">
        <f t="shared" si="26"/>
        <v>-0.42238480392156053</v>
      </c>
      <c r="BD413" s="35">
        <v>410</v>
      </c>
      <c r="BE413" s="35">
        <v>102</v>
      </c>
      <c r="BF413" s="17">
        <v>100.169173</v>
      </c>
      <c r="BQ413" s="13">
        <f t="shared" si="27"/>
        <v>-1.7949284313725444</v>
      </c>
    </row>
    <row r="414" spans="1:69">
      <c r="A414" s="13">
        <v>411</v>
      </c>
      <c r="B414" s="13">
        <v>134</v>
      </c>
      <c r="C414" s="17">
        <v>123.98855159999999</v>
      </c>
      <c r="D414" s="13"/>
      <c r="E414" s="13"/>
      <c r="F414" s="13"/>
      <c r="G414" s="13"/>
      <c r="H414" s="13"/>
      <c r="I414" s="13"/>
      <c r="J414" s="13"/>
      <c r="K414" s="13"/>
      <c r="L414" s="13"/>
      <c r="M414" s="13">
        <f t="shared" si="24"/>
        <v>-7.4712301492537385</v>
      </c>
      <c r="N414" s="13"/>
      <c r="O414" s="13">
        <v>411</v>
      </c>
      <c r="P414" s="13">
        <v>134</v>
      </c>
      <c r="Q414" s="17">
        <v>130.8009088</v>
      </c>
      <c r="R414" s="13"/>
      <c r="S414" s="13"/>
      <c r="T414" s="13"/>
      <c r="U414" s="13"/>
      <c r="V414" s="13"/>
      <c r="W414" s="13"/>
      <c r="X414" s="13"/>
      <c r="Y414" s="13"/>
      <c r="Z414" s="13"/>
      <c r="AA414" s="13">
        <f t="shared" si="25"/>
        <v>-2.3873814925373105</v>
      </c>
      <c r="AB414" s="13"/>
      <c r="AC414" s="34"/>
      <c r="AD414" s="34"/>
      <c r="AE414" s="34"/>
      <c r="AF414" s="34"/>
      <c r="AG414" s="34"/>
      <c r="AI414" s="35">
        <v>411</v>
      </c>
      <c r="AJ414" s="35">
        <v>134</v>
      </c>
      <c r="AK414" s="17">
        <v>133.79472380000001</v>
      </c>
      <c r="AV414" s="13">
        <f t="shared" si="26"/>
        <v>-0.15319119402984471</v>
      </c>
      <c r="BD414" s="35">
        <v>411</v>
      </c>
      <c r="BE414" s="35">
        <v>134</v>
      </c>
      <c r="BF414" s="17">
        <v>133.26193050000001</v>
      </c>
      <c r="BQ414" s="13">
        <f t="shared" si="27"/>
        <v>-0.55079813432835634</v>
      </c>
    </row>
    <row r="415" spans="1:69">
      <c r="A415" s="13">
        <v>412</v>
      </c>
      <c r="B415" s="13">
        <v>187</v>
      </c>
      <c r="C415" s="17">
        <v>169.75326219999999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>
        <f t="shared" si="24"/>
        <v>-9.2228544385026812</v>
      </c>
      <c r="N415" s="13"/>
      <c r="O415" s="13">
        <v>412</v>
      </c>
      <c r="P415" s="13">
        <v>187</v>
      </c>
      <c r="Q415" s="17">
        <v>181.5115036</v>
      </c>
      <c r="R415" s="13"/>
      <c r="S415" s="13"/>
      <c r="T415" s="13"/>
      <c r="U415" s="13"/>
      <c r="V415" s="13"/>
      <c r="W415" s="13"/>
      <c r="X415" s="13"/>
      <c r="Y415" s="13"/>
      <c r="Z415" s="13"/>
      <c r="AA415" s="13">
        <f t="shared" si="25"/>
        <v>-2.9350248128342304</v>
      </c>
      <c r="AB415" s="13"/>
      <c r="AC415" s="34"/>
      <c r="AD415" s="34"/>
      <c r="AE415" s="34"/>
      <c r="AF415" s="34"/>
      <c r="AG415" s="34"/>
      <c r="AI415" s="35">
        <v>412</v>
      </c>
      <c r="AJ415" s="35">
        <v>187</v>
      </c>
      <c r="AK415" s="17">
        <v>186.96166669999999</v>
      </c>
      <c r="AV415" s="13">
        <f t="shared" si="26"/>
        <v>-2.0499090909098516E-2</v>
      </c>
      <c r="BD415" s="35">
        <v>412</v>
      </c>
      <c r="BE415" s="35">
        <v>187</v>
      </c>
      <c r="BF415" s="17">
        <v>186.9899101</v>
      </c>
      <c r="BQ415" s="13">
        <f t="shared" si="27"/>
        <v>-5.3956684491929252E-3</v>
      </c>
    </row>
    <row r="416" spans="1:69">
      <c r="A416" s="13">
        <v>413</v>
      </c>
      <c r="B416" s="13">
        <v>60</v>
      </c>
      <c r="C416" s="17">
        <v>81.291299539999997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>
        <f t="shared" si="24"/>
        <v>35.485499233333329</v>
      </c>
      <c r="N416" s="13"/>
      <c r="O416" s="13">
        <v>413</v>
      </c>
      <c r="P416" s="13">
        <v>60</v>
      </c>
      <c r="Q416" s="17">
        <v>69.986011680000004</v>
      </c>
      <c r="R416" s="13"/>
      <c r="S416" s="13"/>
      <c r="T416" s="13"/>
      <c r="U416" s="13"/>
      <c r="V416" s="13"/>
      <c r="W416" s="13"/>
      <c r="X416" s="13"/>
      <c r="Y416" s="13"/>
      <c r="Z416" s="13"/>
      <c r="AA416" s="13">
        <f t="shared" si="25"/>
        <v>16.643352799999999</v>
      </c>
      <c r="AB416" s="13"/>
      <c r="AC416" s="34"/>
      <c r="AD416" s="34"/>
      <c r="AE416" s="34"/>
      <c r="AF416" s="34"/>
      <c r="AG416" s="34"/>
      <c r="AI416" s="35">
        <v>413</v>
      </c>
      <c r="AJ416" s="35">
        <v>60</v>
      </c>
      <c r="AK416" s="17">
        <v>61.453080730000003</v>
      </c>
      <c r="AV416" s="13">
        <f t="shared" si="26"/>
        <v>2.4218012166666636</v>
      </c>
      <c r="BD416" s="35">
        <v>413</v>
      </c>
      <c r="BE416" s="35">
        <v>60</v>
      </c>
      <c r="BF416" s="17">
        <v>65.276392360000003</v>
      </c>
      <c r="BQ416" s="13">
        <f t="shared" si="27"/>
        <v>8.7939872666666687</v>
      </c>
    </row>
    <row r="417" spans="1:69">
      <c r="A417" s="13">
        <v>414</v>
      </c>
      <c r="B417" s="13">
        <v>155</v>
      </c>
      <c r="C417" s="17">
        <v>125.557169</v>
      </c>
      <c r="D417" s="13"/>
      <c r="E417" s="13"/>
      <c r="F417" s="13"/>
      <c r="G417" s="13"/>
      <c r="H417" s="13"/>
      <c r="I417" s="13"/>
      <c r="J417" s="13"/>
      <c r="K417" s="13"/>
      <c r="L417" s="13"/>
      <c r="M417" s="13">
        <f t="shared" si="24"/>
        <v>-18.995374838709679</v>
      </c>
      <c r="N417" s="13"/>
      <c r="O417" s="13">
        <v>414</v>
      </c>
      <c r="P417" s="13">
        <v>155</v>
      </c>
      <c r="Q417" s="17">
        <v>135.87910969999999</v>
      </c>
      <c r="R417" s="13"/>
      <c r="S417" s="13"/>
      <c r="T417" s="13"/>
      <c r="U417" s="13"/>
      <c r="V417" s="13"/>
      <c r="W417" s="13"/>
      <c r="X417" s="13"/>
      <c r="Y417" s="13"/>
      <c r="Z417" s="13"/>
      <c r="AA417" s="13">
        <f t="shared" si="25"/>
        <v>-12.336058258064519</v>
      </c>
      <c r="AB417" s="13"/>
      <c r="AC417" s="34"/>
      <c r="AD417" s="34"/>
      <c r="AE417" s="34"/>
      <c r="AF417" s="34"/>
      <c r="AG417" s="34"/>
      <c r="AI417" s="35">
        <v>414</v>
      </c>
      <c r="AJ417" s="35">
        <v>155</v>
      </c>
      <c r="AK417" s="17">
        <v>152.87506350000001</v>
      </c>
      <c r="AV417" s="13">
        <f t="shared" si="26"/>
        <v>-1.3709267741935371</v>
      </c>
      <c r="BD417" s="35">
        <v>414</v>
      </c>
      <c r="BE417" s="35">
        <v>155</v>
      </c>
      <c r="BF417" s="17">
        <v>146.6210049</v>
      </c>
      <c r="BQ417" s="13">
        <f t="shared" si="27"/>
        <v>-5.4058032903225754</v>
      </c>
    </row>
    <row r="418" spans="1:69">
      <c r="A418" s="13">
        <v>415</v>
      </c>
      <c r="B418" s="13">
        <v>184</v>
      </c>
      <c r="C418" s="17">
        <v>157.00261320000001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>
        <f t="shared" si="24"/>
        <v>-14.672492826086946</v>
      </c>
      <c r="N418" s="13"/>
      <c r="O418" s="13">
        <v>415</v>
      </c>
      <c r="P418" s="13">
        <v>184</v>
      </c>
      <c r="Q418" s="17">
        <v>173.90355109999999</v>
      </c>
      <c r="R418" s="13"/>
      <c r="S418" s="13"/>
      <c r="T418" s="13"/>
      <c r="U418" s="13"/>
      <c r="V418" s="13"/>
      <c r="W418" s="13"/>
      <c r="X418" s="13"/>
      <c r="Y418" s="13"/>
      <c r="Z418" s="13"/>
      <c r="AA418" s="13">
        <f t="shared" si="25"/>
        <v>-5.4872004891304389</v>
      </c>
      <c r="AB418" s="13"/>
      <c r="AC418" s="34"/>
      <c r="AD418" s="34"/>
      <c r="AE418" s="34"/>
      <c r="AF418" s="34"/>
      <c r="AG418" s="34"/>
      <c r="AI418" s="35">
        <v>415</v>
      </c>
      <c r="AJ418" s="35">
        <v>184</v>
      </c>
      <c r="AK418" s="17">
        <v>183.9423333</v>
      </c>
      <c r="AV418" s="13">
        <f t="shared" si="26"/>
        <v>-3.1340597826090555E-2</v>
      </c>
      <c r="BD418" s="35">
        <v>415</v>
      </c>
      <c r="BE418" s="35">
        <v>184</v>
      </c>
      <c r="BF418" s="17">
        <v>183.919724</v>
      </c>
      <c r="BQ418" s="13">
        <f t="shared" si="27"/>
        <v>-4.3628260869565949E-2</v>
      </c>
    </row>
    <row r="419" spans="1:69">
      <c r="A419" s="13">
        <v>416</v>
      </c>
      <c r="B419" s="13">
        <v>139</v>
      </c>
      <c r="C419" s="17">
        <v>114.9259278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>
        <f t="shared" si="24"/>
        <v>-17.319476402877697</v>
      </c>
      <c r="N419" s="13"/>
      <c r="O419" s="13">
        <v>416</v>
      </c>
      <c r="P419" s="13">
        <v>139</v>
      </c>
      <c r="Q419" s="17">
        <v>121.4355888</v>
      </c>
      <c r="R419" s="13"/>
      <c r="S419" s="13"/>
      <c r="T419" s="13"/>
      <c r="U419" s="13"/>
      <c r="V419" s="13"/>
      <c r="W419" s="13"/>
      <c r="X419" s="13"/>
      <c r="Y419" s="13"/>
      <c r="Z419" s="13"/>
      <c r="AA419" s="13">
        <f t="shared" si="25"/>
        <v>-12.636267050359706</v>
      </c>
      <c r="AB419" s="13"/>
      <c r="AC419" s="34"/>
      <c r="AD419" s="34"/>
      <c r="AE419" s="34"/>
      <c r="AF419" s="34"/>
      <c r="AG419" s="34"/>
      <c r="AI419" s="35">
        <v>416</v>
      </c>
      <c r="AJ419" s="35">
        <v>139</v>
      </c>
      <c r="AK419" s="17">
        <v>137.77081150000001</v>
      </c>
      <c r="AV419" s="13">
        <f t="shared" si="26"/>
        <v>-0.88430827338128459</v>
      </c>
      <c r="BD419" s="35">
        <v>416</v>
      </c>
      <c r="BE419" s="35">
        <v>139</v>
      </c>
      <c r="BF419" s="17">
        <v>130.71828719999999</v>
      </c>
      <c r="BQ419" s="13">
        <f t="shared" si="27"/>
        <v>-5.9580667625899313</v>
      </c>
    </row>
    <row r="420" spans="1:69">
      <c r="A420" s="13">
        <v>417</v>
      </c>
      <c r="B420" s="13">
        <v>49</v>
      </c>
      <c r="C420" s="17">
        <v>77.153756180000002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>
        <f t="shared" si="24"/>
        <v>57.456645265306115</v>
      </c>
      <c r="N420" s="13"/>
      <c r="O420" s="13">
        <v>417</v>
      </c>
      <c r="P420" s="13">
        <v>49</v>
      </c>
      <c r="Q420" s="17">
        <v>63.220316019999999</v>
      </c>
      <c r="R420" s="13"/>
      <c r="S420" s="13"/>
      <c r="T420" s="13"/>
      <c r="U420" s="13"/>
      <c r="V420" s="13"/>
      <c r="W420" s="13"/>
      <c r="X420" s="13"/>
      <c r="Y420" s="13"/>
      <c r="Z420" s="13"/>
      <c r="AA420" s="13">
        <f t="shared" si="25"/>
        <v>29.021053102040817</v>
      </c>
      <c r="AB420" s="13"/>
      <c r="AC420" s="34"/>
      <c r="AD420" s="34"/>
      <c r="AE420" s="34"/>
      <c r="AF420" s="34"/>
      <c r="AG420" s="34"/>
      <c r="AI420" s="35">
        <v>417</v>
      </c>
      <c r="AJ420" s="35">
        <v>49</v>
      </c>
      <c r="AK420" s="17">
        <v>49.736936399999998</v>
      </c>
      <c r="AV420" s="13">
        <f t="shared" si="26"/>
        <v>1.5039518367346849</v>
      </c>
      <c r="BD420" s="35">
        <v>417</v>
      </c>
      <c r="BE420" s="35">
        <v>49</v>
      </c>
      <c r="BF420" s="17">
        <v>53.009130589999998</v>
      </c>
      <c r="BQ420" s="13">
        <f t="shared" si="27"/>
        <v>8.1818991632653049</v>
      </c>
    </row>
    <row r="421" spans="1:69">
      <c r="A421" s="13">
        <v>418</v>
      </c>
      <c r="B421" s="13">
        <v>100</v>
      </c>
      <c r="C421" s="17">
        <v>89.918648779999998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>
        <f t="shared" si="24"/>
        <v>-10.081351220000002</v>
      </c>
      <c r="N421" s="13"/>
      <c r="O421" s="13">
        <v>418</v>
      </c>
      <c r="P421" s="13">
        <v>100</v>
      </c>
      <c r="Q421" s="17">
        <v>88.961077360000004</v>
      </c>
      <c r="R421" s="13"/>
      <c r="S421" s="13"/>
      <c r="T421" s="13"/>
      <c r="U421" s="13"/>
      <c r="V421" s="13"/>
      <c r="W421" s="13"/>
      <c r="X421" s="13"/>
      <c r="Y421" s="13"/>
      <c r="Z421" s="13"/>
      <c r="AA421" s="13">
        <f t="shared" si="25"/>
        <v>-11.038922639999992</v>
      </c>
      <c r="AB421" s="13"/>
      <c r="AC421" s="34"/>
      <c r="AD421" s="34"/>
      <c r="AE421" s="34"/>
      <c r="AF421" s="34"/>
      <c r="AG421" s="34"/>
      <c r="AI421" s="35">
        <v>418</v>
      </c>
      <c r="AJ421" s="35">
        <v>100</v>
      </c>
      <c r="AK421" s="17">
        <v>99.585028280000003</v>
      </c>
      <c r="AV421" s="13">
        <f t="shared" si="26"/>
        <v>-0.41497172000000138</v>
      </c>
      <c r="BD421" s="35">
        <v>418</v>
      </c>
      <c r="BE421" s="35">
        <v>100</v>
      </c>
      <c r="BF421" s="17">
        <v>96.294493029999998</v>
      </c>
      <c r="BQ421" s="13">
        <f t="shared" si="27"/>
        <v>-3.7055069700000054</v>
      </c>
    </row>
    <row r="422" spans="1:69">
      <c r="A422" s="13">
        <v>419</v>
      </c>
      <c r="B422" s="13">
        <v>108</v>
      </c>
      <c r="C422" s="17">
        <v>93.864349149999995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>
        <f t="shared" ref="M422:M485" si="28">((C422/B422)-1)*100</f>
        <v>-13.088565601851855</v>
      </c>
      <c r="N422" s="13"/>
      <c r="O422" s="13">
        <v>419</v>
      </c>
      <c r="P422" s="13">
        <v>108</v>
      </c>
      <c r="Q422" s="17">
        <v>94.279079469999999</v>
      </c>
      <c r="R422" s="13"/>
      <c r="S422" s="13"/>
      <c r="T422" s="13"/>
      <c r="U422" s="13"/>
      <c r="V422" s="13"/>
      <c r="W422" s="13"/>
      <c r="X422" s="13"/>
      <c r="Y422" s="13"/>
      <c r="Z422" s="13"/>
      <c r="AA422" s="13">
        <f t="shared" si="25"/>
        <v>-12.7045560462963</v>
      </c>
      <c r="AB422" s="13"/>
      <c r="AC422" s="34"/>
      <c r="AD422" s="34"/>
      <c r="AE422" s="34"/>
      <c r="AF422" s="34"/>
      <c r="AG422" s="34"/>
      <c r="AI422" s="35">
        <v>419</v>
      </c>
      <c r="AJ422" s="35">
        <v>108</v>
      </c>
      <c r="AK422" s="17">
        <v>105.5519044</v>
      </c>
      <c r="AV422" s="13">
        <f t="shared" si="26"/>
        <v>-2.2667551851851875</v>
      </c>
      <c r="BD422" s="35">
        <v>419</v>
      </c>
      <c r="BE422" s="35">
        <v>108</v>
      </c>
      <c r="BF422" s="17">
        <v>98.840386449999997</v>
      </c>
      <c r="BQ422" s="13">
        <f t="shared" si="27"/>
        <v>-8.4811236574074087</v>
      </c>
    </row>
    <row r="423" spans="1:69">
      <c r="A423" s="13">
        <v>420</v>
      </c>
      <c r="B423" s="13">
        <v>41</v>
      </c>
      <c r="C423" s="17">
        <v>58.668683559999998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>
        <f t="shared" si="28"/>
        <v>43.094350146341462</v>
      </c>
      <c r="N423" s="13"/>
      <c r="O423" s="13">
        <v>420</v>
      </c>
      <c r="P423" s="13">
        <v>41</v>
      </c>
      <c r="Q423" s="17">
        <v>45.561915499999998</v>
      </c>
      <c r="R423" s="13"/>
      <c r="S423" s="13"/>
      <c r="T423" s="13"/>
      <c r="U423" s="13"/>
      <c r="V423" s="13"/>
      <c r="W423" s="13"/>
      <c r="X423" s="13"/>
      <c r="Y423" s="13"/>
      <c r="Z423" s="13"/>
      <c r="AA423" s="13">
        <f t="shared" si="25"/>
        <v>11.126623170731698</v>
      </c>
      <c r="AB423" s="13"/>
      <c r="AC423" s="34"/>
      <c r="AD423" s="34"/>
      <c r="AE423" s="34"/>
      <c r="AF423" s="34"/>
      <c r="AG423" s="34"/>
      <c r="AI423" s="35">
        <v>420</v>
      </c>
      <c r="AJ423" s="35">
        <v>41</v>
      </c>
      <c r="AK423" s="17">
        <v>41.231669230000001</v>
      </c>
      <c r="AV423" s="13">
        <f t="shared" si="26"/>
        <v>0.56504690243903699</v>
      </c>
      <c r="BD423" s="35">
        <v>420</v>
      </c>
      <c r="BE423" s="35">
        <v>41</v>
      </c>
      <c r="BF423" s="17">
        <v>42.944772129999997</v>
      </c>
      <c r="BQ423" s="13">
        <f t="shared" si="27"/>
        <v>4.7433466585365736</v>
      </c>
    </row>
    <row r="424" spans="1:69">
      <c r="A424" s="13">
        <v>421</v>
      </c>
      <c r="B424" s="13">
        <v>124</v>
      </c>
      <c r="C424" s="17">
        <v>129.41453179999999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>
        <f t="shared" si="28"/>
        <v>4.3665579032257984</v>
      </c>
      <c r="N424" s="13"/>
      <c r="O424" s="13">
        <v>421</v>
      </c>
      <c r="P424" s="13">
        <v>124</v>
      </c>
      <c r="Q424" s="17">
        <v>128.55599860000001</v>
      </c>
      <c r="R424" s="13"/>
      <c r="S424" s="13"/>
      <c r="T424" s="13"/>
      <c r="U424" s="13"/>
      <c r="V424" s="13"/>
      <c r="W424" s="13"/>
      <c r="X424" s="13"/>
      <c r="Y424" s="13"/>
      <c r="Z424" s="13"/>
      <c r="AA424" s="13">
        <f t="shared" si="25"/>
        <v>3.6741924193548492</v>
      </c>
      <c r="AB424" s="13"/>
      <c r="AC424" s="34"/>
      <c r="AD424" s="34"/>
      <c r="AE424" s="34"/>
      <c r="AF424" s="34"/>
      <c r="AG424" s="34"/>
      <c r="AI424" s="35">
        <v>421</v>
      </c>
      <c r="AJ424" s="35">
        <v>124</v>
      </c>
      <c r="AK424" s="17">
        <v>123.86912510000001</v>
      </c>
      <c r="AV424" s="13">
        <f t="shared" si="26"/>
        <v>-0.1055442741935475</v>
      </c>
      <c r="BD424" s="35">
        <v>421</v>
      </c>
      <c r="BE424" s="35">
        <v>124</v>
      </c>
      <c r="BF424" s="17">
        <v>125.6746034</v>
      </c>
      <c r="BQ424" s="13">
        <f t="shared" si="27"/>
        <v>1.3504866129032234</v>
      </c>
    </row>
    <row r="425" spans="1:69">
      <c r="A425" s="13">
        <v>422</v>
      </c>
      <c r="B425" s="13">
        <v>189</v>
      </c>
      <c r="C425" s="17">
        <v>171.97869069999999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>
        <f t="shared" si="28"/>
        <v>-9.0059837566137659</v>
      </c>
      <c r="N425" s="13"/>
      <c r="O425" s="13">
        <v>422</v>
      </c>
      <c r="P425" s="13">
        <v>189</v>
      </c>
      <c r="Q425" s="17">
        <v>190.73799260000001</v>
      </c>
      <c r="R425" s="13"/>
      <c r="S425" s="13"/>
      <c r="T425" s="13"/>
      <c r="U425" s="13"/>
      <c r="V425" s="13"/>
      <c r="W425" s="13"/>
      <c r="X425" s="13"/>
      <c r="Y425" s="13"/>
      <c r="Z425" s="13"/>
      <c r="AA425" s="13">
        <f t="shared" si="25"/>
        <v>0.91957280423280441</v>
      </c>
      <c r="AB425" s="13"/>
      <c r="AC425" s="34"/>
      <c r="AD425" s="34"/>
      <c r="AE425" s="34"/>
      <c r="AF425" s="34"/>
      <c r="AG425" s="34"/>
      <c r="AI425" s="35">
        <v>422</v>
      </c>
      <c r="AJ425" s="35">
        <v>189</v>
      </c>
      <c r="AK425" s="17">
        <v>189.3001979</v>
      </c>
      <c r="AV425" s="13">
        <f t="shared" si="26"/>
        <v>0.15883486772487743</v>
      </c>
      <c r="BD425" s="35">
        <v>422</v>
      </c>
      <c r="BE425" s="35">
        <v>189</v>
      </c>
      <c r="BF425" s="17">
        <v>189.2802816</v>
      </c>
      <c r="BQ425" s="13">
        <f t="shared" si="27"/>
        <v>0.14829714285713447</v>
      </c>
    </row>
    <row r="426" spans="1:69">
      <c r="A426" s="13">
        <v>423</v>
      </c>
      <c r="B426" s="13">
        <v>219</v>
      </c>
      <c r="C426" s="17">
        <v>172.07411780000001</v>
      </c>
      <c r="D426" s="13"/>
      <c r="E426" s="13"/>
      <c r="F426" s="13"/>
      <c r="G426" s="13"/>
      <c r="H426" s="13"/>
      <c r="I426" s="13"/>
      <c r="J426" s="13"/>
      <c r="K426" s="13"/>
      <c r="L426" s="13"/>
      <c r="M426" s="13">
        <f t="shared" si="28"/>
        <v>-21.427343470319627</v>
      </c>
      <c r="N426" s="13"/>
      <c r="O426" s="13">
        <v>423</v>
      </c>
      <c r="P426" s="13">
        <v>219</v>
      </c>
      <c r="Q426" s="17">
        <v>192.27369390000001</v>
      </c>
      <c r="R426" s="13"/>
      <c r="S426" s="13"/>
      <c r="T426" s="13"/>
      <c r="U426" s="13"/>
      <c r="V426" s="13"/>
      <c r="W426" s="13"/>
      <c r="X426" s="13"/>
      <c r="Y426" s="13"/>
      <c r="Z426" s="13"/>
      <c r="AA426" s="13">
        <f t="shared" si="25"/>
        <v>-12.203792739726026</v>
      </c>
      <c r="AB426" s="13"/>
      <c r="AC426" s="34"/>
      <c r="AD426" s="34"/>
      <c r="AE426" s="34"/>
      <c r="AF426" s="34"/>
      <c r="AG426" s="34"/>
      <c r="AI426" s="35">
        <v>423</v>
      </c>
      <c r="AJ426" s="35">
        <v>219</v>
      </c>
      <c r="AK426" s="17">
        <v>216.84454919999999</v>
      </c>
      <c r="AV426" s="13">
        <f t="shared" si="26"/>
        <v>-0.98422410958904916</v>
      </c>
      <c r="BD426" s="35">
        <v>423</v>
      </c>
      <c r="BE426" s="35">
        <v>219</v>
      </c>
      <c r="BF426" s="17">
        <v>206.1429526</v>
      </c>
      <c r="BQ426" s="13">
        <f t="shared" si="27"/>
        <v>-5.8707978995433781</v>
      </c>
    </row>
    <row r="427" spans="1:69">
      <c r="A427" s="13">
        <v>424</v>
      </c>
      <c r="B427" s="13">
        <v>126</v>
      </c>
      <c r="C427" s="17">
        <v>109.0934134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>
        <f t="shared" si="28"/>
        <v>-13.417925873015868</v>
      </c>
      <c r="N427" s="13"/>
      <c r="O427" s="13">
        <v>424</v>
      </c>
      <c r="P427" s="13">
        <v>126</v>
      </c>
      <c r="Q427" s="17">
        <v>113.7483178</v>
      </c>
      <c r="R427" s="13"/>
      <c r="S427" s="13"/>
      <c r="T427" s="13"/>
      <c r="U427" s="13"/>
      <c r="V427" s="13"/>
      <c r="W427" s="13"/>
      <c r="X427" s="13"/>
      <c r="Y427" s="13"/>
      <c r="Z427" s="13"/>
      <c r="AA427" s="13">
        <f t="shared" si="25"/>
        <v>-9.723557301587304</v>
      </c>
      <c r="AB427" s="13"/>
      <c r="AC427" s="34"/>
      <c r="AD427" s="34"/>
      <c r="AE427" s="34"/>
      <c r="AF427" s="34"/>
      <c r="AG427" s="34"/>
      <c r="AI427" s="35">
        <v>424</v>
      </c>
      <c r="AJ427" s="35">
        <v>126</v>
      </c>
      <c r="AK427" s="17">
        <v>122.612055</v>
      </c>
      <c r="AV427" s="13">
        <f t="shared" si="26"/>
        <v>-2.6888452380952388</v>
      </c>
      <c r="BD427" s="35">
        <v>424</v>
      </c>
      <c r="BE427" s="35">
        <v>126</v>
      </c>
      <c r="BF427" s="17">
        <v>118.2252672</v>
      </c>
      <c r="BQ427" s="13">
        <f t="shared" si="27"/>
        <v>-6.1704228571428548</v>
      </c>
    </row>
    <row r="428" spans="1:69">
      <c r="A428" s="13">
        <v>425</v>
      </c>
      <c r="B428" s="13">
        <v>86</v>
      </c>
      <c r="C428" s="17">
        <v>87.043234670000004</v>
      </c>
      <c r="D428" s="13"/>
      <c r="E428" s="13"/>
      <c r="F428" s="13"/>
      <c r="G428" s="13"/>
      <c r="H428" s="13"/>
      <c r="I428" s="13"/>
      <c r="J428" s="13"/>
      <c r="K428" s="13"/>
      <c r="L428" s="13"/>
      <c r="M428" s="13">
        <f t="shared" si="28"/>
        <v>1.2130635697674474</v>
      </c>
      <c r="N428" s="13"/>
      <c r="O428" s="13">
        <v>425</v>
      </c>
      <c r="P428" s="13">
        <v>86</v>
      </c>
      <c r="Q428" s="17">
        <v>83.416729180000004</v>
      </c>
      <c r="R428" s="13"/>
      <c r="S428" s="13"/>
      <c r="T428" s="13"/>
      <c r="U428" s="13"/>
      <c r="V428" s="13"/>
      <c r="W428" s="13"/>
      <c r="X428" s="13"/>
      <c r="Y428" s="13"/>
      <c r="Z428" s="13"/>
      <c r="AA428" s="13">
        <f t="shared" si="25"/>
        <v>-3.0038032790697611</v>
      </c>
      <c r="AB428" s="13"/>
      <c r="AC428" s="34"/>
      <c r="AD428" s="34"/>
      <c r="AE428" s="34"/>
      <c r="AF428" s="34"/>
      <c r="AG428" s="34"/>
      <c r="AI428" s="35">
        <v>425</v>
      </c>
      <c r="AJ428" s="35">
        <v>86</v>
      </c>
      <c r="AK428" s="17">
        <v>85.834999999999994</v>
      </c>
      <c r="AV428" s="13">
        <f t="shared" si="26"/>
        <v>-0.19186046511628918</v>
      </c>
      <c r="BD428" s="35">
        <v>425</v>
      </c>
      <c r="BE428" s="35">
        <v>86</v>
      </c>
      <c r="BF428" s="17">
        <v>84.476791710000001</v>
      </c>
      <c r="BQ428" s="13">
        <f t="shared" si="27"/>
        <v>-1.7711724302325593</v>
      </c>
    </row>
    <row r="429" spans="1:69">
      <c r="A429" s="13">
        <v>426</v>
      </c>
      <c r="B429" s="13">
        <v>13</v>
      </c>
      <c r="C429" s="17">
        <v>17.494350098875799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>
        <f t="shared" si="28"/>
        <v>34.571923837506134</v>
      </c>
      <c r="N429" s="13"/>
      <c r="O429" s="13">
        <v>426</v>
      </c>
      <c r="P429" s="13">
        <v>13</v>
      </c>
      <c r="Q429" s="17">
        <v>18.4682334228876</v>
      </c>
      <c r="R429" s="13"/>
      <c r="S429" s="13"/>
      <c r="T429" s="13"/>
      <c r="U429" s="13"/>
      <c r="V429" s="13"/>
      <c r="W429" s="13"/>
      <c r="X429" s="13"/>
      <c r="Y429" s="13"/>
      <c r="Z429" s="13"/>
      <c r="AA429" s="13">
        <f t="shared" si="25"/>
        <v>42.063334022212317</v>
      </c>
      <c r="AB429" s="13"/>
      <c r="AC429" s="34"/>
      <c r="AD429" s="34"/>
      <c r="AE429" s="34"/>
      <c r="AF429" s="34"/>
      <c r="AG429" s="34"/>
      <c r="AI429" s="35">
        <v>426</v>
      </c>
      <c r="AJ429" s="35">
        <v>13</v>
      </c>
      <c r="AK429" s="17">
        <v>14.367719230000001</v>
      </c>
      <c r="AV429" s="13">
        <f t="shared" si="26"/>
        <v>10.520917153846154</v>
      </c>
      <c r="BD429" s="35">
        <v>426</v>
      </c>
      <c r="BE429" s="35">
        <v>13</v>
      </c>
      <c r="BF429" s="17">
        <v>14.3113500051613</v>
      </c>
      <c r="BQ429" s="13">
        <f t="shared" si="27"/>
        <v>10.087307732010009</v>
      </c>
    </row>
    <row r="430" spans="1:69">
      <c r="A430" s="13">
        <v>427</v>
      </c>
      <c r="B430" s="13">
        <v>37</v>
      </c>
      <c r="C430" s="17">
        <v>51.668510282518398</v>
      </c>
      <c r="D430" s="13"/>
      <c r="E430" s="13"/>
      <c r="F430" s="13"/>
      <c r="G430" s="13"/>
      <c r="H430" s="13"/>
      <c r="I430" s="13"/>
      <c r="J430" s="13"/>
      <c r="K430" s="13"/>
      <c r="L430" s="13"/>
      <c r="M430" s="13">
        <f t="shared" si="28"/>
        <v>39.644622385184867</v>
      </c>
      <c r="N430" s="13"/>
      <c r="O430" s="13">
        <v>427</v>
      </c>
      <c r="P430" s="13">
        <v>37</v>
      </c>
      <c r="Q430" s="17">
        <v>56.029720750000003</v>
      </c>
      <c r="R430" s="13"/>
      <c r="S430" s="13"/>
      <c r="T430" s="13"/>
      <c r="U430" s="13"/>
      <c r="V430" s="13"/>
      <c r="W430" s="13"/>
      <c r="X430" s="13"/>
      <c r="Y430" s="13"/>
      <c r="Z430" s="13"/>
      <c r="AA430" s="13">
        <f t="shared" si="25"/>
        <v>51.431677702702714</v>
      </c>
      <c r="AB430" s="13"/>
      <c r="AC430" s="34"/>
      <c r="AD430" s="34"/>
      <c r="AE430" s="34"/>
      <c r="AF430" s="34"/>
      <c r="AG430" s="34"/>
      <c r="AI430" s="35">
        <v>427</v>
      </c>
      <c r="AJ430" s="35">
        <v>37</v>
      </c>
      <c r="AK430" s="17">
        <v>40.242369680000003</v>
      </c>
      <c r="AV430" s="13">
        <f t="shared" si="26"/>
        <v>8.7631612972973052</v>
      </c>
      <c r="BD430" s="35">
        <v>427</v>
      </c>
      <c r="BE430" s="35">
        <v>37</v>
      </c>
      <c r="BF430" s="17">
        <v>46.826024070000003</v>
      </c>
      <c r="BQ430" s="13">
        <f t="shared" si="27"/>
        <v>26.556821810810828</v>
      </c>
    </row>
    <row r="431" spans="1:69">
      <c r="A431" s="13">
        <v>428</v>
      </c>
      <c r="B431" s="13">
        <v>32</v>
      </c>
      <c r="C431" s="17">
        <v>49.031910273225002</v>
      </c>
      <c r="D431" s="13"/>
      <c r="E431" s="13"/>
      <c r="F431" s="13"/>
      <c r="G431" s="13"/>
      <c r="H431" s="13"/>
      <c r="I431" s="13"/>
      <c r="J431" s="13"/>
      <c r="K431" s="13"/>
      <c r="L431" s="13"/>
      <c r="M431" s="13">
        <f t="shared" si="28"/>
        <v>53.224719603828127</v>
      </c>
      <c r="N431" s="13"/>
      <c r="O431" s="13">
        <v>428</v>
      </c>
      <c r="P431" s="13">
        <v>32</v>
      </c>
      <c r="Q431" s="17">
        <v>51.82690607</v>
      </c>
      <c r="R431" s="13"/>
      <c r="S431" s="13"/>
      <c r="T431" s="13"/>
      <c r="U431" s="13"/>
      <c r="V431" s="13"/>
      <c r="W431" s="13"/>
      <c r="X431" s="13"/>
      <c r="Y431" s="13"/>
      <c r="Z431" s="13"/>
      <c r="AA431" s="13">
        <f t="shared" si="25"/>
        <v>61.95908146875</v>
      </c>
      <c r="AB431" s="13"/>
      <c r="AC431" s="34"/>
      <c r="AD431" s="34"/>
      <c r="AE431" s="34"/>
      <c r="AF431" s="34"/>
      <c r="AG431" s="34"/>
      <c r="AI431" s="35">
        <v>428</v>
      </c>
      <c r="AJ431" s="35">
        <v>32</v>
      </c>
      <c r="AK431" s="17">
        <v>32.696378209999999</v>
      </c>
      <c r="AV431" s="13">
        <f t="shared" si="26"/>
        <v>2.1761819062499965</v>
      </c>
      <c r="BD431" s="35">
        <v>428</v>
      </c>
      <c r="BE431" s="35">
        <v>32</v>
      </c>
      <c r="BF431" s="17">
        <v>36.588944650000002</v>
      </c>
      <c r="BQ431" s="13">
        <f t="shared" si="27"/>
        <v>14.340452031250006</v>
      </c>
    </row>
    <row r="432" spans="1:69">
      <c r="A432" s="13">
        <v>429</v>
      </c>
      <c r="B432" s="13">
        <v>107</v>
      </c>
      <c r="C432" s="17">
        <v>93.305817649999995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>
        <f t="shared" si="28"/>
        <v>-12.798301261682244</v>
      </c>
      <c r="N432" s="13"/>
      <c r="O432" s="13">
        <v>429</v>
      </c>
      <c r="P432" s="13">
        <v>107</v>
      </c>
      <c r="Q432" s="17">
        <v>94.105648880000004</v>
      </c>
      <c r="R432" s="13"/>
      <c r="S432" s="13"/>
      <c r="T432" s="13"/>
      <c r="U432" s="13"/>
      <c r="V432" s="13"/>
      <c r="W432" s="13"/>
      <c r="X432" s="13"/>
      <c r="Y432" s="13"/>
      <c r="Z432" s="13"/>
      <c r="AA432" s="13">
        <f t="shared" si="25"/>
        <v>-12.050795439252337</v>
      </c>
      <c r="AB432" s="13"/>
      <c r="AC432" s="34"/>
      <c r="AD432" s="34"/>
      <c r="AE432" s="34"/>
      <c r="AF432" s="34"/>
      <c r="AG432" s="34"/>
      <c r="AI432" s="35">
        <v>429</v>
      </c>
      <c r="AJ432" s="35">
        <v>107</v>
      </c>
      <c r="AK432" s="17">
        <v>105.870694</v>
      </c>
      <c r="AV432" s="13">
        <f t="shared" si="26"/>
        <v>-1.0554261682242938</v>
      </c>
      <c r="BD432" s="35">
        <v>429</v>
      </c>
      <c r="BE432" s="35">
        <v>107</v>
      </c>
      <c r="BF432" s="17">
        <v>100.9918613</v>
      </c>
      <c r="BQ432" s="13">
        <f t="shared" si="27"/>
        <v>-5.6150828971962667</v>
      </c>
    </row>
    <row r="433" spans="1:69">
      <c r="A433" s="13">
        <v>430</v>
      </c>
      <c r="B433" s="13">
        <v>2</v>
      </c>
      <c r="C433" s="17">
        <v>2.9407273765795301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>
        <f t="shared" si="28"/>
        <v>47.036368828976507</v>
      </c>
      <c r="N433" s="13"/>
      <c r="O433" s="13">
        <v>430</v>
      </c>
      <c r="P433" s="13">
        <v>2</v>
      </c>
      <c r="Q433" s="17">
        <v>2.7394723441661601</v>
      </c>
      <c r="R433" s="13"/>
      <c r="S433" s="13"/>
      <c r="T433" s="13"/>
      <c r="U433" s="13"/>
      <c r="V433" s="13"/>
      <c r="W433" s="13"/>
      <c r="X433" s="13"/>
      <c r="Y433" s="13"/>
      <c r="Z433" s="13"/>
      <c r="AA433" s="13">
        <f t="shared" si="25"/>
        <v>36.973617208308006</v>
      </c>
      <c r="AB433" s="13"/>
      <c r="AC433" s="34"/>
      <c r="AD433" s="34"/>
      <c r="AE433" s="34"/>
      <c r="AF433" s="34"/>
      <c r="AG433" s="34"/>
      <c r="AI433" s="35">
        <v>430</v>
      </c>
      <c r="AJ433" s="35">
        <v>2</v>
      </c>
      <c r="AK433" s="17">
        <v>2.56594849802749</v>
      </c>
      <c r="AV433" s="13">
        <f t="shared" si="26"/>
        <v>28.297424901374502</v>
      </c>
      <c r="BD433" s="35">
        <v>430</v>
      </c>
      <c r="BE433" s="35">
        <v>2</v>
      </c>
      <c r="BF433" s="17">
        <v>2.2924176501470499</v>
      </c>
      <c r="BQ433" s="13">
        <f t="shared" si="27"/>
        <v>14.620882507352494</v>
      </c>
    </row>
    <row r="434" spans="1:69">
      <c r="A434" s="13">
        <v>431</v>
      </c>
      <c r="B434" s="13">
        <v>215</v>
      </c>
      <c r="C434" s="17">
        <v>176.32361299999999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>
        <f t="shared" si="28"/>
        <v>-17.989017209302325</v>
      </c>
      <c r="N434" s="13"/>
      <c r="O434" s="13">
        <v>431</v>
      </c>
      <c r="P434" s="13">
        <v>215</v>
      </c>
      <c r="Q434" s="17">
        <v>197.1734568</v>
      </c>
      <c r="R434" s="13"/>
      <c r="S434" s="13"/>
      <c r="T434" s="13"/>
      <c r="U434" s="13"/>
      <c r="V434" s="13"/>
      <c r="W434" s="13"/>
      <c r="X434" s="13"/>
      <c r="Y434" s="13"/>
      <c r="Z434" s="13"/>
      <c r="AA434" s="13">
        <f t="shared" si="25"/>
        <v>-8.2914154418604618</v>
      </c>
      <c r="AB434" s="13"/>
      <c r="AC434" s="34"/>
      <c r="AD434" s="34"/>
      <c r="AE434" s="34"/>
      <c r="AF434" s="34"/>
      <c r="AG434" s="34"/>
      <c r="AI434" s="35">
        <v>431</v>
      </c>
      <c r="AJ434" s="35">
        <v>215</v>
      </c>
      <c r="AK434" s="17">
        <v>214.58540400000001</v>
      </c>
      <c r="AV434" s="13">
        <f t="shared" si="26"/>
        <v>-0.19283534883720588</v>
      </c>
      <c r="BD434" s="35">
        <v>431</v>
      </c>
      <c r="BE434" s="35">
        <v>215</v>
      </c>
      <c r="BF434" s="17">
        <v>210.9201296</v>
      </c>
      <c r="BQ434" s="13">
        <f t="shared" si="27"/>
        <v>-1.8976141395348867</v>
      </c>
    </row>
    <row r="435" spans="1:69">
      <c r="A435" s="13">
        <v>432</v>
      </c>
      <c r="B435" s="13">
        <v>75</v>
      </c>
      <c r="C435" s="17">
        <v>71.468517039999995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>
        <f t="shared" si="28"/>
        <v>-4.708643946666669</v>
      </c>
      <c r="N435" s="13"/>
      <c r="O435" s="13">
        <v>432</v>
      </c>
      <c r="P435" s="13">
        <v>75</v>
      </c>
      <c r="Q435" s="17">
        <v>65.668882879999998</v>
      </c>
      <c r="R435" s="13"/>
      <c r="S435" s="13"/>
      <c r="T435" s="13"/>
      <c r="U435" s="13"/>
      <c r="V435" s="13"/>
      <c r="W435" s="13"/>
      <c r="X435" s="13"/>
      <c r="Y435" s="13"/>
      <c r="Z435" s="13"/>
      <c r="AA435" s="13">
        <f t="shared" si="25"/>
        <v>-12.441489493333336</v>
      </c>
      <c r="AB435" s="13"/>
      <c r="AC435" s="34"/>
      <c r="AD435" s="34"/>
      <c r="AE435" s="34"/>
      <c r="AF435" s="34"/>
      <c r="AG435" s="34"/>
      <c r="AI435" s="35">
        <v>432</v>
      </c>
      <c r="AJ435" s="35">
        <v>75</v>
      </c>
      <c r="AK435" s="17">
        <v>73.10520477</v>
      </c>
      <c r="AV435" s="13">
        <f t="shared" si="26"/>
        <v>-2.526393640000002</v>
      </c>
      <c r="BD435" s="35">
        <v>432</v>
      </c>
      <c r="BE435" s="35">
        <v>75</v>
      </c>
      <c r="BF435" s="17">
        <v>69.533810399999993</v>
      </c>
      <c r="BQ435" s="13">
        <f t="shared" si="27"/>
        <v>-7.2882528000000057</v>
      </c>
    </row>
    <row r="436" spans="1:69">
      <c r="A436" s="13">
        <v>433</v>
      </c>
      <c r="B436" s="13">
        <v>133</v>
      </c>
      <c r="C436" s="17">
        <v>117.79905599999999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>
        <f t="shared" si="28"/>
        <v>-11.429281203007523</v>
      </c>
      <c r="N436" s="13"/>
      <c r="O436" s="13">
        <v>433</v>
      </c>
      <c r="P436" s="13">
        <v>133</v>
      </c>
      <c r="Q436" s="17">
        <v>119.2218049</v>
      </c>
      <c r="R436" s="13"/>
      <c r="S436" s="13"/>
      <c r="T436" s="13"/>
      <c r="U436" s="13"/>
      <c r="V436" s="13"/>
      <c r="W436" s="13"/>
      <c r="X436" s="13"/>
      <c r="Y436" s="13"/>
      <c r="Z436" s="13"/>
      <c r="AA436" s="13">
        <f t="shared" si="25"/>
        <v>-10.359545187969932</v>
      </c>
      <c r="AB436" s="13"/>
      <c r="AC436" s="34"/>
      <c r="AD436" s="34"/>
      <c r="AE436" s="34"/>
      <c r="AF436" s="34"/>
      <c r="AG436" s="34"/>
      <c r="AI436" s="35">
        <v>433</v>
      </c>
      <c r="AJ436" s="35">
        <v>133</v>
      </c>
      <c r="AK436" s="17">
        <v>132.53558989999999</v>
      </c>
      <c r="AV436" s="13">
        <f t="shared" si="26"/>
        <v>-0.34918052631579544</v>
      </c>
      <c r="BD436" s="35">
        <v>433</v>
      </c>
      <c r="BE436" s="35">
        <v>133</v>
      </c>
      <c r="BF436" s="17">
        <v>128.639723</v>
      </c>
      <c r="BQ436" s="13">
        <f t="shared" si="27"/>
        <v>-3.278403759398496</v>
      </c>
    </row>
    <row r="437" spans="1:69">
      <c r="A437" s="13">
        <v>434</v>
      </c>
      <c r="B437" s="13">
        <v>121</v>
      </c>
      <c r="C437" s="17">
        <v>122.94958010000001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>
        <f t="shared" si="28"/>
        <v>1.6112232231404899</v>
      </c>
      <c r="N437" s="13"/>
      <c r="O437" s="13">
        <v>434</v>
      </c>
      <c r="P437" s="13">
        <v>121</v>
      </c>
      <c r="Q437" s="17">
        <v>123.7936163</v>
      </c>
      <c r="R437" s="13"/>
      <c r="S437" s="13"/>
      <c r="T437" s="13"/>
      <c r="U437" s="13"/>
      <c r="V437" s="13"/>
      <c r="W437" s="13"/>
      <c r="X437" s="13"/>
      <c r="Y437" s="13"/>
      <c r="Z437" s="13"/>
      <c r="AA437" s="13">
        <f t="shared" si="25"/>
        <v>2.3087738016528858</v>
      </c>
      <c r="AB437" s="13"/>
      <c r="AC437" s="34"/>
      <c r="AD437" s="34"/>
      <c r="AE437" s="34"/>
      <c r="AF437" s="34"/>
      <c r="AG437" s="34"/>
      <c r="AI437" s="35">
        <v>434</v>
      </c>
      <c r="AJ437" s="35">
        <v>121</v>
      </c>
      <c r="AK437" s="17">
        <v>120.38258980000001</v>
      </c>
      <c r="AV437" s="13">
        <f t="shared" si="26"/>
        <v>-0.51025636363636329</v>
      </c>
      <c r="BD437" s="35">
        <v>434</v>
      </c>
      <c r="BE437" s="35">
        <v>121</v>
      </c>
      <c r="BF437" s="17">
        <v>123.25647410000001</v>
      </c>
      <c r="BQ437" s="13">
        <f t="shared" si="27"/>
        <v>1.8648546280991773</v>
      </c>
    </row>
    <row r="438" spans="1:69">
      <c r="A438" s="13">
        <v>435</v>
      </c>
      <c r="B438" s="13">
        <v>23</v>
      </c>
      <c r="C438" s="17">
        <v>12.6044146567206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>
        <f t="shared" si="28"/>
        <v>-45.19819714469304</v>
      </c>
      <c r="N438" s="13"/>
      <c r="O438" s="13">
        <v>435</v>
      </c>
      <c r="P438" s="13">
        <v>23</v>
      </c>
      <c r="Q438" s="17">
        <v>18.762126306067199</v>
      </c>
      <c r="R438" s="13"/>
      <c r="S438" s="13"/>
      <c r="T438" s="13"/>
      <c r="U438" s="13"/>
      <c r="V438" s="13"/>
      <c r="W438" s="13"/>
      <c r="X438" s="13"/>
      <c r="Y438" s="13"/>
      <c r="Z438" s="13"/>
      <c r="AA438" s="13">
        <f t="shared" si="25"/>
        <v>-18.425537799707836</v>
      </c>
      <c r="AB438" s="13"/>
      <c r="AC438" s="34"/>
      <c r="AD438" s="34"/>
      <c r="AE438" s="34"/>
      <c r="AF438" s="34"/>
      <c r="AG438" s="34"/>
      <c r="AI438" s="35">
        <v>435</v>
      </c>
      <c r="AJ438" s="35">
        <v>23</v>
      </c>
      <c r="AK438" s="17">
        <v>23.330376189999999</v>
      </c>
      <c r="AV438" s="13">
        <f t="shared" si="26"/>
        <v>1.4364182173913109</v>
      </c>
      <c r="BD438" s="35">
        <v>435</v>
      </c>
      <c r="BE438" s="35">
        <v>23</v>
      </c>
      <c r="BF438" s="17">
        <v>25.669451200000001</v>
      </c>
      <c r="BQ438" s="13">
        <f t="shared" si="27"/>
        <v>11.606309565217398</v>
      </c>
    </row>
    <row r="439" spans="1:69">
      <c r="A439" s="13">
        <v>436</v>
      </c>
      <c r="B439" s="13">
        <v>177</v>
      </c>
      <c r="C439" s="17">
        <v>139.76592969999999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>
        <f t="shared" si="28"/>
        <v>-21.036197909604525</v>
      </c>
      <c r="N439" s="13"/>
      <c r="O439" s="13">
        <v>436</v>
      </c>
      <c r="P439" s="13">
        <v>177</v>
      </c>
      <c r="Q439" s="17">
        <v>153.3592797</v>
      </c>
      <c r="R439" s="13"/>
      <c r="S439" s="13"/>
      <c r="T439" s="13"/>
      <c r="U439" s="13"/>
      <c r="V439" s="13"/>
      <c r="W439" s="13"/>
      <c r="X439" s="13"/>
      <c r="Y439" s="13"/>
      <c r="Z439" s="13"/>
      <c r="AA439" s="13">
        <f t="shared" si="25"/>
        <v>-13.356339152542374</v>
      </c>
      <c r="AB439" s="13"/>
      <c r="AC439" s="34"/>
      <c r="AD439" s="34"/>
      <c r="AE439" s="34"/>
      <c r="AF439" s="34"/>
      <c r="AG439" s="34"/>
      <c r="AI439" s="35">
        <v>436</v>
      </c>
      <c r="AJ439" s="35">
        <v>177</v>
      </c>
      <c r="AK439" s="17">
        <v>175.23683650000001</v>
      </c>
      <c r="AV439" s="13">
        <f t="shared" si="26"/>
        <v>-0.99613757062145813</v>
      </c>
      <c r="BD439" s="35">
        <v>436</v>
      </c>
      <c r="BE439" s="35">
        <v>177</v>
      </c>
      <c r="BF439" s="17">
        <v>167.09713600000001</v>
      </c>
      <c r="BQ439" s="13">
        <f t="shared" si="27"/>
        <v>-5.594838418079096</v>
      </c>
    </row>
    <row r="440" spans="1:69">
      <c r="A440" s="13">
        <v>437</v>
      </c>
      <c r="B440" s="13">
        <v>172</v>
      </c>
      <c r="C440" s="17">
        <v>150.82355459999999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>
        <f t="shared" si="28"/>
        <v>-12.311886860465115</v>
      </c>
      <c r="N440" s="13"/>
      <c r="O440" s="13">
        <v>437</v>
      </c>
      <c r="P440" s="13">
        <v>172</v>
      </c>
      <c r="Q440" s="17">
        <v>164.01508530000001</v>
      </c>
      <c r="R440" s="13"/>
      <c r="S440" s="13"/>
      <c r="T440" s="13"/>
      <c r="U440" s="13"/>
      <c r="V440" s="13"/>
      <c r="W440" s="13"/>
      <c r="X440" s="13"/>
      <c r="Y440" s="13"/>
      <c r="Z440" s="13"/>
      <c r="AA440" s="13">
        <f t="shared" si="25"/>
        <v>-4.6423922674418527</v>
      </c>
      <c r="AB440" s="13"/>
      <c r="AC440" s="34"/>
      <c r="AD440" s="34"/>
      <c r="AE440" s="34"/>
      <c r="AF440" s="34"/>
      <c r="AG440" s="34"/>
      <c r="AI440" s="35">
        <v>437</v>
      </c>
      <c r="AJ440" s="35">
        <v>172</v>
      </c>
      <c r="AK440" s="17">
        <v>171.87143889999999</v>
      </c>
      <c r="AV440" s="13">
        <f t="shared" si="26"/>
        <v>-7.4744825581407603E-2</v>
      </c>
      <c r="BD440" s="35">
        <v>437</v>
      </c>
      <c r="BE440" s="35">
        <v>172</v>
      </c>
      <c r="BF440" s="17">
        <v>170.7365154</v>
      </c>
      <c r="BQ440" s="13">
        <f t="shared" si="27"/>
        <v>-0.73458406976744106</v>
      </c>
    </row>
    <row r="441" spans="1:69">
      <c r="A441" s="13">
        <v>438</v>
      </c>
      <c r="B441" s="13">
        <v>187</v>
      </c>
      <c r="C441" s="17">
        <v>167.51920960000001</v>
      </c>
      <c r="D441" s="13"/>
      <c r="E441" s="13"/>
      <c r="F441" s="13"/>
      <c r="G441" s="13"/>
      <c r="H441" s="13"/>
      <c r="I441" s="13"/>
      <c r="J441" s="13"/>
      <c r="K441" s="13"/>
      <c r="L441" s="13"/>
      <c r="M441" s="13">
        <f t="shared" si="28"/>
        <v>-10.417534973262022</v>
      </c>
      <c r="N441" s="13"/>
      <c r="O441" s="13">
        <v>438</v>
      </c>
      <c r="P441" s="13">
        <v>187</v>
      </c>
      <c r="Q441" s="17">
        <v>181.5067803</v>
      </c>
      <c r="R441" s="13"/>
      <c r="S441" s="13"/>
      <c r="T441" s="13"/>
      <c r="U441" s="13"/>
      <c r="V441" s="13"/>
      <c r="W441" s="13"/>
      <c r="X441" s="13"/>
      <c r="Y441" s="13"/>
      <c r="Z441" s="13"/>
      <c r="AA441" s="13">
        <f t="shared" si="25"/>
        <v>-2.9375506417112285</v>
      </c>
      <c r="AB441" s="13"/>
      <c r="AC441" s="34"/>
      <c r="AD441" s="34"/>
      <c r="AE441" s="34"/>
      <c r="AF441" s="34"/>
      <c r="AG441" s="34"/>
      <c r="AI441" s="35">
        <v>438</v>
      </c>
      <c r="AJ441" s="35">
        <v>187</v>
      </c>
      <c r="AK441" s="17">
        <v>186.80843469999999</v>
      </c>
      <c r="AV441" s="13">
        <f t="shared" si="26"/>
        <v>-0.10244133689839563</v>
      </c>
      <c r="BD441" s="35">
        <v>438</v>
      </c>
      <c r="BE441" s="35">
        <v>187</v>
      </c>
      <c r="BF441" s="17">
        <v>184.77021429999999</v>
      </c>
      <c r="BQ441" s="13">
        <f t="shared" si="27"/>
        <v>-1.1923987700534822</v>
      </c>
    </row>
    <row r="442" spans="1:69">
      <c r="A442" s="13">
        <v>439</v>
      </c>
      <c r="B442" s="13">
        <v>19</v>
      </c>
      <c r="C442" s="17">
        <v>22.1553325295782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>
        <f t="shared" si="28"/>
        <v>16.607013313569464</v>
      </c>
      <c r="N442" s="13"/>
      <c r="O442" s="13">
        <v>439</v>
      </c>
      <c r="P442" s="13">
        <v>19</v>
      </c>
      <c r="Q442" s="17">
        <v>18.9211630772107</v>
      </c>
      <c r="R442" s="13"/>
      <c r="S442" s="13"/>
      <c r="T442" s="13"/>
      <c r="U442" s="13"/>
      <c r="V442" s="13"/>
      <c r="W442" s="13"/>
      <c r="X442" s="13"/>
      <c r="Y442" s="13"/>
      <c r="Z442" s="13"/>
      <c r="AA442" s="13">
        <f t="shared" si="25"/>
        <v>-0.41493117257526135</v>
      </c>
      <c r="AB442" s="13"/>
      <c r="AC442" s="34"/>
      <c r="AD442" s="34"/>
      <c r="AE442" s="34"/>
      <c r="AF442" s="34"/>
      <c r="AG442" s="34"/>
      <c r="AI442" s="35">
        <v>439</v>
      </c>
      <c r="AJ442" s="35">
        <v>19</v>
      </c>
      <c r="AK442" s="17">
        <v>21.407729</v>
      </c>
      <c r="AV442" s="13">
        <f t="shared" si="26"/>
        <v>12.672257894736848</v>
      </c>
      <c r="BD442" s="35">
        <v>439</v>
      </c>
      <c r="BE442" s="35">
        <v>19</v>
      </c>
      <c r="BF442" s="17">
        <v>22.778346643086</v>
      </c>
      <c r="BQ442" s="13">
        <f t="shared" si="27"/>
        <v>19.88603496361052</v>
      </c>
    </row>
    <row r="443" spans="1:69">
      <c r="A443" s="13">
        <v>440</v>
      </c>
      <c r="B443" s="13">
        <v>85</v>
      </c>
      <c r="C443" s="17">
        <v>97.07168034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>
        <f t="shared" si="28"/>
        <v>14.20197687058824</v>
      </c>
      <c r="N443" s="13"/>
      <c r="O443" s="13">
        <v>440</v>
      </c>
      <c r="P443" s="13">
        <v>85</v>
      </c>
      <c r="Q443" s="17">
        <v>91.011538869999995</v>
      </c>
      <c r="R443" s="13"/>
      <c r="S443" s="13"/>
      <c r="T443" s="13"/>
      <c r="U443" s="13"/>
      <c r="V443" s="13"/>
      <c r="W443" s="13"/>
      <c r="X443" s="13"/>
      <c r="Y443" s="13"/>
      <c r="Z443" s="13"/>
      <c r="AA443" s="13">
        <f t="shared" si="25"/>
        <v>7.0723986705882202</v>
      </c>
      <c r="AB443" s="13"/>
      <c r="AC443" s="34"/>
      <c r="AD443" s="34"/>
      <c r="AE443" s="34"/>
      <c r="AF443" s="34"/>
      <c r="AG443" s="34"/>
      <c r="AI443" s="35">
        <v>440</v>
      </c>
      <c r="AJ443" s="35">
        <v>85</v>
      </c>
      <c r="AK443" s="17">
        <v>87.173893440000001</v>
      </c>
      <c r="AV443" s="13">
        <f t="shared" si="26"/>
        <v>2.5575216941176482</v>
      </c>
      <c r="BD443" s="35">
        <v>440</v>
      </c>
      <c r="BE443" s="35">
        <v>85</v>
      </c>
      <c r="BF443" s="17">
        <v>90.844675350000003</v>
      </c>
      <c r="BQ443" s="13">
        <f t="shared" si="27"/>
        <v>6.8760886470588201</v>
      </c>
    </row>
    <row r="444" spans="1:69">
      <c r="A444" s="13">
        <v>441</v>
      </c>
      <c r="B444" s="13">
        <v>192</v>
      </c>
      <c r="C444" s="17">
        <v>169.69267160000001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>
        <f t="shared" si="28"/>
        <v>-11.618400208333323</v>
      </c>
      <c r="N444" s="13"/>
      <c r="O444" s="13">
        <v>441</v>
      </c>
      <c r="P444" s="13">
        <v>192</v>
      </c>
      <c r="Q444" s="17">
        <v>184.2939791</v>
      </c>
      <c r="R444" s="13"/>
      <c r="S444" s="13"/>
      <c r="T444" s="13"/>
      <c r="U444" s="13"/>
      <c r="V444" s="13"/>
      <c r="W444" s="13"/>
      <c r="X444" s="13"/>
      <c r="Y444" s="13"/>
      <c r="Z444" s="13"/>
      <c r="AA444" s="13">
        <f t="shared" si="25"/>
        <v>-4.0135525520833326</v>
      </c>
      <c r="AB444" s="13"/>
      <c r="AC444" s="34"/>
      <c r="AD444" s="34"/>
      <c r="AE444" s="34"/>
      <c r="AF444" s="34"/>
      <c r="AG444" s="34"/>
      <c r="AI444" s="35">
        <v>441</v>
      </c>
      <c r="AJ444" s="35">
        <v>192</v>
      </c>
      <c r="AK444" s="17">
        <v>191.70169519999999</v>
      </c>
      <c r="AV444" s="13">
        <f t="shared" si="26"/>
        <v>-0.15536708333333538</v>
      </c>
      <c r="BD444" s="35">
        <v>441</v>
      </c>
      <c r="BE444" s="35">
        <v>192</v>
      </c>
      <c r="BF444" s="17">
        <v>190.73736170000001</v>
      </c>
      <c r="BQ444" s="13">
        <f t="shared" si="27"/>
        <v>-0.65762411458333281</v>
      </c>
    </row>
    <row r="445" spans="1:69">
      <c r="A445" s="13">
        <v>442</v>
      </c>
      <c r="B445" s="13">
        <v>84</v>
      </c>
      <c r="C445" s="17">
        <v>85.330316400000001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>
        <f t="shared" si="28"/>
        <v>1.5837099999999937</v>
      </c>
      <c r="N445" s="13"/>
      <c r="O445" s="13">
        <v>442</v>
      </c>
      <c r="P445" s="13">
        <v>84</v>
      </c>
      <c r="Q445" s="17">
        <v>75.970704589999997</v>
      </c>
      <c r="R445" s="13"/>
      <c r="S445" s="13"/>
      <c r="T445" s="13"/>
      <c r="U445" s="13"/>
      <c r="V445" s="13"/>
      <c r="W445" s="13"/>
      <c r="X445" s="13"/>
      <c r="Y445" s="13"/>
      <c r="Z445" s="13"/>
      <c r="AA445" s="13">
        <f t="shared" si="25"/>
        <v>-9.5586850119047657</v>
      </c>
      <c r="AB445" s="13"/>
      <c r="AC445" s="34"/>
      <c r="AD445" s="34"/>
      <c r="AE445" s="34"/>
      <c r="AF445" s="34"/>
      <c r="AG445" s="34"/>
      <c r="AI445" s="35">
        <v>442</v>
      </c>
      <c r="AJ445" s="35">
        <v>84</v>
      </c>
      <c r="AK445" s="17">
        <v>83.282732609999996</v>
      </c>
      <c r="AV445" s="13">
        <f t="shared" si="26"/>
        <v>-0.85388975000000311</v>
      </c>
      <c r="BD445" s="35">
        <v>442</v>
      </c>
      <c r="BE445" s="35">
        <v>84</v>
      </c>
      <c r="BF445" s="17">
        <v>79.792737320000001</v>
      </c>
      <c r="BQ445" s="13">
        <f t="shared" si="27"/>
        <v>-5.0086460476190471</v>
      </c>
    </row>
    <row r="446" spans="1:69">
      <c r="A446" s="13">
        <v>443</v>
      </c>
      <c r="B446" s="13">
        <v>199</v>
      </c>
      <c r="C446" s="17">
        <v>175.3229565</v>
      </c>
      <c r="D446" s="13"/>
      <c r="E446" s="13"/>
      <c r="F446" s="13"/>
      <c r="G446" s="13"/>
      <c r="H446" s="13"/>
      <c r="I446" s="13"/>
      <c r="J446" s="13"/>
      <c r="K446" s="13"/>
      <c r="L446" s="13"/>
      <c r="M446" s="13">
        <f t="shared" si="28"/>
        <v>-11.898011809045228</v>
      </c>
      <c r="N446" s="13"/>
      <c r="O446" s="13">
        <v>443</v>
      </c>
      <c r="P446" s="13">
        <v>199</v>
      </c>
      <c r="Q446" s="17">
        <v>192.90103479999999</v>
      </c>
      <c r="R446" s="13"/>
      <c r="S446" s="13"/>
      <c r="T446" s="13"/>
      <c r="U446" s="13"/>
      <c r="V446" s="13"/>
      <c r="W446" s="13"/>
      <c r="X446" s="13"/>
      <c r="Y446" s="13"/>
      <c r="Z446" s="13"/>
      <c r="AA446" s="13">
        <f t="shared" si="25"/>
        <v>-3.0648066331658286</v>
      </c>
      <c r="AB446" s="13"/>
      <c r="AC446" s="34"/>
      <c r="AD446" s="34"/>
      <c r="AE446" s="34"/>
      <c r="AF446" s="34"/>
      <c r="AG446" s="34"/>
      <c r="AI446" s="35">
        <v>443</v>
      </c>
      <c r="AJ446" s="35">
        <v>199</v>
      </c>
      <c r="AK446" s="17">
        <v>198.90762659999999</v>
      </c>
      <c r="AV446" s="13">
        <f t="shared" si="26"/>
        <v>-4.641879396986015E-2</v>
      </c>
      <c r="BD446" s="35">
        <v>443</v>
      </c>
      <c r="BE446" s="35">
        <v>199</v>
      </c>
      <c r="BF446" s="17">
        <v>196.8330862</v>
      </c>
      <c r="BQ446" s="13">
        <f t="shared" si="27"/>
        <v>-1.088901407035181</v>
      </c>
    </row>
    <row r="447" spans="1:69">
      <c r="A447" s="13">
        <v>444</v>
      </c>
      <c r="B447" s="13">
        <v>190</v>
      </c>
      <c r="C447" s="17">
        <v>154.1586997</v>
      </c>
      <c r="D447" s="13"/>
      <c r="E447" s="13"/>
      <c r="F447" s="13"/>
      <c r="G447" s="13"/>
      <c r="H447" s="13"/>
      <c r="I447" s="13"/>
      <c r="J447" s="13"/>
      <c r="K447" s="13"/>
      <c r="L447" s="13"/>
      <c r="M447" s="13">
        <f t="shared" si="28"/>
        <v>-18.863842263157892</v>
      </c>
      <c r="N447" s="13"/>
      <c r="O447" s="13">
        <v>444</v>
      </c>
      <c r="P447" s="13">
        <v>190</v>
      </c>
      <c r="Q447" s="17">
        <v>169.9301633</v>
      </c>
      <c r="R447" s="13"/>
      <c r="S447" s="13"/>
      <c r="T447" s="13"/>
      <c r="U447" s="13"/>
      <c r="V447" s="13"/>
      <c r="W447" s="13"/>
      <c r="X447" s="13"/>
      <c r="Y447" s="13"/>
      <c r="Z447" s="13"/>
      <c r="AA447" s="13">
        <f t="shared" si="25"/>
        <v>-10.563071947368419</v>
      </c>
      <c r="AB447" s="13"/>
      <c r="AC447" s="34"/>
      <c r="AD447" s="34"/>
      <c r="AE447" s="34"/>
      <c r="AF447" s="34"/>
      <c r="AG447" s="34"/>
      <c r="AI447" s="35">
        <v>444</v>
      </c>
      <c r="AJ447" s="35">
        <v>190</v>
      </c>
      <c r="AK447" s="17">
        <v>186.5425376</v>
      </c>
      <c r="AV447" s="13">
        <f t="shared" si="26"/>
        <v>-1.8197170526315753</v>
      </c>
      <c r="BD447" s="35">
        <v>444</v>
      </c>
      <c r="BE447" s="35">
        <v>190</v>
      </c>
      <c r="BF447" s="17">
        <v>173.0327652</v>
      </c>
      <c r="BQ447" s="13">
        <f t="shared" si="27"/>
        <v>-8.9301235789473683</v>
      </c>
    </row>
    <row r="448" spans="1:69">
      <c r="A448" s="13">
        <v>445</v>
      </c>
      <c r="B448" s="13">
        <v>51</v>
      </c>
      <c r="C448" s="17">
        <v>81.638237770000003</v>
      </c>
      <c r="D448" s="13"/>
      <c r="E448" s="13"/>
      <c r="F448" s="13"/>
      <c r="G448" s="13"/>
      <c r="H448" s="13"/>
      <c r="I448" s="13"/>
      <c r="J448" s="13"/>
      <c r="K448" s="13"/>
      <c r="L448" s="13"/>
      <c r="M448" s="13">
        <f t="shared" si="28"/>
        <v>60.074976019607853</v>
      </c>
      <c r="N448" s="13"/>
      <c r="O448" s="13">
        <v>445</v>
      </c>
      <c r="P448" s="13">
        <v>51</v>
      </c>
      <c r="Q448" s="17">
        <v>67.249170950000007</v>
      </c>
      <c r="R448" s="13"/>
      <c r="S448" s="13"/>
      <c r="T448" s="13"/>
      <c r="U448" s="13"/>
      <c r="V448" s="13"/>
      <c r="W448" s="13"/>
      <c r="X448" s="13"/>
      <c r="Y448" s="13"/>
      <c r="Z448" s="13"/>
      <c r="AA448" s="13">
        <f t="shared" si="25"/>
        <v>31.861119509803927</v>
      </c>
      <c r="AB448" s="13"/>
      <c r="AC448" s="34"/>
      <c r="AD448" s="34"/>
      <c r="AE448" s="34"/>
      <c r="AF448" s="34"/>
      <c r="AG448" s="34"/>
      <c r="AI448" s="35">
        <v>445</v>
      </c>
      <c r="AJ448" s="35">
        <v>51</v>
      </c>
      <c r="AK448" s="17">
        <v>54.431500849999999</v>
      </c>
      <c r="AV448" s="13">
        <f t="shared" si="26"/>
        <v>6.7284330392156866</v>
      </c>
      <c r="BD448" s="35">
        <v>445</v>
      </c>
      <c r="BE448" s="35">
        <v>51</v>
      </c>
      <c r="BF448" s="17">
        <v>62.3510232</v>
      </c>
      <c r="BQ448" s="13">
        <f t="shared" si="27"/>
        <v>22.256908235294116</v>
      </c>
    </row>
    <row r="449" spans="1:69">
      <c r="A449" s="13">
        <v>446</v>
      </c>
      <c r="B449" s="13">
        <v>141</v>
      </c>
      <c r="C449" s="17">
        <v>147.04501300000001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>
        <f t="shared" si="28"/>
        <v>4.2872432624113666</v>
      </c>
      <c r="N449" s="13"/>
      <c r="O449" s="13">
        <v>446</v>
      </c>
      <c r="P449" s="13">
        <v>141</v>
      </c>
      <c r="Q449" s="17">
        <v>147.50221690000001</v>
      </c>
      <c r="R449" s="13"/>
      <c r="S449" s="13"/>
      <c r="T449" s="13"/>
      <c r="U449" s="13"/>
      <c r="V449" s="13"/>
      <c r="W449" s="13"/>
      <c r="X449" s="13"/>
      <c r="Y449" s="13"/>
      <c r="Z449" s="13"/>
      <c r="AA449" s="13">
        <f t="shared" si="25"/>
        <v>4.6115013475177324</v>
      </c>
      <c r="AB449" s="13"/>
      <c r="AC449" s="34"/>
      <c r="AD449" s="34"/>
      <c r="AE449" s="34"/>
      <c r="AF449" s="34"/>
      <c r="AG449" s="34"/>
      <c r="AI449" s="35">
        <v>446</v>
      </c>
      <c r="AJ449" s="35">
        <v>141</v>
      </c>
      <c r="AK449" s="17">
        <v>141.5185516</v>
      </c>
      <c r="AV449" s="13">
        <f t="shared" si="26"/>
        <v>0.36776709219856762</v>
      </c>
      <c r="BD449" s="35">
        <v>446</v>
      </c>
      <c r="BE449" s="35">
        <v>141</v>
      </c>
      <c r="BF449" s="17">
        <v>144.04106100000001</v>
      </c>
      <c r="BQ449" s="13">
        <f t="shared" si="27"/>
        <v>2.1567808510638331</v>
      </c>
    </row>
    <row r="450" spans="1:69">
      <c r="A450" s="13">
        <v>447</v>
      </c>
      <c r="B450" s="13">
        <v>11</v>
      </c>
      <c r="C450" s="17">
        <v>8.9121839214670207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>
        <f t="shared" si="28"/>
        <v>-18.980146168481625</v>
      </c>
      <c r="N450" s="13"/>
      <c r="O450" s="13">
        <v>447</v>
      </c>
      <c r="P450" s="13">
        <v>11</v>
      </c>
      <c r="Q450" s="17">
        <v>6.8607637728821</v>
      </c>
      <c r="R450" s="13"/>
      <c r="S450" s="13"/>
      <c r="T450" s="13"/>
      <c r="U450" s="13"/>
      <c r="V450" s="13"/>
      <c r="W450" s="13"/>
      <c r="X450" s="13"/>
      <c r="Y450" s="13"/>
      <c r="Z450" s="13"/>
      <c r="AA450" s="13">
        <f t="shared" si="25"/>
        <v>-37.629420246526365</v>
      </c>
      <c r="AB450" s="13"/>
      <c r="AC450" s="34"/>
      <c r="AD450" s="34"/>
      <c r="AE450" s="34"/>
      <c r="AF450" s="34"/>
      <c r="AG450" s="34"/>
      <c r="AI450" s="35">
        <v>447</v>
      </c>
      <c r="AJ450" s="35">
        <v>11</v>
      </c>
      <c r="AK450" s="17">
        <v>11.764099999999999</v>
      </c>
      <c r="AV450" s="13">
        <f t="shared" si="26"/>
        <v>6.9463636363636283</v>
      </c>
      <c r="BD450" s="35">
        <v>447</v>
      </c>
      <c r="BE450" s="35">
        <v>11</v>
      </c>
      <c r="BF450" s="17">
        <v>11.817315548439799</v>
      </c>
      <c r="BQ450" s="13">
        <f t="shared" si="27"/>
        <v>7.4301413494527235</v>
      </c>
    </row>
    <row r="451" spans="1:69">
      <c r="A451" s="13">
        <v>448</v>
      </c>
      <c r="B451" s="13">
        <v>38</v>
      </c>
      <c r="C451" s="17">
        <v>42.638968471247601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>
        <f t="shared" si="28"/>
        <v>12.207811766441058</v>
      </c>
      <c r="N451" s="13"/>
      <c r="O451" s="13">
        <v>448</v>
      </c>
      <c r="P451" s="13">
        <v>38</v>
      </c>
      <c r="Q451" s="17">
        <v>58.05886082</v>
      </c>
      <c r="R451" s="13"/>
      <c r="S451" s="13"/>
      <c r="T451" s="13"/>
      <c r="U451" s="13"/>
      <c r="V451" s="13"/>
      <c r="W451" s="13"/>
      <c r="X451" s="13"/>
      <c r="Y451" s="13"/>
      <c r="Z451" s="13"/>
      <c r="AA451" s="13">
        <f t="shared" ref="AA451:AA514" si="29">((Q451/P451)-1)*100</f>
        <v>52.786475842105254</v>
      </c>
      <c r="AB451" s="13"/>
      <c r="AC451" s="34"/>
      <c r="AD451" s="34"/>
      <c r="AE451" s="34"/>
      <c r="AF451" s="34"/>
      <c r="AG451" s="34"/>
      <c r="AI451" s="35">
        <v>448</v>
      </c>
      <c r="AJ451" s="35">
        <v>38</v>
      </c>
      <c r="AK451" s="17">
        <v>40.215917830000002</v>
      </c>
      <c r="AV451" s="13">
        <f t="shared" si="26"/>
        <v>5.8313627105263111</v>
      </c>
      <c r="BD451" s="35">
        <v>448</v>
      </c>
      <c r="BE451" s="35">
        <v>38</v>
      </c>
      <c r="BF451" s="17">
        <v>47.825196640000001</v>
      </c>
      <c r="BQ451" s="13">
        <f t="shared" si="27"/>
        <v>25.855780631578963</v>
      </c>
    </row>
    <row r="452" spans="1:69">
      <c r="A452" s="13">
        <v>449</v>
      </c>
      <c r="B452" s="13">
        <v>181</v>
      </c>
      <c r="C452" s="17">
        <v>144.29653020000001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>
        <f t="shared" si="28"/>
        <v>-20.278160110497232</v>
      </c>
      <c r="N452" s="13"/>
      <c r="O452" s="13">
        <v>449</v>
      </c>
      <c r="P452" s="13">
        <v>181</v>
      </c>
      <c r="Q452" s="17">
        <v>158.29099679999999</v>
      </c>
      <c r="R452" s="13"/>
      <c r="S452" s="13"/>
      <c r="T452" s="13"/>
      <c r="U452" s="13"/>
      <c r="V452" s="13"/>
      <c r="W452" s="13"/>
      <c r="X452" s="13"/>
      <c r="Y452" s="13"/>
      <c r="Z452" s="13"/>
      <c r="AA452" s="13">
        <f t="shared" si="29"/>
        <v>-12.546410607734815</v>
      </c>
      <c r="AB452" s="13"/>
      <c r="AC452" s="34"/>
      <c r="AD452" s="34"/>
      <c r="AE452" s="34"/>
      <c r="AF452" s="34"/>
      <c r="AG452" s="34"/>
      <c r="AI452" s="35">
        <v>449</v>
      </c>
      <c r="AJ452" s="35">
        <v>181</v>
      </c>
      <c r="AK452" s="17">
        <v>179.35645830000001</v>
      </c>
      <c r="AV452" s="13">
        <f t="shared" ref="AV452:AV515" si="30">((AK452/AJ452)-1)*100</f>
        <v>-0.90803408839777999</v>
      </c>
      <c r="BD452" s="35">
        <v>449</v>
      </c>
      <c r="BE452" s="35">
        <v>181</v>
      </c>
      <c r="BF452" s="17">
        <v>171.67411269999999</v>
      </c>
      <c r="BQ452" s="13">
        <f t="shared" ref="BQ452:BQ515" si="31">((BF452/BE452)-1)*100</f>
        <v>-5.1524239226519386</v>
      </c>
    </row>
    <row r="453" spans="1:69">
      <c r="A453" s="13">
        <v>450</v>
      </c>
      <c r="B453" s="13">
        <v>81</v>
      </c>
      <c r="C453" s="17">
        <v>93.7784628</v>
      </c>
      <c r="D453" s="13"/>
      <c r="E453" s="13"/>
      <c r="F453" s="13"/>
      <c r="G453" s="13"/>
      <c r="H453" s="13"/>
      <c r="I453" s="13"/>
      <c r="J453" s="13"/>
      <c r="K453" s="13"/>
      <c r="L453" s="13"/>
      <c r="M453" s="13">
        <f t="shared" si="28"/>
        <v>15.775880000000008</v>
      </c>
      <c r="N453" s="13"/>
      <c r="O453" s="13">
        <v>450</v>
      </c>
      <c r="P453" s="13">
        <v>81</v>
      </c>
      <c r="Q453" s="17">
        <v>89.98147195</v>
      </c>
      <c r="R453" s="13"/>
      <c r="S453" s="13"/>
      <c r="T453" s="13"/>
      <c r="U453" s="13"/>
      <c r="V453" s="13"/>
      <c r="W453" s="13"/>
      <c r="X453" s="13"/>
      <c r="Y453" s="13"/>
      <c r="Z453" s="13"/>
      <c r="AA453" s="13">
        <f t="shared" si="29"/>
        <v>11.088236975308652</v>
      </c>
      <c r="AB453" s="13"/>
      <c r="AC453" s="34"/>
      <c r="AD453" s="34"/>
      <c r="AE453" s="34"/>
      <c r="AF453" s="34"/>
      <c r="AG453" s="34"/>
      <c r="AI453" s="35">
        <v>450</v>
      </c>
      <c r="AJ453" s="35">
        <v>81</v>
      </c>
      <c r="AK453" s="17">
        <v>82.37075668</v>
      </c>
      <c r="AV453" s="13">
        <f t="shared" si="30"/>
        <v>1.6922921975308647</v>
      </c>
      <c r="BD453" s="35">
        <v>450</v>
      </c>
      <c r="BE453" s="35">
        <v>81</v>
      </c>
      <c r="BF453" s="17">
        <v>86.276493130000006</v>
      </c>
      <c r="BQ453" s="13">
        <f t="shared" si="31"/>
        <v>6.5141890493827237</v>
      </c>
    </row>
    <row r="454" spans="1:69">
      <c r="A454" s="13">
        <v>451</v>
      </c>
      <c r="B454" s="13">
        <v>157</v>
      </c>
      <c r="C454" s="17">
        <v>146.19728219999999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>
        <f t="shared" si="28"/>
        <v>-6.8807119745223027</v>
      </c>
      <c r="N454" s="13"/>
      <c r="O454" s="13">
        <v>451</v>
      </c>
      <c r="P454" s="13">
        <v>157</v>
      </c>
      <c r="Q454" s="17">
        <v>155.0560954</v>
      </c>
      <c r="R454" s="13"/>
      <c r="S454" s="13"/>
      <c r="T454" s="13"/>
      <c r="U454" s="13"/>
      <c r="V454" s="13"/>
      <c r="W454" s="13"/>
      <c r="X454" s="13"/>
      <c r="Y454" s="13"/>
      <c r="Z454" s="13"/>
      <c r="AA454" s="13">
        <f t="shared" si="29"/>
        <v>-1.2381557961783418</v>
      </c>
      <c r="AB454" s="13"/>
      <c r="AC454" s="34"/>
      <c r="AD454" s="34"/>
      <c r="AE454" s="34"/>
      <c r="AF454" s="34"/>
      <c r="AG454" s="34"/>
      <c r="AI454" s="35">
        <v>451</v>
      </c>
      <c r="AJ454" s="35">
        <v>157</v>
      </c>
      <c r="AK454" s="17">
        <v>157.10190019999999</v>
      </c>
      <c r="AV454" s="13">
        <f t="shared" si="30"/>
        <v>6.4904585987246577E-2</v>
      </c>
      <c r="BD454" s="35">
        <v>451</v>
      </c>
      <c r="BE454" s="35">
        <v>157</v>
      </c>
      <c r="BF454" s="17">
        <v>156.7532588</v>
      </c>
      <c r="BQ454" s="13">
        <f t="shared" si="31"/>
        <v>-0.15716000000000063</v>
      </c>
    </row>
    <row r="455" spans="1:69">
      <c r="A455" s="13">
        <v>452</v>
      </c>
      <c r="B455" s="13">
        <v>208</v>
      </c>
      <c r="C455" s="17">
        <v>166.4173423</v>
      </c>
      <c r="D455" s="13"/>
      <c r="E455" s="13"/>
      <c r="F455" s="13"/>
      <c r="G455" s="13"/>
      <c r="H455" s="13"/>
      <c r="I455" s="13"/>
      <c r="J455" s="13"/>
      <c r="K455" s="13"/>
      <c r="L455" s="13"/>
      <c r="M455" s="13">
        <f t="shared" si="28"/>
        <v>-19.991662355769236</v>
      </c>
      <c r="N455" s="13"/>
      <c r="O455" s="13">
        <v>452</v>
      </c>
      <c r="P455" s="13">
        <v>208</v>
      </c>
      <c r="Q455" s="17">
        <v>183.96671169999999</v>
      </c>
      <c r="R455" s="13"/>
      <c r="S455" s="13"/>
      <c r="T455" s="13"/>
      <c r="U455" s="13"/>
      <c r="V455" s="13"/>
      <c r="W455" s="13"/>
      <c r="X455" s="13"/>
      <c r="Y455" s="13"/>
      <c r="Z455" s="13"/>
      <c r="AA455" s="13">
        <f t="shared" si="29"/>
        <v>-11.554465528846158</v>
      </c>
      <c r="AB455" s="13"/>
      <c r="AC455" s="34"/>
      <c r="AD455" s="34"/>
      <c r="AE455" s="34"/>
      <c r="AF455" s="34"/>
      <c r="AG455" s="34"/>
      <c r="AI455" s="35">
        <v>452</v>
      </c>
      <c r="AJ455" s="35">
        <v>208</v>
      </c>
      <c r="AK455" s="17">
        <v>204.13305980000001</v>
      </c>
      <c r="AV455" s="13">
        <f t="shared" si="30"/>
        <v>-1.8591058653846138</v>
      </c>
      <c r="BD455" s="35">
        <v>452</v>
      </c>
      <c r="BE455" s="35">
        <v>208</v>
      </c>
      <c r="BF455" s="17">
        <v>191.68846479999999</v>
      </c>
      <c r="BQ455" s="13">
        <f t="shared" si="31"/>
        <v>-7.8420842307692311</v>
      </c>
    </row>
    <row r="456" spans="1:69">
      <c r="A456" s="13">
        <v>453</v>
      </c>
      <c r="B456" s="13">
        <v>91</v>
      </c>
      <c r="C456" s="17">
        <v>103.4587231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>
        <f t="shared" si="28"/>
        <v>13.690904505494505</v>
      </c>
      <c r="N456" s="13"/>
      <c r="O456" s="13">
        <v>453</v>
      </c>
      <c r="P456" s="13">
        <v>91</v>
      </c>
      <c r="Q456" s="17">
        <v>97.223623849999996</v>
      </c>
      <c r="R456" s="13"/>
      <c r="S456" s="13"/>
      <c r="T456" s="13"/>
      <c r="U456" s="13"/>
      <c r="V456" s="13"/>
      <c r="W456" s="13"/>
      <c r="X456" s="13"/>
      <c r="Y456" s="13"/>
      <c r="Z456" s="13"/>
      <c r="AA456" s="13">
        <f t="shared" si="29"/>
        <v>6.8391470879120897</v>
      </c>
      <c r="AB456" s="13"/>
      <c r="AC456" s="34"/>
      <c r="AD456" s="34"/>
      <c r="AE456" s="34"/>
      <c r="AF456" s="34"/>
      <c r="AG456" s="34"/>
      <c r="AI456" s="35">
        <v>453</v>
      </c>
      <c r="AJ456" s="35">
        <v>91</v>
      </c>
      <c r="AK456" s="17">
        <v>91.292962829999993</v>
      </c>
      <c r="AV456" s="13">
        <f t="shared" si="30"/>
        <v>0.3219371758241607</v>
      </c>
      <c r="BD456" s="35">
        <v>453</v>
      </c>
      <c r="BE456" s="35">
        <v>91</v>
      </c>
      <c r="BF456" s="17">
        <v>93.838151600000003</v>
      </c>
      <c r="BQ456" s="13">
        <f t="shared" si="31"/>
        <v>3.1188479120879187</v>
      </c>
    </row>
    <row r="457" spans="1:69">
      <c r="A457" s="13">
        <v>454</v>
      </c>
      <c r="B457" s="13">
        <v>19</v>
      </c>
      <c r="C457" s="17">
        <v>18.274115438142498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>
        <f t="shared" si="28"/>
        <v>-3.8204450624079067</v>
      </c>
      <c r="N457" s="13"/>
      <c r="O457" s="13">
        <v>454</v>
      </c>
      <c r="P457" s="13">
        <v>19</v>
      </c>
      <c r="Q457" s="17">
        <v>27.14162172</v>
      </c>
      <c r="R457" s="13"/>
      <c r="S457" s="13"/>
      <c r="T457" s="13"/>
      <c r="U457" s="13"/>
      <c r="V457" s="13"/>
      <c r="W457" s="13"/>
      <c r="X457" s="13"/>
      <c r="Y457" s="13"/>
      <c r="Z457" s="13"/>
      <c r="AA457" s="13">
        <f t="shared" si="29"/>
        <v>42.850640631578955</v>
      </c>
      <c r="AB457" s="13"/>
      <c r="AC457" s="34"/>
      <c r="AD457" s="34"/>
      <c r="AE457" s="34"/>
      <c r="AF457" s="34"/>
      <c r="AG457" s="34"/>
      <c r="AI457" s="35">
        <v>454</v>
      </c>
      <c r="AJ457" s="35">
        <v>19</v>
      </c>
      <c r="AK457" s="17">
        <v>19.21110672</v>
      </c>
      <c r="AV457" s="13">
        <f t="shared" si="30"/>
        <v>1.1110879999999934</v>
      </c>
      <c r="BD457" s="35">
        <v>454</v>
      </c>
      <c r="BE457" s="35">
        <v>19</v>
      </c>
      <c r="BF457" s="17">
        <v>22.236039779999999</v>
      </c>
      <c r="BQ457" s="13">
        <f t="shared" si="31"/>
        <v>17.031788315789463</v>
      </c>
    </row>
    <row r="458" spans="1:69">
      <c r="A458" s="13">
        <v>455</v>
      </c>
      <c r="B458" s="13">
        <v>159</v>
      </c>
      <c r="C458" s="17">
        <v>126.27619249999999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>
        <f t="shared" si="28"/>
        <v>-20.581011006289309</v>
      </c>
      <c r="N458" s="13"/>
      <c r="O458" s="13">
        <v>455</v>
      </c>
      <c r="P458" s="13">
        <v>159</v>
      </c>
      <c r="Q458" s="17">
        <v>136.91714400000001</v>
      </c>
      <c r="R458" s="13"/>
      <c r="S458" s="13"/>
      <c r="T458" s="13"/>
      <c r="U458" s="13"/>
      <c r="V458" s="13"/>
      <c r="W458" s="13"/>
      <c r="X458" s="13"/>
      <c r="Y458" s="13"/>
      <c r="Z458" s="13"/>
      <c r="AA458" s="13">
        <f t="shared" si="29"/>
        <v>-13.888588679245274</v>
      </c>
      <c r="AB458" s="13"/>
      <c r="AC458" s="34"/>
      <c r="AD458" s="34"/>
      <c r="AE458" s="34"/>
      <c r="AF458" s="34"/>
      <c r="AG458" s="34"/>
      <c r="AI458" s="35">
        <v>455</v>
      </c>
      <c r="AJ458" s="35">
        <v>159</v>
      </c>
      <c r="AK458" s="17">
        <v>156.72887489999999</v>
      </c>
      <c r="AV458" s="13">
        <f t="shared" si="30"/>
        <v>-1.4283805660377347</v>
      </c>
      <c r="BD458" s="35">
        <v>455</v>
      </c>
      <c r="BE458" s="35">
        <v>159</v>
      </c>
      <c r="BF458" s="17">
        <v>148.8838896</v>
      </c>
      <c r="BQ458" s="13">
        <f t="shared" si="31"/>
        <v>-6.362333584905655</v>
      </c>
    </row>
    <row r="459" spans="1:69">
      <c r="A459" s="13">
        <v>456</v>
      </c>
      <c r="B459" s="13">
        <v>155</v>
      </c>
      <c r="C459" s="17">
        <v>143.58237539999999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>
        <f t="shared" si="28"/>
        <v>-7.3662094193548411</v>
      </c>
      <c r="N459" s="13"/>
      <c r="O459" s="13">
        <v>456</v>
      </c>
      <c r="P459" s="13">
        <v>155</v>
      </c>
      <c r="Q459" s="17">
        <v>152.4065329</v>
      </c>
      <c r="R459" s="13"/>
      <c r="S459" s="13"/>
      <c r="T459" s="13"/>
      <c r="U459" s="13"/>
      <c r="V459" s="13"/>
      <c r="W459" s="13"/>
      <c r="X459" s="13"/>
      <c r="Y459" s="13"/>
      <c r="Z459" s="13"/>
      <c r="AA459" s="13">
        <f t="shared" si="29"/>
        <v>-1.6732045806451601</v>
      </c>
      <c r="AB459" s="13"/>
      <c r="AC459" s="34"/>
      <c r="AD459" s="34"/>
      <c r="AE459" s="34"/>
      <c r="AF459" s="34"/>
      <c r="AG459" s="34"/>
      <c r="AI459" s="35">
        <v>456</v>
      </c>
      <c r="AJ459" s="35">
        <v>155</v>
      </c>
      <c r="AK459" s="17">
        <v>154.5695609</v>
      </c>
      <c r="AV459" s="13">
        <f t="shared" si="30"/>
        <v>-0.27770264516129295</v>
      </c>
      <c r="BD459" s="35">
        <v>456</v>
      </c>
      <c r="BE459" s="35">
        <v>155</v>
      </c>
      <c r="BF459" s="17">
        <v>152.77144250000001</v>
      </c>
      <c r="BQ459" s="13">
        <f t="shared" si="31"/>
        <v>-1.4377790322580575</v>
      </c>
    </row>
    <row r="460" spans="1:69">
      <c r="A460" s="13">
        <v>457</v>
      </c>
      <c r="B460" s="13">
        <v>205</v>
      </c>
      <c r="C460" s="17">
        <v>177.27626420000001</v>
      </c>
      <c r="D460" s="13"/>
      <c r="E460" s="13"/>
      <c r="F460" s="13"/>
      <c r="G460" s="13"/>
      <c r="H460" s="13"/>
      <c r="I460" s="13"/>
      <c r="J460" s="13"/>
      <c r="K460" s="13"/>
      <c r="L460" s="13"/>
      <c r="M460" s="13">
        <f t="shared" si="28"/>
        <v>-13.523773560975606</v>
      </c>
      <c r="N460" s="13"/>
      <c r="O460" s="13">
        <v>457</v>
      </c>
      <c r="P460" s="13">
        <v>205</v>
      </c>
      <c r="Q460" s="17">
        <v>195.53573560000001</v>
      </c>
      <c r="R460" s="13"/>
      <c r="S460" s="13"/>
      <c r="T460" s="13"/>
      <c r="U460" s="13"/>
      <c r="V460" s="13"/>
      <c r="W460" s="13"/>
      <c r="X460" s="13"/>
      <c r="Y460" s="13"/>
      <c r="Z460" s="13"/>
      <c r="AA460" s="13">
        <f t="shared" si="29"/>
        <v>-4.6167143414634122</v>
      </c>
      <c r="AB460" s="13"/>
      <c r="AC460" s="34"/>
      <c r="AD460" s="34"/>
      <c r="AE460" s="34"/>
      <c r="AF460" s="34"/>
      <c r="AG460" s="34"/>
      <c r="AI460" s="35">
        <v>457</v>
      </c>
      <c r="AJ460" s="35">
        <v>205</v>
      </c>
      <c r="AK460" s="17">
        <v>204.6873472</v>
      </c>
      <c r="AV460" s="13">
        <f t="shared" si="30"/>
        <v>-0.15251356097560897</v>
      </c>
      <c r="BD460" s="35">
        <v>457</v>
      </c>
      <c r="BE460" s="35">
        <v>205</v>
      </c>
      <c r="BF460" s="17">
        <v>202.65096030000001</v>
      </c>
      <c r="BQ460" s="13">
        <f t="shared" si="31"/>
        <v>-1.1458730243902426</v>
      </c>
    </row>
    <row r="461" spans="1:69">
      <c r="A461" s="13">
        <v>458</v>
      </c>
      <c r="B461" s="13">
        <v>63</v>
      </c>
      <c r="C461" s="17">
        <v>80.338727280000001</v>
      </c>
      <c r="D461" s="13"/>
      <c r="E461" s="13"/>
      <c r="F461" s="13"/>
      <c r="G461" s="13"/>
      <c r="H461" s="13"/>
      <c r="I461" s="13"/>
      <c r="J461" s="13"/>
      <c r="K461" s="13"/>
      <c r="L461" s="13"/>
      <c r="M461" s="13">
        <f t="shared" si="28"/>
        <v>27.521789333333334</v>
      </c>
      <c r="N461" s="13"/>
      <c r="O461" s="13">
        <v>458</v>
      </c>
      <c r="P461" s="13">
        <v>63</v>
      </c>
      <c r="Q461" s="17">
        <v>70.583968949999999</v>
      </c>
      <c r="R461" s="13"/>
      <c r="S461" s="13"/>
      <c r="T461" s="13"/>
      <c r="U461" s="13"/>
      <c r="V461" s="13"/>
      <c r="W461" s="13"/>
      <c r="X461" s="13"/>
      <c r="Y461" s="13"/>
      <c r="Z461" s="13"/>
      <c r="AA461" s="13">
        <f t="shared" si="29"/>
        <v>12.03804595238096</v>
      </c>
      <c r="AB461" s="13"/>
      <c r="AC461" s="34"/>
      <c r="AD461" s="34"/>
      <c r="AE461" s="34"/>
      <c r="AF461" s="34"/>
      <c r="AG461" s="34"/>
      <c r="AI461" s="35">
        <v>458</v>
      </c>
      <c r="AJ461" s="35">
        <v>63</v>
      </c>
      <c r="AK461" s="17">
        <v>65.045493280000002</v>
      </c>
      <c r="AV461" s="13">
        <f t="shared" si="30"/>
        <v>3.2468147301587313</v>
      </c>
      <c r="BD461" s="35">
        <v>458</v>
      </c>
      <c r="BE461" s="35">
        <v>63</v>
      </c>
      <c r="BF461" s="17">
        <v>68.91230865</v>
      </c>
      <c r="BQ461" s="13">
        <f t="shared" si="31"/>
        <v>9.384616904761911</v>
      </c>
    </row>
    <row r="462" spans="1:69">
      <c r="A462" s="13">
        <v>459</v>
      </c>
      <c r="B462" s="13">
        <v>179</v>
      </c>
      <c r="C462" s="17">
        <v>162.66122279999999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>
        <f t="shared" si="28"/>
        <v>-9.1278084916201152</v>
      </c>
      <c r="N462" s="13"/>
      <c r="O462" s="13">
        <v>459</v>
      </c>
      <c r="P462" s="13">
        <v>179</v>
      </c>
      <c r="Q462" s="17">
        <v>174.1406317</v>
      </c>
      <c r="R462" s="13"/>
      <c r="S462" s="13"/>
      <c r="T462" s="13"/>
      <c r="U462" s="13"/>
      <c r="V462" s="13"/>
      <c r="W462" s="13"/>
      <c r="X462" s="13"/>
      <c r="Y462" s="13"/>
      <c r="Z462" s="13"/>
      <c r="AA462" s="13">
        <f t="shared" si="29"/>
        <v>-2.7147308938547443</v>
      </c>
      <c r="AB462" s="13"/>
      <c r="AC462" s="34"/>
      <c r="AD462" s="34"/>
      <c r="AE462" s="34"/>
      <c r="AF462" s="34"/>
      <c r="AG462" s="34"/>
      <c r="AI462" s="35">
        <v>459</v>
      </c>
      <c r="AJ462" s="35">
        <v>179</v>
      </c>
      <c r="AK462" s="17">
        <v>179.0485304</v>
      </c>
      <c r="AV462" s="13">
        <f t="shared" si="30"/>
        <v>2.7111955307268509E-2</v>
      </c>
      <c r="BD462" s="35">
        <v>459</v>
      </c>
      <c r="BE462" s="35">
        <v>179</v>
      </c>
      <c r="BF462" s="17">
        <v>178.20640320000001</v>
      </c>
      <c r="BQ462" s="13">
        <f t="shared" si="31"/>
        <v>-0.44335016759775581</v>
      </c>
    </row>
    <row r="463" spans="1:69">
      <c r="A463" s="13">
        <v>460</v>
      </c>
      <c r="B463" s="13">
        <v>187</v>
      </c>
      <c r="C463" s="17">
        <v>149.0349539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>
        <f t="shared" si="28"/>
        <v>-20.302163689839571</v>
      </c>
      <c r="N463" s="13"/>
      <c r="O463" s="13">
        <v>460</v>
      </c>
      <c r="P463" s="13">
        <v>187</v>
      </c>
      <c r="Q463" s="17">
        <v>164.54056069999999</v>
      </c>
      <c r="R463" s="13"/>
      <c r="S463" s="13"/>
      <c r="T463" s="13"/>
      <c r="U463" s="13"/>
      <c r="V463" s="13"/>
      <c r="W463" s="13"/>
      <c r="X463" s="13"/>
      <c r="Y463" s="13"/>
      <c r="Z463" s="13"/>
      <c r="AA463" s="13">
        <f t="shared" si="29"/>
        <v>-12.010395347593594</v>
      </c>
      <c r="AB463" s="13"/>
      <c r="AC463" s="34"/>
      <c r="AD463" s="34"/>
      <c r="AE463" s="34"/>
      <c r="AF463" s="34"/>
      <c r="AG463" s="34"/>
      <c r="AI463" s="35">
        <v>460</v>
      </c>
      <c r="AJ463" s="35">
        <v>187</v>
      </c>
      <c r="AK463" s="17">
        <v>185.03975700000001</v>
      </c>
      <c r="AV463" s="13">
        <f t="shared" si="30"/>
        <v>-1.0482582887700542</v>
      </c>
      <c r="BD463" s="35">
        <v>460</v>
      </c>
      <c r="BE463" s="35">
        <v>187</v>
      </c>
      <c r="BF463" s="17">
        <v>176.85060229999999</v>
      </c>
      <c r="BQ463" s="13">
        <f t="shared" si="31"/>
        <v>-5.4274854010695206</v>
      </c>
    </row>
    <row r="464" spans="1:69">
      <c r="A464" s="13">
        <v>461</v>
      </c>
      <c r="B464" s="13">
        <v>50</v>
      </c>
      <c r="C464" s="17">
        <v>77.760564529999996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>
        <f t="shared" si="28"/>
        <v>55.521129059999993</v>
      </c>
      <c r="N464" s="13"/>
      <c r="O464" s="13">
        <v>461</v>
      </c>
      <c r="P464" s="13">
        <v>50</v>
      </c>
      <c r="Q464" s="17">
        <v>65.234211509999994</v>
      </c>
      <c r="R464" s="13"/>
      <c r="S464" s="13"/>
      <c r="T464" s="13"/>
      <c r="U464" s="13"/>
      <c r="V464" s="13"/>
      <c r="W464" s="13"/>
      <c r="X464" s="13"/>
      <c r="Y464" s="13"/>
      <c r="Z464" s="13"/>
      <c r="AA464" s="13">
        <f t="shared" si="29"/>
        <v>30.468423019999989</v>
      </c>
      <c r="AB464" s="13"/>
      <c r="AC464" s="34"/>
      <c r="AD464" s="34"/>
      <c r="AE464" s="34"/>
      <c r="AF464" s="34"/>
      <c r="AG464" s="34"/>
      <c r="AI464" s="35">
        <v>461</v>
      </c>
      <c r="AJ464" s="35">
        <v>50</v>
      </c>
      <c r="AK464" s="17">
        <v>51.939765919999999</v>
      </c>
      <c r="AV464" s="13">
        <f t="shared" si="30"/>
        <v>3.8795318400000056</v>
      </c>
      <c r="BD464" s="35">
        <v>461</v>
      </c>
      <c r="BE464" s="35">
        <v>50</v>
      </c>
      <c r="BF464" s="17">
        <v>58.19783082</v>
      </c>
      <c r="BQ464" s="13">
        <f t="shared" si="31"/>
        <v>16.395661639999993</v>
      </c>
    </row>
    <row r="465" spans="1:69">
      <c r="A465" s="13">
        <v>462</v>
      </c>
      <c r="B465" s="13">
        <v>32</v>
      </c>
      <c r="C465" s="17">
        <v>43.433692882554702</v>
      </c>
      <c r="D465" s="13"/>
      <c r="E465" s="13"/>
      <c r="F465" s="13"/>
      <c r="G465" s="13"/>
      <c r="H465" s="13"/>
      <c r="I465" s="13"/>
      <c r="J465" s="13"/>
      <c r="K465" s="13"/>
      <c r="L465" s="13"/>
      <c r="M465" s="13">
        <f t="shared" si="28"/>
        <v>35.730290257983441</v>
      </c>
      <c r="N465" s="13"/>
      <c r="O465" s="13">
        <v>462</v>
      </c>
      <c r="P465" s="13">
        <v>32</v>
      </c>
      <c r="Q465" s="17">
        <v>47.043478929999999</v>
      </c>
      <c r="R465" s="13"/>
      <c r="S465" s="13"/>
      <c r="T465" s="13"/>
      <c r="U465" s="13"/>
      <c r="V465" s="13"/>
      <c r="W465" s="13"/>
      <c r="X465" s="13"/>
      <c r="Y465" s="13"/>
      <c r="Z465" s="13"/>
      <c r="AA465" s="13">
        <f t="shared" si="29"/>
        <v>47.010871656249996</v>
      </c>
      <c r="AB465" s="13"/>
      <c r="AC465" s="34"/>
      <c r="AD465" s="34"/>
      <c r="AE465" s="34"/>
      <c r="AF465" s="34"/>
      <c r="AG465" s="34"/>
      <c r="AI465" s="35">
        <v>462</v>
      </c>
      <c r="AJ465" s="35">
        <v>32</v>
      </c>
      <c r="AK465" s="17">
        <v>33.450431039999998</v>
      </c>
      <c r="AV465" s="13">
        <f t="shared" si="30"/>
        <v>4.5325969999999938</v>
      </c>
      <c r="BD465" s="35">
        <v>462</v>
      </c>
      <c r="BE465" s="35">
        <v>32</v>
      </c>
      <c r="BF465" s="17">
        <v>40.851599270000001</v>
      </c>
      <c r="BQ465" s="13">
        <f t="shared" si="31"/>
        <v>27.661247718750005</v>
      </c>
    </row>
    <row r="466" spans="1:69">
      <c r="A466" s="13">
        <v>463</v>
      </c>
      <c r="B466" s="13">
        <v>3</v>
      </c>
      <c r="C466" s="17">
        <v>3.0143774055913002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>
        <f t="shared" si="28"/>
        <v>0.47924685304334691</v>
      </c>
      <c r="N466" s="13"/>
      <c r="O466" s="13">
        <v>463</v>
      </c>
      <c r="P466" s="13">
        <v>3</v>
      </c>
      <c r="Q466" s="17">
        <v>1.9952447701381799</v>
      </c>
      <c r="R466" s="13"/>
      <c r="S466" s="13"/>
      <c r="T466" s="13"/>
      <c r="U466" s="13"/>
      <c r="V466" s="13"/>
      <c r="W466" s="13"/>
      <c r="X466" s="13"/>
      <c r="Y466" s="13"/>
      <c r="Z466" s="13"/>
      <c r="AA466" s="13">
        <f t="shared" si="29"/>
        <v>-33.491840995394007</v>
      </c>
      <c r="AB466" s="13"/>
      <c r="AC466" s="34"/>
      <c r="AD466" s="34"/>
      <c r="AE466" s="34"/>
      <c r="AF466" s="34"/>
      <c r="AG466" s="34"/>
      <c r="AI466" s="35">
        <v>463</v>
      </c>
      <c r="AJ466" s="35">
        <v>3</v>
      </c>
      <c r="AK466" s="17">
        <v>3.5651333329999999</v>
      </c>
      <c r="AV466" s="13">
        <f t="shared" si="30"/>
        <v>18.837777766666662</v>
      </c>
      <c r="BD466" s="35">
        <v>463</v>
      </c>
      <c r="BE466" s="35">
        <v>3</v>
      </c>
      <c r="BF466" s="17">
        <v>2.5331177970916801</v>
      </c>
      <c r="BQ466" s="13">
        <f t="shared" si="31"/>
        <v>-15.562740096943994</v>
      </c>
    </row>
    <row r="467" spans="1:69">
      <c r="A467" s="13">
        <v>464</v>
      </c>
      <c r="B467" s="13">
        <v>167</v>
      </c>
      <c r="C467" s="17">
        <v>159.67343869999999</v>
      </c>
      <c r="D467" s="13"/>
      <c r="E467" s="13"/>
      <c r="F467" s="13"/>
      <c r="G467" s="13"/>
      <c r="H467" s="13"/>
      <c r="I467" s="13"/>
      <c r="J467" s="13"/>
      <c r="K467" s="13"/>
      <c r="L467" s="13"/>
      <c r="M467" s="13">
        <f t="shared" si="28"/>
        <v>-4.3871624550898218</v>
      </c>
      <c r="N467" s="13"/>
      <c r="O467" s="13">
        <v>464</v>
      </c>
      <c r="P467" s="13">
        <v>167</v>
      </c>
      <c r="Q467" s="17">
        <v>165.8151297</v>
      </c>
      <c r="R467" s="13"/>
      <c r="S467" s="13"/>
      <c r="T467" s="13"/>
      <c r="U467" s="13"/>
      <c r="V467" s="13"/>
      <c r="W467" s="13"/>
      <c r="X467" s="13"/>
      <c r="Y467" s="13"/>
      <c r="Z467" s="13"/>
      <c r="AA467" s="13">
        <f t="shared" si="29"/>
        <v>-0.70950317365269244</v>
      </c>
      <c r="AB467" s="13"/>
      <c r="AC467" s="34"/>
      <c r="AD467" s="34"/>
      <c r="AE467" s="34"/>
      <c r="AF467" s="34"/>
      <c r="AG467" s="34"/>
      <c r="AI467" s="35">
        <v>464</v>
      </c>
      <c r="AJ467" s="35">
        <v>167</v>
      </c>
      <c r="AK467" s="17">
        <v>167.38686039999999</v>
      </c>
      <c r="AV467" s="13">
        <f t="shared" si="30"/>
        <v>0.23165293413172083</v>
      </c>
      <c r="BD467" s="35">
        <v>464</v>
      </c>
      <c r="BE467" s="35">
        <v>167</v>
      </c>
      <c r="BF467" s="17">
        <v>165.81777990000001</v>
      </c>
      <c r="BQ467" s="13">
        <f t="shared" si="31"/>
        <v>-0.70791622754490247</v>
      </c>
    </row>
    <row r="468" spans="1:69">
      <c r="A468" s="13">
        <v>465</v>
      </c>
      <c r="B468" s="13">
        <v>92</v>
      </c>
      <c r="C468" s="17">
        <v>107.55600939999999</v>
      </c>
      <c r="D468" s="13"/>
      <c r="E468" s="13"/>
      <c r="F468" s="13"/>
      <c r="G468" s="13"/>
      <c r="H468" s="13"/>
      <c r="I468" s="13"/>
      <c r="J468" s="13"/>
      <c r="K468" s="13"/>
      <c r="L468" s="13"/>
      <c r="M468" s="13">
        <f t="shared" si="28"/>
        <v>16.90870586956521</v>
      </c>
      <c r="N468" s="13"/>
      <c r="O468" s="13">
        <v>465</v>
      </c>
      <c r="P468" s="13">
        <v>92</v>
      </c>
      <c r="Q468" s="17">
        <v>106.6892393</v>
      </c>
      <c r="R468" s="13"/>
      <c r="S468" s="13"/>
      <c r="T468" s="13"/>
      <c r="U468" s="13"/>
      <c r="V468" s="13"/>
      <c r="W468" s="13"/>
      <c r="X468" s="13"/>
      <c r="Y468" s="13"/>
      <c r="Z468" s="13"/>
      <c r="AA468" s="13">
        <f t="shared" si="29"/>
        <v>15.966564456521738</v>
      </c>
      <c r="AB468" s="13"/>
      <c r="AC468" s="34"/>
      <c r="AD468" s="34"/>
      <c r="AE468" s="34"/>
      <c r="AF468" s="34"/>
      <c r="AG468" s="34"/>
      <c r="AI468" s="35">
        <v>465</v>
      </c>
      <c r="AJ468" s="35">
        <v>92</v>
      </c>
      <c r="AK468" s="17">
        <v>93.982964929999994</v>
      </c>
      <c r="AV468" s="13">
        <f t="shared" si="30"/>
        <v>2.155396663043474</v>
      </c>
      <c r="BD468" s="35">
        <v>465</v>
      </c>
      <c r="BE468" s="35">
        <v>92</v>
      </c>
      <c r="BF468" s="17">
        <v>99.543828869999999</v>
      </c>
      <c r="BQ468" s="13">
        <f t="shared" si="31"/>
        <v>8.1998139891304334</v>
      </c>
    </row>
    <row r="469" spans="1:69">
      <c r="A469" s="13">
        <v>466</v>
      </c>
      <c r="B469" s="13">
        <v>134</v>
      </c>
      <c r="C469" s="17">
        <v>134.6974601</v>
      </c>
      <c r="D469" s="13"/>
      <c r="E469" s="13"/>
      <c r="F469" s="13"/>
      <c r="G469" s="13"/>
      <c r="H469" s="13"/>
      <c r="I469" s="13"/>
      <c r="J469" s="13"/>
      <c r="K469" s="13"/>
      <c r="L469" s="13"/>
      <c r="M469" s="13">
        <f t="shared" si="28"/>
        <v>0.52049261194029306</v>
      </c>
      <c r="N469" s="13"/>
      <c r="O469" s="13">
        <v>466</v>
      </c>
      <c r="P469" s="13">
        <v>134</v>
      </c>
      <c r="Q469" s="17">
        <v>139.6021015</v>
      </c>
      <c r="R469" s="13"/>
      <c r="S469" s="13"/>
      <c r="T469" s="13"/>
      <c r="U469" s="13"/>
      <c r="V469" s="13"/>
      <c r="W469" s="13"/>
      <c r="X469" s="13"/>
      <c r="Y469" s="13"/>
      <c r="Z469" s="13"/>
      <c r="AA469" s="13">
        <f t="shared" si="29"/>
        <v>4.1806727611940264</v>
      </c>
      <c r="AB469" s="13"/>
      <c r="AC469" s="34"/>
      <c r="AD469" s="34"/>
      <c r="AE469" s="34"/>
      <c r="AF469" s="34"/>
      <c r="AG469" s="34"/>
      <c r="AI469" s="35">
        <v>466</v>
      </c>
      <c r="AJ469" s="35">
        <v>134</v>
      </c>
      <c r="AK469" s="17">
        <v>134.14148040000001</v>
      </c>
      <c r="AV469" s="13">
        <f t="shared" si="30"/>
        <v>0.10558238805971065</v>
      </c>
      <c r="BD469" s="35">
        <v>466</v>
      </c>
      <c r="BE469" s="35">
        <v>134</v>
      </c>
      <c r="BF469" s="17">
        <v>136.04192939999999</v>
      </c>
      <c r="BQ469" s="13">
        <f t="shared" si="31"/>
        <v>1.5238279104477614</v>
      </c>
    </row>
    <row r="470" spans="1:69">
      <c r="A470" s="13">
        <v>467</v>
      </c>
      <c r="B470" s="13">
        <v>178</v>
      </c>
      <c r="C470" s="17">
        <v>165.60402869999999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>
        <f t="shared" si="28"/>
        <v>-6.9640288202247209</v>
      </c>
      <c r="N470" s="13"/>
      <c r="O470" s="13">
        <v>467</v>
      </c>
      <c r="P470" s="13">
        <v>178</v>
      </c>
      <c r="Q470" s="17">
        <v>179.09690459999999</v>
      </c>
      <c r="R470" s="13"/>
      <c r="S470" s="13"/>
      <c r="T470" s="13"/>
      <c r="U470" s="13"/>
      <c r="V470" s="13"/>
      <c r="W470" s="13"/>
      <c r="X470" s="13"/>
      <c r="Y470" s="13"/>
      <c r="Z470" s="13"/>
      <c r="AA470" s="13">
        <f t="shared" si="29"/>
        <v>0.61623853932584183</v>
      </c>
      <c r="AB470" s="13"/>
      <c r="AC470" s="34"/>
      <c r="AD470" s="34"/>
      <c r="AE470" s="34"/>
      <c r="AF470" s="34"/>
      <c r="AG470" s="34"/>
      <c r="AI470" s="35">
        <v>467</v>
      </c>
      <c r="AJ470" s="35">
        <v>178</v>
      </c>
      <c r="AK470" s="17">
        <v>178.07352109999999</v>
      </c>
      <c r="AV470" s="13">
        <f t="shared" si="30"/>
        <v>4.1303988764052058E-2</v>
      </c>
      <c r="BD470" s="35">
        <v>467</v>
      </c>
      <c r="BE470" s="35">
        <v>178</v>
      </c>
      <c r="BF470" s="17">
        <v>178.9899236</v>
      </c>
      <c r="BQ470" s="13">
        <f t="shared" si="31"/>
        <v>0.55613685393258727</v>
      </c>
    </row>
    <row r="471" spans="1:69">
      <c r="A471" s="13">
        <v>468</v>
      </c>
      <c r="B471" s="13">
        <v>218</v>
      </c>
      <c r="C471" s="17">
        <v>165.41077899999999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>
        <f t="shared" si="28"/>
        <v>-24.123495871559641</v>
      </c>
      <c r="N471" s="13"/>
      <c r="O471" s="13">
        <v>468</v>
      </c>
      <c r="P471" s="13">
        <v>218</v>
      </c>
      <c r="Q471" s="17">
        <v>189.39562860000001</v>
      </c>
      <c r="R471" s="13"/>
      <c r="S471" s="13"/>
      <c r="T471" s="13"/>
      <c r="U471" s="13"/>
      <c r="V471" s="13"/>
      <c r="W471" s="13"/>
      <c r="X471" s="13"/>
      <c r="Y471" s="13"/>
      <c r="Z471" s="13"/>
      <c r="AA471" s="13">
        <f t="shared" si="29"/>
        <v>-13.121271284403669</v>
      </c>
      <c r="AB471" s="13"/>
      <c r="AC471" s="34"/>
      <c r="AD471" s="34"/>
      <c r="AE471" s="34"/>
      <c r="AF471" s="34"/>
      <c r="AG471" s="34"/>
      <c r="AI471" s="35">
        <v>468</v>
      </c>
      <c r="AJ471" s="35">
        <v>218</v>
      </c>
      <c r="AK471" s="17">
        <v>216.98216489999999</v>
      </c>
      <c r="AV471" s="13">
        <f t="shared" si="30"/>
        <v>-0.46689683486239586</v>
      </c>
      <c r="BD471" s="35">
        <v>468</v>
      </c>
      <c r="BE471" s="35">
        <v>218</v>
      </c>
      <c r="BF471" s="17">
        <v>208.39992760000001</v>
      </c>
      <c r="BQ471" s="13">
        <f t="shared" si="31"/>
        <v>-4.4037029357798074</v>
      </c>
    </row>
    <row r="472" spans="1:69">
      <c r="A472" s="13">
        <v>469</v>
      </c>
      <c r="B472" s="13">
        <v>224</v>
      </c>
      <c r="C472" s="17">
        <v>177.44516999999999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>
        <f t="shared" si="28"/>
        <v>-20.783406250000002</v>
      </c>
      <c r="N472" s="13"/>
      <c r="O472" s="13">
        <v>469</v>
      </c>
      <c r="P472" s="13">
        <v>224</v>
      </c>
      <c r="Q472" s="17">
        <v>197.44821210000001</v>
      </c>
      <c r="R472" s="13"/>
      <c r="S472" s="13"/>
      <c r="T472" s="13"/>
      <c r="U472" s="13"/>
      <c r="V472" s="13"/>
      <c r="W472" s="13"/>
      <c r="X472" s="13"/>
      <c r="Y472" s="13"/>
      <c r="Z472" s="13"/>
      <c r="AA472" s="13">
        <f t="shared" si="29"/>
        <v>-11.853476741071422</v>
      </c>
      <c r="AB472" s="13"/>
      <c r="AC472" s="34"/>
      <c r="AD472" s="34"/>
      <c r="AE472" s="34"/>
      <c r="AF472" s="34"/>
      <c r="AG472" s="34"/>
      <c r="AI472" s="35">
        <v>469</v>
      </c>
      <c r="AJ472" s="35">
        <v>224</v>
      </c>
      <c r="AK472" s="17">
        <v>222.62320059999999</v>
      </c>
      <c r="AV472" s="13">
        <f t="shared" si="30"/>
        <v>-0.6146425892857188</v>
      </c>
      <c r="BD472" s="35">
        <v>469</v>
      </c>
      <c r="BE472" s="35">
        <v>224</v>
      </c>
      <c r="BF472" s="17">
        <v>211.80470690000001</v>
      </c>
      <c r="BQ472" s="13">
        <f t="shared" si="31"/>
        <v>-5.4443272767857103</v>
      </c>
    </row>
    <row r="473" spans="1:69">
      <c r="A473" s="13">
        <v>470</v>
      </c>
      <c r="B473" s="13">
        <v>2</v>
      </c>
      <c r="C473" s="17">
        <v>1.4399309772433799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>
        <f t="shared" si="28"/>
        <v>-28.003451137831004</v>
      </c>
      <c r="N473" s="13"/>
      <c r="O473" s="13">
        <v>470</v>
      </c>
      <c r="P473" s="13">
        <v>2</v>
      </c>
      <c r="Q473" s="17">
        <v>1.59719443961548</v>
      </c>
      <c r="R473" s="13"/>
      <c r="S473" s="13"/>
      <c r="T473" s="13"/>
      <c r="U473" s="13"/>
      <c r="V473" s="13"/>
      <c r="W473" s="13"/>
      <c r="X473" s="13"/>
      <c r="Y473" s="13"/>
      <c r="Z473" s="13"/>
      <c r="AA473" s="13">
        <f t="shared" si="29"/>
        <v>-20.140278019225999</v>
      </c>
      <c r="AB473" s="13"/>
      <c r="AC473" s="34"/>
      <c r="AD473" s="34"/>
      <c r="AE473" s="34"/>
      <c r="AF473" s="34"/>
      <c r="AG473" s="34"/>
      <c r="AI473" s="35">
        <v>470</v>
      </c>
      <c r="AJ473" s="35">
        <v>2</v>
      </c>
      <c r="AK473" s="17">
        <v>2.1360000000000001</v>
      </c>
      <c r="AV473" s="13">
        <f t="shared" si="30"/>
        <v>6.800000000000006</v>
      </c>
      <c r="BD473" s="35">
        <v>470</v>
      </c>
      <c r="BE473" s="35">
        <v>2</v>
      </c>
      <c r="BF473" s="17">
        <v>2.2878534913286499</v>
      </c>
      <c r="BQ473" s="13">
        <f t="shared" si="31"/>
        <v>14.392674566432495</v>
      </c>
    </row>
    <row r="474" spans="1:69">
      <c r="A474" s="13">
        <v>471</v>
      </c>
      <c r="B474" s="13">
        <v>160</v>
      </c>
      <c r="C474" s="17">
        <v>150.56065709999999</v>
      </c>
      <c r="D474" s="13"/>
      <c r="E474" s="13"/>
      <c r="F474" s="13"/>
      <c r="G474" s="13"/>
      <c r="H474" s="13"/>
      <c r="I474" s="13"/>
      <c r="J474" s="13"/>
      <c r="K474" s="13"/>
      <c r="L474" s="13"/>
      <c r="M474" s="13">
        <f t="shared" si="28"/>
        <v>-5.8995893125000087</v>
      </c>
      <c r="N474" s="13"/>
      <c r="O474" s="13">
        <v>471</v>
      </c>
      <c r="P474" s="13">
        <v>160</v>
      </c>
      <c r="Q474" s="17">
        <v>158.05763110000001</v>
      </c>
      <c r="R474" s="13"/>
      <c r="S474" s="13"/>
      <c r="T474" s="13"/>
      <c r="U474" s="13"/>
      <c r="V474" s="13"/>
      <c r="W474" s="13"/>
      <c r="X474" s="13"/>
      <c r="Y474" s="13"/>
      <c r="Z474" s="13"/>
      <c r="AA474" s="13">
        <f t="shared" si="29"/>
        <v>-1.2139805624999944</v>
      </c>
      <c r="AB474" s="13"/>
      <c r="AC474" s="34"/>
      <c r="AD474" s="34"/>
      <c r="AE474" s="34"/>
      <c r="AF474" s="34"/>
      <c r="AG474" s="34"/>
      <c r="AI474" s="35">
        <v>471</v>
      </c>
      <c r="AJ474" s="35">
        <v>160</v>
      </c>
      <c r="AK474" s="17">
        <v>160.15819250000001</v>
      </c>
      <c r="AV474" s="13">
        <f t="shared" si="30"/>
        <v>9.8870312499999002E-2</v>
      </c>
      <c r="BD474" s="35">
        <v>471</v>
      </c>
      <c r="BE474" s="35">
        <v>160</v>
      </c>
      <c r="BF474" s="17">
        <v>159.94648570000001</v>
      </c>
      <c r="BQ474" s="13">
        <f t="shared" si="31"/>
        <v>-3.3446437499995429E-2</v>
      </c>
    </row>
    <row r="475" spans="1:69">
      <c r="A475" s="13">
        <v>472</v>
      </c>
      <c r="B475" s="13">
        <v>18</v>
      </c>
      <c r="C475" s="17">
        <v>22.5603131980284</v>
      </c>
      <c r="D475" s="13"/>
      <c r="E475" s="13"/>
      <c r="F475" s="13"/>
      <c r="G475" s="13"/>
      <c r="H475" s="13"/>
      <c r="I475" s="13"/>
      <c r="J475" s="13"/>
      <c r="K475" s="13"/>
      <c r="L475" s="13"/>
      <c r="M475" s="13">
        <f t="shared" si="28"/>
        <v>25.335073322380008</v>
      </c>
      <c r="N475" s="13"/>
      <c r="O475" s="13">
        <v>472</v>
      </c>
      <c r="P475" s="13">
        <v>18</v>
      </c>
      <c r="Q475" s="17">
        <v>28.779184307498799</v>
      </c>
      <c r="R475" s="13"/>
      <c r="S475" s="13"/>
      <c r="T475" s="13"/>
      <c r="U475" s="13"/>
      <c r="V475" s="13"/>
      <c r="W475" s="13"/>
      <c r="X475" s="13"/>
      <c r="Y475" s="13"/>
      <c r="Z475" s="13"/>
      <c r="AA475" s="13">
        <f t="shared" si="29"/>
        <v>59.884357263882215</v>
      </c>
      <c r="AB475" s="13"/>
      <c r="AC475" s="34"/>
      <c r="AD475" s="34"/>
      <c r="AE475" s="34"/>
      <c r="AF475" s="34"/>
      <c r="AG475" s="34"/>
      <c r="AI475" s="35">
        <v>472</v>
      </c>
      <c r="AJ475" s="35">
        <v>18</v>
      </c>
      <c r="AK475" s="17">
        <v>19.039575419999998</v>
      </c>
      <c r="AV475" s="13">
        <f t="shared" si="30"/>
        <v>5.7754189999999817</v>
      </c>
      <c r="BD475" s="35">
        <v>472</v>
      </c>
      <c r="BE475" s="35">
        <v>18</v>
      </c>
      <c r="BF475" s="17">
        <v>17.1860969986943</v>
      </c>
      <c r="BQ475" s="13">
        <f t="shared" si="31"/>
        <v>-4.5216833405872237</v>
      </c>
    </row>
    <row r="476" spans="1:69">
      <c r="A476" s="13">
        <v>473</v>
      </c>
      <c r="B476" s="13">
        <v>58</v>
      </c>
      <c r="C476" s="17">
        <v>78.783736750000003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>
        <f t="shared" si="28"/>
        <v>35.834028879310353</v>
      </c>
      <c r="N476" s="13"/>
      <c r="O476" s="13">
        <v>473</v>
      </c>
      <c r="P476" s="13">
        <v>58</v>
      </c>
      <c r="Q476" s="17">
        <v>65.735797829999996</v>
      </c>
      <c r="R476" s="13"/>
      <c r="S476" s="13"/>
      <c r="T476" s="13"/>
      <c r="U476" s="13"/>
      <c r="V476" s="13"/>
      <c r="W476" s="13"/>
      <c r="X476" s="13"/>
      <c r="Y476" s="13"/>
      <c r="Z476" s="13"/>
      <c r="AA476" s="13">
        <f t="shared" si="29"/>
        <v>13.33758246551724</v>
      </c>
      <c r="AB476" s="13"/>
      <c r="AC476" s="34"/>
      <c r="AD476" s="34"/>
      <c r="AE476" s="34"/>
      <c r="AF476" s="34"/>
      <c r="AG476" s="34"/>
      <c r="AI476" s="35">
        <v>473</v>
      </c>
      <c r="AJ476" s="35">
        <v>58</v>
      </c>
      <c r="AK476" s="17">
        <v>59.143950169999997</v>
      </c>
      <c r="AV476" s="13">
        <f t="shared" si="30"/>
        <v>1.9723278793103427</v>
      </c>
      <c r="BD476" s="35">
        <v>473</v>
      </c>
      <c r="BE476" s="35">
        <v>58</v>
      </c>
      <c r="BF476" s="17">
        <v>62.799555499999997</v>
      </c>
      <c r="BQ476" s="13">
        <f t="shared" si="31"/>
        <v>8.2750956896551653</v>
      </c>
    </row>
    <row r="477" spans="1:69">
      <c r="A477" s="13">
        <v>474</v>
      </c>
      <c r="B477" s="13">
        <v>124</v>
      </c>
      <c r="C477" s="17">
        <v>104.0549225</v>
      </c>
      <c r="D477" s="13"/>
      <c r="E477" s="13"/>
      <c r="F477" s="13"/>
      <c r="G477" s="13"/>
      <c r="H477" s="13"/>
      <c r="I477" s="13"/>
      <c r="J477" s="13"/>
      <c r="K477" s="13"/>
      <c r="L477" s="13"/>
      <c r="M477" s="13">
        <f t="shared" si="28"/>
        <v>-16.084739919354838</v>
      </c>
      <c r="N477" s="13"/>
      <c r="O477" s="13">
        <v>474</v>
      </c>
      <c r="P477" s="13">
        <v>124</v>
      </c>
      <c r="Q477" s="17">
        <v>105.59498069999999</v>
      </c>
      <c r="R477" s="13"/>
      <c r="S477" s="13"/>
      <c r="T477" s="13"/>
      <c r="U477" s="13"/>
      <c r="V477" s="13"/>
      <c r="W477" s="13"/>
      <c r="X477" s="13"/>
      <c r="Y477" s="13"/>
      <c r="Z477" s="13"/>
      <c r="AA477" s="13">
        <f t="shared" si="29"/>
        <v>-14.842757500000003</v>
      </c>
      <c r="AB477" s="13"/>
      <c r="AC477" s="34"/>
      <c r="AD477" s="34"/>
      <c r="AE477" s="34"/>
      <c r="AF477" s="34"/>
      <c r="AG477" s="34"/>
      <c r="AI477" s="35">
        <v>474</v>
      </c>
      <c r="AJ477" s="35">
        <v>124</v>
      </c>
      <c r="AK477" s="17">
        <v>122.08385680000001</v>
      </c>
      <c r="AV477" s="13">
        <f t="shared" si="30"/>
        <v>-1.545276774193538</v>
      </c>
      <c r="BD477" s="35">
        <v>474</v>
      </c>
      <c r="BE477" s="35">
        <v>124</v>
      </c>
      <c r="BF477" s="17">
        <v>115.4728073</v>
      </c>
      <c r="BQ477" s="13">
        <f t="shared" si="31"/>
        <v>-6.8767683064516083</v>
      </c>
    </row>
    <row r="478" spans="1:69">
      <c r="A478" s="13">
        <v>475</v>
      </c>
      <c r="B478" s="13">
        <v>28</v>
      </c>
      <c r="C478" s="17">
        <v>21.0846833796063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>
        <f t="shared" si="28"/>
        <v>-24.697559358548926</v>
      </c>
      <c r="N478" s="13"/>
      <c r="O478" s="13">
        <v>475</v>
      </c>
      <c r="P478" s="13">
        <v>28</v>
      </c>
      <c r="Q478" s="17">
        <v>24.3566913122154</v>
      </c>
      <c r="R478" s="13"/>
      <c r="S478" s="13"/>
      <c r="T478" s="13"/>
      <c r="U478" s="13"/>
      <c r="V478" s="13"/>
      <c r="W478" s="13"/>
      <c r="X478" s="13"/>
      <c r="Y478" s="13"/>
      <c r="Z478" s="13"/>
      <c r="AA478" s="13">
        <f t="shared" si="29"/>
        <v>-13.011816742087856</v>
      </c>
      <c r="AB478" s="13"/>
      <c r="AC478" s="34"/>
      <c r="AD478" s="34"/>
      <c r="AE478" s="34"/>
      <c r="AF478" s="34"/>
      <c r="AG478" s="34"/>
      <c r="AI478" s="35">
        <v>475</v>
      </c>
      <c r="AJ478" s="35">
        <v>28</v>
      </c>
      <c r="AK478" s="17">
        <v>31.073085500000001</v>
      </c>
      <c r="AV478" s="13">
        <f t="shared" si="30"/>
        <v>10.975305357142862</v>
      </c>
      <c r="BD478" s="35">
        <v>475</v>
      </c>
      <c r="BE478" s="35">
        <v>28</v>
      </c>
      <c r="BF478" s="17">
        <v>21.113581792757099</v>
      </c>
      <c r="BQ478" s="13">
        <f t="shared" si="31"/>
        <v>-24.594350740153214</v>
      </c>
    </row>
    <row r="479" spans="1:69">
      <c r="A479" s="13">
        <v>476</v>
      </c>
      <c r="B479" s="13">
        <v>203</v>
      </c>
      <c r="C479" s="17">
        <v>158.76022990000001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>
        <f t="shared" si="28"/>
        <v>-21.792990197044325</v>
      </c>
      <c r="N479" s="13"/>
      <c r="O479" s="13">
        <v>476</v>
      </c>
      <c r="P479" s="13">
        <v>203</v>
      </c>
      <c r="Q479" s="17">
        <v>177.1390135</v>
      </c>
      <c r="R479" s="13"/>
      <c r="S479" s="13"/>
      <c r="T479" s="13"/>
      <c r="U479" s="13"/>
      <c r="V479" s="13"/>
      <c r="W479" s="13"/>
      <c r="X479" s="13"/>
      <c r="Y479" s="13"/>
      <c r="Z479" s="13"/>
      <c r="AA479" s="13">
        <f t="shared" si="29"/>
        <v>-12.739402216748763</v>
      </c>
      <c r="AB479" s="13"/>
      <c r="AC479" s="34"/>
      <c r="AD479" s="34"/>
      <c r="AE479" s="34"/>
      <c r="AF479" s="34"/>
      <c r="AG479" s="34"/>
      <c r="AI479" s="35">
        <v>476</v>
      </c>
      <c r="AJ479" s="35">
        <v>203</v>
      </c>
      <c r="AK479" s="17">
        <v>202.16738230000001</v>
      </c>
      <c r="AV479" s="13">
        <f t="shared" si="30"/>
        <v>-0.4101565024630438</v>
      </c>
      <c r="BD479" s="35">
        <v>476</v>
      </c>
      <c r="BE479" s="35">
        <v>203</v>
      </c>
      <c r="BF479" s="17">
        <v>195.54856050000001</v>
      </c>
      <c r="BQ479" s="13">
        <f t="shared" si="31"/>
        <v>-3.67065985221674</v>
      </c>
    </row>
    <row r="480" spans="1:69">
      <c r="A480" s="13">
        <v>477</v>
      </c>
      <c r="B480" s="13">
        <v>114</v>
      </c>
      <c r="C480" s="17">
        <v>118.1564817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>
        <f t="shared" si="28"/>
        <v>3.6460365789473759</v>
      </c>
      <c r="N480" s="13"/>
      <c r="O480" s="13">
        <v>477</v>
      </c>
      <c r="P480" s="13">
        <v>114</v>
      </c>
      <c r="Q480" s="17">
        <v>117.23218199999999</v>
      </c>
      <c r="R480" s="13"/>
      <c r="S480" s="13"/>
      <c r="T480" s="13"/>
      <c r="U480" s="13"/>
      <c r="V480" s="13"/>
      <c r="W480" s="13"/>
      <c r="X480" s="13"/>
      <c r="Y480" s="13"/>
      <c r="Z480" s="13"/>
      <c r="AA480" s="13">
        <f t="shared" si="29"/>
        <v>2.8352473684210455</v>
      </c>
      <c r="AB480" s="13"/>
      <c r="AC480" s="34"/>
      <c r="AD480" s="34"/>
      <c r="AE480" s="34"/>
      <c r="AF480" s="34"/>
      <c r="AG480" s="34"/>
      <c r="AI480" s="35">
        <v>477</v>
      </c>
      <c r="AJ480" s="35">
        <v>114</v>
      </c>
      <c r="AK480" s="17">
        <v>114.3592479</v>
      </c>
      <c r="AV480" s="13">
        <f t="shared" si="30"/>
        <v>0.31512973684211243</v>
      </c>
      <c r="BD480" s="35">
        <v>477</v>
      </c>
      <c r="BE480" s="35">
        <v>114</v>
      </c>
      <c r="BF480" s="17">
        <v>116.5542097</v>
      </c>
      <c r="BQ480" s="13">
        <f t="shared" si="31"/>
        <v>2.2405348245614132</v>
      </c>
    </row>
    <row r="481" spans="1:69">
      <c r="A481" s="13">
        <v>478</v>
      </c>
      <c r="B481" s="13">
        <v>114</v>
      </c>
      <c r="C481" s="17">
        <v>97.707327300000003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>
        <f t="shared" si="28"/>
        <v>-14.291818157894731</v>
      </c>
      <c r="N481" s="13"/>
      <c r="O481" s="13">
        <v>478</v>
      </c>
      <c r="P481" s="13">
        <v>114</v>
      </c>
      <c r="Q481" s="17">
        <v>99.576204720000007</v>
      </c>
      <c r="R481" s="13"/>
      <c r="S481" s="13"/>
      <c r="T481" s="13"/>
      <c r="U481" s="13"/>
      <c r="V481" s="13"/>
      <c r="W481" s="13"/>
      <c r="X481" s="13"/>
      <c r="Y481" s="13"/>
      <c r="Z481" s="13"/>
      <c r="AA481" s="13">
        <f t="shared" si="29"/>
        <v>-12.652451999999991</v>
      </c>
      <c r="AB481" s="13"/>
      <c r="AC481" s="34"/>
      <c r="AD481" s="34"/>
      <c r="AE481" s="34"/>
      <c r="AF481" s="34"/>
      <c r="AG481" s="34"/>
      <c r="AI481" s="35">
        <v>478</v>
      </c>
      <c r="AJ481" s="35">
        <v>114</v>
      </c>
      <c r="AK481" s="17">
        <v>112.44852469999999</v>
      </c>
      <c r="AV481" s="13">
        <f t="shared" si="30"/>
        <v>-1.3609432456140436</v>
      </c>
      <c r="BD481" s="35">
        <v>478</v>
      </c>
      <c r="BE481" s="35">
        <v>114</v>
      </c>
      <c r="BF481" s="17">
        <v>106.7069015</v>
      </c>
      <c r="BQ481" s="13">
        <f t="shared" si="31"/>
        <v>-6.3974548245613994</v>
      </c>
    </row>
    <row r="482" spans="1:69">
      <c r="A482" s="13">
        <v>479</v>
      </c>
      <c r="B482" s="13">
        <v>40</v>
      </c>
      <c r="C482" s="17">
        <v>31.7893313315715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>
        <f t="shared" si="28"/>
        <v>-20.526671671071249</v>
      </c>
      <c r="N482" s="13"/>
      <c r="O482" s="13">
        <v>479</v>
      </c>
      <c r="P482" s="13">
        <v>40</v>
      </c>
      <c r="Q482" s="17">
        <v>57.517944249999999</v>
      </c>
      <c r="R482" s="13"/>
      <c r="S482" s="13"/>
      <c r="T482" s="13"/>
      <c r="U482" s="13"/>
      <c r="V482" s="13"/>
      <c r="W482" s="13"/>
      <c r="X482" s="13"/>
      <c r="Y482" s="13"/>
      <c r="Z482" s="13"/>
      <c r="AA482" s="13">
        <f t="shared" si="29"/>
        <v>43.794860624999998</v>
      </c>
      <c r="AB482" s="13"/>
      <c r="AC482" s="34"/>
      <c r="AD482" s="34"/>
      <c r="AE482" s="34"/>
      <c r="AF482" s="34"/>
      <c r="AG482" s="34"/>
      <c r="AI482" s="35">
        <v>479</v>
      </c>
      <c r="AJ482" s="35">
        <v>40</v>
      </c>
      <c r="AK482" s="17">
        <v>43.225698420000001</v>
      </c>
      <c r="AV482" s="13">
        <f t="shared" si="30"/>
        <v>8.0642460500000013</v>
      </c>
      <c r="BD482" s="35">
        <v>479</v>
      </c>
      <c r="BE482" s="35">
        <v>40</v>
      </c>
      <c r="BF482" s="17">
        <v>50.010889830000004</v>
      </c>
      <c r="BQ482" s="13">
        <f t="shared" si="31"/>
        <v>25.02722457500002</v>
      </c>
    </row>
    <row r="483" spans="1:69">
      <c r="A483" s="13">
        <v>480</v>
      </c>
      <c r="B483" s="13">
        <v>218</v>
      </c>
      <c r="C483" s="17">
        <v>179.4179335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>
        <f t="shared" si="28"/>
        <v>-17.698195642201831</v>
      </c>
      <c r="N483" s="13"/>
      <c r="O483" s="13">
        <v>480</v>
      </c>
      <c r="P483" s="13">
        <v>218</v>
      </c>
      <c r="Q483" s="17">
        <v>202.5054844</v>
      </c>
      <c r="R483" s="13"/>
      <c r="S483" s="13"/>
      <c r="T483" s="13"/>
      <c r="U483" s="13"/>
      <c r="V483" s="13"/>
      <c r="W483" s="13"/>
      <c r="X483" s="13"/>
      <c r="Y483" s="13"/>
      <c r="Z483" s="13"/>
      <c r="AA483" s="13">
        <f t="shared" si="29"/>
        <v>-7.1075759633027484</v>
      </c>
      <c r="AB483" s="13"/>
      <c r="AC483" s="34"/>
      <c r="AD483" s="34"/>
      <c r="AE483" s="34"/>
      <c r="AF483" s="34"/>
      <c r="AG483" s="34"/>
      <c r="AI483" s="35">
        <v>480</v>
      </c>
      <c r="AJ483" s="35">
        <v>218</v>
      </c>
      <c r="AK483" s="17">
        <v>217.94800000000001</v>
      </c>
      <c r="AV483" s="13">
        <f t="shared" si="30"/>
        <v>-2.3853211009172703E-2</v>
      </c>
      <c r="BD483" s="35">
        <v>480</v>
      </c>
      <c r="BE483" s="35">
        <v>218</v>
      </c>
      <c r="BF483" s="17">
        <v>217.0183792</v>
      </c>
      <c r="BQ483" s="13">
        <f t="shared" si="31"/>
        <v>-0.4502847706422064</v>
      </c>
    </row>
    <row r="484" spans="1:69">
      <c r="A484" s="13">
        <v>481</v>
      </c>
      <c r="B484" s="13">
        <v>45</v>
      </c>
      <c r="C484" s="17">
        <v>63.859851259999999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>
        <f t="shared" si="28"/>
        <v>41.910780577777771</v>
      </c>
      <c r="N484" s="13"/>
      <c r="O484" s="13">
        <v>481</v>
      </c>
      <c r="P484" s="13">
        <v>45</v>
      </c>
      <c r="Q484" s="17">
        <v>44.874708380000001</v>
      </c>
      <c r="R484" s="13"/>
      <c r="S484" s="13"/>
      <c r="T484" s="13"/>
      <c r="U484" s="13"/>
      <c r="V484" s="13"/>
      <c r="W484" s="13"/>
      <c r="X484" s="13"/>
      <c r="Y484" s="13"/>
      <c r="Z484" s="13"/>
      <c r="AA484" s="13">
        <f t="shared" si="29"/>
        <v>-0.2784258222222169</v>
      </c>
      <c r="AB484" s="13"/>
      <c r="AC484" s="34"/>
      <c r="AD484" s="34"/>
      <c r="AE484" s="34"/>
      <c r="AF484" s="34"/>
      <c r="AG484" s="34"/>
      <c r="AI484" s="35">
        <v>481</v>
      </c>
      <c r="AJ484" s="35">
        <v>45</v>
      </c>
      <c r="AK484" s="17">
        <v>44.949273810000001</v>
      </c>
      <c r="AV484" s="13">
        <f t="shared" si="30"/>
        <v>-0.11272486666666914</v>
      </c>
      <c r="BD484" s="35">
        <v>481</v>
      </c>
      <c r="BE484" s="35">
        <v>45</v>
      </c>
      <c r="BF484" s="17">
        <v>44.63826409</v>
      </c>
      <c r="BQ484" s="13">
        <f t="shared" si="31"/>
        <v>-0.80385757777777789</v>
      </c>
    </row>
    <row r="485" spans="1:69">
      <c r="A485" s="13">
        <v>482</v>
      </c>
      <c r="B485" s="13">
        <v>118</v>
      </c>
      <c r="C485" s="17">
        <v>101.9884284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>
        <f t="shared" si="28"/>
        <v>-13.569128474576264</v>
      </c>
      <c r="N485" s="13"/>
      <c r="O485" s="13">
        <v>482</v>
      </c>
      <c r="P485" s="13">
        <v>118</v>
      </c>
      <c r="Q485" s="17">
        <v>102.1983135</v>
      </c>
      <c r="R485" s="13"/>
      <c r="S485" s="13"/>
      <c r="T485" s="13"/>
      <c r="U485" s="13"/>
      <c r="V485" s="13"/>
      <c r="W485" s="13"/>
      <c r="X485" s="13"/>
      <c r="Y485" s="13"/>
      <c r="Z485" s="13"/>
      <c r="AA485" s="13">
        <f t="shared" si="29"/>
        <v>-13.391259745762717</v>
      </c>
      <c r="AB485" s="13"/>
      <c r="AC485" s="34"/>
      <c r="AD485" s="34"/>
      <c r="AE485" s="34"/>
      <c r="AF485" s="34"/>
      <c r="AG485" s="34"/>
      <c r="AI485" s="35">
        <v>482</v>
      </c>
      <c r="AJ485" s="35">
        <v>118</v>
      </c>
      <c r="AK485" s="17">
        <v>113.8332497</v>
      </c>
      <c r="AV485" s="13">
        <f t="shared" si="30"/>
        <v>-3.5311443220338967</v>
      </c>
      <c r="BD485" s="35">
        <v>482</v>
      </c>
      <c r="BE485" s="35">
        <v>118</v>
      </c>
      <c r="BF485" s="17">
        <v>107.3110076</v>
      </c>
      <c r="BQ485" s="13">
        <f t="shared" si="31"/>
        <v>-9.0584681355932233</v>
      </c>
    </row>
    <row r="486" spans="1:69">
      <c r="A486" s="13">
        <v>483</v>
      </c>
      <c r="B486" s="13">
        <v>139</v>
      </c>
      <c r="C486" s="17">
        <v>138.9892146</v>
      </c>
      <c r="D486" s="13"/>
      <c r="E486" s="13"/>
      <c r="F486" s="13"/>
      <c r="G486" s="13"/>
      <c r="H486" s="13"/>
      <c r="I486" s="13"/>
      <c r="J486" s="13"/>
      <c r="K486" s="13"/>
      <c r="L486" s="13"/>
      <c r="M486" s="13">
        <f t="shared" ref="M486:M549" si="32">((C486/B486)-1)*100</f>
        <v>-7.7592805755366534E-3</v>
      </c>
      <c r="N486" s="13"/>
      <c r="O486" s="13">
        <v>483</v>
      </c>
      <c r="P486" s="13">
        <v>139</v>
      </c>
      <c r="Q486" s="17">
        <v>140.57371470000001</v>
      </c>
      <c r="R486" s="13"/>
      <c r="S486" s="13"/>
      <c r="T486" s="13"/>
      <c r="U486" s="13"/>
      <c r="V486" s="13"/>
      <c r="W486" s="13"/>
      <c r="X486" s="13"/>
      <c r="Y486" s="13"/>
      <c r="Z486" s="13"/>
      <c r="AA486" s="13">
        <f t="shared" si="29"/>
        <v>1.132168848920867</v>
      </c>
      <c r="AB486" s="13"/>
      <c r="AC486" s="34"/>
      <c r="AD486" s="34"/>
      <c r="AE486" s="34"/>
      <c r="AF486" s="34"/>
      <c r="AG486" s="34"/>
      <c r="AI486" s="35">
        <v>483</v>
      </c>
      <c r="AJ486" s="35">
        <v>139</v>
      </c>
      <c r="AK486" s="17">
        <v>139.3385634</v>
      </c>
      <c r="AV486" s="13">
        <f t="shared" si="30"/>
        <v>0.2435707913668983</v>
      </c>
      <c r="BD486" s="35">
        <v>483</v>
      </c>
      <c r="BE486" s="35">
        <v>139</v>
      </c>
      <c r="BF486" s="17">
        <v>139.24232559999999</v>
      </c>
      <c r="BQ486" s="13">
        <f t="shared" si="31"/>
        <v>0.17433496402876614</v>
      </c>
    </row>
    <row r="487" spans="1:69">
      <c r="A487" s="13">
        <v>484</v>
      </c>
      <c r="B487" s="13">
        <v>14</v>
      </c>
      <c r="C487" s="17">
        <v>19.3534709979693</v>
      </c>
      <c r="D487" s="13"/>
      <c r="E487" s="13"/>
      <c r="F487" s="13"/>
      <c r="G487" s="13"/>
      <c r="H487" s="13"/>
      <c r="I487" s="13"/>
      <c r="J487" s="13"/>
      <c r="K487" s="13"/>
      <c r="L487" s="13"/>
      <c r="M487" s="13">
        <f t="shared" si="32"/>
        <v>38.239078556923566</v>
      </c>
      <c r="N487" s="13"/>
      <c r="O487" s="13">
        <v>484</v>
      </c>
      <c r="P487" s="13">
        <v>14</v>
      </c>
      <c r="Q487" s="17">
        <v>9.3775896731386492</v>
      </c>
      <c r="R487" s="13"/>
      <c r="S487" s="13"/>
      <c r="T487" s="13"/>
      <c r="U487" s="13"/>
      <c r="V487" s="13"/>
      <c r="W487" s="13"/>
      <c r="X487" s="13"/>
      <c r="Y487" s="13"/>
      <c r="Z487" s="13"/>
      <c r="AA487" s="13">
        <f t="shared" si="29"/>
        <v>-33.017216620438219</v>
      </c>
      <c r="AB487" s="13"/>
      <c r="AC487" s="34"/>
      <c r="AD487" s="34"/>
      <c r="AE487" s="34"/>
      <c r="AF487" s="34"/>
      <c r="AG487" s="34"/>
      <c r="AI487" s="35">
        <v>484</v>
      </c>
      <c r="AJ487" s="35">
        <v>14</v>
      </c>
      <c r="AK487" s="17">
        <v>14.28091352</v>
      </c>
      <c r="AV487" s="13">
        <f t="shared" si="30"/>
        <v>2.0065251428571518</v>
      </c>
      <c r="BD487" s="35">
        <v>484</v>
      </c>
      <c r="BE487" s="35">
        <v>14</v>
      </c>
      <c r="BF487" s="17">
        <v>17.359638830000002</v>
      </c>
      <c r="BQ487" s="13">
        <f t="shared" si="31"/>
        <v>23.997420214285725</v>
      </c>
    </row>
    <row r="488" spans="1:69">
      <c r="A488" s="13">
        <v>485</v>
      </c>
      <c r="B488" s="13">
        <v>185</v>
      </c>
      <c r="C488" s="17">
        <v>161.53723049999999</v>
      </c>
      <c r="D488" s="13"/>
      <c r="E488" s="13"/>
      <c r="F488" s="13"/>
      <c r="G488" s="13"/>
      <c r="H488" s="13"/>
      <c r="I488" s="13"/>
      <c r="J488" s="13"/>
      <c r="K488" s="13"/>
      <c r="L488" s="13"/>
      <c r="M488" s="13">
        <f t="shared" si="32"/>
        <v>-12.68257810810811</v>
      </c>
      <c r="N488" s="13"/>
      <c r="O488" s="13">
        <v>485</v>
      </c>
      <c r="P488" s="13">
        <v>185</v>
      </c>
      <c r="Q488" s="17">
        <v>176.2682744</v>
      </c>
      <c r="R488" s="13"/>
      <c r="S488" s="13"/>
      <c r="T488" s="13"/>
      <c r="U488" s="13"/>
      <c r="V488" s="13"/>
      <c r="W488" s="13"/>
      <c r="X488" s="13"/>
      <c r="Y488" s="13"/>
      <c r="Z488" s="13"/>
      <c r="AA488" s="13">
        <f t="shared" si="29"/>
        <v>-4.7198516756756792</v>
      </c>
      <c r="AB488" s="13"/>
      <c r="AC488" s="34"/>
      <c r="AD488" s="34"/>
      <c r="AE488" s="34"/>
      <c r="AF488" s="34"/>
      <c r="AG488" s="34"/>
      <c r="AI488" s="35">
        <v>485</v>
      </c>
      <c r="AJ488" s="35">
        <v>185</v>
      </c>
      <c r="AK488" s="17">
        <v>184.81464130000001</v>
      </c>
      <c r="AV488" s="13">
        <f t="shared" si="30"/>
        <v>-0.10019389189188654</v>
      </c>
      <c r="BD488" s="35">
        <v>485</v>
      </c>
      <c r="BE488" s="35">
        <v>185</v>
      </c>
      <c r="BF488" s="17">
        <v>183.27405340000001</v>
      </c>
      <c r="BQ488" s="13">
        <f t="shared" si="31"/>
        <v>-0.93294410810810247</v>
      </c>
    </row>
    <row r="489" spans="1:69">
      <c r="A489" s="13">
        <v>486</v>
      </c>
      <c r="B489" s="13">
        <v>171</v>
      </c>
      <c r="C489" s="17">
        <v>136.52221059999999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>
        <f t="shared" si="32"/>
        <v>-20.162449941520467</v>
      </c>
      <c r="N489" s="13"/>
      <c r="O489" s="13">
        <v>486</v>
      </c>
      <c r="P489" s="13">
        <v>171</v>
      </c>
      <c r="Q489" s="17">
        <v>147.27708530000001</v>
      </c>
      <c r="R489" s="13"/>
      <c r="S489" s="13"/>
      <c r="T489" s="13"/>
      <c r="U489" s="13"/>
      <c r="V489" s="13"/>
      <c r="W489" s="13"/>
      <c r="X489" s="13"/>
      <c r="Y489" s="13"/>
      <c r="Z489" s="13"/>
      <c r="AA489" s="13">
        <f t="shared" si="29"/>
        <v>-13.873049532163739</v>
      </c>
      <c r="AB489" s="13"/>
      <c r="AC489" s="34"/>
      <c r="AD489" s="34"/>
      <c r="AE489" s="34"/>
      <c r="AF489" s="34"/>
      <c r="AG489" s="34"/>
      <c r="AI489" s="35">
        <v>486</v>
      </c>
      <c r="AJ489" s="35">
        <v>171</v>
      </c>
      <c r="AK489" s="17">
        <v>168.99106810000001</v>
      </c>
      <c r="AV489" s="13">
        <f t="shared" si="30"/>
        <v>-1.17481397660818</v>
      </c>
      <c r="BD489" s="35">
        <v>486</v>
      </c>
      <c r="BE489" s="35">
        <v>171</v>
      </c>
      <c r="BF489" s="17">
        <v>159.9633685</v>
      </c>
      <c r="BQ489" s="13">
        <f t="shared" si="31"/>
        <v>-6.454170467836251</v>
      </c>
    </row>
    <row r="490" spans="1:69">
      <c r="A490" s="13">
        <v>487</v>
      </c>
      <c r="B490" s="13">
        <v>2</v>
      </c>
      <c r="C490" s="17">
        <v>1.8984780315884899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>
        <f t="shared" si="32"/>
        <v>-5.0760984205755033</v>
      </c>
      <c r="N490" s="13"/>
      <c r="O490" s="13">
        <v>487</v>
      </c>
      <c r="P490" s="13">
        <v>2</v>
      </c>
      <c r="Q490" s="17">
        <v>1.2293850951960701</v>
      </c>
      <c r="R490" s="13"/>
      <c r="S490" s="13"/>
      <c r="T490" s="13"/>
      <c r="U490" s="13"/>
      <c r="V490" s="13"/>
      <c r="W490" s="13"/>
      <c r="X490" s="13"/>
      <c r="Y490" s="13"/>
      <c r="Z490" s="13"/>
      <c r="AA490" s="13">
        <f t="shared" si="29"/>
        <v>-38.530745240196495</v>
      </c>
      <c r="AB490" s="13"/>
      <c r="AC490" s="34"/>
      <c r="AD490" s="34"/>
      <c r="AE490" s="34"/>
      <c r="AF490" s="34"/>
      <c r="AG490" s="34"/>
      <c r="AI490" s="35">
        <v>487</v>
      </c>
      <c r="AJ490" s="35">
        <v>2</v>
      </c>
      <c r="AK490" s="17">
        <v>1.7252871036727899</v>
      </c>
      <c r="AV490" s="13">
        <f t="shared" si="30"/>
        <v>-13.735644816360503</v>
      </c>
      <c r="BD490" s="35">
        <v>487</v>
      </c>
      <c r="BE490" s="35">
        <v>2</v>
      </c>
      <c r="BF490" s="17">
        <v>1.70410434873981</v>
      </c>
      <c r="BQ490" s="13">
        <f t="shared" si="31"/>
        <v>-14.794782563009502</v>
      </c>
    </row>
    <row r="491" spans="1:69">
      <c r="A491" s="13">
        <v>488</v>
      </c>
      <c r="B491" s="13">
        <v>225</v>
      </c>
      <c r="C491" s="17">
        <v>171.56397580000001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>
        <f t="shared" si="32"/>
        <v>-23.749344088888879</v>
      </c>
      <c r="N491" s="13"/>
      <c r="O491" s="13">
        <v>488</v>
      </c>
      <c r="P491" s="13">
        <v>225</v>
      </c>
      <c r="Q491" s="17">
        <v>192.9708162</v>
      </c>
      <c r="R491" s="13"/>
      <c r="S491" s="13"/>
      <c r="T491" s="13"/>
      <c r="U491" s="13"/>
      <c r="V491" s="13"/>
      <c r="W491" s="13"/>
      <c r="X491" s="13"/>
      <c r="Y491" s="13"/>
      <c r="Z491" s="13"/>
      <c r="AA491" s="13">
        <f t="shared" si="29"/>
        <v>-14.235192799999997</v>
      </c>
      <c r="AB491" s="13"/>
      <c r="AC491" s="34"/>
      <c r="AD491" s="34"/>
      <c r="AE491" s="34"/>
      <c r="AF491" s="34"/>
      <c r="AG491" s="34"/>
      <c r="AI491" s="35">
        <v>488</v>
      </c>
      <c r="AJ491" s="35">
        <v>225</v>
      </c>
      <c r="AK491" s="17">
        <v>224.50774469999999</v>
      </c>
      <c r="AV491" s="13">
        <f t="shared" si="30"/>
        <v>-0.21878013333334057</v>
      </c>
      <c r="BD491" s="35">
        <v>488</v>
      </c>
      <c r="BE491" s="35">
        <v>225</v>
      </c>
      <c r="BF491" s="17">
        <v>220.28014139999999</v>
      </c>
      <c r="BQ491" s="13">
        <f t="shared" si="31"/>
        <v>-2.0977149333333389</v>
      </c>
    </row>
    <row r="492" spans="1:69">
      <c r="A492" s="13">
        <v>489</v>
      </c>
      <c r="B492" s="13">
        <v>63</v>
      </c>
      <c r="C492" s="17">
        <v>89.235736919999994</v>
      </c>
      <c r="D492" s="13"/>
      <c r="E492" s="13"/>
      <c r="F492" s="13"/>
      <c r="G492" s="13"/>
      <c r="H492" s="13"/>
      <c r="I492" s="13"/>
      <c r="J492" s="13"/>
      <c r="K492" s="13"/>
      <c r="L492" s="13"/>
      <c r="M492" s="13">
        <f t="shared" si="32"/>
        <v>41.644026857142855</v>
      </c>
      <c r="N492" s="13"/>
      <c r="O492" s="13">
        <v>489</v>
      </c>
      <c r="P492" s="13">
        <v>63</v>
      </c>
      <c r="Q492" s="17">
        <v>77.215385679999997</v>
      </c>
      <c r="R492" s="13"/>
      <c r="S492" s="13"/>
      <c r="T492" s="13"/>
      <c r="U492" s="13"/>
      <c r="V492" s="13"/>
      <c r="W492" s="13"/>
      <c r="X492" s="13"/>
      <c r="Y492" s="13"/>
      <c r="Z492" s="13"/>
      <c r="AA492" s="13">
        <f t="shared" si="29"/>
        <v>22.564104253968242</v>
      </c>
      <c r="AB492" s="13"/>
      <c r="AC492" s="34"/>
      <c r="AD492" s="34"/>
      <c r="AE492" s="34"/>
      <c r="AF492" s="34"/>
      <c r="AG492" s="34"/>
      <c r="AI492" s="35">
        <v>489</v>
      </c>
      <c r="AJ492" s="35">
        <v>63</v>
      </c>
      <c r="AK492" s="17">
        <v>64.389524910000006</v>
      </c>
      <c r="AV492" s="13">
        <f t="shared" si="30"/>
        <v>2.2055950952380998</v>
      </c>
      <c r="BD492" s="35">
        <v>489</v>
      </c>
      <c r="BE492" s="35">
        <v>63</v>
      </c>
      <c r="BF492" s="17">
        <v>69.027218970000007</v>
      </c>
      <c r="BQ492" s="13">
        <f t="shared" si="31"/>
        <v>9.5670142380952505</v>
      </c>
    </row>
    <row r="493" spans="1:69">
      <c r="A493" s="13">
        <v>490</v>
      </c>
      <c r="B493" s="13">
        <v>128</v>
      </c>
      <c r="C493" s="17">
        <v>126.0204198</v>
      </c>
      <c r="D493" s="13"/>
      <c r="E493" s="13"/>
      <c r="F493" s="13"/>
      <c r="G493" s="13"/>
      <c r="H493" s="13"/>
      <c r="I493" s="13"/>
      <c r="J493" s="13"/>
      <c r="K493" s="13"/>
      <c r="L493" s="13"/>
      <c r="M493" s="13">
        <f t="shared" si="32"/>
        <v>-1.5465470312500007</v>
      </c>
      <c r="N493" s="13"/>
      <c r="O493" s="13">
        <v>490</v>
      </c>
      <c r="P493" s="13">
        <v>128</v>
      </c>
      <c r="Q493" s="17">
        <v>128.58938749999999</v>
      </c>
      <c r="R493" s="13"/>
      <c r="S493" s="13"/>
      <c r="T493" s="13"/>
      <c r="U493" s="13"/>
      <c r="V493" s="13"/>
      <c r="W493" s="13"/>
      <c r="X493" s="13"/>
      <c r="Y493" s="13"/>
      <c r="Z493" s="13"/>
      <c r="AA493" s="13">
        <f t="shared" si="29"/>
        <v>0.46045898437498956</v>
      </c>
      <c r="AB493" s="13"/>
      <c r="AC493" s="34"/>
      <c r="AD493" s="34"/>
      <c r="AE493" s="34"/>
      <c r="AF493" s="34"/>
      <c r="AG493" s="34"/>
      <c r="AI493" s="35">
        <v>490</v>
      </c>
      <c r="AJ493" s="35">
        <v>128</v>
      </c>
      <c r="AK493" s="17">
        <v>127.99011779999999</v>
      </c>
      <c r="AV493" s="13">
        <f t="shared" si="30"/>
        <v>-7.720468750005427E-3</v>
      </c>
      <c r="BD493" s="35">
        <v>490</v>
      </c>
      <c r="BE493" s="35">
        <v>128</v>
      </c>
      <c r="BF493" s="17">
        <v>128.6401578</v>
      </c>
      <c r="BQ493" s="13">
        <f t="shared" si="31"/>
        <v>0.50012328124999783</v>
      </c>
    </row>
    <row r="494" spans="1:69">
      <c r="A494" s="13">
        <v>491</v>
      </c>
      <c r="B494" s="13">
        <v>90</v>
      </c>
      <c r="C494" s="17">
        <v>104.1403962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>
        <f t="shared" si="32"/>
        <v>15.711551333333329</v>
      </c>
      <c r="N494" s="13"/>
      <c r="O494" s="13">
        <v>491</v>
      </c>
      <c r="P494" s="13">
        <v>90</v>
      </c>
      <c r="Q494" s="17">
        <v>98.827899979999998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>
        <f t="shared" si="29"/>
        <v>9.8087777555555533</v>
      </c>
      <c r="AB494" s="13"/>
      <c r="AC494" s="34"/>
      <c r="AD494" s="34"/>
      <c r="AE494" s="34"/>
      <c r="AF494" s="34"/>
      <c r="AG494" s="34"/>
      <c r="AI494" s="35">
        <v>491</v>
      </c>
      <c r="AJ494" s="35">
        <v>90</v>
      </c>
      <c r="AK494" s="17">
        <v>90.055499999999995</v>
      </c>
      <c r="AV494" s="13">
        <f t="shared" si="30"/>
        <v>6.1666666666670977E-2</v>
      </c>
      <c r="BD494" s="35">
        <v>491</v>
      </c>
      <c r="BE494" s="35">
        <v>90</v>
      </c>
      <c r="BF494" s="17">
        <v>91.066634609999994</v>
      </c>
      <c r="BQ494" s="13">
        <f t="shared" si="31"/>
        <v>1.1851495666666656</v>
      </c>
    </row>
    <row r="495" spans="1:69">
      <c r="A495" s="13">
        <v>492</v>
      </c>
      <c r="B495" s="13">
        <v>115</v>
      </c>
      <c r="C495" s="17">
        <v>102.1526839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>
        <f t="shared" si="32"/>
        <v>-11.171579217391303</v>
      </c>
      <c r="N495" s="13"/>
      <c r="O495" s="13">
        <v>492</v>
      </c>
      <c r="P495" s="13">
        <v>115</v>
      </c>
      <c r="Q495" s="17">
        <v>103.851422</v>
      </c>
      <c r="R495" s="13"/>
      <c r="S495" s="13"/>
      <c r="T495" s="13"/>
      <c r="U495" s="13"/>
      <c r="V495" s="13"/>
      <c r="W495" s="13"/>
      <c r="X495" s="13"/>
      <c r="Y495" s="13"/>
      <c r="Z495" s="13"/>
      <c r="AA495" s="13">
        <f t="shared" si="29"/>
        <v>-9.694415652173916</v>
      </c>
      <c r="AB495" s="13"/>
      <c r="AC495" s="34"/>
      <c r="AD495" s="34"/>
      <c r="AE495" s="34"/>
      <c r="AF495" s="34"/>
      <c r="AG495" s="34"/>
      <c r="AI495" s="35">
        <v>492</v>
      </c>
      <c r="AJ495" s="35">
        <v>115</v>
      </c>
      <c r="AK495" s="17">
        <v>114.57745730000001</v>
      </c>
      <c r="AV495" s="13">
        <f t="shared" si="30"/>
        <v>-0.36742843478260179</v>
      </c>
      <c r="BD495" s="35">
        <v>492</v>
      </c>
      <c r="BE495" s="35">
        <v>115</v>
      </c>
      <c r="BF495" s="17">
        <v>110.8155467</v>
      </c>
      <c r="BQ495" s="13">
        <f t="shared" si="31"/>
        <v>-3.6386550434782672</v>
      </c>
    </row>
    <row r="496" spans="1:69">
      <c r="A496" s="13">
        <v>493</v>
      </c>
      <c r="B496" s="13">
        <v>84</v>
      </c>
      <c r="C496" s="17">
        <v>101.311269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>
        <f t="shared" si="32"/>
        <v>20.608653571428558</v>
      </c>
      <c r="N496" s="13"/>
      <c r="O496" s="13">
        <v>493</v>
      </c>
      <c r="P496" s="13">
        <v>84</v>
      </c>
      <c r="Q496" s="17">
        <v>97.023725940000006</v>
      </c>
      <c r="R496" s="13"/>
      <c r="S496" s="13"/>
      <c r="T496" s="13"/>
      <c r="U496" s="13"/>
      <c r="V496" s="13"/>
      <c r="W496" s="13"/>
      <c r="X496" s="13"/>
      <c r="Y496" s="13"/>
      <c r="Z496" s="13"/>
      <c r="AA496" s="13">
        <f t="shared" si="29"/>
        <v>15.50443564285715</v>
      </c>
      <c r="AB496" s="13"/>
      <c r="AC496" s="34"/>
      <c r="AD496" s="34"/>
      <c r="AE496" s="34"/>
      <c r="AF496" s="34"/>
      <c r="AG496" s="34"/>
      <c r="AI496" s="35">
        <v>493</v>
      </c>
      <c r="AJ496" s="35">
        <v>84</v>
      </c>
      <c r="AK496" s="17">
        <v>84.68389234</v>
      </c>
      <c r="AV496" s="13">
        <f t="shared" si="30"/>
        <v>0.81415754761904324</v>
      </c>
      <c r="BD496" s="35">
        <v>493</v>
      </c>
      <c r="BE496" s="35">
        <v>84</v>
      </c>
      <c r="BF496" s="17">
        <v>88.705853079999997</v>
      </c>
      <c r="BQ496" s="13">
        <f t="shared" si="31"/>
        <v>5.6022060476190516</v>
      </c>
    </row>
    <row r="497" spans="1:69">
      <c r="A497" s="13">
        <v>494</v>
      </c>
      <c r="B497" s="13">
        <v>188</v>
      </c>
      <c r="C497" s="17">
        <v>172.98250809999999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>
        <f t="shared" si="32"/>
        <v>-7.9880276063829854</v>
      </c>
      <c r="N497" s="13"/>
      <c r="O497" s="13">
        <v>494</v>
      </c>
      <c r="P497" s="13">
        <v>188</v>
      </c>
      <c r="Q497" s="17">
        <v>183.6221487</v>
      </c>
      <c r="R497" s="13"/>
      <c r="S497" s="13"/>
      <c r="T497" s="13"/>
      <c r="U497" s="13"/>
      <c r="V497" s="13"/>
      <c r="W497" s="13"/>
      <c r="X497" s="13"/>
      <c r="Y497" s="13"/>
      <c r="Z497" s="13"/>
      <c r="AA497" s="13">
        <f t="shared" si="29"/>
        <v>-2.3286443085106412</v>
      </c>
      <c r="AB497" s="13"/>
      <c r="AC497" s="34"/>
      <c r="AD497" s="34"/>
      <c r="AE497" s="34"/>
      <c r="AF497" s="34"/>
      <c r="AG497" s="34"/>
      <c r="AI497" s="35">
        <v>494</v>
      </c>
      <c r="AJ497" s="35">
        <v>188</v>
      </c>
      <c r="AK497" s="17">
        <v>187.85362559999999</v>
      </c>
      <c r="AV497" s="13">
        <f t="shared" si="30"/>
        <v>-7.7858723404267138E-2</v>
      </c>
      <c r="BD497" s="35">
        <v>494</v>
      </c>
      <c r="BE497" s="35">
        <v>188</v>
      </c>
      <c r="BF497" s="17">
        <v>187.41907610000001</v>
      </c>
      <c r="BQ497" s="13">
        <f t="shared" si="31"/>
        <v>-0.30900207446807881</v>
      </c>
    </row>
    <row r="498" spans="1:69">
      <c r="A498" s="13">
        <v>495</v>
      </c>
      <c r="B498" s="13">
        <v>206</v>
      </c>
      <c r="C498" s="17">
        <v>178.63033759999999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>
        <f t="shared" si="32"/>
        <v>-13.286243883495153</v>
      </c>
      <c r="N498" s="13"/>
      <c r="O498" s="13">
        <v>495</v>
      </c>
      <c r="P498" s="13">
        <v>206</v>
      </c>
      <c r="Q498" s="17">
        <v>195.48224680000001</v>
      </c>
      <c r="R498" s="13"/>
      <c r="S498" s="13"/>
      <c r="T498" s="13"/>
      <c r="U498" s="13"/>
      <c r="V498" s="13"/>
      <c r="W498" s="13"/>
      <c r="X498" s="13"/>
      <c r="Y498" s="13"/>
      <c r="Z498" s="13"/>
      <c r="AA498" s="13">
        <f t="shared" si="29"/>
        <v>-5.1057054368931931</v>
      </c>
      <c r="AB498" s="13"/>
      <c r="AC498" s="34"/>
      <c r="AD498" s="34"/>
      <c r="AE498" s="34"/>
      <c r="AF498" s="34"/>
      <c r="AG498" s="34"/>
      <c r="AI498" s="35">
        <v>495</v>
      </c>
      <c r="AJ498" s="35">
        <v>206</v>
      </c>
      <c r="AK498" s="17">
        <v>205.905</v>
      </c>
      <c r="AV498" s="13">
        <f t="shared" si="30"/>
        <v>-4.611650485436547E-2</v>
      </c>
      <c r="BD498" s="35">
        <v>495</v>
      </c>
      <c r="BE498" s="35">
        <v>206</v>
      </c>
      <c r="BF498" s="17">
        <v>204.33295659999999</v>
      </c>
      <c r="BQ498" s="13">
        <f t="shared" si="31"/>
        <v>-0.80924436893204943</v>
      </c>
    </row>
    <row r="499" spans="1:69">
      <c r="A499" s="13">
        <v>496</v>
      </c>
      <c r="B499" s="13">
        <v>114</v>
      </c>
      <c r="C499" s="17">
        <v>125.63520920000001</v>
      </c>
      <c r="D499" s="13"/>
      <c r="E499" s="13"/>
      <c r="F499" s="13"/>
      <c r="G499" s="13"/>
      <c r="H499" s="13"/>
      <c r="I499" s="13"/>
      <c r="J499" s="13"/>
      <c r="K499" s="13"/>
      <c r="L499" s="13"/>
      <c r="M499" s="13">
        <f t="shared" si="32"/>
        <v>10.206323859649125</v>
      </c>
      <c r="N499" s="13"/>
      <c r="O499" s="13">
        <v>496</v>
      </c>
      <c r="P499" s="13">
        <v>114</v>
      </c>
      <c r="Q499" s="17">
        <v>124.6161559</v>
      </c>
      <c r="R499" s="13"/>
      <c r="S499" s="13"/>
      <c r="T499" s="13"/>
      <c r="U499" s="13"/>
      <c r="V499" s="13"/>
      <c r="W499" s="13"/>
      <c r="X499" s="13"/>
      <c r="Y499" s="13"/>
      <c r="Z499" s="13"/>
      <c r="AA499" s="13">
        <f t="shared" si="29"/>
        <v>9.3124174561403539</v>
      </c>
      <c r="AB499" s="13"/>
      <c r="AC499" s="34"/>
      <c r="AD499" s="34"/>
      <c r="AE499" s="34"/>
      <c r="AF499" s="34"/>
      <c r="AG499" s="34"/>
      <c r="AI499" s="35">
        <v>496</v>
      </c>
      <c r="AJ499" s="35">
        <v>114</v>
      </c>
      <c r="AK499" s="17">
        <v>114.25993699999999</v>
      </c>
      <c r="AV499" s="13">
        <f t="shared" si="30"/>
        <v>0.22801491228070514</v>
      </c>
      <c r="BD499" s="35">
        <v>496</v>
      </c>
      <c r="BE499" s="35">
        <v>114</v>
      </c>
      <c r="BF499" s="17">
        <v>118.3458794</v>
      </c>
      <c r="BQ499" s="13">
        <f t="shared" si="31"/>
        <v>3.8121749122806969</v>
      </c>
    </row>
    <row r="500" spans="1:69">
      <c r="A500" s="13">
        <v>497</v>
      </c>
      <c r="B500" s="13">
        <v>79</v>
      </c>
      <c r="C500" s="17">
        <v>75.666156529999995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>
        <f t="shared" si="32"/>
        <v>-4.2200550253164604</v>
      </c>
      <c r="N500" s="13"/>
      <c r="O500" s="13">
        <v>497</v>
      </c>
      <c r="P500" s="13">
        <v>79</v>
      </c>
      <c r="Q500" s="17">
        <v>71.300762059999997</v>
      </c>
      <c r="R500" s="13"/>
      <c r="S500" s="13"/>
      <c r="T500" s="13"/>
      <c r="U500" s="13"/>
      <c r="V500" s="13"/>
      <c r="W500" s="13"/>
      <c r="X500" s="13"/>
      <c r="Y500" s="13"/>
      <c r="Z500" s="13"/>
      <c r="AA500" s="13">
        <f t="shared" si="29"/>
        <v>-9.7458708101265898</v>
      </c>
      <c r="AB500" s="13"/>
      <c r="AC500" s="34"/>
      <c r="AD500" s="34"/>
      <c r="AE500" s="34"/>
      <c r="AF500" s="34"/>
      <c r="AG500" s="34"/>
      <c r="AI500" s="35">
        <v>497</v>
      </c>
      <c r="AJ500" s="35">
        <v>79</v>
      </c>
      <c r="AK500" s="17">
        <v>78.313165479999995</v>
      </c>
      <c r="AV500" s="13">
        <f t="shared" si="30"/>
        <v>-0.86941078481013179</v>
      </c>
      <c r="BD500" s="35">
        <v>497</v>
      </c>
      <c r="BE500" s="35">
        <v>79</v>
      </c>
      <c r="BF500" s="17">
        <v>76.484294149999997</v>
      </c>
      <c r="BQ500" s="13">
        <f t="shared" si="31"/>
        <v>-3.1844377848101346</v>
      </c>
    </row>
    <row r="501" spans="1:69">
      <c r="A501" s="13">
        <v>498</v>
      </c>
      <c r="B501" s="13">
        <v>42</v>
      </c>
      <c r="C501" s="17">
        <v>63.352899596040999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>
        <f t="shared" si="32"/>
        <v>50.840237133430954</v>
      </c>
      <c r="N501" s="13"/>
      <c r="O501" s="13">
        <v>498</v>
      </c>
      <c r="P501" s="13">
        <v>42</v>
      </c>
      <c r="Q501" s="17">
        <v>59.987087410000001</v>
      </c>
      <c r="R501" s="13"/>
      <c r="S501" s="13"/>
      <c r="T501" s="13"/>
      <c r="U501" s="13"/>
      <c r="V501" s="13"/>
      <c r="W501" s="13"/>
      <c r="X501" s="13"/>
      <c r="Y501" s="13"/>
      <c r="Z501" s="13"/>
      <c r="AA501" s="13">
        <f t="shared" si="29"/>
        <v>42.826398595238089</v>
      </c>
      <c r="AB501" s="13"/>
      <c r="AC501" s="34"/>
      <c r="AD501" s="34"/>
      <c r="AE501" s="34"/>
      <c r="AF501" s="34"/>
      <c r="AG501" s="34"/>
      <c r="AI501" s="35">
        <v>498</v>
      </c>
      <c r="AJ501" s="35">
        <v>42</v>
      </c>
      <c r="AK501" s="17">
        <v>43.046120879999997</v>
      </c>
      <c r="AV501" s="13">
        <f t="shared" si="30"/>
        <v>2.4907639999999898</v>
      </c>
      <c r="BD501" s="35">
        <v>498</v>
      </c>
      <c r="BE501" s="35">
        <v>42</v>
      </c>
      <c r="BF501" s="17">
        <v>46.564304409999998</v>
      </c>
      <c r="BQ501" s="13">
        <f t="shared" si="31"/>
        <v>10.867391452380959</v>
      </c>
    </row>
    <row r="502" spans="1:69">
      <c r="A502" s="13">
        <v>499</v>
      </c>
      <c r="B502" s="13">
        <v>156</v>
      </c>
      <c r="C502" s="17">
        <v>147.50039849999999</v>
      </c>
      <c r="D502" s="13"/>
      <c r="E502" s="13"/>
      <c r="F502" s="13"/>
      <c r="G502" s="13"/>
      <c r="H502" s="13"/>
      <c r="I502" s="13"/>
      <c r="J502" s="13"/>
      <c r="K502" s="13"/>
      <c r="L502" s="13"/>
      <c r="M502" s="13">
        <f t="shared" si="32"/>
        <v>-5.4484625000000069</v>
      </c>
      <c r="N502" s="13"/>
      <c r="O502" s="13">
        <v>499</v>
      </c>
      <c r="P502" s="13">
        <v>156</v>
      </c>
      <c r="Q502" s="17">
        <v>154.42232799999999</v>
      </c>
      <c r="R502" s="13"/>
      <c r="S502" s="13"/>
      <c r="T502" s="13"/>
      <c r="U502" s="13"/>
      <c r="V502" s="13"/>
      <c r="W502" s="13"/>
      <c r="X502" s="13"/>
      <c r="Y502" s="13"/>
      <c r="Z502" s="13"/>
      <c r="AA502" s="13">
        <f t="shared" si="29"/>
        <v>-1.0113282051282146</v>
      </c>
      <c r="AB502" s="13"/>
      <c r="AC502" s="34"/>
      <c r="AD502" s="34"/>
      <c r="AE502" s="34"/>
      <c r="AF502" s="34"/>
      <c r="AG502" s="34"/>
      <c r="AI502" s="35">
        <v>499</v>
      </c>
      <c r="AJ502" s="35">
        <v>156</v>
      </c>
      <c r="AK502" s="17">
        <v>156.04250949999999</v>
      </c>
      <c r="AV502" s="13">
        <f t="shared" si="30"/>
        <v>2.7249679487173495E-2</v>
      </c>
      <c r="BD502" s="35">
        <v>499</v>
      </c>
      <c r="BE502" s="35">
        <v>156</v>
      </c>
      <c r="BF502" s="17">
        <v>155.87339170000001</v>
      </c>
      <c r="BQ502" s="13">
        <f t="shared" si="31"/>
        <v>-8.1159166666655569E-2</v>
      </c>
    </row>
    <row r="503" spans="1:69">
      <c r="A503" s="13">
        <v>500</v>
      </c>
      <c r="B503" s="13">
        <v>53</v>
      </c>
      <c r="C503" s="17">
        <v>78.82590132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>
        <f t="shared" si="32"/>
        <v>48.728115698113214</v>
      </c>
      <c r="N503" s="13"/>
      <c r="O503" s="13">
        <v>500</v>
      </c>
      <c r="P503" s="13">
        <v>53</v>
      </c>
      <c r="Q503" s="17">
        <v>64.33709254</v>
      </c>
      <c r="R503" s="13"/>
      <c r="S503" s="13"/>
      <c r="T503" s="13"/>
      <c r="U503" s="13"/>
      <c r="V503" s="13"/>
      <c r="W503" s="13"/>
      <c r="X503" s="13"/>
      <c r="Y503" s="13"/>
      <c r="Z503" s="13"/>
      <c r="AA503" s="13">
        <f t="shared" si="29"/>
        <v>21.390740641509431</v>
      </c>
      <c r="AB503" s="13"/>
      <c r="AC503" s="34"/>
      <c r="AD503" s="34"/>
      <c r="AE503" s="34"/>
      <c r="AF503" s="34"/>
      <c r="AG503" s="34"/>
      <c r="AI503" s="35">
        <v>500</v>
      </c>
      <c r="AJ503" s="35">
        <v>53</v>
      </c>
      <c r="AK503" s="17">
        <v>54.068744340000002</v>
      </c>
      <c r="AV503" s="13">
        <f t="shared" si="30"/>
        <v>2.0164987547169888</v>
      </c>
      <c r="BD503" s="35">
        <v>500</v>
      </c>
      <c r="BE503" s="35">
        <v>53</v>
      </c>
      <c r="BF503" s="17">
        <v>57.253806699999998</v>
      </c>
      <c r="BQ503" s="13">
        <f t="shared" si="31"/>
        <v>8.0260503773584837</v>
      </c>
    </row>
    <row r="504" spans="1:69">
      <c r="A504" s="13">
        <v>501</v>
      </c>
      <c r="B504" s="13">
        <v>5</v>
      </c>
      <c r="C504" s="17">
        <v>5.0549704007890099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>
        <f t="shared" si="32"/>
        <v>1.09940801578019</v>
      </c>
      <c r="N504" s="13"/>
      <c r="O504" s="13">
        <v>501</v>
      </c>
      <c r="P504" s="13">
        <v>5</v>
      </c>
      <c r="Q504" s="17">
        <v>4.7935657034696497</v>
      </c>
      <c r="R504" s="13"/>
      <c r="S504" s="13"/>
      <c r="T504" s="13"/>
      <c r="U504" s="13"/>
      <c r="V504" s="13"/>
      <c r="W504" s="13"/>
      <c r="X504" s="13"/>
      <c r="Y504" s="13"/>
      <c r="Z504" s="13"/>
      <c r="AA504" s="13">
        <f t="shared" si="29"/>
        <v>-4.1286859306070012</v>
      </c>
      <c r="AB504" s="13"/>
      <c r="AC504" s="34"/>
      <c r="AD504" s="34"/>
      <c r="AE504" s="34"/>
      <c r="AF504" s="34"/>
      <c r="AG504" s="34"/>
      <c r="AI504" s="35">
        <v>501</v>
      </c>
      <c r="AJ504" s="35">
        <v>5</v>
      </c>
      <c r="AK504" s="17">
        <v>5.1565000000000003</v>
      </c>
      <c r="AV504" s="13">
        <f t="shared" si="30"/>
        <v>3.1300000000000106</v>
      </c>
      <c r="BD504" s="35">
        <v>501</v>
      </c>
      <c r="BE504" s="35">
        <v>5</v>
      </c>
      <c r="BF504" s="17">
        <v>5.5403403023953004</v>
      </c>
      <c r="BQ504" s="13">
        <f t="shared" si="31"/>
        <v>10.806806047906004</v>
      </c>
    </row>
    <row r="505" spans="1:69">
      <c r="A505" s="13">
        <v>502</v>
      </c>
      <c r="B505" s="13">
        <v>195</v>
      </c>
      <c r="C505" s="17">
        <v>150.3202446</v>
      </c>
      <c r="D505" s="13"/>
      <c r="E505" s="13"/>
      <c r="F505" s="13"/>
      <c r="G505" s="13"/>
      <c r="H505" s="13"/>
      <c r="I505" s="13"/>
      <c r="J505" s="13"/>
      <c r="K505" s="13"/>
      <c r="L505" s="13"/>
      <c r="M505" s="13">
        <f t="shared" si="32"/>
        <v>-22.912695076923086</v>
      </c>
      <c r="N505" s="13"/>
      <c r="O505" s="13">
        <v>502</v>
      </c>
      <c r="P505" s="13">
        <v>195</v>
      </c>
      <c r="Q505" s="17">
        <v>167.7460973</v>
      </c>
      <c r="R505" s="13"/>
      <c r="S505" s="13"/>
      <c r="T505" s="13"/>
      <c r="U505" s="13"/>
      <c r="V505" s="13"/>
      <c r="W505" s="13"/>
      <c r="X505" s="13"/>
      <c r="Y505" s="13"/>
      <c r="Z505" s="13"/>
      <c r="AA505" s="13">
        <f t="shared" si="29"/>
        <v>-13.976360358974361</v>
      </c>
      <c r="AB505" s="13"/>
      <c r="AC505" s="34"/>
      <c r="AD505" s="34"/>
      <c r="AE505" s="34"/>
      <c r="AF505" s="34"/>
      <c r="AG505" s="34"/>
      <c r="AI505" s="35">
        <v>502</v>
      </c>
      <c r="AJ505" s="35">
        <v>195</v>
      </c>
      <c r="AK505" s="17">
        <v>194.30422809999999</v>
      </c>
      <c r="AV505" s="13">
        <f t="shared" si="30"/>
        <v>-0.35680610256411116</v>
      </c>
      <c r="BD505" s="35">
        <v>502</v>
      </c>
      <c r="BE505" s="35">
        <v>195</v>
      </c>
      <c r="BF505" s="17">
        <v>188.9941967</v>
      </c>
      <c r="BQ505" s="13">
        <f t="shared" si="31"/>
        <v>-3.0798991282051214</v>
      </c>
    </row>
    <row r="506" spans="1:69">
      <c r="A506" s="13">
        <v>503</v>
      </c>
      <c r="B506" s="13">
        <v>15</v>
      </c>
      <c r="C506" s="17">
        <v>8.2754082773980393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>
        <f t="shared" si="32"/>
        <v>-44.830611484013069</v>
      </c>
      <c r="N506" s="13"/>
      <c r="O506" s="13">
        <v>503</v>
      </c>
      <c r="P506" s="13">
        <v>15</v>
      </c>
      <c r="Q506" s="17">
        <v>23.313071325838798</v>
      </c>
      <c r="R506" s="13"/>
      <c r="S506" s="13"/>
      <c r="T506" s="13"/>
      <c r="U506" s="13"/>
      <c r="V506" s="13"/>
      <c r="W506" s="13"/>
      <c r="X506" s="13"/>
      <c r="Y506" s="13"/>
      <c r="Z506" s="13"/>
      <c r="AA506" s="13">
        <f t="shared" si="29"/>
        <v>55.420475505591995</v>
      </c>
      <c r="AB506" s="13"/>
      <c r="AC506" s="34"/>
      <c r="AD506" s="34"/>
      <c r="AE506" s="34"/>
      <c r="AF506" s="34"/>
      <c r="AG506" s="34"/>
      <c r="AI506" s="35">
        <v>503</v>
      </c>
      <c r="AJ506" s="35">
        <v>15</v>
      </c>
      <c r="AK506" s="17">
        <v>15.07266667</v>
      </c>
      <c r="AV506" s="13">
        <f t="shared" si="30"/>
        <v>0.48444446666666696</v>
      </c>
      <c r="BD506" s="35">
        <v>503</v>
      </c>
      <c r="BE506" s="35">
        <v>15</v>
      </c>
      <c r="BF506" s="17">
        <v>15.783840120000001</v>
      </c>
      <c r="BQ506" s="13">
        <f t="shared" si="31"/>
        <v>5.2256008000000076</v>
      </c>
    </row>
    <row r="507" spans="1:69">
      <c r="A507" s="13">
        <v>504</v>
      </c>
      <c r="B507" s="13">
        <v>175</v>
      </c>
      <c r="C507" s="17">
        <v>143.0788709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>
        <f t="shared" si="32"/>
        <v>-18.240645200000007</v>
      </c>
      <c r="N507" s="13"/>
      <c r="O507" s="13">
        <v>504</v>
      </c>
      <c r="P507" s="13">
        <v>175</v>
      </c>
      <c r="Q507" s="17">
        <v>152.80319929999999</v>
      </c>
      <c r="R507" s="13"/>
      <c r="S507" s="13"/>
      <c r="T507" s="13"/>
      <c r="U507" s="13"/>
      <c r="V507" s="13"/>
      <c r="W507" s="13"/>
      <c r="X507" s="13"/>
      <c r="Y507" s="13"/>
      <c r="Z507" s="13"/>
      <c r="AA507" s="13">
        <f t="shared" si="29"/>
        <v>-12.683886114285725</v>
      </c>
      <c r="AB507" s="13"/>
      <c r="AC507" s="34"/>
      <c r="AD507" s="34"/>
      <c r="AE507" s="34"/>
      <c r="AF507" s="34"/>
      <c r="AG507" s="34"/>
      <c r="AI507" s="35">
        <v>504</v>
      </c>
      <c r="AJ507" s="35">
        <v>175</v>
      </c>
      <c r="AK507" s="17">
        <v>170.74332659999999</v>
      </c>
      <c r="AV507" s="13">
        <f t="shared" si="30"/>
        <v>-2.4323848000000092</v>
      </c>
      <c r="BD507" s="35">
        <v>504</v>
      </c>
      <c r="BE507" s="35">
        <v>175</v>
      </c>
      <c r="BF507" s="17">
        <v>160.0635675</v>
      </c>
      <c r="BQ507" s="13">
        <f t="shared" si="31"/>
        <v>-8.5351042857142794</v>
      </c>
    </row>
    <row r="508" spans="1:69">
      <c r="A508" s="13">
        <v>505</v>
      </c>
      <c r="B508" s="13">
        <v>186</v>
      </c>
      <c r="C508" s="17">
        <v>169.54048019999999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>
        <f t="shared" si="32"/>
        <v>-8.8492041935483883</v>
      </c>
      <c r="N508" s="13"/>
      <c r="O508" s="13">
        <v>505</v>
      </c>
      <c r="P508" s="13">
        <v>186</v>
      </c>
      <c r="Q508" s="17">
        <v>183.16976249999999</v>
      </c>
      <c r="R508" s="13"/>
      <c r="S508" s="13"/>
      <c r="T508" s="13"/>
      <c r="U508" s="13"/>
      <c r="V508" s="13"/>
      <c r="W508" s="13"/>
      <c r="X508" s="13"/>
      <c r="Y508" s="13"/>
      <c r="Z508" s="13"/>
      <c r="AA508" s="13">
        <f t="shared" si="29"/>
        <v>-1.5216330645161369</v>
      </c>
      <c r="AB508" s="13"/>
      <c r="AC508" s="34"/>
      <c r="AD508" s="34"/>
      <c r="AE508" s="34"/>
      <c r="AF508" s="34"/>
      <c r="AG508" s="34"/>
      <c r="AI508" s="35">
        <v>505</v>
      </c>
      <c r="AJ508" s="35">
        <v>186</v>
      </c>
      <c r="AK508" s="17">
        <v>186.0875848</v>
      </c>
      <c r="AV508" s="13">
        <f t="shared" si="30"/>
        <v>4.7088602150546777E-2</v>
      </c>
      <c r="BD508" s="35">
        <v>505</v>
      </c>
      <c r="BE508" s="35">
        <v>186</v>
      </c>
      <c r="BF508" s="17">
        <v>185.7612446</v>
      </c>
      <c r="BQ508" s="13">
        <f t="shared" si="31"/>
        <v>-0.12836311827957303</v>
      </c>
    </row>
    <row r="509" spans="1:69">
      <c r="A509" s="13">
        <v>506</v>
      </c>
      <c r="B509" s="13">
        <v>113</v>
      </c>
      <c r="C509" s="17">
        <v>99.030622699999995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>
        <f t="shared" si="32"/>
        <v>-12.36228079646018</v>
      </c>
      <c r="N509" s="13"/>
      <c r="O509" s="13">
        <v>506</v>
      </c>
      <c r="P509" s="13">
        <v>113</v>
      </c>
      <c r="Q509" s="17">
        <v>100.77125770000001</v>
      </c>
      <c r="R509" s="13"/>
      <c r="S509" s="13"/>
      <c r="T509" s="13"/>
      <c r="U509" s="13"/>
      <c r="V509" s="13"/>
      <c r="W509" s="13"/>
      <c r="X509" s="13"/>
      <c r="Y509" s="13"/>
      <c r="Z509" s="13"/>
      <c r="AA509" s="13">
        <f t="shared" si="29"/>
        <v>-10.821895840707963</v>
      </c>
      <c r="AB509" s="13"/>
      <c r="AC509" s="34"/>
      <c r="AD509" s="34"/>
      <c r="AE509" s="34"/>
      <c r="AF509" s="34"/>
      <c r="AG509" s="34"/>
      <c r="AI509" s="35">
        <v>506</v>
      </c>
      <c r="AJ509" s="35">
        <v>113</v>
      </c>
      <c r="AK509" s="17">
        <v>112.84246709999999</v>
      </c>
      <c r="AV509" s="13">
        <f t="shared" si="30"/>
        <v>-0.13940964601770744</v>
      </c>
      <c r="BD509" s="35">
        <v>506</v>
      </c>
      <c r="BE509" s="35">
        <v>113</v>
      </c>
      <c r="BF509" s="17">
        <v>111.2139262</v>
      </c>
      <c r="BQ509" s="13">
        <f t="shared" si="31"/>
        <v>-1.5805962831858422</v>
      </c>
    </row>
    <row r="510" spans="1:69">
      <c r="A510" s="13">
        <v>507</v>
      </c>
      <c r="B510" s="13">
        <v>117</v>
      </c>
      <c r="C510" s="17">
        <v>102.1031298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>
        <f t="shared" si="32"/>
        <v>-12.732367692307689</v>
      </c>
      <c r="N510" s="13"/>
      <c r="O510" s="13">
        <v>507</v>
      </c>
      <c r="P510" s="13">
        <v>117</v>
      </c>
      <c r="Q510" s="17">
        <v>102.8804538</v>
      </c>
      <c r="R510" s="13"/>
      <c r="S510" s="13"/>
      <c r="T510" s="13"/>
      <c r="U510" s="13"/>
      <c r="V510" s="13"/>
      <c r="W510" s="13"/>
      <c r="X510" s="13"/>
      <c r="Y510" s="13"/>
      <c r="Z510" s="13"/>
      <c r="AA510" s="13">
        <f t="shared" si="29"/>
        <v>-12.067988205128211</v>
      </c>
      <c r="AB510" s="13"/>
      <c r="AC510" s="34"/>
      <c r="AD510" s="34"/>
      <c r="AE510" s="34"/>
      <c r="AF510" s="34"/>
      <c r="AG510" s="34"/>
      <c r="AI510" s="35">
        <v>507</v>
      </c>
      <c r="AJ510" s="35">
        <v>117</v>
      </c>
      <c r="AK510" s="17">
        <v>113.85166030000001</v>
      </c>
      <c r="AV510" s="13">
        <f t="shared" si="30"/>
        <v>-2.6908886324786274</v>
      </c>
      <c r="BD510" s="35">
        <v>507</v>
      </c>
      <c r="BE510" s="35">
        <v>117</v>
      </c>
      <c r="BF510" s="17">
        <v>106.9186868</v>
      </c>
      <c r="BQ510" s="13">
        <f t="shared" si="31"/>
        <v>-8.6165070085470035</v>
      </c>
    </row>
    <row r="511" spans="1:69">
      <c r="A511" s="13">
        <v>508</v>
      </c>
      <c r="B511" s="13">
        <v>30</v>
      </c>
      <c r="C511" s="17">
        <v>26.1030405438527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>
        <f t="shared" si="32"/>
        <v>-12.989864853824329</v>
      </c>
      <c r="N511" s="13"/>
      <c r="O511" s="13">
        <v>508</v>
      </c>
      <c r="P511" s="13">
        <v>30</v>
      </c>
      <c r="Q511" s="17">
        <v>20.646303782951399</v>
      </c>
      <c r="R511" s="13"/>
      <c r="S511" s="13"/>
      <c r="T511" s="13"/>
      <c r="U511" s="13"/>
      <c r="V511" s="13"/>
      <c r="W511" s="13"/>
      <c r="X511" s="13"/>
      <c r="Y511" s="13"/>
      <c r="Z511" s="13"/>
      <c r="AA511" s="13">
        <f t="shared" si="29"/>
        <v>-31.178987390162007</v>
      </c>
      <c r="AB511" s="13"/>
      <c r="AC511" s="34"/>
      <c r="AD511" s="34"/>
      <c r="AE511" s="34"/>
      <c r="AF511" s="34"/>
      <c r="AG511" s="34"/>
      <c r="AI511" s="35">
        <v>508</v>
      </c>
      <c r="AJ511" s="35">
        <v>30</v>
      </c>
      <c r="AK511" s="17">
        <v>31.159898810000001</v>
      </c>
      <c r="AV511" s="13">
        <f t="shared" si="30"/>
        <v>3.8663293666666654</v>
      </c>
      <c r="BD511" s="35">
        <v>508</v>
      </c>
      <c r="BE511" s="35">
        <v>30</v>
      </c>
      <c r="BF511" s="17">
        <v>37.173169280000003</v>
      </c>
      <c r="BQ511" s="13">
        <f t="shared" si="31"/>
        <v>23.910564266666668</v>
      </c>
    </row>
    <row r="512" spans="1:69">
      <c r="A512" s="13">
        <v>509</v>
      </c>
      <c r="B512" s="13">
        <v>204</v>
      </c>
      <c r="C512" s="17">
        <v>163.26406420000001</v>
      </c>
      <c r="D512" s="13"/>
      <c r="E512" s="13"/>
      <c r="F512" s="13"/>
      <c r="G512" s="13"/>
      <c r="H512" s="13"/>
      <c r="I512" s="13"/>
      <c r="J512" s="13"/>
      <c r="K512" s="13"/>
      <c r="L512" s="13"/>
      <c r="M512" s="13">
        <f t="shared" si="32"/>
        <v>-19.968595980392156</v>
      </c>
      <c r="N512" s="13"/>
      <c r="O512" s="13">
        <v>509</v>
      </c>
      <c r="P512" s="13">
        <v>204</v>
      </c>
      <c r="Q512" s="17">
        <v>181.5661633</v>
      </c>
      <c r="R512" s="13"/>
      <c r="S512" s="13"/>
      <c r="T512" s="13"/>
      <c r="U512" s="13"/>
      <c r="V512" s="13"/>
      <c r="W512" s="13"/>
      <c r="X512" s="13"/>
      <c r="Y512" s="13"/>
      <c r="Z512" s="13"/>
      <c r="AA512" s="13">
        <f t="shared" si="29"/>
        <v>-10.996978774509802</v>
      </c>
      <c r="AB512" s="13"/>
      <c r="AC512" s="34"/>
      <c r="AD512" s="34"/>
      <c r="AE512" s="34"/>
      <c r="AF512" s="34"/>
      <c r="AG512" s="34"/>
      <c r="AI512" s="35">
        <v>509</v>
      </c>
      <c r="AJ512" s="35">
        <v>204</v>
      </c>
      <c r="AK512" s="17">
        <v>200.79320340000001</v>
      </c>
      <c r="AV512" s="13">
        <f t="shared" si="30"/>
        <v>-1.5719591176470593</v>
      </c>
      <c r="BD512" s="35">
        <v>509</v>
      </c>
      <c r="BE512" s="35">
        <v>204</v>
      </c>
      <c r="BF512" s="17">
        <v>187.60258830000001</v>
      </c>
      <c r="BQ512" s="13">
        <f t="shared" si="31"/>
        <v>-8.0379469117647044</v>
      </c>
    </row>
    <row r="513" spans="1:69">
      <c r="A513" s="13">
        <v>510</v>
      </c>
      <c r="B513" s="13">
        <v>169</v>
      </c>
      <c r="C513" s="17">
        <v>136.68430549999999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>
        <f t="shared" si="32"/>
        <v>-19.121712721893491</v>
      </c>
      <c r="N513" s="13"/>
      <c r="O513" s="13">
        <v>510</v>
      </c>
      <c r="P513" s="13">
        <v>169</v>
      </c>
      <c r="Q513" s="17">
        <v>148.64534979999999</v>
      </c>
      <c r="R513" s="13"/>
      <c r="S513" s="13"/>
      <c r="T513" s="13"/>
      <c r="U513" s="13"/>
      <c r="V513" s="13"/>
      <c r="W513" s="13"/>
      <c r="X513" s="13"/>
      <c r="Y513" s="13"/>
      <c r="Z513" s="13"/>
      <c r="AA513" s="13">
        <f t="shared" si="29"/>
        <v>-12.044171715976336</v>
      </c>
      <c r="AB513" s="13"/>
      <c r="AC513" s="34"/>
      <c r="AD513" s="34"/>
      <c r="AE513" s="34"/>
      <c r="AF513" s="34"/>
      <c r="AG513" s="34"/>
      <c r="AI513" s="35">
        <v>510</v>
      </c>
      <c r="AJ513" s="35">
        <v>169</v>
      </c>
      <c r="AK513" s="17">
        <v>164.8040584</v>
      </c>
      <c r="AV513" s="13">
        <f t="shared" si="30"/>
        <v>-2.4828056804733767</v>
      </c>
      <c r="BD513" s="35">
        <v>510</v>
      </c>
      <c r="BE513" s="35">
        <v>169</v>
      </c>
      <c r="BF513" s="17">
        <v>156.10279499999999</v>
      </c>
      <c r="BQ513" s="13">
        <f t="shared" si="31"/>
        <v>-7.6314822485207152</v>
      </c>
    </row>
    <row r="514" spans="1:69">
      <c r="A514" s="13">
        <v>511</v>
      </c>
      <c r="B514" s="13">
        <v>161</v>
      </c>
      <c r="C514" s="17">
        <v>150.125733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>
        <f t="shared" si="32"/>
        <v>-6.7542031055900615</v>
      </c>
      <c r="N514" s="13"/>
      <c r="O514" s="13">
        <v>511</v>
      </c>
      <c r="P514" s="13">
        <v>161</v>
      </c>
      <c r="Q514" s="17">
        <v>157.48279020000001</v>
      </c>
      <c r="R514" s="13"/>
      <c r="S514" s="13"/>
      <c r="T514" s="13"/>
      <c r="U514" s="13"/>
      <c r="V514" s="13"/>
      <c r="W514" s="13"/>
      <c r="X514" s="13"/>
      <c r="Y514" s="13"/>
      <c r="Z514" s="13"/>
      <c r="AA514" s="13">
        <f t="shared" si="29"/>
        <v>-2.1846023602484443</v>
      </c>
      <c r="AB514" s="13"/>
      <c r="AC514" s="34"/>
      <c r="AD514" s="34"/>
      <c r="AE514" s="34"/>
      <c r="AF514" s="34"/>
      <c r="AG514" s="34"/>
      <c r="AI514" s="35">
        <v>511</v>
      </c>
      <c r="AJ514" s="35">
        <v>161</v>
      </c>
      <c r="AK514" s="17">
        <v>160.96299010000001</v>
      </c>
      <c r="AV514" s="13">
        <f t="shared" si="30"/>
        <v>-2.2987515527939095E-2</v>
      </c>
      <c r="BD514" s="35">
        <v>511</v>
      </c>
      <c r="BE514" s="35">
        <v>161</v>
      </c>
      <c r="BF514" s="17">
        <v>158.7849276</v>
      </c>
      <c r="BQ514" s="13">
        <f t="shared" si="31"/>
        <v>-1.3758213664596286</v>
      </c>
    </row>
    <row r="515" spans="1:69">
      <c r="A515" s="13">
        <v>512</v>
      </c>
      <c r="B515" s="13">
        <v>205</v>
      </c>
      <c r="C515" s="17">
        <v>167.10043200000001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>
        <f t="shared" si="32"/>
        <v>-18.487594146341458</v>
      </c>
      <c r="N515" s="13"/>
      <c r="O515" s="13">
        <v>512</v>
      </c>
      <c r="P515" s="13">
        <v>205</v>
      </c>
      <c r="Q515" s="17">
        <v>181.84890189999999</v>
      </c>
      <c r="R515" s="13"/>
      <c r="S515" s="13"/>
      <c r="T515" s="13"/>
      <c r="U515" s="13"/>
      <c r="V515" s="13"/>
      <c r="W515" s="13"/>
      <c r="X515" s="13"/>
      <c r="Y515" s="13"/>
      <c r="Z515" s="13"/>
      <c r="AA515" s="13">
        <f t="shared" ref="AA515:AA578" si="33">((Q515/P515)-1)*100</f>
        <v>-11.29321858536586</v>
      </c>
      <c r="AB515" s="13"/>
      <c r="AC515" s="34"/>
      <c r="AD515" s="34"/>
      <c r="AE515" s="34"/>
      <c r="AF515" s="34"/>
      <c r="AG515" s="34"/>
      <c r="AI515" s="35">
        <v>512</v>
      </c>
      <c r="AJ515" s="35">
        <v>205</v>
      </c>
      <c r="AK515" s="17">
        <v>201.62911410000001</v>
      </c>
      <c r="AV515" s="13">
        <f t="shared" si="30"/>
        <v>-1.6443345853658475</v>
      </c>
      <c r="BD515" s="35">
        <v>512</v>
      </c>
      <c r="BE515" s="35">
        <v>205</v>
      </c>
      <c r="BF515" s="17">
        <v>188.87678220000001</v>
      </c>
      <c r="BQ515" s="13">
        <f t="shared" si="31"/>
        <v>-7.8649842926829194</v>
      </c>
    </row>
    <row r="516" spans="1:69">
      <c r="A516" s="13">
        <v>513</v>
      </c>
      <c r="B516" s="13">
        <v>119</v>
      </c>
      <c r="C516" s="17">
        <v>105.3206017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>
        <f t="shared" si="32"/>
        <v>-11.495292689075631</v>
      </c>
      <c r="N516" s="13"/>
      <c r="O516" s="13">
        <v>513</v>
      </c>
      <c r="P516" s="13">
        <v>119</v>
      </c>
      <c r="Q516" s="17">
        <v>106.56092580000001</v>
      </c>
      <c r="R516" s="13"/>
      <c r="S516" s="13"/>
      <c r="T516" s="13"/>
      <c r="U516" s="13"/>
      <c r="V516" s="13"/>
      <c r="W516" s="13"/>
      <c r="X516" s="13"/>
      <c r="Y516" s="13"/>
      <c r="Z516" s="13"/>
      <c r="AA516" s="13">
        <f t="shared" si="33"/>
        <v>-10.453003529411763</v>
      </c>
      <c r="AB516" s="13"/>
      <c r="AC516" s="34"/>
      <c r="AD516" s="34"/>
      <c r="AE516" s="34"/>
      <c r="AF516" s="34"/>
      <c r="AG516" s="34"/>
      <c r="AI516" s="35">
        <v>513</v>
      </c>
      <c r="AJ516" s="35">
        <v>119</v>
      </c>
      <c r="AK516" s="17">
        <v>117.84576029999999</v>
      </c>
      <c r="AV516" s="13">
        <f t="shared" ref="AV516:AV579" si="34">((AK516/AJ516)-1)*100</f>
        <v>-0.9699493277311011</v>
      </c>
      <c r="BD516" s="35">
        <v>513</v>
      </c>
      <c r="BE516" s="35">
        <v>119</v>
      </c>
      <c r="BF516" s="17">
        <v>113.84003679999999</v>
      </c>
      <c r="BQ516" s="13">
        <f t="shared" ref="BQ516:BQ579" si="35">((BF516/BE516)-1)*100</f>
        <v>-4.3361035294117727</v>
      </c>
    </row>
    <row r="517" spans="1:69">
      <c r="A517" s="13">
        <v>514</v>
      </c>
      <c r="B517" s="13">
        <v>177</v>
      </c>
      <c r="C517" s="17">
        <v>164.83409380000001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>
        <f t="shared" si="32"/>
        <v>-6.8733933333333326</v>
      </c>
      <c r="N517" s="13"/>
      <c r="O517" s="13">
        <v>514</v>
      </c>
      <c r="P517" s="13">
        <v>177</v>
      </c>
      <c r="Q517" s="17">
        <v>178.2010496</v>
      </c>
      <c r="R517" s="13"/>
      <c r="S517" s="13"/>
      <c r="T517" s="13"/>
      <c r="U517" s="13"/>
      <c r="V517" s="13"/>
      <c r="W517" s="13"/>
      <c r="X517" s="13"/>
      <c r="Y517" s="13"/>
      <c r="Z517" s="13"/>
      <c r="AA517" s="13">
        <f t="shared" si="33"/>
        <v>0.67855909604519482</v>
      </c>
      <c r="AB517" s="13"/>
      <c r="AC517" s="34"/>
      <c r="AD517" s="34"/>
      <c r="AE517" s="34"/>
      <c r="AF517" s="34"/>
      <c r="AG517" s="34"/>
      <c r="AI517" s="35">
        <v>514</v>
      </c>
      <c r="AJ517" s="35">
        <v>177</v>
      </c>
      <c r="AK517" s="17">
        <v>176.84181129999999</v>
      </c>
      <c r="AV517" s="13">
        <f t="shared" si="34"/>
        <v>-8.9372146892663373E-2</v>
      </c>
      <c r="BD517" s="35">
        <v>514</v>
      </c>
      <c r="BE517" s="35">
        <v>177</v>
      </c>
      <c r="BF517" s="17">
        <v>176.42066059999999</v>
      </c>
      <c r="BQ517" s="13">
        <f t="shared" si="35"/>
        <v>-0.32731039548022922</v>
      </c>
    </row>
    <row r="518" spans="1:69">
      <c r="A518" s="13">
        <v>515</v>
      </c>
      <c r="B518" s="13">
        <v>198</v>
      </c>
      <c r="C518" s="17">
        <v>173.58227289999999</v>
      </c>
      <c r="D518" s="13"/>
      <c r="E518" s="13"/>
      <c r="F518" s="13"/>
      <c r="G518" s="13"/>
      <c r="H518" s="13"/>
      <c r="I518" s="13"/>
      <c r="J518" s="13"/>
      <c r="K518" s="13"/>
      <c r="L518" s="13"/>
      <c r="M518" s="13">
        <f t="shared" si="32"/>
        <v>-12.332185404040407</v>
      </c>
      <c r="N518" s="13"/>
      <c r="O518" s="13">
        <v>515</v>
      </c>
      <c r="P518" s="13">
        <v>198</v>
      </c>
      <c r="Q518" s="17">
        <v>186.98347269999999</v>
      </c>
      <c r="R518" s="13"/>
      <c r="S518" s="13"/>
      <c r="T518" s="13"/>
      <c r="U518" s="13"/>
      <c r="V518" s="13"/>
      <c r="W518" s="13"/>
      <c r="X518" s="13"/>
      <c r="Y518" s="13"/>
      <c r="Z518" s="13"/>
      <c r="AA518" s="13">
        <f t="shared" si="33"/>
        <v>-5.5639026767676842</v>
      </c>
      <c r="AB518" s="13"/>
      <c r="AC518" s="34"/>
      <c r="AD518" s="34"/>
      <c r="AE518" s="34"/>
      <c r="AF518" s="34"/>
      <c r="AG518" s="34"/>
      <c r="AI518" s="35">
        <v>515</v>
      </c>
      <c r="AJ518" s="35">
        <v>198</v>
      </c>
      <c r="AK518" s="17">
        <v>197.93690910000001</v>
      </c>
      <c r="AV518" s="13">
        <f t="shared" si="34"/>
        <v>-3.1864090909083931E-2</v>
      </c>
      <c r="BD518" s="35">
        <v>515</v>
      </c>
      <c r="BE518" s="35">
        <v>198</v>
      </c>
      <c r="BF518" s="17">
        <v>196.46048809999999</v>
      </c>
      <c r="BQ518" s="13">
        <f t="shared" si="35"/>
        <v>-0.77753126262626315</v>
      </c>
    </row>
    <row r="519" spans="1:69">
      <c r="A519" s="13">
        <v>516</v>
      </c>
      <c r="B519" s="13">
        <v>116</v>
      </c>
      <c r="C519" s="17">
        <v>124.6176396</v>
      </c>
      <c r="D519" s="13"/>
      <c r="E519" s="13"/>
      <c r="F519" s="13"/>
      <c r="G519" s="13"/>
      <c r="H519" s="13"/>
      <c r="I519" s="13"/>
      <c r="J519" s="13"/>
      <c r="K519" s="13"/>
      <c r="L519" s="13"/>
      <c r="M519" s="13">
        <f t="shared" si="32"/>
        <v>7.428999655172408</v>
      </c>
      <c r="N519" s="13"/>
      <c r="O519" s="13">
        <v>516</v>
      </c>
      <c r="P519" s="13">
        <v>116</v>
      </c>
      <c r="Q519" s="17">
        <v>124.37084729999999</v>
      </c>
      <c r="R519" s="13"/>
      <c r="S519" s="13"/>
      <c r="T519" s="13"/>
      <c r="U519" s="13"/>
      <c r="V519" s="13"/>
      <c r="W519" s="13"/>
      <c r="X519" s="13"/>
      <c r="Y519" s="13"/>
      <c r="Z519" s="13"/>
      <c r="AA519" s="13">
        <f t="shared" si="33"/>
        <v>7.2162476724137781</v>
      </c>
      <c r="AB519" s="13"/>
      <c r="AC519" s="34"/>
      <c r="AD519" s="34"/>
      <c r="AE519" s="34"/>
      <c r="AF519" s="34"/>
      <c r="AG519" s="34"/>
      <c r="AI519" s="35">
        <v>516</v>
      </c>
      <c r="AJ519" s="35">
        <v>116</v>
      </c>
      <c r="AK519" s="17">
        <v>117.131871</v>
      </c>
      <c r="AV519" s="13">
        <f t="shared" si="34"/>
        <v>0.97575086206895811</v>
      </c>
      <c r="BD519" s="35">
        <v>516</v>
      </c>
      <c r="BE519" s="35">
        <v>116</v>
      </c>
      <c r="BF519" s="17">
        <v>121.6488038</v>
      </c>
      <c r="BQ519" s="13">
        <f t="shared" si="35"/>
        <v>4.8696584482758487</v>
      </c>
    </row>
    <row r="520" spans="1:69">
      <c r="A520" s="13">
        <v>517</v>
      </c>
      <c r="B520" s="13">
        <v>220</v>
      </c>
      <c r="C520" s="17">
        <v>176.758567</v>
      </c>
      <c r="D520" s="13"/>
      <c r="E520" s="13"/>
      <c r="F520" s="13"/>
      <c r="G520" s="13"/>
      <c r="H520" s="13"/>
      <c r="I520" s="13"/>
      <c r="J520" s="13"/>
      <c r="K520" s="13"/>
      <c r="L520" s="13"/>
      <c r="M520" s="13">
        <f t="shared" si="32"/>
        <v>-19.655196818181821</v>
      </c>
      <c r="N520" s="13"/>
      <c r="O520" s="13">
        <v>517</v>
      </c>
      <c r="P520" s="13">
        <v>220</v>
      </c>
      <c r="Q520" s="17">
        <v>192.98599340000001</v>
      </c>
      <c r="R520" s="13"/>
      <c r="S520" s="13"/>
      <c r="T520" s="13"/>
      <c r="U520" s="13"/>
      <c r="V520" s="13"/>
      <c r="W520" s="13"/>
      <c r="X520" s="13"/>
      <c r="Y520" s="13"/>
      <c r="Z520" s="13"/>
      <c r="AA520" s="13">
        <f t="shared" si="33"/>
        <v>-12.2790939090909</v>
      </c>
      <c r="AB520" s="13"/>
      <c r="AC520" s="34"/>
      <c r="AD520" s="34"/>
      <c r="AE520" s="34"/>
      <c r="AF520" s="34"/>
      <c r="AG520" s="34"/>
      <c r="AI520" s="35">
        <v>517</v>
      </c>
      <c r="AJ520" s="35">
        <v>220</v>
      </c>
      <c r="AK520" s="17">
        <v>218.1159873</v>
      </c>
      <c r="AV520" s="13">
        <f t="shared" si="34"/>
        <v>-0.85636940909090686</v>
      </c>
      <c r="BD520" s="35">
        <v>517</v>
      </c>
      <c r="BE520" s="35">
        <v>220</v>
      </c>
      <c r="BF520" s="17">
        <v>207.79027930000001</v>
      </c>
      <c r="BQ520" s="13">
        <f t="shared" si="35"/>
        <v>-5.5498730454545449</v>
      </c>
    </row>
    <row r="521" spans="1:69">
      <c r="A521" s="13">
        <v>518</v>
      </c>
      <c r="B521" s="13">
        <v>59</v>
      </c>
      <c r="C521" s="17">
        <v>77.25986614</v>
      </c>
      <c r="D521" s="13"/>
      <c r="E521" s="13"/>
      <c r="F521" s="13"/>
      <c r="G521" s="13"/>
      <c r="H521" s="13"/>
      <c r="I521" s="13"/>
      <c r="J521" s="13"/>
      <c r="K521" s="13"/>
      <c r="L521" s="13"/>
      <c r="M521" s="13">
        <f t="shared" si="32"/>
        <v>30.948925661016947</v>
      </c>
      <c r="N521" s="13"/>
      <c r="O521" s="13">
        <v>518</v>
      </c>
      <c r="P521" s="13">
        <v>59</v>
      </c>
      <c r="Q521" s="17">
        <v>67.029422519999997</v>
      </c>
      <c r="R521" s="13"/>
      <c r="S521" s="13"/>
      <c r="T521" s="13"/>
      <c r="U521" s="13"/>
      <c r="V521" s="13"/>
      <c r="W521" s="13"/>
      <c r="X521" s="13"/>
      <c r="Y521" s="13"/>
      <c r="Z521" s="13"/>
      <c r="AA521" s="13">
        <f t="shared" si="33"/>
        <v>13.609190711864393</v>
      </c>
      <c r="AB521" s="13"/>
      <c r="AC521" s="34"/>
      <c r="AD521" s="34"/>
      <c r="AE521" s="34"/>
      <c r="AF521" s="34"/>
      <c r="AG521" s="34"/>
      <c r="AI521" s="35">
        <v>518</v>
      </c>
      <c r="AJ521" s="35">
        <v>59</v>
      </c>
      <c r="AK521" s="17">
        <v>59.842517659999999</v>
      </c>
      <c r="AV521" s="13">
        <f t="shared" si="34"/>
        <v>1.4279960338982933</v>
      </c>
      <c r="BD521" s="35">
        <v>518</v>
      </c>
      <c r="BE521" s="35">
        <v>59</v>
      </c>
      <c r="BF521" s="17">
        <v>64.39852449</v>
      </c>
      <c r="BQ521" s="13">
        <f t="shared" si="35"/>
        <v>9.1500415084745832</v>
      </c>
    </row>
    <row r="522" spans="1:69">
      <c r="A522" s="13">
        <v>519</v>
      </c>
      <c r="B522" s="13">
        <v>153</v>
      </c>
      <c r="C522" s="17">
        <v>149.80021669999999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>
        <f t="shared" si="32"/>
        <v>-2.0913616339869323</v>
      </c>
      <c r="N522" s="13"/>
      <c r="O522" s="13">
        <v>519</v>
      </c>
      <c r="P522" s="13">
        <v>153</v>
      </c>
      <c r="Q522" s="17">
        <v>156.39846660000001</v>
      </c>
      <c r="R522" s="13"/>
      <c r="S522" s="13"/>
      <c r="T522" s="13"/>
      <c r="U522" s="13"/>
      <c r="V522" s="13"/>
      <c r="W522" s="13"/>
      <c r="X522" s="13"/>
      <c r="Y522" s="13"/>
      <c r="Z522" s="13"/>
      <c r="AA522" s="13">
        <f t="shared" si="33"/>
        <v>2.2212200000000015</v>
      </c>
      <c r="AB522" s="13"/>
      <c r="AC522" s="34"/>
      <c r="AD522" s="34"/>
      <c r="AE522" s="34"/>
      <c r="AF522" s="34"/>
      <c r="AG522" s="34"/>
      <c r="AI522" s="35">
        <v>519</v>
      </c>
      <c r="AJ522" s="35">
        <v>153</v>
      </c>
      <c r="AK522" s="17">
        <v>153.413004</v>
      </c>
      <c r="AV522" s="13">
        <f t="shared" si="34"/>
        <v>0.26993725490196407</v>
      </c>
      <c r="BD522" s="35">
        <v>519</v>
      </c>
      <c r="BE522" s="35">
        <v>153</v>
      </c>
      <c r="BF522" s="17">
        <v>154.1985741</v>
      </c>
      <c r="BQ522" s="13">
        <f t="shared" si="35"/>
        <v>0.78338176470589271</v>
      </c>
    </row>
    <row r="523" spans="1:69">
      <c r="A523" s="13">
        <v>520</v>
      </c>
      <c r="B523" s="13">
        <v>28</v>
      </c>
      <c r="C523" s="17">
        <v>27.8755763913123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>
        <f t="shared" si="32"/>
        <v>-0.44437003102749673</v>
      </c>
      <c r="N523" s="13"/>
      <c r="O523" s="13">
        <v>520</v>
      </c>
      <c r="P523" s="13">
        <v>28</v>
      </c>
      <c r="Q523" s="17">
        <v>44.220469309999999</v>
      </c>
      <c r="R523" s="13"/>
      <c r="S523" s="13"/>
      <c r="T523" s="13"/>
      <c r="U523" s="13"/>
      <c r="V523" s="13"/>
      <c r="W523" s="13"/>
      <c r="X523" s="13"/>
      <c r="Y523" s="13"/>
      <c r="Z523" s="13"/>
      <c r="AA523" s="13">
        <f t="shared" si="33"/>
        <v>57.930247535714273</v>
      </c>
      <c r="AB523" s="13"/>
      <c r="AC523" s="34"/>
      <c r="AD523" s="34"/>
      <c r="AE523" s="34"/>
      <c r="AF523" s="34"/>
      <c r="AG523" s="34"/>
      <c r="AI523" s="35">
        <v>520</v>
      </c>
      <c r="AJ523" s="35">
        <v>28</v>
      </c>
      <c r="AK523" s="17">
        <v>29.98842634</v>
      </c>
      <c r="AV523" s="13">
        <f t="shared" si="34"/>
        <v>7.1015226428571498</v>
      </c>
      <c r="BD523" s="35">
        <v>520</v>
      </c>
      <c r="BE523" s="35">
        <v>28</v>
      </c>
      <c r="BF523" s="17">
        <v>35.720420730000001</v>
      </c>
      <c r="BQ523" s="13">
        <f t="shared" si="35"/>
        <v>27.572931178571423</v>
      </c>
    </row>
    <row r="524" spans="1:69">
      <c r="A524" s="13">
        <v>521</v>
      </c>
      <c r="B524" s="13">
        <v>44</v>
      </c>
      <c r="C524" s="17">
        <v>36.622319491782001</v>
      </c>
      <c r="D524" s="13"/>
      <c r="E524" s="13"/>
      <c r="F524" s="13"/>
      <c r="G524" s="13"/>
      <c r="H524" s="13"/>
      <c r="I524" s="13"/>
      <c r="J524" s="13"/>
      <c r="K524" s="13"/>
      <c r="L524" s="13"/>
      <c r="M524" s="13">
        <f t="shared" si="32"/>
        <v>-16.767455700495447</v>
      </c>
      <c r="N524" s="13"/>
      <c r="O524" s="13">
        <v>521</v>
      </c>
      <c r="P524" s="13">
        <v>44</v>
      </c>
      <c r="Q524" s="17">
        <v>62.721600070000001</v>
      </c>
      <c r="R524" s="13"/>
      <c r="S524" s="13"/>
      <c r="T524" s="13"/>
      <c r="U524" s="13"/>
      <c r="V524" s="13"/>
      <c r="W524" s="13"/>
      <c r="X524" s="13"/>
      <c r="Y524" s="13"/>
      <c r="Z524" s="13"/>
      <c r="AA524" s="13">
        <f t="shared" si="33"/>
        <v>42.549091068181809</v>
      </c>
      <c r="AB524" s="13"/>
      <c r="AC524" s="34"/>
      <c r="AD524" s="34"/>
      <c r="AE524" s="34"/>
      <c r="AF524" s="34"/>
      <c r="AG524" s="34"/>
      <c r="AI524" s="35">
        <v>521</v>
      </c>
      <c r="AJ524" s="35">
        <v>44</v>
      </c>
      <c r="AK524" s="17">
        <v>45.639004960000001</v>
      </c>
      <c r="AV524" s="13">
        <f t="shared" si="34"/>
        <v>3.7250112727272855</v>
      </c>
      <c r="BD524" s="35">
        <v>521</v>
      </c>
      <c r="BE524" s="35">
        <v>44</v>
      </c>
      <c r="BF524" s="17">
        <v>49.615653829999999</v>
      </c>
      <c r="BQ524" s="13">
        <f t="shared" si="35"/>
        <v>12.762849613636362</v>
      </c>
    </row>
    <row r="525" spans="1:69">
      <c r="A525" s="13">
        <v>522</v>
      </c>
      <c r="B525" s="13">
        <v>16</v>
      </c>
      <c r="C525" s="17">
        <v>13.3008886642387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>
        <f t="shared" si="32"/>
        <v>-16.869445848508125</v>
      </c>
      <c r="N525" s="13"/>
      <c r="O525" s="13">
        <v>522</v>
      </c>
      <c r="P525" s="13">
        <v>16</v>
      </c>
      <c r="Q525" s="17">
        <v>11.545588234958799</v>
      </c>
      <c r="R525" s="13"/>
      <c r="S525" s="13"/>
      <c r="T525" s="13"/>
      <c r="U525" s="13"/>
      <c r="V525" s="13"/>
      <c r="W525" s="13"/>
      <c r="X525" s="13"/>
      <c r="Y525" s="13"/>
      <c r="Z525" s="13"/>
      <c r="AA525" s="13">
        <f t="shared" si="33"/>
        <v>-27.840073531507503</v>
      </c>
      <c r="AB525" s="13"/>
      <c r="AC525" s="34"/>
      <c r="AD525" s="34"/>
      <c r="AE525" s="34"/>
      <c r="AF525" s="34"/>
      <c r="AG525" s="34"/>
      <c r="AI525" s="35">
        <v>522</v>
      </c>
      <c r="AJ525" s="35">
        <v>16</v>
      </c>
      <c r="AK525" s="17">
        <v>17.830586969999999</v>
      </c>
      <c r="AV525" s="13">
        <f t="shared" si="34"/>
        <v>11.441168562499993</v>
      </c>
      <c r="BD525" s="35">
        <v>522</v>
      </c>
      <c r="BE525" s="35">
        <v>16</v>
      </c>
      <c r="BF525" s="17">
        <v>14.1734655006737</v>
      </c>
      <c r="BQ525" s="13">
        <f t="shared" si="35"/>
        <v>-11.415840620789375</v>
      </c>
    </row>
    <row r="526" spans="1:69">
      <c r="A526" s="13">
        <v>523</v>
      </c>
      <c r="B526" s="13">
        <v>188</v>
      </c>
      <c r="C526" s="17">
        <v>144.6770606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>
        <f t="shared" si="32"/>
        <v>-23.04411670212766</v>
      </c>
      <c r="N526" s="13"/>
      <c r="O526" s="13">
        <v>523</v>
      </c>
      <c r="P526" s="13">
        <v>188</v>
      </c>
      <c r="Q526" s="17">
        <v>161.1855477</v>
      </c>
      <c r="R526" s="13"/>
      <c r="S526" s="13"/>
      <c r="T526" s="13"/>
      <c r="U526" s="13"/>
      <c r="V526" s="13"/>
      <c r="W526" s="13"/>
      <c r="X526" s="13"/>
      <c r="Y526" s="13"/>
      <c r="Z526" s="13"/>
      <c r="AA526" s="13">
        <f t="shared" si="33"/>
        <v>-14.263006542553192</v>
      </c>
      <c r="AB526" s="13"/>
      <c r="AC526" s="34"/>
      <c r="AD526" s="34"/>
      <c r="AE526" s="34"/>
      <c r="AF526" s="34"/>
      <c r="AG526" s="34"/>
      <c r="AI526" s="35">
        <v>523</v>
      </c>
      <c r="AJ526" s="35">
        <v>188</v>
      </c>
      <c r="AK526" s="17">
        <v>185.31861499999999</v>
      </c>
      <c r="AV526" s="13">
        <f t="shared" si="34"/>
        <v>-1.4262686170212757</v>
      </c>
      <c r="BD526" s="35">
        <v>523</v>
      </c>
      <c r="BE526" s="35">
        <v>188</v>
      </c>
      <c r="BF526" s="17">
        <v>174.7340366</v>
      </c>
      <c r="BQ526" s="13">
        <f t="shared" si="35"/>
        <v>-7.0563635106382971</v>
      </c>
    </row>
    <row r="527" spans="1:69">
      <c r="A527" s="13">
        <v>524</v>
      </c>
      <c r="B527" s="13">
        <v>86</v>
      </c>
      <c r="C527" s="17">
        <v>99.399887879999994</v>
      </c>
      <c r="D527" s="13"/>
      <c r="E527" s="13"/>
      <c r="F527" s="13"/>
      <c r="G527" s="13"/>
      <c r="H527" s="13"/>
      <c r="I527" s="13"/>
      <c r="J527" s="13"/>
      <c r="K527" s="13"/>
      <c r="L527" s="13"/>
      <c r="M527" s="13">
        <f t="shared" si="32"/>
        <v>15.581264976744169</v>
      </c>
      <c r="N527" s="13"/>
      <c r="O527" s="13">
        <v>524</v>
      </c>
      <c r="P527" s="13">
        <v>86</v>
      </c>
      <c r="Q527" s="17">
        <v>93.234304739999999</v>
      </c>
      <c r="R527" s="13"/>
      <c r="S527" s="13"/>
      <c r="T527" s="13"/>
      <c r="U527" s="13"/>
      <c r="V527" s="13"/>
      <c r="W527" s="13"/>
      <c r="X527" s="13"/>
      <c r="Y527" s="13"/>
      <c r="Z527" s="13"/>
      <c r="AA527" s="13">
        <f t="shared" si="33"/>
        <v>8.4119822558139425</v>
      </c>
      <c r="AB527" s="13"/>
      <c r="AC527" s="34"/>
      <c r="AD527" s="34"/>
      <c r="AE527" s="34"/>
      <c r="AF527" s="34"/>
      <c r="AG527" s="34"/>
      <c r="AI527" s="35">
        <v>524</v>
      </c>
      <c r="AJ527" s="35">
        <v>86</v>
      </c>
      <c r="AK527" s="17">
        <v>86.711048509999998</v>
      </c>
      <c r="AV527" s="13">
        <f t="shared" si="34"/>
        <v>0.82680059302324693</v>
      </c>
      <c r="BD527" s="35">
        <v>524</v>
      </c>
      <c r="BE527" s="35">
        <v>86</v>
      </c>
      <c r="BF527" s="17">
        <v>88.479276580000004</v>
      </c>
      <c r="BQ527" s="13">
        <f t="shared" si="35"/>
        <v>2.8828797441860621</v>
      </c>
    </row>
    <row r="528" spans="1:69">
      <c r="A528" s="13">
        <v>525</v>
      </c>
      <c r="B528" s="13">
        <v>121</v>
      </c>
      <c r="C528" s="17">
        <v>132.27318009999999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>
        <f t="shared" si="32"/>
        <v>9.3166777685950386</v>
      </c>
      <c r="N528" s="13"/>
      <c r="O528" s="13">
        <v>525</v>
      </c>
      <c r="P528" s="13">
        <v>121</v>
      </c>
      <c r="Q528" s="17">
        <v>131.5537032</v>
      </c>
      <c r="R528" s="13"/>
      <c r="S528" s="13"/>
      <c r="T528" s="13"/>
      <c r="U528" s="13"/>
      <c r="V528" s="13"/>
      <c r="W528" s="13"/>
      <c r="X528" s="13"/>
      <c r="Y528" s="13"/>
      <c r="Z528" s="13"/>
      <c r="AA528" s="13">
        <f t="shared" si="33"/>
        <v>8.7220687603305702</v>
      </c>
      <c r="AB528" s="13"/>
      <c r="AC528" s="34"/>
      <c r="AD528" s="34"/>
      <c r="AE528" s="34"/>
      <c r="AF528" s="34"/>
      <c r="AG528" s="34"/>
      <c r="AI528" s="35">
        <v>525</v>
      </c>
      <c r="AJ528" s="35">
        <v>121</v>
      </c>
      <c r="AK528" s="17">
        <v>123.2541102</v>
      </c>
      <c r="AV528" s="13">
        <f t="shared" si="34"/>
        <v>1.8629009917355388</v>
      </c>
      <c r="BD528" s="35">
        <v>525</v>
      </c>
      <c r="BE528" s="35">
        <v>121</v>
      </c>
      <c r="BF528" s="17">
        <v>128.97219000000001</v>
      </c>
      <c r="BQ528" s="13">
        <f t="shared" si="35"/>
        <v>6.5885867768595174</v>
      </c>
    </row>
    <row r="529" spans="1:69">
      <c r="A529" s="13">
        <v>526</v>
      </c>
      <c r="B529" s="13">
        <v>18</v>
      </c>
      <c r="C529" s="17">
        <v>28.935967957808899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>
        <f t="shared" si="32"/>
        <v>60.755377543382764</v>
      </c>
      <c r="N529" s="13"/>
      <c r="O529" s="13">
        <v>526</v>
      </c>
      <c r="P529" s="13">
        <v>18</v>
      </c>
      <c r="Q529" s="17">
        <v>12.739264616693699</v>
      </c>
      <c r="R529" s="13"/>
      <c r="S529" s="13"/>
      <c r="T529" s="13"/>
      <c r="U529" s="13"/>
      <c r="V529" s="13"/>
      <c r="W529" s="13"/>
      <c r="X529" s="13"/>
      <c r="Y529" s="13"/>
      <c r="Z529" s="13"/>
      <c r="AA529" s="13">
        <f t="shared" si="33"/>
        <v>-29.226307685035003</v>
      </c>
      <c r="AB529" s="13"/>
      <c r="AC529" s="34"/>
      <c r="AD529" s="34"/>
      <c r="AE529" s="34"/>
      <c r="AF529" s="34"/>
      <c r="AG529" s="34"/>
      <c r="AI529" s="35">
        <v>526</v>
      </c>
      <c r="AJ529" s="35">
        <v>18</v>
      </c>
      <c r="AK529" s="17">
        <v>18.1113</v>
      </c>
      <c r="AV529" s="13">
        <f t="shared" si="34"/>
        <v>0.61833333333334295</v>
      </c>
      <c r="BD529" s="35">
        <v>526</v>
      </c>
      <c r="BE529" s="35">
        <v>18</v>
      </c>
      <c r="BF529" s="17">
        <v>20.052395350000001</v>
      </c>
      <c r="BQ529" s="13">
        <f t="shared" si="35"/>
        <v>11.402196388888886</v>
      </c>
    </row>
    <row r="530" spans="1:69">
      <c r="A530" s="13">
        <v>527</v>
      </c>
      <c r="B530" s="13">
        <v>89</v>
      </c>
      <c r="C530" s="17">
        <v>101.27717149999999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>
        <f t="shared" si="32"/>
        <v>13.794574719101128</v>
      </c>
      <c r="N530" s="13"/>
      <c r="O530" s="13">
        <v>527</v>
      </c>
      <c r="P530" s="13">
        <v>89</v>
      </c>
      <c r="Q530" s="17">
        <v>96.587970490000004</v>
      </c>
      <c r="R530" s="13"/>
      <c r="S530" s="13"/>
      <c r="T530" s="13"/>
      <c r="U530" s="13"/>
      <c r="V530" s="13"/>
      <c r="W530" s="13"/>
      <c r="X530" s="13"/>
      <c r="Y530" s="13"/>
      <c r="Z530" s="13"/>
      <c r="AA530" s="13">
        <f t="shared" si="33"/>
        <v>8.5258095393258451</v>
      </c>
      <c r="AB530" s="13"/>
      <c r="AC530" s="34"/>
      <c r="AD530" s="34"/>
      <c r="AE530" s="34"/>
      <c r="AF530" s="34"/>
      <c r="AG530" s="34"/>
      <c r="AI530" s="35">
        <v>527</v>
      </c>
      <c r="AJ530" s="35">
        <v>89</v>
      </c>
      <c r="AK530" s="17">
        <v>89.817050409999993</v>
      </c>
      <c r="AV530" s="13">
        <f t="shared" si="34"/>
        <v>0.91803416853932784</v>
      </c>
      <c r="BD530" s="35">
        <v>527</v>
      </c>
      <c r="BE530" s="35">
        <v>89</v>
      </c>
      <c r="BF530" s="17">
        <v>92.989175189999997</v>
      </c>
      <c r="BQ530" s="13">
        <f t="shared" si="35"/>
        <v>4.482219314606728</v>
      </c>
    </row>
    <row r="531" spans="1:69">
      <c r="A531" s="13">
        <v>528</v>
      </c>
      <c r="B531" s="13">
        <v>16</v>
      </c>
      <c r="C531" s="17">
        <v>22.298081019951901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>
        <f t="shared" si="32"/>
        <v>39.363006374699381</v>
      </c>
      <c r="N531" s="13"/>
      <c r="O531" s="13">
        <v>528</v>
      </c>
      <c r="P531" s="13">
        <v>16</v>
      </c>
      <c r="Q531" s="17">
        <v>21.352196096926001</v>
      </c>
      <c r="R531" s="13"/>
      <c r="S531" s="13"/>
      <c r="T531" s="13"/>
      <c r="U531" s="13"/>
      <c r="V531" s="13"/>
      <c r="W531" s="13"/>
      <c r="X531" s="13"/>
      <c r="Y531" s="13"/>
      <c r="Z531" s="13"/>
      <c r="AA531" s="13">
        <f t="shared" si="33"/>
        <v>33.451225605787506</v>
      </c>
      <c r="AB531" s="13"/>
      <c r="AC531" s="34"/>
      <c r="AD531" s="34"/>
      <c r="AE531" s="34"/>
      <c r="AF531" s="34"/>
      <c r="AG531" s="34"/>
      <c r="AI531" s="35">
        <v>528</v>
      </c>
      <c r="AJ531" s="35">
        <v>16</v>
      </c>
      <c r="AK531" s="17">
        <v>16.23207081</v>
      </c>
      <c r="AV531" s="13">
        <f t="shared" si="34"/>
        <v>1.4504425624999984</v>
      </c>
      <c r="BD531" s="35">
        <v>528</v>
      </c>
      <c r="BE531" s="35">
        <v>16</v>
      </c>
      <c r="BF531" s="17">
        <v>18.23513144</v>
      </c>
      <c r="BQ531" s="13">
        <f t="shared" si="35"/>
        <v>13.969571500000001</v>
      </c>
    </row>
    <row r="532" spans="1:69">
      <c r="A532" s="13">
        <v>529</v>
      </c>
      <c r="B532" s="13">
        <v>120</v>
      </c>
      <c r="C532" s="17">
        <v>118.96771769999999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>
        <f t="shared" si="32"/>
        <v>-0.86023525000000767</v>
      </c>
      <c r="N532" s="13"/>
      <c r="O532" s="13">
        <v>529</v>
      </c>
      <c r="P532" s="13">
        <v>120</v>
      </c>
      <c r="Q532" s="17">
        <v>120.1441159</v>
      </c>
      <c r="R532" s="13"/>
      <c r="S532" s="13"/>
      <c r="T532" s="13"/>
      <c r="U532" s="13"/>
      <c r="V532" s="13"/>
      <c r="W532" s="13"/>
      <c r="X532" s="13"/>
      <c r="Y532" s="13"/>
      <c r="Z532" s="13"/>
      <c r="AA532" s="13">
        <f t="shared" si="33"/>
        <v>0.12009658333334006</v>
      </c>
      <c r="AB532" s="13"/>
      <c r="AC532" s="34"/>
      <c r="AD532" s="34"/>
      <c r="AE532" s="34"/>
      <c r="AF532" s="34"/>
      <c r="AG532" s="34"/>
      <c r="AI532" s="35">
        <v>529</v>
      </c>
      <c r="AJ532" s="35">
        <v>120</v>
      </c>
      <c r="AK532" s="17">
        <v>120.07150470000001</v>
      </c>
      <c r="AV532" s="13">
        <f t="shared" si="34"/>
        <v>5.9587250000014969E-2</v>
      </c>
      <c r="BD532" s="35">
        <v>529</v>
      </c>
      <c r="BE532" s="35">
        <v>120</v>
      </c>
      <c r="BF532" s="17">
        <v>119.9225632</v>
      </c>
      <c r="BQ532" s="13">
        <f t="shared" si="35"/>
        <v>-6.4530666666662295E-2</v>
      </c>
    </row>
    <row r="533" spans="1:69">
      <c r="A533" s="13">
        <v>530</v>
      </c>
      <c r="B533" s="13">
        <v>57</v>
      </c>
      <c r="C533" s="17">
        <v>84.534021429999996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>
        <f t="shared" si="32"/>
        <v>48.305300754385947</v>
      </c>
      <c r="N533" s="13"/>
      <c r="O533" s="13">
        <v>530</v>
      </c>
      <c r="P533" s="13">
        <v>57</v>
      </c>
      <c r="Q533" s="17">
        <v>70.52855907</v>
      </c>
      <c r="R533" s="13"/>
      <c r="S533" s="13"/>
      <c r="T533" s="13"/>
      <c r="U533" s="13"/>
      <c r="V533" s="13"/>
      <c r="W533" s="13"/>
      <c r="X533" s="13"/>
      <c r="Y533" s="13"/>
      <c r="Z533" s="13"/>
      <c r="AA533" s="13">
        <f t="shared" si="33"/>
        <v>23.73431415789473</v>
      </c>
      <c r="AB533" s="13"/>
      <c r="AC533" s="34"/>
      <c r="AD533" s="34"/>
      <c r="AE533" s="34"/>
      <c r="AF533" s="34"/>
      <c r="AG533" s="34"/>
      <c r="AI533" s="35">
        <v>530</v>
      </c>
      <c r="AJ533" s="35">
        <v>57</v>
      </c>
      <c r="AK533" s="17">
        <v>59.57165328</v>
      </c>
      <c r="AV533" s="13">
        <f t="shared" si="34"/>
        <v>4.5116724210526371</v>
      </c>
      <c r="BD533" s="35">
        <v>530</v>
      </c>
      <c r="BE533" s="35">
        <v>57</v>
      </c>
      <c r="BF533" s="17">
        <v>67.894602309999996</v>
      </c>
      <c r="BQ533" s="13">
        <f t="shared" si="35"/>
        <v>19.113337385964901</v>
      </c>
    </row>
    <row r="534" spans="1:69">
      <c r="A534" s="13">
        <v>531</v>
      </c>
      <c r="B534" s="13">
        <v>132</v>
      </c>
      <c r="C534" s="17">
        <v>126.7904478</v>
      </c>
      <c r="D534" s="13"/>
      <c r="E534" s="13"/>
      <c r="F534" s="13"/>
      <c r="G534" s="13"/>
      <c r="H534" s="13"/>
      <c r="I534" s="13"/>
      <c r="J534" s="13"/>
      <c r="K534" s="13"/>
      <c r="L534" s="13"/>
      <c r="M534" s="13">
        <f t="shared" si="32"/>
        <v>-3.9466304545454634</v>
      </c>
      <c r="N534" s="13"/>
      <c r="O534" s="13">
        <v>531</v>
      </c>
      <c r="P534" s="13">
        <v>132</v>
      </c>
      <c r="Q534" s="17">
        <v>132.84319070000001</v>
      </c>
      <c r="R534" s="13"/>
      <c r="S534" s="13"/>
      <c r="T534" s="13"/>
      <c r="U534" s="13"/>
      <c r="V534" s="13"/>
      <c r="W534" s="13"/>
      <c r="X534" s="13"/>
      <c r="Y534" s="13"/>
      <c r="Z534" s="13"/>
      <c r="AA534" s="13">
        <f t="shared" si="33"/>
        <v>0.63878083333333002</v>
      </c>
      <c r="AB534" s="13"/>
      <c r="AC534" s="34"/>
      <c r="AD534" s="34"/>
      <c r="AE534" s="34"/>
      <c r="AF534" s="34"/>
      <c r="AG534" s="34"/>
      <c r="AI534" s="35">
        <v>531</v>
      </c>
      <c r="AJ534" s="35">
        <v>132</v>
      </c>
      <c r="AK534" s="17">
        <v>132.0024611</v>
      </c>
      <c r="AV534" s="13">
        <f t="shared" si="34"/>
        <v>1.8644696969660757E-3</v>
      </c>
      <c r="BD534" s="35">
        <v>531</v>
      </c>
      <c r="BE534" s="35">
        <v>132</v>
      </c>
      <c r="BF534" s="17">
        <v>132.8851851</v>
      </c>
      <c r="BQ534" s="13">
        <f t="shared" si="35"/>
        <v>0.67059477272728429</v>
      </c>
    </row>
    <row r="535" spans="1:69">
      <c r="A535" s="13">
        <v>532</v>
      </c>
      <c r="B535" s="13">
        <v>221</v>
      </c>
      <c r="C535" s="17">
        <v>174.7033587</v>
      </c>
      <c r="D535" s="13"/>
      <c r="E535" s="13"/>
      <c r="F535" s="13"/>
      <c r="G535" s="13"/>
      <c r="H535" s="13"/>
      <c r="I535" s="13"/>
      <c r="J535" s="13"/>
      <c r="K535" s="13"/>
      <c r="L535" s="13"/>
      <c r="M535" s="13">
        <f t="shared" si="32"/>
        <v>-20.948706470588242</v>
      </c>
      <c r="N535" s="13"/>
      <c r="O535" s="13">
        <v>532</v>
      </c>
      <c r="P535" s="13">
        <v>221</v>
      </c>
      <c r="Q535" s="17">
        <v>192.53230429999999</v>
      </c>
      <c r="R535" s="13"/>
      <c r="S535" s="13"/>
      <c r="T535" s="13"/>
      <c r="U535" s="13"/>
      <c r="V535" s="13"/>
      <c r="W535" s="13"/>
      <c r="X535" s="13"/>
      <c r="Y535" s="13"/>
      <c r="Z535" s="13"/>
      <c r="AA535" s="13">
        <f t="shared" si="33"/>
        <v>-12.881310271493218</v>
      </c>
      <c r="AB535" s="13"/>
      <c r="AC535" s="34"/>
      <c r="AD535" s="34"/>
      <c r="AE535" s="34"/>
      <c r="AF535" s="34"/>
      <c r="AG535" s="34"/>
      <c r="AI535" s="35">
        <v>532</v>
      </c>
      <c r="AJ535" s="35">
        <v>221</v>
      </c>
      <c r="AK535" s="17">
        <v>218.9177655</v>
      </c>
      <c r="AV535" s="13">
        <f t="shared" si="34"/>
        <v>-0.94218755656108044</v>
      </c>
      <c r="BD535" s="35">
        <v>532</v>
      </c>
      <c r="BE535" s="35">
        <v>221</v>
      </c>
      <c r="BF535" s="17">
        <v>208.8984983</v>
      </c>
      <c r="BQ535" s="13">
        <f t="shared" si="35"/>
        <v>-5.4757926244343942</v>
      </c>
    </row>
    <row r="536" spans="1:69">
      <c r="A536" s="13">
        <v>533</v>
      </c>
      <c r="B536" s="13">
        <v>99</v>
      </c>
      <c r="C536" s="17">
        <v>114.0231426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>
        <f t="shared" si="32"/>
        <v>15.174891515151522</v>
      </c>
      <c r="N536" s="13"/>
      <c r="O536" s="13">
        <v>533</v>
      </c>
      <c r="P536" s="13">
        <v>99</v>
      </c>
      <c r="Q536" s="17">
        <v>107.7590965</v>
      </c>
      <c r="R536" s="13"/>
      <c r="S536" s="13"/>
      <c r="T536" s="13"/>
      <c r="U536" s="13"/>
      <c r="V536" s="13"/>
      <c r="W536" s="13"/>
      <c r="X536" s="13"/>
      <c r="Y536" s="13"/>
      <c r="Z536" s="13"/>
      <c r="AA536" s="13">
        <f t="shared" si="33"/>
        <v>8.8475722222222117</v>
      </c>
      <c r="AB536" s="13"/>
      <c r="AC536" s="34"/>
      <c r="AD536" s="34"/>
      <c r="AE536" s="34"/>
      <c r="AF536" s="34"/>
      <c r="AG536" s="34"/>
      <c r="AI536" s="35">
        <v>533</v>
      </c>
      <c r="AJ536" s="35">
        <v>99</v>
      </c>
      <c r="AK536" s="17">
        <v>99.34251313</v>
      </c>
      <c r="AV536" s="13">
        <f t="shared" si="34"/>
        <v>0.34597285858586346</v>
      </c>
      <c r="BD536" s="35">
        <v>533</v>
      </c>
      <c r="BE536" s="35">
        <v>99</v>
      </c>
      <c r="BF536" s="17">
        <v>101.7776902</v>
      </c>
      <c r="BQ536" s="13">
        <f t="shared" si="35"/>
        <v>2.805747676767667</v>
      </c>
    </row>
    <row r="537" spans="1:69">
      <c r="A537" s="13">
        <v>534</v>
      </c>
      <c r="B537" s="13">
        <v>5</v>
      </c>
      <c r="C537" s="17">
        <v>5.40919724120248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>
        <f t="shared" si="32"/>
        <v>8.183944824049604</v>
      </c>
      <c r="N537" s="13"/>
      <c r="O537" s="13">
        <v>534</v>
      </c>
      <c r="P537" s="13">
        <v>5</v>
      </c>
      <c r="Q537" s="17">
        <v>7.4137157548022996</v>
      </c>
      <c r="R537" s="13"/>
      <c r="S537" s="13"/>
      <c r="T537" s="13"/>
      <c r="U537" s="13"/>
      <c r="V537" s="13"/>
      <c r="W537" s="13"/>
      <c r="X537" s="13"/>
      <c r="Y537" s="13"/>
      <c r="Z537" s="13"/>
      <c r="AA537" s="13">
        <f t="shared" si="33"/>
        <v>48.274315096045981</v>
      </c>
      <c r="AB537" s="13"/>
      <c r="AC537" s="34"/>
      <c r="AD537" s="34"/>
      <c r="AE537" s="34"/>
      <c r="AF537" s="34"/>
      <c r="AG537" s="34"/>
      <c r="AI537" s="35">
        <v>534</v>
      </c>
      <c r="AJ537" s="35">
        <v>5</v>
      </c>
      <c r="AK537" s="17">
        <v>6.359265766</v>
      </c>
      <c r="AV537" s="13">
        <f t="shared" si="34"/>
        <v>27.185315319999994</v>
      </c>
      <c r="BD537" s="35">
        <v>534</v>
      </c>
      <c r="BE537" s="35">
        <v>5</v>
      </c>
      <c r="BF537" s="17">
        <v>5.71410599994993</v>
      </c>
      <c r="BQ537" s="13">
        <f t="shared" si="35"/>
        <v>14.282119998998599</v>
      </c>
    </row>
    <row r="538" spans="1:69">
      <c r="A538" s="13">
        <v>535</v>
      </c>
      <c r="B538" s="13">
        <v>213</v>
      </c>
      <c r="C538" s="17">
        <v>157.59215889999999</v>
      </c>
      <c r="D538" s="13"/>
      <c r="E538" s="13"/>
      <c r="F538" s="13"/>
      <c r="G538" s="13"/>
      <c r="H538" s="13"/>
      <c r="I538" s="13"/>
      <c r="J538" s="13"/>
      <c r="K538" s="13"/>
      <c r="L538" s="13"/>
      <c r="M538" s="13">
        <f t="shared" si="32"/>
        <v>-26.013070938967143</v>
      </c>
      <c r="N538" s="13"/>
      <c r="O538" s="13">
        <v>535</v>
      </c>
      <c r="P538" s="13">
        <v>213</v>
      </c>
      <c r="Q538" s="17">
        <v>177.22773839999999</v>
      </c>
      <c r="R538" s="13"/>
      <c r="S538" s="13"/>
      <c r="T538" s="13"/>
      <c r="U538" s="13"/>
      <c r="V538" s="13"/>
      <c r="W538" s="13"/>
      <c r="X538" s="13"/>
      <c r="Y538" s="13"/>
      <c r="Z538" s="13"/>
      <c r="AA538" s="13">
        <f t="shared" si="33"/>
        <v>-16.794489014084512</v>
      </c>
      <c r="AB538" s="13"/>
      <c r="AC538" s="34"/>
      <c r="AD538" s="34"/>
      <c r="AE538" s="34"/>
      <c r="AF538" s="34"/>
      <c r="AG538" s="34"/>
      <c r="AI538" s="35">
        <v>535</v>
      </c>
      <c r="AJ538" s="35">
        <v>213</v>
      </c>
      <c r="AK538" s="17">
        <v>213</v>
      </c>
      <c r="AV538" s="13">
        <f t="shared" si="34"/>
        <v>0</v>
      </c>
      <c r="BD538" s="35">
        <v>535</v>
      </c>
      <c r="BE538" s="35">
        <v>213</v>
      </c>
      <c r="BF538" s="17">
        <v>212.0946797</v>
      </c>
      <c r="BQ538" s="13">
        <f t="shared" si="35"/>
        <v>-0.4250330046948303</v>
      </c>
    </row>
    <row r="539" spans="1:69">
      <c r="A539" s="13">
        <v>536</v>
      </c>
      <c r="B539" s="13">
        <v>98</v>
      </c>
      <c r="C539" s="17">
        <v>106.8693119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>
        <f t="shared" si="32"/>
        <v>9.0503182653061121</v>
      </c>
      <c r="N539" s="13"/>
      <c r="O539" s="13">
        <v>536</v>
      </c>
      <c r="P539" s="13">
        <v>98</v>
      </c>
      <c r="Q539" s="17">
        <v>105.8317122</v>
      </c>
      <c r="R539" s="13"/>
      <c r="S539" s="13"/>
      <c r="T539" s="13"/>
      <c r="U539" s="13"/>
      <c r="V539" s="13"/>
      <c r="W539" s="13"/>
      <c r="X539" s="13"/>
      <c r="Y539" s="13"/>
      <c r="Z539" s="13"/>
      <c r="AA539" s="13">
        <f t="shared" si="33"/>
        <v>7.9915430612244931</v>
      </c>
      <c r="AB539" s="13"/>
      <c r="AC539" s="34"/>
      <c r="AD539" s="34"/>
      <c r="AE539" s="34"/>
      <c r="AF539" s="34"/>
      <c r="AG539" s="34"/>
      <c r="AI539" s="35">
        <v>536</v>
      </c>
      <c r="AJ539" s="35">
        <v>98</v>
      </c>
      <c r="AK539" s="17">
        <v>98.81774729</v>
      </c>
      <c r="AV539" s="13">
        <f t="shared" si="34"/>
        <v>0.83443601020407598</v>
      </c>
      <c r="BD539" s="35">
        <v>536</v>
      </c>
      <c r="BE539" s="35">
        <v>98</v>
      </c>
      <c r="BF539" s="17">
        <v>100.9621234</v>
      </c>
      <c r="BQ539" s="13">
        <f t="shared" si="35"/>
        <v>3.0225748979591849</v>
      </c>
    </row>
    <row r="540" spans="1:69">
      <c r="A540" s="13">
        <v>537</v>
      </c>
      <c r="B540" s="13">
        <v>65</v>
      </c>
      <c r="C540" s="17">
        <v>68.479834010000005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>
        <f t="shared" si="32"/>
        <v>5.3535907846153918</v>
      </c>
      <c r="N540" s="13"/>
      <c r="O540" s="13">
        <v>537</v>
      </c>
      <c r="P540" s="13">
        <v>65</v>
      </c>
      <c r="Q540" s="17">
        <v>61.877990099999998</v>
      </c>
      <c r="R540" s="13"/>
      <c r="S540" s="13"/>
      <c r="T540" s="13"/>
      <c r="U540" s="13"/>
      <c r="V540" s="13"/>
      <c r="W540" s="13"/>
      <c r="X540" s="13"/>
      <c r="Y540" s="13"/>
      <c r="Z540" s="13"/>
      <c r="AA540" s="13">
        <f t="shared" si="33"/>
        <v>-4.8030921538461557</v>
      </c>
      <c r="AB540" s="13"/>
      <c r="AC540" s="34"/>
      <c r="AD540" s="34"/>
      <c r="AE540" s="34"/>
      <c r="AF540" s="34"/>
      <c r="AG540" s="34"/>
      <c r="AI540" s="35">
        <v>537</v>
      </c>
      <c r="AJ540" s="35">
        <v>65</v>
      </c>
      <c r="AK540" s="17">
        <v>64.956553209999996</v>
      </c>
      <c r="AV540" s="13">
        <f t="shared" si="34"/>
        <v>-6.6841215384627617E-2</v>
      </c>
      <c r="BD540" s="35">
        <v>537</v>
      </c>
      <c r="BE540" s="35">
        <v>65</v>
      </c>
      <c r="BF540" s="17">
        <v>62.736901410000002</v>
      </c>
      <c r="BQ540" s="13">
        <f t="shared" si="35"/>
        <v>-3.4816901384615351</v>
      </c>
    </row>
    <row r="541" spans="1:69">
      <c r="A541" s="13">
        <v>538</v>
      </c>
      <c r="B541" s="13">
        <v>199</v>
      </c>
      <c r="C541" s="17">
        <v>170.32178070000001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>
        <f t="shared" si="32"/>
        <v>-14.411165477386934</v>
      </c>
      <c r="N541" s="13"/>
      <c r="O541" s="13">
        <v>538</v>
      </c>
      <c r="P541" s="13">
        <v>199</v>
      </c>
      <c r="Q541" s="17">
        <v>187.94677440000001</v>
      </c>
      <c r="R541" s="13"/>
      <c r="S541" s="13"/>
      <c r="T541" s="13"/>
      <c r="U541" s="13"/>
      <c r="V541" s="13"/>
      <c r="W541" s="13"/>
      <c r="X541" s="13"/>
      <c r="Y541" s="13"/>
      <c r="Z541" s="13"/>
      <c r="AA541" s="13">
        <f t="shared" si="33"/>
        <v>-5.5543847236180888</v>
      </c>
      <c r="AB541" s="13"/>
      <c r="AC541" s="34"/>
      <c r="AD541" s="34"/>
      <c r="AE541" s="34"/>
      <c r="AF541" s="34"/>
      <c r="AG541" s="34"/>
      <c r="AI541" s="35">
        <v>538</v>
      </c>
      <c r="AJ541" s="35">
        <v>199</v>
      </c>
      <c r="AK541" s="17">
        <v>198.86145239999999</v>
      </c>
      <c r="AV541" s="13">
        <f t="shared" si="34"/>
        <v>-6.9621909547745719E-2</v>
      </c>
      <c r="BD541" s="35">
        <v>538</v>
      </c>
      <c r="BE541" s="35">
        <v>199</v>
      </c>
      <c r="BF541" s="17">
        <v>197.64207160000001</v>
      </c>
      <c r="BQ541" s="13">
        <f t="shared" si="35"/>
        <v>-0.68237608040200293</v>
      </c>
    </row>
    <row r="542" spans="1:69">
      <c r="A542" s="13">
        <v>539</v>
      </c>
      <c r="B542" s="13">
        <v>148</v>
      </c>
      <c r="C542" s="17">
        <v>143.2932103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>
        <f t="shared" si="32"/>
        <v>-3.1802633108108158</v>
      </c>
      <c r="N542" s="13"/>
      <c r="O542" s="13">
        <v>539</v>
      </c>
      <c r="P542" s="13">
        <v>148</v>
      </c>
      <c r="Q542" s="17">
        <v>148.5698381</v>
      </c>
      <c r="R542" s="13"/>
      <c r="S542" s="13"/>
      <c r="T542" s="13"/>
      <c r="U542" s="13"/>
      <c r="V542" s="13"/>
      <c r="W542" s="13"/>
      <c r="X542" s="13"/>
      <c r="Y542" s="13"/>
      <c r="Z542" s="13"/>
      <c r="AA542" s="13">
        <f t="shared" si="33"/>
        <v>0.38502574324323913</v>
      </c>
      <c r="AB542" s="13"/>
      <c r="AC542" s="34"/>
      <c r="AD542" s="34"/>
      <c r="AE542" s="34"/>
      <c r="AF542" s="34"/>
      <c r="AG542" s="34"/>
      <c r="AI542" s="35">
        <v>539</v>
      </c>
      <c r="AJ542" s="35">
        <v>148</v>
      </c>
      <c r="AK542" s="17">
        <v>148.45634810000001</v>
      </c>
      <c r="AV542" s="13">
        <f t="shared" si="34"/>
        <v>0.30834331081082134</v>
      </c>
      <c r="BD542" s="35">
        <v>539</v>
      </c>
      <c r="BE542" s="35">
        <v>148</v>
      </c>
      <c r="BF542" s="17">
        <v>148.0392281</v>
      </c>
      <c r="BQ542" s="13">
        <f t="shared" si="35"/>
        <v>2.6505472972981892E-2</v>
      </c>
    </row>
    <row r="543" spans="1:69">
      <c r="A543" s="13">
        <v>540</v>
      </c>
      <c r="B543" s="13">
        <v>113</v>
      </c>
      <c r="C543" s="17">
        <v>118.72000009999999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>
        <f t="shared" si="32"/>
        <v>5.0619469911504344</v>
      </c>
      <c r="N543" s="13"/>
      <c r="O543" s="13">
        <v>540</v>
      </c>
      <c r="P543" s="13">
        <v>113</v>
      </c>
      <c r="Q543" s="17">
        <v>116.816692</v>
      </c>
      <c r="R543" s="13"/>
      <c r="S543" s="13"/>
      <c r="T543" s="13"/>
      <c r="U543" s="13"/>
      <c r="V543" s="13"/>
      <c r="W543" s="13"/>
      <c r="X543" s="13"/>
      <c r="Y543" s="13"/>
      <c r="Z543" s="13"/>
      <c r="AA543" s="13">
        <f t="shared" si="33"/>
        <v>3.3776035398230153</v>
      </c>
      <c r="AB543" s="13"/>
      <c r="AC543" s="34"/>
      <c r="AD543" s="34"/>
      <c r="AE543" s="34"/>
      <c r="AF543" s="34"/>
      <c r="AG543" s="34"/>
      <c r="AI543" s="35">
        <v>540</v>
      </c>
      <c r="AJ543" s="35">
        <v>113</v>
      </c>
      <c r="AK543" s="17">
        <v>113.3662921</v>
      </c>
      <c r="AV543" s="13">
        <f t="shared" si="34"/>
        <v>0.32415230088496116</v>
      </c>
      <c r="BD543" s="35">
        <v>540</v>
      </c>
      <c r="BE543" s="35">
        <v>113</v>
      </c>
      <c r="BF543" s="17">
        <v>114.68838649999999</v>
      </c>
      <c r="BQ543" s="13">
        <f t="shared" si="35"/>
        <v>1.4941473451327347</v>
      </c>
    </row>
    <row r="544" spans="1:69">
      <c r="A544" s="13">
        <v>541</v>
      </c>
      <c r="B544" s="13">
        <v>159</v>
      </c>
      <c r="C544" s="17">
        <v>148.41884379999999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>
        <f t="shared" si="32"/>
        <v>-6.6548152201257871</v>
      </c>
      <c r="N544" s="13"/>
      <c r="O544" s="13">
        <v>541</v>
      </c>
      <c r="P544" s="13">
        <v>159</v>
      </c>
      <c r="Q544" s="17">
        <v>158.69238129999999</v>
      </c>
      <c r="R544" s="13"/>
      <c r="S544" s="13"/>
      <c r="T544" s="13"/>
      <c r="U544" s="13"/>
      <c r="V544" s="13"/>
      <c r="W544" s="13"/>
      <c r="X544" s="13"/>
      <c r="Y544" s="13"/>
      <c r="Z544" s="13"/>
      <c r="AA544" s="13">
        <f t="shared" si="33"/>
        <v>-0.19347088050314376</v>
      </c>
      <c r="AB544" s="13"/>
      <c r="AC544" s="34"/>
      <c r="AD544" s="34"/>
      <c r="AE544" s="34"/>
      <c r="AF544" s="34"/>
      <c r="AG544" s="34"/>
      <c r="AI544" s="35">
        <v>541</v>
      </c>
      <c r="AJ544" s="35">
        <v>159</v>
      </c>
      <c r="AK544" s="17">
        <v>159.32643809999999</v>
      </c>
      <c r="AV544" s="13">
        <f t="shared" si="34"/>
        <v>0.20530698113205847</v>
      </c>
      <c r="BD544" s="35">
        <v>541</v>
      </c>
      <c r="BE544" s="35">
        <v>159</v>
      </c>
      <c r="BF544" s="17">
        <v>159.06885170000001</v>
      </c>
      <c r="BQ544" s="13">
        <f t="shared" si="35"/>
        <v>4.330295597485545E-2</v>
      </c>
    </row>
    <row r="545" spans="1:69">
      <c r="A545" s="13">
        <v>542</v>
      </c>
      <c r="B545" s="13">
        <v>244</v>
      </c>
      <c r="C545" s="17">
        <v>183.87820479999999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>
        <f t="shared" si="32"/>
        <v>-24.640080000000008</v>
      </c>
      <c r="N545" s="13"/>
      <c r="O545" s="13">
        <v>542</v>
      </c>
      <c r="P545" s="13">
        <v>244</v>
      </c>
      <c r="Q545" s="17">
        <v>209.4227794</v>
      </c>
      <c r="R545" s="13"/>
      <c r="S545" s="13"/>
      <c r="T545" s="13"/>
      <c r="U545" s="13"/>
      <c r="V545" s="13"/>
      <c r="W545" s="13"/>
      <c r="X545" s="13"/>
      <c r="Y545" s="13"/>
      <c r="Z545" s="13"/>
      <c r="AA545" s="13">
        <f t="shared" si="33"/>
        <v>-14.170992049180331</v>
      </c>
      <c r="AB545" s="13"/>
      <c r="AC545" s="34"/>
      <c r="AD545" s="34"/>
      <c r="AE545" s="34"/>
      <c r="AF545" s="34"/>
      <c r="AG545" s="34"/>
      <c r="AI545" s="35">
        <v>542</v>
      </c>
      <c r="AJ545" s="35">
        <v>244</v>
      </c>
      <c r="AK545" s="17">
        <v>243.2012162</v>
      </c>
      <c r="AV545" s="13">
        <f t="shared" si="34"/>
        <v>-0.32737040983605858</v>
      </c>
      <c r="BD545" s="35">
        <v>542</v>
      </c>
      <c r="BE545" s="35">
        <v>244</v>
      </c>
      <c r="BF545" s="17">
        <v>239.9137461</v>
      </c>
      <c r="BQ545" s="13">
        <f t="shared" si="35"/>
        <v>-1.674694221311479</v>
      </c>
    </row>
    <row r="546" spans="1:69">
      <c r="A546" s="13">
        <v>543</v>
      </c>
      <c r="B546" s="13">
        <v>117</v>
      </c>
      <c r="C546" s="17">
        <v>121.8465412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>
        <f t="shared" si="32"/>
        <v>4.1423429059828987</v>
      </c>
      <c r="N546" s="13"/>
      <c r="O546" s="13">
        <v>543</v>
      </c>
      <c r="P546" s="13">
        <v>117</v>
      </c>
      <c r="Q546" s="17">
        <v>123.04554570000001</v>
      </c>
      <c r="R546" s="13"/>
      <c r="S546" s="13"/>
      <c r="T546" s="13"/>
      <c r="U546" s="13"/>
      <c r="V546" s="13"/>
      <c r="W546" s="13"/>
      <c r="X546" s="13"/>
      <c r="Y546" s="13"/>
      <c r="Z546" s="13"/>
      <c r="AA546" s="13">
        <f t="shared" si="33"/>
        <v>5.1671330769230917</v>
      </c>
      <c r="AB546" s="13"/>
      <c r="AC546" s="34"/>
      <c r="AD546" s="34"/>
      <c r="AE546" s="34"/>
      <c r="AF546" s="34"/>
      <c r="AG546" s="34"/>
      <c r="AI546" s="35">
        <v>543</v>
      </c>
      <c r="AJ546" s="35">
        <v>117</v>
      </c>
      <c r="AK546" s="17">
        <v>117.1194395</v>
      </c>
      <c r="AV546" s="13">
        <f t="shared" si="34"/>
        <v>0.10208504273503394</v>
      </c>
      <c r="BD546" s="35">
        <v>543</v>
      </c>
      <c r="BE546" s="35">
        <v>117</v>
      </c>
      <c r="BF546" s="17">
        <v>119.3103296</v>
      </c>
      <c r="BQ546" s="13">
        <f t="shared" si="35"/>
        <v>1.9746406837606756</v>
      </c>
    </row>
    <row r="547" spans="1:69">
      <c r="A547" s="13">
        <v>544</v>
      </c>
      <c r="B547" s="13">
        <v>201</v>
      </c>
      <c r="C547" s="2">
        <v>171.0656726</v>
      </c>
      <c r="D547" s="13"/>
      <c r="E547" s="13"/>
      <c r="F547" s="13"/>
      <c r="G547" s="13"/>
      <c r="H547" s="13"/>
      <c r="I547" s="13"/>
      <c r="J547" s="13"/>
      <c r="K547" s="13"/>
      <c r="L547" s="13"/>
      <c r="M547" s="13">
        <f t="shared" si="32"/>
        <v>-14.89270019900497</v>
      </c>
      <c r="N547" s="13"/>
      <c r="O547" s="13">
        <v>544</v>
      </c>
      <c r="P547" s="13">
        <v>201</v>
      </c>
      <c r="Q547" s="2">
        <v>189.39505209999999</v>
      </c>
      <c r="R547" s="13"/>
      <c r="S547" s="13"/>
      <c r="T547" s="13"/>
      <c r="U547" s="13"/>
      <c r="V547" s="13"/>
      <c r="W547" s="13"/>
      <c r="X547" s="13"/>
      <c r="Y547" s="13"/>
      <c r="Z547" s="13"/>
      <c r="AA547" s="13">
        <f t="shared" si="33"/>
        <v>-5.7736059203980172</v>
      </c>
      <c r="AB547" s="13"/>
      <c r="AC547" s="34"/>
      <c r="AD547" s="34"/>
      <c r="AE547" s="34"/>
      <c r="AF547" s="34"/>
      <c r="AG547" s="34"/>
      <c r="AI547" s="35">
        <v>544</v>
      </c>
      <c r="AJ547" s="35">
        <v>201</v>
      </c>
      <c r="AK547" s="2">
        <v>202.8941112</v>
      </c>
      <c r="AV547" s="13">
        <f t="shared" si="34"/>
        <v>0.94234388059701857</v>
      </c>
      <c r="BD547" s="35">
        <v>544</v>
      </c>
      <c r="BE547" s="35">
        <v>201</v>
      </c>
      <c r="BF547" s="2">
        <v>200.94740469999999</v>
      </c>
      <c r="BQ547" s="13">
        <f t="shared" si="35"/>
        <v>-2.6166815920403153E-2</v>
      </c>
    </row>
    <row r="548" spans="1:69">
      <c r="A548" s="13">
        <v>545</v>
      </c>
      <c r="B548" s="13">
        <v>200</v>
      </c>
      <c r="C548" s="2">
        <v>143.8082856</v>
      </c>
      <c r="D548" s="13"/>
      <c r="E548" s="13"/>
      <c r="F548" s="13"/>
      <c r="G548" s="13"/>
      <c r="H548" s="13"/>
      <c r="I548" s="13"/>
      <c r="J548" s="13"/>
      <c r="K548" s="13"/>
      <c r="L548" s="13"/>
      <c r="M548" s="13">
        <f t="shared" si="32"/>
        <v>-28.095857199999998</v>
      </c>
      <c r="N548" s="13"/>
      <c r="O548" s="13">
        <v>545</v>
      </c>
      <c r="P548" s="13">
        <v>200</v>
      </c>
      <c r="Q548" s="2">
        <v>152.88902830000001</v>
      </c>
      <c r="R548" s="13"/>
      <c r="S548" s="13"/>
      <c r="T548" s="13"/>
      <c r="U548" s="13"/>
      <c r="V548" s="13"/>
      <c r="W548" s="13"/>
      <c r="X548" s="13"/>
      <c r="Y548" s="13"/>
      <c r="Z548" s="13"/>
      <c r="AA548" s="13">
        <f t="shared" si="33"/>
        <v>-23.555485850000004</v>
      </c>
      <c r="AB548" s="13"/>
      <c r="AC548" s="34"/>
      <c r="AD548" s="34"/>
      <c r="AE548" s="34"/>
      <c r="AF548" s="34"/>
      <c r="AG548" s="34"/>
      <c r="AI548" s="35">
        <v>545</v>
      </c>
      <c r="AJ548" s="35">
        <v>200</v>
      </c>
      <c r="AK548" s="2">
        <v>158.03405710000001</v>
      </c>
      <c r="AV548" s="13">
        <f t="shared" si="34"/>
        <v>-20.982971449999997</v>
      </c>
      <c r="BD548" s="35">
        <v>545</v>
      </c>
      <c r="BE548" s="35">
        <v>200</v>
      </c>
      <c r="BF548" s="2">
        <v>157.81330790000001</v>
      </c>
      <c r="BQ548" s="13">
        <f t="shared" si="35"/>
        <v>-21.093346049999994</v>
      </c>
    </row>
    <row r="549" spans="1:69">
      <c r="A549" s="13">
        <v>546</v>
      </c>
      <c r="B549" s="13">
        <v>17</v>
      </c>
      <c r="C549" s="2">
        <v>13.4864465388256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>
        <f t="shared" si="32"/>
        <v>-20.66796153632</v>
      </c>
      <c r="N549" s="13"/>
      <c r="O549" s="13">
        <v>546</v>
      </c>
      <c r="P549" s="13">
        <v>17</v>
      </c>
      <c r="Q549" s="2">
        <v>10.1129430495705</v>
      </c>
      <c r="R549" s="13"/>
      <c r="S549" s="13"/>
      <c r="T549" s="13"/>
      <c r="U549" s="13"/>
      <c r="V549" s="13"/>
      <c r="W549" s="13"/>
      <c r="X549" s="13"/>
      <c r="Y549" s="13"/>
      <c r="Z549" s="13"/>
      <c r="AA549" s="13">
        <f t="shared" si="33"/>
        <v>-40.512099708408819</v>
      </c>
      <c r="AB549" s="13"/>
      <c r="AC549" s="34"/>
      <c r="AD549" s="34"/>
      <c r="AE549" s="34"/>
      <c r="AF549" s="34"/>
      <c r="AG549" s="34"/>
      <c r="AI549" s="35">
        <v>546</v>
      </c>
      <c r="AJ549" s="35">
        <v>17</v>
      </c>
      <c r="AK549" s="2">
        <v>21.553495420000001</v>
      </c>
      <c r="AV549" s="13">
        <f t="shared" si="34"/>
        <v>26.785267176470583</v>
      </c>
      <c r="BD549" s="35">
        <v>546</v>
      </c>
      <c r="BE549" s="35">
        <v>17</v>
      </c>
      <c r="BF549" s="2">
        <v>12.2110887267838</v>
      </c>
      <c r="BQ549" s="13">
        <f t="shared" si="35"/>
        <v>-28.170066313036468</v>
      </c>
    </row>
    <row r="550" spans="1:69">
      <c r="A550" s="13">
        <v>547</v>
      </c>
      <c r="B550" s="13">
        <v>155</v>
      </c>
      <c r="C550" s="2">
        <v>146.09552859999999</v>
      </c>
      <c r="D550" s="13"/>
      <c r="E550" s="13"/>
      <c r="F550" s="13"/>
      <c r="G550" s="13"/>
      <c r="H550" s="13"/>
      <c r="I550" s="13"/>
      <c r="J550" s="13"/>
      <c r="K550" s="13"/>
      <c r="L550" s="13"/>
      <c r="M550" s="13">
        <f t="shared" ref="M550:M613" si="36">((C550/B550)-1)*100</f>
        <v>-5.7448202580645198</v>
      </c>
      <c r="N550" s="13"/>
      <c r="O550" s="13">
        <v>547</v>
      </c>
      <c r="P550" s="13">
        <v>155</v>
      </c>
      <c r="Q550" s="2">
        <v>153.81733220000001</v>
      </c>
      <c r="R550" s="13"/>
      <c r="S550" s="13"/>
      <c r="T550" s="13"/>
      <c r="U550" s="13"/>
      <c r="V550" s="13"/>
      <c r="W550" s="13"/>
      <c r="X550" s="13"/>
      <c r="Y550" s="13"/>
      <c r="Z550" s="13"/>
      <c r="AA550" s="13">
        <f t="shared" si="33"/>
        <v>-0.76301148387095674</v>
      </c>
      <c r="AB550" s="13"/>
      <c r="AC550" s="34"/>
      <c r="AD550" s="34"/>
      <c r="AE550" s="34"/>
      <c r="AF550" s="34"/>
      <c r="AG550" s="34"/>
      <c r="AI550" s="35">
        <v>547</v>
      </c>
      <c r="AJ550" s="35">
        <v>155</v>
      </c>
      <c r="AK550" s="2">
        <v>160.77952250000001</v>
      </c>
      <c r="AV550" s="13">
        <f t="shared" si="34"/>
        <v>3.7287241935483939</v>
      </c>
      <c r="BD550" s="35">
        <v>547</v>
      </c>
      <c r="BE550" s="35">
        <v>155</v>
      </c>
      <c r="BF550" s="2">
        <v>160.76285350000001</v>
      </c>
      <c r="BQ550" s="13">
        <f t="shared" si="35"/>
        <v>3.7179700000000038</v>
      </c>
    </row>
    <row r="551" spans="1:69">
      <c r="A551" s="13">
        <v>548</v>
      </c>
      <c r="B551" s="13">
        <v>4</v>
      </c>
      <c r="C551" s="2">
        <v>6.35022855547356</v>
      </c>
      <c r="D551" s="13"/>
      <c r="E551" s="13"/>
      <c r="F551" s="13"/>
      <c r="G551" s="13"/>
      <c r="H551" s="13"/>
      <c r="I551" s="13"/>
      <c r="J551" s="13"/>
      <c r="K551" s="13"/>
      <c r="L551" s="13"/>
      <c r="M551" s="13">
        <f t="shared" si="36"/>
        <v>58.755713886839004</v>
      </c>
      <c r="N551" s="13"/>
      <c r="O551" s="13">
        <v>548</v>
      </c>
      <c r="P551" s="13">
        <v>4</v>
      </c>
      <c r="Q551" s="2">
        <v>6.0984756844962602</v>
      </c>
      <c r="R551" s="13"/>
      <c r="S551" s="13"/>
      <c r="T551" s="13"/>
      <c r="U551" s="13"/>
      <c r="V551" s="13"/>
      <c r="W551" s="13"/>
      <c r="X551" s="13"/>
      <c r="Y551" s="13"/>
      <c r="Z551" s="13"/>
      <c r="AA551" s="13">
        <f t="shared" si="33"/>
        <v>52.461892112406503</v>
      </c>
      <c r="AB551" s="13"/>
      <c r="AC551" s="34"/>
      <c r="AD551" s="34"/>
      <c r="AE551" s="34"/>
      <c r="AF551" s="34"/>
      <c r="AG551" s="34"/>
      <c r="AI551" s="35">
        <v>548</v>
      </c>
      <c r="AJ551" s="35">
        <v>4</v>
      </c>
      <c r="AK551" s="2">
        <v>4.1233327971518703</v>
      </c>
      <c r="AV551" s="13">
        <f t="shared" si="34"/>
        <v>3.0833199287967572</v>
      </c>
      <c r="BD551" s="35">
        <v>548</v>
      </c>
      <c r="BE551" s="35">
        <v>4</v>
      </c>
      <c r="BF551" s="2">
        <v>2.8942752330858199</v>
      </c>
      <c r="BQ551" s="13">
        <f t="shared" si="35"/>
        <v>-27.643119172854501</v>
      </c>
    </row>
    <row r="552" spans="1:69">
      <c r="A552" s="13">
        <v>549</v>
      </c>
      <c r="B552" s="13">
        <v>75</v>
      </c>
      <c r="C552" s="2">
        <v>91.881433079999994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>
        <f t="shared" si="36"/>
        <v>22.508577439999989</v>
      </c>
      <c r="N552" s="13"/>
      <c r="O552" s="13">
        <v>549</v>
      </c>
      <c r="P552" s="13">
        <v>75</v>
      </c>
      <c r="Q552" s="2">
        <v>85.115247260000004</v>
      </c>
      <c r="R552" s="13"/>
      <c r="S552" s="13"/>
      <c r="T552" s="13"/>
      <c r="U552" s="13"/>
      <c r="V552" s="13"/>
      <c r="W552" s="13"/>
      <c r="X552" s="13"/>
      <c r="Y552" s="13"/>
      <c r="Z552" s="13"/>
      <c r="AA552" s="13">
        <f t="shared" si="33"/>
        <v>13.486996346666679</v>
      </c>
      <c r="AB552" s="13"/>
      <c r="AC552" s="34"/>
      <c r="AD552" s="34"/>
      <c r="AE552" s="34"/>
      <c r="AF552" s="34"/>
      <c r="AG552" s="34"/>
      <c r="AI552" s="35">
        <v>549</v>
      </c>
      <c r="AJ552" s="35">
        <v>75</v>
      </c>
      <c r="AK552" s="2">
        <v>76.695115139999999</v>
      </c>
      <c r="AV552" s="13">
        <f t="shared" si="34"/>
        <v>2.2601535199999967</v>
      </c>
      <c r="BD552" s="35">
        <v>549</v>
      </c>
      <c r="BE552" s="35">
        <v>75</v>
      </c>
      <c r="BF552" s="2">
        <v>81.980885810000004</v>
      </c>
      <c r="BQ552" s="13">
        <f t="shared" si="35"/>
        <v>9.3078477466666634</v>
      </c>
    </row>
    <row r="553" spans="1:69">
      <c r="A553" s="13">
        <v>550</v>
      </c>
      <c r="B553" s="13">
        <v>236</v>
      </c>
      <c r="C553" s="2">
        <v>170.80682229999999</v>
      </c>
      <c r="D553" s="13"/>
      <c r="E553" s="13"/>
      <c r="F553" s="13"/>
      <c r="G553" s="13"/>
      <c r="H553" s="13"/>
      <c r="I553" s="13"/>
      <c r="J553" s="13"/>
      <c r="K553" s="13"/>
      <c r="L553" s="13"/>
      <c r="M553" s="13">
        <f t="shared" si="36"/>
        <v>-27.62422783898305</v>
      </c>
      <c r="N553" s="13"/>
      <c r="O553" s="13">
        <v>550</v>
      </c>
      <c r="P553" s="13">
        <v>236</v>
      </c>
      <c r="Q553" s="2">
        <v>187.26367949999999</v>
      </c>
      <c r="R553" s="13"/>
      <c r="S553" s="13"/>
      <c r="T553" s="13"/>
      <c r="U553" s="13"/>
      <c r="V553" s="13"/>
      <c r="W553" s="13"/>
      <c r="X553" s="13"/>
      <c r="Y553" s="13"/>
      <c r="Z553" s="13"/>
      <c r="AA553" s="13">
        <f t="shared" si="33"/>
        <v>-20.650983262711865</v>
      </c>
      <c r="AB553" s="13"/>
      <c r="AC553" s="34"/>
      <c r="AD553" s="34"/>
      <c r="AE553" s="34"/>
      <c r="AF553" s="34"/>
      <c r="AG553" s="34"/>
      <c r="AI553" s="35">
        <v>550</v>
      </c>
      <c r="AJ553" s="35">
        <v>236</v>
      </c>
      <c r="AK553" s="2">
        <v>196.1874766</v>
      </c>
      <c r="AV553" s="13">
        <f t="shared" si="34"/>
        <v>-16.869713305084744</v>
      </c>
      <c r="BD553" s="35">
        <v>550</v>
      </c>
      <c r="BE553" s="35">
        <v>236</v>
      </c>
      <c r="BF553" s="2">
        <v>195.83787050000001</v>
      </c>
      <c r="BQ553" s="13">
        <f t="shared" si="35"/>
        <v>-17.01785148305084</v>
      </c>
    </row>
    <row r="554" spans="1:69">
      <c r="A554" s="13">
        <v>551</v>
      </c>
      <c r="B554" s="13">
        <v>69</v>
      </c>
      <c r="C554" s="2">
        <v>97.058281530000002</v>
      </c>
      <c r="D554" s="13"/>
      <c r="E554" s="13"/>
      <c r="F554" s="13"/>
      <c r="G554" s="13"/>
      <c r="H554" s="13"/>
      <c r="I554" s="13"/>
      <c r="J554" s="13"/>
      <c r="K554" s="13"/>
      <c r="L554" s="13"/>
      <c r="M554" s="13">
        <f t="shared" si="36"/>
        <v>40.664176130434782</v>
      </c>
      <c r="N554" s="13"/>
      <c r="O554" s="13">
        <v>551</v>
      </c>
      <c r="P554" s="13">
        <v>69</v>
      </c>
      <c r="Q554" s="2">
        <v>96.809963580000002</v>
      </c>
      <c r="R554" s="13"/>
      <c r="S554" s="13"/>
      <c r="T554" s="13"/>
      <c r="U554" s="13"/>
      <c r="V554" s="13"/>
      <c r="W554" s="13"/>
      <c r="X554" s="13"/>
      <c r="Y554" s="13"/>
      <c r="Z554" s="13"/>
      <c r="AA554" s="13">
        <f t="shared" si="33"/>
        <v>40.304295043478255</v>
      </c>
      <c r="AB554" s="13"/>
      <c r="AC554" s="34"/>
      <c r="AD554" s="34"/>
      <c r="AE554" s="34"/>
      <c r="AF554" s="34"/>
      <c r="AG554" s="34"/>
      <c r="AI554" s="35">
        <v>551</v>
      </c>
      <c r="AJ554" s="35">
        <v>69</v>
      </c>
      <c r="AK554" s="2">
        <v>82.866715342420804</v>
      </c>
      <c r="AV554" s="13">
        <f t="shared" si="34"/>
        <v>20.096688902059135</v>
      </c>
      <c r="BD554" s="35">
        <v>551</v>
      </c>
      <c r="BE554" s="35">
        <v>69</v>
      </c>
      <c r="BF554" s="2">
        <v>67.796865557559698</v>
      </c>
      <c r="BQ554" s="13">
        <f t="shared" si="35"/>
        <v>-1.7436731049859433</v>
      </c>
    </row>
    <row r="555" spans="1:69">
      <c r="A555" s="13">
        <v>552</v>
      </c>
      <c r="B555" s="13">
        <v>66</v>
      </c>
      <c r="C555" s="2">
        <v>67.384326340000001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>
        <f t="shared" si="36"/>
        <v>2.0974641515151493</v>
      </c>
      <c r="N555" s="13"/>
      <c r="O555" s="13">
        <v>552</v>
      </c>
      <c r="P555" s="13">
        <v>66</v>
      </c>
      <c r="Q555" s="2">
        <v>54.200361239999999</v>
      </c>
      <c r="R555" s="13"/>
      <c r="S555" s="13"/>
      <c r="T555" s="13"/>
      <c r="U555" s="13"/>
      <c r="V555" s="13"/>
      <c r="W555" s="13"/>
      <c r="X555" s="13"/>
      <c r="Y555" s="13"/>
      <c r="Z555" s="13"/>
      <c r="AA555" s="13">
        <f t="shared" si="33"/>
        <v>-17.878240545454549</v>
      </c>
      <c r="AB555" s="13"/>
      <c r="AC555" s="34"/>
      <c r="AD555" s="34"/>
      <c r="AE555" s="34"/>
      <c r="AF555" s="34"/>
      <c r="AG555" s="34"/>
      <c r="AI555" s="35">
        <v>552</v>
      </c>
      <c r="AJ555" s="35">
        <v>66</v>
      </c>
      <c r="AK555" s="2">
        <v>48.501316009999996</v>
      </c>
      <c r="AV555" s="13">
        <f t="shared" si="34"/>
        <v>-26.513157560606071</v>
      </c>
      <c r="BD555" s="35">
        <v>552</v>
      </c>
      <c r="BE555" s="35">
        <v>66</v>
      </c>
      <c r="BF555" s="2">
        <v>49.804497679999997</v>
      </c>
      <c r="BQ555" s="13">
        <f t="shared" si="35"/>
        <v>-24.538639878787883</v>
      </c>
    </row>
    <row r="556" spans="1:69">
      <c r="A556" s="13">
        <v>553</v>
      </c>
      <c r="B556" s="13">
        <v>198</v>
      </c>
      <c r="C556" s="2">
        <v>157.92962729999999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>
        <f t="shared" si="36"/>
        <v>-20.237561969696969</v>
      </c>
      <c r="N556" s="13"/>
      <c r="O556" s="13">
        <v>553</v>
      </c>
      <c r="P556" s="13">
        <v>198</v>
      </c>
      <c r="Q556" s="2">
        <v>163.46069539999999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>
        <f t="shared" si="33"/>
        <v>-17.444093232323233</v>
      </c>
      <c r="AB556" s="13"/>
      <c r="AC556" s="34"/>
      <c r="AD556" s="34"/>
      <c r="AE556" s="34"/>
      <c r="AF556" s="34"/>
      <c r="AG556" s="34"/>
      <c r="AI556" s="35">
        <v>553</v>
      </c>
      <c r="AJ556" s="35">
        <v>198</v>
      </c>
      <c r="AK556" s="2">
        <v>170.97989999999999</v>
      </c>
      <c r="AV556" s="13">
        <f t="shared" si="34"/>
        <v>-13.64651515151516</v>
      </c>
      <c r="BD556" s="35">
        <v>553</v>
      </c>
      <c r="BE556" s="35">
        <v>198</v>
      </c>
      <c r="BF556" s="2">
        <v>168.18652560000001</v>
      </c>
      <c r="BQ556" s="13">
        <f t="shared" si="35"/>
        <v>-15.057310303030302</v>
      </c>
    </row>
    <row r="557" spans="1:69">
      <c r="A557" s="13">
        <v>554</v>
      </c>
      <c r="B557" s="13">
        <v>161</v>
      </c>
      <c r="C557" s="2">
        <v>147.04503539999999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>
        <f t="shared" si="36"/>
        <v>-8.6676798757764022</v>
      </c>
      <c r="N557" s="13"/>
      <c r="O557" s="13">
        <v>554</v>
      </c>
      <c r="P557" s="13">
        <v>161</v>
      </c>
      <c r="Q557" s="2">
        <v>156.8238815</v>
      </c>
      <c r="R557" s="13"/>
      <c r="S557" s="13"/>
      <c r="T557" s="13"/>
      <c r="U557" s="13"/>
      <c r="V557" s="13"/>
      <c r="W557" s="13"/>
      <c r="X557" s="13"/>
      <c r="Y557" s="13"/>
      <c r="Z557" s="13"/>
      <c r="AA557" s="13">
        <f t="shared" si="33"/>
        <v>-2.5938624223602491</v>
      </c>
      <c r="AB557" s="13"/>
      <c r="AC557" s="34"/>
      <c r="AD557" s="34"/>
      <c r="AE557" s="34"/>
      <c r="AF557" s="34"/>
      <c r="AG557" s="34"/>
      <c r="AI557" s="35">
        <v>554</v>
      </c>
      <c r="AJ557" s="35">
        <v>161</v>
      </c>
      <c r="AK557" s="2">
        <v>165.05518989999999</v>
      </c>
      <c r="AV557" s="13">
        <f t="shared" si="34"/>
        <v>2.5187514906832131</v>
      </c>
      <c r="BD557" s="35">
        <v>554</v>
      </c>
      <c r="BE557" s="35">
        <v>161</v>
      </c>
      <c r="BF557" s="2">
        <v>163.6393492</v>
      </c>
      <c r="BQ557" s="13">
        <f t="shared" si="35"/>
        <v>1.6393473291925531</v>
      </c>
    </row>
    <row r="558" spans="1:69">
      <c r="A558" s="13">
        <v>555</v>
      </c>
      <c r="B558" s="13">
        <v>232</v>
      </c>
      <c r="C558" s="2">
        <v>170.5619987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>
        <f t="shared" si="36"/>
        <v>-26.481897112068964</v>
      </c>
      <c r="N558" s="13"/>
      <c r="O558" s="13">
        <v>555</v>
      </c>
      <c r="P558" s="13">
        <v>232</v>
      </c>
      <c r="Q558" s="2">
        <v>183.6008641</v>
      </c>
      <c r="R558" s="13"/>
      <c r="S558" s="13"/>
      <c r="T558" s="13"/>
      <c r="U558" s="13"/>
      <c r="V558" s="13"/>
      <c r="W558" s="13"/>
      <c r="X558" s="13"/>
      <c r="Y558" s="13"/>
      <c r="Z558" s="13"/>
      <c r="AA558" s="13">
        <f t="shared" si="33"/>
        <v>-20.861696508620685</v>
      </c>
      <c r="AB558" s="13"/>
      <c r="AC558" s="34"/>
      <c r="AD558" s="34"/>
      <c r="AE558" s="34"/>
      <c r="AF558" s="34"/>
      <c r="AG558" s="34"/>
      <c r="AI558" s="35">
        <v>555</v>
      </c>
      <c r="AJ558" s="35">
        <v>232</v>
      </c>
      <c r="AK558" s="2">
        <v>193.31454289999999</v>
      </c>
      <c r="AV558" s="13">
        <f t="shared" si="34"/>
        <v>-16.674765991379314</v>
      </c>
      <c r="BD558" s="35">
        <v>555</v>
      </c>
      <c r="BE558" s="35">
        <v>232</v>
      </c>
      <c r="BF558" s="2">
        <v>194.35072719999999</v>
      </c>
      <c r="BQ558" s="13">
        <f t="shared" si="35"/>
        <v>-16.228134827586203</v>
      </c>
    </row>
    <row r="559" spans="1:69">
      <c r="A559" s="13">
        <v>556</v>
      </c>
      <c r="B559" s="13">
        <v>173</v>
      </c>
      <c r="C559" s="2">
        <v>157.8601386</v>
      </c>
      <c r="D559" s="13"/>
      <c r="E559" s="13"/>
      <c r="F559" s="13"/>
      <c r="G559" s="13"/>
      <c r="H559" s="13"/>
      <c r="I559" s="13"/>
      <c r="J559" s="13"/>
      <c r="K559" s="13"/>
      <c r="L559" s="13"/>
      <c r="M559" s="13">
        <f t="shared" si="36"/>
        <v>-8.7513649710982637</v>
      </c>
      <c r="N559" s="13"/>
      <c r="O559" s="13">
        <v>556</v>
      </c>
      <c r="P559" s="13">
        <v>173</v>
      </c>
      <c r="Q559" s="2">
        <v>170.15749349999999</v>
      </c>
      <c r="R559" s="13"/>
      <c r="S559" s="13"/>
      <c r="T559" s="13"/>
      <c r="U559" s="13"/>
      <c r="V559" s="13"/>
      <c r="W559" s="13"/>
      <c r="X559" s="13"/>
      <c r="Y559" s="13"/>
      <c r="Z559" s="13"/>
      <c r="AA559" s="13">
        <f t="shared" si="33"/>
        <v>-1.6430673410404717</v>
      </c>
      <c r="AB559" s="13"/>
      <c r="AC559" s="34"/>
      <c r="AD559" s="34"/>
      <c r="AE559" s="34"/>
      <c r="AF559" s="34"/>
      <c r="AG559" s="34"/>
      <c r="AI559" s="35">
        <v>556</v>
      </c>
      <c r="AJ559" s="35">
        <v>173</v>
      </c>
      <c r="AK559" s="2">
        <v>178.04386539999999</v>
      </c>
      <c r="AV559" s="13">
        <f t="shared" si="34"/>
        <v>2.9155291329479693</v>
      </c>
      <c r="BD559" s="35">
        <v>556</v>
      </c>
      <c r="BE559" s="35">
        <v>173</v>
      </c>
      <c r="BF559" s="2">
        <v>174.82689379999999</v>
      </c>
      <c r="BQ559" s="13">
        <f t="shared" si="35"/>
        <v>1.0560079768786146</v>
      </c>
    </row>
    <row r="560" spans="1:69">
      <c r="A560" s="13">
        <v>557</v>
      </c>
      <c r="B560" s="13">
        <v>168</v>
      </c>
      <c r="C560" s="2">
        <v>152.9319725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>
        <f t="shared" si="36"/>
        <v>-8.9690639880952379</v>
      </c>
      <c r="N560" s="13"/>
      <c r="O560" s="13">
        <v>557</v>
      </c>
      <c r="P560" s="13">
        <v>168</v>
      </c>
      <c r="Q560" s="2">
        <v>162.1106997</v>
      </c>
      <c r="R560" s="13"/>
      <c r="S560" s="13"/>
      <c r="T560" s="13"/>
      <c r="U560" s="13"/>
      <c r="V560" s="13"/>
      <c r="W560" s="13"/>
      <c r="X560" s="13"/>
      <c r="Y560" s="13"/>
      <c r="Z560" s="13"/>
      <c r="AA560" s="13">
        <f t="shared" si="33"/>
        <v>-3.5055358928571478</v>
      </c>
      <c r="AB560" s="13"/>
      <c r="AC560" s="34"/>
      <c r="AD560" s="34"/>
      <c r="AE560" s="34"/>
      <c r="AF560" s="34"/>
      <c r="AG560" s="34"/>
      <c r="AI560" s="35">
        <v>557</v>
      </c>
      <c r="AJ560" s="35">
        <v>168</v>
      </c>
      <c r="AK560" s="2">
        <v>164.2711262</v>
      </c>
      <c r="AV560" s="13">
        <f t="shared" si="34"/>
        <v>-2.2195677380952405</v>
      </c>
      <c r="BD560" s="35">
        <v>557</v>
      </c>
      <c r="BE560" s="35">
        <v>168</v>
      </c>
      <c r="BF560" s="2">
        <v>169.92579190000001</v>
      </c>
      <c r="BQ560" s="13">
        <f t="shared" si="35"/>
        <v>1.1463047023809514</v>
      </c>
    </row>
    <row r="561" spans="1:69">
      <c r="A561" s="13">
        <v>558</v>
      </c>
      <c r="B561" s="13">
        <v>24</v>
      </c>
      <c r="C561" s="2">
        <v>33.307243999449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>
        <f t="shared" si="36"/>
        <v>38.780183331037499</v>
      </c>
      <c r="N561" s="13"/>
      <c r="O561" s="13">
        <v>558</v>
      </c>
      <c r="P561" s="13">
        <v>24</v>
      </c>
      <c r="Q561" s="2">
        <v>31.565429758580301</v>
      </c>
      <c r="R561" s="13"/>
      <c r="S561" s="13"/>
      <c r="T561" s="13"/>
      <c r="U561" s="13"/>
      <c r="V561" s="13"/>
      <c r="W561" s="13"/>
      <c r="X561" s="13"/>
      <c r="Y561" s="13"/>
      <c r="Z561" s="13"/>
      <c r="AA561" s="13">
        <f t="shared" si="33"/>
        <v>31.522623994084586</v>
      </c>
      <c r="AB561" s="13"/>
      <c r="AC561" s="34"/>
      <c r="AD561" s="34"/>
      <c r="AE561" s="34"/>
      <c r="AF561" s="34"/>
      <c r="AG561" s="34"/>
      <c r="AI561" s="35">
        <v>558</v>
      </c>
      <c r="AJ561" s="35">
        <v>24</v>
      </c>
      <c r="AK561" s="2">
        <v>19.499743035094301</v>
      </c>
      <c r="AV561" s="13">
        <f t="shared" si="34"/>
        <v>-18.751070687107074</v>
      </c>
      <c r="BD561" s="35">
        <v>558</v>
      </c>
      <c r="BE561" s="35">
        <v>24</v>
      </c>
      <c r="BF561" s="2">
        <v>23.814663150498699</v>
      </c>
      <c r="BQ561" s="13">
        <f t="shared" si="35"/>
        <v>-0.77223687292208298</v>
      </c>
    </row>
    <row r="562" spans="1:69">
      <c r="A562" s="13">
        <v>559</v>
      </c>
      <c r="B562" s="13">
        <v>0</v>
      </c>
      <c r="C562" s="2">
        <v>47.02572456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 t="e">
        <f t="shared" si="36"/>
        <v>#DIV/0!</v>
      </c>
      <c r="N562" s="13"/>
      <c r="O562" s="13">
        <v>559</v>
      </c>
      <c r="P562" s="13">
        <v>0</v>
      </c>
      <c r="Q562" s="2">
        <v>27.98795995</v>
      </c>
      <c r="R562" s="13"/>
      <c r="S562" s="13"/>
      <c r="T562" s="13"/>
      <c r="U562" s="13"/>
      <c r="V562" s="13"/>
      <c r="W562" s="13"/>
      <c r="X562" s="13"/>
      <c r="Y562" s="13"/>
      <c r="Z562" s="13"/>
      <c r="AA562" s="13" t="e">
        <f t="shared" si="33"/>
        <v>#DIV/0!</v>
      </c>
      <c r="AB562" s="13"/>
      <c r="AC562" s="34"/>
      <c r="AD562" s="34"/>
      <c r="AE562" s="34"/>
      <c r="AF562" s="34"/>
      <c r="AG562" s="34"/>
      <c r="AI562" s="35">
        <v>559</v>
      </c>
      <c r="AJ562" s="35">
        <v>0</v>
      </c>
      <c r="AK562" s="2">
        <v>19.471355559999999</v>
      </c>
      <c r="AV562" s="13" t="e">
        <f t="shared" si="34"/>
        <v>#DIV/0!</v>
      </c>
      <c r="BD562" s="35">
        <v>559</v>
      </c>
      <c r="BE562" s="35">
        <v>0</v>
      </c>
      <c r="BF562" s="2">
        <v>19.62085841</v>
      </c>
      <c r="BQ562" s="13" t="e">
        <f t="shared" si="35"/>
        <v>#DIV/0!</v>
      </c>
    </row>
    <row r="563" spans="1:69">
      <c r="A563" s="13">
        <v>560</v>
      </c>
      <c r="B563" s="13">
        <v>112</v>
      </c>
      <c r="C563" s="2">
        <v>99.118203500000007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>
        <f t="shared" si="36"/>
        <v>-11.501604017857137</v>
      </c>
      <c r="N563" s="13"/>
      <c r="O563" s="13">
        <v>560</v>
      </c>
      <c r="P563" s="13">
        <v>112</v>
      </c>
      <c r="Q563" s="2">
        <v>97.580819129999995</v>
      </c>
      <c r="R563" s="13"/>
      <c r="S563" s="13"/>
      <c r="T563" s="13"/>
      <c r="U563" s="13"/>
      <c r="V563" s="13"/>
      <c r="W563" s="13"/>
      <c r="X563" s="13"/>
      <c r="Y563" s="13"/>
      <c r="Z563" s="13"/>
      <c r="AA563" s="13">
        <f t="shared" si="33"/>
        <v>-12.874268633928576</v>
      </c>
      <c r="AB563" s="13"/>
      <c r="AC563" s="34"/>
      <c r="AD563" s="34"/>
      <c r="AE563" s="34"/>
      <c r="AF563" s="34"/>
      <c r="AG563" s="34"/>
      <c r="AI563" s="35">
        <v>560</v>
      </c>
      <c r="AJ563" s="35">
        <v>112</v>
      </c>
      <c r="AK563" s="2">
        <v>96.552985489999998</v>
      </c>
      <c r="AV563" s="13">
        <f t="shared" si="34"/>
        <v>-13.791977241071429</v>
      </c>
      <c r="BD563" s="35">
        <v>560</v>
      </c>
      <c r="BE563" s="35">
        <v>112</v>
      </c>
      <c r="BF563" s="2">
        <v>95.647294400000007</v>
      </c>
      <c r="BQ563" s="13">
        <f t="shared" si="35"/>
        <v>-14.600629999999992</v>
      </c>
    </row>
    <row r="564" spans="1:69">
      <c r="A564" s="13">
        <v>561</v>
      </c>
      <c r="B564" s="13">
        <v>112</v>
      </c>
      <c r="C564" s="2">
        <v>116.91626580000001</v>
      </c>
      <c r="D564" s="13"/>
      <c r="E564" s="13"/>
      <c r="F564" s="13"/>
      <c r="G564" s="13"/>
      <c r="H564" s="13"/>
      <c r="I564" s="13"/>
      <c r="J564" s="13"/>
      <c r="K564" s="13"/>
      <c r="L564" s="13"/>
      <c r="M564" s="13">
        <f t="shared" si="36"/>
        <v>4.3895230357142934</v>
      </c>
      <c r="N564" s="13"/>
      <c r="O564" s="13">
        <v>561</v>
      </c>
      <c r="P564" s="13">
        <v>112</v>
      </c>
      <c r="Q564" s="2">
        <v>119.5401638</v>
      </c>
      <c r="R564" s="13"/>
      <c r="S564" s="13"/>
      <c r="T564" s="13"/>
      <c r="U564" s="13"/>
      <c r="V564" s="13"/>
      <c r="W564" s="13"/>
      <c r="X564" s="13"/>
      <c r="Y564" s="13"/>
      <c r="Z564" s="13"/>
      <c r="AA564" s="13">
        <f t="shared" si="33"/>
        <v>6.7322891071428526</v>
      </c>
      <c r="AB564" s="13"/>
      <c r="AC564" s="34"/>
      <c r="AD564" s="34"/>
      <c r="AE564" s="34"/>
      <c r="AF564" s="34"/>
      <c r="AG564" s="34"/>
      <c r="AI564" s="35">
        <v>561</v>
      </c>
      <c r="AJ564" s="35">
        <v>112</v>
      </c>
      <c r="AK564" s="2">
        <v>117.4401101</v>
      </c>
      <c r="AV564" s="13">
        <f t="shared" si="34"/>
        <v>4.8572411607142874</v>
      </c>
      <c r="BD564" s="35">
        <v>561</v>
      </c>
      <c r="BE564" s="35">
        <v>112</v>
      </c>
      <c r="BF564" s="2">
        <v>119.5246343</v>
      </c>
      <c r="BQ564" s="13">
        <f t="shared" si="35"/>
        <v>6.7184234821428657</v>
      </c>
    </row>
    <row r="565" spans="1:69">
      <c r="A565" s="13">
        <v>562</v>
      </c>
      <c r="B565" s="13">
        <v>235</v>
      </c>
      <c r="C565" s="2">
        <v>171.4570329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>
        <f t="shared" si="36"/>
        <v>-27.03956046808511</v>
      </c>
      <c r="N565" s="13"/>
      <c r="O565" s="13">
        <v>562</v>
      </c>
      <c r="P565" s="13">
        <v>235</v>
      </c>
      <c r="Q565" s="2">
        <v>183.06591230000001</v>
      </c>
      <c r="R565" s="13"/>
      <c r="S565" s="13"/>
      <c r="T565" s="13"/>
      <c r="U565" s="13"/>
      <c r="V565" s="13"/>
      <c r="W565" s="13"/>
      <c r="X565" s="13"/>
      <c r="Y565" s="13"/>
      <c r="Z565" s="13"/>
      <c r="AA565" s="13">
        <f t="shared" si="33"/>
        <v>-22.099611787234043</v>
      </c>
      <c r="AB565" s="13"/>
      <c r="AC565" s="34"/>
      <c r="AD565" s="34"/>
      <c r="AE565" s="34"/>
      <c r="AF565" s="34"/>
      <c r="AG565" s="34"/>
      <c r="AI565" s="35">
        <v>562</v>
      </c>
      <c r="AJ565" s="35">
        <v>235</v>
      </c>
      <c r="AK565" s="2">
        <v>192.76627619999999</v>
      </c>
      <c r="AV565" s="13">
        <f t="shared" si="34"/>
        <v>-17.971797361702137</v>
      </c>
      <c r="BD565" s="35">
        <v>562</v>
      </c>
      <c r="BE565" s="35">
        <v>235</v>
      </c>
      <c r="BF565" s="2">
        <v>192.29728800000001</v>
      </c>
      <c r="BQ565" s="13">
        <f t="shared" si="35"/>
        <v>-18.171366808510637</v>
      </c>
    </row>
    <row r="566" spans="1:69">
      <c r="A566" s="13">
        <v>563</v>
      </c>
      <c r="B566" s="13">
        <v>172</v>
      </c>
      <c r="C566" s="2">
        <v>134.76857699999999</v>
      </c>
      <c r="D566" s="13"/>
      <c r="E566" s="13"/>
      <c r="F566" s="13"/>
      <c r="G566" s="13"/>
      <c r="H566" s="13"/>
      <c r="I566" s="13"/>
      <c r="J566" s="13"/>
      <c r="K566" s="13"/>
      <c r="L566" s="13"/>
      <c r="M566" s="13">
        <f t="shared" si="36"/>
        <v>-21.646176162790699</v>
      </c>
      <c r="N566" s="13"/>
      <c r="O566" s="13">
        <v>563</v>
      </c>
      <c r="P566" s="13">
        <v>172</v>
      </c>
      <c r="Q566" s="2">
        <v>143.98013119999999</v>
      </c>
      <c r="R566" s="13"/>
      <c r="S566" s="13"/>
      <c r="T566" s="13"/>
      <c r="U566" s="13"/>
      <c r="V566" s="13"/>
      <c r="W566" s="13"/>
      <c r="X566" s="13"/>
      <c r="Y566" s="13"/>
      <c r="Z566" s="13"/>
      <c r="AA566" s="13">
        <f t="shared" si="33"/>
        <v>-16.290621395348847</v>
      </c>
      <c r="AB566" s="13"/>
      <c r="AC566" s="34"/>
      <c r="AD566" s="34"/>
      <c r="AE566" s="34"/>
      <c r="AF566" s="34"/>
      <c r="AG566" s="34"/>
      <c r="AI566" s="35">
        <v>563</v>
      </c>
      <c r="AJ566" s="35">
        <v>172</v>
      </c>
      <c r="AK566" s="2">
        <v>144.45352690000001</v>
      </c>
      <c r="AV566" s="13">
        <f t="shared" si="34"/>
        <v>-16.015391337209294</v>
      </c>
      <c r="BD566" s="35">
        <v>563</v>
      </c>
      <c r="BE566" s="35">
        <v>172</v>
      </c>
      <c r="BF566" s="2">
        <v>144.8348273</v>
      </c>
      <c r="BQ566" s="13">
        <f t="shared" si="35"/>
        <v>-15.79370505813954</v>
      </c>
    </row>
    <row r="567" spans="1:69">
      <c r="A567" s="13">
        <v>564</v>
      </c>
      <c r="B567" s="13">
        <v>118</v>
      </c>
      <c r="C567" s="2">
        <v>126.2778007</v>
      </c>
      <c r="D567" s="13"/>
      <c r="E567" s="13"/>
      <c r="F567" s="13"/>
      <c r="G567" s="13"/>
      <c r="H567" s="13"/>
      <c r="I567" s="13"/>
      <c r="J567" s="13"/>
      <c r="K567" s="13"/>
      <c r="L567" s="13"/>
      <c r="M567" s="13">
        <f t="shared" si="36"/>
        <v>7.0150853389830514</v>
      </c>
      <c r="N567" s="13"/>
      <c r="O567" s="13">
        <v>564</v>
      </c>
      <c r="P567" s="13">
        <v>118</v>
      </c>
      <c r="Q567" s="2">
        <v>134.0507834</v>
      </c>
      <c r="R567" s="13"/>
      <c r="S567" s="13"/>
      <c r="T567" s="13"/>
      <c r="U567" s="13"/>
      <c r="V567" s="13"/>
      <c r="W567" s="13"/>
      <c r="X567" s="13"/>
      <c r="Y567" s="13"/>
      <c r="Z567" s="13"/>
      <c r="AA567" s="13">
        <f t="shared" si="33"/>
        <v>13.602358813559313</v>
      </c>
      <c r="AB567" s="13"/>
      <c r="AC567" s="34"/>
      <c r="AD567" s="34"/>
      <c r="AE567" s="34"/>
      <c r="AF567" s="34"/>
      <c r="AG567" s="34"/>
      <c r="AI567" s="35">
        <v>564</v>
      </c>
      <c r="AJ567" s="35">
        <v>118</v>
      </c>
      <c r="AK567" s="2">
        <v>137.07515050000001</v>
      </c>
      <c r="AV567" s="13">
        <f t="shared" si="34"/>
        <v>16.165381779661026</v>
      </c>
      <c r="BD567" s="35">
        <v>564</v>
      </c>
      <c r="BE567" s="35">
        <v>118</v>
      </c>
      <c r="BF567" s="2">
        <v>138.33815899999999</v>
      </c>
      <c r="BQ567" s="13">
        <f t="shared" si="35"/>
        <v>17.235727966101688</v>
      </c>
    </row>
    <row r="568" spans="1:69">
      <c r="A568" s="13">
        <v>565</v>
      </c>
      <c r="B568" s="13">
        <v>119</v>
      </c>
      <c r="C568" s="2">
        <v>121.26272969999999</v>
      </c>
      <c r="D568" s="13"/>
      <c r="E568" s="13"/>
      <c r="F568" s="13"/>
      <c r="G568" s="13"/>
      <c r="H568" s="13"/>
      <c r="I568" s="13"/>
      <c r="J568" s="13"/>
      <c r="K568" s="13"/>
      <c r="L568" s="13"/>
      <c r="M568" s="13">
        <f t="shared" si="36"/>
        <v>1.9014535294117563</v>
      </c>
      <c r="N568" s="13"/>
      <c r="O568" s="13">
        <v>565</v>
      </c>
      <c r="P568" s="13">
        <v>119</v>
      </c>
      <c r="Q568" s="2">
        <v>126.52770630000001</v>
      </c>
      <c r="R568" s="13"/>
      <c r="S568" s="13"/>
      <c r="T568" s="13"/>
      <c r="U568" s="13"/>
      <c r="V568" s="13"/>
      <c r="W568" s="13"/>
      <c r="X568" s="13"/>
      <c r="Y568" s="13"/>
      <c r="Z568" s="13"/>
      <c r="AA568" s="13">
        <f t="shared" si="33"/>
        <v>6.325803613445391</v>
      </c>
      <c r="AB568" s="13"/>
      <c r="AC568" s="34"/>
      <c r="AD568" s="34"/>
      <c r="AE568" s="34"/>
      <c r="AF568" s="34"/>
      <c r="AG568" s="34"/>
      <c r="AI568" s="35">
        <v>565</v>
      </c>
      <c r="AJ568" s="35">
        <v>119</v>
      </c>
      <c r="AK568" s="2">
        <v>131.94818939999999</v>
      </c>
      <c r="AV568" s="13">
        <f t="shared" si="34"/>
        <v>10.880831428571414</v>
      </c>
      <c r="BD568" s="35">
        <v>565</v>
      </c>
      <c r="BE568" s="35">
        <v>119</v>
      </c>
      <c r="BF568" s="2">
        <v>130.34729659999999</v>
      </c>
      <c r="BQ568" s="13">
        <f t="shared" si="35"/>
        <v>9.5355433613445229</v>
      </c>
    </row>
    <row r="569" spans="1:69">
      <c r="A569" s="13">
        <v>566</v>
      </c>
      <c r="B569" s="13">
        <v>217</v>
      </c>
      <c r="C569" s="2">
        <v>154.97728090000001</v>
      </c>
      <c r="D569" s="13"/>
      <c r="E569" s="13"/>
      <c r="F569" s="13"/>
      <c r="G569" s="13"/>
      <c r="H569" s="13"/>
      <c r="I569" s="13"/>
      <c r="J569" s="13"/>
      <c r="K569" s="13"/>
      <c r="L569" s="13"/>
      <c r="M569" s="13">
        <f t="shared" si="36"/>
        <v>-28.581898202764975</v>
      </c>
      <c r="N569" s="13"/>
      <c r="O569" s="13">
        <v>566</v>
      </c>
      <c r="P569" s="13">
        <v>217</v>
      </c>
      <c r="Q569" s="2">
        <v>169.3402136</v>
      </c>
      <c r="R569" s="13"/>
      <c r="S569" s="13"/>
      <c r="T569" s="13"/>
      <c r="U569" s="13"/>
      <c r="V569" s="13"/>
      <c r="W569" s="13"/>
      <c r="X569" s="13"/>
      <c r="Y569" s="13"/>
      <c r="Z569" s="13"/>
      <c r="AA569" s="13">
        <f t="shared" si="33"/>
        <v>-21.96303520737327</v>
      </c>
      <c r="AB569" s="13"/>
      <c r="AC569" s="34"/>
      <c r="AD569" s="34"/>
      <c r="AE569" s="34"/>
      <c r="AF569" s="34"/>
      <c r="AG569" s="34"/>
      <c r="AI569" s="35">
        <v>566</v>
      </c>
      <c r="AJ569" s="35">
        <v>217</v>
      </c>
      <c r="AK569" s="2">
        <v>172.33705320000001</v>
      </c>
      <c r="AV569" s="13">
        <f t="shared" si="34"/>
        <v>-20.582003133640548</v>
      </c>
      <c r="BD569" s="35">
        <v>566</v>
      </c>
      <c r="BE569" s="35">
        <v>217</v>
      </c>
      <c r="BF569" s="2">
        <v>177.89268620000001</v>
      </c>
      <c r="BQ569" s="13">
        <f t="shared" si="35"/>
        <v>-18.021803594470043</v>
      </c>
    </row>
    <row r="570" spans="1:69">
      <c r="A570" s="13">
        <v>567</v>
      </c>
      <c r="B570" s="13">
        <v>73</v>
      </c>
      <c r="C570" s="2">
        <v>80.935679280000002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>
        <f t="shared" si="36"/>
        <v>10.87079353424658</v>
      </c>
      <c r="N570" s="13"/>
      <c r="O570" s="13">
        <v>567</v>
      </c>
      <c r="P570" s="13">
        <v>73</v>
      </c>
      <c r="Q570" s="2">
        <v>70.379663280000003</v>
      </c>
      <c r="R570" s="13"/>
      <c r="S570" s="13"/>
      <c r="T570" s="13"/>
      <c r="U570" s="13"/>
      <c r="V570" s="13"/>
      <c r="W570" s="13"/>
      <c r="X570" s="13"/>
      <c r="Y570" s="13"/>
      <c r="Z570" s="13"/>
      <c r="AA570" s="13">
        <f t="shared" si="33"/>
        <v>-3.5895023561643757</v>
      </c>
      <c r="AB570" s="13"/>
      <c r="AC570" s="34"/>
      <c r="AD570" s="34"/>
      <c r="AE570" s="34"/>
      <c r="AF570" s="34"/>
      <c r="AG570" s="34"/>
      <c r="AI570" s="35">
        <v>567</v>
      </c>
      <c r="AJ570" s="35">
        <v>73</v>
      </c>
      <c r="AK570" s="2">
        <v>63.948128349999998</v>
      </c>
      <c r="AV570" s="13">
        <f t="shared" si="34"/>
        <v>-12.399824178082197</v>
      </c>
      <c r="BD570" s="35">
        <v>567</v>
      </c>
      <c r="BE570" s="35">
        <v>73</v>
      </c>
      <c r="BF570" s="2">
        <v>63.830810049999997</v>
      </c>
      <c r="BQ570" s="13">
        <f t="shared" si="35"/>
        <v>-12.560534178082195</v>
      </c>
    </row>
    <row r="571" spans="1:69">
      <c r="A571" s="13">
        <v>568</v>
      </c>
      <c r="B571" s="13">
        <v>108</v>
      </c>
      <c r="C571" s="2">
        <v>121.14503449999999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>
        <f t="shared" si="36"/>
        <v>12.171328240740742</v>
      </c>
      <c r="N571" s="13"/>
      <c r="O571" s="13">
        <v>568</v>
      </c>
      <c r="P571" s="13">
        <v>108</v>
      </c>
      <c r="Q571" s="2">
        <v>124.44182979999999</v>
      </c>
      <c r="R571" s="13"/>
      <c r="S571" s="13"/>
      <c r="T571" s="13"/>
      <c r="U571" s="13"/>
      <c r="V571" s="13"/>
      <c r="W571" s="13"/>
      <c r="X571" s="13"/>
      <c r="Y571" s="13"/>
      <c r="Z571" s="13"/>
      <c r="AA571" s="13">
        <f t="shared" si="33"/>
        <v>15.223916481481471</v>
      </c>
      <c r="AB571" s="13"/>
      <c r="AC571" s="34"/>
      <c r="AD571" s="34"/>
      <c r="AE571" s="34"/>
      <c r="AF571" s="34"/>
      <c r="AG571" s="34"/>
      <c r="AI571" s="35">
        <v>568</v>
      </c>
      <c r="AJ571" s="35">
        <v>108</v>
      </c>
      <c r="AK571" s="2">
        <v>126.43460690000001</v>
      </c>
      <c r="AV571" s="13">
        <f t="shared" si="34"/>
        <v>17.069080462962958</v>
      </c>
      <c r="BD571" s="35">
        <v>568</v>
      </c>
      <c r="BE571" s="35">
        <v>108</v>
      </c>
      <c r="BF571" s="2">
        <v>129.18099280000001</v>
      </c>
      <c r="BQ571" s="13">
        <f t="shared" si="35"/>
        <v>19.61203037037038</v>
      </c>
    </row>
    <row r="572" spans="1:69">
      <c r="A572" s="13">
        <v>569</v>
      </c>
      <c r="B572" s="13">
        <v>40</v>
      </c>
      <c r="C572" s="2">
        <v>54.194140126754803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>
        <f t="shared" si="36"/>
        <v>35.485350316887001</v>
      </c>
      <c r="N572" s="13"/>
      <c r="O572" s="13">
        <v>569</v>
      </c>
      <c r="P572" s="13">
        <v>40</v>
      </c>
      <c r="Q572" s="2">
        <v>57.894848070000002</v>
      </c>
      <c r="R572" s="13"/>
      <c r="S572" s="13"/>
      <c r="T572" s="13"/>
      <c r="U572" s="13"/>
      <c r="V572" s="13"/>
      <c r="W572" s="13"/>
      <c r="X572" s="13"/>
      <c r="Y572" s="13"/>
      <c r="Z572" s="13"/>
      <c r="AA572" s="13">
        <f t="shared" si="33"/>
        <v>44.737120175000001</v>
      </c>
      <c r="AB572" s="13"/>
      <c r="AC572" s="34"/>
      <c r="AD572" s="34"/>
      <c r="AE572" s="34"/>
      <c r="AF572" s="34"/>
      <c r="AG572" s="34"/>
      <c r="AI572" s="35">
        <v>569</v>
      </c>
      <c r="AJ572" s="35">
        <v>40</v>
      </c>
      <c r="AK572" s="2">
        <v>33.075611595713902</v>
      </c>
      <c r="AV572" s="13">
        <f t="shared" si="34"/>
        <v>-17.310971010715249</v>
      </c>
      <c r="BD572" s="35">
        <v>569</v>
      </c>
      <c r="BE572" s="35">
        <v>40</v>
      </c>
      <c r="BF572" s="2">
        <v>51.973974429999998</v>
      </c>
      <c r="BQ572" s="13">
        <f t="shared" si="35"/>
        <v>29.934936074999996</v>
      </c>
    </row>
    <row r="573" spans="1:69">
      <c r="A573" s="13">
        <v>570</v>
      </c>
      <c r="B573" s="13">
        <v>93</v>
      </c>
      <c r="C573" s="2">
        <v>108.2536894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>
        <f t="shared" si="36"/>
        <v>16.401816559139792</v>
      </c>
      <c r="N573" s="13"/>
      <c r="O573" s="13">
        <v>570</v>
      </c>
      <c r="P573" s="13">
        <v>93</v>
      </c>
      <c r="Q573" s="2">
        <v>109.8921251</v>
      </c>
      <c r="R573" s="13"/>
      <c r="S573" s="13"/>
      <c r="T573" s="13"/>
      <c r="U573" s="13"/>
      <c r="V573" s="13"/>
      <c r="W573" s="13"/>
      <c r="X573" s="13"/>
      <c r="Y573" s="13"/>
      <c r="Z573" s="13"/>
      <c r="AA573" s="13">
        <f t="shared" si="33"/>
        <v>18.163575376344077</v>
      </c>
      <c r="AB573" s="13"/>
      <c r="AC573" s="34"/>
      <c r="AD573" s="34"/>
      <c r="AE573" s="34"/>
      <c r="AF573" s="34"/>
      <c r="AG573" s="34"/>
      <c r="AI573" s="35">
        <v>570</v>
      </c>
      <c r="AJ573" s="35">
        <v>93</v>
      </c>
      <c r="AK573" s="2">
        <v>108.60505000000001</v>
      </c>
      <c r="AV573" s="13">
        <f t="shared" si="34"/>
        <v>16.779623655913987</v>
      </c>
      <c r="BD573" s="35">
        <v>570</v>
      </c>
      <c r="BE573" s="35">
        <v>93</v>
      </c>
      <c r="BF573" s="2">
        <v>111.708511</v>
      </c>
      <c r="BQ573" s="13">
        <f t="shared" si="35"/>
        <v>20.116678494623663</v>
      </c>
    </row>
    <row r="574" spans="1:69">
      <c r="A574" s="13">
        <v>571</v>
      </c>
      <c r="B574" s="13">
        <v>70</v>
      </c>
      <c r="C574" s="2">
        <v>92.507814830000001</v>
      </c>
      <c r="D574" s="13"/>
      <c r="E574" s="13"/>
      <c r="F574" s="13"/>
      <c r="G574" s="13"/>
      <c r="H574" s="13"/>
      <c r="I574" s="13"/>
      <c r="J574" s="13"/>
      <c r="K574" s="13"/>
      <c r="L574" s="13"/>
      <c r="M574" s="13">
        <f t="shared" si="36"/>
        <v>32.154021185714285</v>
      </c>
      <c r="N574" s="13"/>
      <c r="O574" s="13">
        <v>571</v>
      </c>
      <c r="P574" s="13">
        <v>70</v>
      </c>
      <c r="Q574" s="2">
        <v>89.780952510000006</v>
      </c>
      <c r="R574" s="13"/>
      <c r="S574" s="13"/>
      <c r="T574" s="13"/>
      <c r="U574" s="13"/>
      <c r="V574" s="13"/>
      <c r="W574" s="13"/>
      <c r="X574" s="13"/>
      <c r="Y574" s="13"/>
      <c r="Z574" s="13"/>
      <c r="AA574" s="13">
        <f t="shared" si="33"/>
        <v>28.258503585714291</v>
      </c>
      <c r="AB574" s="13"/>
      <c r="AC574" s="34"/>
      <c r="AD574" s="34"/>
      <c r="AE574" s="34"/>
      <c r="AF574" s="34"/>
      <c r="AG574" s="34"/>
      <c r="AI574" s="35">
        <v>571</v>
      </c>
      <c r="AJ574" s="35">
        <v>70</v>
      </c>
      <c r="AK574" s="2">
        <v>85.342878639999995</v>
      </c>
      <c r="AV574" s="13">
        <f t="shared" si="34"/>
        <v>21.918398057142841</v>
      </c>
      <c r="BD574" s="35">
        <v>571</v>
      </c>
      <c r="BE574" s="35">
        <v>70</v>
      </c>
      <c r="BF574" s="2">
        <v>84.488355960000007</v>
      </c>
      <c r="BQ574" s="13">
        <f t="shared" si="35"/>
        <v>20.697651371428584</v>
      </c>
    </row>
    <row r="575" spans="1:69">
      <c r="A575" s="13">
        <v>572</v>
      </c>
      <c r="B575" s="13">
        <v>95</v>
      </c>
      <c r="C575" s="2">
        <v>102.07072909999999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>
        <f t="shared" si="36"/>
        <v>7.4428727368420988</v>
      </c>
      <c r="N575" s="13"/>
      <c r="O575" s="13">
        <v>572</v>
      </c>
      <c r="P575" s="13">
        <v>95</v>
      </c>
      <c r="Q575" s="2">
        <v>102.5843158</v>
      </c>
      <c r="R575" s="13"/>
      <c r="S575" s="13"/>
      <c r="T575" s="13"/>
      <c r="U575" s="13"/>
      <c r="V575" s="13"/>
      <c r="W575" s="13"/>
      <c r="X575" s="13"/>
      <c r="Y575" s="13"/>
      <c r="Z575" s="13"/>
      <c r="AA575" s="13">
        <f t="shared" si="33"/>
        <v>7.9834903157894654</v>
      </c>
      <c r="AB575" s="13"/>
      <c r="AC575" s="34"/>
      <c r="AD575" s="34"/>
      <c r="AE575" s="34"/>
      <c r="AF575" s="34"/>
      <c r="AG575" s="34"/>
      <c r="AI575" s="35">
        <v>572</v>
      </c>
      <c r="AJ575" s="35">
        <v>95</v>
      </c>
      <c r="AK575" s="2">
        <v>98.397322220000007</v>
      </c>
      <c r="AV575" s="13">
        <f t="shared" si="34"/>
        <v>3.5761286526315939</v>
      </c>
      <c r="BD575" s="35">
        <v>572</v>
      </c>
      <c r="BE575" s="35">
        <v>95</v>
      </c>
      <c r="BF575" s="2">
        <v>100.3737938</v>
      </c>
      <c r="BQ575" s="13">
        <f t="shared" si="35"/>
        <v>5.6566250526315809</v>
      </c>
    </row>
    <row r="576" spans="1:69">
      <c r="A576" s="13">
        <v>573</v>
      </c>
      <c r="B576" s="13">
        <v>140</v>
      </c>
      <c r="C576" s="2">
        <v>120.9217076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>
        <f t="shared" si="36"/>
        <v>-13.627351714285707</v>
      </c>
      <c r="N576" s="13"/>
      <c r="O576" s="13">
        <v>573</v>
      </c>
      <c r="P576" s="13">
        <v>140</v>
      </c>
      <c r="Q576" s="2">
        <v>121.8639915</v>
      </c>
      <c r="R576" s="13"/>
      <c r="S576" s="13"/>
      <c r="T576" s="13"/>
      <c r="U576" s="13"/>
      <c r="V576" s="13"/>
      <c r="W576" s="13"/>
      <c r="X576" s="13"/>
      <c r="Y576" s="13"/>
      <c r="Z576" s="13"/>
      <c r="AA576" s="13">
        <f t="shared" si="33"/>
        <v>-12.95429178571429</v>
      </c>
      <c r="AB576" s="13"/>
      <c r="AC576" s="34"/>
      <c r="AD576" s="34"/>
      <c r="AE576" s="34"/>
      <c r="AF576" s="34"/>
      <c r="AG576" s="34"/>
      <c r="AI576" s="35">
        <v>573</v>
      </c>
      <c r="AJ576" s="35">
        <v>140</v>
      </c>
      <c r="AK576" s="2">
        <v>120.9285297</v>
      </c>
      <c r="AV576" s="13">
        <f t="shared" si="34"/>
        <v>-13.622478785714287</v>
      </c>
      <c r="BD576" s="35">
        <v>573</v>
      </c>
      <c r="BE576" s="35">
        <v>140</v>
      </c>
      <c r="BF576" s="2">
        <v>121.1101633</v>
      </c>
      <c r="BQ576" s="13">
        <f t="shared" si="35"/>
        <v>-13.4927405</v>
      </c>
    </row>
    <row r="577" spans="1:69">
      <c r="A577" s="13">
        <v>574</v>
      </c>
      <c r="B577" s="13">
        <v>92</v>
      </c>
      <c r="C577" s="2">
        <v>84.147991349999998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>
        <f t="shared" si="36"/>
        <v>-8.5347920108695625</v>
      </c>
      <c r="N577" s="13"/>
      <c r="O577" s="13">
        <v>574</v>
      </c>
      <c r="P577" s="13">
        <v>92</v>
      </c>
      <c r="Q577" s="2">
        <v>75.036994320000005</v>
      </c>
      <c r="R577" s="13"/>
      <c r="S577" s="13"/>
      <c r="T577" s="13"/>
      <c r="U577" s="13"/>
      <c r="V577" s="13"/>
      <c r="W577" s="13"/>
      <c r="X577" s="13"/>
      <c r="Y577" s="13"/>
      <c r="Z577" s="13"/>
      <c r="AA577" s="13">
        <f t="shared" si="33"/>
        <v>-18.438049652173905</v>
      </c>
      <c r="AB577" s="13"/>
      <c r="AC577" s="34"/>
      <c r="AD577" s="34"/>
      <c r="AE577" s="34"/>
      <c r="AF577" s="34"/>
      <c r="AG577" s="34"/>
      <c r="AI577" s="35">
        <v>574</v>
      </c>
      <c r="AJ577" s="35">
        <v>92</v>
      </c>
      <c r="AK577" s="2">
        <v>71.199383170000004</v>
      </c>
      <c r="AV577" s="13">
        <f t="shared" si="34"/>
        <v>-22.609366119565209</v>
      </c>
      <c r="BD577" s="35">
        <v>574</v>
      </c>
      <c r="BE577" s="35">
        <v>92</v>
      </c>
      <c r="BF577" s="2">
        <v>70.293773669999993</v>
      </c>
      <c r="BQ577" s="13">
        <f t="shared" si="35"/>
        <v>-23.593724271739134</v>
      </c>
    </row>
    <row r="578" spans="1:69">
      <c r="A578" s="13">
        <v>575</v>
      </c>
      <c r="B578" s="13">
        <v>34</v>
      </c>
      <c r="C578" s="2">
        <v>53.207268741321499</v>
      </c>
      <c r="D578" s="13"/>
      <c r="E578" s="13"/>
      <c r="F578" s="13"/>
      <c r="G578" s="13"/>
      <c r="H578" s="13"/>
      <c r="I578" s="13"/>
      <c r="J578" s="13"/>
      <c r="K578" s="13"/>
      <c r="L578" s="13"/>
      <c r="M578" s="13">
        <f t="shared" si="36"/>
        <v>56.491966886239695</v>
      </c>
      <c r="N578" s="13"/>
      <c r="O578" s="13">
        <v>575</v>
      </c>
      <c r="P578" s="13">
        <v>34</v>
      </c>
      <c r="Q578" s="2">
        <v>52.672732600000003</v>
      </c>
      <c r="R578" s="13"/>
      <c r="S578" s="13"/>
      <c r="T578" s="13"/>
      <c r="U578" s="13"/>
      <c r="V578" s="13"/>
      <c r="W578" s="13"/>
      <c r="X578" s="13"/>
      <c r="Y578" s="13"/>
      <c r="Z578" s="13"/>
      <c r="AA578" s="13">
        <f t="shared" si="33"/>
        <v>54.919801764705902</v>
      </c>
      <c r="AB578" s="13"/>
      <c r="AC578" s="34"/>
      <c r="AD578" s="34"/>
      <c r="AE578" s="34"/>
      <c r="AF578" s="34"/>
      <c r="AG578" s="34"/>
      <c r="AI578" s="35">
        <v>575</v>
      </c>
      <c r="AJ578" s="35">
        <v>34</v>
      </c>
      <c r="AK578" s="2">
        <v>43.726556459999998</v>
      </c>
      <c r="AV578" s="13">
        <f t="shared" si="34"/>
        <v>28.607519000000003</v>
      </c>
      <c r="BD578" s="35">
        <v>575</v>
      </c>
      <c r="BE578" s="35">
        <v>34</v>
      </c>
      <c r="BF578" s="2">
        <v>29.396224991816599</v>
      </c>
      <c r="BQ578" s="13">
        <f t="shared" si="35"/>
        <v>-13.54051472995118</v>
      </c>
    </row>
    <row r="579" spans="1:69">
      <c r="A579" s="13">
        <v>576</v>
      </c>
      <c r="B579" s="13">
        <v>17</v>
      </c>
      <c r="C579" s="2">
        <v>15.161854318462501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>
        <f t="shared" si="36"/>
        <v>-10.812621656102939</v>
      </c>
      <c r="N579" s="13"/>
      <c r="O579" s="13">
        <v>576</v>
      </c>
      <c r="P579" s="13">
        <v>17</v>
      </c>
      <c r="Q579" s="2">
        <v>23.119187349925799</v>
      </c>
      <c r="R579" s="13"/>
      <c r="S579" s="13"/>
      <c r="T579" s="13"/>
      <c r="U579" s="13"/>
      <c r="V579" s="13"/>
      <c r="W579" s="13"/>
      <c r="X579" s="13"/>
      <c r="Y579" s="13"/>
      <c r="Z579" s="13"/>
      <c r="AA579" s="13">
        <f t="shared" ref="AA579:AA642" si="37">((Q579/P579)-1)*100</f>
        <v>35.995219705445876</v>
      </c>
      <c r="AB579" s="13"/>
      <c r="AC579" s="34"/>
      <c r="AD579" s="34"/>
      <c r="AE579" s="34"/>
      <c r="AF579" s="34"/>
      <c r="AG579" s="34"/>
      <c r="AI579" s="35">
        <v>576</v>
      </c>
      <c r="AJ579" s="35">
        <v>17</v>
      </c>
      <c r="AK579" s="2">
        <v>12.9649870649788</v>
      </c>
      <c r="AV579" s="13">
        <f t="shared" si="34"/>
        <v>-23.735370206007055</v>
      </c>
      <c r="BD579" s="35">
        <v>576</v>
      </c>
      <c r="BE579" s="35">
        <v>17</v>
      </c>
      <c r="BF579" s="2">
        <v>14.3376384665551</v>
      </c>
      <c r="BQ579" s="13">
        <f t="shared" si="35"/>
        <v>-15.660950196734703</v>
      </c>
    </row>
    <row r="580" spans="1:69">
      <c r="A580" s="13">
        <v>577</v>
      </c>
      <c r="B580" s="13">
        <v>49</v>
      </c>
      <c r="C580" s="2">
        <v>57.110909291150698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>
        <f t="shared" si="36"/>
        <v>16.552876104389181</v>
      </c>
      <c r="N580" s="13"/>
      <c r="O580" s="13">
        <v>577</v>
      </c>
      <c r="P580" s="13">
        <v>49</v>
      </c>
      <c r="Q580" s="2">
        <v>70.627057800000003</v>
      </c>
      <c r="R580" s="13"/>
      <c r="S580" s="13"/>
      <c r="T580" s="13"/>
      <c r="U580" s="13"/>
      <c r="V580" s="13"/>
      <c r="W580" s="13"/>
      <c r="X580" s="13"/>
      <c r="Y580" s="13"/>
      <c r="Z580" s="13"/>
      <c r="AA580" s="13">
        <f t="shared" si="37"/>
        <v>44.136852653061219</v>
      </c>
      <c r="AB580" s="13"/>
      <c r="AC580" s="34"/>
      <c r="AD580" s="34"/>
      <c r="AE580" s="34"/>
      <c r="AF580" s="34"/>
      <c r="AG580" s="34"/>
      <c r="AI580" s="35">
        <v>577</v>
      </c>
      <c r="AJ580" s="35">
        <v>49</v>
      </c>
      <c r="AK580" s="2">
        <v>48.040395184654798</v>
      </c>
      <c r="AV580" s="13">
        <f t="shared" ref="AV580:AV643" si="38">((AK580/AJ580)-1)*100</f>
        <v>-1.9583771741738865</v>
      </c>
      <c r="BD580" s="35">
        <v>577</v>
      </c>
      <c r="BE580" s="35">
        <v>49</v>
      </c>
      <c r="BF580" s="2">
        <v>43.035434095381</v>
      </c>
      <c r="BQ580" s="13">
        <f t="shared" ref="BQ580:BQ643" si="39">((BF580/BE580)-1)*100</f>
        <v>-12.172583478814293</v>
      </c>
    </row>
    <row r="581" spans="1:69">
      <c r="A581" s="13">
        <v>578</v>
      </c>
      <c r="B581" s="13">
        <v>9</v>
      </c>
      <c r="C581" s="2">
        <v>14.129592350485099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>
        <f t="shared" si="36"/>
        <v>56.995470560945535</v>
      </c>
      <c r="N581" s="13"/>
      <c r="O581" s="13">
        <v>578</v>
      </c>
      <c r="P581" s="13">
        <v>9</v>
      </c>
      <c r="Q581" s="2">
        <v>13.905540643954399</v>
      </c>
      <c r="R581" s="13"/>
      <c r="S581" s="13"/>
      <c r="T581" s="13"/>
      <c r="U581" s="13"/>
      <c r="V581" s="13"/>
      <c r="W581" s="13"/>
      <c r="X581" s="13"/>
      <c r="Y581" s="13"/>
      <c r="Z581" s="13"/>
      <c r="AA581" s="13">
        <f t="shared" si="37"/>
        <v>54.506007155048877</v>
      </c>
      <c r="AB581" s="13"/>
      <c r="AC581" s="34"/>
      <c r="AD581" s="34"/>
      <c r="AE581" s="34"/>
      <c r="AF581" s="34"/>
      <c r="AG581" s="34"/>
      <c r="AI581" s="35">
        <v>578</v>
      </c>
      <c r="AJ581" s="35">
        <v>9</v>
      </c>
      <c r="AK581" s="2">
        <v>8.9240879439819896</v>
      </c>
      <c r="AV581" s="13">
        <f t="shared" si="38"/>
        <v>-0.84346728908900603</v>
      </c>
      <c r="BD581" s="35">
        <v>578</v>
      </c>
      <c r="BE581" s="35">
        <v>9</v>
      </c>
      <c r="BF581" s="2">
        <v>8.6154508687632205</v>
      </c>
      <c r="BQ581" s="13">
        <f t="shared" si="39"/>
        <v>-4.2727681248531102</v>
      </c>
    </row>
    <row r="582" spans="1:69">
      <c r="A582" s="13">
        <v>579</v>
      </c>
      <c r="B582" s="13">
        <v>98</v>
      </c>
      <c r="C582" s="2">
        <v>116.92103899999999</v>
      </c>
      <c r="D582" s="13"/>
      <c r="E582" s="13"/>
      <c r="F582" s="13"/>
      <c r="G582" s="13"/>
      <c r="H582" s="13"/>
      <c r="I582" s="13"/>
      <c r="J582" s="13"/>
      <c r="K582" s="13"/>
      <c r="L582" s="13"/>
      <c r="M582" s="13">
        <f t="shared" si="36"/>
        <v>19.307182653061219</v>
      </c>
      <c r="N582" s="13"/>
      <c r="O582" s="13">
        <v>579</v>
      </c>
      <c r="P582" s="13">
        <v>98</v>
      </c>
      <c r="Q582" s="2">
        <v>113.79065300000001</v>
      </c>
      <c r="R582" s="13"/>
      <c r="S582" s="13"/>
      <c r="T582" s="13"/>
      <c r="U582" s="13"/>
      <c r="V582" s="13"/>
      <c r="W582" s="13"/>
      <c r="X582" s="13"/>
      <c r="Y582" s="13"/>
      <c r="Z582" s="13"/>
      <c r="AA582" s="13">
        <f t="shared" si="37"/>
        <v>16.112911224489814</v>
      </c>
      <c r="AB582" s="13"/>
      <c r="AC582" s="34"/>
      <c r="AD582" s="34"/>
      <c r="AE582" s="34"/>
      <c r="AF582" s="34"/>
      <c r="AG582" s="34"/>
      <c r="AI582" s="35">
        <v>579</v>
      </c>
      <c r="AJ582" s="35">
        <v>98</v>
      </c>
      <c r="AK582" s="2">
        <v>114.76017330000001</v>
      </c>
      <c r="AV582" s="13">
        <f t="shared" si="38"/>
        <v>17.102217653061235</v>
      </c>
      <c r="BD582" s="35">
        <v>579</v>
      </c>
      <c r="BE582" s="35">
        <v>98</v>
      </c>
      <c r="BF582" s="2">
        <v>113.16458950000001</v>
      </c>
      <c r="BQ582" s="13">
        <f t="shared" si="39"/>
        <v>15.474070918367344</v>
      </c>
    </row>
    <row r="583" spans="1:69">
      <c r="A583" s="13">
        <v>580</v>
      </c>
      <c r="B583" s="13">
        <v>53</v>
      </c>
      <c r="C583" s="2">
        <v>69.150153110000005</v>
      </c>
      <c r="D583" s="13"/>
      <c r="E583" s="13"/>
      <c r="F583" s="13"/>
      <c r="G583" s="13"/>
      <c r="H583" s="13"/>
      <c r="I583" s="13"/>
      <c r="J583" s="13"/>
      <c r="K583" s="13"/>
      <c r="L583" s="13"/>
      <c r="M583" s="13">
        <f t="shared" si="36"/>
        <v>30.471986999999999</v>
      </c>
      <c r="N583" s="13"/>
      <c r="O583" s="13">
        <v>580</v>
      </c>
      <c r="P583" s="13">
        <v>53</v>
      </c>
      <c r="Q583" s="2">
        <v>54.318685879999997</v>
      </c>
      <c r="R583" s="13"/>
      <c r="S583" s="13"/>
      <c r="T583" s="13"/>
      <c r="U583" s="13"/>
      <c r="V583" s="13"/>
      <c r="W583" s="13"/>
      <c r="X583" s="13"/>
      <c r="Y583" s="13"/>
      <c r="Z583" s="13"/>
      <c r="AA583" s="13">
        <f t="shared" si="37"/>
        <v>2.4880865660377394</v>
      </c>
      <c r="AB583" s="13"/>
      <c r="AC583" s="34"/>
      <c r="AD583" s="34"/>
      <c r="AE583" s="34"/>
      <c r="AF583" s="34"/>
      <c r="AG583" s="34"/>
      <c r="AI583" s="35">
        <v>580</v>
      </c>
      <c r="AJ583" s="35">
        <v>53</v>
      </c>
      <c r="AK583" s="2">
        <v>46.706553589999999</v>
      </c>
      <c r="AV583" s="13">
        <f t="shared" si="38"/>
        <v>-11.874427188679249</v>
      </c>
      <c r="BD583" s="35">
        <v>580</v>
      </c>
      <c r="BE583" s="35">
        <v>53</v>
      </c>
      <c r="BF583" s="2">
        <v>39.669453240000003</v>
      </c>
      <c r="BQ583" s="13">
        <f t="shared" si="39"/>
        <v>-25.151975018867923</v>
      </c>
    </row>
    <row r="584" spans="1:69">
      <c r="A584" s="13">
        <v>581</v>
      </c>
      <c r="B584" s="13">
        <v>77</v>
      </c>
      <c r="C584" s="2">
        <v>94.515184379999994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>
        <f t="shared" si="36"/>
        <v>22.746992701298694</v>
      </c>
      <c r="N584" s="13"/>
      <c r="O584" s="13">
        <v>581</v>
      </c>
      <c r="P584" s="13">
        <v>77</v>
      </c>
      <c r="Q584" s="2">
        <v>89.360263739999994</v>
      </c>
      <c r="R584" s="13"/>
      <c r="S584" s="13"/>
      <c r="T584" s="13"/>
      <c r="U584" s="13"/>
      <c r="V584" s="13"/>
      <c r="W584" s="13"/>
      <c r="X584" s="13"/>
      <c r="Y584" s="13"/>
      <c r="Z584" s="13"/>
      <c r="AA584" s="13">
        <f t="shared" si="37"/>
        <v>16.052290571428564</v>
      </c>
      <c r="AB584" s="13"/>
      <c r="AC584" s="34"/>
      <c r="AD584" s="34"/>
      <c r="AE584" s="34"/>
      <c r="AF584" s="34"/>
      <c r="AG584" s="34"/>
      <c r="AI584" s="35">
        <v>581</v>
      </c>
      <c r="AJ584" s="35">
        <v>77</v>
      </c>
      <c r="AK584" s="2">
        <v>82.951813279999996</v>
      </c>
      <c r="AV584" s="13">
        <f t="shared" si="38"/>
        <v>7.7296276363636229</v>
      </c>
      <c r="BD584" s="35">
        <v>581</v>
      </c>
      <c r="BE584" s="35">
        <v>77</v>
      </c>
      <c r="BF584" s="2">
        <v>85.311939330000001</v>
      </c>
      <c r="BQ584" s="13">
        <f t="shared" si="39"/>
        <v>10.794726402597398</v>
      </c>
    </row>
    <row r="585" spans="1:69">
      <c r="A585" s="13">
        <v>582</v>
      </c>
      <c r="B585" s="13">
        <v>78</v>
      </c>
      <c r="C585" s="2">
        <v>98.726032970000006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>
        <f t="shared" si="36"/>
        <v>26.571837141025647</v>
      </c>
      <c r="N585" s="13"/>
      <c r="O585" s="13">
        <v>582</v>
      </c>
      <c r="P585" s="13">
        <v>78</v>
      </c>
      <c r="Q585" s="2">
        <v>96.828473099999997</v>
      </c>
      <c r="R585" s="13"/>
      <c r="S585" s="13"/>
      <c r="T585" s="13"/>
      <c r="U585" s="13"/>
      <c r="V585" s="13"/>
      <c r="W585" s="13"/>
      <c r="X585" s="13"/>
      <c r="Y585" s="13"/>
      <c r="Z585" s="13"/>
      <c r="AA585" s="13">
        <f t="shared" si="37"/>
        <v>24.139068076923074</v>
      </c>
      <c r="AB585" s="13"/>
      <c r="AC585" s="34"/>
      <c r="AD585" s="34"/>
      <c r="AE585" s="34"/>
      <c r="AF585" s="34"/>
      <c r="AG585" s="34"/>
      <c r="AI585" s="35">
        <v>582</v>
      </c>
      <c r="AJ585" s="35">
        <v>78</v>
      </c>
      <c r="AK585" s="2">
        <v>94.587100000000007</v>
      </c>
      <c r="AV585" s="13">
        <f t="shared" si="38"/>
        <v>21.265512820512832</v>
      </c>
      <c r="BD585" s="35">
        <v>582</v>
      </c>
      <c r="BE585" s="35">
        <v>78</v>
      </c>
      <c r="BF585" s="2">
        <v>96.383326760000003</v>
      </c>
      <c r="BQ585" s="13">
        <f t="shared" si="39"/>
        <v>23.568367641025635</v>
      </c>
    </row>
    <row r="586" spans="1:69">
      <c r="A586" s="13">
        <v>583</v>
      </c>
      <c r="B586" s="13">
        <v>82</v>
      </c>
      <c r="C586" s="2">
        <v>75.462633819999994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>
        <f t="shared" si="36"/>
        <v>-7.9723977804878166</v>
      </c>
      <c r="N586" s="13"/>
      <c r="O586" s="13">
        <v>583</v>
      </c>
      <c r="P586" s="13">
        <v>82</v>
      </c>
      <c r="Q586" s="2">
        <v>64.479017519999999</v>
      </c>
      <c r="R586" s="13"/>
      <c r="S586" s="13"/>
      <c r="T586" s="13"/>
      <c r="U586" s="13"/>
      <c r="V586" s="13"/>
      <c r="W586" s="13"/>
      <c r="X586" s="13"/>
      <c r="Y586" s="13"/>
      <c r="Z586" s="13"/>
      <c r="AA586" s="13">
        <f t="shared" si="37"/>
        <v>-21.367051804878045</v>
      </c>
      <c r="AB586" s="13"/>
      <c r="AC586" s="34"/>
      <c r="AD586" s="34"/>
      <c r="AE586" s="34"/>
      <c r="AF586" s="34"/>
      <c r="AG586" s="34"/>
      <c r="AI586" s="35">
        <v>583</v>
      </c>
      <c r="AJ586" s="35">
        <v>82</v>
      </c>
      <c r="AK586" s="2">
        <v>59.992792260000002</v>
      </c>
      <c r="AV586" s="13">
        <f t="shared" si="38"/>
        <v>-26.838058219512195</v>
      </c>
      <c r="BD586" s="35">
        <v>583</v>
      </c>
      <c r="BE586" s="35">
        <v>82</v>
      </c>
      <c r="BF586" s="2">
        <v>61.630857880000001</v>
      </c>
      <c r="BQ586" s="13">
        <f t="shared" si="39"/>
        <v>-24.84041721951219</v>
      </c>
    </row>
    <row r="587" spans="1:69">
      <c r="A587" s="13">
        <v>584</v>
      </c>
      <c r="B587" s="13">
        <v>200</v>
      </c>
      <c r="C587" s="2">
        <v>174.49580589999999</v>
      </c>
      <c r="D587" s="13"/>
      <c r="E587" s="13"/>
      <c r="F587" s="13"/>
      <c r="G587" s="13"/>
      <c r="H587" s="13"/>
      <c r="I587" s="13"/>
      <c r="J587" s="13"/>
      <c r="K587" s="13"/>
      <c r="L587" s="13"/>
      <c r="M587" s="13">
        <f t="shared" si="36"/>
        <v>-12.75209705</v>
      </c>
      <c r="N587" s="13"/>
      <c r="O587" s="13">
        <v>584</v>
      </c>
      <c r="P587" s="13">
        <v>200</v>
      </c>
      <c r="Q587" s="2">
        <v>186.75320790000001</v>
      </c>
      <c r="R587" s="13"/>
      <c r="S587" s="13"/>
      <c r="T587" s="13"/>
      <c r="U587" s="13"/>
      <c r="V587" s="13"/>
      <c r="W587" s="13"/>
      <c r="X587" s="13"/>
      <c r="Y587" s="13"/>
      <c r="Z587" s="13"/>
      <c r="AA587" s="13">
        <f t="shared" si="37"/>
        <v>-6.6233960499999966</v>
      </c>
      <c r="AB587" s="13"/>
      <c r="AC587" s="34"/>
      <c r="AD587" s="34"/>
      <c r="AE587" s="34"/>
      <c r="AF587" s="34"/>
      <c r="AG587" s="34"/>
      <c r="AI587" s="35">
        <v>584</v>
      </c>
      <c r="AJ587" s="35">
        <v>200</v>
      </c>
      <c r="AK587" s="2">
        <v>196.2148406</v>
      </c>
      <c r="AV587" s="13">
        <f t="shared" si="38"/>
        <v>-1.8925796999999966</v>
      </c>
      <c r="BD587" s="35">
        <v>584</v>
      </c>
      <c r="BE587" s="35">
        <v>200</v>
      </c>
      <c r="BF587" s="2">
        <v>191.69791530000001</v>
      </c>
      <c r="BQ587" s="13">
        <f t="shared" si="39"/>
        <v>-4.1510423500000009</v>
      </c>
    </row>
    <row r="588" spans="1:69">
      <c r="A588" s="13">
        <v>585</v>
      </c>
      <c r="B588" s="13">
        <v>47</v>
      </c>
      <c r="C588" s="2">
        <v>36.582154297591998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>
        <f t="shared" si="36"/>
        <v>-22.165629154059573</v>
      </c>
      <c r="N588" s="13"/>
      <c r="O588" s="13">
        <v>585</v>
      </c>
      <c r="P588" s="13">
        <v>47</v>
      </c>
      <c r="Q588" s="2">
        <v>68.044127230000001</v>
      </c>
      <c r="R588" s="13"/>
      <c r="S588" s="13"/>
      <c r="T588" s="13"/>
      <c r="U588" s="13"/>
      <c r="V588" s="13"/>
      <c r="W588" s="13"/>
      <c r="X588" s="13"/>
      <c r="Y588" s="13"/>
      <c r="Z588" s="13"/>
      <c r="AA588" s="13">
        <f t="shared" si="37"/>
        <v>44.774738787234035</v>
      </c>
      <c r="AB588" s="13"/>
      <c r="AC588" s="34"/>
      <c r="AD588" s="34"/>
      <c r="AE588" s="34"/>
      <c r="AF588" s="34"/>
      <c r="AG588" s="34"/>
      <c r="AI588" s="35">
        <v>585</v>
      </c>
      <c r="AJ588" s="35">
        <v>47</v>
      </c>
      <c r="AK588" s="2">
        <v>58.728983749999998</v>
      </c>
      <c r="AV588" s="13">
        <f t="shared" si="38"/>
        <v>24.955284574468074</v>
      </c>
      <c r="BD588" s="35">
        <v>585</v>
      </c>
      <c r="BE588" s="35">
        <v>47</v>
      </c>
      <c r="BF588" s="2">
        <v>51.777545171633498</v>
      </c>
      <c r="BQ588" s="13">
        <f t="shared" si="39"/>
        <v>10.164989726879782</v>
      </c>
    </row>
    <row r="589" spans="1:69">
      <c r="A589" s="13">
        <v>586</v>
      </c>
      <c r="B589" s="13">
        <v>128</v>
      </c>
      <c r="C589" s="2">
        <v>104.5100114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>
        <f t="shared" si="36"/>
        <v>-18.351553593750005</v>
      </c>
      <c r="N589" s="13"/>
      <c r="O589" s="13">
        <v>586</v>
      </c>
      <c r="P589" s="13">
        <v>128</v>
      </c>
      <c r="Q589" s="2">
        <v>103.93165569999999</v>
      </c>
      <c r="R589" s="13"/>
      <c r="S589" s="13"/>
      <c r="T589" s="13"/>
      <c r="U589" s="13"/>
      <c r="V589" s="13"/>
      <c r="W589" s="13"/>
      <c r="X589" s="13"/>
      <c r="Y589" s="13"/>
      <c r="Z589" s="13"/>
      <c r="AA589" s="13">
        <f t="shared" si="37"/>
        <v>-18.803393984375006</v>
      </c>
      <c r="AB589" s="13"/>
      <c r="AC589" s="34"/>
      <c r="AD589" s="34"/>
      <c r="AE589" s="34"/>
      <c r="AF589" s="34"/>
      <c r="AG589" s="34"/>
      <c r="AI589" s="35">
        <v>586</v>
      </c>
      <c r="AJ589" s="35">
        <v>128</v>
      </c>
      <c r="AK589" s="2">
        <v>105.0673839</v>
      </c>
      <c r="AV589" s="13">
        <f t="shared" si="38"/>
        <v>-17.916106328125004</v>
      </c>
      <c r="BD589" s="35">
        <v>586</v>
      </c>
      <c r="BE589" s="35">
        <v>128</v>
      </c>
      <c r="BF589" s="2">
        <v>105.19933949999999</v>
      </c>
      <c r="BQ589" s="13">
        <f t="shared" si="39"/>
        <v>-17.813016015625006</v>
      </c>
    </row>
    <row r="590" spans="1:69">
      <c r="A590" s="13">
        <v>587</v>
      </c>
      <c r="B590" s="13">
        <v>117</v>
      </c>
      <c r="C590" s="2">
        <v>124.32533789999999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>
        <f t="shared" si="36"/>
        <v>6.2609725641025626</v>
      </c>
      <c r="N590" s="13"/>
      <c r="O590" s="13">
        <v>587</v>
      </c>
      <c r="P590" s="13">
        <v>117</v>
      </c>
      <c r="Q590" s="2">
        <v>131.87392270000001</v>
      </c>
      <c r="R590" s="13"/>
      <c r="S590" s="13"/>
      <c r="T590" s="13"/>
      <c r="U590" s="13"/>
      <c r="V590" s="13"/>
      <c r="W590" s="13"/>
      <c r="X590" s="13"/>
      <c r="Y590" s="13"/>
      <c r="Z590" s="13"/>
      <c r="AA590" s="13">
        <f t="shared" si="37"/>
        <v>12.712754444444441</v>
      </c>
      <c r="AB590" s="13"/>
      <c r="AC590" s="34"/>
      <c r="AD590" s="34"/>
      <c r="AE590" s="34"/>
      <c r="AF590" s="34"/>
      <c r="AG590" s="34"/>
      <c r="AI590" s="35">
        <v>587</v>
      </c>
      <c r="AJ590" s="35">
        <v>117</v>
      </c>
      <c r="AK590" s="2">
        <v>135.16105229999999</v>
      </c>
      <c r="AV590" s="13">
        <f t="shared" si="38"/>
        <v>15.522266923076922</v>
      </c>
      <c r="BD590" s="35">
        <v>587</v>
      </c>
      <c r="BE590" s="35">
        <v>117</v>
      </c>
      <c r="BF590" s="2">
        <v>135.46338230000001</v>
      </c>
      <c r="BQ590" s="13">
        <f t="shared" si="39"/>
        <v>15.780668632478644</v>
      </c>
    </row>
    <row r="591" spans="1:69">
      <c r="A591" s="13">
        <v>588</v>
      </c>
      <c r="B591" s="13">
        <v>47</v>
      </c>
      <c r="C591" s="2">
        <v>59.068052620000003</v>
      </c>
      <c r="D591" s="13"/>
      <c r="E591" s="13"/>
      <c r="F591" s="13"/>
      <c r="G591" s="13"/>
      <c r="H591" s="13"/>
      <c r="I591" s="13"/>
      <c r="J591" s="13"/>
      <c r="K591" s="13"/>
      <c r="L591" s="13"/>
      <c r="M591" s="13">
        <f t="shared" si="36"/>
        <v>25.676707702127665</v>
      </c>
      <c r="N591" s="13"/>
      <c r="O591" s="13">
        <v>588</v>
      </c>
      <c r="P591" s="13">
        <v>47</v>
      </c>
      <c r="Q591" s="2">
        <v>41.149178089999999</v>
      </c>
      <c r="R591" s="13"/>
      <c r="S591" s="13"/>
      <c r="T591" s="13"/>
      <c r="U591" s="13"/>
      <c r="V591" s="13"/>
      <c r="W591" s="13"/>
      <c r="X591" s="13"/>
      <c r="Y591" s="13"/>
      <c r="Z591" s="13"/>
      <c r="AA591" s="13">
        <f t="shared" si="37"/>
        <v>-12.448557255319148</v>
      </c>
      <c r="AB591" s="13"/>
      <c r="AC591" s="34"/>
      <c r="AD591" s="34"/>
      <c r="AE591" s="34"/>
      <c r="AF591" s="34"/>
      <c r="AG591" s="34"/>
      <c r="AI591" s="35">
        <v>588</v>
      </c>
      <c r="AJ591" s="35">
        <v>47</v>
      </c>
      <c r="AK591" s="2">
        <v>31.464599719999999</v>
      </c>
      <c r="AV591" s="13">
        <f t="shared" si="38"/>
        <v>-33.054043148936174</v>
      </c>
      <c r="BD591" s="35">
        <v>588</v>
      </c>
      <c r="BE591" s="35">
        <v>47</v>
      </c>
      <c r="BF591" s="2">
        <v>34.999841539999998</v>
      </c>
      <c r="BQ591" s="13">
        <f t="shared" si="39"/>
        <v>-25.532252042553193</v>
      </c>
    </row>
    <row r="592" spans="1:69">
      <c r="A592" s="13">
        <v>589</v>
      </c>
      <c r="B592" s="13">
        <v>207</v>
      </c>
      <c r="C592" s="2">
        <v>169.6824068</v>
      </c>
      <c r="D592" s="13"/>
      <c r="E592" s="13"/>
      <c r="F592" s="13"/>
      <c r="G592" s="13"/>
      <c r="H592" s="13"/>
      <c r="I592" s="13"/>
      <c r="J592" s="13"/>
      <c r="K592" s="13"/>
      <c r="L592" s="13"/>
      <c r="M592" s="13">
        <f t="shared" si="36"/>
        <v>-18.02782280193237</v>
      </c>
      <c r="N592" s="13"/>
      <c r="O592" s="13">
        <v>589</v>
      </c>
      <c r="P592" s="13">
        <v>207</v>
      </c>
      <c r="Q592" s="2">
        <v>188.27236339999999</v>
      </c>
      <c r="R592" s="13"/>
      <c r="S592" s="13"/>
      <c r="T592" s="13"/>
      <c r="U592" s="13"/>
      <c r="V592" s="13"/>
      <c r="W592" s="13"/>
      <c r="X592" s="13"/>
      <c r="Y592" s="13"/>
      <c r="Z592" s="13"/>
      <c r="AA592" s="13">
        <f t="shared" si="37"/>
        <v>-9.0471674396135349</v>
      </c>
      <c r="AB592" s="13"/>
      <c r="AC592" s="34"/>
      <c r="AD592" s="34"/>
      <c r="AE592" s="34"/>
      <c r="AF592" s="34"/>
      <c r="AG592" s="34"/>
      <c r="AI592" s="35">
        <v>589</v>
      </c>
      <c r="AJ592" s="35">
        <v>207</v>
      </c>
      <c r="AK592" s="2">
        <v>194.19800000000001</v>
      </c>
      <c r="AV592" s="13">
        <f t="shared" si="38"/>
        <v>-6.1845410628019293</v>
      </c>
      <c r="BD592" s="35">
        <v>589</v>
      </c>
      <c r="BE592" s="35">
        <v>207</v>
      </c>
      <c r="BF592" s="2">
        <v>197.5318168</v>
      </c>
      <c r="BQ592" s="13">
        <f t="shared" si="39"/>
        <v>-4.574001545893724</v>
      </c>
    </row>
    <row r="593" spans="1:69">
      <c r="A593" s="13">
        <v>590</v>
      </c>
      <c r="B593" s="13">
        <v>124</v>
      </c>
      <c r="C593" s="2">
        <v>127.19316329999999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>
        <f t="shared" si="36"/>
        <v>2.5751316935483937</v>
      </c>
      <c r="N593" s="13"/>
      <c r="O593" s="13">
        <v>590</v>
      </c>
      <c r="P593" s="13">
        <v>124</v>
      </c>
      <c r="Q593" s="2">
        <v>130.8913178</v>
      </c>
      <c r="R593" s="13"/>
      <c r="S593" s="13"/>
      <c r="T593" s="13"/>
      <c r="U593" s="13"/>
      <c r="V593" s="13"/>
      <c r="W593" s="13"/>
      <c r="X593" s="13"/>
      <c r="Y593" s="13"/>
      <c r="Z593" s="13"/>
      <c r="AA593" s="13">
        <f t="shared" si="37"/>
        <v>5.5575143548387107</v>
      </c>
      <c r="AB593" s="13"/>
      <c r="AC593" s="34"/>
      <c r="AD593" s="34"/>
      <c r="AE593" s="34"/>
      <c r="AF593" s="34"/>
      <c r="AG593" s="34"/>
      <c r="AI593" s="35">
        <v>590</v>
      </c>
      <c r="AJ593" s="35">
        <v>124</v>
      </c>
      <c r="AK593" s="2">
        <v>137.40812310000001</v>
      </c>
      <c r="AV593" s="13">
        <f t="shared" si="38"/>
        <v>10.813002500000014</v>
      </c>
      <c r="BD593" s="35">
        <v>590</v>
      </c>
      <c r="BE593" s="35">
        <v>124</v>
      </c>
      <c r="BF593" s="2">
        <v>133.51793570000001</v>
      </c>
      <c r="BQ593" s="13">
        <f t="shared" si="39"/>
        <v>7.6757545967742091</v>
      </c>
    </row>
    <row r="594" spans="1:69">
      <c r="A594" s="13">
        <v>591</v>
      </c>
      <c r="B594" s="13">
        <v>194</v>
      </c>
      <c r="C594" s="2">
        <v>164.75785049999999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>
        <f t="shared" si="36"/>
        <v>-15.073272938144333</v>
      </c>
      <c r="N594" s="13"/>
      <c r="O594" s="13">
        <v>591</v>
      </c>
      <c r="P594" s="13">
        <v>194</v>
      </c>
      <c r="Q594" s="2">
        <v>183.44753309999999</v>
      </c>
      <c r="R594" s="13"/>
      <c r="S594" s="13"/>
      <c r="T594" s="13"/>
      <c r="U594" s="13"/>
      <c r="V594" s="13"/>
      <c r="W594" s="13"/>
      <c r="X594" s="13"/>
      <c r="Y594" s="13"/>
      <c r="Z594" s="13"/>
      <c r="AA594" s="13">
        <f t="shared" si="37"/>
        <v>-5.4394159278350562</v>
      </c>
      <c r="AB594" s="13"/>
      <c r="AC594" s="34"/>
      <c r="AD594" s="34"/>
      <c r="AE594" s="34"/>
      <c r="AF594" s="34"/>
      <c r="AG594" s="34"/>
      <c r="AI594" s="35">
        <v>591</v>
      </c>
      <c r="AJ594" s="35">
        <v>194</v>
      </c>
      <c r="AK594" s="2">
        <v>191.2447118</v>
      </c>
      <c r="AV594" s="13">
        <f t="shared" si="38"/>
        <v>-1.4202516494845385</v>
      </c>
      <c r="BD594" s="35">
        <v>591</v>
      </c>
      <c r="BE594" s="35">
        <v>194</v>
      </c>
      <c r="BF594" s="2">
        <v>189.5739298</v>
      </c>
      <c r="BQ594" s="13">
        <f t="shared" si="39"/>
        <v>-2.2814794845360864</v>
      </c>
    </row>
    <row r="595" spans="1:69">
      <c r="A595" s="13">
        <v>592</v>
      </c>
      <c r="B595" s="13">
        <v>178</v>
      </c>
      <c r="C595" s="2">
        <v>137.39623810000001</v>
      </c>
      <c r="D595" s="13"/>
      <c r="E595" s="13"/>
      <c r="F595" s="13"/>
      <c r="G595" s="13"/>
      <c r="H595" s="13"/>
      <c r="I595" s="13"/>
      <c r="J595" s="13"/>
      <c r="K595" s="13"/>
      <c r="L595" s="13"/>
      <c r="M595" s="13">
        <f t="shared" si="36"/>
        <v>-22.811102191011233</v>
      </c>
      <c r="N595" s="13"/>
      <c r="O595" s="13">
        <v>592</v>
      </c>
      <c r="P595" s="13">
        <v>178</v>
      </c>
      <c r="Q595" s="2">
        <v>144.67170619999999</v>
      </c>
      <c r="R595" s="13"/>
      <c r="S595" s="13"/>
      <c r="T595" s="13"/>
      <c r="U595" s="13"/>
      <c r="V595" s="13"/>
      <c r="W595" s="13"/>
      <c r="X595" s="13"/>
      <c r="Y595" s="13"/>
      <c r="Z595" s="13"/>
      <c r="AA595" s="13">
        <f t="shared" si="37"/>
        <v>-18.723760561797764</v>
      </c>
      <c r="AB595" s="13"/>
      <c r="AC595" s="34"/>
      <c r="AD595" s="34"/>
      <c r="AE595" s="34"/>
      <c r="AF595" s="34"/>
      <c r="AG595" s="34"/>
      <c r="AI595" s="35">
        <v>592</v>
      </c>
      <c r="AJ595" s="35">
        <v>178</v>
      </c>
      <c r="AK595" s="2">
        <v>146.52481560000001</v>
      </c>
      <c r="AV595" s="13">
        <f t="shared" si="38"/>
        <v>-17.682687865168532</v>
      </c>
      <c r="BD595" s="35">
        <v>592</v>
      </c>
      <c r="BE595" s="35">
        <v>178</v>
      </c>
      <c r="BF595" s="2">
        <v>147.939143</v>
      </c>
      <c r="BQ595" s="13">
        <f t="shared" si="39"/>
        <v>-16.888121910112364</v>
      </c>
    </row>
    <row r="596" spans="1:69">
      <c r="A596" s="13">
        <v>593</v>
      </c>
      <c r="B596" s="13">
        <v>50</v>
      </c>
      <c r="C596" s="2">
        <v>73.68683738</v>
      </c>
      <c r="D596" s="13"/>
      <c r="E596" s="13"/>
      <c r="F596" s="13"/>
      <c r="G596" s="13"/>
      <c r="H596" s="13"/>
      <c r="I596" s="13"/>
      <c r="J596" s="13"/>
      <c r="K596" s="13"/>
      <c r="L596" s="13"/>
      <c r="M596" s="13">
        <f t="shared" si="36"/>
        <v>47.373674760000007</v>
      </c>
      <c r="N596" s="13"/>
      <c r="O596" s="13">
        <v>593</v>
      </c>
      <c r="P596" s="13">
        <v>50</v>
      </c>
      <c r="Q596" s="2">
        <v>62.064811820000003</v>
      </c>
      <c r="R596" s="13"/>
      <c r="S596" s="13"/>
      <c r="T596" s="13"/>
      <c r="U596" s="13"/>
      <c r="V596" s="13"/>
      <c r="W596" s="13"/>
      <c r="X596" s="13"/>
      <c r="Y596" s="13"/>
      <c r="Z596" s="13"/>
      <c r="AA596" s="13">
        <f t="shared" si="37"/>
        <v>24.129623639999998</v>
      </c>
      <c r="AB596" s="13"/>
      <c r="AC596" s="34"/>
      <c r="AD596" s="34"/>
      <c r="AE596" s="34"/>
      <c r="AF596" s="34"/>
      <c r="AG596" s="34"/>
      <c r="AI596" s="35">
        <v>593</v>
      </c>
      <c r="AJ596" s="35">
        <v>50</v>
      </c>
      <c r="AK596" s="2">
        <v>53.561323450000003</v>
      </c>
      <c r="AV596" s="13">
        <f t="shared" si="38"/>
        <v>7.1226468999999959</v>
      </c>
      <c r="BD596" s="35">
        <v>593</v>
      </c>
      <c r="BE596" s="35">
        <v>50</v>
      </c>
      <c r="BF596" s="2">
        <v>58.349032700000002</v>
      </c>
      <c r="BQ596" s="13">
        <f t="shared" si="39"/>
        <v>16.698065400000004</v>
      </c>
    </row>
    <row r="597" spans="1:69">
      <c r="A597" s="13">
        <v>594</v>
      </c>
      <c r="B597" s="13">
        <v>120</v>
      </c>
      <c r="C597" s="2">
        <v>101.48876439999999</v>
      </c>
      <c r="D597" s="13"/>
      <c r="E597" s="13"/>
      <c r="F597" s="13"/>
      <c r="G597" s="13"/>
      <c r="H597" s="13"/>
      <c r="I597" s="13"/>
      <c r="J597" s="13"/>
      <c r="K597" s="13"/>
      <c r="L597" s="13"/>
      <c r="M597" s="13">
        <f t="shared" si="36"/>
        <v>-15.426029666666674</v>
      </c>
      <c r="N597" s="13"/>
      <c r="O597" s="13">
        <v>594</v>
      </c>
      <c r="P597" s="13">
        <v>120</v>
      </c>
      <c r="Q597" s="2">
        <v>101.0347014</v>
      </c>
      <c r="R597" s="13"/>
      <c r="S597" s="13"/>
      <c r="T597" s="13"/>
      <c r="U597" s="13"/>
      <c r="V597" s="13"/>
      <c r="W597" s="13"/>
      <c r="X597" s="13"/>
      <c r="Y597" s="13"/>
      <c r="Z597" s="13"/>
      <c r="AA597" s="13">
        <f t="shared" si="37"/>
        <v>-15.804415500000001</v>
      </c>
      <c r="AB597" s="13"/>
      <c r="AC597" s="34"/>
      <c r="AD597" s="34"/>
      <c r="AE597" s="34"/>
      <c r="AF597" s="34"/>
      <c r="AG597" s="34"/>
      <c r="AI597" s="35">
        <v>594</v>
      </c>
      <c r="AJ597" s="35">
        <v>120</v>
      </c>
      <c r="AK597" s="2">
        <v>97.556726089999998</v>
      </c>
      <c r="AV597" s="13">
        <f t="shared" si="38"/>
        <v>-18.702728258333334</v>
      </c>
      <c r="BD597" s="35">
        <v>594</v>
      </c>
      <c r="BE597" s="35">
        <v>120</v>
      </c>
      <c r="BF597" s="2">
        <v>96.90317005</v>
      </c>
      <c r="BQ597" s="13">
        <f t="shared" si="39"/>
        <v>-19.247358291666671</v>
      </c>
    </row>
    <row r="598" spans="1:69">
      <c r="A598" s="13">
        <v>595</v>
      </c>
      <c r="B598" s="13">
        <v>64</v>
      </c>
      <c r="C598" s="2">
        <v>70.231519509999998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>
        <f t="shared" si="36"/>
        <v>9.7367492343749973</v>
      </c>
      <c r="N598" s="13"/>
      <c r="O598" s="13">
        <v>595</v>
      </c>
      <c r="P598" s="13">
        <v>64</v>
      </c>
      <c r="Q598" s="2">
        <v>57.642126500000003</v>
      </c>
      <c r="R598" s="13"/>
      <c r="S598" s="13"/>
      <c r="T598" s="13"/>
      <c r="U598" s="13"/>
      <c r="V598" s="13"/>
      <c r="W598" s="13"/>
      <c r="X598" s="13"/>
      <c r="Y598" s="13"/>
      <c r="Z598" s="13"/>
      <c r="AA598" s="13">
        <f t="shared" si="37"/>
        <v>-9.9341773437499938</v>
      </c>
      <c r="AB598" s="13"/>
      <c r="AC598" s="34"/>
      <c r="AD598" s="34"/>
      <c r="AE598" s="34"/>
      <c r="AF598" s="34"/>
      <c r="AG598" s="34"/>
      <c r="AI598" s="35">
        <v>595</v>
      </c>
      <c r="AJ598" s="35">
        <v>64</v>
      </c>
      <c r="AK598" s="2">
        <v>48.955210080000001</v>
      </c>
      <c r="AV598" s="13">
        <f t="shared" si="38"/>
        <v>-23.507484249999997</v>
      </c>
      <c r="BD598" s="35">
        <v>595</v>
      </c>
      <c r="BE598" s="35">
        <v>64</v>
      </c>
      <c r="BF598" s="2">
        <v>53.459955919999999</v>
      </c>
      <c r="BQ598" s="13">
        <f t="shared" si="39"/>
        <v>-16.468818875000004</v>
      </c>
    </row>
    <row r="599" spans="1:69">
      <c r="A599" s="13">
        <v>596</v>
      </c>
      <c r="B599" s="13">
        <v>184</v>
      </c>
      <c r="C599" s="2">
        <v>161.14068589999999</v>
      </c>
      <c r="D599" s="13"/>
      <c r="E599" s="13"/>
      <c r="F599" s="13"/>
      <c r="G599" s="13"/>
      <c r="H599" s="13"/>
      <c r="I599" s="13"/>
      <c r="J599" s="13"/>
      <c r="K599" s="13"/>
      <c r="L599" s="13"/>
      <c r="M599" s="13">
        <f t="shared" si="36"/>
        <v>-12.423540271739132</v>
      </c>
      <c r="N599" s="13"/>
      <c r="O599" s="13">
        <v>596</v>
      </c>
      <c r="P599" s="13">
        <v>184</v>
      </c>
      <c r="Q599" s="2">
        <v>173.15483029999999</v>
      </c>
      <c r="R599" s="13"/>
      <c r="S599" s="13"/>
      <c r="T599" s="13"/>
      <c r="U599" s="13"/>
      <c r="V599" s="13"/>
      <c r="W599" s="13"/>
      <c r="X599" s="13"/>
      <c r="Y599" s="13"/>
      <c r="Z599" s="13"/>
      <c r="AA599" s="13">
        <f t="shared" si="37"/>
        <v>-5.8941139673913128</v>
      </c>
      <c r="AB599" s="13"/>
      <c r="AC599" s="34"/>
      <c r="AD599" s="34"/>
      <c r="AE599" s="34"/>
      <c r="AF599" s="34"/>
      <c r="AG599" s="34"/>
      <c r="AI599" s="35">
        <v>596</v>
      </c>
      <c r="AJ599" s="35">
        <v>184</v>
      </c>
      <c r="AK599" s="2">
        <v>181.88200000000001</v>
      </c>
      <c r="AV599" s="13">
        <f t="shared" si="38"/>
        <v>-1.1510869565217408</v>
      </c>
      <c r="BD599" s="35">
        <v>596</v>
      </c>
      <c r="BE599" s="35">
        <v>184</v>
      </c>
      <c r="BF599" s="2">
        <v>183.19505050000001</v>
      </c>
      <c r="BQ599" s="13">
        <f t="shared" si="39"/>
        <v>-0.43747255434781751</v>
      </c>
    </row>
    <row r="600" spans="1:69">
      <c r="A600" s="13">
        <v>597</v>
      </c>
      <c r="B600" s="13">
        <v>131</v>
      </c>
      <c r="C600" s="2">
        <v>135.9520751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>
        <f t="shared" si="36"/>
        <v>3.780209999999995</v>
      </c>
      <c r="N600" s="13"/>
      <c r="O600" s="13">
        <v>597</v>
      </c>
      <c r="P600" s="13">
        <v>131</v>
      </c>
      <c r="Q600" s="2">
        <v>140.7523099</v>
      </c>
      <c r="R600" s="13"/>
      <c r="S600" s="13"/>
      <c r="T600" s="13"/>
      <c r="U600" s="13"/>
      <c r="V600" s="13"/>
      <c r="W600" s="13"/>
      <c r="X600" s="13"/>
      <c r="Y600" s="13"/>
      <c r="Z600" s="13"/>
      <c r="AA600" s="13">
        <f t="shared" si="37"/>
        <v>7.4445113740458035</v>
      </c>
      <c r="AB600" s="13"/>
      <c r="AC600" s="34"/>
      <c r="AD600" s="34"/>
      <c r="AE600" s="34"/>
      <c r="AF600" s="34"/>
      <c r="AG600" s="34"/>
      <c r="AI600" s="35">
        <v>597</v>
      </c>
      <c r="AJ600" s="35">
        <v>131</v>
      </c>
      <c r="AK600" s="2">
        <v>143.68460060000001</v>
      </c>
      <c r="AV600" s="13">
        <f t="shared" si="38"/>
        <v>9.6829012213740526</v>
      </c>
      <c r="BD600" s="35">
        <v>597</v>
      </c>
      <c r="BE600" s="35">
        <v>131</v>
      </c>
      <c r="BF600" s="2">
        <v>142.4158778</v>
      </c>
      <c r="BQ600" s="13">
        <f t="shared" si="39"/>
        <v>8.714410534351158</v>
      </c>
    </row>
    <row r="601" spans="1:69">
      <c r="A601" s="13">
        <v>598</v>
      </c>
      <c r="B601" s="13">
        <v>96</v>
      </c>
      <c r="C601" s="2">
        <v>82.852740089999998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>
        <f t="shared" si="36"/>
        <v>-13.695062406250003</v>
      </c>
      <c r="N601" s="13"/>
      <c r="O601" s="13">
        <v>598</v>
      </c>
      <c r="P601" s="13">
        <v>96</v>
      </c>
      <c r="Q601" s="2">
        <v>76.60947324</v>
      </c>
      <c r="R601" s="13"/>
      <c r="S601" s="13"/>
      <c r="T601" s="13"/>
      <c r="U601" s="13"/>
      <c r="V601" s="13"/>
      <c r="W601" s="13"/>
      <c r="X601" s="13"/>
      <c r="Y601" s="13"/>
      <c r="Z601" s="13"/>
      <c r="AA601" s="13">
        <f t="shared" si="37"/>
        <v>-20.198465374999998</v>
      </c>
      <c r="AB601" s="13"/>
      <c r="AC601" s="34"/>
      <c r="AD601" s="34"/>
      <c r="AE601" s="34"/>
      <c r="AF601" s="34"/>
      <c r="AG601" s="34"/>
      <c r="AI601" s="35">
        <v>598</v>
      </c>
      <c r="AJ601" s="35">
        <v>96</v>
      </c>
      <c r="AK601" s="2">
        <v>72.29848801</v>
      </c>
      <c r="AV601" s="13">
        <f t="shared" si="38"/>
        <v>-24.689074989583336</v>
      </c>
      <c r="BD601" s="35">
        <v>598</v>
      </c>
      <c r="BE601" s="35">
        <v>96</v>
      </c>
      <c r="BF601" s="2">
        <v>76.498071400000001</v>
      </c>
      <c r="BQ601" s="13">
        <f t="shared" si="39"/>
        <v>-20.314508958333334</v>
      </c>
    </row>
    <row r="602" spans="1:69">
      <c r="A602" s="13">
        <v>599</v>
      </c>
      <c r="B602" s="13">
        <v>157</v>
      </c>
      <c r="C602" s="2">
        <v>151.4464954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13">
        <f t="shared" si="36"/>
        <v>-3.537264076433122</v>
      </c>
      <c r="N602" s="13"/>
      <c r="O602" s="13">
        <v>599</v>
      </c>
      <c r="P602" s="13">
        <v>157</v>
      </c>
      <c r="Q602" s="2">
        <v>159.6721565</v>
      </c>
      <c r="R602" s="13"/>
      <c r="S602" s="13"/>
      <c r="T602" s="13"/>
      <c r="U602" s="13"/>
      <c r="V602" s="13"/>
      <c r="W602" s="13"/>
      <c r="X602" s="13"/>
      <c r="Y602" s="13"/>
      <c r="Z602" s="13"/>
      <c r="AA602" s="13">
        <f t="shared" si="37"/>
        <v>1.7020105095541416</v>
      </c>
      <c r="AB602" s="13"/>
      <c r="AC602" s="34"/>
      <c r="AD602" s="34"/>
      <c r="AE602" s="34"/>
      <c r="AF602" s="34"/>
      <c r="AG602" s="34"/>
      <c r="AI602" s="35">
        <v>599</v>
      </c>
      <c r="AJ602" s="35">
        <v>157</v>
      </c>
      <c r="AK602" s="2">
        <v>166.37079069999999</v>
      </c>
      <c r="AV602" s="13">
        <f t="shared" si="38"/>
        <v>5.9686564968152833</v>
      </c>
      <c r="BD602" s="35">
        <v>599</v>
      </c>
      <c r="BE602" s="35">
        <v>157</v>
      </c>
      <c r="BF602" s="2">
        <v>164.7768221</v>
      </c>
      <c r="BQ602" s="13">
        <f t="shared" si="39"/>
        <v>4.9533898726114689</v>
      </c>
    </row>
    <row r="603" spans="1:69">
      <c r="A603" s="13">
        <v>600</v>
      </c>
      <c r="B603" s="13">
        <v>65</v>
      </c>
      <c r="C603" s="2">
        <v>90.239774499999996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>
        <f t="shared" si="36"/>
        <v>38.830422307692288</v>
      </c>
      <c r="N603" s="13"/>
      <c r="O603" s="13">
        <v>600</v>
      </c>
      <c r="P603" s="13">
        <v>65</v>
      </c>
      <c r="Q603" s="2">
        <v>83.082418320000002</v>
      </c>
      <c r="R603" s="13"/>
      <c r="S603" s="13"/>
      <c r="T603" s="13"/>
      <c r="U603" s="13"/>
      <c r="V603" s="13"/>
      <c r="W603" s="13"/>
      <c r="X603" s="13"/>
      <c r="Y603" s="13"/>
      <c r="Z603" s="13"/>
      <c r="AA603" s="13">
        <f t="shared" si="37"/>
        <v>27.819105107692323</v>
      </c>
      <c r="AB603" s="13"/>
      <c r="AC603" s="34"/>
      <c r="AD603" s="34"/>
      <c r="AE603" s="34"/>
      <c r="AF603" s="34"/>
      <c r="AG603" s="34"/>
      <c r="AI603" s="35">
        <v>600</v>
      </c>
      <c r="AJ603" s="35">
        <v>65</v>
      </c>
      <c r="AK603" s="2">
        <v>81.42104286</v>
      </c>
      <c r="AV603" s="13">
        <f t="shared" si="38"/>
        <v>25.263142861538455</v>
      </c>
      <c r="BD603" s="35">
        <v>600</v>
      </c>
      <c r="BE603" s="35">
        <v>65</v>
      </c>
      <c r="BF603" s="2">
        <v>82.89067532</v>
      </c>
      <c r="BQ603" s="13">
        <f t="shared" si="39"/>
        <v>27.524115876923073</v>
      </c>
    </row>
    <row r="604" spans="1:69">
      <c r="A604" s="13">
        <v>601</v>
      </c>
      <c r="B604" s="13">
        <v>93</v>
      </c>
      <c r="C604" s="2">
        <v>103.32581399999999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>
        <f t="shared" si="36"/>
        <v>11.103025806451615</v>
      </c>
      <c r="N604" s="13"/>
      <c r="O604" s="13">
        <v>601</v>
      </c>
      <c r="P604" s="13">
        <v>93</v>
      </c>
      <c r="Q604" s="2">
        <v>102.19966119999999</v>
      </c>
      <c r="R604" s="13"/>
      <c r="S604" s="13"/>
      <c r="T604" s="13"/>
      <c r="U604" s="13"/>
      <c r="V604" s="13"/>
      <c r="W604" s="13"/>
      <c r="X604" s="13"/>
      <c r="Y604" s="13"/>
      <c r="Z604" s="13"/>
      <c r="AA604" s="13">
        <f t="shared" si="37"/>
        <v>9.8921088172043028</v>
      </c>
      <c r="AB604" s="13"/>
      <c r="AC604" s="34"/>
      <c r="AD604" s="34"/>
      <c r="AE604" s="34"/>
      <c r="AF604" s="34"/>
      <c r="AG604" s="34"/>
      <c r="AI604" s="35">
        <v>601</v>
      </c>
      <c r="AJ604" s="35">
        <v>93</v>
      </c>
      <c r="AK604" s="2">
        <v>100.7165492</v>
      </c>
      <c r="AV604" s="13">
        <f t="shared" si="38"/>
        <v>8.2973647311827889</v>
      </c>
      <c r="BD604" s="35">
        <v>601</v>
      </c>
      <c r="BE604" s="35">
        <v>93</v>
      </c>
      <c r="BF604" s="2">
        <v>99.766799969999994</v>
      </c>
      <c r="BQ604" s="13">
        <f t="shared" si="39"/>
        <v>7.2761289999999867</v>
      </c>
    </row>
    <row r="605" spans="1:69">
      <c r="A605" s="13">
        <v>602</v>
      </c>
      <c r="B605" s="13">
        <v>226</v>
      </c>
      <c r="C605" s="2">
        <v>167.58066020000001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13">
        <f t="shared" si="36"/>
        <v>-25.849265398230081</v>
      </c>
      <c r="N605" s="13"/>
      <c r="O605" s="13">
        <v>602</v>
      </c>
      <c r="P605" s="13">
        <v>226</v>
      </c>
      <c r="Q605" s="2">
        <v>186.5205603</v>
      </c>
      <c r="R605" s="13"/>
      <c r="S605" s="13"/>
      <c r="T605" s="13"/>
      <c r="U605" s="13"/>
      <c r="V605" s="13"/>
      <c r="W605" s="13"/>
      <c r="X605" s="13"/>
      <c r="Y605" s="13"/>
      <c r="Z605" s="13"/>
      <c r="AA605" s="13">
        <f t="shared" si="37"/>
        <v>-17.468778628318582</v>
      </c>
      <c r="AB605" s="13"/>
      <c r="AC605" s="34"/>
      <c r="AD605" s="34"/>
      <c r="AE605" s="34"/>
      <c r="AF605" s="34"/>
      <c r="AG605" s="34"/>
      <c r="AI605" s="35">
        <v>602</v>
      </c>
      <c r="AJ605" s="35">
        <v>226</v>
      </c>
      <c r="AK605" s="2">
        <v>197.58045229999999</v>
      </c>
      <c r="AV605" s="13">
        <f t="shared" si="38"/>
        <v>-12.575021106194695</v>
      </c>
      <c r="BD605" s="35">
        <v>602</v>
      </c>
      <c r="BE605" s="35">
        <v>226</v>
      </c>
      <c r="BF605" s="2">
        <v>193.53984650000001</v>
      </c>
      <c r="BQ605" s="13">
        <f t="shared" si="39"/>
        <v>-14.362899778761061</v>
      </c>
    </row>
    <row r="606" spans="1:69">
      <c r="A606" s="13">
        <v>603</v>
      </c>
      <c r="B606" s="13">
        <v>142</v>
      </c>
      <c r="C606" s="2">
        <v>136.00919339999999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13">
        <f t="shared" si="36"/>
        <v>-4.2188778873239574</v>
      </c>
      <c r="N606" s="13"/>
      <c r="O606" s="13">
        <v>603</v>
      </c>
      <c r="P606" s="13">
        <v>142</v>
      </c>
      <c r="Q606" s="2">
        <v>142.97886109999999</v>
      </c>
      <c r="R606" s="13"/>
      <c r="S606" s="13"/>
      <c r="T606" s="13"/>
      <c r="U606" s="13"/>
      <c r="V606" s="13"/>
      <c r="W606" s="13"/>
      <c r="X606" s="13"/>
      <c r="Y606" s="13"/>
      <c r="Z606" s="13"/>
      <c r="AA606" s="13">
        <f t="shared" si="37"/>
        <v>0.68933880281689675</v>
      </c>
      <c r="AB606" s="13"/>
      <c r="AC606" s="34"/>
      <c r="AD606" s="34"/>
      <c r="AE606" s="34"/>
      <c r="AF606" s="34"/>
      <c r="AG606" s="34"/>
      <c r="AI606" s="35">
        <v>603</v>
      </c>
      <c r="AJ606" s="35">
        <v>142</v>
      </c>
      <c r="AK606" s="2">
        <v>146.5396428</v>
      </c>
      <c r="AV606" s="13">
        <f t="shared" si="38"/>
        <v>3.1969315492957673</v>
      </c>
      <c r="BD606" s="35">
        <v>603</v>
      </c>
      <c r="BE606" s="35">
        <v>142</v>
      </c>
      <c r="BF606" s="2">
        <v>144.15329850000001</v>
      </c>
      <c r="BQ606" s="13">
        <f t="shared" si="39"/>
        <v>1.5164073943662038</v>
      </c>
    </row>
    <row r="607" spans="1:69">
      <c r="A607" s="13">
        <v>604</v>
      </c>
      <c r="B607" s="13">
        <v>106</v>
      </c>
      <c r="C607" s="2">
        <v>117.4408253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>
        <f t="shared" si="36"/>
        <v>10.79323141509434</v>
      </c>
      <c r="N607" s="13"/>
      <c r="O607" s="13">
        <v>604</v>
      </c>
      <c r="P607" s="13">
        <v>106</v>
      </c>
      <c r="Q607" s="2">
        <v>116.7579173</v>
      </c>
      <c r="R607" s="13"/>
      <c r="S607" s="13"/>
      <c r="T607" s="13"/>
      <c r="U607" s="13"/>
      <c r="V607" s="13"/>
      <c r="W607" s="13"/>
      <c r="X607" s="13"/>
      <c r="Y607" s="13"/>
      <c r="Z607" s="13"/>
      <c r="AA607" s="13">
        <f t="shared" si="37"/>
        <v>10.148978584905667</v>
      </c>
      <c r="AB607" s="13"/>
      <c r="AC607" s="34"/>
      <c r="AD607" s="34"/>
      <c r="AE607" s="34"/>
      <c r="AF607" s="34"/>
      <c r="AG607" s="34"/>
      <c r="AI607" s="35">
        <v>604</v>
      </c>
      <c r="AJ607" s="35">
        <v>106</v>
      </c>
      <c r="AK607" s="2">
        <v>118.6809647</v>
      </c>
      <c r="AV607" s="13">
        <f t="shared" si="38"/>
        <v>11.963174245283014</v>
      </c>
      <c r="BD607" s="35">
        <v>604</v>
      </c>
      <c r="BE607" s="35">
        <v>106</v>
      </c>
      <c r="BF607" s="2">
        <v>119.5923844</v>
      </c>
      <c r="BQ607" s="13">
        <f t="shared" si="39"/>
        <v>12.823004150943396</v>
      </c>
    </row>
    <row r="608" spans="1:69">
      <c r="A608" s="13">
        <v>605</v>
      </c>
      <c r="B608" s="13">
        <v>75</v>
      </c>
      <c r="C608" s="2">
        <v>109.8523993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13">
        <f t="shared" si="36"/>
        <v>46.469865733333336</v>
      </c>
      <c r="N608" s="13"/>
      <c r="O608" s="13">
        <v>605</v>
      </c>
      <c r="P608" s="13">
        <v>75</v>
      </c>
      <c r="Q608" s="2">
        <v>104.05079120000001</v>
      </c>
      <c r="R608" s="13"/>
      <c r="S608" s="13"/>
      <c r="T608" s="13"/>
      <c r="U608" s="13"/>
      <c r="V608" s="13"/>
      <c r="W608" s="13"/>
      <c r="X608" s="13"/>
      <c r="Y608" s="13"/>
      <c r="Z608" s="13"/>
      <c r="AA608" s="13">
        <f t="shared" si="37"/>
        <v>38.734388266666663</v>
      </c>
      <c r="AB608" s="13"/>
      <c r="AC608" s="34"/>
      <c r="AD608" s="34"/>
      <c r="AE608" s="34"/>
      <c r="AF608" s="34"/>
      <c r="AG608" s="34"/>
      <c r="AI608" s="35">
        <v>605</v>
      </c>
      <c r="AJ608" s="35">
        <v>75</v>
      </c>
      <c r="AK608" s="2">
        <v>94.8488972835586</v>
      </c>
      <c r="AV608" s="13">
        <f t="shared" si="38"/>
        <v>26.465196378078137</v>
      </c>
      <c r="BD608" s="35">
        <v>605</v>
      </c>
      <c r="BE608" s="35">
        <v>75</v>
      </c>
      <c r="BF608" s="2">
        <v>50.335992245568903</v>
      </c>
      <c r="BQ608" s="13">
        <f t="shared" si="39"/>
        <v>-32.885343672574798</v>
      </c>
    </row>
    <row r="609" spans="1:69">
      <c r="A609" s="13">
        <v>606</v>
      </c>
      <c r="B609" s="13">
        <v>46</v>
      </c>
      <c r="C609" s="2">
        <v>63.559198149486299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>
        <f t="shared" si="36"/>
        <v>38.172169890187611</v>
      </c>
      <c r="N609" s="13"/>
      <c r="O609" s="13">
        <v>606</v>
      </c>
      <c r="P609" s="13">
        <v>46</v>
      </c>
      <c r="Q609" s="2">
        <v>68.010003839999996</v>
      </c>
      <c r="R609" s="13"/>
      <c r="S609" s="13"/>
      <c r="T609" s="13"/>
      <c r="U609" s="13"/>
      <c r="V609" s="13"/>
      <c r="W609" s="13"/>
      <c r="X609" s="13"/>
      <c r="Y609" s="13"/>
      <c r="Z609" s="13"/>
      <c r="AA609" s="13">
        <f t="shared" si="37"/>
        <v>47.847834434782598</v>
      </c>
      <c r="AB609" s="13"/>
      <c r="AC609" s="34"/>
      <c r="AD609" s="34"/>
      <c r="AE609" s="34"/>
      <c r="AF609" s="34"/>
      <c r="AG609" s="34"/>
      <c r="AI609" s="35">
        <v>606</v>
      </c>
      <c r="AJ609" s="35">
        <v>46</v>
      </c>
      <c r="AK609" s="2">
        <v>60.207160539999997</v>
      </c>
      <c r="AV609" s="13">
        <f t="shared" si="38"/>
        <v>30.885131608695637</v>
      </c>
      <c r="BD609" s="35">
        <v>606</v>
      </c>
      <c r="BE609" s="35">
        <v>46</v>
      </c>
      <c r="BF609" s="2">
        <v>29.949463851530901</v>
      </c>
      <c r="BQ609" s="13">
        <f t="shared" si="39"/>
        <v>-34.892469887976304</v>
      </c>
    </row>
    <row r="610" spans="1:69">
      <c r="A610" s="13">
        <v>607</v>
      </c>
      <c r="B610" s="13">
        <v>87</v>
      </c>
      <c r="C610" s="2">
        <v>108.2567854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>
        <f t="shared" si="36"/>
        <v>24.433086666666661</v>
      </c>
      <c r="N610" s="13"/>
      <c r="O610" s="13">
        <v>607</v>
      </c>
      <c r="P610" s="13">
        <v>87</v>
      </c>
      <c r="Q610" s="2">
        <v>107.9533533</v>
      </c>
      <c r="R610" s="13"/>
      <c r="S610" s="13"/>
      <c r="T610" s="13"/>
      <c r="U610" s="13"/>
      <c r="V610" s="13"/>
      <c r="W610" s="13"/>
      <c r="X610" s="13"/>
      <c r="Y610" s="13"/>
      <c r="Z610" s="13"/>
      <c r="AA610" s="13">
        <f t="shared" si="37"/>
        <v>24.084314137931038</v>
      </c>
      <c r="AB610" s="13"/>
      <c r="AC610" s="34"/>
      <c r="AD610" s="34"/>
      <c r="AE610" s="34"/>
      <c r="AF610" s="34"/>
      <c r="AG610" s="34"/>
      <c r="AI610" s="35">
        <v>607</v>
      </c>
      <c r="AJ610" s="35">
        <v>87</v>
      </c>
      <c r="AK610" s="2">
        <v>105.9812124</v>
      </c>
      <c r="AV610" s="13">
        <f t="shared" si="38"/>
        <v>21.817485517241387</v>
      </c>
      <c r="BD610" s="35">
        <v>607</v>
      </c>
      <c r="BE610" s="35">
        <v>87</v>
      </c>
      <c r="BF610" s="2">
        <v>107.97276119999999</v>
      </c>
      <c r="BQ610" s="13">
        <f t="shared" si="39"/>
        <v>24.1066220689655</v>
      </c>
    </row>
    <row r="611" spans="1:69">
      <c r="A611" s="13">
        <v>608</v>
      </c>
      <c r="B611" s="13">
        <v>162</v>
      </c>
      <c r="C611" s="2">
        <v>140.49173819999999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13">
        <f t="shared" si="36"/>
        <v>-13.276704814814821</v>
      </c>
      <c r="N611" s="13"/>
      <c r="O611" s="13">
        <v>608</v>
      </c>
      <c r="P611" s="13">
        <v>162</v>
      </c>
      <c r="Q611" s="2">
        <v>150.4472452</v>
      </c>
      <c r="R611" s="13"/>
      <c r="S611" s="13"/>
      <c r="T611" s="13"/>
      <c r="U611" s="13"/>
      <c r="V611" s="13"/>
      <c r="W611" s="13"/>
      <c r="X611" s="13"/>
      <c r="Y611" s="13"/>
      <c r="Z611" s="13"/>
      <c r="AA611" s="13">
        <f t="shared" si="37"/>
        <v>-7.1313301234567916</v>
      </c>
      <c r="AB611" s="13"/>
      <c r="AC611" s="34"/>
      <c r="AD611" s="34"/>
      <c r="AE611" s="34"/>
      <c r="AF611" s="34"/>
      <c r="AG611" s="34"/>
      <c r="AI611" s="35">
        <v>608</v>
      </c>
      <c r="AJ611" s="35">
        <v>162</v>
      </c>
      <c r="AK611" s="2">
        <v>153.85622219999999</v>
      </c>
      <c r="AV611" s="13">
        <f t="shared" si="38"/>
        <v>-5.0270233333333358</v>
      </c>
      <c r="BD611" s="35">
        <v>608</v>
      </c>
      <c r="BE611" s="35">
        <v>162</v>
      </c>
      <c r="BF611" s="2">
        <v>158.3284716</v>
      </c>
      <c r="BQ611" s="13">
        <f t="shared" si="39"/>
        <v>-2.2663755555555554</v>
      </c>
    </row>
    <row r="612" spans="1:69">
      <c r="A612" s="13">
        <v>609</v>
      </c>
      <c r="B612" s="13">
        <v>3</v>
      </c>
      <c r="C612" s="2">
        <v>3.0178443125132</v>
      </c>
      <c r="D612" s="13"/>
      <c r="E612" s="13"/>
      <c r="F612" s="13"/>
      <c r="G612" s="13"/>
      <c r="H612" s="13"/>
      <c r="I612" s="13"/>
      <c r="J612" s="13"/>
      <c r="K612" s="13"/>
      <c r="L612" s="13"/>
      <c r="M612" s="13">
        <f t="shared" si="36"/>
        <v>0.5948104171066726</v>
      </c>
      <c r="N612" s="13"/>
      <c r="O612" s="13">
        <v>609</v>
      </c>
      <c r="P612" s="13">
        <v>3</v>
      </c>
      <c r="Q612" s="2">
        <v>3.3281777997175901</v>
      </c>
      <c r="R612" s="13"/>
      <c r="S612" s="13"/>
      <c r="T612" s="13"/>
      <c r="U612" s="13"/>
      <c r="V612" s="13"/>
      <c r="W612" s="13"/>
      <c r="X612" s="13"/>
      <c r="Y612" s="13"/>
      <c r="Z612" s="13"/>
      <c r="AA612" s="13">
        <f t="shared" si="37"/>
        <v>10.939259990586336</v>
      </c>
      <c r="AB612" s="13"/>
      <c r="AC612" s="34"/>
      <c r="AD612" s="34"/>
      <c r="AE612" s="34"/>
      <c r="AF612" s="34"/>
      <c r="AG612" s="34"/>
      <c r="AI612" s="35">
        <v>609</v>
      </c>
      <c r="AJ612" s="35">
        <v>3</v>
      </c>
      <c r="AK612" s="2">
        <v>3.0037418831856901</v>
      </c>
      <c r="AV612" s="13">
        <f t="shared" si="38"/>
        <v>0.12472943952299698</v>
      </c>
      <c r="BD612" s="35">
        <v>609</v>
      </c>
      <c r="BE612" s="35">
        <v>3</v>
      </c>
      <c r="BF612" s="2">
        <v>3.3358184600940901</v>
      </c>
      <c r="BQ612" s="13">
        <f t="shared" si="39"/>
        <v>11.19394866980301</v>
      </c>
    </row>
    <row r="613" spans="1:69">
      <c r="A613" s="13">
        <v>610</v>
      </c>
      <c r="B613" s="13">
        <v>207</v>
      </c>
      <c r="C613" s="2">
        <v>183.6893556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>
        <f t="shared" si="36"/>
        <v>-11.261180869565212</v>
      </c>
      <c r="N613" s="13"/>
      <c r="O613" s="13">
        <v>610</v>
      </c>
      <c r="P613" s="13">
        <v>207</v>
      </c>
      <c r="Q613" s="2">
        <v>201.22555410000001</v>
      </c>
      <c r="R613" s="13"/>
      <c r="S613" s="13"/>
      <c r="T613" s="13"/>
      <c r="U613" s="13"/>
      <c r="V613" s="13"/>
      <c r="W613" s="13"/>
      <c r="X613" s="13"/>
      <c r="Y613" s="13"/>
      <c r="Z613" s="13"/>
      <c r="AA613" s="13">
        <f t="shared" si="37"/>
        <v>-2.7895873913043379</v>
      </c>
      <c r="AB613" s="13"/>
      <c r="AC613" s="34"/>
      <c r="AD613" s="34"/>
      <c r="AE613" s="34"/>
      <c r="AF613" s="34"/>
      <c r="AG613" s="34"/>
      <c r="AI613" s="35">
        <v>610</v>
      </c>
      <c r="AJ613" s="35">
        <v>207</v>
      </c>
      <c r="AK613" s="2">
        <v>208.10709550000001</v>
      </c>
      <c r="AV613" s="13">
        <f t="shared" si="38"/>
        <v>0.53482874396135749</v>
      </c>
      <c r="BD613" s="35">
        <v>610</v>
      </c>
      <c r="BE613" s="35">
        <v>207</v>
      </c>
      <c r="BF613" s="2">
        <v>206.0304016</v>
      </c>
      <c r="BQ613" s="13">
        <f t="shared" si="39"/>
        <v>-0.4684050241545834</v>
      </c>
    </row>
    <row r="614" spans="1:69">
      <c r="A614" s="13">
        <v>611</v>
      </c>
      <c r="B614" s="13">
        <v>149</v>
      </c>
      <c r="C614" s="2">
        <v>148.55337460000001</v>
      </c>
      <c r="D614" s="13"/>
      <c r="E614" s="13"/>
      <c r="F614" s="13"/>
      <c r="G614" s="13"/>
      <c r="H614" s="13"/>
      <c r="I614" s="13"/>
      <c r="J614" s="13"/>
      <c r="K614" s="13"/>
      <c r="L614" s="13"/>
      <c r="M614" s="13">
        <f t="shared" ref="M614:M677" si="40">((C614/B614)-1)*100</f>
        <v>-0.29974859060402093</v>
      </c>
      <c r="N614" s="13"/>
      <c r="O614" s="13">
        <v>611</v>
      </c>
      <c r="P614" s="13">
        <v>149</v>
      </c>
      <c r="Q614" s="2">
        <v>153.9495144</v>
      </c>
      <c r="R614" s="13"/>
      <c r="S614" s="13"/>
      <c r="T614" s="13"/>
      <c r="U614" s="13"/>
      <c r="V614" s="13"/>
      <c r="W614" s="13"/>
      <c r="X614" s="13"/>
      <c r="Y614" s="13"/>
      <c r="Z614" s="13"/>
      <c r="AA614" s="13">
        <f t="shared" si="37"/>
        <v>3.3218217449664467</v>
      </c>
      <c r="AB614" s="13"/>
      <c r="AC614" s="34"/>
      <c r="AD614" s="34"/>
      <c r="AE614" s="34"/>
      <c r="AF614" s="34"/>
      <c r="AG614" s="34"/>
      <c r="AI614" s="35">
        <v>611</v>
      </c>
      <c r="AJ614" s="35">
        <v>149</v>
      </c>
      <c r="AK614" s="2">
        <v>160.6010522</v>
      </c>
      <c r="AV614" s="13">
        <f t="shared" si="38"/>
        <v>7.7859410738255086</v>
      </c>
      <c r="BD614" s="35">
        <v>611</v>
      </c>
      <c r="BE614" s="35">
        <v>149</v>
      </c>
      <c r="BF614" s="2">
        <v>156.95421400000001</v>
      </c>
      <c r="BQ614" s="13">
        <f t="shared" si="39"/>
        <v>5.3383986577181242</v>
      </c>
    </row>
    <row r="615" spans="1:69">
      <c r="A615" s="13">
        <v>612</v>
      </c>
      <c r="B615" s="13">
        <v>202</v>
      </c>
      <c r="C615" s="1">
        <v>172.58699720000001</v>
      </c>
      <c r="D615" s="13"/>
      <c r="E615" s="13"/>
      <c r="F615" s="13"/>
      <c r="G615" s="13"/>
      <c r="H615" s="13"/>
      <c r="I615" s="13"/>
      <c r="J615" s="13"/>
      <c r="K615" s="13"/>
      <c r="L615" s="13"/>
      <c r="M615" s="13">
        <f t="shared" si="40"/>
        <v>-14.560892475247522</v>
      </c>
      <c r="N615" s="13"/>
      <c r="O615" s="13">
        <v>612</v>
      </c>
      <c r="P615" s="13">
        <v>202</v>
      </c>
      <c r="Q615" s="1">
        <v>189.89146439999999</v>
      </c>
      <c r="R615" s="13"/>
      <c r="S615" s="13"/>
      <c r="T615" s="13"/>
      <c r="U615" s="13"/>
      <c r="V615" s="13"/>
      <c r="W615" s="13"/>
      <c r="X615" s="13"/>
      <c r="Y615" s="13"/>
      <c r="Z615" s="13"/>
      <c r="AA615" s="13">
        <f t="shared" si="37"/>
        <v>-5.9943245544554546</v>
      </c>
      <c r="AB615" s="13"/>
      <c r="AC615" s="34"/>
      <c r="AD615" s="34"/>
      <c r="AE615" s="34"/>
      <c r="AF615" s="34"/>
      <c r="AG615" s="34"/>
      <c r="AI615" s="35">
        <v>612</v>
      </c>
      <c r="AJ615" s="35">
        <v>202</v>
      </c>
      <c r="AK615" s="1">
        <v>196.77633599999999</v>
      </c>
      <c r="AV615" s="13">
        <f t="shared" si="38"/>
        <v>-2.5859722772277327</v>
      </c>
      <c r="BD615" s="35">
        <v>612</v>
      </c>
      <c r="BE615" s="35">
        <v>202</v>
      </c>
      <c r="BF615" s="1">
        <v>195.1658515</v>
      </c>
      <c r="BQ615" s="13">
        <f t="shared" si="39"/>
        <v>-3.3832418316831703</v>
      </c>
    </row>
    <row r="616" spans="1:69">
      <c r="A616" s="13">
        <v>613</v>
      </c>
      <c r="B616" s="13">
        <v>193</v>
      </c>
      <c r="C616" s="1">
        <v>155.18676590000001</v>
      </c>
      <c r="D616" s="13"/>
      <c r="E616" s="13"/>
      <c r="F616" s="13"/>
      <c r="G616" s="13"/>
      <c r="H616" s="13"/>
      <c r="I616" s="13"/>
      <c r="J616" s="13"/>
      <c r="K616" s="13"/>
      <c r="L616" s="13"/>
      <c r="M616" s="13">
        <f t="shared" si="40"/>
        <v>-19.592349274611397</v>
      </c>
      <c r="N616" s="13"/>
      <c r="O616" s="13">
        <v>613</v>
      </c>
      <c r="P616" s="13">
        <v>193</v>
      </c>
      <c r="Q616" s="1">
        <v>163.95340630000001</v>
      </c>
      <c r="R616" s="13"/>
      <c r="S616" s="13"/>
      <c r="T616" s="13"/>
      <c r="U616" s="13"/>
      <c r="V616" s="13"/>
      <c r="W616" s="13"/>
      <c r="X616" s="13"/>
      <c r="Y616" s="13"/>
      <c r="Z616" s="13"/>
      <c r="AA616" s="13">
        <f t="shared" si="37"/>
        <v>-15.050048549222794</v>
      </c>
      <c r="AB616" s="13"/>
      <c r="AC616" s="34"/>
      <c r="AD616" s="34"/>
      <c r="AE616" s="34"/>
      <c r="AF616" s="34"/>
      <c r="AG616" s="34"/>
      <c r="AI616" s="35">
        <v>613</v>
      </c>
      <c r="AJ616" s="35">
        <v>193</v>
      </c>
      <c r="AK616" s="1">
        <v>170.49374610000001</v>
      </c>
      <c r="AV616" s="13">
        <f t="shared" si="38"/>
        <v>-11.6612714507772</v>
      </c>
      <c r="BD616" s="35">
        <v>613</v>
      </c>
      <c r="BE616" s="35">
        <v>193</v>
      </c>
      <c r="BF616" s="1">
        <v>168.3605139</v>
      </c>
      <c r="BQ616" s="13">
        <f t="shared" si="39"/>
        <v>-12.766573108808288</v>
      </c>
    </row>
    <row r="617" spans="1:69">
      <c r="A617" s="13">
        <v>614</v>
      </c>
      <c r="B617" s="13">
        <v>107</v>
      </c>
      <c r="C617" s="1">
        <v>120.61631</v>
      </c>
      <c r="D617" s="13"/>
      <c r="E617" s="13"/>
      <c r="F617" s="13"/>
      <c r="G617" s="13"/>
      <c r="H617" s="13"/>
      <c r="I617" s="13"/>
      <c r="J617" s="13"/>
      <c r="K617" s="13"/>
      <c r="L617" s="13"/>
      <c r="M617" s="13">
        <f t="shared" si="40"/>
        <v>12.72552336448598</v>
      </c>
      <c r="N617" s="13"/>
      <c r="O617" s="13">
        <v>614</v>
      </c>
      <c r="P617" s="13">
        <v>107</v>
      </c>
      <c r="Q617" s="1">
        <v>123.0714949</v>
      </c>
      <c r="R617" s="13"/>
      <c r="S617" s="13"/>
      <c r="T617" s="13"/>
      <c r="U617" s="13"/>
      <c r="V617" s="13"/>
      <c r="W617" s="13"/>
      <c r="X617" s="13"/>
      <c r="Y617" s="13"/>
      <c r="Z617" s="13"/>
      <c r="AA617" s="13">
        <f t="shared" si="37"/>
        <v>15.020088691588796</v>
      </c>
      <c r="AB617" s="13"/>
      <c r="AC617" s="34"/>
      <c r="AD617" s="34"/>
      <c r="AE617" s="34"/>
      <c r="AF617" s="34"/>
      <c r="AG617" s="34"/>
      <c r="AI617" s="35">
        <v>614</v>
      </c>
      <c r="AJ617" s="35">
        <v>107</v>
      </c>
      <c r="AK617" s="1">
        <v>119.9218697</v>
      </c>
      <c r="AV617" s="13">
        <f t="shared" si="38"/>
        <v>12.07651373831775</v>
      </c>
      <c r="BD617" s="35">
        <v>614</v>
      </c>
      <c r="BE617" s="35">
        <v>107</v>
      </c>
      <c r="BF617" s="1">
        <v>122.3570306</v>
      </c>
      <c r="BQ617" s="13">
        <f t="shared" si="39"/>
        <v>14.352365046728966</v>
      </c>
    </row>
    <row r="618" spans="1:69">
      <c r="A618" s="13">
        <v>615</v>
      </c>
      <c r="B618" s="13">
        <v>174</v>
      </c>
      <c r="C618" s="1">
        <v>157.97179610000001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>
        <f t="shared" si="40"/>
        <v>-9.2116114367816078</v>
      </c>
      <c r="N618" s="13"/>
      <c r="O618" s="13">
        <v>615</v>
      </c>
      <c r="P618" s="13">
        <v>174</v>
      </c>
      <c r="Q618" s="1">
        <v>173.5650771</v>
      </c>
      <c r="R618" s="13"/>
      <c r="S618" s="13"/>
      <c r="T618" s="13"/>
      <c r="U618" s="13"/>
      <c r="V618" s="13"/>
      <c r="W618" s="13"/>
      <c r="X618" s="13"/>
      <c r="Y618" s="13"/>
      <c r="Z618" s="13"/>
      <c r="AA618" s="13">
        <f t="shared" si="37"/>
        <v>-0.24995568965517911</v>
      </c>
      <c r="AB618" s="13"/>
      <c r="AC618" s="34"/>
      <c r="AD618" s="34"/>
      <c r="AE618" s="34"/>
      <c r="AF618" s="34"/>
      <c r="AG618" s="34"/>
      <c r="AI618" s="35">
        <v>615</v>
      </c>
      <c r="AJ618" s="35">
        <v>174</v>
      </c>
      <c r="AK618" s="1">
        <v>182.1084663</v>
      </c>
      <c r="AV618" s="13">
        <f t="shared" si="38"/>
        <v>4.660038103448283</v>
      </c>
      <c r="BD618" s="35">
        <v>615</v>
      </c>
      <c r="BE618" s="35">
        <v>174</v>
      </c>
      <c r="BF618" s="1">
        <v>181.35127370000001</v>
      </c>
      <c r="BQ618" s="13">
        <f t="shared" si="39"/>
        <v>4.2248699425287306</v>
      </c>
    </row>
    <row r="619" spans="1:69">
      <c r="A619" s="13">
        <v>616</v>
      </c>
      <c r="B619" s="13">
        <v>148</v>
      </c>
      <c r="C619" s="1">
        <v>119.96367739999999</v>
      </c>
      <c r="D619" s="13"/>
      <c r="E619" s="13"/>
      <c r="F619" s="13"/>
      <c r="G619" s="13"/>
      <c r="H619" s="13"/>
      <c r="I619" s="13"/>
      <c r="J619" s="13"/>
      <c r="K619" s="13"/>
      <c r="L619" s="13"/>
      <c r="M619" s="13">
        <f t="shared" si="40"/>
        <v>-18.943461216216217</v>
      </c>
      <c r="N619" s="13"/>
      <c r="O619" s="13">
        <v>616</v>
      </c>
      <c r="P619" s="13">
        <v>148</v>
      </c>
      <c r="Q619" s="1">
        <v>123.2414088</v>
      </c>
      <c r="R619" s="13"/>
      <c r="S619" s="13"/>
      <c r="T619" s="13"/>
      <c r="U619" s="13"/>
      <c r="V619" s="13"/>
      <c r="W619" s="13"/>
      <c r="X619" s="13"/>
      <c r="Y619" s="13"/>
      <c r="Z619" s="13"/>
      <c r="AA619" s="13">
        <f t="shared" si="37"/>
        <v>-16.728777837837839</v>
      </c>
      <c r="AB619" s="13"/>
      <c r="AC619" s="34"/>
      <c r="AD619" s="34"/>
      <c r="AE619" s="34"/>
      <c r="AF619" s="34"/>
      <c r="AG619" s="34"/>
      <c r="AI619" s="35">
        <v>616</v>
      </c>
      <c r="AJ619" s="35">
        <v>148</v>
      </c>
      <c r="AK619" s="1">
        <v>130.04401429999999</v>
      </c>
      <c r="AV619" s="13">
        <f t="shared" si="38"/>
        <v>-12.13242277027028</v>
      </c>
      <c r="BD619" s="35">
        <v>616</v>
      </c>
      <c r="BE619" s="35">
        <v>148</v>
      </c>
      <c r="BF619" s="1">
        <v>125.4341799</v>
      </c>
      <c r="BQ619" s="13">
        <f t="shared" si="39"/>
        <v>-15.247175743243236</v>
      </c>
    </row>
    <row r="620" spans="1:69">
      <c r="A620" s="13">
        <v>617</v>
      </c>
      <c r="B620" s="13">
        <v>29</v>
      </c>
      <c r="C620" s="1">
        <v>37.759811672737101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>
        <f t="shared" si="40"/>
        <v>30.206247147369304</v>
      </c>
      <c r="N620" s="13"/>
      <c r="O620" s="13">
        <v>617</v>
      </c>
      <c r="P620" s="13">
        <v>29</v>
      </c>
      <c r="Q620" s="1">
        <v>36.469097410000003</v>
      </c>
      <c r="R620" s="13"/>
      <c r="S620" s="13"/>
      <c r="T620" s="13"/>
      <c r="U620" s="13"/>
      <c r="V620" s="13"/>
      <c r="W620" s="13"/>
      <c r="X620" s="13"/>
      <c r="Y620" s="13"/>
      <c r="Z620" s="13"/>
      <c r="AA620" s="13">
        <f t="shared" si="37"/>
        <v>25.755508310344833</v>
      </c>
      <c r="AB620" s="13"/>
      <c r="AC620" s="34"/>
      <c r="AD620" s="34"/>
      <c r="AE620" s="34"/>
      <c r="AF620" s="34"/>
      <c r="AG620" s="34"/>
      <c r="AI620" s="35">
        <v>617</v>
      </c>
      <c r="AJ620" s="35">
        <v>29</v>
      </c>
      <c r="AK620" s="1">
        <v>29.96318333</v>
      </c>
      <c r="AV620" s="13">
        <f t="shared" si="38"/>
        <v>3.3213218275861989</v>
      </c>
      <c r="BD620" s="35">
        <v>617</v>
      </c>
      <c r="BE620" s="35">
        <v>29</v>
      </c>
      <c r="BF620" s="1">
        <v>32.030634669999998</v>
      </c>
      <c r="BQ620" s="13">
        <f t="shared" si="39"/>
        <v>10.450464379310343</v>
      </c>
    </row>
    <row r="621" spans="1:69">
      <c r="A621" s="13">
        <v>618</v>
      </c>
      <c r="B621" s="13">
        <v>29</v>
      </c>
      <c r="C621" s="1">
        <v>37.435745204569599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13">
        <f t="shared" si="40"/>
        <v>29.088776567481368</v>
      </c>
      <c r="N621" s="13"/>
      <c r="O621" s="13">
        <v>618</v>
      </c>
      <c r="P621" s="13">
        <v>29</v>
      </c>
      <c r="Q621" s="1">
        <v>46.970337273050099</v>
      </c>
      <c r="R621" s="13"/>
      <c r="S621" s="13"/>
      <c r="T621" s="13"/>
      <c r="U621" s="13"/>
      <c r="V621" s="13"/>
      <c r="W621" s="13"/>
      <c r="X621" s="13"/>
      <c r="Y621" s="13"/>
      <c r="Z621" s="13"/>
      <c r="AA621" s="13">
        <f t="shared" si="37"/>
        <v>61.966680251896889</v>
      </c>
      <c r="AB621" s="13"/>
      <c r="AC621" s="34"/>
      <c r="AD621" s="34"/>
      <c r="AE621" s="34"/>
      <c r="AF621" s="34"/>
      <c r="AG621" s="34"/>
      <c r="AI621" s="35">
        <v>618</v>
      </c>
      <c r="AJ621" s="35">
        <v>29</v>
      </c>
      <c r="AK621" s="1">
        <v>35.845217320892999</v>
      </c>
      <c r="AV621" s="13">
        <f t="shared" si="38"/>
        <v>23.604197658251724</v>
      </c>
      <c r="BD621" s="35">
        <v>618</v>
      </c>
      <c r="BE621" s="35">
        <v>29</v>
      </c>
      <c r="BF621" s="1">
        <v>21.0950853889297</v>
      </c>
      <c r="BQ621" s="13">
        <f t="shared" si="39"/>
        <v>-27.258326245069998</v>
      </c>
    </row>
    <row r="622" spans="1:69">
      <c r="A622" s="13">
        <v>619</v>
      </c>
      <c r="B622" s="13">
        <v>7</v>
      </c>
      <c r="C622" s="1">
        <v>8.8730974617212901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>
        <f t="shared" si="40"/>
        <v>26.758535167446993</v>
      </c>
      <c r="N622" s="13"/>
      <c r="O622" s="13">
        <v>619</v>
      </c>
      <c r="P622" s="13">
        <v>7</v>
      </c>
      <c r="Q622" s="1">
        <v>5.8484563941733603</v>
      </c>
      <c r="R622" s="13"/>
      <c r="S622" s="13"/>
      <c r="T622" s="13"/>
      <c r="U622" s="13"/>
      <c r="V622" s="13"/>
      <c r="W622" s="13"/>
      <c r="X622" s="13"/>
      <c r="Y622" s="13"/>
      <c r="Z622" s="13"/>
      <c r="AA622" s="13">
        <f t="shared" si="37"/>
        <v>-16.450622940380565</v>
      </c>
      <c r="AB622" s="13"/>
      <c r="AC622" s="34"/>
      <c r="AD622" s="34"/>
      <c r="AE622" s="34"/>
      <c r="AF622" s="34"/>
      <c r="AG622" s="34"/>
      <c r="AI622" s="35">
        <v>619</v>
      </c>
      <c r="AJ622" s="35">
        <v>7</v>
      </c>
      <c r="AK622" s="1">
        <v>6.1461632104374102</v>
      </c>
      <c r="AV622" s="13">
        <f t="shared" si="38"/>
        <v>-12.197668422322716</v>
      </c>
      <c r="BD622" s="35">
        <v>619</v>
      </c>
      <c r="BE622" s="35">
        <v>7</v>
      </c>
      <c r="BF622" s="1">
        <v>4.7053203731877602</v>
      </c>
      <c r="BQ622" s="13">
        <f t="shared" si="39"/>
        <v>-32.781137525889136</v>
      </c>
    </row>
    <row r="623" spans="1:69">
      <c r="A623" s="13">
        <v>620</v>
      </c>
      <c r="B623" s="13">
        <v>81</v>
      </c>
      <c r="C623" s="1">
        <v>76.722186269999995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>
        <f t="shared" si="40"/>
        <v>-5.281251518518526</v>
      </c>
      <c r="N623" s="13"/>
      <c r="O623" s="13">
        <v>620</v>
      </c>
      <c r="P623" s="13">
        <v>81</v>
      </c>
      <c r="Q623" s="1">
        <v>70.990985649999999</v>
      </c>
      <c r="R623" s="13"/>
      <c r="S623" s="13"/>
      <c r="T623" s="13"/>
      <c r="U623" s="13"/>
      <c r="V623" s="13"/>
      <c r="W623" s="13"/>
      <c r="X623" s="13"/>
      <c r="Y623" s="13"/>
      <c r="Z623" s="13"/>
      <c r="AA623" s="13">
        <f t="shared" si="37"/>
        <v>-12.356807839506178</v>
      </c>
      <c r="AB623" s="13"/>
      <c r="AC623" s="34"/>
      <c r="AD623" s="34"/>
      <c r="AE623" s="34"/>
      <c r="AF623" s="34"/>
      <c r="AG623" s="34"/>
      <c r="AI623" s="35">
        <v>620</v>
      </c>
      <c r="AJ623" s="35">
        <v>81</v>
      </c>
      <c r="AK623" s="1">
        <v>70.388852580000005</v>
      </c>
      <c r="AV623" s="13">
        <f t="shared" si="38"/>
        <v>-13.100181999999993</v>
      </c>
      <c r="BD623" s="35">
        <v>620</v>
      </c>
      <c r="BE623" s="35">
        <v>81</v>
      </c>
      <c r="BF623" s="1">
        <v>70.030263410000003</v>
      </c>
      <c r="BQ623" s="13">
        <f t="shared" si="39"/>
        <v>-13.542884679012346</v>
      </c>
    </row>
    <row r="624" spans="1:69">
      <c r="A624" s="13">
        <v>621</v>
      </c>
      <c r="B624" s="13">
        <v>72</v>
      </c>
      <c r="C624" s="1">
        <v>97.247924130000001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>
        <f t="shared" si="40"/>
        <v>35.066561291666673</v>
      </c>
      <c r="N624" s="13"/>
      <c r="O624" s="13">
        <v>621</v>
      </c>
      <c r="P624" s="13">
        <v>72</v>
      </c>
      <c r="Q624" s="1">
        <v>91.634509480000006</v>
      </c>
      <c r="R624" s="13"/>
      <c r="S624" s="13"/>
      <c r="T624" s="13"/>
      <c r="U624" s="13"/>
      <c r="V624" s="13"/>
      <c r="W624" s="13"/>
      <c r="X624" s="13"/>
      <c r="Y624" s="13"/>
      <c r="Z624" s="13"/>
      <c r="AA624" s="13">
        <f t="shared" si="37"/>
        <v>27.270152055555563</v>
      </c>
      <c r="AB624" s="13"/>
      <c r="AC624" s="34"/>
      <c r="AD624" s="34"/>
      <c r="AE624" s="34"/>
      <c r="AF624" s="34"/>
      <c r="AG624" s="34"/>
      <c r="AI624" s="35">
        <v>621</v>
      </c>
      <c r="AJ624" s="35">
        <v>72</v>
      </c>
      <c r="AK624" s="1">
        <v>91.707205759999994</v>
      </c>
      <c r="AV624" s="13">
        <f t="shared" si="38"/>
        <v>27.371119111111099</v>
      </c>
      <c r="BD624" s="35">
        <v>621</v>
      </c>
      <c r="BE624" s="35">
        <v>72</v>
      </c>
      <c r="BF624" s="1">
        <v>90.710754320000007</v>
      </c>
      <c r="BQ624" s="13">
        <f t="shared" si="39"/>
        <v>25.987158777777797</v>
      </c>
    </row>
    <row r="625" spans="1:69">
      <c r="A625" s="13">
        <v>622</v>
      </c>
      <c r="B625" s="13">
        <v>125</v>
      </c>
      <c r="C625" s="1">
        <v>120.5075389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>
        <f t="shared" si="40"/>
        <v>-3.593968879999998</v>
      </c>
      <c r="N625" s="13"/>
      <c r="O625" s="13">
        <v>622</v>
      </c>
      <c r="P625" s="13">
        <v>125</v>
      </c>
      <c r="Q625" s="1">
        <v>120.09368069999999</v>
      </c>
      <c r="R625" s="13"/>
      <c r="S625" s="13"/>
      <c r="T625" s="13"/>
      <c r="U625" s="13"/>
      <c r="V625" s="13"/>
      <c r="W625" s="13"/>
      <c r="X625" s="13"/>
      <c r="Y625" s="13"/>
      <c r="Z625" s="13"/>
      <c r="AA625" s="13">
        <f t="shared" si="37"/>
        <v>-3.9250554400000026</v>
      </c>
      <c r="AB625" s="13"/>
      <c r="AC625" s="34"/>
      <c r="AD625" s="34"/>
      <c r="AE625" s="34"/>
      <c r="AF625" s="34"/>
      <c r="AG625" s="34"/>
      <c r="AI625" s="35">
        <v>622</v>
      </c>
      <c r="AJ625" s="35">
        <v>125</v>
      </c>
      <c r="AK625" s="1">
        <v>123.4417696</v>
      </c>
      <c r="AV625" s="13">
        <f t="shared" si="38"/>
        <v>-1.2465843199999993</v>
      </c>
      <c r="BD625" s="35">
        <v>622</v>
      </c>
      <c r="BE625" s="35">
        <v>125</v>
      </c>
      <c r="BF625" s="1">
        <v>123.80720100000001</v>
      </c>
      <c r="BQ625" s="13">
        <f t="shared" si="39"/>
        <v>-0.95423919999999551</v>
      </c>
    </row>
    <row r="626" spans="1:69">
      <c r="A626" s="13">
        <v>623</v>
      </c>
      <c r="B626" s="13">
        <v>39</v>
      </c>
      <c r="C626" s="1">
        <v>22.394114802591101</v>
      </c>
      <c r="D626" s="13"/>
      <c r="E626" s="13"/>
      <c r="F626" s="13"/>
      <c r="G626" s="13"/>
      <c r="H626" s="13"/>
      <c r="I626" s="13"/>
      <c r="J626" s="13"/>
      <c r="K626" s="13"/>
      <c r="L626" s="13"/>
      <c r="M626" s="13">
        <f t="shared" si="40"/>
        <v>-42.579192813868971</v>
      </c>
      <c r="N626" s="13"/>
      <c r="O626" s="13">
        <v>623</v>
      </c>
      <c r="P626" s="13">
        <v>39</v>
      </c>
      <c r="Q626" s="1">
        <v>34.246371485484303</v>
      </c>
      <c r="R626" s="13"/>
      <c r="S626" s="13"/>
      <c r="T626" s="13"/>
      <c r="U626" s="13"/>
      <c r="V626" s="13"/>
      <c r="W626" s="13"/>
      <c r="X626" s="13"/>
      <c r="Y626" s="13"/>
      <c r="Z626" s="13"/>
      <c r="AA626" s="13">
        <f t="shared" si="37"/>
        <v>-12.18879106286076</v>
      </c>
      <c r="AB626" s="13"/>
      <c r="AC626" s="34"/>
      <c r="AD626" s="34"/>
      <c r="AE626" s="34"/>
      <c r="AF626" s="34"/>
      <c r="AG626" s="34"/>
      <c r="AI626" s="35">
        <v>623</v>
      </c>
      <c r="AJ626" s="35">
        <v>39</v>
      </c>
      <c r="AK626" s="1">
        <v>25.920219906867299</v>
      </c>
      <c r="AV626" s="13">
        <f t="shared" si="38"/>
        <v>-33.537897674699238</v>
      </c>
      <c r="BD626" s="35">
        <v>623</v>
      </c>
      <c r="BE626" s="35">
        <v>39</v>
      </c>
      <c r="BF626" s="1">
        <v>48.6977225917204</v>
      </c>
      <c r="BQ626" s="13">
        <f t="shared" si="39"/>
        <v>24.865955363385652</v>
      </c>
    </row>
    <row r="627" spans="1:69">
      <c r="A627" s="13">
        <v>624</v>
      </c>
      <c r="B627" s="13">
        <v>128</v>
      </c>
      <c r="C627" s="1">
        <v>135.02832559999999</v>
      </c>
      <c r="D627" s="13"/>
      <c r="E627" s="13"/>
      <c r="F627" s="13"/>
      <c r="G627" s="13"/>
      <c r="H627" s="13"/>
      <c r="I627" s="13"/>
      <c r="J627" s="13"/>
      <c r="K627" s="13"/>
      <c r="L627" s="13"/>
      <c r="M627" s="13">
        <f t="shared" si="40"/>
        <v>5.4908793749999907</v>
      </c>
      <c r="N627" s="13"/>
      <c r="O627" s="13">
        <v>624</v>
      </c>
      <c r="P627" s="13">
        <v>128</v>
      </c>
      <c r="Q627" s="1">
        <v>141.15991109999999</v>
      </c>
      <c r="R627" s="13"/>
      <c r="S627" s="13"/>
      <c r="T627" s="13"/>
      <c r="U627" s="13"/>
      <c r="V627" s="13"/>
      <c r="W627" s="13"/>
      <c r="X627" s="13"/>
      <c r="Y627" s="13"/>
      <c r="Z627" s="13"/>
      <c r="AA627" s="13">
        <f t="shared" si="37"/>
        <v>10.281180546874991</v>
      </c>
      <c r="AB627" s="13"/>
      <c r="AC627" s="34"/>
      <c r="AD627" s="34"/>
      <c r="AE627" s="34"/>
      <c r="AF627" s="34"/>
      <c r="AG627" s="34"/>
      <c r="AI627" s="35">
        <v>624</v>
      </c>
      <c r="AJ627" s="35">
        <v>128</v>
      </c>
      <c r="AK627" s="1">
        <v>144.28333269999999</v>
      </c>
      <c r="AV627" s="13">
        <f t="shared" si="38"/>
        <v>12.72135367187499</v>
      </c>
      <c r="BD627" s="35">
        <v>624</v>
      </c>
      <c r="BE627" s="35">
        <v>128</v>
      </c>
      <c r="BF627" s="1">
        <v>141.73883660000001</v>
      </c>
      <c r="BQ627" s="13">
        <f t="shared" si="39"/>
        <v>10.73346609375001</v>
      </c>
    </row>
    <row r="628" spans="1:69">
      <c r="A628" s="13">
        <v>625</v>
      </c>
      <c r="B628" s="13">
        <v>18</v>
      </c>
      <c r="C628" s="1">
        <v>13.3531220866941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>
        <f t="shared" si="40"/>
        <v>-25.815988407254999</v>
      </c>
      <c r="N628" s="13"/>
      <c r="O628" s="13">
        <v>625</v>
      </c>
      <c r="P628" s="13">
        <v>18</v>
      </c>
      <c r="Q628" s="1">
        <v>25.458432119159198</v>
      </c>
      <c r="R628" s="13"/>
      <c r="S628" s="13"/>
      <c r="T628" s="13"/>
      <c r="U628" s="13"/>
      <c r="V628" s="13"/>
      <c r="W628" s="13"/>
      <c r="X628" s="13"/>
      <c r="Y628" s="13"/>
      <c r="Z628" s="13"/>
      <c r="AA628" s="13">
        <f t="shared" si="37"/>
        <v>41.435733995328874</v>
      </c>
      <c r="AB628" s="13"/>
      <c r="AC628" s="34"/>
      <c r="AD628" s="34"/>
      <c r="AE628" s="34"/>
      <c r="AF628" s="34"/>
      <c r="AG628" s="34"/>
      <c r="AI628" s="35">
        <v>625</v>
      </c>
      <c r="AJ628" s="35">
        <v>18</v>
      </c>
      <c r="AK628" s="1">
        <v>21.9284302504241</v>
      </c>
      <c r="AV628" s="13">
        <f t="shared" si="38"/>
        <v>21.8246125023561</v>
      </c>
      <c r="BD628" s="35">
        <v>625</v>
      </c>
      <c r="BE628" s="35">
        <v>18</v>
      </c>
      <c r="BF628" s="1">
        <v>18.9196237186849</v>
      </c>
      <c r="BQ628" s="13">
        <f t="shared" si="39"/>
        <v>5.1090206593605636</v>
      </c>
    </row>
    <row r="629" spans="1:69">
      <c r="A629" s="13">
        <v>626</v>
      </c>
      <c r="B629" s="13">
        <v>83</v>
      </c>
      <c r="C629" s="1">
        <v>81.040641539999996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>
        <f t="shared" si="40"/>
        <v>-2.3606728433735014</v>
      </c>
      <c r="N629" s="13"/>
      <c r="O629" s="13">
        <v>626</v>
      </c>
      <c r="P629" s="13">
        <v>83</v>
      </c>
      <c r="Q629" s="1">
        <v>68.640813399999999</v>
      </c>
      <c r="R629" s="13"/>
      <c r="S629" s="13"/>
      <c r="T629" s="13"/>
      <c r="U629" s="13"/>
      <c r="V629" s="13"/>
      <c r="W629" s="13"/>
      <c r="X629" s="13"/>
      <c r="Y629" s="13"/>
      <c r="Z629" s="13"/>
      <c r="AA629" s="13">
        <f t="shared" si="37"/>
        <v>-17.300224819277112</v>
      </c>
      <c r="AB629" s="13"/>
      <c r="AC629" s="34"/>
      <c r="AD629" s="34"/>
      <c r="AE629" s="34"/>
      <c r="AF629" s="34"/>
      <c r="AG629" s="34"/>
      <c r="AI629" s="35">
        <v>626</v>
      </c>
      <c r="AJ629" s="35">
        <v>83</v>
      </c>
      <c r="AK629" s="1">
        <v>64.975918289999996</v>
      </c>
      <c r="AV629" s="13">
        <f t="shared" si="38"/>
        <v>-21.715761096385545</v>
      </c>
      <c r="BD629" s="35">
        <v>626</v>
      </c>
      <c r="BE629" s="35">
        <v>83</v>
      </c>
      <c r="BF629" s="1">
        <v>65.42170342</v>
      </c>
      <c r="BQ629" s="13">
        <f t="shared" si="39"/>
        <v>-21.178670578313252</v>
      </c>
    </row>
    <row r="630" spans="1:69">
      <c r="A630" s="13">
        <v>627</v>
      </c>
      <c r="B630" s="13">
        <v>242</v>
      </c>
      <c r="C630" s="1">
        <v>177.3295416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>
        <f t="shared" si="40"/>
        <v>-26.723329917355375</v>
      </c>
      <c r="N630" s="13"/>
      <c r="O630" s="13">
        <v>627</v>
      </c>
      <c r="P630" s="13">
        <v>242</v>
      </c>
      <c r="Q630" s="1">
        <v>195.24164390000001</v>
      </c>
      <c r="R630" s="13"/>
      <c r="S630" s="13"/>
      <c r="T630" s="13"/>
      <c r="U630" s="13"/>
      <c r="V630" s="13"/>
      <c r="W630" s="13"/>
      <c r="X630" s="13"/>
      <c r="Y630" s="13"/>
      <c r="Z630" s="13"/>
      <c r="AA630" s="13">
        <f t="shared" si="37"/>
        <v>-19.321634752066107</v>
      </c>
      <c r="AB630" s="13"/>
      <c r="AC630" s="34"/>
      <c r="AD630" s="34"/>
      <c r="AE630" s="34"/>
      <c r="AF630" s="34"/>
      <c r="AG630" s="34"/>
      <c r="AI630" s="35">
        <v>627</v>
      </c>
      <c r="AJ630" s="35">
        <v>242</v>
      </c>
      <c r="AK630" s="1">
        <v>202.09299240000001</v>
      </c>
      <c r="AV630" s="13">
        <f t="shared" si="38"/>
        <v>-16.490499008264457</v>
      </c>
      <c r="BD630" s="35">
        <v>627</v>
      </c>
      <c r="BE630" s="35">
        <v>242</v>
      </c>
      <c r="BF630" s="1">
        <v>201.46269620000001</v>
      </c>
      <c r="BQ630" s="13">
        <f t="shared" si="39"/>
        <v>-16.750951983471076</v>
      </c>
    </row>
    <row r="631" spans="1:69">
      <c r="A631" s="13">
        <v>628</v>
      </c>
      <c r="B631" s="13">
        <v>245</v>
      </c>
      <c r="C631" s="1">
        <v>175.26456619999999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>
        <f t="shared" si="40"/>
        <v>-28.463442367346946</v>
      </c>
      <c r="N631" s="13"/>
      <c r="O631" s="13">
        <v>628</v>
      </c>
      <c r="P631" s="13">
        <v>245</v>
      </c>
      <c r="Q631" s="1">
        <v>192.35914990000001</v>
      </c>
      <c r="R631" s="13"/>
      <c r="S631" s="13"/>
      <c r="T631" s="13"/>
      <c r="U631" s="13"/>
      <c r="V631" s="13"/>
      <c r="W631" s="13"/>
      <c r="X631" s="13"/>
      <c r="Y631" s="13"/>
      <c r="Z631" s="13"/>
      <c r="AA631" s="13">
        <f t="shared" si="37"/>
        <v>-21.486061265306123</v>
      </c>
      <c r="AB631" s="13"/>
      <c r="AC631" s="34"/>
      <c r="AD631" s="34"/>
      <c r="AE631" s="34"/>
      <c r="AF631" s="34"/>
      <c r="AG631" s="34"/>
      <c r="AI631" s="35">
        <v>628</v>
      </c>
      <c r="AJ631" s="35">
        <v>245</v>
      </c>
      <c r="AK631" s="1">
        <v>206.35866669999999</v>
      </c>
      <c r="AV631" s="13">
        <f t="shared" si="38"/>
        <v>-15.771972775510212</v>
      </c>
      <c r="BD631" s="35">
        <v>628</v>
      </c>
      <c r="BE631" s="35">
        <v>245</v>
      </c>
      <c r="BF631" s="1">
        <v>201.74635710000001</v>
      </c>
      <c r="BQ631" s="13">
        <f t="shared" si="39"/>
        <v>-17.654548122448976</v>
      </c>
    </row>
    <row r="632" spans="1:69">
      <c r="A632" s="13">
        <v>629</v>
      </c>
      <c r="B632" s="13">
        <v>21</v>
      </c>
      <c r="C632" s="1">
        <v>14.181142952102601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>
        <f t="shared" si="40"/>
        <v>-32.470747847130475</v>
      </c>
      <c r="N632" s="13"/>
      <c r="O632" s="13">
        <v>629</v>
      </c>
      <c r="P632" s="13">
        <v>21</v>
      </c>
      <c r="Q632" s="1">
        <v>12.521926910150301</v>
      </c>
      <c r="R632" s="13"/>
      <c r="S632" s="13"/>
      <c r="T632" s="13"/>
      <c r="U632" s="13"/>
      <c r="V632" s="13"/>
      <c r="W632" s="13"/>
      <c r="X632" s="13"/>
      <c r="Y632" s="13"/>
      <c r="Z632" s="13"/>
      <c r="AA632" s="13">
        <f t="shared" si="37"/>
        <v>-40.3717766183319</v>
      </c>
      <c r="AB632" s="13"/>
      <c r="AC632" s="34"/>
      <c r="AD632" s="34"/>
      <c r="AE632" s="34"/>
      <c r="AF632" s="34"/>
      <c r="AG632" s="34"/>
      <c r="AI632" s="35">
        <v>629</v>
      </c>
      <c r="AJ632" s="35">
        <v>21</v>
      </c>
      <c r="AK632" s="1">
        <v>24.9550871908462</v>
      </c>
      <c r="AV632" s="13">
        <f t="shared" si="38"/>
        <v>18.833748527839056</v>
      </c>
      <c r="BD632" s="35">
        <v>629</v>
      </c>
      <c r="BE632" s="35">
        <v>21</v>
      </c>
      <c r="BF632" s="1">
        <v>25.057760780657102</v>
      </c>
      <c r="BQ632" s="13">
        <f t="shared" si="39"/>
        <v>19.322670384081441</v>
      </c>
    </row>
    <row r="633" spans="1:69">
      <c r="A633" s="13">
        <v>630</v>
      </c>
      <c r="B633" s="13">
        <v>214</v>
      </c>
      <c r="C633" s="1">
        <v>169.74556029999999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>
        <f t="shared" si="40"/>
        <v>-20.679644719626168</v>
      </c>
      <c r="N633" s="13"/>
      <c r="O633" s="13">
        <v>630</v>
      </c>
      <c r="P633" s="13">
        <v>214</v>
      </c>
      <c r="Q633" s="1">
        <v>188.54084900000001</v>
      </c>
      <c r="R633" s="13"/>
      <c r="S633" s="13"/>
      <c r="T633" s="13"/>
      <c r="U633" s="13"/>
      <c r="V633" s="13"/>
      <c r="W633" s="13"/>
      <c r="X633" s="13"/>
      <c r="Y633" s="13"/>
      <c r="Z633" s="13"/>
      <c r="AA633" s="13">
        <f t="shared" si="37"/>
        <v>-11.896799532710279</v>
      </c>
      <c r="AB633" s="13"/>
      <c r="AC633" s="34"/>
      <c r="AD633" s="34"/>
      <c r="AE633" s="34"/>
      <c r="AF633" s="34"/>
      <c r="AG633" s="34"/>
      <c r="AI633" s="35">
        <v>630</v>
      </c>
      <c r="AJ633" s="35">
        <v>214</v>
      </c>
      <c r="AK633" s="1">
        <v>196.82085000000001</v>
      </c>
      <c r="AV633" s="13">
        <f t="shared" si="38"/>
        <v>-8.0276401869158853</v>
      </c>
      <c r="BD633" s="35">
        <v>630</v>
      </c>
      <c r="BE633" s="35">
        <v>214</v>
      </c>
      <c r="BF633" s="1">
        <v>196.0949426</v>
      </c>
      <c r="BQ633" s="13">
        <f t="shared" si="39"/>
        <v>-8.3668492523364506</v>
      </c>
    </row>
    <row r="634" spans="1:69">
      <c r="A634" s="13">
        <v>631</v>
      </c>
      <c r="B634" s="13">
        <v>174</v>
      </c>
      <c r="C634" s="1">
        <v>159.06606199999999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>
        <f t="shared" si="40"/>
        <v>-8.5827229885057541</v>
      </c>
      <c r="N634" s="13"/>
      <c r="O634" s="13">
        <v>631</v>
      </c>
      <c r="P634" s="13">
        <v>174</v>
      </c>
      <c r="Q634" s="1">
        <v>164.72315029999999</v>
      </c>
      <c r="R634" s="13"/>
      <c r="S634" s="13"/>
      <c r="T634" s="13"/>
      <c r="U634" s="13"/>
      <c r="V634" s="13"/>
      <c r="W634" s="13"/>
      <c r="X634" s="13"/>
      <c r="Y634" s="13"/>
      <c r="Z634" s="13"/>
      <c r="AA634" s="13">
        <f t="shared" si="37"/>
        <v>-5.3315228160919599</v>
      </c>
      <c r="AB634" s="13"/>
      <c r="AC634" s="34"/>
      <c r="AD634" s="34"/>
      <c r="AE634" s="34"/>
      <c r="AF634" s="34"/>
      <c r="AG634" s="34"/>
      <c r="AI634" s="35">
        <v>631</v>
      </c>
      <c r="AJ634" s="35">
        <v>174</v>
      </c>
      <c r="AK634" s="1">
        <v>179.03669120000001</v>
      </c>
      <c r="AV634" s="13">
        <f t="shared" si="38"/>
        <v>2.894650114942543</v>
      </c>
      <c r="BD634" s="35">
        <v>631</v>
      </c>
      <c r="BE634" s="35">
        <v>174</v>
      </c>
      <c r="BF634" s="1">
        <v>173.08093840000001</v>
      </c>
      <c r="BQ634" s="13">
        <f t="shared" si="39"/>
        <v>-0.52819632183908061</v>
      </c>
    </row>
    <row r="635" spans="1:69">
      <c r="A635" s="13">
        <v>632</v>
      </c>
      <c r="B635" s="13">
        <v>157</v>
      </c>
      <c r="C635" s="1">
        <v>122.677119</v>
      </c>
      <c r="D635" s="13"/>
      <c r="E635" s="13"/>
      <c r="F635" s="13"/>
      <c r="G635" s="13"/>
      <c r="H635" s="13"/>
      <c r="I635" s="13"/>
      <c r="J635" s="13"/>
      <c r="K635" s="13"/>
      <c r="L635" s="13"/>
      <c r="M635" s="13">
        <f t="shared" si="40"/>
        <v>-21.861707643312101</v>
      </c>
      <c r="N635" s="13"/>
      <c r="O635" s="13">
        <v>632</v>
      </c>
      <c r="P635" s="13">
        <v>157</v>
      </c>
      <c r="Q635" s="1">
        <v>128.57791159999999</v>
      </c>
      <c r="R635" s="13"/>
      <c r="S635" s="13"/>
      <c r="T635" s="13"/>
      <c r="U635" s="13"/>
      <c r="V635" s="13"/>
      <c r="W635" s="13"/>
      <c r="X635" s="13"/>
      <c r="Y635" s="13"/>
      <c r="Z635" s="13"/>
      <c r="AA635" s="13">
        <f t="shared" si="37"/>
        <v>-18.103241019108285</v>
      </c>
      <c r="AB635" s="13"/>
      <c r="AC635" s="34"/>
      <c r="AD635" s="34"/>
      <c r="AE635" s="34"/>
      <c r="AF635" s="34"/>
      <c r="AG635" s="34"/>
      <c r="AI635" s="35">
        <v>632</v>
      </c>
      <c r="AJ635" s="35">
        <v>157</v>
      </c>
      <c r="AK635" s="1">
        <v>130.28326720000001</v>
      </c>
      <c r="AV635" s="13">
        <f t="shared" si="38"/>
        <v>-17.017027261146488</v>
      </c>
      <c r="BD635" s="35">
        <v>632</v>
      </c>
      <c r="BE635" s="35">
        <v>157</v>
      </c>
      <c r="BF635" s="1">
        <v>130.88737259999999</v>
      </c>
      <c r="BQ635" s="13">
        <f t="shared" si="39"/>
        <v>-16.632246751592362</v>
      </c>
    </row>
    <row r="636" spans="1:69">
      <c r="A636" s="13">
        <v>633</v>
      </c>
      <c r="B636" s="13">
        <v>166</v>
      </c>
      <c r="C636" s="1">
        <v>125.53401789999999</v>
      </c>
      <c r="D636" s="13"/>
      <c r="E636" s="13"/>
      <c r="F636" s="13"/>
      <c r="G636" s="13"/>
      <c r="H636" s="13"/>
      <c r="I636" s="13"/>
      <c r="J636" s="13"/>
      <c r="K636" s="13"/>
      <c r="L636" s="13"/>
      <c r="M636" s="13">
        <f t="shared" si="40"/>
        <v>-24.377097650602408</v>
      </c>
      <c r="N636" s="13"/>
      <c r="O636" s="13">
        <v>633</v>
      </c>
      <c r="P636" s="13">
        <v>166</v>
      </c>
      <c r="Q636" s="1">
        <v>129.2574621</v>
      </c>
      <c r="R636" s="13"/>
      <c r="S636" s="13"/>
      <c r="T636" s="13"/>
      <c r="U636" s="13"/>
      <c r="V636" s="13"/>
      <c r="W636" s="13"/>
      <c r="X636" s="13"/>
      <c r="Y636" s="13"/>
      <c r="Z636" s="13"/>
      <c r="AA636" s="13">
        <f t="shared" si="37"/>
        <v>-22.134058975903613</v>
      </c>
      <c r="AB636" s="13"/>
      <c r="AC636" s="34"/>
      <c r="AD636" s="34"/>
      <c r="AE636" s="34"/>
      <c r="AF636" s="34"/>
      <c r="AG636" s="34"/>
      <c r="AI636" s="35">
        <v>633</v>
      </c>
      <c r="AJ636" s="35">
        <v>166</v>
      </c>
      <c r="AK636" s="1">
        <v>135.58195380000001</v>
      </c>
      <c r="AV636" s="13">
        <f t="shared" si="38"/>
        <v>-18.324124216867467</v>
      </c>
      <c r="BD636" s="35">
        <v>633</v>
      </c>
      <c r="BE636" s="35">
        <v>166</v>
      </c>
      <c r="BF636" s="1">
        <v>134.0201682</v>
      </c>
      <c r="BQ636" s="13">
        <f t="shared" si="39"/>
        <v>-19.264958915662657</v>
      </c>
    </row>
    <row r="637" spans="1:69">
      <c r="A637" s="13">
        <v>634</v>
      </c>
      <c r="B637" s="13">
        <v>173</v>
      </c>
      <c r="C637" s="1">
        <v>132.2751073</v>
      </c>
      <c r="D637" s="13"/>
      <c r="E637" s="13"/>
      <c r="F637" s="13"/>
      <c r="G637" s="13"/>
      <c r="H637" s="13"/>
      <c r="I637" s="13"/>
      <c r="J637" s="13"/>
      <c r="K637" s="13"/>
      <c r="L637" s="13"/>
      <c r="M637" s="13">
        <f t="shared" si="40"/>
        <v>-23.540400404624272</v>
      </c>
      <c r="N637" s="13"/>
      <c r="O637" s="13">
        <v>634</v>
      </c>
      <c r="P637" s="13">
        <v>173</v>
      </c>
      <c r="Q637" s="1">
        <v>137.30870909999999</v>
      </c>
      <c r="R637" s="13"/>
      <c r="S637" s="13"/>
      <c r="T637" s="13"/>
      <c r="U637" s="13"/>
      <c r="V637" s="13"/>
      <c r="W637" s="13"/>
      <c r="X637" s="13"/>
      <c r="Y637" s="13"/>
      <c r="Z637" s="13"/>
      <c r="AA637" s="13">
        <f t="shared" si="37"/>
        <v>-20.630803988439318</v>
      </c>
      <c r="AB637" s="13"/>
      <c r="AC637" s="34"/>
      <c r="AD637" s="34"/>
      <c r="AE637" s="34"/>
      <c r="AF637" s="34"/>
      <c r="AG637" s="34"/>
      <c r="AI637" s="35">
        <v>634</v>
      </c>
      <c r="AJ637" s="35">
        <v>173</v>
      </c>
      <c r="AK637" s="1">
        <v>142.2276123</v>
      </c>
      <c r="AV637" s="13">
        <f t="shared" si="38"/>
        <v>-17.787507341040467</v>
      </c>
      <c r="BD637" s="35">
        <v>634</v>
      </c>
      <c r="BE637" s="35">
        <v>173</v>
      </c>
      <c r="BF637" s="1">
        <v>141.8643921</v>
      </c>
      <c r="BQ637" s="13">
        <f t="shared" si="39"/>
        <v>-17.997461213872835</v>
      </c>
    </row>
    <row r="638" spans="1:69">
      <c r="A638" s="13">
        <v>635</v>
      </c>
      <c r="B638" s="13">
        <v>203</v>
      </c>
      <c r="C638" s="1">
        <v>174.66256000000001</v>
      </c>
      <c r="D638" s="13"/>
      <c r="E638" s="13"/>
      <c r="F638" s="13"/>
      <c r="G638" s="13"/>
      <c r="H638" s="13"/>
      <c r="I638" s="13"/>
      <c r="J638" s="13"/>
      <c r="K638" s="13"/>
      <c r="L638" s="13"/>
      <c r="M638" s="13">
        <f t="shared" si="40"/>
        <v>-13.959330049261077</v>
      </c>
      <c r="N638" s="13"/>
      <c r="O638" s="13">
        <v>635</v>
      </c>
      <c r="P638" s="13">
        <v>203</v>
      </c>
      <c r="Q638" s="1">
        <v>190.6020144</v>
      </c>
      <c r="R638" s="13"/>
      <c r="S638" s="13"/>
      <c r="T638" s="13"/>
      <c r="U638" s="13"/>
      <c r="V638" s="13"/>
      <c r="W638" s="13"/>
      <c r="X638" s="13"/>
      <c r="Y638" s="13"/>
      <c r="Z638" s="13"/>
      <c r="AA638" s="13">
        <f t="shared" si="37"/>
        <v>-6.1073820689655172</v>
      </c>
      <c r="AB638" s="13"/>
      <c r="AC638" s="34"/>
      <c r="AD638" s="34"/>
      <c r="AE638" s="34"/>
      <c r="AF638" s="34"/>
      <c r="AG638" s="34"/>
      <c r="AI638" s="35">
        <v>635</v>
      </c>
      <c r="AJ638" s="35">
        <v>203</v>
      </c>
      <c r="AK638" s="1">
        <v>198.5902352</v>
      </c>
      <c r="AV638" s="13">
        <f t="shared" si="38"/>
        <v>-2.1722979310344837</v>
      </c>
      <c r="BD638" s="35">
        <v>635</v>
      </c>
      <c r="BE638" s="35">
        <v>203</v>
      </c>
      <c r="BF638" s="1">
        <v>194.9029286</v>
      </c>
      <c r="BQ638" s="13">
        <f t="shared" si="39"/>
        <v>-3.9887051231527137</v>
      </c>
    </row>
    <row r="639" spans="1:69">
      <c r="A639" s="13">
        <v>636</v>
      </c>
      <c r="B639" s="13">
        <v>171</v>
      </c>
      <c r="C639" s="1">
        <v>160.8147127</v>
      </c>
      <c r="D639" s="13"/>
      <c r="E639" s="13"/>
      <c r="F639" s="13"/>
      <c r="G639" s="13"/>
      <c r="H639" s="13"/>
      <c r="I639" s="13"/>
      <c r="J639" s="13"/>
      <c r="K639" s="13"/>
      <c r="L639" s="13"/>
      <c r="M639" s="13">
        <f t="shared" si="40"/>
        <v>-5.9563083625731039</v>
      </c>
      <c r="N639" s="13"/>
      <c r="O639" s="13">
        <v>636</v>
      </c>
      <c r="P639" s="13">
        <v>171</v>
      </c>
      <c r="Q639" s="1">
        <v>168.11795989999999</v>
      </c>
      <c r="R639" s="13"/>
      <c r="S639" s="13"/>
      <c r="T639" s="13"/>
      <c r="U639" s="13"/>
      <c r="V639" s="13"/>
      <c r="W639" s="13"/>
      <c r="X639" s="13"/>
      <c r="Y639" s="13"/>
      <c r="Z639" s="13"/>
      <c r="AA639" s="13">
        <f t="shared" si="37"/>
        <v>-1.6854035672514645</v>
      </c>
      <c r="AB639" s="13"/>
      <c r="AC639" s="34"/>
      <c r="AD639" s="34"/>
      <c r="AE639" s="34"/>
      <c r="AF639" s="34"/>
      <c r="AG639" s="34"/>
      <c r="AI639" s="35">
        <v>636</v>
      </c>
      <c r="AJ639" s="35">
        <v>171</v>
      </c>
      <c r="AK639" s="1">
        <v>174.99420319999999</v>
      </c>
      <c r="AV639" s="13">
        <f t="shared" si="38"/>
        <v>2.3357913450292367</v>
      </c>
      <c r="BD639" s="35">
        <v>636</v>
      </c>
      <c r="BE639" s="35">
        <v>171</v>
      </c>
      <c r="BF639" s="1">
        <v>172.9900251</v>
      </c>
      <c r="BQ639" s="13">
        <f t="shared" si="39"/>
        <v>1.1637573684210478</v>
      </c>
    </row>
    <row r="640" spans="1:69">
      <c r="A640" s="13">
        <v>637</v>
      </c>
      <c r="B640" s="13">
        <v>23</v>
      </c>
      <c r="C640" s="1">
        <v>18.1424859999373</v>
      </c>
      <c r="D640" s="13"/>
      <c r="E640" s="13"/>
      <c r="F640" s="13"/>
      <c r="G640" s="13"/>
      <c r="H640" s="13"/>
      <c r="I640" s="13"/>
      <c r="J640" s="13"/>
      <c r="K640" s="13"/>
      <c r="L640" s="13"/>
      <c r="M640" s="13">
        <f t="shared" si="40"/>
        <v>-21.119626087229125</v>
      </c>
      <c r="N640" s="13"/>
      <c r="O640" s="13">
        <v>637</v>
      </c>
      <c r="P640" s="13">
        <v>23</v>
      </c>
      <c r="Q640" s="1">
        <v>14.336292053485799</v>
      </c>
      <c r="R640" s="13"/>
      <c r="S640" s="13"/>
      <c r="T640" s="13"/>
      <c r="U640" s="13"/>
      <c r="V640" s="13"/>
      <c r="W640" s="13"/>
      <c r="X640" s="13"/>
      <c r="Y640" s="13"/>
      <c r="Z640" s="13"/>
      <c r="AA640" s="13">
        <f t="shared" si="37"/>
        <v>-37.668295419626965</v>
      </c>
      <c r="AB640" s="13"/>
      <c r="AC640" s="34"/>
      <c r="AD640" s="34"/>
      <c r="AE640" s="34"/>
      <c r="AF640" s="34"/>
      <c r="AG640" s="34"/>
      <c r="AI640" s="35">
        <v>637</v>
      </c>
      <c r="AJ640" s="35">
        <v>23</v>
      </c>
      <c r="AK640" s="1">
        <v>17.614150711204299</v>
      </c>
      <c r="AV640" s="13">
        <f t="shared" si="38"/>
        <v>-23.416736038242181</v>
      </c>
      <c r="BD640" s="35">
        <v>637</v>
      </c>
      <c r="BE640" s="35">
        <v>23</v>
      </c>
      <c r="BF640" s="1">
        <v>26.297411156618999</v>
      </c>
      <c r="BQ640" s="13">
        <f t="shared" si="39"/>
        <v>14.336570246169567</v>
      </c>
    </row>
    <row r="641" spans="1:69">
      <c r="A641" s="13">
        <v>638</v>
      </c>
      <c r="B641" s="13">
        <v>58</v>
      </c>
      <c r="C641" s="1">
        <v>62.195195910000002</v>
      </c>
      <c r="D641" s="13"/>
      <c r="E641" s="13"/>
      <c r="F641" s="13"/>
      <c r="G641" s="13"/>
      <c r="H641" s="13"/>
      <c r="I641" s="13"/>
      <c r="J641" s="13"/>
      <c r="K641" s="13"/>
      <c r="L641" s="13"/>
      <c r="M641" s="13">
        <f t="shared" si="40"/>
        <v>7.2330963965517192</v>
      </c>
      <c r="N641" s="13"/>
      <c r="O641" s="13">
        <v>638</v>
      </c>
      <c r="P641" s="13">
        <v>58</v>
      </c>
      <c r="Q641" s="1">
        <v>48.94147186</v>
      </c>
      <c r="R641" s="13"/>
      <c r="S641" s="13"/>
      <c r="T641" s="13"/>
      <c r="U641" s="13"/>
      <c r="V641" s="13"/>
      <c r="W641" s="13"/>
      <c r="X641" s="13"/>
      <c r="Y641" s="13"/>
      <c r="Z641" s="13"/>
      <c r="AA641" s="13">
        <f t="shared" si="37"/>
        <v>-15.618151965517246</v>
      </c>
      <c r="AB641" s="13"/>
      <c r="AC641" s="34"/>
      <c r="AD641" s="34"/>
      <c r="AE641" s="34"/>
      <c r="AF641" s="34"/>
      <c r="AG641" s="34"/>
      <c r="AI641" s="35">
        <v>638</v>
      </c>
      <c r="AJ641" s="35">
        <v>58</v>
      </c>
      <c r="AK641" s="1">
        <v>40.204497959999998</v>
      </c>
      <c r="AV641" s="13">
        <f t="shared" si="38"/>
        <v>-30.681900068965518</v>
      </c>
      <c r="BD641" s="35">
        <v>638</v>
      </c>
      <c r="BE641" s="35">
        <v>58</v>
      </c>
      <c r="BF641" s="1">
        <v>43.397335650000002</v>
      </c>
      <c r="BQ641" s="13">
        <f t="shared" si="39"/>
        <v>-25.177007499999991</v>
      </c>
    </row>
    <row r="642" spans="1:69">
      <c r="A642" s="13">
        <v>639</v>
      </c>
      <c r="B642" s="13">
        <v>216</v>
      </c>
      <c r="C642" s="1">
        <v>176.66250339999999</v>
      </c>
      <c r="D642" s="13"/>
      <c r="E642" s="13"/>
      <c r="F642" s="13"/>
      <c r="G642" s="13"/>
      <c r="H642" s="13"/>
      <c r="I642" s="13"/>
      <c r="J642" s="13"/>
      <c r="K642" s="13"/>
      <c r="L642" s="13"/>
      <c r="M642" s="13">
        <f t="shared" si="40"/>
        <v>-18.211803981481488</v>
      </c>
      <c r="N642" s="13"/>
      <c r="O642" s="13">
        <v>639</v>
      </c>
      <c r="P642" s="13">
        <v>216</v>
      </c>
      <c r="Q642" s="1">
        <v>194.090667</v>
      </c>
      <c r="R642" s="13"/>
      <c r="S642" s="13"/>
      <c r="T642" s="13"/>
      <c r="U642" s="13"/>
      <c r="V642" s="13"/>
      <c r="W642" s="13"/>
      <c r="X642" s="13"/>
      <c r="Y642" s="13"/>
      <c r="Z642" s="13"/>
      <c r="AA642" s="13">
        <f t="shared" si="37"/>
        <v>-10.143209722222224</v>
      </c>
      <c r="AB642" s="13"/>
      <c r="AC642" s="34"/>
      <c r="AD642" s="34"/>
      <c r="AE642" s="34"/>
      <c r="AF642" s="34"/>
      <c r="AG642" s="34"/>
      <c r="AI642" s="35">
        <v>639</v>
      </c>
      <c r="AJ642" s="35">
        <v>216</v>
      </c>
      <c r="AK642" s="1">
        <v>204.15906670000001</v>
      </c>
      <c r="AV642" s="13">
        <f t="shared" si="38"/>
        <v>-5.4819135648148105</v>
      </c>
      <c r="BD642" s="35">
        <v>639</v>
      </c>
      <c r="BE642" s="35">
        <v>216</v>
      </c>
      <c r="BF642" s="1">
        <v>200.9463791</v>
      </c>
      <c r="BQ642" s="13">
        <f t="shared" si="39"/>
        <v>-6.9692689351851804</v>
      </c>
    </row>
    <row r="643" spans="1:69">
      <c r="A643" s="13">
        <v>640</v>
      </c>
      <c r="B643" s="13">
        <v>247</v>
      </c>
      <c r="C643" s="1">
        <v>167.5850509</v>
      </c>
      <c r="D643" s="13"/>
      <c r="E643" s="13"/>
      <c r="F643" s="13"/>
      <c r="G643" s="13"/>
      <c r="H643" s="13"/>
      <c r="I643" s="13"/>
      <c r="J643" s="13"/>
      <c r="K643" s="13"/>
      <c r="L643" s="13"/>
      <c r="M643" s="13">
        <f t="shared" si="40"/>
        <v>-32.151801255060732</v>
      </c>
      <c r="N643" s="13"/>
      <c r="O643" s="13">
        <v>640</v>
      </c>
      <c r="P643" s="13">
        <v>247</v>
      </c>
      <c r="Q643" s="1">
        <v>185.49039970000001</v>
      </c>
      <c r="R643" s="13"/>
      <c r="S643" s="13"/>
      <c r="T643" s="13"/>
      <c r="U643" s="13"/>
      <c r="V643" s="13"/>
      <c r="W643" s="13"/>
      <c r="X643" s="13"/>
      <c r="Y643" s="13"/>
      <c r="Z643" s="13"/>
      <c r="AA643" s="13">
        <f t="shared" ref="AA643:AA682" si="41">((Q643/P643)-1)*100</f>
        <v>-24.90267218623481</v>
      </c>
      <c r="AB643" s="13"/>
      <c r="AC643" s="34"/>
      <c r="AD643" s="34"/>
      <c r="AE643" s="34"/>
      <c r="AF643" s="34"/>
      <c r="AG643" s="34"/>
      <c r="AI643" s="35">
        <v>640</v>
      </c>
      <c r="AJ643" s="35">
        <v>247</v>
      </c>
      <c r="AK643" s="1">
        <v>195.53800000000001</v>
      </c>
      <c r="AV643" s="13">
        <f t="shared" si="38"/>
        <v>-20.834817813765184</v>
      </c>
      <c r="BD643" s="35">
        <v>640</v>
      </c>
      <c r="BE643" s="35">
        <v>247</v>
      </c>
      <c r="BF643" s="1">
        <v>194.16052500000001</v>
      </c>
      <c r="BQ643" s="13">
        <f t="shared" si="39"/>
        <v>-21.392499999999991</v>
      </c>
    </row>
    <row r="644" spans="1:69">
      <c r="A644" s="13">
        <v>641</v>
      </c>
      <c r="B644" s="13">
        <v>33</v>
      </c>
      <c r="C644" s="1">
        <v>18.305235504314801</v>
      </c>
      <c r="D644" s="13"/>
      <c r="E644" s="13"/>
      <c r="F644" s="13"/>
      <c r="G644" s="13"/>
      <c r="H644" s="13"/>
      <c r="I644" s="13"/>
      <c r="J644" s="13"/>
      <c r="K644" s="13"/>
      <c r="L644" s="13"/>
      <c r="M644" s="13">
        <f t="shared" si="40"/>
        <v>-44.529589380864245</v>
      </c>
      <c r="N644" s="13"/>
      <c r="O644" s="13">
        <v>641</v>
      </c>
      <c r="P644" s="13">
        <v>33</v>
      </c>
      <c r="Q644" s="1">
        <v>18.905432784204699</v>
      </c>
      <c r="R644" s="13"/>
      <c r="S644" s="13"/>
      <c r="T644" s="13"/>
      <c r="U644" s="13"/>
      <c r="V644" s="13"/>
      <c r="W644" s="13"/>
      <c r="X644" s="13"/>
      <c r="Y644" s="13"/>
      <c r="Z644" s="13"/>
      <c r="AA644" s="13">
        <f t="shared" si="41"/>
        <v>-42.710809744834243</v>
      </c>
      <c r="AB644" s="13"/>
      <c r="AC644" s="34"/>
      <c r="AD644" s="34"/>
      <c r="AE644" s="34"/>
      <c r="AF644" s="34"/>
      <c r="AG644" s="34"/>
      <c r="AI644" s="35">
        <v>641</v>
      </c>
      <c r="AJ644" s="35">
        <v>33</v>
      </c>
      <c r="AK644" s="1">
        <v>39.644685927476701</v>
      </c>
      <c r="AV644" s="13">
        <f t="shared" ref="AV644:AV682" si="42">((AK644/AJ644)-1)*100</f>
        <v>20.135411901444545</v>
      </c>
      <c r="BD644" s="35">
        <v>641</v>
      </c>
      <c r="BE644" s="35">
        <v>33</v>
      </c>
      <c r="BF644" s="1">
        <v>27.494727632283102</v>
      </c>
      <c r="BQ644" s="13">
        <f t="shared" ref="BQ644:BQ682" si="43">((BF644/BE644)-1)*100</f>
        <v>-16.682643538536055</v>
      </c>
    </row>
    <row r="645" spans="1:69">
      <c r="A645" s="13">
        <v>642</v>
      </c>
      <c r="B645" s="13">
        <v>113</v>
      </c>
      <c r="C645" s="1">
        <v>122.8691202</v>
      </c>
      <c r="D645" s="13"/>
      <c r="E645" s="13"/>
      <c r="F645" s="13"/>
      <c r="G645" s="13"/>
      <c r="H645" s="13"/>
      <c r="I645" s="13"/>
      <c r="J645" s="13"/>
      <c r="K645" s="13"/>
      <c r="L645" s="13"/>
      <c r="M645" s="13">
        <f t="shared" si="40"/>
        <v>8.7337346902654822</v>
      </c>
      <c r="N645" s="13"/>
      <c r="O645" s="13">
        <v>642</v>
      </c>
      <c r="P645" s="13">
        <v>113</v>
      </c>
      <c r="Q645" s="1">
        <v>128.81973360000001</v>
      </c>
      <c r="R645" s="13"/>
      <c r="S645" s="13"/>
      <c r="T645" s="13"/>
      <c r="U645" s="13"/>
      <c r="V645" s="13"/>
      <c r="W645" s="13"/>
      <c r="X645" s="13"/>
      <c r="Y645" s="13"/>
      <c r="Z645" s="13"/>
      <c r="AA645" s="13">
        <f t="shared" si="41"/>
        <v>13.999764247787617</v>
      </c>
      <c r="AB645" s="13"/>
      <c r="AC645" s="34"/>
      <c r="AD645" s="34"/>
      <c r="AE645" s="34"/>
      <c r="AF645" s="34"/>
      <c r="AG645" s="34"/>
      <c r="AI645" s="35">
        <v>642</v>
      </c>
      <c r="AJ645" s="35">
        <v>113</v>
      </c>
      <c r="AK645" s="1">
        <v>130.23970560000001</v>
      </c>
      <c r="AV645" s="13">
        <f t="shared" si="42"/>
        <v>15.256376637168145</v>
      </c>
      <c r="BD645" s="35">
        <v>642</v>
      </c>
      <c r="BE645" s="35">
        <v>113</v>
      </c>
      <c r="BF645" s="1">
        <v>129.19181140000001</v>
      </c>
      <c r="BQ645" s="13">
        <f t="shared" si="43"/>
        <v>14.329036637168159</v>
      </c>
    </row>
    <row r="646" spans="1:69">
      <c r="A646" s="13">
        <v>643</v>
      </c>
      <c r="B646" s="13">
        <v>54</v>
      </c>
      <c r="C646" s="1">
        <v>62.46458097</v>
      </c>
      <c r="D646" s="13"/>
      <c r="E646" s="13"/>
      <c r="F646" s="13"/>
      <c r="G646" s="13"/>
      <c r="H646" s="13"/>
      <c r="I646" s="13"/>
      <c r="J646" s="13"/>
      <c r="K646" s="13"/>
      <c r="L646" s="13"/>
      <c r="M646" s="13">
        <f t="shared" si="40"/>
        <v>15.675149944444456</v>
      </c>
      <c r="N646" s="13"/>
      <c r="O646" s="13">
        <v>643</v>
      </c>
      <c r="P646" s="13">
        <v>54</v>
      </c>
      <c r="Q646" s="1">
        <v>48.884339369999999</v>
      </c>
      <c r="R646" s="13"/>
      <c r="S646" s="13"/>
      <c r="T646" s="13"/>
      <c r="U646" s="13"/>
      <c r="V646" s="13"/>
      <c r="W646" s="13"/>
      <c r="X646" s="13"/>
      <c r="Y646" s="13"/>
      <c r="Z646" s="13"/>
      <c r="AA646" s="13">
        <f t="shared" si="41"/>
        <v>-9.4734456111111083</v>
      </c>
      <c r="AB646" s="13"/>
      <c r="AC646" s="34"/>
      <c r="AD646" s="34"/>
      <c r="AE646" s="34"/>
      <c r="AF646" s="34"/>
      <c r="AG646" s="34"/>
      <c r="AI646" s="35">
        <v>643</v>
      </c>
      <c r="AJ646" s="35">
        <v>54</v>
      </c>
      <c r="AK646" s="1">
        <v>44.162072070000001</v>
      </c>
      <c r="AV646" s="13">
        <f t="shared" si="42"/>
        <v>-18.218385055555551</v>
      </c>
      <c r="BD646" s="35">
        <v>643</v>
      </c>
      <c r="BE646" s="35">
        <v>54</v>
      </c>
      <c r="BF646" s="1">
        <v>46.370433830000003</v>
      </c>
      <c r="BQ646" s="13">
        <f t="shared" si="43"/>
        <v>-14.128826240740732</v>
      </c>
    </row>
    <row r="647" spans="1:69">
      <c r="A647" s="13">
        <v>644</v>
      </c>
      <c r="B647" s="13">
        <v>146</v>
      </c>
      <c r="C647" s="1">
        <v>147.02084099999999</v>
      </c>
      <c r="D647" s="13"/>
      <c r="E647" s="13"/>
      <c r="F647" s="13"/>
      <c r="G647" s="13"/>
      <c r="H647" s="13"/>
      <c r="I647" s="13"/>
      <c r="J647" s="13"/>
      <c r="K647" s="13"/>
      <c r="L647" s="13"/>
      <c r="M647" s="13">
        <f t="shared" si="40"/>
        <v>0.69920616438354788</v>
      </c>
      <c r="N647" s="13"/>
      <c r="O647" s="13">
        <v>644</v>
      </c>
      <c r="P647" s="13">
        <v>146</v>
      </c>
      <c r="Q647" s="1">
        <v>156.7259091</v>
      </c>
      <c r="R647" s="13"/>
      <c r="S647" s="13"/>
      <c r="T647" s="13"/>
      <c r="U647" s="13"/>
      <c r="V647" s="13"/>
      <c r="W647" s="13"/>
      <c r="X647" s="13"/>
      <c r="Y647" s="13"/>
      <c r="Z647" s="13"/>
      <c r="AA647" s="13">
        <f t="shared" si="41"/>
        <v>7.3465130821917857</v>
      </c>
      <c r="AB647" s="13"/>
      <c r="AC647" s="34"/>
      <c r="AD647" s="34"/>
      <c r="AE647" s="34"/>
      <c r="AF647" s="34"/>
      <c r="AG647" s="34"/>
      <c r="AI647" s="35">
        <v>644</v>
      </c>
      <c r="AJ647" s="35">
        <v>146</v>
      </c>
      <c r="AK647" s="1">
        <v>159.4619026</v>
      </c>
      <c r="AV647" s="13">
        <f t="shared" si="42"/>
        <v>9.2204812328767094</v>
      </c>
      <c r="BD647" s="35">
        <v>644</v>
      </c>
      <c r="BE647" s="35">
        <v>146</v>
      </c>
      <c r="BF647" s="1">
        <v>157.37077719999999</v>
      </c>
      <c r="BQ647" s="13">
        <f t="shared" si="43"/>
        <v>7.788203561643825</v>
      </c>
    </row>
    <row r="648" spans="1:69">
      <c r="A648" s="13">
        <v>645</v>
      </c>
      <c r="B648" s="13">
        <v>196</v>
      </c>
      <c r="C648" s="1">
        <v>152.78567079999999</v>
      </c>
      <c r="D648" s="13"/>
      <c r="E648" s="13"/>
      <c r="F648" s="13"/>
      <c r="G648" s="13"/>
      <c r="H648" s="13"/>
      <c r="I648" s="13"/>
      <c r="J648" s="13"/>
      <c r="K648" s="13"/>
      <c r="L648" s="13"/>
      <c r="M648" s="13">
        <f t="shared" si="40"/>
        <v>-22.048127142857144</v>
      </c>
      <c r="N648" s="13"/>
      <c r="O648" s="13">
        <v>645</v>
      </c>
      <c r="P648" s="13">
        <v>196</v>
      </c>
      <c r="Q648" s="1">
        <v>161.0369589</v>
      </c>
      <c r="R648" s="13"/>
      <c r="S648" s="13"/>
      <c r="T648" s="13"/>
      <c r="U648" s="13"/>
      <c r="V648" s="13"/>
      <c r="W648" s="13"/>
      <c r="X648" s="13"/>
      <c r="Y648" s="13"/>
      <c r="Z648" s="13"/>
      <c r="AA648" s="13">
        <f t="shared" si="41"/>
        <v>-17.838286275510207</v>
      </c>
      <c r="AB648" s="13"/>
      <c r="AC648" s="34"/>
      <c r="AD648" s="34"/>
      <c r="AE648" s="34"/>
      <c r="AF648" s="34"/>
      <c r="AG648" s="34"/>
      <c r="AI648" s="35">
        <v>645</v>
      </c>
      <c r="AJ648" s="35">
        <v>196</v>
      </c>
      <c r="AK648" s="1">
        <v>166.84856020000001</v>
      </c>
      <c r="AV648" s="13">
        <f t="shared" si="42"/>
        <v>-14.873183571428573</v>
      </c>
      <c r="BD648" s="35">
        <v>645</v>
      </c>
      <c r="BE648" s="35">
        <v>196</v>
      </c>
      <c r="BF648" s="1">
        <v>164.59943580000001</v>
      </c>
      <c r="BQ648" s="13">
        <f t="shared" si="43"/>
        <v>-16.020696020408153</v>
      </c>
    </row>
    <row r="649" spans="1:69">
      <c r="A649" s="13">
        <v>646</v>
      </c>
      <c r="B649" s="13">
        <v>144</v>
      </c>
      <c r="C649" s="1">
        <v>143.8095371</v>
      </c>
      <c r="D649" s="13"/>
      <c r="E649" s="13"/>
      <c r="F649" s="13"/>
      <c r="G649" s="13"/>
      <c r="H649" s="13"/>
      <c r="I649" s="13"/>
      <c r="J649" s="13"/>
      <c r="K649" s="13"/>
      <c r="L649" s="13"/>
      <c r="M649" s="13">
        <f t="shared" si="40"/>
        <v>-0.13226590277777284</v>
      </c>
      <c r="N649" s="13"/>
      <c r="O649" s="13">
        <v>646</v>
      </c>
      <c r="P649" s="13">
        <v>144</v>
      </c>
      <c r="Q649" s="1">
        <v>156.6188472</v>
      </c>
      <c r="R649" s="13"/>
      <c r="S649" s="13"/>
      <c r="T649" s="13"/>
      <c r="U649" s="13"/>
      <c r="V649" s="13"/>
      <c r="W649" s="13"/>
      <c r="X649" s="13"/>
      <c r="Y649" s="13"/>
      <c r="Z649" s="13"/>
      <c r="AA649" s="13">
        <f t="shared" si="41"/>
        <v>8.7630883333333465</v>
      </c>
      <c r="AB649" s="13"/>
      <c r="AC649" s="34"/>
      <c r="AD649" s="34"/>
      <c r="AE649" s="34"/>
      <c r="AF649" s="34"/>
      <c r="AG649" s="34"/>
      <c r="AI649" s="35">
        <v>646</v>
      </c>
      <c r="AJ649" s="35">
        <v>144</v>
      </c>
      <c r="AK649" s="1">
        <v>162.04294949999999</v>
      </c>
      <c r="AV649" s="13">
        <f t="shared" si="42"/>
        <v>12.529826041666659</v>
      </c>
      <c r="BD649" s="35">
        <v>646</v>
      </c>
      <c r="BE649" s="35">
        <v>144</v>
      </c>
      <c r="BF649" s="1">
        <v>161.5284949</v>
      </c>
      <c r="BQ649" s="13">
        <f t="shared" si="43"/>
        <v>12.172565902777777</v>
      </c>
    </row>
    <row r="650" spans="1:69">
      <c r="A650" s="13">
        <v>647</v>
      </c>
      <c r="B650" s="13">
        <v>31</v>
      </c>
      <c r="C650" s="1">
        <v>31.896035672802899</v>
      </c>
      <c r="D650" s="13"/>
      <c r="E650" s="13"/>
      <c r="F650" s="13"/>
      <c r="G650" s="13"/>
      <c r="H650" s="13"/>
      <c r="I650" s="13"/>
      <c r="J650" s="13"/>
      <c r="K650" s="13"/>
      <c r="L650" s="13"/>
      <c r="M650" s="13">
        <f t="shared" si="40"/>
        <v>2.8904376542028931</v>
      </c>
      <c r="N650" s="13"/>
      <c r="O650" s="13">
        <v>647</v>
      </c>
      <c r="P650" s="13">
        <v>31</v>
      </c>
      <c r="Q650" s="1">
        <v>33.338144857805197</v>
      </c>
      <c r="R650" s="13"/>
      <c r="S650" s="13"/>
      <c r="T650" s="13"/>
      <c r="U650" s="13"/>
      <c r="V650" s="13"/>
      <c r="W650" s="13"/>
      <c r="X650" s="13"/>
      <c r="Y650" s="13"/>
      <c r="Z650" s="13"/>
      <c r="AA650" s="13">
        <f t="shared" si="41"/>
        <v>7.5424027671135319</v>
      </c>
      <c r="AB650" s="13"/>
      <c r="AC650" s="34"/>
      <c r="AD650" s="34"/>
      <c r="AE650" s="34"/>
      <c r="AF650" s="34"/>
      <c r="AG650" s="34"/>
      <c r="AI650" s="35">
        <v>647</v>
      </c>
      <c r="AJ650" s="35">
        <v>31</v>
      </c>
      <c r="AK650" s="1">
        <v>31.165619305880298</v>
      </c>
      <c r="AV650" s="13">
        <f t="shared" si="42"/>
        <v>0.53425582542032668</v>
      </c>
      <c r="BD650" s="35">
        <v>647</v>
      </c>
      <c r="BE650" s="35">
        <v>31</v>
      </c>
      <c r="BF650" s="1">
        <v>22.906050489980199</v>
      </c>
      <c r="BQ650" s="13">
        <f t="shared" si="43"/>
        <v>-26.109514548450974</v>
      </c>
    </row>
    <row r="651" spans="1:69">
      <c r="A651" s="13">
        <v>648</v>
      </c>
      <c r="B651" s="13">
        <v>204</v>
      </c>
      <c r="C651" s="1">
        <v>166.8119465</v>
      </c>
      <c r="D651" s="13"/>
      <c r="E651" s="13"/>
      <c r="F651" s="13"/>
      <c r="G651" s="13"/>
      <c r="H651" s="13"/>
      <c r="I651" s="13"/>
      <c r="J651" s="13"/>
      <c r="K651" s="13"/>
      <c r="L651" s="13"/>
      <c r="M651" s="13">
        <f t="shared" si="40"/>
        <v>-18.229437990196075</v>
      </c>
      <c r="N651" s="13"/>
      <c r="O651" s="13">
        <v>648</v>
      </c>
      <c r="P651" s="13">
        <v>204</v>
      </c>
      <c r="Q651" s="1">
        <v>187.35743210000001</v>
      </c>
      <c r="R651" s="13"/>
      <c r="S651" s="13"/>
      <c r="T651" s="13"/>
      <c r="U651" s="13"/>
      <c r="V651" s="13"/>
      <c r="W651" s="13"/>
      <c r="X651" s="13"/>
      <c r="Y651" s="13"/>
      <c r="Z651" s="13"/>
      <c r="AA651" s="13">
        <f t="shared" si="41"/>
        <v>-8.1581215196078425</v>
      </c>
      <c r="AB651" s="13"/>
      <c r="AC651" s="34"/>
      <c r="AD651" s="34"/>
      <c r="AE651" s="34"/>
      <c r="AF651" s="34"/>
      <c r="AG651" s="34"/>
      <c r="AI651" s="35">
        <v>648</v>
      </c>
      <c r="AJ651" s="35">
        <v>204</v>
      </c>
      <c r="AK651" s="1">
        <v>201.67106670000001</v>
      </c>
      <c r="AV651" s="13">
        <f t="shared" si="42"/>
        <v>-1.1416339705882295</v>
      </c>
      <c r="BD651" s="35">
        <v>648</v>
      </c>
      <c r="BE651" s="35">
        <v>204</v>
      </c>
      <c r="BF651" s="1">
        <v>196.6191216</v>
      </c>
      <c r="BQ651" s="13">
        <f t="shared" si="43"/>
        <v>-3.6180776470588261</v>
      </c>
    </row>
    <row r="652" spans="1:69">
      <c r="A652" s="13">
        <v>649</v>
      </c>
      <c r="B652" s="13">
        <v>193</v>
      </c>
      <c r="C652" s="1">
        <v>173.11079549999999</v>
      </c>
      <c r="D652" s="13"/>
      <c r="E652" s="13"/>
      <c r="F652" s="13"/>
      <c r="G652" s="13"/>
      <c r="H652" s="13"/>
      <c r="I652" s="13"/>
      <c r="J652" s="13"/>
      <c r="K652" s="13"/>
      <c r="L652" s="13"/>
      <c r="M652" s="13">
        <f t="shared" si="40"/>
        <v>-10.305287305699483</v>
      </c>
      <c r="N652" s="13"/>
      <c r="O652" s="13">
        <v>649</v>
      </c>
      <c r="P652" s="13">
        <v>193</v>
      </c>
      <c r="Q652" s="1">
        <v>184.26582189999999</v>
      </c>
      <c r="R652" s="13"/>
      <c r="S652" s="13"/>
      <c r="T652" s="13"/>
      <c r="U652" s="13"/>
      <c r="V652" s="13"/>
      <c r="W652" s="13"/>
      <c r="X652" s="13"/>
      <c r="Y652" s="13"/>
      <c r="Z652" s="13"/>
      <c r="AA652" s="13">
        <f t="shared" si="41"/>
        <v>-4.5254808808290248</v>
      </c>
      <c r="AB652" s="13"/>
      <c r="AC652" s="34"/>
      <c r="AD652" s="34"/>
      <c r="AE652" s="34"/>
      <c r="AF652" s="34"/>
      <c r="AG652" s="34"/>
      <c r="AI652" s="35">
        <v>649</v>
      </c>
      <c r="AJ652" s="35">
        <v>193</v>
      </c>
      <c r="AK652" s="1">
        <v>190.42039360000001</v>
      </c>
      <c r="AV652" s="13">
        <f t="shared" si="42"/>
        <v>-1.3365836269429998</v>
      </c>
      <c r="BD652" s="35">
        <v>649</v>
      </c>
      <c r="BE652" s="35">
        <v>193</v>
      </c>
      <c r="BF652" s="1">
        <v>190.6342923</v>
      </c>
      <c r="BQ652" s="13">
        <f t="shared" si="43"/>
        <v>-1.2257552849740949</v>
      </c>
    </row>
    <row r="653" spans="1:69">
      <c r="A653" s="13">
        <v>650</v>
      </c>
      <c r="B653" s="13">
        <v>144</v>
      </c>
      <c r="C653" s="1">
        <v>123.0211193</v>
      </c>
      <c r="D653" s="13"/>
      <c r="E653" s="13"/>
      <c r="F653" s="13"/>
      <c r="G653" s="13"/>
      <c r="H653" s="13"/>
      <c r="I653" s="13"/>
      <c r="J653" s="13"/>
      <c r="K653" s="13"/>
      <c r="L653" s="13"/>
      <c r="M653" s="13">
        <f t="shared" si="40"/>
        <v>-14.568667152777781</v>
      </c>
      <c r="N653" s="13"/>
      <c r="O653" s="13">
        <v>650</v>
      </c>
      <c r="P653" s="13">
        <v>144</v>
      </c>
      <c r="Q653" s="1">
        <v>124.2095679</v>
      </c>
      <c r="R653" s="13"/>
      <c r="S653" s="13"/>
      <c r="T653" s="13"/>
      <c r="U653" s="13"/>
      <c r="V653" s="13"/>
      <c r="W653" s="13"/>
      <c r="X653" s="13"/>
      <c r="Y653" s="13"/>
      <c r="Z653" s="13"/>
      <c r="AA653" s="13">
        <f t="shared" si="41"/>
        <v>-13.743355624999998</v>
      </c>
      <c r="AB653" s="13"/>
      <c r="AC653" s="34"/>
      <c r="AD653" s="34"/>
      <c r="AE653" s="34"/>
      <c r="AF653" s="34"/>
      <c r="AG653" s="34"/>
      <c r="AI653" s="35">
        <v>650</v>
      </c>
      <c r="AJ653" s="35">
        <v>144</v>
      </c>
      <c r="AK653" s="1">
        <v>129.72215159999999</v>
      </c>
      <c r="AV653" s="13">
        <f t="shared" si="42"/>
        <v>-9.9151725000000024</v>
      </c>
      <c r="BD653" s="35">
        <v>650</v>
      </c>
      <c r="BE653" s="35">
        <v>144</v>
      </c>
      <c r="BF653" s="1">
        <v>127.6948119</v>
      </c>
      <c r="BQ653" s="13">
        <f t="shared" si="43"/>
        <v>-11.323047291666665</v>
      </c>
    </row>
    <row r="654" spans="1:69">
      <c r="A654" s="13">
        <v>651</v>
      </c>
      <c r="B654" s="13">
        <v>166</v>
      </c>
      <c r="C654" s="1">
        <v>161.68465689999999</v>
      </c>
      <c r="D654" s="13"/>
      <c r="E654" s="13"/>
      <c r="F654" s="13"/>
      <c r="G654" s="13"/>
      <c r="H654" s="13"/>
      <c r="I654" s="13"/>
      <c r="J654" s="13"/>
      <c r="K654" s="13"/>
      <c r="L654" s="13"/>
      <c r="M654" s="13">
        <f t="shared" si="40"/>
        <v>-2.599604277108436</v>
      </c>
      <c r="N654" s="13"/>
      <c r="O654" s="13">
        <v>651</v>
      </c>
      <c r="P654" s="13">
        <v>166</v>
      </c>
      <c r="Q654" s="1">
        <v>168.37918450000001</v>
      </c>
      <c r="R654" s="13"/>
      <c r="S654" s="13"/>
      <c r="T654" s="13"/>
      <c r="U654" s="13"/>
      <c r="V654" s="13"/>
      <c r="W654" s="13"/>
      <c r="X654" s="13"/>
      <c r="Y654" s="13"/>
      <c r="Z654" s="13"/>
      <c r="AA654" s="13">
        <f t="shared" si="41"/>
        <v>1.433243674698792</v>
      </c>
      <c r="AB654" s="13"/>
      <c r="AC654" s="34"/>
      <c r="AD654" s="34"/>
      <c r="AE654" s="34"/>
      <c r="AF654" s="34"/>
      <c r="AG654" s="34"/>
      <c r="AI654" s="35">
        <v>651</v>
      </c>
      <c r="AJ654" s="35">
        <v>166</v>
      </c>
      <c r="AK654" s="1">
        <v>178.6622524</v>
      </c>
      <c r="AV654" s="13">
        <f t="shared" si="42"/>
        <v>7.6278628915662727</v>
      </c>
      <c r="BD654" s="35">
        <v>651</v>
      </c>
      <c r="BE654" s="35">
        <v>166</v>
      </c>
      <c r="BF654" s="1">
        <v>175.23195039999999</v>
      </c>
      <c r="BQ654" s="13">
        <f t="shared" si="43"/>
        <v>5.5614159036144528</v>
      </c>
    </row>
    <row r="655" spans="1:69">
      <c r="A655" s="13">
        <v>652</v>
      </c>
      <c r="B655" s="13">
        <v>169</v>
      </c>
      <c r="C655" s="1">
        <v>157.9592835</v>
      </c>
      <c r="D655" s="13"/>
      <c r="E655" s="13"/>
      <c r="F655" s="13"/>
      <c r="G655" s="13"/>
      <c r="H655" s="13"/>
      <c r="I655" s="13"/>
      <c r="J655" s="13"/>
      <c r="K655" s="13"/>
      <c r="L655" s="13"/>
      <c r="M655" s="13">
        <f t="shared" si="40"/>
        <v>-6.5329683431952663</v>
      </c>
      <c r="N655" s="13"/>
      <c r="O655" s="13">
        <v>652</v>
      </c>
      <c r="P655" s="13">
        <v>169</v>
      </c>
      <c r="Q655" s="1">
        <v>168.193285</v>
      </c>
      <c r="R655" s="13"/>
      <c r="S655" s="13"/>
      <c r="T655" s="13"/>
      <c r="U655" s="13"/>
      <c r="V655" s="13"/>
      <c r="W655" s="13"/>
      <c r="X655" s="13"/>
      <c r="Y655" s="13"/>
      <c r="Z655" s="13"/>
      <c r="AA655" s="13">
        <f t="shared" si="41"/>
        <v>-0.47734615384614765</v>
      </c>
      <c r="AB655" s="13"/>
      <c r="AC655" s="34"/>
      <c r="AD655" s="34"/>
      <c r="AE655" s="34"/>
      <c r="AF655" s="34"/>
      <c r="AG655" s="34"/>
      <c r="AI655" s="35">
        <v>652</v>
      </c>
      <c r="AJ655" s="35">
        <v>169</v>
      </c>
      <c r="AK655" s="1">
        <v>176.87031189999999</v>
      </c>
      <c r="AV655" s="13">
        <f t="shared" si="42"/>
        <v>4.6569892899408272</v>
      </c>
      <c r="BD655" s="35">
        <v>652</v>
      </c>
      <c r="BE655" s="35">
        <v>169</v>
      </c>
      <c r="BF655" s="1">
        <v>172.14673930000001</v>
      </c>
      <c r="BQ655" s="13">
        <f t="shared" si="43"/>
        <v>1.861975917159775</v>
      </c>
    </row>
    <row r="656" spans="1:69">
      <c r="A656" s="13">
        <v>653</v>
      </c>
      <c r="B656" s="13">
        <v>65</v>
      </c>
      <c r="C656" s="1">
        <v>93.272641550000003</v>
      </c>
      <c r="D656" s="13"/>
      <c r="E656" s="13"/>
      <c r="F656" s="13"/>
      <c r="G656" s="13"/>
      <c r="H656" s="13"/>
      <c r="I656" s="13"/>
      <c r="J656" s="13"/>
      <c r="K656" s="13"/>
      <c r="L656" s="13"/>
      <c r="M656" s="13">
        <f t="shared" si="40"/>
        <v>43.496371615384618</v>
      </c>
      <c r="N656" s="13"/>
      <c r="O656" s="13">
        <v>653</v>
      </c>
      <c r="P656" s="13">
        <v>65</v>
      </c>
      <c r="Q656" s="1">
        <v>89.253063830000002</v>
      </c>
      <c r="R656" s="13"/>
      <c r="S656" s="13"/>
      <c r="T656" s="13"/>
      <c r="U656" s="13"/>
      <c r="V656" s="13"/>
      <c r="W656" s="13"/>
      <c r="X656" s="13"/>
      <c r="Y656" s="13"/>
      <c r="Z656" s="13"/>
      <c r="AA656" s="13">
        <f t="shared" si="41"/>
        <v>37.312405892307687</v>
      </c>
      <c r="AB656" s="13"/>
      <c r="AC656" s="34"/>
      <c r="AD656" s="34"/>
      <c r="AE656" s="34"/>
      <c r="AF656" s="34"/>
      <c r="AG656" s="34"/>
      <c r="AI656" s="35">
        <v>653</v>
      </c>
      <c r="AJ656" s="35">
        <v>65</v>
      </c>
      <c r="AK656" s="1">
        <v>85.404326830000002</v>
      </c>
      <c r="AV656" s="13">
        <f t="shared" si="42"/>
        <v>31.391272046153841</v>
      </c>
      <c r="BD656" s="35">
        <v>653</v>
      </c>
      <c r="BE656" s="35">
        <v>65</v>
      </c>
      <c r="BF656" s="1">
        <v>74.761799975780306</v>
      </c>
      <c r="BQ656" s="13">
        <f t="shared" si="43"/>
        <v>15.018153808892777</v>
      </c>
    </row>
    <row r="657" spans="1:69">
      <c r="A657" s="13">
        <v>654</v>
      </c>
      <c r="B657" s="13">
        <v>200</v>
      </c>
      <c r="C657" s="1">
        <v>174.30442260000001</v>
      </c>
      <c r="D657" s="13"/>
      <c r="E657" s="13"/>
      <c r="F657" s="13"/>
      <c r="G657" s="13"/>
      <c r="H657" s="13"/>
      <c r="I657" s="13"/>
      <c r="J657" s="13"/>
      <c r="K657" s="13"/>
      <c r="L657" s="13"/>
      <c r="M657" s="13">
        <f t="shared" si="40"/>
        <v>-12.847788699999995</v>
      </c>
      <c r="N657" s="13"/>
      <c r="O657" s="13">
        <v>654</v>
      </c>
      <c r="P657" s="13">
        <v>200</v>
      </c>
      <c r="Q657" s="1">
        <v>185.94430360000001</v>
      </c>
      <c r="R657" s="13"/>
      <c r="S657" s="13"/>
      <c r="T657" s="13"/>
      <c r="U657" s="13"/>
      <c r="V657" s="13"/>
      <c r="W657" s="13"/>
      <c r="X657" s="13"/>
      <c r="Y657" s="13"/>
      <c r="Z657" s="13"/>
      <c r="AA657" s="13">
        <f t="shared" si="41"/>
        <v>-7.0278481999999975</v>
      </c>
      <c r="AB657" s="13"/>
      <c r="AC657" s="34"/>
      <c r="AD657" s="34"/>
      <c r="AE657" s="34"/>
      <c r="AF657" s="34"/>
      <c r="AG657" s="34"/>
      <c r="AI657" s="35">
        <v>654</v>
      </c>
      <c r="AJ657" s="35">
        <v>200</v>
      </c>
      <c r="AK657" s="1">
        <v>192.23599999999999</v>
      </c>
      <c r="AV657" s="13">
        <f t="shared" si="42"/>
        <v>-3.8820000000000077</v>
      </c>
      <c r="BD657" s="35">
        <v>654</v>
      </c>
      <c r="BE657" s="35">
        <v>200</v>
      </c>
      <c r="BF657" s="1">
        <v>191.24716470000001</v>
      </c>
      <c r="BQ657" s="13">
        <f t="shared" si="43"/>
        <v>-4.3764176499999969</v>
      </c>
    </row>
    <row r="658" spans="1:69">
      <c r="A658" s="13">
        <v>655</v>
      </c>
      <c r="B658" s="13">
        <v>182</v>
      </c>
      <c r="C658" s="1">
        <v>163.1552815</v>
      </c>
      <c r="D658" s="13"/>
      <c r="E658" s="13"/>
      <c r="F658" s="13"/>
      <c r="G658" s="13"/>
      <c r="H658" s="13"/>
      <c r="I658" s="13"/>
      <c r="J658" s="13"/>
      <c r="K658" s="13"/>
      <c r="L658" s="13"/>
      <c r="M658" s="13">
        <f t="shared" si="40"/>
        <v>-10.354240934065928</v>
      </c>
      <c r="N658" s="13"/>
      <c r="O658" s="13">
        <v>655</v>
      </c>
      <c r="P658" s="13">
        <v>182</v>
      </c>
      <c r="Q658" s="1">
        <v>174.3246795</v>
      </c>
      <c r="R658" s="13"/>
      <c r="S658" s="13"/>
      <c r="T658" s="13"/>
      <c r="U658" s="13"/>
      <c r="V658" s="13"/>
      <c r="W658" s="13"/>
      <c r="X658" s="13"/>
      <c r="Y658" s="13"/>
      <c r="Z658" s="13"/>
      <c r="AA658" s="13">
        <f t="shared" si="41"/>
        <v>-4.2172090659340693</v>
      </c>
      <c r="AB658" s="13"/>
      <c r="AC658" s="34"/>
      <c r="AD658" s="34"/>
      <c r="AE658" s="34"/>
      <c r="AF658" s="34"/>
      <c r="AG658" s="34"/>
      <c r="AI658" s="35">
        <v>655</v>
      </c>
      <c r="AJ658" s="35">
        <v>182</v>
      </c>
      <c r="AK658" s="1">
        <v>182.8081722</v>
      </c>
      <c r="AV658" s="13">
        <f t="shared" si="42"/>
        <v>0.44405065934065568</v>
      </c>
      <c r="BD658" s="35">
        <v>655</v>
      </c>
      <c r="BE658" s="35">
        <v>182</v>
      </c>
      <c r="BF658" s="1">
        <v>181.7619425</v>
      </c>
      <c r="BQ658" s="13">
        <f t="shared" si="43"/>
        <v>-0.13080082417582517</v>
      </c>
    </row>
    <row r="659" spans="1:69">
      <c r="A659" s="13">
        <v>656</v>
      </c>
      <c r="B659" s="13">
        <v>62</v>
      </c>
      <c r="C659" s="1">
        <v>85.393520260000003</v>
      </c>
      <c r="D659" s="13"/>
      <c r="E659" s="13"/>
      <c r="F659" s="13"/>
      <c r="G659" s="13"/>
      <c r="H659" s="13"/>
      <c r="I659" s="13"/>
      <c r="J659" s="13"/>
      <c r="K659" s="13"/>
      <c r="L659" s="13"/>
      <c r="M659" s="13">
        <f t="shared" si="40"/>
        <v>37.731484290322584</v>
      </c>
      <c r="N659" s="13"/>
      <c r="O659" s="13">
        <v>656</v>
      </c>
      <c r="P659" s="13">
        <v>62</v>
      </c>
      <c r="Q659" s="1">
        <v>80.699361789999998</v>
      </c>
      <c r="R659" s="13"/>
      <c r="S659" s="13"/>
      <c r="T659" s="13"/>
      <c r="U659" s="13"/>
      <c r="V659" s="13"/>
      <c r="W659" s="13"/>
      <c r="X659" s="13"/>
      <c r="Y659" s="13"/>
      <c r="Z659" s="13"/>
      <c r="AA659" s="13">
        <f t="shared" si="41"/>
        <v>30.160260951612905</v>
      </c>
      <c r="AB659" s="13"/>
      <c r="AC659" s="34"/>
      <c r="AD659" s="34"/>
      <c r="AE659" s="34"/>
      <c r="AF659" s="34"/>
      <c r="AG659" s="34"/>
      <c r="AI659" s="35">
        <v>656</v>
      </c>
      <c r="AJ659" s="35">
        <v>62</v>
      </c>
      <c r="AK659" s="1">
        <v>72.361906700000006</v>
      </c>
      <c r="AV659" s="13">
        <f t="shared" si="42"/>
        <v>16.712752741935489</v>
      </c>
      <c r="BD659" s="35">
        <v>656</v>
      </c>
      <c r="BE659" s="35">
        <v>62</v>
      </c>
      <c r="BF659" s="1">
        <v>75.525540399999997</v>
      </c>
      <c r="BQ659" s="13">
        <f t="shared" si="43"/>
        <v>21.815387741935478</v>
      </c>
    </row>
    <row r="660" spans="1:69">
      <c r="A660" s="13">
        <v>657</v>
      </c>
      <c r="B660" s="13">
        <v>192</v>
      </c>
      <c r="C660" s="1">
        <v>172.5647769</v>
      </c>
      <c r="D660" s="13"/>
      <c r="E660" s="13"/>
      <c r="F660" s="13"/>
      <c r="G660" s="13"/>
      <c r="H660" s="13"/>
      <c r="I660" s="13"/>
      <c r="J660" s="13"/>
      <c r="K660" s="13"/>
      <c r="L660" s="13"/>
      <c r="M660" s="13">
        <f t="shared" si="40"/>
        <v>-10.122512031249997</v>
      </c>
      <c r="N660" s="13"/>
      <c r="O660" s="13">
        <v>657</v>
      </c>
      <c r="P660" s="13">
        <v>192</v>
      </c>
      <c r="Q660" s="1">
        <v>184.88575019999999</v>
      </c>
      <c r="R660" s="13"/>
      <c r="S660" s="13"/>
      <c r="T660" s="13"/>
      <c r="U660" s="13"/>
      <c r="V660" s="13"/>
      <c r="W660" s="13"/>
      <c r="X660" s="13"/>
      <c r="Y660" s="13"/>
      <c r="Z660" s="13"/>
      <c r="AA660" s="13">
        <f t="shared" si="41"/>
        <v>-3.7053384375000054</v>
      </c>
      <c r="AB660" s="13"/>
      <c r="AC660" s="34"/>
      <c r="AD660" s="34"/>
      <c r="AE660" s="34"/>
      <c r="AF660" s="34"/>
      <c r="AG660" s="34"/>
      <c r="AI660" s="35">
        <v>657</v>
      </c>
      <c r="AJ660" s="35">
        <v>192</v>
      </c>
      <c r="AK660" s="1">
        <v>191.5149524</v>
      </c>
      <c r="AV660" s="13">
        <f t="shared" si="42"/>
        <v>-0.2526289583333341</v>
      </c>
      <c r="BD660" s="35">
        <v>657</v>
      </c>
      <c r="BE660" s="35">
        <v>192</v>
      </c>
      <c r="BF660" s="1">
        <v>191.9103618</v>
      </c>
      <c r="BQ660" s="13">
        <f t="shared" si="43"/>
        <v>-4.6686562499997919E-2</v>
      </c>
    </row>
    <row r="661" spans="1:69">
      <c r="A661" s="13">
        <v>658</v>
      </c>
      <c r="B661" s="13">
        <v>28</v>
      </c>
      <c r="C661" s="1">
        <v>21.6633433784245</v>
      </c>
      <c r="D661" s="13"/>
      <c r="E661" s="13"/>
      <c r="F661" s="13"/>
      <c r="G661" s="13"/>
      <c r="H661" s="13"/>
      <c r="I661" s="13"/>
      <c r="J661" s="13"/>
      <c r="K661" s="13"/>
      <c r="L661" s="13"/>
      <c r="M661" s="13">
        <f t="shared" si="40"/>
        <v>-22.630916505626786</v>
      </c>
      <c r="N661" s="13"/>
      <c r="O661" s="13">
        <v>658</v>
      </c>
      <c r="P661" s="13">
        <v>28</v>
      </c>
      <c r="Q661" s="1">
        <v>24.607251733794101</v>
      </c>
      <c r="R661" s="13"/>
      <c r="S661" s="13"/>
      <c r="T661" s="13"/>
      <c r="U661" s="13"/>
      <c r="V661" s="13"/>
      <c r="W661" s="13"/>
      <c r="X661" s="13"/>
      <c r="Y661" s="13"/>
      <c r="Z661" s="13"/>
      <c r="AA661" s="13">
        <f t="shared" si="41"/>
        <v>-12.116958093592501</v>
      </c>
      <c r="AB661" s="13"/>
      <c r="AC661" s="34"/>
      <c r="AD661" s="34"/>
      <c r="AE661" s="34"/>
      <c r="AF661" s="34"/>
      <c r="AG661" s="34"/>
      <c r="AI661" s="35">
        <v>658</v>
      </c>
      <c r="AJ661" s="35">
        <v>28</v>
      </c>
      <c r="AK661" s="1">
        <v>31.307802462456699</v>
      </c>
      <c r="AV661" s="13">
        <f t="shared" si="42"/>
        <v>11.813580223059649</v>
      </c>
      <c r="BD661" s="35">
        <v>658</v>
      </c>
      <c r="BE661" s="35">
        <v>28</v>
      </c>
      <c r="BF661" s="1">
        <v>35.972715986415999</v>
      </c>
      <c r="BQ661" s="13">
        <f t="shared" si="43"/>
        <v>28.473985665771416</v>
      </c>
    </row>
    <row r="662" spans="1:69">
      <c r="A662" s="13">
        <v>659</v>
      </c>
      <c r="B662" s="13">
        <v>55</v>
      </c>
      <c r="C662" s="1">
        <v>88.279300340000006</v>
      </c>
      <c r="D662" s="13"/>
      <c r="E662" s="13"/>
      <c r="F662" s="13"/>
      <c r="G662" s="13"/>
      <c r="H662" s="13"/>
      <c r="I662" s="13"/>
      <c r="J662" s="13"/>
      <c r="K662" s="13"/>
      <c r="L662" s="13"/>
      <c r="M662" s="13">
        <f t="shared" si="40"/>
        <v>60.507818800000003</v>
      </c>
      <c r="N662" s="13"/>
      <c r="O662" s="13">
        <v>659</v>
      </c>
      <c r="P662" s="13">
        <v>55</v>
      </c>
      <c r="Q662" s="1">
        <v>81.957144709999994</v>
      </c>
      <c r="R662" s="13"/>
      <c r="S662" s="13"/>
      <c r="T662" s="13"/>
      <c r="U662" s="13"/>
      <c r="V662" s="13"/>
      <c r="W662" s="13"/>
      <c r="X662" s="13"/>
      <c r="Y662" s="13"/>
      <c r="Z662" s="13"/>
      <c r="AA662" s="13">
        <f t="shared" si="41"/>
        <v>49.01299038181817</v>
      </c>
      <c r="AB662" s="13"/>
      <c r="AC662" s="34"/>
      <c r="AD662" s="34"/>
      <c r="AE662" s="34"/>
      <c r="AF662" s="34"/>
      <c r="AG662" s="34"/>
      <c r="AI662" s="35">
        <v>659</v>
      </c>
      <c r="AJ662" s="35">
        <v>55</v>
      </c>
      <c r="AK662" s="1">
        <v>58.234550333040303</v>
      </c>
      <c r="AV662" s="13">
        <f t="shared" si="42"/>
        <v>5.8810006055278308</v>
      </c>
      <c r="BD662" s="35">
        <v>659</v>
      </c>
      <c r="BE662" s="35">
        <v>55</v>
      </c>
      <c r="BF662" s="1">
        <v>66.924997834005495</v>
      </c>
      <c r="BQ662" s="13">
        <f t="shared" si="43"/>
        <v>21.681814243646347</v>
      </c>
    </row>
    <row r="663" spans="1:69">
      <c r="A663" s="13">
        <v>660</v>
      </c>
      <c r="B663" s="13">
        <v>59</v>
      </c>
      <c r="C663" s="1">
        <v>88.123908889999996</v>
      </c>
      <c r="D663" s="13"/>
      <c r="E663" s="13"/>
      <c r="F663" s="13"/>
      <c r="G663" s="13"/>
      <c r="H663" s="13"/>
      <c r="I663" s="13"/>
      <c r="J663" s="13"/>
      <c r="K663" s="13"/>
      <c r="L663" s="13"/>
      <c r="M663" s="13">
        <f t="shared" si="40"/>
        <v>49.362557440677968</v>
      </c>
      <c r="N663" s="13"/>
      <c r="O663" s="13">
        <v>660</v>
      </c>
      <c r="P663" s="13">
        <v>59</v>
      </c>
      <c r="Q663" s="1">
        <v>81.486465269999997</v>
      </c>
      <c r="R663" s="13"/>
      <c r="S663" s="13"/>
      <c r="T663" s="13"/>
      <c r="U663" s="13"/>
      <c r="V663" s="13"/>
      <c r="W663" s="13"/>
      <c r="X663" s="13"/>
      <c r="Y663" s="13"/>
      <c r="Z663" s="13"/>
      <c r="AA663" s="13">
        <f t="shared" si="41"/>
        <v>38.112652999999995</v>
      </c>
      <c r="AB663" s="13"/>
      <c r="AC663" s="34"/>
      <c r="AD663" s="34"/>
      <c r="AE663" s="34"/>
      <c r="AF663" s="34"/>
      <c r="AG663" s="34"/>
      <c r="AI663" s="35">
        <v>660</v>
      </c>
      <c r="AJ663" s="35">
        <v>59</v>
      </c>
      <c r="AK663" s="1">
        <v>74.99917662</v>
      </c>
      <c r="AV663" s="13">
        <f t="shared" si="42"/>
        <v>27.117248508474567</v>
      </c>
      <c r="BD663" s="35">
        <v>660</v>
      </c>
      <c r="BE663" s="35">
        <v>59</v>
      </c>
      <c r="BF663" s="1">
        <v>76.908819750000006</v>
      </c>
      <c r="BQ663" s="13">
        <f t="shared" si="43"/>
        <v>30.353931779661036</v>
      </c>
    </row>
    <row r="664" spans="1:69">
      <c r="A664" s="13">
        <v>661</v>
      </c>
      <c r="B664" s="13">
        <v>44</v>
      </c>
      <c r="C664" s="1">
        <v>43.0190252691635</v>
      </c>
      <c r="D664" s="13"/>
      <c r="E664" s="13"/>
      <c r="F664" s="13"/>
      <c r="G664" s="13"/>
      <c r="H664" s="13"/>
      <c r="I664" s="13"/>
      <c r="J664" s="13"/>
      <c r="K664" s="13"/>
      <c r="L664" s="13"/>
      <c r="M664" s="13">
        <f t="shared" si="40"/>
        <v>-2.2294880246284121</v>
      </c>
      <c r="N664" s="13"/>
      <c r="O664" s="13">
        <v>661</v>
      </c>
      <c r="P664" s="13">
        <v>44</v>
      </c>
      <c r="Q664" s="1">
        <v>63.800680810000003</v>
      </c>
      <c r="R664" s="13"/>
      <c r="S664" s="13"/>
      <c r="T664" s="13"/>
      <c r="U664" s="13"/>
      <c r="V664" s="13"/>
      <c r="W664" s="13"/>
      <c r="X664" s="13"/>
      <c r="Y664" s="13"/>
      <c r="Z664" s="13"/>
      <c r="AA664" s="13">
        <f t="shared" si="41"/>
        <v>45.001547295454557</v>
      </c>
      <c r="AB664" s="13"/>
      <c r="AC664" s="34"/>
      <c r="AD664" s="34"/>
      <c r="AE664" s="34"/>
      <c r="AF664" s="34"/>
      <c r="AG664" s="34"/>
      <c r="AI664" s="35">
        <v>661</v>
      </c>
      <c r="AJ664" s="35">
        <v>44</v>
      </c>
      <c r="AK664" s="1">
        <v>57.588258760000002</v>
      </c>
      <c r="AV664" s="13">
        <f t="shared" si="42"/>
        <v>30.88240627272727</v>
      </c>
      <c r="BD664" s="35">
        <v>661</v>
      </c>
      <c r="BE664" s="35">
        <v>44</v>
      </c>
      <c r="BF664" s="1">
        <v>55.047870439999997</v>
      </c>
      <c r="BQ664" s="13">
        <f t="shared" si="43"/>
        <v>25.108796454545445</v>
      </c>
    </row>
    <row r="665" spans="1:69">
      <c r="A665" s="13">
        <v>662</v>
      </c>
      <c r="B665" s="13">
        <v>105</v>
      </c>
      <c r="C665" s="1">
        <v>90.772100719999997</v>
      </c>
      <c r="D665" s="13"/>
      <c r="E665" s="13"/>
      <c r="F665" s="13"/>
      <c r="G665" s="13"/>
      <c r="H665" s="13"/>
      <c r="I665" s="13"/>
      <c r="J665" s="13"/>
      <c r="K665" s="13"/>
      <c r="L665" s="13"/>
      <c r="M665" s="13">
        <f t="shared" si="40"/>
        <v>-13.550380266666673</v>
      </c>
      <c r="N665" s="13"/>
      <c r="O665" s="13">
        <v>662</v>
      </c>
      <c r="P665" s="13">
        <v>105</v>
      </c>
      <c r="Q665" s="1">
        <v>85.682908569999995</v>
      </c>
      <c r="R665" s="13"/>
      <c r="S665" s="13"/>
      <c r="T665" s="13"/>
      <c r="U665" s="13"/>
      <c r="V665" s="13"/>
      <c r="W665" s="13"/>
      <c r="X665" s="13"/>
      <c r="Y665" s="13"/>
      <c r="Z665" s="13"/>
      <c r="AA665" s="13">
        <f t="shared" si="41"/>
        <v>-18.397229933333335</v>
      </c>
      <c r="AB665" s="13"/>
      <c r="AC665" s="34"/>
      <c r="AD665" s="34"/>
      <c r="AE665" s="34"/>
      <c r="AF665" s="34"/>
      <c r="AG665" s="34"/>
      <c r="AI665" s="35">
        <v>662</v>
      </c>
      <c r="AJ665" s="35">
        <v>105</v>
      </c>
      <c r="AK665" s="1">
        <v>80.495699999999999</v>
      </c>
      <c r="AV665" s="13">
        <f t="shared" si="42"/>
        <v>-23.337428571428575</v>
      </c>
      <c r="BD665" s="35">
        <v>662</v>
      </c>
      <c r="BE665" s="35">
        <v>105</v>
      </c>
      <c r="BF665" s="1">
        <v>78.418691440000003</v>
      </c>
      <c r="BQ665" s="13">
        <f t="shared" si="43"/>
        <v>-25.315531961904757</v>
      </c>
    </row>
    <row r="666" spans="1:69">
      <c r="A666" s="13">
        <v>663</v>
      </c>
      <c r="B666" s="13">
        <v>111</v>
      </c>
      <c r="C666" s="1">
        <v>89.998588889999994</v>
      </c>
      <c r="D666" s="13"/>
      <c r="E666" s="13"/>
      <c r="F666" s="13"/>
      <c r="G666" s="13"/>
      <c r="H666" s="13"/>
      <c r="I666" s="13"/>
      <c r="J666" s="13"/>
      <c r="K666" s="13"/>
      <c r="L666" s="13"/>
      <c r="M666" s="13">
        <f t="shared" si="40"/>
        <v>-18.920190189189189</v>
      </c>
      <c r="N666" s="13"/>
      <c r="O666" s="13">
        <v>663</v>
      </c>
      <c r="P666" s="13">
        <v>111</v>
      </c>
      <c r="Q666" s="1">
        <v>89.204172600000007</v>
      </c>
      <c r="R666" s="13"/>
      <c r="S666" s="13"/>
      <c r="T666" s="13"/>
      <c r="U666" s="13"/>
      <c r="V666" s="13"/>
      <c r="W666" s="13"/>
      <c r="X666" s="13"/>
      <c r="Y666" s="13"/>
      <c r="Z666" s="13"/>
      <c r="AA666" s="13">
        <f t="shared" si="41"/>
        <v>-19.63588054054053</v>
      </c>
      <c r="AB666" s="13"/>
      <c r="AC666" s="34"/>
      <c r="AD666" s="34"/>
      <c r="AE666" s="34"/>
      <c r="AF666" s="34"/>
      <c r="AG666" s="34"/>
      <c r="AI666" s="35">
        <v>663</v>
      </c>
      <c r="AJ666" s="35">
        <v>111</v>
      </c>
      <c r="AK666" s="1">
        <v>86.558303409999994</v>
      </c>
      <c r="AV666" s="13">
        <f t="shared" si="42"/>
        <v>-22.01954647747748</v>
      </c>
      <c r="BD666" s="35">
        <v>663</v>
      </c>
      <c r="BE666" s="35">
        <v>111</v>
      </c>
      <c r="BF666" s="1">
        <v>88.773503460000001</v>
      </c>
      <c r="BQ666" s="13">
        <f t="shared" si="43"/>
        <v>-20.023870756756757</v>
      </c>
    </row>
    <row r="667" spans="1:69">
      <c r="A667" s="13">
        <v>664</v>
      </c>
      <c r="B667" s="13">
        <v>25</v>
      </c>
      <c r="C667" s="1">
        <v>36.816172709507697</v>
      </c>
      <c r="D667" s="13"/>
      <c r="E667" s="13"/>
      <c r="F667" s="13"/>
      <c r="G667" s="13"/>
      <c r="H667" s="13"/>
      <c r="I667" s="13"/>
      <c r="J667" s="13"/>
      <c r="K667" s="13"/>
      <c r="L667" s="13"/>
      <c r="M667" s="13">
        <f t="shared" si="40"/>
        <v>47.264690838030802</v>
      </c>
      <c r="N667" s="13"/>
      <c r="O667" s="13">
        <v>664</v>
      </c>
      <c r="P667" s="13">
        <v>25</v>
      </c>
      <c r="Q667" s="1">
        <v>29.051175976315601</v>
      </c>
      <c r="R667" s="13"/>
      <c r="S667" s="13"/>
      <c r="T667" s="13"/>
      <c r="U667" s="13"/>
      <c r="V667" s="13"/>
      <c r="W667" s="13"/>
      <c r="X667" s="13"/>
      <c r="Y667" s="13"/>
      <c r="Z667" s="13"/>
      <c r="AA667" s="13">
        <f t="shared" si="41"/>
        <v>16.204703905262406</v>
      </c>
      <c r="AB667" s="13"/>
      <c r="AC667" s="34"/>
      <c r="AD667" s="34"/>
      <c r="AE667" s="34"/>
      <c r="AF667" s="34"/>
      <c r="AG667" s="34"/>
      <c r="AI667" s="35">
        <v>664</v>
      </c>
      <c r="AJ667" s="35">
        <v>25</v>
      </c>
      <c r="AK667" s="1">
        <v>29.6843549819868</v>
      </c>
      <c r="AV667" s="13">
        <f t="shared" si="42"/>
        <v>18.737419927947197</v>
      </c>
      <c r="BD667" s="35">
        <v>664</v>
      </c>
      <c r="BE667" s="35">
        <v>25</v>
      </c>
      <c r="BF667" s="1">
        <v>26.228903781648501</v>
      </c>
      <c r="BQ667" s="13">
        <f t="shared" si="43"/>
        <v>4.9156151265939974</v>
      </c>
    </row>
    <row r="668" spans="1:69">
      <c r="A668" s="13">
        <v>665</v>
      </c>
      <c r="B668" s="13">
        <v>103</v>
      </c>
      <c r="C668" s="1">
        <v>91.540465260000005</v>
      </c>
      <c r="D668" s="13"/>
      <c r="E668" s="13"/>
      <c r="F668" s="13"/>
      <c r="G668" s="13"/>
      <c r="H668" s="13"/>
      <c r="I668" s="13"/>
      <c r="J668" s="13"/>
      <c r="K668" s="13"/>
      <c r="L668" s="13"/>
      <c r="M668" s="13">
        <f t="shared" si="40"/>
        <v>-11.125761883495144</v>
      </c>
      <c r="N668" s="13"/>
      <c r="O668" s="13">
        <v>665</v>
      </c>
      <c r="P668" s="13">
        <v>103</v>
      </c>
      <c r="Q668" s="1">
        <v>84.461081440000001</v>
      </c>
      <c r="R668" s="13"/>
      <c r="S668" s="13"/>
      <c r="T668" s="13"/>
      <c r="U668" s="13"/>
      <c r="V668" s="13"/>
      <c r="W668" s="13"/>
      <c r="X668" s="13"/>
      <c r="Y668" s="13"/>
      <c r="Z668" s="13"/>
      <c r="AA668" s="13">
        <f t="shared" si="41"/>
        <v>-17.998950058252426</v>
      </c>
      <c r="AB668" s="13"/>
      <c r="AC668" s="34"/>
      <c r="AD668" s="34"/>
      <c r="AE668" s="34"/>
      <c r="AF668" s="34"/>
      <c r="AG668" s="34"/>
      <c r="AI668" s="35">
        <v>665</v>
      </c>
      <c r="AJ668" s="35">
        <v>103</v>
      </c>
      <c r="AK668" s="1">
        <v>83.432836339999994</v>
      </c>
      <c r="AV668" s="13">
        <f t="shared" si="42"/>
        <v>-18.99724627184467</v>
      </c>
      <c r="BD668" s="35">
        <v>665</v>
      </c>
      <c r="BE668" s="35">
        <v>103</v>
      </c>
      <c r="BF668" s="1">
        <v>83.646174439999996</v>
      </c>
      <c r="BQ668" s="13">
        <f t="shared" si="43"/>
        <v>-18.790121902912627</v>
      </c>
    </row>
    <row r="669" spans="1:69">
      <c r="A669" s="13">
        <v>666</v>
      </c>
      <c r="B669" s="13">
        <v>95</v>
      </c>
      <c r="C669" s="1">
        <v>86.219280479999995</v>
      </c>
      <c r="D669" s="13"/>
      <c r="E669" s="13"/>
      <c r="F669" s="13"/>
      <c r="G669" s="13"/>
      <c r="H669" s="13"/>
      <c r="I669" s="13"/>
      <c r="J669" s="13"/>
      <c r="K669" s="13"/>
      <c r="L669" s="13"/>
      <c r="M669" s="13">
        <f t="shared" si="40"/>
        <v>-9.2428626526315902</v>
      </c>
      <c r="N669" s="13"/>
      <c r="O669" s="13">
        <v>666</v>
      </c>
      <c r="P669" s="13">
        <v>95</v>
      </c>
      <c r="Q669" s="1">
        <v>77.990604480000002</v>
      </c>
      <c r="R669" s="13"/>
      <c r="S669" s="13"/>
      <c r="T669" s="13"/>
      <c r="U669" s="13"/>
      <c r="V669" s="13"/>
      <c r="W669" s="13"/>
      <c r="X669" s="13"/>
      <c r="Y669" s="13"/>
      <c r="Z669" s="13"/>
      <c r="AA669" s="13">
        <f t="shared" si="41"/>
        <v>-17.90462686315789</v>
      </c>
      <c r="AB669" s="13"/>
      <c r="AC669" s="34"/>
      <c r="AD669" s="34"/>
      <c r="AE669" s="34"/>
      <c r="AF669" s="34"/>
      <c r="AG669" s="34"/>
      <c r="AI669" s="35">
        <v>666</v>
      </c>
      <c r="AJ669" s="35">
        <v>95</v>
      </c>
      <c r="AK669" s="1">
        <v>73.906954389999996</v>
      </c>
      <c r="AV669" s="13">
        <f t="shared" si="42"/>
        <v>-22.203205905263157</v>
      </c>
      <c r="BD669" s="35">
        <v>666</v>
      </c>
      <c r="BE669" s="35">
        <v>95</v>
      </c>
      <c r="BF669" s="1">
        <v>74.915214309999996</v>
      </c>
      <c r="BQ669" s="13">
        <f t="shared" si="43"/>
        <v>-21.141879673684215</v>
      </c>
    </row>
    <row r="670" spans="1:69">
      <c r="A670" s="13">
        <v>667</v>
      </c>
      <c r="B670" s="13">
        <v>20</v>
      </c>
      <c r="C670" s="1">
        <v>23.006466618531999</v>
      </c>
      <c r="D670" s="13"/>
      <c r="E670" s="13"/>
      <c r="F670" s="13"/>
      <c r="G670" s="13"/>
      <c r="H670" s="13"/>
      <c r="I670" s="13"/>
      <c r="J670" s="13"/>
      <c r="K670" s="13"/>
      <c r="L670" s="13"/>
      <c r="M670" s="13">
        <f t="shared" si="40"/>
        <v>15.032333092659989</v>
      </c>
      <c r="N670" s="13"/>
      <c r="O670" s="13">
        <v>667</v>
      </c>
      <c r="P670" s="13">
        <v>20</v>
      </c>
      <c r="Q670" s="1">
        <v>12.0096131421249</v>
      </c>
      <c r="R670" s="13"/>
      <c r="S670" s="13"/>
      <c r="T670" s="13"/>
      <c r="U670" s="13"/>
      <c r="V670" s="13"/>
      <c r="W670" s="13"/>
      <c r="X670" s="13"/>
      <c r="Y670" s="13"/>
      <c r="Z670" s="13"/>
      <c r="AA670" s="13">
        <f t="shared" si="41"/>
        <v>-39.951934289375501</v>
      </c>
      <c r="AB670" s="13"/>
      <c r="AC670" s="34"/>
      <c r="AD670" s="34"/>
      <c r="AE670" s="34"/>
      <c r="AF670" s="34"/>
      <c r="AG670" s="34"/>
      <c r="AI670" s="35">
        <v>667</v>
      </c>
      <c r="AJ670" s="35">
        <v>20</v>
      </c>
      <c r="AK670" s="1">
        <v>19.701479439149001</v>
      </c>
      <c r="AV670" s="13">
        <f t="shared" si="42"/>
        <v>-1.4926028042549944</v>
      </c>
      <c r="BD670" s="35">
        <v>667</v>
      </c>
      <c r="BE670" s="35">
        <v>20</v>
      </c>
      <c r="BF670" s="1">
        <v>25.280449773878701</v>
      </c>
      <c r="BQ670" s="13">
        <f t="shared" si="43"/>
        <v>26.402248869393507</v>
      </c>
    </row>
    <row r="671" spans="1:69">
      <c r="A671" s="13">
        <v>668</v>
      </c>
      <c r="B671" s="13">
        <v>248</v>
      </c>
      <c r="C671" s="1">
        <v>171.76209359999999</v>
      </c>
      <c r="D671" s="13"/>
      <c r="E671" s="13"/>
      <c r="F671" s="13"/>
      <c r="G671" s="13"/>
      <c r="H671" s="13"/>
      <c r="I671" s="13"/>
      <c r="J671" s="13"/>
      <c r="K671" s="13"/>
      <c r="L671" s="13"/>
      <c r="M671" s="13">
        <f t="shared" si="40"/>
        <v>-30.741091290322586</v>
      </c>
      <c r="N671" s="13"/>
      <c r="O671" s="13">
        <v>668</v>
      </c>
      <c r="P671" s="13">
        <v>248</v>
      </c>
      <c r="Q671" s="1">
        <v>189.13194849999999</v>
      </c>
      <c r="R671" s="13"/>
      <c r="S671" s="13"/>
      <c r="T671" s="13"/>
      <c r="U671" s="13"/>
      <c r="V671" s="13"/>
      <c r="W671" s="13"/>
      <c r="X671" s="13"/>
      <c r="Y671" s="13"/>
      <c r="Z671" s="13"/>
      <c r="AA671" s="13">
        <f t="shared" si="41"/>
        <v>-23.737117540322583</v>
      </c>
      <c r="AB671" s="13"/>
      <c r="AC671" s="34"/>
      <c r="AD671" s="34"/>
      <c r="AE671" s="34"/>
      <c r="AF671" s="34"/>
      <c r="AG671" s="34"/>
      <c r="AI671" s="35">
        <v>668</v>
      </c>
      <c r="AJ671" s="35">
        <v>248</v>
      </c>
      <c r="AK671" s="1">
        <v>197.3185</v>
      </c>
      <c r="AV671" s="13">
        <f t="shared" si="42"/>
        <v>-20.436088709677424</v>
      </c>
      <c r="BD671" s="35">
        <v>668</v>
      </c>
      <c r="BE671" s="35">
        <v>248</v>
      </c>
      <c r="BF671" s="1">
        <v>198.06571529999999</v>
      </c>
      <c r="BQ671" s="13">
        <f t="shared" si="43"/>
        <v>-20.134792217741936</v>
      </c>
    </row>
    <row r="672" spans="1:69">
      <c r="A672" s="13">
        <v>669</v>
      </c>
      <c r="B672" s="13">
        <v>24</v>
      </c>
      <c r="C672" s="1">
        <v>21.568160938019599</v>
      </c>
      <c r="D672" s="13"/>
      <c r="E672" s="13"/>
      <c r="F672" s="13"/>
      <c r="G672" s="13"/>
      <c r="H672" s="13"/>
      <c r="I672" s="13"/>
      <c r="J672" s="13"/>
      <c r="K672" s="13"/>
      <c r="L672" s="13"/>
      <c r="M672" s="13">
        <f t="shared" si="40"/>
        <v>-10.132662758251676</v>
      </c>
      <c r="N672" s="13"/>
      <c r="O672" s="13">
        <v>669</v>
      </c>
      <c r="P672" s="13">
        <v>24</v>
      </c>
      <c r="Q672" s="1">
        <v>25.921179014357399</v>
      </c>
      <c r="R672" s="13"/>
      <c r="S672" s="13"/>
      <c r="T672" s="13"/>
      <c r="U672" s="13"/>
      <c r="V672" s="13"/>
      <c r="W672" s="13"/>
      <c r="X672" s="13"/>
      <c r="Y672" s="13"/>
      <c r="Z672" s="13"/>
      <c r="AA672" s="13">
        <f t="shared" si="41"/>
        <v>8.0049125598224968</v>
      </c>
      <c r="AB672" s="13"/>
      <c r="AC672" s="34"/>
      <c r="AD672" s="34"/>
      <c r="AE672" s="34"/>
      <c r="AF672" s="34"/>
      <c r="AG672" s="34"/>
      <c r="AI672" s="35">
        <v>669</v>
      </c>
      <c r="AJ672" s="35">
        <v>24</v>
      </c>
      <c r="AK672" s="1">
        <v>18.304672285052</v>
      </c>
      <c r="AV672" s="13">
        <f t="shared" si="42"/>
        <v>-23.730532145616667</v>
      </c>
      <c r="BD672" s="35">
        <v>669</v>
      </c>
      <c r="BE672" s="35">
        <v>24</v>
      </c>
      <c r="BF672" s="1">
        <v>21.8178107389448</v>
      </c>
      <c r="BQ672" s="13">
        <f t="shared" si="43"/>
        <v>-9.0924552543966701</v>
      </c>
    </row>
    <row r="673" spans="1:69">
      <c r="A673" s="13">
        <v>670</v>
      </c>
      <c r="B673" s="13">
        <v>51</v>
      </c>
      <c r="C673" s="1">
        <v>57.091932470000003</v>
      </c>
      <c r="D673" s="13"/>
      <c r="E673" s="13"/>
      <c r="F673" s="13"/>
      <c r="G673" s="13"/>
      <c r="H673" s="13"/>
      <c r="I673" s="13"/>
      <c r="J673" s="13"/>
      <c r="K673" s="13"/>
      <c r="L673" s="13"/>
      <c r="M673" s="13">
        <f t="shared" si="40"/>
        <v>11.944965627450976</v>
      </c>
      <c r="N673" s="13"/>
      <c r="O673" s="13">
        <v>670</v>
      </c>
      <c r="P673" s="13">
        <v>51</v>
      </c>
      <c r="Q673" s="1">
        <v>39.058903030000003</v>
      </c>
      <c r="R673" s="13"/>
      <c r="S673" s="13"/>
      <c r="T673" s="13"/>
      <c r="U673" s="13"/>
      <c r="V673" s="13"/>
      <c r="W673" s="13"/>
      <c r="X673" s="13"/>
      <c r="Y673" s="13"/>
      <c r="Z673" s="13"/>
      <c r="AA673" s="13">
        <f t="shared" si="41"/>
        <v>-23.413915627450976</v>
      </c>
      <c r="AB673" s="13"/>
      <c r="AC673" s="34"/>
      <c r="AD673" s="34"/>
      <c r="AE673" s="34"/>
      <c r="AF673" s="34"/>
      <c r="AG673" s="34"/>
      <c r="AI673" s="35">
        <v>670</v>
      </c>
      <c r="AJ673" s="35">
        <v>51</v>
      </c>
      <c r="AK673" s="1">
        <v>66.584227327212304</v>
      </c>
      <c r="AV673" s="13">
        <f t="shared" si="42"/>
        <v>30.557308484730015</v>
      </c>
      <c r="BD673" s="35">
        <v>670</v>
      </c>
      <c r="BE673" s="35">
        <v>51</v>
      </c>
      <c r="BF673" s="1">
        <v>33.30021103</v>
      </c>
      <c r="BQ673" s="13">
        <f t="shared" si="43"/>
        <v>-34.705468568627452</v>
      </c>
    </row>
    <row r="674" spans="1:69">
      <c r="A674" s="13">
        <v>671</v>
      </c>
      <c r="B674" s="13">
        <v>97</v>
      </c>
      <c r="C674" s="1">
        <v>86.944996939999996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>
        <f t="shared" si="40"/>
        <v>-10.365982536082473</v>
      </c>
      <c r="N674" s="13"/>
      <c r="O674" s="13">
        <v>671</v>
      </c>
      <c r="P674" s="13">
        <v>97</v>
      </c>
      <c r="Q674" s="1">
        <v>77.839859469999993</v>
      </c>
      <c r="R674" s="13"/>
      <c r="S674" s="13"/>
      <c r="T674" s="13"/>
      <c r="U674" s="13"/>
      <c r="V674" s="13"/>
      <c r="W674" s="13"/>
      <c r="X674" s="13"/>
      <c r="Y674" s="13"/>
      <c r="Z674" s="13"/>
      <c r="AA674" s="13">
        <f t="shared" si="41"/>
        <v>-19.752722195876295</v>
      </c>
      <c r="AB674" s="13"/>
      <c r="AC674" s="34"/>
      <c r="AD674" s="34"/>
      <c r="AE674" s="34"/>
      <c r="AF674" s="34"/>
      <c r="AG674" s="34"/>
      <c r="AI674" s="35">
        <v>671</v>
      </c>
      <c r="AJ674" s="35">
        <v>97</v>
      </c>
      <c r="AK674" s="1">
        <v>71.514998649999995</v>
      </c>
      <c r="AV674" s="13">
        <f t="shared" si="42"/>
        <v>-26.273197268041237</v>
      </c>
      <c r="BD674" s="35">
        <v>671</v>
      </c>
      <c r="BE674" s="35">
        <v>97</v>
      </c>
      <c r="BF674" s="1">
        <v>75.955785160000005</v>
      </c>
      <c r="BQ674" s="13">
        <f t="shared" si="43"/>
        <v>-21.69506684536082</v>
      </c>
    </row>
    <row r="675" spans="1:69">
      <c r="A675" s="13">
        <v>672</v>
      </c>
      <c r="B675" s="13">
        <v>152</v>
      </c>
      <c r="C675" s="1">
        <v>135.88845649999999</v>
      </c>
      <c r="D675" s="13"/>
      <c r="E675" s="13"/>
      <c r="F675" s="13"/>
      <c r="G675" s="13"/>
      <c r="H675" s="13"/>
      <c r="I675" s="13"/>
      <c r="J675" s="13"/>
      <c r="K675" s="13"/>
      <c r="L675" s="13"/>
      <c r="M675" s="13">
        <f t="shared" si="40"/>
        <v>-10.599699671052642</v>
      </c>
      <c r="N675" s="13"/>
      <c r="O675" s="13">
        <v>672</v>
      </c>
      <c r="P675" s="13">
        <v>152</v>
      </c>
      <c r="Q675" s="1">
        <v>139.5721882</v>
      </c>
      <c r="R675" s="13"/>
      <c r="S675" s="13"/>
      <c r="T675" s="13"/>
      <c r="U675" s="13"/>
      <c r="V675" s="13"/>
      <c r="W675" s="13"/>
      <c r="X675" s="13"/>
      <c r="Y675" s="13"/>
      <c r="Z675" s="13"/>
      <c r="AA675" s="13">
        <f t="shared" si="41"/>
        <v>-8.1761919736842099</v>
      </c>
      <c r="AB675" s="13"/>
      <c r="AC675" s="34"/>
      <c r="AD675" s="34"/>
      <c r="AE675" s="34"/>
      <c r="AF675" s="34"/>
      <c r="AG675" s="34"/>
      <c r="AI675" s="35">
        <v>672</v>
      </c>
      <c r="AJ675" s="35">
        <v>152</v>
      </c>
      <c r="AK675" s="1">
        <v>145.76181249999999</v>
      </c>
      <c r="AV675" s="13">
        <f t="shared" si="42"/>
        <v>-4.1040707236842167</v>
      </c>
      <c r="BD675" s="35">
        <v>672</v>
      </c>
      <c r="BE675" s="35">
        <v>152</v>
      </c>
      <c r="BF675" s="1">
        <v>146.12268560000001</v>
      </c>
      <c r="BQ675" s="13">
        <f t="shared" si="43"/>
        <v>-3.8666542105263102</v>
      </c>
    </row>
    <row r="676" spans="1:69">
      <c r="A676" s="13">
        <v>673</v>
      </c>
      <c r="B676" s="13">
        <v>5</v>
      </c>
      <c r="C676" s="1">
        <v>5.0974071750515604</v>
      </c>
      <c r="D676" s="13"/>
      <c r="E676" s="13"/>
      <c r="F676" s="13"/>
      <c r="G676" s="13"/>
      <c r="H676" s="13"/>
      <c r="I676" s="13"/>
      <c r="J676" s="13"/>
      <c r="K676" s="13"/>
      <c r="L676" s="13"/>
      <c r="M676" s="13">
        <f t="shared" si="40"/>
        <v>1.9481435010312076</v>
      </c>
      <c r="N676" s="13"/>
      <c r="O676" s="13">
        <v>673</v>
      </c>
      <c r="P676" s="13">
        <v>5</v>
      </c>
      <c r="Q676" s="1">
        <v>3.7417466457305402</v>
      </c>
      <c r="R676" s="13"/>
      <c r="S676" s="13"/>
      <c r="T676" s="13"/>
      <c r="U676" s="13"/>
      <c r="V676" s="13"/>
      <c r="W676" s="13"/>
      <c r="X676" s="13"/>
      <c r="Y676" s="13"/>
      <c r="Z676" s="13"/>
      <c r="AA676" s="13">
        <f t="shared" si="41"/>
        <v>-25.165067085389193</v>
      </c>
      <c r="AB676" s="13"/>
      <c r="AC676" s="34"/>
      <c r="AD676" s="34"/>
      <c r="AE676" s="34"/>
      <c r="AF676" s="34"/>
      <c r="AG676" s="34"/>
      <c r="AI676" s="35">
        <v>673</v>
      </c>
      <c r="AJ676" s="35">
        <v>5</v>
      </c>
      <c r="AK676" s="1">
        <v>4.9406656589744404</v>
      </c>
      <c r="AV676" s="13">
        <f t="shared" si="42"/>
        <v>-1.1866868205111958</v>
      </c>
      <c r="BD676" s="35">
        <v>673</v>
      </c>
      <c r="BE676" s="35">
        <v>5</v>
      </c>
      <c r="BF676" s="1">
        <v>5.9337468170903396</v>
      </c>
      <c r="BQ676" s="13">
        <f t="shared" si="43"/>
        <v>18.674936341806792</v>
      </c>
    </row>
    <row r="677" spans="1:69">
      <c r="A677" s="13">
        <v>674</v>
      </c>
      <c r="B677" s="13">
        <v>51</v>
      </c>
      <c r="C677" s="1">
        <v>78.000217590000005</v>
      </c>
      <c r="D677" s="13"/>
      <c r="E677" s="13"/>
      <c r="F677" s="13"/>
      <c r="G677" s="13"/>
      <c r="H677" s="13"/>
      <c r="I677" s="13"/>
      <c r="J677" s="13"/>
      <c r="K677" s="13"/>
      <c r="L677" s="13"/>
      <c r="M677" s="13">
        <f t="shared" si="40"/>
        <v>52.941603117647063</v>
      </c>
      <c r="N677" s="13"/>
      <c r="O677" s="13">
        <v>674</v>
      </c>
      <c r="P677" s="13">
        <v>51</v>
      </c>
      <c r="Q677" s="1">
        <v>65.008449909999996</v>
      </c>
      <c r="R677" s="13"/>
      <c r="S677" s="13"/>
      <c r="T677" s="13"/>
      <c r="U677" s="13"/>
      <c r="V677" s="13"/>
      <c r="W677" s="13"/>
      <c r="X677" s="13"/>
      <c r="Y677" s="13"/>
      <c r="Z677" s="13"/>
      <c r="AA677" s="13">
        <f t="shared" si="41"/>
        <v>27.467548843137244</v>
      </c>
      <c r="AB677" s="13"/>
      <c r="AC677" s="34"/>
      <c r="AD677" s="34"/>
      <c r="AE677" s="34"/>
      <c r="AF677" s="34"/>
      <c r="AG677" s="34"/>
      <c r="AI677" s="35">
        <v>674</v>
      </c>
      <c r="AJ677" s="35">
        <v>51</v>
      </c>
      <c r="AK677" s="1">
        <v>59.571199100000001</v>
      </c>
      <c r="AV677" s="13">
        <f t="shared" si="42"/>
        <v>16.806272745098049</v>
      </c>
      <c r="BD677" s="35">
        <v>674</v>
      </c>
      <c r="BE677" s="35">
        <v>51</v>
      </c>
      <c r="BF677" s="1">
        <v>61.24971489</v>
      </c>
      <c r="BQ677" s="13">
        <f t="shared" si="43"/>
        <v>20.097480176470594</v>
      </c>
    </row>
    <row r="678" spans="1:69">
      <c r="A678" s="13">
        <v>675</v>
      </c>
      <c r="B678" s="13">
        <v>249</v>
      </c>
      <c r="C678" s="1">
        <v>178.411494</v>
      </c>
      <c r="D678" s="13"/>
      <c r="E678" s="13"/>
      <c r="F678" s="13"/>
      <c r="G678" s="13"/>
      <c r="H678" s="13"/>
      <c r="I678" s="13"/>
      <c r="J678" s="13"/>
      <c r="K678" s="13"/>
      <c r="L678" s="13"/>
      <c r="M678" s="13">
        <f t="shared" ref="M678:M682" si="44">((C678/B678)-1)*100</f>
        <v>-28.348797590361443</v>
      </c>
      <c r="N678" s="13"/>
      <c r="O678" s="13">
        <v>675</v>
      </c>
      <c r="P678" s="13">
        <v>249</v>
      </c>
      <c r="Q678" s="1">
        <v>198.41974070000001</v>
      </c>
      <c r="R678" s="13"/>
      <c r="S678" s="13"/>
      <c r="T678" s="13"/>
      <c r="U678" s="13"/>
      <c r="V678" s="13"/>
      <c r="W678" s="13"/>
      <c r="X678" s="13"/>
      <c r="Y678" s="13"/>
      <c r="Z678" s="13"/>
      <c r="AA678" s="13">
        <f t="shared" si="41"/>
        <v>-20.313357148594381</v>
      </c>
      <c r="AB678" s="13"/>
      <c r="AC678" s="34"/>
      <c r="AD678" s="34"/>
      <c r="AE678" s="34"/>
      <c r="AF678" s="34"/>
      <c r="AG678" s="34"/>
      <c r="AI678" s="35">
        <v>675</v>
      </c>
      <c r="AJ678" s="35">
        <v>249</v>
      </c>
      <c r="AK678" s="1">
        <v>208.15985280000001</v>
      </c>
      <c r="AV678" s="13">
        <f t="shared" si="42"/>
        <v>-16.401665542168676</v>
      </c>
      <c r="BD678" s="35">
        <v>675</v>
      </c>
      <c r="BE678" s="35">
        <v>249</v>
      </c>
      <c r="BF678" s="1">
        <v>206.38109829999999</v>
      </c>
      <c r="BQ678" s="13">
        <f t="shared" si="43"/>
        <v>-17.116024779116469</v>
      </c>
    </row>
    <row r="679" spans="1:69">
      <c r="A679" s="13">
        <v>676</v>
      </c>
      <c r="B679" s="13">
        <v>57</v>
      </c>
      <c r="C679" s="1">
        <v>82.411284199999997</v>
      </c>
      <c r="D679" s="13"/>
      <c r="E679" s="13"/>
      <c r="F679" s="13"/>
      <c r="G679" s="13"/>
      <c r="H679" s="13"/>
      <c r="I679" s="13"/>
      <c r="J679" s="13"/>
      <c r="K679" s="13"/>
      <c r="L679" s="13"/>
      <c r="M679" s="13">
        <f t="shared" si="44"/>
        <v>44.581200350877182</v>
      </c>
      <c r="N679" s="13"/>
      <c r="O679" s="13">
        <v>676</v>
      </c>
      <c r="P679" s="13">
        <v>57</v>
      </c>
      <c r="Q679" s="1">
        <v>68.989920470000001</v>
      </c>
      <c r="R679" s="13"/>
      <c r="S679" s="13"/>
      <c r="T679" s="13"/>
      <c r="U679" s="13"/>
      <c r="V679" s="13"/>
      <c r="W679" s="13"/>
      <c r="X679" s="13"/>
      <c r="Y679" s="13"/>
      <c r="Z679" s="13"/>
      <c r="AA679" s="13">
        <f t="shared" si="41"/>
        <v>21.034948192982462</v>
      </c>
      <c r="AB679" s="13"/>
      <c r="AC679" s="34"/>
      <c r="AD679" s="34"/>
      <c r="AE679" s="34"/>
      <c r="AF679" s="34"/>
      <c r="AG679" s="34"/>
      <c r="AI679" s="35">
        <v>676</v>
      </c>
      <c r="AJ679" s="35">
        <v>57</v>
      </c>
      <c r="AK679" s="1">
        <v>61.409508950000003</v>
      </c>
      <c r="AV679" s="13">
        <f t="shared" si="42"/>
        <v>7.7359806140350873</v>
      </c>
      <c r="BD679" s="35">
        <v>676</v>
      </c>
      <c r="BE679" s="35">
        <v>57</v>
      </c>
      <c r="BF679" s="1">
        <v>66.735206109999993</v>
      </c>
      <c r="BQ679" s="13">
        <f t="shared" si="43"/>
        <v>17.079308964912276</v>
      </c>
    </row>
    <row r="680" spans="1:69">
      <c r="A680" s="13">
        <v>677</v>
      </c>
      <c r="B680" s="13">
        <v>120</v>
      </c>
      <c r="C680" s="1">
        <v>131.428516</v>
      </c>
      <c r="D680" s="13"/>
      <c r="E680" s="13"/>
      <c r="F680" s="13"/>
      <c r="G680" s="13"/>
      <c r="H680" s="13"/>
      <c r="I680" s="13"/>
      <c r="J680" s="13"/>
      <c r="K680" s="13"/>
      <c r="L680" s="13"/>
      <c r="M680" s="13">
        <f t="shared" si="44"/>
        <v>9.5237633333333349</v>
      </c>
      <c r="N680" s="13"/>
      <c r="O680" s="13">
        <v>677</v>
      </c>
      <c r="P680" s="13">
        <v>120</v>
      </c>
      <c r="Q680" s="1">
        <v>134.6557809</v>
      </c>
      <c r="R680" s="13"/>
      <c r="S680" s="13"/>
      <c r="T680" s="13"/>
      <c r="U680" s="13"/>
      <c r="V680" s="13"/>
      <c r="W680" s="13"/>
      <c r="X680" s="13"/>
      <c r="Y680" s="13"/>
      <c r="Z680" s="13"/>
      <c r="AA680" s="13">
        <f t="shared" si="41"/>
        <v>12.21315075</v>
      </c>
      <c r="AB680" s="13"/>
      <c r="AC680" s="34"/>
      <c r="AD680" s="34"/>
      <c r="AE680" s="34"/>
      <c r="AF680" s="34"/>
      <c r="AG680" s="34"/>
      <c r="AI680" s="35">
        <v>677</v>
      </c>
      <c r="AJ680" s="35">
        <v>120</v>
      </c>
      <c r="AK680" s="1">
        <v>137.88601600000001</v>
      </c>
      <c r="AV680" s="13">
        <f t="shared" si="42"/>
        <v>14.90501333333334</v>
      </c>
      <c r="BD680" s="35">
        <v>677</v>
      </c>
      <c r="BE680" s="35">
        <v>120</v>
      </c>
      <c r="BF680" s="1">
        <v>137.5665425</v>
      </c>
      <c r="BQ680" s="13">
        <f t="shared" si="43"/>
        <v>14.638785416666655</v>
      </c>
    </row>
    <row r="681" spans="1:69">
      <c r="A681" s="13">
        <v>678</v>
      </c>
      <c r="B681" s="13">
        <v>26</v>
      </c>
      <c r="C681" s="1">
        <v>27.446118072760498</v>
      </c>
      <c r="D681" s="13"/>
      <c r="E681" s="13"/>
      <c r="F681" s="13"/>
      <c r="G681" s="13"/>
      <c r="H681" s="13"/>
      <c r="I681" s="13"/>
      <c r="J681" s="13"/>
      <c r="K681" s="13"/>
      <c r="L681" s="13"/>
      <c r="M681" s="13">
        <f t="shared" si="44"/>
        <v>5.5619925875403764</v>
      </c>
      <c r="N681" s="13"/>
      <c r="O681" s="13">
        <v>678</v>
      </c>
      <c r="P681" s="13">
        <v>26</v>
      </c>
      <c r="Q681" s="1">
        <v>26.234661706153201</v>
      </c>
      <c r="R681" s="13"/>
      <c r="S681" s="13"/>
      <c r="T681" s="13"/>
      <c r="U681" s="13"/>
      <c r="V681" s="13"/>
      <c r="W681" s="13"/>
      <c r="X681" s="13"/>
      <c r="Y681" s="13"/>
      <c r="Z681" s="13"/>
      <c r="AA681" s="13">
        <f t="shared" si="41"/>
        <v>0.90254502366615696</v>
      </c>
      <c r="AB681" s="13"/>
      <c r="AC681" s="34"/>
      <c r="AD681" s="34"/>
      <c r="AE681" s="34"/>
      <c r="AF681" s="34"/>
      <c r="AG681" s="34"/>
      <c r="AI681" s="35">
        <v>678</v>
      </c>
      <c r="AJ681" s="35">
        <v>26</v>
      </c>
      <c r="AK681" s="1">
        <v>22.172581163957201</v>
      </c>
      <c r="AV681" s="13">
        <f t="shared" si="42"/>
        <v>-14.720841677087693</v>
      </c>
      <c r="BD681" s="35">
        <v>678</v>
      </c>
      <c r="BE681" s="35">
        <v>26</v>
      </c>
      <c r="BF681" s="1">
        <v>19.126236073066799</v>
      </c>
      <c r="BQ681" s="13">
        <f t="shared" si="43"/>
        <v>-26.437553565127693</v>
      </c>
    </row>
    <row r="682" spans="1:69">
      <c r="A682" s="13">
        <v>679</v>
      </c>
      <c r="B682" s="13">
        <v>26</v>
      </c>
      <c r="C682" s="1">
        <v>16.182424812156999</v>
      </c>
      <c r="D682" s="13"/>
      <c r="E682" s="13"/>
      <c r="F682" s="13"/>
      <c r="G682" s="13"/>
      <c r="H682" s="13"/>
      <c r="I682" s="13"/>
      <c r="J682" s="13"/>
      <c r="K682" s="13"/>
      <c r="L682" s="13"/>
      <c r="M682" s="13">
        <f t="shared" si="44"/>
        <v>-37.759904568626922</v>
      </c>
      <c r="N682" s="13"/>
      <c r="O682" s="13">
        <v>679</v>
      </c>
      <c r="P682" s="13">
        <v>26</v>
      </c>
      <c r="Q682" s="1">
        <v>30.602516230131801</v>
      </c>
      <c r="R682" s="13"/>
      <c r="S682" s="13"/>
      <c r="T682" s="13"/>
      <c r="U682" s="13"/>
      <c r="V682" s="13"/>
      <c r="W682" s="13"/>
      <c r="X682" s="13"/>
      <c r="Y682" s="13"/>
      <c r="Z682" s="13"/>
      <c r="AA682" s="13">
        <f t="shared" si="41"/>
        <v>17.701985500506922</v>
      </c>
      <c r="AB682" s="13"/>
      <c r="AC682" s="34"/>
      <c r="AD682" s="34"/>
      <c r="AE682" s="34"/>
      <c r="AF682" s="34"/>
      <c r="AG682" s="34"/>
      <c r="AI682" s="35">
        <v>679</v>
      </c>
      <c r="AJ682" s="35">
        <v>26</v>
      </c>
      <c r="AK682" s="1">
        <v>25.914722892247799</v>
      </c>
      <c r="AV682" s="13">
        <f t="shared" si="42"/>
        <v>-0.32798887597000892</v>
      </c>
      <c r="BD682" s="35">
        <v>679</v>
      </c>
      <c r="BE682" s="35">
        <v>26</v>
      </c>
      <c r="BF682" s="1">
        <v>28.4944407485163</v>
      </c>
      <c r="BQ682" s="13">
        <f t="shared" si="43"/>
        <v>9.5940028789088583</v>
      </c>
    </row>
  </sheetData>
  <mergeCells count="4">
    <mergeCell ref="A1:M1"/>
    <mergeCell ref="O1:AG1"/>
    <mergeCell ref="AI1:BB1"/>
    <mergeCell ref="BD1:BX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682"/>
  <sheetViews>
    <sheetView topLeftCell="AW1" zoomScale="70" zoomScaleNormal="70" workbookViewId="0">
      <selection activeCell="BP27" sqref="BP27"/>
    </sheetView>
  </sheetViews>
  <sheetFormatPr defaultRowHeight="14.25"/>
  <cols>
    <col min="1" max="16384" width="9" style="13"/>
  </cols>
  <sheetData>
    <row r="1" spans="1:75" ht="15">
      <c r="A1" s="38" t="s">
        <v>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O1" s="38" t="s">
        <v>52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I1" s="38" t="s">
        <v>53</v>
      </c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D1" s="38" t="s">
        <v>54</v>
      </c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</row>
    <row r="2" spans="1:75" ht="15">
      <c r="A2" s="14"/>
      <c r="B2" s="14" t="s">
        <v>37</v>
      </c>
      <c r="C2" s="1" t="s">
        <v>38</v>
      </c>
      <c r="D2" s="15" t="s">
        <v>39</v>
      </c>
      <c r="E2" s="15" t="s">
        <v>40</v>
      </c>
      <c r="F2" s="15"/>
      <c r="G2" s="15" t="s">
        <v>41</v>
      </c>
      <c r="H2" s="14" t="s">
        <v>29</v>
      </c>
      <c r="I2" s="14" t="s">
        <v>30</v>
      </c>
      <c r="J2" s="14" t="s">
        <v>60</v>
      </c>
      <c r="K2" s="14" t="s">
        <v>61</v>
      </c>
      <c r="L2" s="15" t="s">
        <v>62</v>
      </c>
      <c r="M2" s="15" t="s">
        <v>44</v>
      </c>
      <c r="O2" s="14"/>
      <c r="P2" s="14" t="s">
        <v>37</v>
      </c>
      <c r="Q2" s="15" t="s">
        <v>38</v>
      </c>
      <c r="R2" s="15" t="s">
        <v>39</v>
      </c>
      <c r="S2" s="15" t="s">
        <v>40</v>
      </c>
      <c r="T2" s="15"/>
      <c r="U2" s="14" t="s">
        <v>41</v>
      </c>
      <c r="V2" s="14" t="s">
        <v>29</v>
      </c>
      <c r="W2" s="14" t="s">
        <v>30</v>
      </c>
      <c r="X2" s="14" t="s">
        <v>60</v>
      </c>
      <c r="Y2" s="15" t="s">
        <v>61</v>
      </c>
      <c r="Z2" s="15" t="s">
        <v>62</v>
      </c>
      <c r="AA2" s="15" t="s">
        <v>44</v>
      </c>
      <c r="AB2" s="14">
        <v>0</v>
      </c>
      <c r="AC2" s="14" t="s">
        <v>56</v>
      </c>
      <c r="AD2" s="14" t="s">
        <v>55</v>
      </c>
      <c r="AE2" s="14" t="s">
        <v>57</v>
      </c>
      <c r="AF2" s="14" t="s">
        <v>58</v>
      </c>
      <c r="AG2" s="14" t="s">
        <v>59</v>
      </c>
      <c r="AI2" s="14"/>
      <c r="AJ2" s="14" t="s">
        <v>37</v>
      </c>
      <c r="AK2" s="15" t="s">
        <v>38</v>
      </c>
      <c r="AL2" s="15" t="s">
        <v>39</v>
      </c>
      <c r="AM2" s="15" t="s">
        <v>40</v>
      </c>
      <c r="AN2" s="15"/>
      <c r="AO2" s="15"/>
      <c r="AP2" s="15" t="s">
        <v>41</v>
      </c>
      <c r="AQ2" s="14" t="s">
        <v>29</v>
      </c>
      <c r="AR2" s="14" t="s">
        <v>30</v>
      </c>
      <c r="AS2" s="14" t="s">
        <v>60</v>
      </c>
      <c r="AT2" s="14" t="s">
        <v>61</v>
      </c>
      <c r="AU2" s="15" t="s">
        <v>62</v>
      </c>
      <c r="AV2" s="15" t="s">
        <v>44</v>
      </c>
      <c r="AW2" s="14">
        <v>0</v>
      </c>
      <c r="AX2" s="14" t="s">
        <v>56</v>
      </c>
      <c r="AY2" s="14" t="s">
        <v>55</v>
      </c>
      <c r="AZ2" s="14" t="s">
        <v>57</v>
      </c>
      <c r="BA2" s="14" t="s">
        <v>58</v>
      </c>
      <c r="BB2" s="14" t="s">
        <v>59</v>
      </c>
      <c r="BD2" s="14"/>
      <c r="BE2" s="14" t="s">
        <v>37</v>
      </c>
      <c r="BF2" s="15" t="s">
        <v>38</v>
      </c>
      <c r="BG2" s="15" t="s">
        <v>39</v>
      </c>
      <c r="BH2" s="15" t="s">
        <v>40</v>
      </c>
      <c r="BI2" s="15"/>
      <c r="BJ2" s="15"/>
      <c r="BK2" s="15" t="s">
        <v>41</v>
      </c>
      <c r="BL2" s="14" t="s">
        <v>29</v>
      </c>
      <c r="BM2" s="14" t="s">
        <v>30</v>
      </c>
      <c r="BN2" s="14" t="s">
        <v>60</v>
      </c>
      <c r="BO2" s="14" t="s">
        <v>61</v>
      </c>
      <c r="BP2" s="15" t="s">
        <v>62</v>
      </c>
      <c r="BQ2" s="15" t="s">
        <v>44</v>
      </c>
      <c r="BR2" s="14">
        <v>0</v>
      </c>
      <c r="BS2" s="14" t="s">
        <v>56</v>
      </c>
      <c r="BT2" s="14" t="s">
        <v>55</v>
      </c>
      <c r="BU2" s="14" t="s">
        <v>57</v>
      </c>
      <c r="BV2" s="14" t="s">
        <v>58</v>
      </c>
      <c r="BW2" s="14" t="s">
        <v>59</v>
      </c>
    </row>
    <row r="3" spans="1:75" ht="15">
      <c r="A3" s="16">
        <v>0</v>
      </c>
      <c r="B3" s="13">
        <v>1</v>
      </c>
      <c r="C3" s="17">
        <v>1.4241910611533</v>
      </c>
      <c r="D3" s="25" t="s">
        <v>56</v>
      </c>
      <c r="E3" s="13">
        <v>1E-4</v>
      </c>
      <c r="G3" s="19" t="s">
        <v>47</v>
      </c>
      <c r="H3" s="13">
        <v>0.93476764199427897</v>
      </c>
      <c r="I3" s="13">
        <v>16.997951796244699</v>
      </c>
      <c r="J3" s="13">
        <v>0.21459268209517701</v>
      </c>
      <c r="K3" s="13">
        <v>30.960577149999999</v>
      </c>
      <c r="L3" s="13">
        <v>13.9868057332296</v>
      </c>
      <c r="M3" s="13">
        <f t="shared" ref="M3:M37" si="0">((C3/B3)-1)*100</f>
        <v>42.419106115329996</v>
      </c>
      <c r="O3" s="16">
        <v>0</v>
      </c>
      <c r="P3" s="13">
        <v>1</v>
      </c>
      <c r="Q3" s="17">
        <v>0.96371390631900899</v>
      </c>
      <c r="R3" s="18" t="s">
        <v>56</v>
      </c>
      <c r="S3" s="13">
        <v>9.1000000000000004E-3</v>
      </c>
      <c r="U3" s="15" t="s">
        <v>47</v>
      </c>
      <c r="V3" s="13">
        <v>0.92390350271895505</v>
      </c>
      <c r="W3" s="13">
        <v>18.3589309262453</v>
      </c>
      <c r="X3" s="13">
        <v>0.22976454017020001</v>
      </c>
      <c r="Y3" s="13">
        <v>36.429886664999998</v>
      </c>
      <c r="Z3" s="13">
        <v>14.67864744581</v>
      </c>
      <c r="AA3" s="13">
        <f t="shared" ref="AA3:AA66" si="1">((Q3/P3)-1)*100</f>
        <v>-3.6286093680991005</v>
      </c>
      <c r="AB3" s="36">
        <v>0.43318522354336197</v>
      </c>
      <c r="AC3" s="23">
        <v>0.25205700050046476</v>
      </c>
      <c r="AD3" s="23">
        <v>0.82348746863096078</v>
      </c>
      <c r="AE3" s="23">
        <v>1342</v>
      </c>
      <c r="AF3" s="23">
        <v>2.3861617623616581E-3</v>
      </c>
      <c r="AG3" s="23">
        <v>1</v>
      </c>
      <c r="AI3" s="16">
        <v>0</v>
      </c>
      <c r="AJ3" s="13">
        <v>1</v>
      </c>
      <c r="AK3" s="17">
        <v>1.03508939168463</v>
      </c>
      <c r="AL3" s="18" t="s">
        <v>56</v>
      </c>
      <c r="AM3" s="13">
        <v>5.4000000000000003E-3</v>
      </c>
      <c r="AP3" s="1" t="s">
        <v>47</v>
      </c>
      <c r="AQ3" s="13">
        <v>0.99699326551238598</v>
      </c>
      <c r="AR3" s="13">
        <v>3.64932543469049</v>
      </c>
      <c r="AS3" s="13">
        <v>4.7902823509451201E-2</v>
      </c>
      <c r="AT3" s="13">
        <v>6.2903340949999897</v>
      </c>
      <c r="AU3" s="13">
        <v>3.9912153138399198</v>
      </c>
      <c r="AV3" s="13">
        <f t="shared" ref="AV3:AV66" si="2">((AK3/AJ3)-1)*100</f>
        <v>3.5089391684629989</v>
      </c>
      <c r="AW3" s="36">
        <v>0.110444585399888</v>
      </c>
      <c r="AX3" s="13">
        <v>8.5882334924095666E-2</v>
      </c>
      <c r="AY3" s="13">
        <v>0.85002738366456787</v>
      </c>
      <c r="AZ3" s="13">
        <v>843</v>
      </c>
      <c r="BA3" s="13">
        <v>6.0838067590586672E-3</v>
      </c>
      <c r="BB3" s="13">
        <v>0</v>
      </c>
      <c r="BD3" s="16">
        <v>0</v>
      </c>
      <c r="BE3" s="13">
        <v>1</v>
      </c>
      <c r="BF3" s="17">
        <v>1.2779159317392601</v>
      </c>
      <c r="BG3" s="18" t="s">
        <v>56</v>
      </c>
      <c r="BH3" s="13">
        <v>7.7999999999999996E-3</v>
      </c>
      <c r="BK3" s="1" t="s">
        <v>47</v>
      </c>
      <c r="BL3" s="13">
        <v>0.98798019132901505</v>
      </c>
      <c r="BM3" s="13">
        <v>7.29648731638712</v>
      </c>
      <c r="BN3" s="13">
        <v>9.3182240708184996E-2</v>
      </c>
      <c r="BO3" s="13">
        <v>12.7828774825</v>
      </c>
      <c r="BP3" s="13">
        <v>6.7620623563152398</v>
      </c>
      <c r="BQ3" s="13">
        <f>((BF3/BE3)-1)*100</f>
        <v>27.79159317392601</v>
      </c>
      <c r="BR3" s="36">
        <v>0.21693245328375599</v>
      </c>
      <c r="BS3" s="13">
        <v>0.78948143164587326</v>
      </c>
      <c r="BT3" s="13">
        <v>1.5752027950238258E-2</v>
      </c>
      <c r="BU3" s="13">
        <v>577</v>
      </c>
      <c r="BV3" s="13">
        <v>2.3696911949889622E-3</v>
      </c>
      <c r="BW3" s="13">
        <v>1</v>
      </c>
    </row>
    <row r="4" spans="1:75" ht="15">
      <c r="A4" s="16">
        <v>1</v>
      </c>
      <c r="B4" s="13">
        <v>231</v>
      </c>
      <c r="C4" s="17">
        <v>199.61076610000001</v>
      </c>
      <c r="D4" s="25" t="s">
        <v>55</v>
      </c>
      <c r="E4" s="13">
        <v>0.5</v>
      </c>
      <c r="G4" s="19" t="s">
        <v>48</v>
      </c>
      <c r="H4" s="13">
        <v>0.93283308540356003</v>
      </c>
      <c r="I4" s="13">
        <v>17.566055327312299</v>
      </c>
      <c r="J4" s="13">
        <v>0.220118116091095</v>
      </c>
      <c r="K4" s="13">
        <v>31.005229299499899</v>
      </c>
      <c r="L4" s="13">
        <v>14.576224283514801</v>
      </c>
      <c r="M4" s="13">
        <f t="shared" si="0"/>
        <v>-13.588412943722938</v>
      </c>
      <c r="O4" s="16">
        <v>1</v>
      </c>
      <c r="P4" s="13">
        <v>231</v>
      </c>
      <c r="Q4" s="17">
        <v>194.6260661</v>
      </c>
      <c r="R4" s="18" t="s">
        <v>55</v>
      </c>
      <c r="S4" s="13">
        <v>0.31</v>
      </c>
      <c r="U4" s="15" t="s">
        <v>48</v>
      </c>
      <c r="V4" s="13">
        <v>0.92086374656939396</v>
      </c>
      <c r="W4" s="13">
        <v>19.0670844289419</v>
      </c>
      <c r="X4" s="13">
        <v>0.23581564445987799</v>
      </c>
      <c r="Y4" s="13">
        <v>36.696917210000002</v>
      </c>
      <c r="Z4" s="13">
        <v>15.2879633325364</v>
      </c>
      <c r="AA4" s="13">
        <f t="shared" si="1"/>
        <v>-15.746291731601737</v>
      </c>
      <c r="AB4" s="36">
        <v>0.43318522354336197</v>
      </c>
      <c r="AC4" s="23">
        <v>0.65121087512289888</v>
      </c>
      <c r="AD4" s="23">
        <v>0.81851837173118369</v>
      </c>
      <c r="AE4" s="23">
        <v>1060</v>
      </c>
      <c r="AF4" s="23">
        <v>7.1676118693487084E-3</v>
      </c>
      <c r="AG4" s="23">
        <v>0</v>
      </c>
      <c r="AI4" s="16">
        <v>1</v>
      </c>
      <c r="AJ4" s="13">
        <v>231</v>
      </c>
      <c r="AK4" s="17">
        <v>224.9341532</v>
      </c>
      <c r="AL4" s="18" t="s">
        <v>55</v>
      </c>
      <c r="AM4" s="13">
        <v>0.63</v>
      </c>
      <c r="AP4" s="1" t="s">
        <v>48</v>
      </c>
      <c r="AQ4" s="13">
        <v>0.99690589311660605</v>
      </c>
      <c r="AR4" s="13">
        <v>3.77019838333598</v>
      </c>
      <c r="AS4" s="13">
        <v>4.9145112112197201E-2</v>
      </c>
      <c r="AT4" s="13">
        <v>6.3044436699999897</v>
      </c>
      <c r="AU4" s="13">
        <v>4.1422857263666</v>
      </c>
      <c r="AV4" s="13">
        <f t="shared" si="2"/>
        <v>-2.6259077056277058</v>
      </c>
      <c r="AW4" s="36">
        <v>0.110444585399888</v>
      </c>
      <c r="AX4" s="13">
        <v>0.41190716969415658</v>
      </c>
      <c r="AY4" s="13">
        <v>0.55271013253449452</v>
      </c>
      <c r="AZ4" s="13">
        <v>1544</v>
      </c>
      <c r="BA4" s="13">
        <v>9.1074729221778793E-3</v>
      </c>
      <c r="BB4" s="13">
        <v>1</v>
      </c>
      <c r="BD4" s="16">
        <v>1</v>
      </c>
      <c r="BE4" s="13">
        <v>231</v>
      </c>
      <c r="BF4" s="17">
        <v>217.77610849999999</v>
      </c>
      <c r="BG4" s="18" t="s">
        <v>55</v>
      </c>
      <c r="BH4" s="13">
        <v>0.42</v>
      </c>
      <c r="BK4" s="1" t="s">
        <v>48</v>
      </c>
      <c r="BL4" s="13">
        <v>0.98755061195072902</v>
      </c>
      <c r="BM4" s="13">
        <v>7.5625898758912697</v>
      </c>
      <c r="BN4" s="13">
        <v>9.5922890527461904E-2</v>
      </c>
      <c r="BO4" s="13">
        <v>12.8337403815</v>
      </c>
      <c r="BP4" s="13">
        <v>7.1411117249182903</v>
      </c>
      <c r="BQ4" s="13">
        <f t="shared" ref="BQ4:BQ67" si="3">((BF4/BE4)-1)*100</f>
        <v>-5.7246283549783561</v>
      </c>
      <c r="BR4" s="36">
        <v>0.21693245328375599</v>
      </c>
      <c r="BS4" s="13">
        <v>0.17295020964213262</v>
      </c>
      <c r="BT4" s="13">
        <v>0.95182532728213476</v>
      </c>
      <c r="BU4" s="13">
        <v>436</v>
      </c>
      <c r="BV4" s="13">
        <v>6.9862156814299546E-3</v>
      </c>
      <c r="BW4" s="13">
        <v>1</v>
      </c>
    </row>
    <row r="5" spans="1:75" ht="15">
      <c r="A5" s="16">
        <v>2</v>
      </c>
      <c r="B5" s="13">
        <v>6</v>
      </c>
      <c r="C5" s="17">
        <v>7.59884993390886</v>
      </c>
      <c r="D5" s="25" t="s">
        <v>57</v>
      </c>
      <c r="E5" s="13">
        <v>1000</v>
      </c>
      <c r="G5" s="19" t="s">
        <v>49</v>
      </c>
      <c r="H5" s="13">
        <v>0.94406326359881299</v>
      </c>
      <c r="I5" s="13">
        <v>14.504710520672599</v>
      </c>
      <c r="J5" s="13">
        <v>0.18940609626296101</v>
      </c>
      <c r="K5" s="13">
        <v>30.080528267499901</v>
      </c>
      <c r="L5" s="13">
        <v>11.6291315320889</v>
      </c>
      <c r="M5" s="13">
        <f t="shared" si="0"/>
        <v>26.647498898480993</v>
      </c>
      <c r="O5" s="16">
        <v>2</v>
      </c>
      <c r="P5" s="13">
        <v>6</v>
      </c>
      <c r="Q5" s="17">
        <v>8.0569443993140393</v>
      </c>
      <c r="R5" s="18" t="s">
        <v>57</v>
      </c>
      <c r="S5" s="13">
        <v>1880</v>
      </c>
      <c r="U5" s="15" t="s">
        <v>49</v>
      </c>
      <c r="V5" s="13">
        <v>0.93857285635586496</v>
      </c>
      <c r="W5" s="13">
        <v>15.1998976737225</v>
      </c>
      <c r="X5" s="13">
        <v>0.202189997357691</v>
      </c>
      <c r="Y5" s="13">
        <v>32.765864174999997</v>
      </c>
      <c r="Z5" s="13">
        <v>12.241383898904401</v>
      </c>
      <c r="AA5" s="13">
        <f t="shared" si="1"/>
        <v>34.282406655233984</v>
      </c>
      <c r="AB5" s="36">
        <v>0.43265004380549299</v>
      </c>
      <c r="AC5" s="23">
        <v>3.712566898922378E-2</v>
      </c>
      <c r="AD5" s="23">
        <v>0.24728685355283495</v>
      </c>
      <c r="AE5" s="23">
        <v>1714</v>
      </c>
      <c r="AF5" s="23">
        <v>3.2867511925700724E-3</v>
      </c>
      <c r="AG5" s="23">
        <v>0</v>
      </c>
      <c r="AI5" s="16">
        <v>2</v>
      </c>
      <c r="AJ5" s="13">
        <v>6</v>
      </c>
      <c r="AK5" s="17">
        <v>7.9166603540200002</v>
      </c>
      <c r="AL5" s="18" t="s">
        <v>57</v>
      </c>
      <c r="AM5" s="13">
        <v>1960</v>
      </c>
      <c r="AP5" s="1" t="s">
        <v>49</v>
      </c>
      <c r="AQ5" s="13">
        <v>0.99741294834668404</v>
      </c>
      <c r="AR5" s="13">
        <v>3.1193424375271599</v>
      </c>
      <c r="AS5" s="13">
        <v>4.2240638084452803E-2</v>
      </c>
      <c r="AT5" s="13">
        <v>6.1985820199999901</v>
      </c>
      <c r="AU5" s="13">
        <v>3.3869336637332199</v>
      </c>
      <c r="AV5" s="13">
        <f t="shared" si="2"/>
        <v>31.944339233666664</v>
      </c>
      <c r="AW5" s="36">
        <v>0.110444585399888</v>
      </c>
      <c r="AX5" s="13">
        <v>1.3362045672567704E-2</v>
      </c>
      <c r="AY5" s="13">
        <v>0.62036016496878499</v>
      </c>
      <c r="AZ5" s="13">
        <v>176</v>
      </c>
      <c r="BA5" s="13">
        <v>8.7251866224906573E-3</v>
      </c>
      <c r="BB5" s="13">
        <v>1</v>
      </c>
      <c r="BD5" s="16">
        <v>2</v>
      </c>
      <c r="BE5" s="13">
        <v>6</v>
      </c>
      <c r="BF5" s="17">
        <v>8.1673049506174795</v>
      </c>
      <c r="BG5" s="18" t="s">
        <v>57</v>
      </c>
      <c r="BH5" s="13">
        <v>1720</v>
      </c>
      <c r="BK5" s="1" t="s">
        <v>49</v>
      </c>
      <c r="BL5" s="13">
        <v>0.990050239203492</v>
      </c>
      <c r="BM5" s="13">
        <v>6.1173992241195601</v>
      </c>
      <c r="BN5" s="13">
        <v>8.0710282623060903E-2</v>
      </c>
      <c r="BO5" s="13">
        <v>12.3994238899999</v>
      </c>
      <c r="BP5" s="13">
        <v>5.2458648819030396</v>
      </c>
      <c r="BQ5" s="13">
        <f t="shared" si="3"/>
        <v>36.121749176957984</v>
      </c>
      <c r="BR5" s="36">
        <v>0.21693245328375599</v>
      </c>
      <c r="BS5" s="13">
        <v>0.97643294734879083</v>
      </c>
      <c r="BT5" s="13">
        <v>0.83246260009438611</v>
      </c>
      <c r="BU5" s="13">
        <v>821</v>
      </c>
      <c r="BV5" s="13">
        <v>3.427754211733019E-3</v>
      </c>
      <c r="BW5" s="13">
        <v>1</v>
      </c>
    </row>
    <row r="6" spans="1:75" ht="15">
      <c r="A6" s="16">
        <v>3</v>
      </c>
      <c r="B6" s="13">
        <v>201</v>
      </c>
      <c r="C6" s="17">
        <v>201</v>
      </c>
      <c r="D6" s="25" t="s">
        <v>58</v>
      </c>
      <c r="E6" s="24">
        <v>1E-4</v>
      </c>
      <c r="G6" s="19" t="s">
        <v>50</v>
      </c>
      <c r="H6" s="13">
        <v>0.93948489084574005</v>
      </c>
      <c r="I6" s="13">
        <v>15.480492335766201</v>
      </c>
      <c r="J6" s="13">
        <v>0.20501609038947299</v>
      </c>
      <c r="K6" s="13">
        <v>30.047139068499899</v>
      </c>
      <c r="L6" s="13">
        <v>13.1784825608616</v>
      </c>
      <c r="M6" s="13">
        <f t="shared" si="0"/>
        <v>0</v>
      </c>
      <c r="O6" s="16">
        <v>3</v>
      </c>
      <c r="P6" s="13">
        <v>201</v>
      </c>
      <c r="Q6" s="17">
        <v>201</v>
      </c>
      <c r="R6" s="18" t="s">
        <v>58</v>
      </c>
      <c r="S6" s="13">
        <v>1.0300000000000001E-3</v>
      </c>
      <c r="U6" s="15" t="s">
        <v>50</v>
      </c>
      <c r="V6" s="13">
        <v>0.93646437727351395</v>
      </c>
      <c r="W6" s="13">
        <v>15.8621299558333</v>
      </c>
      <c r="X6" s="13">
        <v>0.20655064417066299</v>
      </c>
      <c r="Y6" s="13">
        <v>32.174497294999902</v>
      </c>
      <c r="Z6" s="13">
        <v>13.784188100671701</v>
      </c>
      <c r="AA6" s="13">
        <f t="shared" si="1"/>
        <v>0</v>
      </c>
      <c r="AB6" s="36">
        <v>0.43265004380549299</v>
      </c>
      <c r="AC6" s="23">
        <v>0.41462609449122062</v>
      </c>
      <c r="AD6" s="23">
        <v>0.50516883482418673</v>
      </c>
      <c r="AE6" s="23">
        <v>397</v>
      </c>
      <c r="AF6" s="23">
        <v>6.6993199003464177E-3</v>
      </c>
      <c r="AG6" s="23">
        <v>0</v>
      </c>
      <c r="AI6" s="16">
        <v>3</v>
      </c>
      <c r="AJ6" s="13">
        <v>201</v>
      </c>
      <c r="AK6" s="17">
        <v>201.09399999999999</v>
      </c>
      <c r="AL6" s="18" t="s">
        <v>58</v>
      </c>
      <c r="AM6" s="13">
        <v>5.6999999999999998E-4</v>
      </c>
      <c r="AP6" s="1" t="s">
        <v>50</v>
      </c>
      <c r="AQ6" s="13">
        <v>0.99726794547137398</v>
      </c>
      <c r="AR6" s="13">
        <v>3.2892549714661499</v>
      </c>
      <c r="AS6" s="13">
        <v>4.5493978032552299E-2</v>
      </c>
      <c r="AT6" s="13">
        <v>6.0869922799999898</v>
      </c>
      <c r="AU6" s="13">
        <v>4.0642013873499998</v>
      </c>
      <c r="AV6" s="13">
        <f t="shared" si="2"/>
        <v>4.6766169154222048E-2</v>
      </c>
      <c r="AW6" s="36">
        <v>0.10864644885876901</v>
      </c>
      <c r="AX6" s="13">
        <v>0.72000510649599936</v>
      </c>
      <c r="AY6" s="13">
        <v>0.72115878586089666</v>
      </c>
      <c r="AZ6" s="13">
        <v>277</v>
      </c>
      <c r="BA6" s="13">
        <v>1.186357523787868E-3</v>
      </c>
      <c r="BB6" s="13">
        <v>0</v>
      </c>
      <c r="BD6" s="16">
        <v>3</v>
      </c>
      <c r="BE6" s="13">
        <v>201</v>
      </c>
      <c r="BF6" s="17">
        <v>201.04464830000001</v>
      </c>
      <c r="BG6" s="18" t="s">
        <v>58</v>
      </c>
      <c r="BH6" s="13">
        <v>8.1999999999999998E-4</v>
      </c>
      <c r="BK6" s="1" t="s">
        <v>50</v>
      </c>
      <c r="BL6" s="13">
        <v>0.98952695852387995</v>
      </c>
      <c r="BM6" s="13">
        <v>6.4400504559241298</v>
      </c>
      <c r="BN6" s="13">
        <v>8.6463865989170899E-2</v>
      </c>
      <c r="BO6" s="13">
        <v>12.312986090000001</v>
      </c>
      <c r="BP6" s="13">
        <v>5.9534234799599197</v>
      </c>
      <c r="BQ6" s="13">
        <f t="shared" si="3"/>
        <v>2.221308457712734E-2</v>
      </c>
      <c r="BR6" s="36">
        <v>0.21693245328375599</v>
      </c>
      <c r="BS6" s="13">
        <v>0.54566057913774335</v>
      </c>
      <c r="BT6" s="13">
        <v>0.56846290445830705</v>
      </c>
      <c r="BU6" s="13">
        <v>1243</v>
      </c>
      <c r="BV6" s="13">
        <v>4.6390710895753721E-3</v>
      </c>
      <c r="BW6" s="13">
        <v>1</v>
      </c>
    </row>
    <row r="7" spans="1:75" ht="15">
      <c r="A7" s="16">
        <v>4</v>
      </c>
      <c r="B7" s="13">
        <v>201</v>
      </c>
      <c r="C7" s="17">
        <v>171.0056409</v>
      </c>
      <c r="D7" s="25" t="s">
        <v>59</v>
      </c>
      <c r="E7" s="13">
        <v>1</v>
      </c>
      <c r="G7" s="19" t="s">
        <v>51</v>
      </c>
      <c r="H7" s="13">
        <v>0.94853095651723895</v>
      </c>
      <c r="I7" s="13">
        <v>13.458365859914201</v>
      </c>
      <c r="J7" s="13">
        <v>0.17370792778098901</v>
      </c>
      <c r="K7" s="13">
        <v>30.043229780499999</v>
      </c>
      <c r="L7" s="13">
        <v>10.0797805033163</v>
      </c>
      <c r="M7" s="13">
        <f t="shared" si="0"/>
        <v>-14.922566716417906</v>
      </c>
      <c r="O7" s="16">
        <v>4</v>
      </c>
      <c r="P7" s="13">
        <v>201</v>
      </c>
      <c r="Q7" s="17">
        <v>162.43517109999999</v>
      </c>
      <c r="R7" s="18" t="s">
        <v>59</v>
      </c>
      <c r="S7" s="13">
        <v>1</v>
      </c>
      <c r="U7" s="15" t="s">
        <v>51</v>
      </c>
      <c r="V7" s="13">
        <v>0.94019401514763101</v>
      </c>
      <c r="W7" s="13">
        <v>14.507467451196501</v>
      </c>
      <c r="X7" s="13">
        <v>0.19829118005625199</v>
      </c>
      <c r="Y7" s="13">
        <v>32.852202054999999</v>
      </c>
      <c r="Z7" s="13">
        <v>10.6985796971372</v>
      </c>
      <c r="AA7" s="13">
        <f t="shared" si="1"/>
        <v>-19.186482039801</v>
      </c>
      <c r="AB7" s="36">
        <v>0.43265004380549299</v>
      </c>
      <c r="AC7" s="23">
        <v>0.15996274230561741</v>
      </c>
      <c r="AD7" s="23">
        <v>0.2327993847969656</v>
      </c>
      <c r="AE7" s="23">
        <v>994</v>
      </c>
      <c r="AF7" s="23">
        <v>5.3341219582951566E-3</v>
      </c>
      <c r="AG7" s="23">
        <v>0</v>
      </c>
      <c r="AI7" s="16">
        <v>4</v>
      </c>
      <c r="AJ7" s="13">
        <v>201</v>
      </c>
      <c r="AK7" s="17">
        <v>194.6771282</v>
      </c>
      <c r="AL7" s="18" t="s">
        <v>59</v>
      </c>
      <c r="AM7" s="13">
        <v>1</v>
      </c>
      <c r="AP7" s="1" t="s">
        <v>51</v>
      </c>
      <c r="AQ7" s="13">
        <v>0.99754446937322505</v>
      </c>
      <c r="AR7" s="13">
        <v>2.9396251832165499</v>
      </c>
      <c r="AS7" s="13">
        <v>3.8977934270928903E-2</v>
      </c>
      <c r="AT7" s="13">
        <v>6.2557075199999899</v>
      </c>
      <c r="AU7" s="13">
        <v>2.70966594011644</v>
      </c>
      <c r="AV7" s="13">
        <f t="shared" si="2"/>
        <v>-3.1457073631840804</v>
      </c>
      <c r="AW7" s="36">
        <v>0.10864644885876901</v>
      </c>
      <c r="AX7" s="13">
        <v>0.92419840594161951</v>
      </c>
      <c r="AY7" s="13">
        <v>0.35029424787242314</v>
      </c>
      <c r="AZ7" s="13">
        <v>128</v>
      </c>
      <c r="BA7" s="13">
        <v>3.5999980729118212E-3</v>
      </c>
      <c r="BB7" s="13">
        <v>0</v>
      </c>
      <c r="BD7" s="16">
        <v>4</v>
      </c>
      <c r="BE7" s="13">
        <v>201</v>
      </c>
      <c r="BF7" s="17">
        <v>188.368391</v>
      </c>
      <c r="BG7" s="18" t="s">
        <v>59</v>
      </c>
      <c r="BH7" s="13">
        <v>1</v>
      </c>
      <c r="BK7" s="1" t="s">
        <v>51</v>
      </c>
      <c r="BL7" s="13">
        <v>0.990517358916843</v>
      </c>
      <c r="BM7" s="13">
        <v>5.77675485542433</v>
      </c>
      <c r="BN7" s="13">
        <v>7.4959714425070503E-2</v>
      </c>
      <c r="BO7" s="13">
        <v>12.423805154</v>
      </c>
      <c r="BP7" s="13">
        <v>4.5383062838461603</v>
      </c>
      <c r="BQ7" s="13">
        <f t="shared" si="3"/>
        <v>-6.2843825870646741</v>
      </c>
      <c r="BR7" s="36">
        <v>0.212391897326458</v>
      </c>
      <c r="BS7" s="13">
        <v>0.54450987521209637</v>
      </c>
      <c r="BT7" s="13">
        <v>0.22766240416310152</v>
      </c>
      <c r="BU7" s="13">
        <v>550</v>
      </c>
      <c r="BV7" s="13">
        <v>4.6269489913675389E-3</v>
      </c>
      <c r="BW7" s="13">
        <v>0</v>
      </c>
    </row>
    <row r="8" spans="1:75" ht="15">
      <c r="A8" s="16">
        <v>5</v>
      </c>
      <c r="B8" s="13">
        <v>227</v>
      </c>
      <c r="C8" s="17">
        <v>195.07489100000001</v>
      </c>
      <c r="G8" s="20"/>
      <c r="M8" s="13">
        <f t="shared" si="0"/>
        <v>-14.063924669603523</v>
      </c>
      <c r="O8" s="16">
        <v>5</v>
      </c>
      <c r="P8" s="13">
        <v>227</v>
      </c>
      <c r="Q8" s="17">
        <v>190.47608930000001</v>
      </c>
      <c r="R8" s="21"/>
      <c r="AA8" s="13">
        <f t="shared" si="1"/>
        <v>-16.089828502202643</v>
      </c>
      <c r="AB8" s="36">
        <v>0.43265004380549299</v>
      </c>
      <c r="AC8" s="23">
        <v>0.33643574336051363</v>
      </c>
      <c r="AD8" s="23">
        <v>1.518465482182787E-2</v>
      </c>
      <c r="AE8" s="23">
        <v>213</v>
      </c>
      <c r="AF8" s="23">
        <v>3.1594442265690669E-3</v>
      </c>
      <c r="AG8" s="23">
        <v>0</v>
      </c>
      <c r="AI8" s="16">
        <v>5</v>
      </c>
      <c r="AJ8" s="13">
        <v>227</v>
      </c>
      <c r="AK8" s="17">
        <v>220.3369782</v>
      </c>
      <c r="AL8" s="21"/>
      <c r="AP8" s="20"/>
      <c r="AV8" s="13">
        <f t="shared" si="2"/>
        <v>-2.9352518942731276</v>
      </c>
      <c r="AW8" s="36">
        <v>0.10864644885876901</v>
      </c>
      <c r="AX8" s="13">
        <v>0.88635948491811534</v>
      </c>
      <c r="AY8" s="13">
        <v>0.55090417307795425</v>
      </c>
      <c r="AZ8" s="13">
        <v>365</v>
      </c>
      <c r="BA8" s="13">
        <v>8.2454158239347979E-3</v>
      </c>
      <c r="BB8" s="13">
        <v>1</v>
      </c>
      <c r="BD8" s="16">
        <v>5</v>
      </c>
      <c r="BE8" s="13">
        <v>227</v>
      </c>
      <c r="BF8" s="17">
        <v>213.72541849999999</v>
      </c>
      <c r="BG8" s="21"/>
      <c r="BK8" s="20"/>
      <c r="BQ8" s="13">
        <f t="shared" si="3"/>
        <v>-5.8478332599118943</v>
      </c>
      <c r="BR8" s="36">
        <v>0.212391897326458</v>
      </c>
      <c r="BS8" s="13">
        <v>0.4242949526975236</v>
      </c>
      <c r="BT8" s="13">
        <v>0.77509654936779704</v>
      </c>
      <c r="BU8" s="13">
        <v>1927</v>
      </c>
      <c r="BV8" s="13">
        <v>6.6792417008692652E-3</v>
      </c>
      <c r="BW8" s="13">
        <v>0</v>
      </c>
    </row>
    <row r="9" spans="1:75" ht="15">
      <c r="A9" s="16">
        <v>6</v>
      </c>
      <c r="B9" s="13">
        <v>38</v>
      </c>
      <c r="C9" s="17">
        <v>46.872719016391002</v>
      </c>
      <c r="D9" s="21"/>
      <c r="M9" s="13">
        <f t="shared" si="0"/>
        <v>23.349260569450013</v>
      </c>
      <c r="O9" s="16">
        <v>6</v>
      </c>
      <c r="P9" s="13">
        <v>38</v>
      </c>
      <c r="Q9" s="17">
        <v>32.588876369912803</v>
      </c>
      <c r="AA9" s="13">
        <f t="shared" si="1"/>
        <v>-14.239799026545253</v>
      </c>
      <c r="AB9" s="36">
        <v>0.43265004380549299</v>
      </c>
      <c r="AC9" s="23">
        <v>0.22004459164513468</v>
      </c>
      <c r="AD9" s="23">
        <v>0.13995769056421697</v>
      </c>
      <c r="AE9" s="23">
        <v>1688</v>
      </c>
      <c r="AF9" s="23">
        <v>6.5361379671931528E-3</v>
      </c>
      <c r="AG9" s="23">
        <v>0</v>
      </c>
      <c r="AI9" s="16">
        <v>6</v>
      </c>
      <c r="AJ9" s="13">
        <v>38</v>
      </c>
      <c r="AK9" s="17">
        <v>32.314864659999998</v>
      </c>
      <c r="AV9" s="13">
        <f t="shared" si="2"/>
        <v>-14.960882473684212</v>
      </c>
      <c r="AW9" s="36">
        <v>0.10864644885876901</v>
      </c>
      <c r="AX9" s="13">
        <v>0.66511650901987129</v>
      </c>
      <c r="AY9" s="13">
        <v>0.43069706918233291</v>
      </c>
      <c r="AZ9" s="13">
        <v>395</v>
      </c>
      <c r="BA9" s="13">
        <v>5.8023705851669386E-3</v>
      </c>
      <c r="BB9" s="13">
        <v>1</v>
      </c>
      <c r="BD9" s="16">
        <v>6</v>
      </c>
      <c r="BE9" s="13">
        <v>38</v>
      </c>
      <c r="BF9" s="17">
        <v>26.245667409999999</v>
      </c>
      <c r="BQ9" s="13">
        <f t="shared" si="3"/>
        <v>-30.932454184210524</v>
      </c>
      <c r="BR9" s="36">
        <v>0.212391897326458</v>
      </c>
      <c r="BS9" s="13">
        <v>0.18498190082156385</v>
      </c>
      <c r="BT9" s="13">
        <v>0.73305244270015746</v>
      </c>
      <c r="BU9" s="13">
        <v>963</v>
      </c>
      <c r="BV9" s="13">
        <v>1.7387136082221552E-3</v>
      </c>
      <c r="BW9" s="13">
        <v>1</v>
      </c>
    </row>
    <row r="10" spans="1:75" ht="15">
      <c r="A10" s="16">
        <v>7</v>
      </c>
      <c r="B10" s="13">
        <v>158</v>
      </c>
      <c r="C10" s="17">
        <v>158.7468394</v>
      </c>
      <c r="E10" s="11" t="s">
        <v>89</v>
      </c>
      <c r="F10" s="11" t="s">
        <v>90</v>
      </c>
      <c r="G10" s="11" t="s">
        <v>91</v>
      </c>
      <c r="M10" s="13">
        <f t="shared" si="0"/>
        <v>0.47268316455695292</v>
      </c>
      <c r="O10" s="16">
        <v>7</v>
      </c>
      <c r="P10" s="13">
        <v>158</v>
      </c>
      <c r="Q10" s="17">
        <v>153.17889460000001</v>
      </c>
      <c r="S10" s="11" t="s">
        <v>89</v>
      </c>
      <c r="T10" s="11" t="s">
        <v>90</v>
      </c>
      <c r="U10" s="11" t="s">
        <v>91</v>
      </c>
      <c r="AA10" s="13">
        <f t="shared" si="1"/>
        <v>-3.0513325316455675</v>
      </c>
      <c r="AB10" s="36">
        <v>0.43265004380549299</v>
      </c>
      <c r="AC10" s="23">
        <v>9.9145968687602434E-2</v>
      </c>
      <c r="AD10" s="23">
        <v>0.5112248133714824</v>
      </c>
      <c r="AE10" s="23">
        <v>519</v>
      </c>
      <c r="AF10" s="23">
        <v>3.8291012825550598E-3</v>
      </c>
      <c r="AG10" s="23">
        <v>1</v>
      </c>
      <c r="AI10" s="16">
        <v>7</v>
      </c>
      <c r="AJ10" s="13">
        <v>158</v>
      </c>
      <c r="AK10" s="17">
        <v>158.39136790000001</v>
      </c>
      <c r="AM10" s="11" t="s">
        <v>89</v>
      </c>
      <c r="AN10" s="11" t="s">
        <v>90</v>
      </c>
      <c r="AO10" s="11" t="s">
        <v>91</v>
      </c>
      <c r="AV10" s="13">
        <f t="shared" si="2"/>
        <v>0.24770120253165828</v>
      </c>
      <c r="AW10" s="36">
        <v>0.10864644885876901</v>
      </c>
      <c r="AX10" s="13">
        <v>0.67140521325010361</v>
      </c>
      <c r="AY10" s="13">
        <v>4.0747113942560712E-2</v>
      </c>
      <c r="AZ10" s="13">
        <v>1707</v>
      </c>
      <c r="BA10" s="13">
        <v>2.7368703232181295E-3</v>
      </c>
      <c r="BB10" s="13">
        <v>0</v>
      </c>
      <c r="BD10" s="16">
        <v>7</v>
      </c>
      <c r="BE10" s="13">
        <v>158</v>
      </c>
      <c r="BF10" s="17">
        <v>158.26892240000001</v>
      </c>
      <c r="BH10" s="11" t="s">
        <v>89</v>
      </c>
      <c r="BI10" s="11" t="s">
        <v>90</v>
      </c>
      <c r="BJ10" s="11" t="s">
        <v>91</v>
      </c>
      <c r="BQ10" s="13">
        <f t="shared" si="3"/>
        <v>0.17020405063292721</v>
      </c>
      <c r="BR10" s="36">
        <v>0.212391897326458</v>
      </c>
      <c r="BS10" s="13">
        <v>0.36799404163693761</v>
      </c>
      <c r="BT10" s="13">
        <v>0.87443569010325661</v>
      </c>
      <c r="BU10" s="13">
        <v>1255</v>
      </c>
      <c r="BV10" s="13">
        <v>7.384233343352262E-3</v>
      </c>
      <c r="BW10" s="13">
        <v>0</v>
      </c>
    </row>
    <row r="11" spans="1:75" ht="15">
      <c r="A11" s="16">
        <v>8</v>
      </c>
      <c r="B11" s="13">
        <v>64</v>
      </c>
      <c r="C11" s="17">
        <v>64.993482830000005</v>
      </c>
      <c r="E11" s="36"/>
      <c r="F11" s="36"/>
      <c r="G11" s="36">
        <v>21.490969986376701</v>
      </c>
      <c r="M11" s="13">
        <f t="shared" si="0"/>
        <v>1.5523169218750077</v>
      </c>
      <c r="O11" s="16">
        <v>8</v>
      </c>
      <c r="P11" s="13">
        <v>64</v>
      </c>
      <c r="Q11" s="17">
        <v>61.471554900000001</v>
      </c>
      <c r="S11" s="36"/>
      <c r="T11" s="36"/>
      <c r="U11" s="36">
        <v>29.842235151629399</v>
      </c>
      <c r="AA11" s="13">
        <f t="shared" si="1"/>
        <v>-3.9506954687499984</v>
      </c>
      <c r="AB11" s="36">
        <v>0.43265004380549299</v>
      </c>
      <c r="AC11" s="23">
        <v>0.59737473750217707</v>
      </c>
      <c r="AD11" s="23">
        <v>0.5081089660467879</v>
      </c>
      <c r="AE11" s="23">
        <v>410</v>
      </c>
      <c r="AF11" s="23">
        <v>9.720306723572247E-3</v>
      </c>
      <c r="AG11" s="23">
        <v>0</v>
      </c>
      <c r="AI11" s="16">
        <v>8</v>
      </c>
      <c r="AJ11" s="13">
        <v>64</v>
      </c>
      <c r="AK11" s="17">
        <v>64.206696570000005</v>
      </c>
      <c r="AM11" s="36"/>
      <c r="AN11" s="36"/>
      <c r="AO11" s="36">
        <v>4.2200365361010901</v>
      </c>
      <c r="AV11" s="13">
        <f t="shared" si="2"/>
        <v>0.32296339062500845</v>
      </c>
      <c r="AW11" s="36">
        <v>0.10864644885876901</v>
      </c>
      <c r="AX11" s="13">
        <v>0.86685420314587636</v>
      </c>
      <c r="AY11" s="13">
        <v>0.77827017934742238</v>
      </c>
      <c r="AZ11" s="13">
        <v>1930</v>
      </c>
      <c r="BA11" s="13">
        <v>3.8972346782538615E-4</v>
      </c>
      <c r="BB11" s="13">
        <v>0</v>
      </c>
      <c r="BD11" s="16">
        <v>8</v>
      </c>
      <c r="BE11" s="13">
        <v>64</v>
      </c>
      <c r="BF11" s="17">
        <v>63.832000000000001</v>
      </c>
      <c r="BH11" s="36"/>
      <c r="BI11" s="36"/>
      <c r="BJ11" s="36">
        <v>8.6997271246334495</v>
      </c>
      <c r="BQ11" s="13">
        <f t="shared" si="3"/>
        <v>-0.26249999999999885</v>
      </c>
      <c r="BR11" s="36">
        <v>0.21198275191976701</v>
      </c>
      <c r="BS11" s="13">
        <v>0.34933486576239453</v>
      </c>
      <c r="BT11" s="13">
        <v>0.38373930149919094</v>
      </c>
      <c r="BU11" s="13">
        <v>1056</v>
      </c>
      <c r="BV11" s="13">
        <v>7.6677197133536538E-3</v>
      </c>
      <c r="BW11" s="13">
        <v>0</v>
      </c>
    </row>
    <row r="12" spans="1:75" ht="15">
      <c r="A12" s="16">
        <v>9</v>
      </c>
      <c r="B12" s="13">
        <v>66</v>
      </c>
      <c r="C12" s="17">
        <v>76.195413689999995</v>
      </c>
      <c r="E12" s="36">
        <v>0.16978941206030099</v>
      </c>
      <c r="F12" s="36">
        <v>4.1176470588235203E-2</v>
      </c>
      <c r="G12" s="36"/>
      <c r="M12" s="13">
        <f t="shared" si="0"/>
        <v>15.447596499999982</v>
      </c>
      <c r="O12" s="16">
        <v>9</v>
      </c>
      <c r="P12" s="13">
        <v>66</v>
      </c>
      <c r="Q12" s="17">
        <v>70.179623539999994</v>
      </c>
      <c r="S12" s="36">
        <v>0.216139826633165</v>
      </c>
      <c r="T12" s="36">
        <v>2.5000000000000001E-2</v>
      </c>
      <c r="U12" s="36"/>
      <c r="AA12" s="13">
        <f t="shared" si="1"/>
        <v>6.3327629393939322</v>
      </c>
      <c r="AB12" s="36">
        <v>0.43265004380549299</v>
      </c>
      <c r="AC12" s="23">
        <v>0.13225624677846567</v>
      </c>
      <c r="AD12" s="23">
        <v>2.7687546879026498E-2</v>
      </c>
      <c r="AE12" s="23">
        <v>171</v>
      </c>
      <c r="AF12" s="23">
        <v>3.0530598918202872E-3</v>
      </c>
      <c r="AG12" s="23">
        <v>1</v>
      </c>
      <c r="AI12" s="16">
        <v>9</v>
      </c>
      <c r="AJ12" s="13">
        <v>66</v>
      </c>
      <c r="AK12" s="17">
        <v>68.033082739999998</v>
      </c>
      <c r="AM12" s="36">
        <v>3.5003108542713497E-2</v>
      </c>
      <c r="AN12" s="36">
        <v>2.5000000000000001E-2</v>
      </c>
      <c r="AO12" s="36"/>
      <c r="AV12" s="13">
        <f t="shared" si="2"/>
        <v>3.0804283939393828</v>
      </c>
      <c r="AW12" s="36">
        <v>9.8896471862915794E-2</v>
      </c>
      <c r="AX12" s="13">
        <v>7.0232301928549762E-2</v>
      </c>
      <c r="AY12" s="13">
        <v>0.56505763789866859</v>
      </c>
      <c r="AZ12" s="13">
        <v>1477</v>
      </c>
      <c r="BA12" s="13">
        <v>4.1524283575607749E-3</v>
      </c>
      <c r="BB12" s="13">
        <v>1</v>
      </c>
      <c r="BD12" s="16">
        <v>9</v>
      </c>
      <c r="BE12" s="13">
        <v>66</v>
      </c>
      <c r="BF12" s="17">
        <v>69.687153649999999</v>
      </c>
      <c r="BH12" s="36">
        <v>7.0544776884421997E-2</v>
      </c>
      <c r="BI12" s="36">
        <v>3.3823529411764697E-2</v>
      </c>
      <c r="BJ12" s="36"/>
      <c r="BQ12" s="13">
        <f t="shared" si="3"/>
        <v>5.5865964393939427</v>
      </c>
      <c r="BR12" s="36">
        <v>0.21198275191976701</v>
      </c>
      <c r="BS12" s="13">
        <v>0.94726178635768588</v>
      </c>
      <c r="BT12" s="13">
        <v>0.46721198760977611</v>
      </c>
      <c r="BU12" s="13">
        <v>1388</v>
      </c>
      <c r="BV12" s="13">
        <v>5.9783325560180635E-3</v>
      </c>
      <c r="BW12" s="13">
        <v>0</v>
      </c>
    </row>
    <row r="13" spans="1:75" ht="15">
      <c r="A13" s="16">
        <v>10</v>
      </c>
      <c r="B13" s="13">
        <v>190</v>
      </c>
      <c r="C13" s="17">
        <v>191.04129829999999</v>
      </c>
      <c r="E13" s="36">
        <v>0.33957882412060297</v>
      </c>
      <c r="F13" s="36">
        <v>8.0882352941176405E-2</v>
      </c>
      <c r="G13" s="36"/>
      <c r="M13" s="13">
        <f t="shared" si="0"/>
        <v>0.5480517368420923</v>
      </c>
      <c r="O13" s="16">
        <v>10</v>
      </c>
      <c r="P13" s="13">
        <v>190</v>
      </c>
      <c r="Q13" s="17">
        <v>185.43359040000001</v>
      </c>
      <c r="S13" s="36">
        <v>0.432279653266331</v>
      </c>
      <c r="T13" s="36">
        <v>5.1470588235294101E-2</v>
      </c>
      <c r="U13" s="36"/>
      <c r="AA13" s="13">
        <f t="shared" si="1"/>
        <v>-2.4033734736842005</v>
      </c>
      <c r="AB13" s="36">
        <v>0.43265004380549299</v>
      </c>
      <c r="AC13" s="23">
        <v>0.9271089575654945</v>
      </c>
      <c r="AD13" s="23">
        <v>0.53862039018575847</v>
      </c>
      <c r="AE13" s="23">
        <v>507</v>
      </c>
      <c r="AF13" s="23">
        <v>6.9121184798971776E-3</v>
      </c>
      <c r="AG13" s="23">
        <v>0</v>
      </c>
      <c r="AI13" s="16">
        <v>10</v>
      </c>
      <c r="AJ13" s="13">
        <v>190</v>
      </c>
      <c r="AK13" s="17">
        <v>190.23825969999999</v>
      </c>
      <c r="AM13" s="36">
        <v>7.0006217085427105E-2</v>
      </c>
      <c r="AN13" s="36">
        <v>4.2647058823529399E-2</v>
      </c>
      <c r="AO13" s="36"/>
      <c r="AV13" s="13">
        <f t="shared" si="2"/>
        <v>0.12539984210524491</v>
      </c>
      <c r="AW13" s="36">
        <v>9.8896471862915794E-2</v>
      </c>
      <c r="AX13" s="13">
        <v>0.75285684184019019</v>
      </c>
      <c r="AY13" s="13">
        <v>0.6165399443792392</v>
      </c>
      <c r="AZ13" s="13">
        <v>841</v>
      </c>
      <c r="BA13" s="13">
        <v>4.5324825925797908E-4</v>
      </c>
      <c r="BB13" s="13">
        <v>1</v>
      </c>
      <c r="BD13" s="16">
        <v>10</v>
      </c>
      <c r="BE13" s="13">
        <v>190</v>
      </c>
      <c r="BF13" s="17">
        <v>189.79653780000001</v>
      </c>
      <c r="BH13" s="36">
        <v>0.14108955376884399</v>
      </c>
      <c r="BI13" s="36">
        <v>7.4999999999999997E-2</v>
      </c>
      <c r="BJ13" s="36"/>
      <c r="BQ13" s="13">
        <f t="shared" si="3"/>
        <v>-0.10708536842104488</v>
      </c>
      <c r="BR13" s="36">
        <v>0.21144620784437801</v>
      </c>
      <c r="BS13" s="13">
        <v>0.80011559421204448</v>
      </c>
      <c r="BT13" s="13">
        <v>0.23608804894076707</v>
      </c>
      <c r="BU13" s="13">
        <v>1666</v>
      </c>
      <c r="BV13" s="13">
        <v>3.6282458067608018E-3</v>
      </c>
      <c r="BW13" s="13">
        <v>1</v>
      </c>
    </row>
    <row r="14" spans="1:75" ht="15">
      <c r="A14" s="16">
        <v>11</v>
      </c>
      <c r="B14" s="13">
        <v>143</v>
      </c>
      <c r="C14" s="17">
        <v>152.65794399999999</v>
      </c>
      <c r="E14" s="36">
        <v>0.50936823618090399</v>
      </c>
      <c r="F14" s="36">
        <v>0.126470588235294</v>
      </c>
      <c r="G14" s="36"/>
      <c r="M14" s="13">
        <f t="shared" si="0"/>
        <v>6.7538069930069833</v>
      </c>
      <c r="O14" s="16">
        <v>11</v>
      </c>
      <c r="P14" s="13">
        <v>143</v>
      </c>
      <c r="Q14" s="17">
        <v>149.22611900000001</v>
      </c>
      <c r="S14" s="36">
        <v>0.648419479899497</v>
      </c>
      <c r="T14" s="36">
        <v>6.0294117647058797E-2</v>
      </c>
      <c r="U14" s="36"/>
      <c r="AA14" s="13">
        <f t="shared" si="1"/>
        <v>4.3539293706293725</v>
      </c>
      <c r="AB14" s="36">
        <v>0.43265004380549299</v>
      </c>
      <c r="AC14" s="23">
        <v>0.42967257586930763</v>
      </c>
      <c r="AD14" s="23">
        <v>0.36683051977814679</v>
      </c>
      <c r="AE14" s="23">
        <v>1757</v>
      </c>
      <c r="AF14" s="23">
        <v>5.0779878808060938E-3</v>
      </c>
      <c r="AG14" s="23">
        <v>1</v>
      </c>
      <c r="AI14" s="16">
        <v>11</v>
      </c>
      <c r="AJ14" s="13">
        <v>143</v>
      </c>
      <c r="AK14" s="17">
        <v>144.7795888</v>
      </c>
      <c r="AM14" s="36">
        <v>0.10500932562814</v>
      </c>
      <c r="AN14" s="36">
        <v>8.0882352941176405E-2</v>
      </c>
      <c r="AO14" s="36"/>
      <c r="AV14" s="13">
        <f t="shared" si="2"/>
        <v>1.2444676923076825</v>
      </c>
      <c r="AW14" s="36">
        <v>9.8896471862915794E-2</v>
      </c>
      <c r="AX14" s="13">
        <v>0.52277394331831084</v>
      </c>
      <c r="AY14" s="13">
        <v>0.71374595765094095</v>
      </c>
      <c r="AZ14" s="13">
        <v>1950</v>
      </c>
      <c r="BA14" s="13">
        <v>1.9911793007820833E-3</v>
      </c>
      <c r="BB14" s="13">
        <v>0</v>
      </c>
      <c r="BD14" s="16">
        <v>11</v>
      </c>
      <c r="BE14" s="13">
        <v>143</v>
      </c>
      <c r="BF14" s="17">
        <v>146.93078740000001</v>
      </c>
      <c r="BH14" s="36">
        <v>0.21163433065326601</v>
      </c>
      <c r="BI14" s="36">
        <v>0.10735294117647</v>
      </c>
      <c r="BJ14" s="36"/>
      <c r="BQ14" s="13">
        <f t="shared" si="3"/>
        <v>2.7488023776223836</v>
      </c>
      <c r="BR14" s="36">
        <v>0.21144620784437801</v>
      </c>
      <c r="BS14" s="13">
        <v>0.90956340942016545</v>
      </c>
      <c r="BT14" s="13">
        <v>0.17397555155117755</v>
      </c>
      <c r="BU14" s="13">
        <v>1936</v>
      </c>
      <c r="BV14" s="13">
        <v>2.5140787022432981E-3</v>
      </c>
      <c r="BW14" s="13">
        <v>0</v>
      </c>
    </row>
    <row r="15" spans="1:75" ht="15">
      <c r="A15" s="16">
        <v>12</v>
      </c>
      <c r="B15" s="13">
        <v>61</v>
      </c>
      <c r="C15" s="17">
        <v>61.86920181</v>
      </c>
      <c r="E15" s="36">
        <v>0.67915764824120595</v>
      </c>
      <c r="F15" s="36">
        <v>0.15735294117647</v>
      </c>
      <c r="G15" s="36"/>
      <c r="M15" s="13">
        <f t="shared" si="0"/>
        <v>1.4249210000000012</v>
      </c>
      <c r="O15" s="16">
        <v>12</v>
      </c>
      <c r="P15" s="13">
        <v>61</v>
      </c>
      <c r="Q15" s="17">
        <v>54.632611420000003</v>
      </c>
      <c r="S15" s="36">
        <v>0.864559306532663</v>
      </c>
      <c r="T15" s="36">
        <v>7.2058823529411703E-2</v>
      </c>
      <c r="U15" s="36"/>
      <c r="AA15" s="13">
        <f t="shared" si="1"/>
        <v>-10.438341934426221</v>
      </c>
      <c r="AB15" s="36">
        <v>0.42646708909782899</v>
      </c>
      <c r="AC15" s="23">
        <v>0.43214547261692676</v>
      </c>
      <c r="AD15" s="23">
        <v>0.53030586455311135</v>
      </c>
      <c r="AE15" s="23">
        <v>1378</v>
      </c>
      <c r="AF15" s="23">
        <v>6.0641983337603551E-3</v>
      </c>
      <c r="AG15" s="23">
        <v>0</v>
      </c>
      <c r="AI15" s="16">
        <v>12</v>
      </c>
      <c r="AJ15" s="13">
        <v>61</v>
      </c>
      <c r="AK15" s="17">
        <v>61.049840359999997</v>
      </c>
      <c r="AM15" s="22">
        <v>0.14001243417085399</v>
      </c>
      <c r="AN15" s="22">
        <v>0.1</v>
      </c>
      <c r="AO15" s="36"/>
      <c r="AV15" s="13">
        <f t="shared" si="2"/>
        <v>8.1705508196727727E-2</v>
      </c>
      <c r="AW15" s="36">
        <v>9.8896471862915794E-2</v>
      </c>
      <c r="AX15" s="13">
        <v>0.20829306270150683</v>
      </c>
      <c r="AY15" s="13">
        <v>0.3363057128329966</v>
      </c>
      <c r="AZ15" s="13">
        <v>1862</v>
      </c>
      <c r="BA15" s="13">
        <v>5.3695630283107582E-3</v>
      </c>
      <c r="BB15" s="13">
        <v>0</v>
      </c>
      <c r="BD15" s="16">
        <v>12</v>
      </c>
      <c r="BE15" s="13">
        <v>61</v>
      </c>
      <c r="BF15" s="17">
        <v>60.987891689999998</v>
      </c>
      <c r="BH15" s="22">
        <v>0.28217910753768799</v>
      </c>
      <c r="BI15" s="22">
        <v>0.14411764705882299</v>
      </c>
      <c r="BJ15" s="36"/>
      <c r="BQ15" s="13">
        <f t="shared" si="3"/>
        <v>-1.9849688524598008E-2</v>
      </c>
      <c r="BR15" s="36">
        <v>0.20933100565299201</v>
      </c>
      <c r="BS15" s="13">
        <v>0.92503799312795942</v>
      </c>
      <c r="BT15" s="13">
        <v>0.97153941848215775</v>
      </c>
      <c r="BU15" s="13">
        <v>809</v>
      </c>
      <c r="BV15" s="13">
        <v>4.3032016736943993E-3</v>
      </c>
      <c r="BW15" s="13">
        <v>0</v>
      </c>
    </row>
    <row r="16" spans="1:75" ht="15">
      <c r="A16" s="16">
        <v>13</v>
      </c>
      <c r="B16" s="13">
        <v>167</v>
      </c>
      <c r="C16" s="17">
        <v>138.0859863</v>
      </c>
      <c r="E16" s="36">
        <v>0.84894706030150702</v>
      </c>
      <c r="F16" s="36">
        <v>0.188235294117647</v>
      </c>
      <c r="G16" s="36"/>
      <c r="M16" s="13">
        <f t="shared" si="0"/>
        <v>-17.313780658682631</v>
      </c>
      <c r="O16" s="16">
        <v>13</v>
      </c>
      <c r="P16" s="13">
        <v>167</v>
      </c>
      <c r="Q16" s="17">
        <v>136.1620331</v>
      </c>
      <c r="S16" s="22">
        <v>1.08069913316582</v>
      </c>
      <c r="T16" s="22">
        <v>9.1176470588235206E-2</v>
      </c>
      <c r="U16" s="36"/>
      <c r="AA16" s="13">
        <f t="shared" si="1"/>
        <v>-18.465848443113774</v>
      </c>
      <c r="AB16" s="36">
        <v>0.42646708909782899</v>
      </c>
      <c r="AC16" s="23">
        <v>0.75865699363262451</v>
      </c>
      <c r="AD16" s="23">
        <v>0.66091365517367451</v>
      </c>
      <c r="AE16" s="23">
        <v>1646</v>
      </c>
      <c r="AF16" s="23">
        <v>9.4879910453273056E-3</v>
      </c>
      <c r="AG16" s="23">
        <v>1</v>
      </c>
      <c r="AI16" s="16">
        <v>13</v>
      </c>
      <c r="AJ16" s="13">
        <v>167</v>
      </c>
      <c r="AK16" s="17">
        <v>161.22319730000001</v>
      </c>
      <c r="AM16" s="34">
        <v>0.17501554271356701</v>
      </c>
      <c r="AN16" s="34">
        <v>0.13676470588235201</v>
      </c>
      <c r="AO16" s="36"/>
      <c r="AV16" s="13">
        <f t="shared" si="2"/>
        <v>-3.45916329341317</v>
      </c>
      <c r="AW16" s="36">
        <v>9.8896471862915794E-2</v>
      </c>
      <c r="AX16" s="13">
        <v>0.59664560743198169</v>
      </c>
      <c r="AY16" s="13">
        <v>0.58532426311646524</v>
      </c>
      <c r="AZ16" s="13">
        <v>1782</v>
      </c>
      <c r="BA16" s="13">
        <v>1.7541020159313092E-3</v>
      </c>
      <c r="BB16" s="13">
        <v>0</v>
      </c>
      <c r="BD16" s="16">
        <v>13</v>
      </c>
      <c r="BE16" s="13">
        <v>167</v>
      </c>
      <c r="BF16" s="17">
        <v>155.1796234</v>
      </c>
      <c r="BH16" s="34">
        <v>0.35272388442211</v>
      </c>
      <c r="BI16" s="34">
        <v>0.15735294117647</v>
      </c>
      <c r="BJ16" s="36"/>
      <c r="BQ16" s="13">
        <f t="shared" si="3"/>
        <v>-7.0780698203592785</v>
      </c>
      <c r="BR16" s="36">
        <v>0.20933100565299201</v>
      </c>
      <c r="BS16" s="13">
        <v>3.8246912661924828E-2</v>
      </c>
      <c r="BT16" s="13">
        <v>0.39778698140551627</v>
      </c>
      <c r="BU16" s="13">
        <v>793</v>
      </c>
      <c r="BV16" s="13">
        <v>7.0138976789712124E-3</v>
      </c>
      <c r="BW16" s="13">
        <v>0</v>
      </c>
    </row>
    <row r="17" spans="1:75" ht="15">
      <c r="A17" s="16">
        <v>14</v>
      </c>
      <c r="B17" s="13">
        <v>149</v>
      </c>
      <c r="C17" s="17">
        <v>120.1912135</v>
      </c>
      <c r="E17" s="36">
        <v>1.0187364723618</v>
      </c>
      <c r="F17" s="36">
        <v>0.20735294117646999</v>
      </c>
      <c r="G17" s="36"/>
      <c r="M17" s="13">
        <f t="shared" si="0"/>
        <v>-19.334756040268452</v>
      </c>
      <c r="O17" s="16">
        <v>14</v>
      </c>
      <c r="P17" s="13">
        <v>149</v>
      </c>
      <c r="Q17" s="17">
        <v>121.72724959999999</v>
      </c>
      <c r="S17" s="23">
        <v>1.29683895979899</v>
      </c>
      <c r="T17" s="23">
        <v>0.11764705882352899</v>
      </c>
      <c r="U17" s="36"/>
      <c r="AA17" s="13">
        <f t="shared" si="1"/>
        <v>-18.303859328859062</v>
      </c>
      <c r="AB17" s="36">
        <v>0.42646708909782899</v>
      </c>
      <c r="AC17" s="23">
        <v>0.72162137243039648</v>
      </c>
      <c r="AD17" s="23">
        <v>0.2166825445688241</v>
      </c>
      <c r="AE17" s="23">
        <v>1576</v>
      </c>
      <c r="AF17" s="23">
        <v>8.9222454056817318E-3</v>
      </c>
      <c r="AG17" s="23">
        <v>0</v>
      </c>
      <c r="AI17" s="16">
        <v>14</v>
      </c>
      <c r="AJ17" s="13">
        <v>149</v>
      </c>
      <c r="AK17" s="17">
        <v>143.30824269999999</v>
      </c>
      <c r="AM17" s="34">
        <v>0.210018651256281</v>
      </c>
      <c r="AN17" s="34">
        <v>0.16323529411764701</v>
      </c>
      <c r="AO17" s="36"/>
      <c r="AV17" s="13">
        <f t="shared" si="2"/>
        <v>-3.8199713422818804</v>
      </c>
      <c r="AW17" s="36">
        <v>9.8896471862915794E-2</v>
      </c>
      <c r="AX17" s="13">
        <v>0.47499731552774843</v>
      </c>
      <c r="AY17" s="13">
        <v>0.72709309395590205</v>
      </c>
      <c r="AZ17" s="13">
        <v>555</v>
      </c>
      <c r="BA17" s="13">
        <v>5.3350310254399484E-3</v>
      </c>
      <c r="BB17" s="13">
        <v>1</v>
      </c>
      <c r="BD17" s="16">
        <v>14</v>
      </c>
      <c r="BE17" s="13">
        <v>149</v>
      </c>
      <c r="BF17" s="17">
        <v>136.7938594</v>
      </c>
      <c r="BH17" s="34">
        <v>0.42326866130653201</v>
      </c>
      <c r="BI17" s="34">
        <v>0.17794117647058799</v>
      </c>
      <c r="BJ17" s="36"/>
      <c r="BQ17" s="13">
        <f t="shared" si="3"/>
        <v>-8.1920406711409441</v>
      </c>
      <c r="BR17" s="36">
        <v>0.20933100565299201</v>
      </c>
      <c r="BS17" s="13">
        <v>0.88183580042443088</v>
      </c>
      <c r="BT17" s="13">
        <v>0.91662501521368023</v>
      </c>
      <c r="BU17" s="13">
        <v>642</v>
      </c>
      <c r="BV17" s="13">
        <v>7.8953451679931747E-3</v>
      </c>
      <c r="BW17" s="13">
        <v>1</v>
      </c>
    </row>
    <row r="18" spans="1:75" ht="15">
      <c r="A18" s="16">
        <v>15</v>
      </c>
      <c r="B18" s="13">
        <v>9</v>
      </c>
      <c r="C18" s="17">
        <v>4.9328692574325999</v>
      </c>
      <c r="E18" s="36">
        <v>1.18852588442211</v>
      </c>
      <c r="F18" s="36">
        <v>0.23235294117647001</v>
      </c>
      <c r="G18" s="36"/>
      <c r="M18" s="13">
        <f t="shared" si="0"/>
        <v>-45.190341584082226</v>
      </c>
      <c r="O18" s="16">
        <v>15</v>
      </c>
      <c r="P18" s="13">
        <v>9</v>
      </c>
      <c r="Q18" s="17">
        <v>8.6633292955186594</v>
      </c>
      <c r="S18" s="23">
        <v>1.51297878643216</v>
      </c>
      <c r="T18" s="23">
        <v>0.13088235294117601</v>
      </c>
      <c r="U18" s="36"/>
      <c r="AA18" s="13">
        <f t="shared" si="1"/>
        <v>-3.7407856053482291</v>
      </c>
      <c r="AB18" s="36">
        <v>0.42646708909782899</v>
      </c>
      <c r="AC18" s="23">
        <v>0.46889140216651204</v>
      </c>
      <c r="AD18" s="23">
        <v>0.49986607174067582</v>
      </c>
      <c r="AE18" s="23">
        <v>150</v>
      </c>
      <c r="AF18" s="23">
        <v>7.8157223380027445E-3</v>
      </c>
      <c r="AG18" s="23">
        <v>1</v>
      </c>
      <c r="AI18" s="16">
        <v>15</v>
      </c>
      <c r="AJ18" s="13">
        <v>9</v>
      </c>
      <c r="AK18" s="17">
        <v>11.467736759999999</v>
      </c>
      <c r="AM18" s="34">
        <v>0.24502175979899399</v>
      </c>
      <c r="AN18" s="34">
        <v>0.188235294117647</v>
      </c>
      <c r="AO18" s="36"/>
      <c r="AV18" s="13">
        <f t="shared" si="2"/>
        <v>27.419297333333326</v>
      </c>
      <c r="AW18" s="36">
        <v>9.8896471862915794E-2</v>
      </c>
      <c r="AX18" s="13">
        <v>0.88412841173890677</v>
      </c>
      <c r="AY18" s="13">
        <v>0.50212076629186353</v>
      </c>
      <c r="AZ18" s="13">
        <v>613</v>
      </c>
      <c r="BA18" s="13">
        <v>8.6727237985156445E-3</v>
      </c>
      <c r="BB18" s="13">
        <v>1</v>
      </c>
      <c r="BD18" s="16">
        <v>15</v>
      </c>
      <c r="BE18" s="13">
        <v>9</v>
      </c>
      <c r="BF18" s="17">
        <v>10.5768536985754</v>
      </c>
      <c r="BH18" s="34">
        <v>0.49381343819095402</v>
      </c>
      <c r="BI18" s="34">
        <v>0.20588235294117599</v>
      </c>
      <c r="BJ18" s="36"/>
      <c r="BQ18" s="13">
        <f t="shared" si="3"/>
        <v>17.520596650837781</v>
      </c>
      <c r="BR18" s="36">
        <v>0.20933100565299201</v>
      </c>
      <c r="BS18" s="13">
        <v>0.81874429887600875</v>
      </c>
      <c r="BT18" s="13">
        <v>0.75779087295859437</v>
      </c>
      <c r="BU18" s="13">
        <v>1803</v>
      </c>
      <c r="BV18" s="13">
        <v>2.8720577362451082E-3</v>
      </c>
      <c r="BW18" s="13">
        <v>1</v>
      </c>
    </row>
    <row r="19" spans="1:75" ht="15">
      <c r="A19" s="16">
        <v>16</v>
      </c>
      <c r="B19" s="13">
        <v>182</v>
      </c>
      <c r="C19" s="17">
        <v>150.7063962</v>
      </c>
      <c r="E19" s="36">
        <v>1.3583152964824099</v>
      </c>
      <c r="F19" s="36">
        <v>0.251470588235294</v>
      </c>
      <c r="G19" s="36"/>
      <c r="M19" s="13">
        <f t="shared" si="0"/>
        <v>-17.194287802197806</v>
      </c>
      <c r="O19" s="16">
        <v>16</v>
      </c>
      <c r="P19" s="13">
        <v>182</v>
      </c>
      <c r="Q19" s="17">
        <v>146.23233110000001</v>
      </c>
      <c r="S19" s="23">
        <v>1.72911861306532</v>
      </c>
      <c r="T19" s="23">
        <v>0.152941176470588</v>
      </c>
      <c r="U19" s="36"/>
      <c r="AA19" s="13">
        <f t="shared" si="1"/>
        <v>-19.652565329670324</v>
      </c>
      <c r="AB19" s="36">
        <v>0.422520682501556</v>
      </c>
      <c r="AC19" s="23">
        <v>0.68135733839362778</v>
      </c>
      <c r="AD19" s="23">
        <v>0.93505094389813881</v>
      </c>
      <c r="AE19" s="23">
        <v>1513</v>
      </c>
      <c r="AF19" s="23">
        <v>2.3558443644066912E-3</v>
      </c>
      <c r="AG19" s="23">
        <v>0</v>
      </c>
      <c r="AI19" s="16">
        <v>16</v>
      </c>
      <c r="AJ19" s="13">
        <v>182</v>
      </c>
      <c r="AK19" s="17">
        <v>175.55127920000001</v>
      </c>
      <c r="AM19" s="34">
        <v>0.28002486834170798</v>
      </c>
      <c r="AN19" s="34">
        <v>0.213235294117647</v>
      </c>
      <c r="AO19" s="36"/>
      <c r="AP19" s="22"/>
      <c r="AQ19" s="22"/>
      <c r="AV19" s="13">
        <f t="shared" si="2"/>
        <v>-3.5432531868131778</v>
      </c>
      <c r="AW19" s="36">
        <v>9.8896471862915794E-2</v>
      </c>
      <c r="AX19" s="13">
        <v>0.57914025248942969</v>
      </c>
      <c r="AY19" s="13">
        <v>0.47255054974562599</v>
      </c>
      <c r="AZ19" s="13">
        <v>986</v>
      </c>
      <c r="BA19" s="13">
        <v>8.2778987178104158E-3</v>
      </c>
      <c r="BB19" s="13">
        <v>0</v>
      </c>
      <c r="BD19" s="16">
        <v>16</v>
      </c>
      <c r="BE19" s="13">
        <v>182</v>
      </c>
      <c r="BF19" s="17">
        <v>169.50755950000001</v>
      </c>
      <c r="BH19" s="34">
        <v>0.56435821507537598</v>
      </c>
      <c r="BI19" s="34">
        <v>0.223529411764705</v>
      </c>
      <c r="BJ19" s="36"/>
      <c r="BQ19" s="13">
        <f t="shared" si="3"/>
        <v>-6.8639782967032881</v>
      </c>
      <c r="BR19" s="36">
        <v>0.20933100565299201</v>
      </c>
      <c r="BS19" s="13">
        <v>4.2025012929434245E-2</v>
      </c>
      <c r="BT19" s="13">
        <v>0.65684487748731091</v>
      </c>
      <c r="BU19" s="13">
        <v>1143</v>
      </c>
      <c r="BV19" s="13">
        <v>6.830439315052019E-3</v>
      </c>
      <c r="BW19" s="13">
        <v>1</v>
      </c>
    </row>
    <row r="20" spans="1:75" ht="15">
      <c r="A20" s="16">
        <v>17</v>
      </c>
      <c r="B20" s="13">
        <v>74</v>
      </c>
      <c r="C20" s="17">
        <v>85.495699400000007</v>
      </c>
      <c r="E20" s="36">
        <v>1.52810470854271</v>
      </c>
      <c r="F20" s="36">
        <v>0.27205882352941102</v>
      </c>
      <c r="G20" s="36"/>
      <c r="M20" s="13">
        <f t="shared" si="0"/>
        <v>15.534728918918939</v>
      </c>
      <c r="O20" s="16">
        <v>17</v>
      </c>
      <c r="P20" s="13">
        <v>74</v>
      </c>
      <c r="Q20" s="17">
        <v>84.529188570000002</v>
      </c>
      <c r="S20" s="23">
        <v>1.94525843969849</v>
      </c>
      <c r="T20" s="23">
        <v>0.160294117647058</v>
      </c>
      <c r="U20" s="36"/>
      <c r="AA20" s="13">
        <f t="shared" si="1"/>
        <v>14.228633202702712</v>
      </c>
      <c r="AB20" s="36">
        <v>0.422520682501556</v>
      </c>
      <c r="AC20" s="23">
        <v>0.39191594238629068</v>
      </c>
      <c r="AD20" s="23">
        <v>0.97430282596504536</v>
      </c>
      <c r="AE20" s="23">
        <v>1198</v>
      </c>
      <c r="AF20" s="23">
        <v>9.5034777164028136E-3</v>
      </c>
      <c r="AG20" s="23">
        <v>0</v>
      </c>
      <c r="AI20" s="16">
        <v>17</v>
      </c>
      <c r="AJ20" s="13">
        <v>74</v>
      </c>
      <c r="AK20" s="17">
        <v>76.521139880000007</v>
      </c>
      <c r="AM20" s="34">
        <v>0.31502797688442202</v>
      </c>
      <c r="AN20" s="34">
        <v>0.23676470588235199</v>
      </c>
      <c r="AO20" s="36"/>
      <c r="AP20" s="23"/>
      <c r="AQ20" s="23"/>
      <c r="AV20" s="13">
        <f t="shared" si="2"/>
        <v>3.4069457837837991</v>
      </c>
      <c r="AW20" s="36">
        <v>9.8896471862915794E-2</v>
      </c>
      <c r="AX20" s="13">
        <v>0.9801817236749516</v>
      </c>
      <c r="AY20" s="13">
        <v>0.94233419414471487</v>
      </c>
      <c r="AZ20" s="13">
        <v>1788</v>
      </c>
      <c r="BA20" s="13">
        <v>7.8803078008574372E-3</v>
      </c>
      <c r="BB20" s="13">
        <v>0</v>
      </c>
      <c r="BD20" s="16">
        <v>17</v>
      </c>
      <c r="BE20" s="13">
        <v>74</v>
      </c>
      <c r="BF20" s="17">
        <v>78.51429856</v>
      </c>
      <c r="BH20" s="34">
        <v>0.63490299195979805</v>
      </c>
      <c r="BI20" s="34">
        <v>0.23970588235294099</v>
      </c>
      <c r="BJ20" s="36"/>
      <c r="BQ20" s="13">
        <f t="shared" si="3"/>
        <v>6.1004034594594581</v>
      </c>
      <c r="BR20" s="36">
        <v>0.20933100565299201</v>
      </c>
      <c r="BS20" s="13">
        <v>0.22897648096355364</v>
      </c>
      <c r="BT20" s="13">
        <v>8.0682489421584777E-2</v>
      </c>
      <c r="BU20" s="13">
        <v>1734</v>
      </c>
      <c r="BV20" s="13">
        <v>8.1672668370429084E-3</v>
      </c>
      <c r="BW20" s="13">
        <v>1</v>
      </c>
    </row>
    <row r="21" spans="1:75" ht="15">
      <c r="A21" s="16">
        <v>18</v>
      </c>
      <c r="B21" s="13">
        <v>135</v>
      </c>
      <c r="C21" s="17">
        <v>105.8345044</v>
      </c>
      <c r="E21" s="36">
        <v>1.69789412060301</v>
      </c>
      <c r="F21" s="36">
        <v>0.28676470588235198</v>
      </c>
      <c r="G21" s="36"/>
      <c r="M21" s="13">
        <f t="shared" si="0"/>
        <v>-21.604070814814811</v>
      </c>
      <c r="O21" s="16">
        <v>18</v>
      </c>
      <c r="P21" s="13">
        <v>135</v>
      </c>
      <c r="Q21" s="17">
        <v>106.37495060000001</v>
      </c>
      <c r="S21" s="23">
        <v>2.1613982663316502</v>
      </c>
      <c r="T21" s="23">
        <v>0.17941176470588199</v>
      </c>
      <c r="U21" s="36"/>
      <c r="AA21" s="13">
        <f t="shared" si="1"/>
        <v>-21.203740296296292</v>
      </c>
      <c r="AB21" s="36">
        <v>0.422520682501556</v>
      </c>
      <c r="AC21" s="23">
        <v>0.4378630799999973</v>
      </c>
      <c r="AD21" s="23">
        <v>0.45025214264053792</v>
      </c>
      <c r="AE21" s="23">
        <v>1200</v>
      </c>
      <c r="AF21" s="23">
        <v>3.5804775664317534E-3</v>
      </c>
      <c r="AG21" s="23">
        <v>0</v>
      </c>
      <c r="AI21" s="16">
        <v>18</v>
      </c>
      <c r="AJ21" s="13">
        <v>135</v>
      </c>
      <c r="AK21" s="17">
        <v>129.27490090000001</v>
      </c>
      <c r="AM21" s="36">
        <v>0.35003108542713501</v>
      </c>
      <c r="AN21" s="36">
        <v>0.25</v>
      </c>
      <c r="AO21" s="36"/>
      <c r="AP21" s="23"/>
      <c r="AQ21" s="23"/>
      <c r="AV21" s="13">
        <f t="shared" si="2"/>
        <v>-4.2408141481481421</v>
      </c>
      <c r="AW21" s="36">
        <v>9.8896471862915794E-2</v>
      </c>
      <c r="AX21" s="13">
        <v>0.85680568422016956</v>
      </c>
      <c r="AY21" s="13">
        <v>0.42418763859789826</v>
      </c>
      <c r="AZ21" s="13">
        <v>1323</v>
      </c>
      <c r="BA21" s="13">
        <v>7.6525639284827631E-3</v>
      </c>
      <c r="BB21" s="13">
        <v>1</v>
      </c>
      <c r="BD21" s="16">
        <v>18</v>
      </c>
      <c r="BE21" s="13">
        <v>135</v>
      </c>
      <c r="BF21" s="17">
        <v>122.5708466</v>
      </c>
      <c r="BH21" s="36">
        <v>0.70544776884422</v>
      </c>
      <c r="BI21" s="36">
        <v>0.25735294117647001</v>
      </c>
      <c r="BJ21" s="36"/>
      <c r="BQ21" s="13">
        <f t="shared" si="3"/>
        <v>-9.2067802962963015</v>
      </c>
      <c r="BR21" s="36">
        <v>0.20388657946858799</v>
      </c>
      <c r="BS21" s="13">
        <v>0.88631978013293344</v>
      </c>
      <c r="BT21" s="13">
        <v>0.95698879061992803</v>
      </c>
      <c r="BU21" s="13">
        <v>1359</v>
      </c>
      <c r="BV21" s="13">
        <v>2.2130203220384666E-3</v>
      </c>
      <c r="BW21" s="13">
        <v>0</v>
      </c>
    </row>
    <row r="22" spans="1:75" ht="15">
      <c r="A22" s="16">
        <v>19</v>
      </c>
      <c r="B22" s="13">
        <v>36</v>
      </c>
      <c r="C22" s="17">
        <v>26.104028726334601</v>
      </c>
      <c r="E22" s="36">
        <v>1.8676835326633101</v>
      </c>
      <c r="F22" s="36">
        <v>0.311764705882352</v>
      </c>
      <c r="G22" s="36"/>
      <c r="H22" s="22"/>
      <c r="I22" s="22"/>
      <c r="M22" s="13">
        <f t="shared" si="0"/>
        <v>-27.488809093514998</v>
      </c>
      <c r="O22" s="16">
        <v>19</v>
      </c>
      <c r="P22" s="13">
        <v>36</v>
      </c>
      <c r="Q22" s="17">
        <v>58.296436735439599</v>
      </c>
      <c r="S22" s="36">
        <v>2.3775380929648202</v>
      </c>
      <c r="T22" s="36">
        <v>0.19705882352941101</v>
      </c>
      <c r="U22" s="36"/>
      <c r="AA22" s="13">
        <f t="shared" si="1"/>
        <v>61.934546487332213</v>
      </c>
      <c r="AB22" s="36">
        <v>0.422520682501556</v>
      </c>
      <c r="AC22" s="23">
        <v>0.87777907098975605</v>
      </c>
      <c r="AD22" s="23">
        <v>0.58685679324644091</v>
      </c>
      <c r="AE22" s="23">
        <v>107</v>
      </c>
      <c r="AF22" s="23">
        <v>7.7119155297007587E-3</v>
      </c>
      <c r="AG22" s="23">
        <v>0</v>
      </c>
      <c r="AI22" s="16">
        <v>19</v>
      </c>
      <c r="AJ22" s="13">
        <v>36</v>
      </c>
      <c r="AK22" s="17">
        <v>30.236582089999999</v>
      </c>
      <c r="AM22" s="36">
        <v>0.385034193969849</v>
      </c>
      <c r="AN22" s="36">
        <v>0.26764705882352902</v>
      </c>
      <c r="AO22" s="36"/>
      <c r="AP22" s="23"/>
      <c r="AQ22" s="23"/>
      <c r="AV22" s="13">
        <f t="shared" si="2"/>
        <v>-16.00949419444445</v>
      </c>
      <c r="AW22" s="36">
        <v>9.6924359924287107E-2</v>
      </c>
      <c r="AX22" s="13">
        <v>0.92861825398312148</v>
      </c>
      <c r="AY22" s="13">
        <v>0.71566657774728448</v>
      </c>
      <c r="AZ22" s="13">
        <v>389</v>
      </c>
      <c r="BA22" s="13">
        <v>3.651748078990935E-4</v>
      </c>
      <c r="BB22" s="13">
        <v>1</v>
      </c>
      <c r="BD22" s="16">
        <v>19</v>
      </c>
      <c r="BE22" s="13">
        <v>36</v>
      </c>
      <c r="BF22" s="17">
        <v>24.318734160000002</v>
      </c>
      <c r="BH22" s="36">
        <v>0.77599254572864196</v>
      </c>
      <c r="BI22" s="36">
        <v>0.27205882352941102</v>
      </c>
      <c r="BJ22" s="22"/>
      <c r="BK22" s="22"/>
      <c r="BQ22" s="13">
        <f t="shared" si="3"/>
        <v>-32.447960666666667</v>
      </c>
      <c r="BR22" s="36">
        <v>0.20388657946858799</v>
      </c>
      <c r="BS22" s="13">
        <v>0.36857419131548602</v>
      </c>
      <c r="BT22" s="13">
        <v>0.43477544355891856</v>
      </c>
      <c r="BU22" s="13">
        <v>1891</v>
      </c>
      <c r="BV22" s="13">
        <v>2.0394539547259737E-3</v>
      </c>
      <c r="BW22" s="13">
        <v>1</v>
      </c>
    </row>
    <row r="23" spans="1:75" ht="15">
      <c r="A23" s="16">
        <v>20</v>
      </c>
      <c r="B23" s="13">
        <v>4</v>
      </c>
      <c r="C23" s="17">
        <v>5.3122510060000003</v>
      </c>
      <c r="E23" s="36">
        <v>2.0374729447236102</v>
      </c>
      <c r="F23" s="36">
        <v>0.32205882352941101</v>
      </c>
      <c r="G23" s="36"/>
      <c r="H23" s="23"/>
      <c r="I23" s="23"/>
      <c r="M23" s="13">
        <f t="shared" si="0"/>
        <v>32.806275150000005</v>
      </c>
      <c r="O23" s="16">
        <v>20</v>
      </c>
      <c r="P23" s="13">
        <v>4</v>
      </c>
      <c r="Q23" s="17">
        <v>6.0394226929999997</v>
      </c>
      <c r="S23" s="36">
        <v>2.59367791959798</v>
      </c>
      <c r="T23" s="36">
        <v>0.20882352941176399</v>
      </c>
      <c r="U23" s="36"/>
      <c r="AA23" s="13">
        <f t="shared" si="1"/>
        <v>50.985567324999991</v>
      </c>
      <c r="AB23" s="36">
        <v>0.422520682501556</v>
      </c>
      <c r="AC23" s="23">
        <v>0.77882390142382263</v>
      </c>
      <c r="AD23" s="23">
        <v>4.6377558759561274E-2</v>
      </c>
      <c r="AE23" s="23">
        <v>1860</v>
      </c>
      <c r="AF23" s="23">
        <v>7.4520018260470751E-3</v>
      </c>
      <c r="AG23" s="23">
        <v>0</v>
      </c>
      <c r="AI23" s="16">
        <v>20</v>
      </c>
      <c r="AJ23" s="13">
        <v>4</v>
      </c>
      <c r="AK23" s="17">
        <v>4.263250201</v>
      </c>
      <c r="AM23" s="36">
        <v>0.42003730251256199</v>
      </c>
      <c r="AN23" s="36">
        <v>0.28235294117646997</v>
      </c>
      <c r="AO23" s="36"/>
      <c r="AP23" s="23"/>
      <c r="AQ23" s="23"/>
      <c r="AV23" s="13">
        <f t="shared" si="2"/>
        <v>6.581255024999999</v>
      </c>
      <c r="AW23" s="36">
        <v>9.6924359924287107E-2</v>
      </c>
      <c r="AX23" s="13">
        <v>0.46937900786505665</v>
      </c>
      <c r="AY23" s="13">
        <v>0.79220201461150908</v>
      </c>
      <c r="AZ23" s="13">
        <v>1140</v>
      </c>
      <c r="BA23" s="13">
        <v>4.3700592394106856E-3</v>
      </c>
      <c r="BB23" s="13">
        <v>0</v>
      </c>
      <c r="BD23" s="16">
        <v>20</v>
      </c>
      <c r="BE23" s="13">
        <v>4</v>
      </c>
      <c r="BF23" s="17">
        <v>3.9693022</v>
      </c>
      <c r="BH23" s="36">
        <v>0.84653732261306402</v>
      </c>
      <c r="BI23" s="36">
        <v>0.28382352941176398</v>
      </c>
      <c r="BJ23" s="23"/>
      <c r="BK23" s="23"/>
      <c r="BQ23" s="13">
        <f t="shared" si="3"/>
        <v>-0.76744499999999993</v>
      </c>
      <c r="BR23" s="36">
        <v>0.20388657946858799</v>
      </c>
      <c r="BS23" s="13">
        <v>4.5884521786006729E-2</v>
      </c>
      <c r="BT23" s="13">
        <v>0.65034033750800235</v>
      </c>
      <c r="BU23" s="13">
        <v>312</v>
      </c>
      <c r="BV23" s="13">
        <v>9.6970268648681919E-3</v>
      </c>
      <c r="BW23" s="13">
        <v>0</v>
      </c>
    </row>
    <row r="24" spans="1:75" ht="15">
      <c r="A24" s="16">
        <v>21</v>
      </c>
      <c r="B24" s="13">
        <v>115</v>
      </c>
      <c r="C24" s="17">
        <v>124.1827432</v>
      </c>
      <c r="E24" s="36">
        <v>2.2072623567839198</v>
      </c>
      <c r="F24" s="36">
        <v>0.32500000000000001</v>
      </c>
      <c r="G24" s="36"/>
      <c r="H24" s="23"/>
      <c r="I24" s="23"/>
      <c r="M24" s="13">
        <f t="shared" si="0"/>
        <v>7.9849940869565206</v>
      </c>
      <c r="O24" s="16">
        <v>21</v>
      </c>
      <c r="P24" s="13">
        <v>115</v>
      </c>
      <c r="Q24" s="17">
        <v>125.1426136</v>
      </c>
      <c r="S24" s="36">
        <v>2.80981774623115</v>
      </c>
      <c r="T24" s="36">
        <v>0.223529411764705</v>
      </c>
      <c r="U24" s="36"/>
      <c r="Y24" s="24"/>
      <c r="AA24" s="13">
        <f t="shared" si="1"/>
        <v>8.8196640000000048</v>
      </c>
      <c r="AB24" s="36">
        <v>0.422520682501556</v>
      </c>
      <c r="AC24" s="23">
        <v>0.35432828073263672</v>
      </c>
      <c r="AD24" s="23">
        <v>0.37602262706511375</v>
      </c>
      <c r="AE24" s="23">
        <v>1028</v>
      </c>
      <c r="AF24" s="23">
        <v>7.6856597663528944E-3</v>
      </c>
      <c r="AG24" s="23">
        <v>1</v>
      </c>
      <c r="AI24" s="16">
        <v>21</v>
      </c>
      <c r="AJ24" s="13">
        <v>115</v>
      </c>
      <c r="AK24" s="17">
        <v>116.9485486</v>
      </c>
      <c r="AM24" s="36">
        <v>0.45504041105527598</v>
      </c>
      <c r="AN24" s="36">
        <v>0.28823529411764698</v>
      </c>
      <c r="AO24" s="36"/>
      <c r="AP24" s="23"/>
      <c r="AQ24" s="23"/>
      <c r="AU24" s="24"/>
      <c r="AV24" s="13">
        <f t="shared" si="2"/>
        <v>1.6943900869565098</v>
      </c>
      <c r="AW24" s="36">
        <v>9.6924359924287107E-2</v>
      </c>
      <c r="AX24" s="13">
        <v>0.56879050973376499</v>
      </c>
      <c r="AY24" s="13">
        <v>0.34905514662409287</v>
      </c>
      <c r="AZ24" s="13">
        <v>1831</v>
      </c>
      <c r="BA24" s="13">
        <v>9.916301356249246E-3</v>
      </c>
      <c r="BB24" s="13">
        <v>0</v>
      </c>
      <c r="BD24" s="16">
        <v>21</v>
      </c>
      <c r="BE24" s="13">
        <v>115</v>
      </c>
      <c r="BF24" s="17">
        <v>118.5794207</v>
      </c>
      <c r="BH24" s="36">
        <v>0.91708209949748598</v>
      </c>
      <c r="BI24" s="36">
        <v>0.29411764705882298</v>
      </c>
      <c r="BJ24" s="23"/>
      <c r="BK24" s="23"/>
      <c r="BP24" s="24"/>
      <c r="BQ24" s="13">
        <f t="shared" si="3"/>
        <v>3.1125397391304377</v>
      </c>
      <c r="BR24" s="36">
        <v>0.20388657946858799</v>
      </c>
      <c r="BS24" s="13">
        <v>0.69136484789852515</v>
      </c>
      <c r="BT24" s="13">
        <v>0.88288120454272923</v>
      </c>
      <c r="BU24" s="13">
        <v>1600</v>
      </c>
      <c r="BV24" s="13">
        <v>6.2176490806889863E-3</v>
      </c>
      <c r="BW24" s="13">
        <v>0</v>
      </c>
    </row>
    <row r="25" spans="1:75" ht="15">
      <c r="A25" s="16">
        <v>22</v>
      </c>
      <c r="B25" s="13">
        <v>80</v>
      </c>
      <c r="C25" s="17">
        <v>90.787538400000003</v>
      </c>
      <c r="E25" s="36">
        <v>2.3770517688442201</v>
      </c>
      <c r="F25" s="36">
        <v>0.33970588235294102</v>
      </c>
      <c r="G25" s="36"/>
      <c r="H25" s="23"/>
      <c r="I25" s="23"/>
      <c r="M25" s="13">
        <f t="shared" si="0"/>
        <v>13.484423000000012</v>
      </c>
      <c r="O25" s="16">
        <v>22</v>
      </c>
      <c r="P25" s="13">
        <v>80</v>
      </c>
      <c r="Q25" s="17">
        <v>91.14187862</v>
      </c>
      <c r="S25" s="36">
        <v>3.02595757286432</v>
      </c>
      <c r="T25" s="36">
        <v>0.23823529411764699</v>
      </c>
      <c r="U25" s="36"/>
      <c r="Y25" s="24"/>
      <c r="AA25" s="13">
        <f t="shared" si="1"/>
        <v>13.927348274999996</v>
      </c>
      <c r="AB25" s="36">
        <v>0.422520682501556</v>
      </c>
      <c r="AC25" s="23">
        <v>0.18093978138142552</v>
      </c>
      <c r="AD25" s="23">
        <v>0.48342296473904733</v>
      </c>
      <c r="AE25" s="23">
        <v>1259</v>
      </c>
      <c r="AF25" s="23">
        <v>3.7157296703089794E-3</v>
      </c>
      <c r="AG25" s="23">
        <v>1</v>
      </c>
      <c r="AI25" s="16">
        <v>22</v>
      </c>
      <c r="AJ25" s="13">
        <v>80</v>
      </c>
      <c r="AK25" s="17">
        <v>82.121507679999993</v>
      </c>
      <c r="AM25" s="36">
        <v>0.49004351959798897</v>
      </c>
      <c r="AN25" s="36">
        <v>0.29558823529411699</v>
      </c>
      <c r="AO25" s="36"/>
      <c r="AU25" s="24"/>
      <c r="AV25" s="13">
        <f t="shared" si="2"/>
        <v>2.6518845999999874</v>
      </c>
      <c r="AW25" s="36">
        <v>9.6924359924287107E-2</v>
      </c>
      <c r="AX25" s="13">
        <v>5.7784317003398346E-2</v>
      </c>
      <c r="AY25" s="13">
        <v>0.60518822418748885</v>
      </c>
      <c r="AZ25" s="13">
        <v>1980</v>
      </c>
      <c r="BA25" s="13">
        <v>5.7502196445550118E-3</v>
      </c>
      <c r="BB25" s="13">
        <v>0</v>
      </c>
      <c r="BD25" s="16">
        <v>22</v>
      </c>
      <c r="BE25" s="13">
        <v>80</v>
      </c>
      <c r="BF25" s="17">
        <v>84.019255749999999</v>
      </c>
      <c r="BH25" s="36">
        <v>0.98762687638190805</v>
      </c>
      <c r="BI25" s="36">
        <v>0.310294117647058</v>
      </c>
      <c r="BJ25" s="23"/>
      <c r="BK25" s="23"/>
      <c r="BP25" s="24"/>
      <c r="BQ25" s="13">
        <f t="shared" si="3"/>
        <v>5.024069687499999</v>
      </c>
      <c r="BR25" s="36">
        <v>0.20388657946858799</v>
      </c>
      <c r="BS25" s="13">
        <v>0.72898804881244261</v>
      </c>
      <c r="BT25" s="13">
        <v>0.31477404711265922</v>
      </c>
      <c r="BU25" s="13">
        <v>1578</v>
      </c>
      <c r="BV25" s="13">
        <v>4.9949439702483929E-3</v>
      </c>
      <c r="BW25" s="13">
        <v>0</v>
      </c>
    </row>
    <row r="26" spans="1:75" ht="15">
      <c r="A26" s="16">
        <v>23</v>
      </c>
      <c r="B26" s="13">
        <v>15</v>
      </c>
      <c r="C26" s="17">
        <v>14.839097669999999</v>
      </c>
      <c r="E26" s="36">
        <v>2.5468411809045199</v>
      </c>
      <c r="F26" s="36">
        <v>0.35147058823529398</v>
      </c>
      <c r="G26" s="36"/>
      <c r="H26" s="23"/>
      <c r="I26" s="23"/>
      <c r="M26" s="13">
        <f t="shared" si="0"/>
        <v>-1.072682200000008</v>
      </c>
      <c r="O26" s="16">
        <v>23</v>
      </c>
      <c r="P26" s="13">
        <v>15</v>
      </c>
      <c r="Q26" s="17">
        <v>10.05752176</v>
      </c>
      <c r="S26" s="36">
        <v>3.2420973994974802</v>
      </c>
      <c r="T26" s="36">
        <v>0.248529411764705</v>
      </c>
      <c r="U26" s="36"/>
      <c r="Y26" s="24"/>
      <c r="AA26" s="13">
        <f t="shared" si="1"/>
        <v>-32.949854933333334</v>
      </c>
      <c r="AB26" s="36">
        <v>0.422520682501556</v>
      </c>
      <c r="AC26" s="23">
        <v>0.91689756098221398</v>
      </c>
      <c r="AD26" s="23">
        <v>0.85426994042051707</v>
      </c>
      <c r="AE26" s="23">
        <v>153</v>
      </c>
      <c r="AF26" s="23">
        <v>8.3273534993932637E-3</v>
      </c>
      <c r="AG26" s="23">
        <v>0</v>
      </c>
      <c r="AI26" s="16">
        <v>23</v>
      </c>
      <c r="AJ26" s="13">
        <v>15</v>
      </c>
      <c r="AK26" s="17">
        <v>14.969819530000001</v>
      </c>
      <c r="AM26" s="36">
        <v>0.52504662814070302</v>
      </c>
      <c r="AN26" s="36">
        <v>0.311764705882352</v>
      </c>
      <c r="AO26" s="36"/>
      <c r="AU26" s="24"/>
      <c r="AV26" s="13">
        <f t="shared" si="2"/>
        <v>-0.20120313333332751</v>
      </c>
      <c r="AW26" s="36">
        <v>9.6924359924287107E-2</v>
      </c>
      <c r="AX26" s="13">
        <v>0.24340613082594567</v>
      </c>
      <c r="AY26" s="13">
        <v>0.18826106311195706</v>
      </c>
      <c r="AZ26" s="13">
        <v>259</v>
      </c>
      <c r="BA26" s="13">
        <v>9.8271842327001431E-3</v>
      </c>
      <c r="BB26" s="13">
        <v>0</v>
      </c>
      <c r="BD26" s="16">
        <v>23</v>
      </c>
      <c r="BE26" s="13">
        <v>15</v>
      </c>
      <c r="BF26" s="17">
        <v>14.34026018</v>
      </c>
      <c r="BH26" s="36">
        <v>1.0581716532663299</v>
      </c>
      <c r="BI26" s="36">
        <v>0.32352941176470501</v>
      </c>
      <c r="BJ26" s="23"/>
      <c r="BK26" s="23"/>
      <c r="BP26" s="24"/>
      <c r="BQ26" s="13">
        <f t="shared" si="3"/>
        <v>-4.3982654666666736</v>
      </c>
      <c r="BR26" s="36">
        <v>0.20388657946858799</v>
      </c>
      <c r="BS26" s="13">
        <v>0.90718838841204674</v>
      </c>
      <c r="BT26" s="13">
        <v>5.4774290262210208E-2</v>
      </c>
      <c r="BU26" s="13">
        <v>1756</v>
      </c>
      <c r="BV26" s="13">
        <v>8.9567776660184947E-3</v>
      </c>
      <c r="BW26" s="13">
        <v>1</v>
      </c>
    </row>
    <row r="27" spans="1:75" ht="15">
      <c r="A27" s="16">
        <v>24</v>
      </c>
      <c r="B27" s="13">
        <v>233</v>
      </c>
      <c r="C27" s="17">
        <v>201.9541481</v>
      </c>
      <c r="E27" s="36">
        <v>2.7166305929648198</v>
      </c>
      <c r="F27" s="36">
        <v>0.35441176470588198</v>
      </c>
      <c r="G27" s="36"/>
      <c r="H27" s="23"/>
      <c r="I27" s="23"/>
      <c r="M27" s="13">
        <f t="shared" si="0"/>
        <v>-13.324399957081546</v>
      </c>
      <c r="O27" s="16">
        <v>24</v>
      </c>
      <c r="P27" s="13">
        <v>233</v>
      </c>
      <c r="Q27" s="17">
        <v>198.7867536</v>
      </c>
      <c r="S27" s="36">
        <v>3.4582372261306502</v>
      </c>
      <c r="T27" s="36">
        <v>0.26323529411764701</v>
      </c>
      <c r="U27" s="36"/>
      <c r="Y27" s="24"/>
      <c r="AA27" s="13">
        <f t="shared" si="1"/>
        <v>-14.683796738197429</v>
      </c>
      <c r="AB27" s="36">
        <v>0.415950338441961</v>
      </c>
      <c r="AC27" s="23">
        <v>1.367020265725955E-2</v>
      </c>
      <c r="AD27" s="23">
        <v>0.13835838093109301</v>
      </c>
      <c r="AE27" s="23">
        <v>502</v>
      </c>
      <c r="AF27" s="23">
        <v>8.3837218175817126E-3</v>
      </c>
      <c r="AG27" s="23">
        <v>1</v>
      </c>
      <c r="AI27" s="16">
        <v>24</v>
      </c>
      <c r="AJ27" s="13">
        <v>233</v>
      </c>
      <c r="AK27" s="17">
        <v>226.90882959999999</v>
      </c>
      <c r="AM27" s="36">
        <v>0.56004973668341695</v>
      </c>
      <c r="AN27" s="36">
        <v>0.316176470588235</v>
      </c>
      <c r="AO27" s="36"/>
      <c r="AU27" s="24"/>
      <c r="AV27" s="13">
        <f t="shared" si="2"/>
        <v>-2.6142362231759697</v>
      </c>
      <c r="AW27" s="36">
        <v>9.6924359924287107E-2</v>
      </c>
      <c r="AX27" s="13">
        <v>0.58564791353177104</v>
      </c>
      <c r="AY27" s="13">
        <v>0.8025799560881538</v>
      </c>
      <c r="AZ27" s="13">
        <v>1610</v>
      </c>
      <c r="BA27" s="13">
        <v>7.8226140124662922E-3</v>
      </c>
      <c r="BB27" s="13">
        <v>1</v>
      </c>
      <c r="BD27" s="16">
        <v>24</v>
      </c>
      <c r="BE27" s="13">
        <v>233</v>
      </c>
      <c r="BF27" s="17">
        <v>220.18507320000001</v>
      </c>
      <c r="BH27" s="36">
        <v>1.12871643015075</v>
      </c>
      <c r="BI27" s="36">
        <v>0.33235294117647002</v>
      </c>
      <c r="BJ27" s="23"/>
      <c r="BK27" s="23"/>
      <c r="BP27" s="24"/>
      <c r="BQ27" s="13">
        <f t="shared" si="3"/>
        <v>-5.4999685836909844</v>
      </c>
      <c r="BR27" s="36">
        <v>0.20388657946858799</v>
      </c>
      <c r="BS27" s="13">
        <v>0.88897116955773559</v>
      </c>
      <c r="BT27" s="13">
        <v>0.44707940756544928</v>
      </c>
      <c r="BU27" s="13">
        <v>1615</v>
      </c>
      <c r="BV27" s="13">
        <v>9.3020007630513534E-4</v>
      </c>
      <c r="BW27" s="13">
        <v>1</v>
      </c>
    </row>
    <row r="28" spans="1:75" ht="15">
      <c r="A28" s="16">
        <v>25</v>
      </c>
      <c r="B28" s="13">
        <v>1</v>
      </c>
      <c r="C28" s="17">
        <v>1.40382862979531</v>
      </c>
      <c r="E28" s="36">
        <v>2.8864200050251201</v>
      </c>
      <c r="F28" s="36">
        <v>0.35588235294117598</v>
      </c>
      <c r="G28" s="36"/>
      <c r="M28" s="13">
        <f t="shared" si="0"/>
        <v>40.382862979530998</v>
      </c>
      <c r="O28" s="16">
        <v>25</v>
      </c>
      <c r="P28" s="13">
        <v>1</v>
      </c>
      <c r="Q28" s="17">
        <v>1.2648957969249199</v>
      </c>
      <c r="S28" s="36">
        <v>3.67437705276381</v>
      </c>
      <c r="T28" s="36">
        <v>0.27647058823529402</v>
      </c>
      <c r="U28" s="36"/>
      <c r="Y28" s="24"/>
      <c r="AA28" s="13">
        <f t="shared" si="1"/>
        <v>26.489579692491994</v>
      </c>
      <c r="AB28" s="36">
        <v>0.415950338441961</v>
      </c>
      <c r="AC28" s="23">
        <v>0.6817863569916579</v>
      </c>
      <c r="AD28" s="23">
        <v>0.28761899235320321</v>
      </c>
      <c r="AE28" s="23">
        <v>868</v>
      </c>
      <c r="AF28" s="23">
        <v>9.5226762300760891E-3</v>
      </c>
      <c r="AG28" s="23">
        <v>1</v>
      </c>
      <c r="AI28" s="16">
        <v>25</v>
      </c>
      <c r="AJ28" s="13">
        <v>1</v>
      </c>
      <c r="AK28" s="17">
        <v>1.09383812749058</v>
      </c>
      <c r="AM28" s="36">
        <v>0.59505284522613</v>
      </c>
      <c r="AN28" s="36">
        <v>0.31911764705882301</v>
      </c>
      <c r="AO28" s="36"/>
      <c r="AU28" s="24"/>
      <c r="AV28" s="13">
        <f t="shared" si="2"/>
        <v>9.383812749057995</v>
      </c>
      <c r="AW28" s="36">
        <v>9.6924359924287107E-2</v>
      </c>
      <c r="AX28" s="13">
        <v>0.4076950172990168</v>
      </c>
      <c r="AY28" s="13">
        <v>0.51710038266464509</v>
      </c>
      <c r="AZ28" s="13">
        <v>1026</v>
      </c>
      <c r="BA28" s="13">
        <v>3.6404349082294982E-3</v>
      </c>
      <c r="BB28" s="13">
        <v>1</v>
      </c>
      <c r="BD28" s="16">
        <v>25</v>
      </c>
      <c r="BE28" s="13">
        <v>1</v>
      </c>
      <c r="BF28" s="17">
        <v>0.81681216321053896</v>
      </c>
      <c r="BH28" s="36">
        <v>1.19926120703517</v>
      </c>
      <c r="BI28" s="36">
        <v>0.33382352941176402</v>
      </c>
      <c r="BJ28" s="36"/>
      <c r="BP28" s="24"/>
      <c r="BQ28" s="13">
        <f t="shared" si="3"/>
        <v>-18.318783678946104</v>
      </c>
      <c r="BR28" s="36">
        <v>0.20388657946858799</v>
      </c>
      <c r="BS28" s="13">
        <v>0.69316798149487158</v>
      </c>
      <c r="BT28" s="13">
        <v>0.44150146748384056</v>
      </c>
      <c r="BU28" s="13">
        <v>471</v>
      </c>
      <c r="BV28" s="13">
        <v>2.7714137613624694E-4</v>
      </c>
      <c r="BW28" s="13">
        <v>0</v>
      </c>
    </row>
    <row r="29" spans="1:75" ht="15">
      <c r="A29" s="16">
        <v>26</v>
      </c>
      <c r="B29" s="13">
        <v>42</v>
      </c>
      <c r="C29" s="17">
        <v>54.732311805875398</v>
      </c>
      <c r="E29" s="36">
        <v>3.0562094170854199</v>
      </c>
      <c r="F29" s="36">
        <v>0.35588235294117598</v>
      </c>
      <c r="G29" s="36"/>
      <c r="M29" s="13">
        <f t="shared" si="0"/>
        <v>30.315028109227129</v>
      </c>
      <c r="O29" s="16">
        <v>26</v>
      </c>
      <c r="P29" s="13">
        <v>42</v>
      </c>
      <c r="Q29" s="17">
        <v>60.751394055515703</v>
      </c>
      <c r="S29" s="36">
        <v>3.89051687939698</v>
      </c>
      <c r="T29" s="36">
        <v>0.28235294117646997</v>
      </c>
      <c r="U29" s="36"/>
      <c r="AA29" s="13">
        <f t="shared" si="1"/>
        <v>44.646176322656437</v>
      </c>
      <c r="AB29" s="36">
        <v>0.415950338441961</v>
      </c>
      <c r="AC29" s="23">
        <v>0.58056176536288984</v>
      </c>
      <c r="AD29" s="23">
        <v>2.4671041068502708E-2</v>
      </c>
      <c r="AE29" s="23">
        <v>952</v>
      </c>
      <c r="AF29" s="23">
        <v>7.2750445418381555E-3</v>
      </c>
      <c r="AG29" s="23">
        <v>0</v>
      </c>
      <c r="AI29" s="16">
        <v>26</v>
      </c>
      <c r="AJ29" s="13">
        <v>42</v>
      </c>
      <c r="AK29" s="17">
        <v>36.175977379999999</v>
      </c>
      <c r="AM29" s="36">
        <v>0.63005595376884405</v>
      </c>
      <c r="AN29" s="36">
        <v>0.32205882352941101</v>
      </c>
      <c r="AO29" s="36"/>
      <c r="AV29" s="13">
        <f t="shared" si="2"/>
        <v>-13.866720523809528</v>
      </c>
      <c r="AW29" s="36">
        <v>9.6924359924287107E-2</v>
      </c>
      <c r="AX29" s="13">
        <v>0.64603692909925903</v>
      </c>
      <c r="AY29" s="13">
        <v>0.32969819754348284</v>
      </c>
      <c r="AZ29" s="13">
        <v>1301</v>
      </c>
      <c r="BA29" s="13">
        <v>9.8150374078445329E-3</v>
      </c>
      <c r="BB29" s="13">
        <v>1</v>
      </c>
      <c r="BD29" s="16">
        <v>26</v>
      </c>
      <c r="BE29" s="13">
        <v>42</v>
      </c>
      <c r="BF29" s="17">
        <v>29.55990225</v>
      </c>
      <c r="BH29" s="36">
        <v>1.2698059839195901</v>
      </c>
      <c r="BI29" s="36">
        <v>0.33823529411764702</v>
      </c>
      <c r="BJ29" s="36"/>
      <c r="BQ29" s="13">
        <f t="shared" si="3"/>
        <v>-29.619280357142852</v>
      </c>
      <c r="BR29" s="36">
        <v>0.20388657946858799</v>
      </c>
      <c r="BS29" s="13">
        <v>0.65128290121821497</v>
      </c>
      <c r="BT29" s="13">
        <v>0.58735096433743861</v>
      </c>
      <c r="BU29" s="13">
        <v>1687</v>
      </c>
      <c r="BV29" s="13">
        <v>3.1111923234616147E-3</v>
      </c>
      <c r="BW29" s="13">
        <v>0</v>
      </c>
    </row>
    <row r="30" spans="1:75" ht="15">
      <c r="A30" s="16">
        <v>27</v>
      </c>
      <c r="B30" s="13">
        <v>56</v>
      </c>
      <c r="C30" s="17">
        <v>57.844508949999998</v>
      </c>
      <c r="E30" s="36">
        <v>3.2259988291457198</v>
      </c>
      <c r="F30" s="36">
        <v>0.35735294117646998</v>
      </c>
      <c r="G30" s="36"/>
      <c r="M30" s="13">
        <f t="shared" si="0"/>
        <v>3.29376598214286</v>
      </c>
      <c r="O30" s="16">
        <v>27</v>
      </c>
      <c r="P30" s="13">
        <v>56</v>
      </c>
      <c r="Q30" s="17">
        <v>51.250756789999997</v>
      </c>
      <c r="S30" s="36">
        <v>4.1066567060301402</v>
      </c>
      <c r="T30" s="36">
        <v>0.29852941176470499</v>
      </c>
      <c r="U30" s="36"/>
      <c r="AA30" s="13">
        <f t="shared" si="1"/>
        <v>-8.4807914464285812</v>
      </c>
      <c r="AB30" s="36">
        <v>0.415950338441961</v>
      </c>
      <c r="AC30" s="23">
        <v>0.56222907641931807</v>
      </c>
      <c r="AD30" s="23">
        <v>0.69097861301551333</v>
      </c>
      <c r="AE30" s="23">
        <v>922</v>
      </c>
      <c r="AF30" s="23">
        <v>6.5757542667247981E-3</v>
      </c>
      <c r="AG30" s="23">
        <v>0</v>
      </c>
      <c r="AI30" s="16">
        <v>27</v>
      </c>
      <c r="AJ30" s="13">
        <v>56</v>
      </c>
      <c r="AK30" s="17">
        <v>56.672901789999997</v>
      </c>
      <c r="AM30" s="36">
        <v>0.66505906231155698</v>
      </c>
      <c r="AN30" s="36">
        <v>0.32352941176470501</v>
      </c>
      <c r="AO30" s="36"/>
      <c r="AV30" s="13">
        <f t="shared" si="2"/>
        <v>1.2016103392857191</v>
      </c>
      <c r="AW30" s="36">
        <v>9.6924359924287107E-2</v>
      </c>
      <c r="AX30" s="13">
        <v>0.44689546617618237</v>
      </c>
      <c r="AY30" s="13">
        <v>0.35461689467763796</v>
      </c>
      <c r="AZ30" s="13">
        <v>615</v>
      </c>
      <c r="BA30" s="13">
        <v>8.9399648577387567E-3</v>
      </c>
      <c r="BB30" s="13">
        <v>0</v>
      </c>
      <c r="BD30" s="16">
        <v>27</v>
      </c>
      <c r="BE30" s="13">
        <v>56</v>
      </c>
      <c r="BF30" s="17">
        <v>56.281504679999998</v>
      </c>
      <c r="BH30" s="36">
        <v>1.3403507608040099</v>
      </c>
      <c r="BI30" s="36">
        <v>0.34411764705882297</v>
      </c>
      <c r="BJ30" s="36"/>
      <c r="BQ30" s="13">
        <f t="shared" si="3"/>
        <v>0.50268692857142749</v>
      </c>
      <c r="BR30" s="36">
        <v>0.20388657946858799</v>
      </c>
      <c r="BS30" s="13">
        <v>0.94698813138646443</v>
      </c>
      <c r="BT30" s="13">
        <v>0.56001652840399174</v>
      </c>
      <c r="BU30" s="13">
        <v>463</v>
      </c>
      <c r="BV30" s="13">
        <v>4.8384179426366313E-3</v>
      </c>
      <c r="BW30" s="13">
        <v>1</v>
      </c>
    </row>
    <row r="31" spans="1:75" ht="15">
      <c r="A31" s="16">
        <v>28</v>
      </c>
      <c r="B31" s="13">
        <v>54</v>
      </c>
      <c r="C31" s="17">
        <v>63.762227959999997</v>
      </c>
      <c r="E31" s="36">
        <v>3.3957882412060298</v>
      </c>
      <c r="F31" s="36">
        <v>0.35735294117646998</v>
      </c>
      <c r="G31" s="36"/>
      <c r="M31" s="13">
        <f t="shared" si="0"/>
        <v>18.078199925925919</v>
      </c>
      <c r="O31" s="16">
        <v>28</v>
      </c>
      <c r="P31" s="13">
        <v>54</v>
      </c>
      <c r="Q31" s="17">
        <v>63.110754470000003</v>
      </c>
      <c r="S31" s="36">
        <v>4.3227965326633102</v>
      </c>
      <c r="T31" s="36">
        <v>0.314705882352941</v>
      </c>
      <c r="U31" s="36"/>
      <c r="AA31" s="13">
        <f t="shared" si="1"/>
        <v>16.871767537037051</v>
      </c>
      <c r="AB31" s="36">
        <v>0.415950338441961</v>
      </c>
      <c r="AC31" s="23">
        <v>8.1362675492788569E-2</v>
      </c>
      <c r="AD31" s="23">
        <v>0.51204073637174718</v>
      </c>
      <c r="AE31" s="23">
        <v>511</v>
      </c>
      <c r="AF31" s="23">
        <v>4.7179397758377595E-3</v>
      </c>
      <c r="AG31" s="23">
        <v>1</v>
      </c>
      <c r="AI31" s="16">
        <v>28</v>
      </c>
      <c r="AJ31" s="13">
        <v>54</v>
      </c>
      <c r="AK31" s="17">
        <v>56.120445590000003</v>
      </c>
      <c r="AM31" s="36">
        <v>0.70006217085427103</v>
      </c>
      <c r="AN31" s="36">
        <v>0.32941176470588202</v>
      </c>
      <c r="AO31" s="36"/>
      <c r="AV31" s="13">
        <f t="shared" si="2"/>
        <v>3.9267510925925952</v>
      </c>
      <c r="AW31" s="36">
        <v>9.6924359924287107E-2</v>
      </c>
      <c r="AX31" s="13">
        <v>0.17086139383967056</v>
      </c>
      <c r="AY31" s="13">
        <v>0.45167050498897826</v>
      </c>
      <c r="AZ31" s="13">
        <v>1166</v>
      </c>
      <c r="BA31" s="13">
        <v>4.6847079595916681E-4</v>
      </c>
      <c r="BB31" s="13">
        <v>1</v>
      </c>
      <c r="BD31" s="16">
        <v>28</v>
      </c>
      <c r="BE31" s="13">
        <v>54</v>
      </c>
      <c r="BF31" s="17">
        <v>57.968301539999999</v>
      </c>
      <c r="BH31" s="36">
        <v>1.41089553768844</v>
      </c>
      <c r="BI31" s="36">
        <v>0.34558823529411697</v>
      </c>
      <c r="BJ31" s="36"/>
      <c r="BQ31" s="13">
        <f t="shared" si="3"/>
        <v>7.3487065555555509</v>
      </c>
      <c r="BR31" s="36">
        <v>0.20388657946858799</v>
      </c>
      <c r="BS31" s="13">
        <v>7.7739253161321159E-2</v>
      </c>
      <c r="BT31" s="13">
        <v>0.57154187460437933</v>
      </c>
      <c r="BU31" s="13">
        <v>476</v>
      </c>
      <c r="BV31" s="13">
        <v>7.9066288735512302E-3</v>
      </c>
      <c r="BW31" s="13">
        <v>1</v>
      </c>
    </row>
    <row r="32" spans="1:75" ht="15">
      <c r="A32" s="16">
        <v>29</v>
      </c>
      <c r="B32" s="13">
        <v>85</v>
      </c>
      <c r="C32" s="17">
        <v>56.534169409999997</v>
      </c>
      <c r="E32" s="36">
        <v>3.5655776532663301</v>
      </c>
      <c r="F32" s="36">
        <v>0.36470588235294099</v>
      </c>
      <c r="G32" s="36"/>
      <c r="M32" s="13">
        <f t="shared" si="0"/>
        <v>-33.489212458823538</v>
      </c>
      <c r="O32" s="16">
        <v>29</v>
      </c>
      <c r="P32" s="13">
        <v>85</v>
      </c>
      <c r="Q32" s="17">
        <v>53.078276899999999</v>
      </c>
      <c r="S32" s="36">
        <v>4.5389363592964802</v>
      </c>
      <c r="T32" s="36">
        <v>0.32647058823529401</v>
      </c>
      <c r="U32" s="36"/>
      <c r="AA32" s="13">
        <f t="shared" si="1"/>
        <v>-37.554968352941174</v>
      </c>
      <c r="AB32" s="36">
        <v>0.415950338441961</v>
      </c>
      <c r="AC32" s="23">
        <v>0.86115222280128767</v>
      </c>
      <c r="AD32" s="23">
        <v>0.3094281053872372</v>
      </c>
      <c r="AE32" s="23">
        <v>652</v>
      </c>
      <c r="AF32" s="23">
        <v>8.9779977034285929E-3</v>
      </c>
      <c r="AG32" s="23">
        <v>1</v>
      </c>
      <c r="AI32" s="16">
        <v>29</v>
      </c>
      <c r="AJ32" s="13">
        <v>85</v>
      </c>
      <c r="AK32" s="17">
        <v>79.572833880000005</v>
      </c>
      <c r="AM32" s="36">
        <v>0.73506527939698396</v>
      </c>
      <c r="AN32" s="36">
        <v>0.33088235294117602</v>
      </c>
      <c r="AO32" s="36"/>
      <c r="AV32" s="13">
        <f t="shared" si="2"/>
        <v>-6.384901317647051</v>
      </c>
      <c r="AW32" s="36">
        <v>9.6924359924287107E-2</v>
      </c>
      <c r="AX32" s="13">
        <v>0.14974061128979402</v>
      </c>
      <c r="AY32" s="13">
        <v>0.40287356424729259</v>
      </c>
      <c r="AZ32" s="13">
        <v>1636</v>
      </c>
      <c r="BA32" s="13">
        <v>3.3001991983993267E-3</v>
      </c>
      <c r="BB32" s="13">
        <v>0</v>
      </c>
      <c r="BD32" s="16">
        <v>29</v>
      </c>
      <c r="BE32" s="13">
        <v>85</v>
      </c>
      <c r="BF32" s="17">
        <v>72.557325340000006</v>
      </c>
      <c r="BH32" s="36">
        <v>1.4814403145728601</v>
      </c>
      <c r="BI32" s="36">
        <v>0.34558823529411697</v>
      </c>
      <c r="BJ32" s="36"/>
      <c r="BQ32" s="13">
        <f t="shared" si="3"/>
        <v>-14.638440776470585</v>
      </c>
      <c r="BR32" s="36">
        <v>0.20388657946858799</v>
      </c>
      <c r="BS32" s="13">
        <v>0.40546558011864781</v>
      </c>
      <c r="BT32" s="13">
        <v>0.23272275124080313</v>
      </c>
      <c r="BU32" s="13">
        <v>345</v>
      </c>
      <c r="BV32" s="13">
        <v>1.3493660882111856E-3</v>
      </c>
      <c r="BW32" s="13">
        <v>1</v>
      </c>
    </row>
    <row r="33" spans="1:75" ht="15">
      <c r="A33" s="16">
        <v>30</v>
      </c>
      <c r="B33" s="13">
        <v>8</v>
      </c>
      <c r="C33" s="17">
        <v>12.884987489481199</v>
      </c>
      <c r="E33" s="36">
        <v>3.73536706532663</v>
      </c>
      <c r="F33" s="36">
        <v>0.369117647058823</v>
      </c>
      <c r="G33" s="36"/>
      <c r="M33" s="13">
        <f t="shared" si="0"/>
        <v>61.062343618514994</v>
      </c>
      <c r="O33" s="16">
        <v>30</v>
      </c>
      <c r="P33" s="13">
        <v>8</v>
      </c>
      <c r="Q33" s="17">
        <v>6.7369522491263103</v>
      </c>
      <c r="S33" s="36">
        <v>4.7550761859296404</v>
      </c>
      <c r="T33" s="36">
        <v>0.34705882352941098</v>
      </c>
      <c r="U33" s="36"/>
      <c r="AA33" s="13">
        <f t="shared" si="1"/>
        <v>-15.788096885921121</v>
      </c>
      <c r="AB33" s="36">
        <v>0.40792897205107898</v>
      </c>
      <c r="AC33" s="23">
        <v>0.34009342955659938</v>
      </c>
      <c r="AD33" s="23">
        <v>0.55446766062382735</v>
      </c>
      <c r="AE33" s="23">
        <v>1280</v>
      </c>
      <c r="AF33" s="23">
        <v>7.0672388985514581E-3</v>
      </c>
      <c r="AG33" s="23">
        <v>1</v>
      </c>
      <c r="AI33" s="16">
        <v>30</v>
      </c>
      <c r="AJ33" s="13">
        <v>8</v>
      </c>
      <c r="AK33" s="17">
        <v>10.208737259999999</v>
      </c>
      <c r="AM33" s="36">
        <v>0.77006838793969801</v>
      </c>
      <c r="AN33" s="36">
        <v>0.33382352941176402</v>
      </c>
      <c r="AO33" s="36"/>
      <c r="AV33" s="13">
        <f t="shared" si="2"/>
        <v>27.609215749999994</v>
      </c>
      <c r="AW33" s="36">
        <v>9.6924359924287107E-2</v>
      </c>
      <c r="AX33" s="13">
        <v>0.30180962208219947</v>
      </c>
      <c r="AY33" s="13">
        <v>7.7506613101971669E-2</v>
      </c>
      <c r="AZ33" s="13">
        <v>1213</v>
      </c>
      <c r="BA33" s="13">
        <v>9.141563039160517E-3</v>
      </c>
      <c r="BB33" s="13">
        <v>0</v>
      </c>
      <c r="BD33" s="16">
        <v>30</v>
      </c>
      <c r="BE33" s="13">
        <v>8</v>
      </c>
      <c r="BF33" s="17">
        <v>10.7969651332679</v>
      </c>
      <c r="BH33" s="36">
        <v>1.5519850914572799</v>
      </c>
      <c r="BI33" s="36">
        <v>0.34558823529411697</v>
      </c>
      <c r="BJ33" s="36"/>
      <c r="BQ33" s="13">
        <f t="shared" si="3"/>
        <v>34.962064165848751</v>
      </c>
      <c r="BR33" s="36">
        <v>0.20388657946858799</v>
      </c>
      <c r="BS33" s="13">
        <v>0.85673501637863803</v>
      </c>
      <c r="BT33" s="13">
        <v>6.7471027787468288E-2</v>
      </c>
      <c r="BU33" s="13">
        <v>1793</v>
      </c>
      <c r="BV33" s="13">
        <v>1.0640623612646824E-3</v>
      </c>
      <c r="BW33" s="13">
        <v>0</v>
      </c>
    </row>
    <row r="34" spans="1:75">
      <c r="A34" s="13">
        <v>31</v>
      </c>
      <c r="B34" s="13">
        <v>97</v>
      </c>
      <c r="C34" s="17">
        <v>106.802289</v>
      </c>
      <c r="E34" s="36">
        <v>3.9051564773869298</v>
      </c>
      <c r="F34" s="36">
        <v>0.370588235294117</v>
      </c>
      <c r="G34" s="36"/>
      <c r="M34" s="13">
        <f t="shared" si="0"/>
        <v>10.105452577319586</v>
      </c>
      <c r="O34" s="13">
        <v>31</v>
      </c>
      <c r="P34" s="13">
        <v>97</v>
      </c>
      <c r="Q34" s="17">
        <v>108.2180613</v>
      </c>
      <c r="S34" s="36">
        <v>4.9712160125628104</v>
      </c>
      <c r="T34" s="36">
        <v>0.36470588235294099</v>
      </c>
      <c r="U34" s="36"/>
      <c r="AA34" s="13">
        <f t="shared" si="1"/>
        <v>11.565011649484536</v>
      </c>
      <c r="AB34" s="36">
        <v>0.40792897205107898</v>
      </c>
      <c r="AC34" s="23">
        <v>0.96918646394575947</v>
      </c>
      <c r="AD34" s="23">
        <v>0.32530087478001696</v>
      </c>
      <c r="AE34" s="23">
        <v>502</v>
      </c>
      <c r="AF34" s="23">
        <v>4.1237711003971715E-3</v>
      </c>
      <c r="AG34" s="23">
        <v>0</v>
      </c>
      <c r="AI34" s="13">
        <v>31</v>
      </c>
      <c r="AJ34" s="13">
        <v>97</v>
      </c>
      <c r="AK34" s="17">
        <v>98.870457790000003</v>
      </c>
      <c r="AM34" s="36">
        <v>0.80507149648241205</v>
      </c>
      <c r="AN34" s="36">
        <v>0.33529411764705802</v>
      </c>
      <c r="AO34" s="36"/>
      <c r="AV34" s="13">
        <f t="shared" si="2"/>
        <v>1.9283069999999958</v>
      </c>
      <c r="AW34" s="36">
        <v>9.6235291902380393E-2</v>
      </c>
      <c r="AX34" s="13">
        <v>0.64020623371898078</v>
      </c>
      <c r="AY34" s="13">
        <v>0.52678059091424301</v>
      </c>
      <c r="AZ34" s="13">
        <v>1353</v>
      </c>
      <c r="BA34" s="13">
        <v>4.2877835144870709E-3</v>
      </c>
      <c r="BB34" s="13">
        <v>1</v>
      </c>
      <c r="BD34" s="13">
        <v>31</v>
      </c>
      <c r="BE34" s="13">
        <v>97</v>
      </c>
      <c r="BF34" s="17">
        <v>101.203222</v>
      </c>
      <c r="BH34" s="36">
        <v>1.6225298683417</v>
      </c>
      <c r="BI34" s="36">
        <v>0.34852941176470498</v>
      </c>
      <c r="BJ34" s="36"/>
      <c r="BQ34" s="13">
        <f t="shared" si="3"/>
        <v>4.3332185567010351</v>
      </c>
      <c r="BR34" s="36">
        <v>0.20388657946858799</v>
      </c>
      <c r="BS34" s="13">
        <v>0.70078612987476829</v>
      </c>
      <c r="BT34" s="13">
        <v>0.39710268490647904</v>
      </c>
      <c r="BU34" s="13">
        <v>467</v>
      </c>
      <c r="BV34" s="13">
        <v>5.5894936735670937E-3</v>
      </c>
      <c r="BW34" s="13">
        <v>0</v>
      </c>
    </row>
    <row r="35" spans="1:75">
      <c r="A35" s="13">
        <v>32</v>
      </c>
      <c r="B35" s="13">
        <v>98</v>
      </c>
      <c r="C35" s="17">
        <v>69.387722479999994</v>
      </c>
      <c r="E35" s="36">
        <v>4.0749458894472301</v>
      </c>
      <c r="F35" s="36">
        <v>0.373529411764705</v>
      </c>
      <c r="G35" s="36"/>
      <c r="M35" s="13">
        <f t="shared" si="0"/>
        <v>-29.196201551020419</v>
      </c>
      <c r="O35" s="13">
        <v>32</v>
      </c>
      <c r="P35" s="13">
        <v>98</v>
      </c>
      <c r="Q35" s="17">
        <v>69.783753910000001</v>
      </c>
      <c r="S35" s="36">
        <v>5.1873558391959698</v>
      </c>
      <c r="T35" s="36">
        <v>0.376470588235294</v>
      </c>
      <c r="U35" s="36"/>
      <c r="AA35" s="13">
        <f t="shared" si="1"/>
        <v>-28.792087846938774</v>
      </c>
      <c r="AB35" s="36">
        <v>0.40792897205107898</v>
      </c>
      <c r="AC35" s="23">
        <v>0.61783107711729923</v>
      </c>
      <c r="AD35" s="23">
        <v>0.71246483899224566</v>
      </c>
      <c r="AE35" s="23">
        <v>1398</v>
      </c>
      <c r="AF35" s="23">
        <v>7.655965337805784E-3</v>
      </c>
      <c r="AG35" s="23">
        <v>0</v>
      </c>
      <c r="AI35" s="13">
        <v>32</v>
      </c>
      <c r="AJ35" s="13">
        <v>98</v>
      </c>
      <c r="AK35" s="17">
        <v>92.379544499999994</v>
      </c>
      <c r="AM35" s="36">
        <v>0.84007460502512499</v>
      </c>
      <c r="AN35" s="36">
        <v>0.33529411764705802</v>
      </c>
      <c r="AO35" s="36"/>
      <c r="AV35" s="13">
        <f t="shared" si="2"/>
        <v>-5.7351586734693978</v>
      </c>
      <c r="AW35" s="36">
        <v>9.6235291902380393E-2</v>
      </c>
      <c r="AX35" s="13">
        <v>0.11354982365569458</v>
      </c>
      <c r="AY35" s="13">
        <v>2.8386255767393155E-2</v>
      </c>
      <c r="AZ35" s="13">
        <v>1039</v>
      </c>
      <c r="BA35" s="13">
        <v>3.1806239436036042E-3</v>
      </c>
      <c r="BB35" s="13">
        <v>1</v>
      </c>
      <c r="BD35" s="13">
        <v>32</v>
      </c>
      <c r="BE35" s="13">
        <v>98</v>
      </c>
      <c r="BF35" s="17">
        <v>86.039681250000001</v>
      </c>
      <c r="BH35" s="36">
        <v>1.6930746452261201</v>
      </c>
      <c r="BI35" s="36">
        <v>0.35147058823529398</v>
      </c>
      <c r="BJ35" s="36"/>
      <c r="BQ35" s="13">
        <f t="shared" si="3"/>
        <v>-12.204406887755104</v>
      </c>
      <c r="BR35" s="36">
        <v>0.20388657946858799</v>
      </c>
      <c r="BS35" s="13">
        <v>0.81911109484234434</v>
      </c>
      <c r="BT35" s="13">
        <v>7.2475211048476887E-2</v>
      </c>
      <c r="BU35" s="13">
        <v>665</v>
      </c>
      <c r="BV35" s="13">
        <v>8.3001844271996059E-3</v>
      </c>
      <c r="BW35" s="13">
        <v>1</v>
      </c>
    </row>
    <row r="36" spans="1:75">
      <c r="A36" s="13">
        <v>33</v>
      </c>
      <c r="B36" s="13">
        <v>36</v>
      </c>
      <c r="C36" s="17">
        <v>46.941251389999998</v>
      </c>
      <c r="E36" s="36">
        <v>4.2447353015075304</v>
      </c>
      <c r="F36" s="36">
        <v>0.375</v>
      </c>
      <c r="G36" s="36"/>
      <c r="M36" s="13">
        <f t="shared" si="0"/>
        <v>30.392364972222218</v>
      </c>
      <c r="O36" s="13">
        <v>33</v>
      </c>
      <c r="P36" s="13">
        <v>36</v>
      </c>
      <c r="Q36" s="17">
        <v>47.398288989999998</v>
      </c>
      <c r="S36" s="36">
        <v>5.4034956658291398</v>
      </c>
      <c r="T36" s="36">
        <v>0.38823529411764701</v>
      </c>
      <c r="U36" s="36"/>
      <c r="AA36" s="13">
        <f t="shared" si="1"/>
        <v>31.661913861111103</v>
      </c>
      <c r="AB36" s="36">
        <v>0.40792897205107898</v>
      </c>
      <c r="AC36" s="23">
        <v>0.47850643251480918</v>
      </c>
      <c r="AD36" s="23">
        <v>0.67161630779208681</v>
      </c>
      <c r="AE36" s="23">
        <v>1036</v>
      </c>
      <c r="AF36" s="23">
        <v>3.3056523034357345E-3</v>
      </c>
      <c r="AG36" s="23">
        <v>1</v>
      </c>
      <c r="AI36" s="13">
        <v>33</v>
      </c>
      <c r="AJ36" s="13">
        <v>36</v>
      </c>
      <c r="AK36" s="17">
        <v>38.010250280000001</v>
      </c>
      <c r="AM36" s="36">
        <v>0.87507771356783903</v>
      </c>
      <c r="AN36" s="36">
        <v>0.33529411764705802</v>
      </c>
      <c r="AO36" s="36"/>
      <c r="AV36" s="13">
        <f t="shared" si="2"/>
        <v>5.5840285555555536</v>
      </c>
      <c r="AW36" s="36">
        <v>9.6235291902380393E-2</v>
      </c>
      <c r="AX36" s="13">
        <v>0.58137144747347547</v>
      </c>
      <c r="AY36" s="13">
        <v>0.74422265514879027</v>
      </c>
      <c r="AZ36" s="13">
        <v>636</v>
      </c>
      <c r="BA36" s="13">
        <v>4.4937721112761836E-3</v>
      </c>
      <c r="BB36" s="13">
        <v>1</v>
      </c>
      <c r="BD36" s="13">
        <v>33</v>
      </c>
      <c r="BE36" s="13">
        <v>36</v>
      </c>
      <c r="BF36" s="17">
        <v>40.554586239999999</v>
      </c>
      <c r="BH36" s="36">
        <v>1.7636194221105499</v>
      </c>
      <c r="BI36" s="36">
        <v>0.35294117647058798</v>
      </c>
      <c r="BJ36" s="36"/>
      <c r="BQ36" s="13">
        <f t="shared" si="3"/>
        <v>12.651628444444452</v>
      </c>
      <c r="BR36" s="36">
        <v>0.20298814483126301</v>
      </c>
      <c r="BS36" s="13">
        <v>0.4647472096412521</v>
      </c>
      <c r="BT36" s="13">
        <v>0.65002480149446384</v>
      </c>
      <c r="BU36" s="13">
        <v>527</v>
      </c>
      <c r="BV36" s="13">
        <v>7.4888662566777297E-3</v>
      </c>
      <c r="BW36" s="13">
        <v>1</v>
      </c>
    </row>
    <row r="37" spans="1:75">
      <c r="A37" s="13">
        <v>34</v>
      </c>
      <c r="B37" s="13">
        <v>115</v>
      </c>
      <c r="C37" s="17">
        <v>115.0328366</v>
      </c>
      <c r="E37" s="36">
        <v>4.4145247135678396</v>
      </c>
      <c r="F37" s="36">
        <v>0.379411764705882</v>
      </c>
      <c r="G37" s="36"/>
      <c r="M37" s="13">
        <f t="shared" si="0"/>
        <v>2.8553565217381838E-2</v>
      </c>
      <c r="O37" s="13">
        <v>34</v>
      </c>
      <c r="P37" s="13">
        <v>115</v>
      </c>
      <c r="Q37" s="17">
        <v>109.3510065</v>
      </c>
      <c r="S37" s="36">
        <v>5.6196354924623098</v>
      </c>
      <c r="T37" s="36">
        <v>0.40147058823529402</v>
      </c>
      <c r="U37" s="36"/>
      <c r="AA37" s="13">
        <f t="shared" si="1"/>
        <v>-4.9121682608695654</v>
      </c>
      <c r="AB37" s="36">
        <v>0.40792897205107898</v>
      </c>
      <c r="AC37" s="23">
        <v>0.71188227152597428</v>
      </c>
      <c r="AD37" s="23">
        <v>0.59853947790150785</v>
      </c>
      <c r="AE37" s="23">
        <v>541</v>
      </c>
      <c r="AF37" s="23">
        <v>8.5678281166509922E-3</v>
      </c>
      <c r="AG37" s="23">
        <v>0</v>
      </c>
      <c r="AI37" s="13">
        <v>34</v>
      </c>
      <c r="AJ37" s="13">
        <v>115</v>
      </c>
      <c r="AK37" s="17">
        <v>114.9165673</v>
      </c>
      <c r="AM37" s="36">
        <v>0.91008082211055197</v>
      </c>
      <c r="AN37" s="36">
        <v>0.33529411764705802</v>
      </c>
      <c r="AO37" s="36"/>
      <c r="AV37" s="13">
        <f t="shared" si="2"/>
        <v>-7.255017391304408E-2</v>
      </c>
      <c r="AW37" s="36">
        <v>9.6235291902380393E-2</v>
      </c>
      <c r="AX37" s="13">
        <v>0.91024445935041531</v>
      </c>
      <c r="AY37" s="13">
        <v>0.39742529885294708</v>
      </c>
      <c r="AZ37" s="13">
        <v>850</v>
      </c>
      <c r="BA37" s="13">
        <v>2.9532362791764638E-3</v>
      </c>
      <c r="BB37" s="13">
        <v>0</v>
      </c>
      <c r="BD37" s="13">
        <v>34</v>
      </c>
      <c r="BE37" s="13">
        <v>115</v>
      </c>
      <c r="BF37" s="17">
        <v>113.95108519999999</v>
      </c>
      <c r="BH37" s="36">
        <v>1.83416419899497</v>
      </c>
      <c r="BI37" s="36">
        <v>0.35441176470588198</v>
      </c>
      <c r="BJ37" s="36"/>
      <c r="BQ37" s="13">
        <f t="shared" si="3"/>
        <v>-0.91209982608696505</v>
      </c>
      <c r="BR37" s="36">
        <v>0.20298814483126301</v>
      </c>
      <c r="BS37" s="13">
        <v>0.58121035928041642</v>
      </c>
      <c r="BT37" s="13">
        <v>2.3305908040462255E-2</v>
      </c>
      <c r="BU37" s="13">
        <v>1300</v>
      </c>
      <c r="BV37" s="13">
        <v>4.2855908244848438E-3</v>
      </c>
      <c r="BW37" s="13">
        <v>1</v>
      </c>
    </row>
    <row r="38" spans="1:75">
      <c r="A38" s="13">
        <v>35</v>
      </c>
      <c r="B38" s="13">
        <v>105</v>
      </c>
      <c r="C38" s="17">
        <v>104.6561207</v>
      </c>
      <c r="E38" s="36">
        <v>4.5843141256281399</v>
      </c>
      <c r="F38" s="36">
        <v>0.38088235294117601</v>
      </c>
      <c r="G38" s="36"/>
      <c r="M38" s="13">
        <f t="shared" ref="M38:M101" si="4">((C38/B38)-1)*100</f>
        <v>-0.32750409523809587</v>
      </c>
      <c r="O38" s="13">
        <v>35</v>
      </c>
      <c r="P38" s="13">
        <v>105</v>
      </c>
      <c r="Q38" s="17">
        <v>102.130955</v>
      </c>
      <c r="S38" s="36">
        <v>5.83577531909547</v>
      </c>
      <c r="T38" s="36">
        <v>0.41617647058823498</v>
      </c>
      <c r="U38" s="36"/>
      <c r="AA38" s="13">
        <f t="shared" si="1"/>
        <v>-2.7324238095238096</v>
      </c>
      <c r="AB38" s="36">
        <v>0.40792897205107898</v>
      </c>
      <c r="AC38" s="23">
        <v>0.16454360848083713</v>
      </c>
      <c r="AD38" s="23">
        <v>0.1201187464408404</v>
      </c>
      <c r="AE38" s="23">
        <v>1360</v>
      </c>
      <c r="AF38" s="23">
        <v>2.7293860437600536E-3</v>
      </c>
      <c r="AG38" s="23">
        <v>1</v>
      </c>
      <c r="AI38" s="13">
        <v>35</v>
      </c>
      <c r="AJ38" s="13">
        <v>105</v>
      </c>
      <c r="AK38" s="17">
        <v>105.07122409999999</v>
      </c>
      <c r="AM38" s="36">
        <v>0.94508393065326601</v>
      </c>
      <c r="AN38" s="36">
        <v>0.33676470588235202</v>
      </c>
      <c r="AO38" s="36"/>
      <c r="AV38" s="13">
        <f t="shared" si="2"/>
        <v>6.783247619046584E-2</v>
      </c>
      <c r="AW38" s="36">
        <v>9.6235291902380393E-2</v>
      </c>
      <c r="AX38" s="13">
        <v>0.37788909273281018</v>
      </c>
      <c r="AY38" s="13">
        <v>0.71292054533844296</v>
      </c>
      <c r="AZ38" s="13">
        <v>1706</v>
      </c>
      <c r="BA38" s="13">
        <v>1.4344478102922599E-3</v>
      </c>
      <c r="BB38" s="13">
        <v>1</v>
      </c>
      <c r="BD38" s="13">
        <v>35</v>
      </c>
      <c r="BE38" s="13">
        <v>105</v>
      </c>
      <c r="BF38" s="17">
        <v>104.51838189999999</v>
      </c>
      <c r="BH38" s="36">
        <v>1.90470897587939</v>
      </c>
      <c r="BI38" s="36">
        <v>0.35441176470588198</v>
      </c>
      <c r="BJ38" s="36"/>
      <c r="BQ38" s="13">
        <f t="shared" si="3"/>
        <v>-0.45868390476191401</v>
      </c>
      <c r="BR38" s="36">
        <v>0.20298814483126301</v>
      </c>
      <c r="BS38" s="13">
        <v>0.77045619295910772</v>
      </c>
      <c r="BT38" s="13">
        <v>0.55194937689079238</v>
      </c>
      <c r="BU38" s="13">
        <v>181</v>
      </c>
      <c r="BV38" s="13">
        <v>3.7940730149134219E-3</v>
      </c>
      <c r="BW38" s="13">
        <v>1</v>
      </c>
    </row>
    <row r="39" spans="1:75">
      <c r="A39" s="13">
        <v>36</v>
      </c>
      <c r="B39" s="13">
        <v>70</v>
      </c>
      <c r="C39" s="17">
        <v>42.383706429999997</v>
      </c>
      <c r="E39" s="36">
        <v>4.7541035376884402</v>
      </c>
      <c r="F39" s="36">
        <v>0.38088235294117601</v>
      </c>
      <c r="G39" s="36"/>
      <c r="M39" s="13">
        <f t="shared" si="4"/>
        <v>-39.45184795714286</v>
      </c>
      <c r="O39" s="13">
        <v>36</v>
      </c>
      <c r="P39" s="13">
        <v>70</v>
      </c>
      <c r="Q39" s="17">
        <v>45.544774519999997</v>
      </c>
      <c r="S39" s="36">
        <v>6.05191514572864</v>
      </c>
      <c r="T39" s="36">
        <v>0.42941176470588199</v>
      </c>
      <c r="U39" s="36"/>
      <c r="AA39" s="13">
        <f t="shared" si="1"/>
        <v>-34.936036400000006</v>
      </c>
      <c r="AB39" s="36">
        <v>0.40792897205107898</v>
      </c>
      <c r="AC39" s="23">
        <v>0.71420958816525049</v>
      </c>
      <c r="AD39" s="23">
        <v>0.71229854475493082</v>
      </c>
      <c r="AE39" s="23">
        <v>1317</v>
      </c>
      <c r="AF39" s="23">
        <v>2.6837979676869054E-3</v>
      </c>
      <c r="AG39" s="23">
        <v>0</v>
      </c>
      <c r="AI39" s="13">
        <v>36</v>
      </c>
      <c r="AJ39" s="13">
        <v>70</v>
      </c>
      <c r="AK39" s="17">
        <v>64.230741289999997</v>
      </c>
      <c r="AM39" s="36">
        <v>0.98008703919597895</v>
      </c>
      <c r="AN39" s="36">
        <v>0.33823529411764702</v>
      </c>
      <c r="AO39" s="36"/>
      <c r="AV39" s="13">
        <f t="shared" si="2"/>
        <v>-8.2417981571428651</v>
      </c>
      <c r="AW39" s="36">
        <v>9.6235291902380393E-2</v>
      </c>
      <c r="AX39" s="13">
        <v>0.75274109425604385</v>
      </c>
      <c r="AY39" s="13">
        <v>0.32387179600970467</v>
      </c>
      <c r="AZ39" s="13">
        <v>1013</v>
      </c>
      <c r="BA39" s="13">
        <v>9.9934499168767565E-4</v>
      </c>
      <c r="BB39" s="13">
        <v>0</v>
      </c>
      <c r="BD39" s="13">
        <v>36</v>
      </c>
      <c r="BE39" s="13">
        <v>70</v>
      </c>
      <c r="BF39" s="17">
        <v>58.399534109999998</v>
      </c>
      <c r="BH39" s="36">
        <v>1.9752537527638101</v>
      </c>
      <c r="BI39" s="36">
        <v>0.35441176470588198</v>
      </c>
      <c r="BJ39" s="36"/>
      <c r="BQ39" s="13">
        <f t="shared" si="3"/>
        <v>-16.572094128571436</v>
      </c>
      <c r="BR39" s="36">
        <v>0.20298814483126301</v>
      </c>
      <c r="BS39" s="13">
        <v>0.74938200657263843</v>
      </c>
      <c r="BT39" s="13">
        <v>0.19560098302474663</v>
      </c>
      <c r="BU39" s="13">
        <v>1742</v>
      </c>
      <c r="BV39" s="13">
        <v>8.4748355253379971E-3</v>
      </c>
      <c r="BW39" s="13">
        <v>1</v>
      </c>
    </row>
    <row r="40" spans="1:75">
      <c r="A40" s="13">
        <v>37</v>
      </c>
      <c r="B40" s="13">
        <v>94</v>
      </c>
      <c r="C40" s="17">
        <v>64.181031450000006</v>
      </c>
      <c r="E40" s="36">
        <v>4.9238929497487396</v>
      </c>
      <c r="F40" s="36">
        <v>0.38382352941176401</v>
      </c>
      <c r="G40" s="36"/>
      <c r="M40" s="13">
        <f t="shared" si="4"/>
        <v>-31.7223069680851</v>
      </c>
      <c r="O40" s="13">
        <v>37</v>
      </c>
      <c r="P40" s="13">
        <v>94</v>
      </c>
      <c r="Q40" s="17">
        <v>57.859652400000002</v>
      </c>
      <c r="S40" s="36">
        <v>6.2680549723618002</v>
      </c>
      <c r="T40" s="36">
        <v>0.44411764705882301</v>
      </c>
      <c r="U40" s="36"/>
      <c r="AA40" s="13">
        <f t="shared" si="1"/>
        <v>-38.447178297872341</v>
      </c>
      <c r="AB40" s="36">
        <v>0.40792897205107898</v>
      </c>
      <c r="AC40" s="23">
        <v>0.5554873471692312</v>
      </c>
      <c r="AD40" s="23">
        <v>0.91927056796254869</v>
      </c>
      <c r="AE40" s="23">
        <v>774</v>
      </c>
      <c r="AF40" s="23">
        <v>7.7090685407078295E-3</v>
      </c>
      <c r="AG40" s="23">
        <v>0</v>
      </c>
      <c r="AI40" s="13">
        <v>37</v>
      </c>
      <c r="AJ40" s="13">
        <v>94</v>
      </c>
      <c r="AK40" s="17">
        <v>87.870206289999999</v>
      </c>
      <c r="AM40" s="36">
        <v>1.01509014773869</v>
      </c>
      <c r="AN40" s="36">
        <v>0.33970588235294102</v>
      </c>
      <c r="AO40" s="36"/>
      <c r="AV40" s="13">
        <f t="shared" si="2"/>
        <v>-6.5210571382978699</v>
      </c>
      <c r="AW40" s="36">
        <v>9.3426267030042004E-2</v>
      </c>
      <c r="AX40" s="13">
        <v>0.98163129195596288</v>
      </c>
      <c r="AY40" s="13">
        <v>0.87450997748103676</v>
      </c>
      <c r="AZ40" s="13">
        <v>1851</v>
      </c>
      <c r="BA40" s="13">
        <v>2.2472818928281194E-3</v>
      </c>
      <c r="BB40" s="13">
        <v>1</v>
      </c>
      <c r="BD40" s="13">
        <v>37</v>
      </c>
      <c r="BE40" s="13">
        <v>94</v>
      </c>
      <c r="BF40" s="17">
        <v>80.845333659999994</v>
      </c>
      <c r="BH40" s="36">
        <v>2.0457985296482399</v>
      </c>
      <c r="BI40" s="36">
        <v>0.35441176470588198</v>
      </c>
      <c r="BJ40" s="36"/>
      <c r="BQ40" s="13">
        <f t="shared" si="3"/>
        <v>-13.994325893617033</v>
      </c>
      <c r="BR40" s="36">
        <v>0.20298814483126301</v>
      </c>
      <c r="BS40" s="13">
        <v>0.72167808166145009</v>
      </c>
      <c r="BT40" s="13">
        <v>0.8763525182731069</v>
      </c>
      <c r="BU40" s="13">
        <v>925</v>
      </c>
      <c r="BV40" s="13">
        <v>2.7055905223337395E-3</v>
      </c>
      <c r="BW40" s="13">
        <v>0</v>
      </c>
    </row>
    <row r="41" spans="1:75">
      <c r="A41" s="13">
        <v>38</v>
      </c>
      <c r="B41" s="13">
        <v>179</v>
      </c>
      <c r="C41" s="17">
        <v>189.2724848</v>
      </c>
      <c r="E41" s="36">
        <v>5.0936823618090399</v>
      </c>
      <c r="F41" s="36">
        <v>0.38529411764705801</v>
      </c>
      <c r="G41" s="36"/>
      <c r="M41" s="13">
        <f t="shared" si="4"/>
        <v>5.7388183240223434</v>
      </c>
      <c r="O41" s="13">
        <v>38</v>
      </c>
      <c r="P41" s="13">
        <v>179</v>
      </c>
      <c r="Q41" s="17">
        <v>185.94246039999999</v>
      </c>
      <c r="S41" s="36">
        <v>6.4841947989949702</v>
      </c>
      <c r="T41" s="36">
        <v>0.46029411764705802</v>
      </c>
      <c r="U41" s="36"/>
      <c r="AA41" s="13">
        <f t="shared" si="1"/>
        <v>3.8784694972066935</v>
      </c>
      <c r="AB41" s="36">
        <v>0.407617747679894</v>
      </c>
      <c r="AC41" s="23">
        <v>4.6757771631872704E-2</v>
      </c>
      <c r="AD41" s="23">
        <v>0.39889564192927912</v>
      </c>
      <c r="AE41" s="23">
        <v>1432</v>
      </c>
      <c r="AF41" s="23">
        <v>8.2386718496910896E-3</v>
      </c>
      <c r="AG41" s="23">
        <v>1</v>
      </c>
      <c r="AI41" s="13">
        <v>38</v>
      </c>
      <c r="AJ41" s="13">
        <v>179</v>
      </c>
      <c r="AK41" s="17">
        <v>181.358497</v>
      </c>
      <c r="AM41" s="36">
        <v>1.0500932562814</v>
      </c>
      <c r="AN41" s="36">
        <v>0.34117647058823503</v>
      </c>
      <c r="AO41" s="36"/>
      <c r="AV41" s="13">
        <f t="shared" si="2"/>
        <v>1.3175960893854644</v>
      </c>
      <c r="AW41" s="36">
        <v>9.3426267030042004E-2</v>
      </c>
      <c r="AX41" s="13">
        <v>0.87531900097541604</v>
      </c>
      <c r="AY41" s="13">
        <v>0.78719527473380613</v>
      </c>
      <c r="AZ41" s="13">
        <v>469</v>
      </c>
      <c r="BA41" s="13">
        <v>1.1938548692070692E-3</v>
      </c>
      <c r="BB41" s="13">
        <v>0</v>
      </c>
      <c r="BD41" s="13">
        <v>38</v>
      </c>
      <c r="BE41" s="13">
        <v>179</v>
      </c>
      <c r="BF41" s="17">
        <v>182.8652214</v>
      </c>
      <c r="BH41" s="36">
        <v>2.1163433065326598</v>
      </c>
      <c r="BI41" s="36">
        <v>0.35441176470588198</v>
      </c>
      <c r="BJ41" s="36"/>
      <c r="BQ41" s="13">
        <f t="shared" si="3"/>
        <v>2.159341564245798</v>
      </c>
      <c r="BR41" s="36">
        <v>0.20298814483126301</v>
      </c>
      <c r="BS41" s="13">
        <v>0.29310692481843204</v>
      </c>
      <c r="BT41" s="13">
        <v>0.80220524323590869</v>
      </c>
      <c r="BU41" s="13">
        <v>1339</v>
      </c>
      <c r="BV41" s="13">
        <v>3.5008056173148638E-3</v>
      </c>
      <c r="BW41" s="13">
        <v>0</v>
      </c>
    </row>
    <row r="42" spans="1:75">
      <c r="A42" s="13">
        <v>39</v>
      </c>
      <c r="B42" s="13">
        <v>185</v>
      </c>
      <c r="C42" s="17">
        <v>155.08500609999999</v>
      </c>
      <c r="E42" s="36">
        <v>5.2634717738693402</v>
      </c>
      <c r="F42" s="36">
        <v>0.38676470588235201</v>
      </c>
      <c r="G42" s="36"/>
      <c r="M42" s="13">
        <f t="shared" si="4"/>
        <v>-16.170266972972978</v>
      </c>
      <c r="O42" s="13">
        <v>39</v>
      </c>
      <c r="P42" s="13">
        <v>185</v>
      </c>
      <c r="Q42" s="17">
        <v>152.343029</v>
      </c>
      <c r="S42" s="36">
        <v>6.7003346256281304</v>
      </c>
      <c r="T42" s="36">
        <v>0.47058823529411697</v>
      </c>
      <c r="U42" s="36"/>
      <c r="AA42" s="13">
        <f t="shared" si="1"/>
        <v>-17.652416756756761</v>
      </c>
      <c r="AB42" s="36">
        <v>0.407617747679894</v>
      </c>
      <c r="AC42" s="23">
        <v>0.47824168824679586</v>
      </c>
      <c r="AD42" s="23">
        <v>0.48181718848305111</v>
      </c>
      <c r="AE42" s="23">
        <v>1034</v>
      </c>
      <c r="AF42" s="23">
        <v>7.5745688005345061E-3</v>
      </c>
      <c r="AG42" s="23">
        <v>1</v>
      </c>
      <c r="AI42" s="13">
        <v>39</v>
      </c>
      <c r="AJ42" s="13">
        <v>185</v>
      </c>
      <c r="AK42" s="17">
        <v>179.09500120000001</v>
      </c>
      <c r="AM42" s="36">
        <v>1.0850963648241201</v>
      </c>
      <c r="AN42" s="36">
        <v>0.34117647058823503</v>
      </c>
      <c r="AO42" s="36"/>
      <c r="AV42" s="13">
        <f t="shared" si="2"/>
        <v>-3.1918912432432389</v>
      </c>
      <c r="AW42" s="36">
        <v>9.3426267030042004E-2</v>
      </c>
      <c r="AX42" s="13">
        <v>0.87851458245341518</v>
      </c>
      <c r="AY42" s="13">
        <v>8.3585105871926482E-2</v>
      </c>
      <c r="AZ42" s="13">
        <v>1715</v>
      </c>
      <c r="BA42" s="13">
        <v>9.094952292024016E-3</v>
      </c>
      <c r="BB42" s="13">
        <v>0</v>
      </c>
      <c r="BD42" s="13">
        <v>39</v>
      </c>
      <c r="BE42" s="13">
        <v>185</v>
      </c>
      <c r="BF42" s="17">
        <v>173.1914975</v>
      </c>
      <c r="BH42" s="36">
        <v>2.1868880834170801</v>
      </c>
      <c r="BI42" s="36">
        <v>0.35588235294117598</v>
      </c>
      <c r="BJ42" s="36"/>
      <c r="BQ42" s="13">
        <f t="shared" si="3"/>
        <v>-6.3829743243243309</v>
      </c>
      <c r="BR42" s="36">
        <v>0.20298814483126301</v>
      </c>
      <c r="BS42" s="13">
        <v>0.85367277948248221</v>
      </c>
      <c r="BT42" s="13">
        <v>0.81861716143205476</v>
      </c>
      <c r="BU42" s="13">
        <v>221</v>
      </c>
      <c r="BV42" s="13">
        <v>8.6571468263763485E-3</v>
      </c>
      <c r="BW42" s="13">
        <v>0</v>
      </c>
    </row>
    <row r="43" spans="1:75">
      <c r="A43" s="13">
        <v>40</v>
      </c>
      <c r="B43" s="13">
        <v>212</v>
      </c>
      <c r="C43" s="17">
        <v>210.8031694</v>
      </c>
      <c r="E43" s="36">
        <v>5.4332611859296396</v>
      </c>
      <c r="F43" s="36">
        <v>0.38970588235294101</v>
      </c>
      <c r="G43" s="36"/>
      <c r="M43" s="13">
        <f t="shared" si="4"/>
        <v>-0.56454273584906067</v>
      </c>
      <c r="O43" s="13">
        <v>40</v>
      </c>
      <c r="P43" s="13">
        <v>212</v>
      </c>
      <c r="Q43" s="17">
        <v>203.57961209999999</v>
      </c>
      <c r="S43" s="36">
        <v>6.9164744522613004</v>
      </c>
      <c r="T43" s="36">
        <v>0.47794117647058798</v>
      </c>
      <c r="U43" s="36"/>
      <c r="AA43" s="13">
        <f t="shared" si="1"/>
        <v>-3.9718810849056596</v>
      </c>
      <c r="AB43" s="36">
        <v>0.407617747679894</v>
      </c>
      <c r="AC43" s="23">
        <v>0.88502683601203369</v>
      </c>
      <c r="AD43" s="23">
        <v>0.13735409866003032</v>
      </c>
      <c r="AE43" s="23">
        <v>164</v>
      </c>
      <c r="AF43" s="23">
        <v>2.9774647863438728E-3</v>
      </c>
      <c r="AG43" s="23">
        <v>1</v>
      </c>
      <c r="AI43" s="13">
        <v>40</v>
      </c>
      <c r="AJ43" s="13">
        <v>212</v>
      </c>
      <c r="AK43" s="17">
        <v>211.67863389999999</v>
      </c>
      <c r="AM43" s="36">
        <v>1.1200994733668299</v>
      </c>
      <c r="AN43" s="36">
        <v>0.34264705882352903</v>
      </c>
      <c r="AO43" s="36"/>
      <c r="AV43" s="13">
        <f t="shared" si="2"/>
        <v>-0.15158778301886944</v>
      </c>
      <c r="AW43" s="36">
        <v>9.3426267030042004E-2</v>
      </c>
      <c r="AX43" s="13">
        <v>0.56285077308963094</v>
      </c>
      <c r="AY43" s="13">
        <v>0.21443268046695069</v>
      </c>
      <c r="AZ43" s="13">
        <v>1626</v>
      </c>
      <c r="BA43" s="13">
        <v>9.2222219340096136E-3</v>
      </c>
      <c r="BB43" s="13">
        <v>0</v>
      </c>
      <c r="BD43" s="13">
        <v>40</v>
      </c>
      <c r="BE43" s="13">
        <v>212</v>
      </c>
      <c r="BF43" s="17">
        <v>210.7193254</v>
      </c>
      <c r="BH43" s="36">
        <v>2.2574328603014999</v>
      </c>
      <c r="BI43" s="36">
        <v>0.35882352941176399</v>
      </c>
      <c r="BJ43" s="36"/>
      <c r="BQ43" s="13">
        <f t="shared" si="3"/>
        <v>-0.60409179245283218</v>
      </c>
      <c r="BR43" s="36">
        <v>0.20298814483126301</v>
      </c>
      <c r="BS43" s="13">
        <v>0.75735665549357623</v>
      </c>
      <c r="BT43" s="13">
        <v>0.8034608182988402</v>
      </c>
      <c r="BU43" s="13">
        <v>1751</v>
      </c>
      <c r="BV43" s="13">
        <v>4.6344122500389072E-3</v>
      </c>
      <c r="BW43" s="13">
        <v>0</v>
      </c>
    </row>
    <row r="44" spans="1:75">
      <c r="A44" s="13">
        <v>41</v>
      </c>
      <c r="B44" s="13">
        <v>130</v>
      </c>
      <c r="C44" s="17">
        <v>130.03089249999999</v>
      </c>
      <c r="E44" s="36">
        <v>5.6030505979899496</v>
      </c>
      <c r="F44" s="36">
        <v>0.39117647058823501</v>
      </c>
      <c r="G44" s="36"/>
      <c r="M44" s="13">
        <f t="shared" si="4"/>
        <v>2.376346153845077E-2</v>
      </c>
      <c r="O44" s="13">
        <v>41</v>
      </c>
      <c r="P44" s="13">
        <v>130</v>
      </c>
      <c r="Q44" s="17">
        <v>125.8043158</v>
      </c>
      <c r="S44" s="36">
        <v>7.1326142788944598</v>
      </c>
      <c r="T44" s="36">
        <v>0.48970588235294099</v>
      </c>
      <c r="U44" s="36"/>
      <c r="AA44" s="13">
        <f t="shared" si="1"/>
        <v>-3.2274493846153884</v>
      </c>
      <c r="AB44" s="36">
        <v>0.407617747679894</v>
      </c>
      <c r="AC44" s="23">
        <v>0.97237434468769912</v>
      </c>
      <c r="AD44" s="23">
        <v>0.48238685848420854</v>
      </c>
      <c r="AE44" s="23">
        <v>795</v>
      </c>
      <c r="AF44" s="23">
        <v>6.0317624557454028E-3</v>
      </c>
      <c r="AG44" s="23">
        <v>0</v>
      </c>
      <c r="AI44" s="13">
        <v>41</v>
      </c>
      <c r="AJ44" s="13">
        <v>130</v>
      </c>
      <c r="AK44" s="17">
        <v>130.24617850000001</v>
      </c>
      <c r="AM44" s="36">
        <v>1.15510258190954</v>
      </c>
      <c r="AN44" s="36">
        <v>0.34264705882352903</v>
      </c>
      <c r="AO44" s="36"/>
      <c r="AV44" s="13">
        <f t="shared" si="2"/>
        <v>0.18936807692309099</v>
      </c>
      <c r="AW44" s="36">
        <v>9.1160691875409802E-2</v>
      </c>
      <c r="AX44" s="13">
        <v>0.32797865231740264</v>
      </c>
      <c r="AY44" s="13">
        <v>0.72316114022626976</v>
      </c>
      <c r="AZ44" s="13">
        <v>335</v>
      </c>
      <c r="BA44" s="13">
        <v>3.3657296624305449E-3</v>
      </c>
      <c r="BB44" s="13">
        <v>1</v>
      </c>
      <c r="BD44" s="13">
        <v>41</v>
      </c>
      <c r="BE44" s="13">
        <v>130</v>
      </c>
      <c r="BF44" s="17">
        <v>129.59378380000001</v>
      </c>
      <c r="BH44" s="36">
        <v>2.3279776371859202</v>
      </c>
      <c r="BI44" s="36">
        <v>0.35882352941176399</v>
      </c>
      <c r="BJ44" s="36"/>
      <c r="BQ44" s="13">
        <f t="shared" si="3"/>
        <v>-0.31247399999999592</v>
      </c>
      <c r="BR44" s="36">
        <v>0.20298814483126301</v>
      </c>
      <c r="BS44" s="13">
        <v>0.88715192608239002</v>
      </c>
      <c r="BT44" s="13">
        <v>0.29694995608035873</v>
      </c>
      <c r="BU44" s="13">
        <v>1014</v>
      </c>
      <c r="BV44" s="13">
        <v>9.2109181633322403E-3</v>
      </c>
      <c r="BW44" s="13">
        <v>0</v>
      </c>
    </row>
    <row r="45" spans="1:75">
      <c r="A45" s="13">
        <v>42</v>
      </c>
      <c r="B45" s="13">
        <v>163</v>
      </c>
      <c r="C45" s="17">
        <v>133.24058429999999</v>
      </c>
      <c r="E45" s="36">
        <v>5.7728400100502499</v>
      </c>
      <c r="F45" s="36">
        <v>0.39117647058823501</v>
      </c>
      <c r="G45" s="36"/>
      <c r="M45" s="13">
        <f t="shared" si="4"/>
        <v>-18.257310245398774</v>
      </c>
      <c r="O45" s="13">
        <v>42</v>
      </c>
      <c r="P45" s="13">
        <v>163</v>
      </c>
      <c r="Q45" s="17">
        <v>132.2706709</v>
      </c>
      <c r="S45" s="36">
        <v>7.3487541055276298</v>
      </c>
      <c r="T45" s="36">
        <v>0.502941176470588</v>
      </c>
      <c r="U45" s="36"/>
      <c r="AA45" s="13">
        <f t="shared" si="1"/>
        <v>-18.852349141104298</v>
      </c>
      <c r="AB45" s="36">
        <v>0.407617747679894</v>
      </c>
      <c r="AC45" s="23">
        <v>0.6184899089643151</v>
      </c>
      <c r="AD45" s="23">
        <v>0.14641045034704014</v>
      </c>
      <c r="AE45" s="23">
        <v>561</v>
      </c>
      <c r="AF45" s="23">
        <v>7.4405964847629961E-3</v>
      </c>
      <c r="AG45" s="23">
        <v>0</v>
      </c>
      <c r="AI45" s="13">
        <v>42</v>
      </c>
      <c r="AJ45" s="13">
        <v>163</v>
      </c>
      <c r="AK45" s="17">
        <v>157.05811689999999</v>
      </c>
      <c r="AM45" s="36">
        <v>1.19010569045226</v>
      </c>
      <c r="AN45" s="36">
        <v>0.34411764705882297</v>
      </c>
      <c r="AO45" s="36"/>
      <c r="AV45" s="13">
        <f t="shared" si="2"/>
        <v>-3.645327055214731</v>
      </c>
      <c r="AW45" s="36">
        <v>9.1160691875409802E-2</v>
      </c>
      <c r="AX45" s="13">
        <v>0.14598908038364566</v>
      </c>
      <c r="AY45" s="13">
        <v>0.76981941877327964</v>
      </c>
      <c r="AZ45" s="13">
        <v>366</v>
      </c>
      <c r="BA45" s="13">
        <v>5.9951964646612491E-3</v>
      </c>
      <c r="BB45" s="13">
        <v>1</v>
      </c>
      <c r="BD45" s="13">
        <v>42</v>
      </c>
      <c r="BE45" s="13">
        <v>163</v>
      </c>
      <c r="BF45" s="17">
        <v>151.05328779999999</v>
      </c>
      <c r="BH45" s="36">
        <v>2.3985224140703498</v>
      </c>
      <c r="BI45" s="36">
        <v>0.36176470588235199</v>
      </c>
      <c r="BJ45" s="36"/>
      <c r="BQ45" s="13">
        <f t="shared" si="3"/>
        <v>-7.3292712883435644</v>
      </c>
      <c r="BR45" s="36">
        <v>0.20298814483126301</v>
      </c>
      <c r="BS45" s="13">
        <v>0.3070960469045147</v>
      </c>
      <c r="BT45" s="13">
        <v>8.1478487579040013E-2</v>
      </c>
      <c r="BU45" s="13">
        <v>697</v>
      </c>
      <c r="BV45" s="13">
        <v>7.3912545077081167E-3</v>
      </c>
      <c r="BW45" s="13">
        <v>0</v>
      </c>
    </row>
    <row r="46" spans="1:75">
      <c r="A46" s="13">
        <v>43</v>
      </c>
      <c r="B46" s="13">
        <v>189</v>
      </c>
      <c r="C46" s="17">
        <v>158.8933327</v>
      </c>
      <c r="E46" s="36">
        <v>5.9426294221105502</v>
      </c>
      <c r="F46" s="36">
        <v>0.39264705882352902</v>
      </c>
      <c r="G46" s="36"/>
      <c r="M46" s="13">
        <f t="shared" si="4"/>
        <v>-15.929453597883592</v>
      </c>
      <c r="O46" s="13">
        <v>43</v>
      </c>
      <c r="P46" s="13">
        <v>189</v>
      </c>
      <c r="Q46" s="17">
        <v>157.69682979999999</v>
      </c>
      <c r="S46" s="36">
        <v>7.5648939321607997</v>
      </c>
      <c r="T46" s="36">
        <v>0.51029411764705801</v>
      </c>
      <c r="U46" s="36"/>
      <c r="AA46" s="13">
        <f t="shared" si="1"/>
        <v>-16.562523915343917</v>
      </c>
      <c r="AB46" s="36">
        <v>0.407617747679894</v>
      </c>
      <c r="AC46" s="23">
        <v>0.10382836518739282</v>
      </c>
      <c r="AD46" s="23">
        <v>0.94301996991782522</v>
      </c>
      <c r="AE46" s="23">
        <v>1210</v>
      </c>
      <c r="AF46" s="23">
        <v>9.3505106950498747E-3</v>
      </c>
      <c r="AG46" s="23">
        <v>0</v>
      </c>
      <c r="AI46" s="13">
        <v>43</v>
      </c>
      <c r="AJ46" s="13">
        <v>189</v>
      </c>
      <c r="AK46" s="17">
        <v>182.9966665</v>
      </c>
      <c r="AM46" s="36">
        <v>1.22510879899497</v>
      </c>
      <c r="AN46" s="36">
        <v>0.34411764705882297</v>
      </c>
      <c r="AO46" s="36"/>
      <c r="AV46" s="13">
        <f t="shared" si="2"/>
        <v>-3.176366931216934</v>
      </c>
      <c r="AW46" s="36">
        <v>9.1160691875409802E-2</v>
      </c>
      <c r="AX46" s="13">
        <v>0.51916031180676125</v>
      </c>
      <c r="AY46" s="13">
        <v>0.42502599013686371</v>
      </c>
      <c r="AZ46" s="13">
        <v>1346</v>
      </c>
      <c r="BA46" s="13">
        <v>4.8613762730032777E-3</v>
      </c>
      <c r="BB46" s="13">
        <v>0</v>
      </c>
      <c r="BD46" s="13">
        <v>43</v>
      </c>
      <c r="BE46" s="13">
        <v>189</v>
      </c>
      <c r="BF46" s="17">
        <v>176.70646350000001</v>
      </c>
      <c r="BH46" s="36">
        <v>2.4690671909547701</v>
      </c>
      <c r="BI46" s="36">
        <v>0.36617647058823499</v>
      </c>
      <c r="BJ46" s="36"/>
      <c r="BQ46" s="13">
        <f t="shared" si="3"/>
        <v>-6.5045166666666603</v>
      </c>
      <c r="BR46" s="36">
        <v>0.19373072778657899</v>
      </c>
      <c r="BS46" s="13">
        <v>4.7003685519818603E-3</v>
      </c>
      <c r="BT46" s="13">
        <v>0.25022746663245571</v>
      </c>
      <c r="BU46" s="13">
        <v>815</v>
      </c>
      <c r="BV46" s="13">
        <v>1.0491033472806179E-3</v>
      </c>
      <c r="BW46" s="13">
        <v>1</v>
      </c>
    </row>
    <row r="47" spans="1:75">
      <c r="A47" s="13">
        <v>44</v>
      </c>
      <c r="B47" s="13">
        <v>57</v>
      </c>
      <c r="C47" s="17">
        <v>83.007067111357998</v>
      </c>
      <c r="E47" s="36">
        <v>6.1124188341708496</v>
      </c>
      <c r="F47" s="36">
        <v>0.39411764705882302</v>
      </c>
      <c r="G47" s="36"/>
      <c r="M47" s="13">
        <f t="shared" si="4"/>
        <v>45.626433528698243</v>
      </c>
      <c r="O47" s="13">
        <v>44</v>
      </c>
      <c r="P47" s="13">
        <v>57</v>
      </c>
      <c r="Q47" s="17">
        <v>79.028209447297698</v>
      </c>
      <c r="S47" s="36">
        <v>7.78103375879396</v>
      </c>
      <c r="T47" s="36">
        <v>0.52500000000000002</v>
      </c>
      <c r="U47" s="36"/>
      <c r="AA47" s="13">
        <f t="shared" si="1"/>
        <v>38.645981486487187</v>
      </c>
      <c r="AB47" s="36">
        <v>0.407617747679894</v>
      </c>
      <c r="AC47" s="23">
        <v>0.17018919050189316</v>
      </c>
      <c r="AD47" s="23">
        <v>0.22446559757029763</v>
      </c>
      <c r="AE47" s="23">
        <v>1318</v>
      </c>
      <c r="AF47" s="23">
        <v>4.060842534914311E-3</v>
      </c>
      <c r="AG47" s="23">
        <v>0</v>
      </c>
      <c r="AI47" s="13">
        <v>44</v>
      </c>
      <c r="AJ47" s="13">
        <v>57</v>
      </c>
      <c r="AK47" s="17">
        <v>51.156709300000003</v>
      </c>
      <c r="AM47" s="36">
        <v>1.2601119075376801</v>
      </c>
      <c r="AN47" s="36">
        <v>0.34411764705882297</v>
      </c>
      <c r="AO47" s="36"/>
      <c r="AV47" s="13">
        <f t="shared" si="2"/>
        <v>-10.251387192982452</v>
      </c>
      <c r="AW47" s="36">
        <v>9.1160691875409802E-2</v>
      </c>
      <c r="AX47" s="13">
        <v>4.8768636702430049E-2</v>
      </c>
      <c r="AY47" s="13">
        <v>0.45353767787246402</v>
      </c>
      <c r="AZ47" s="13">
        <v>918</v>
      </c>
      <c r="BA47" s="13">
        <v>1.1752847124324663E-3</v>
      </c>
      <c r="BB47" s="13">
        <v>0</v>
      </c>
      <c r="BD47" s="13">
        <v>44</v>
      </c>
      <c r="BE47" s="13">
        <v>57</v>
      </c>
      <c r="BF47" s="17">
        <v>44.498129720000001</v>
      </c>
      <c r="BH47" s="36">
        <v>2.53961196783919</v>
      </c>
      <c r="BI47" s="36">
        <v>0.36764705882352899</v>
      </c>
      <c r="BJ47" s="36"/>
      <c r="BQ47" s="13">
        <f t="shared" si="3"/>
        <v>-21.933105754385963</v>
      </c>
      <c r="BR47" s="36">
        <v>0.19373072778657899</v>
      </c>
      <c r="BS47" s="13">
        <v>0.19774710034747059</v>
      </c>
      <c r="BT47" s="13">
        <v>0.60587396988503373</v>
      </c>
      <c r="BU47" s="13">
        <v>934</v>
      </c>
      <c r="BV47" s="13">
        <v>8.6361844668003413E-3</v>
      </c>
      <c r="BW47" s="13">
        <v>1</v>
      </c>
    </row>
    <row r="48" spans="1:75">
      <c r="A48" s="13">
        <v>45</v>
      </c>
      <c r="B48" s="13">
        <v>11</v>
      </c>
      <c r="C48" s="17">
        <v>6.03059015659246</v>
      </c>
      <c r="E48" s="36">
        <v>6.2822082462311499</v>
      </c>
      <c r="F48" s="36">
        <v>0.39411764705882302</v>
      </c>
      <c r="G48" s="36"/>
      <c r="M48" s="13">
        <f t="shared" si="4"/>
        <v>-45.17645312188673</v>
      </c>
      <c r="O48" s="13">
        <v>45</v>
      </c>
      <c r="P48" s="13">
        <v>11</v>
      </c>
      <c r="Q48" s="17">
        <v>7.4981836620465696</v>
      </c>
      <c r="S48" s="36">
        <v>7.99717358542713</v>
      </c>
      <c r="T48" s="36">
        <v>0.53088235294117603</v>
      </c>
      <c r="U48" s="36"/>
      <c r="AA48" s="13">
        <f t="shared" si="1"/>
        <v>-31.834693981394825</v>
      </c>
      <c r="AB48" s="36">
        <v>0.407617747679894</v>
      </c>
      <c r="AC48" s="23">
        <v>0.79367269672548868</v>
      </c>
      <c r="AD48" s="23">
        <v>0.64686969051875598</v>
      </c>
      <c r="AE48" s="23">
        <v>841</v>
      </c>
      <c r="AF48" s="23">
        <v>1.5437702602460913E-3</v>
      </c>
      <c r="AG48" s="23">
        <v>0</v>
      </c>
      <c r="AI48" s="13">
        <v>45</v>
      </c>
      <c r="AJ48" s="13">
        <v>11</v>
      </c>
      <c r="AK48" s="17">
        <v>8.9565444166185806</v>
      </c>
      <c r="AM48" s="36">
        <v>1.2951150160803999</v>
      </c>
      <c r="AN48" s="36">
        <v>0.34411764705882297</v>
      </c>
      <c r="AO48" s="36"/>
      <c r="AV48" s="13">
        <f t="shared" si="2"/>
        <v>-18.57686893983108</v>
      </c>
      <c r="AW48" s="36">
        <v>9.1160691875409802E-2</v>
      </c>
      <c r="AX48" s="13">
        <v>0.81748518459851949</v>
      </c>
      <c r="AY48" s="13">
        <v>0.69915317197803206</v>
      </c>
      <c r="AZ48" s="13">
        <v>830</v>
      </c>
      <c r="BA48" s="13">
        <v>1.5608962964878007E-3</v>
      </c>
      <c r="BB48" s="13">
        <v>1</v>
      </c>
      <c r="BD48" s="13">
        <v>45</v>
      </c>
      <c r="BE48" s="13">
        <v>11</v>
      </c>
      <c r="BF48" s="17">
        <v>12.6675035590569</v>
      </c>
      <c r="BH48" s="36">
        <v>2.6101567447236098</v>
      </c>
      <c r="BI48" s="36">
        <v>0.36764705882352899</v>
      </c>
      <c r="BJ48" s="36"/>
      <c r="BQ48" s="13">
        <f t="shared" si="3"/>
        <v>15.159123264153628</v>
      </c>
      <c r="BR48" s="36">
        <v>0.19373072778657899</v>
      </c>
      <c r="BS48" s="13">
        <v>0.19839868928499529</v>
      </c>
      <c r="BT48" s="13">
        <v>0.11877194728266675</v>
      </c>
      <c r="BU48" s="13">
        <v>979</v>
      </c>
      <c r="BV48" s="13">
        <v>8.6780831163057633E-3</v>
      </c>
      <c r="BW48" s="13">
        <v>1</v>
      </c>
    </row>
    <row r="49" spans="1:75">
      <c r="A49" s="13">
        <v>46</v>
      </c>
      <c r="B49" s="13">
        <v>79</v>
      </c>
      <c r="C49" s="17">
        <v>89.00611069</v>
      </c>
      <c r="E49" s="36">
        <v>6.4519976582914502</v>
      </c>
      <c r="F49" s="36">
        <v>0.39558823529411702</v>
      </c>
      <c r="G49" s="36"/>
      <c r="M49" s="13">
        <f t="shared" si="4"/>
        <v>12.665962898734184</v>
      </c>
      <c r="O49" s="13">
        <v>46</v>
      </c>
      <c r="P49" s="13">
        <v>79</v>
      </c>
      <c r="Q49" s="17">
        <v>82.566902130000003</v>
      </c>
      <c r="S49" s="36">
        <v>8.2133134120602893</v>
      </c>
      <c r="T49" s="36">
        <v>0.53823529411764703</v>
      </c>
      <c r="U49" s="36"/>
      <c r="AA49" s="13">
        <f t="shared" si="1"/>
        <v>4.5150659873417709</v>
      </c>
      <c r="AB49" s="36">
        <v>0.407617747679894</v>
      </c>
      <c r="AC49" s="23">
        <v>5.3774109260817313E-2</v>
      </c>
      <c r="AD49" s="23">
        <v>0.18885163757503759</v>
      </c>
      <c r="AE49" s="23">
        <v>640</v>
      </c>
      <c r="AF49" s="23">
        <v>3.7511249456383716E-3</v>
      </c>
      <c r="AG49" s="23">
        <v>1</v>
      </c>
      <c r="AI49" s="13">
        <v>46</v>
      </c>
      <c r="AJ49" s="13">
        <v>79</v>
      </c>
      <c r="AK49" s="17">
        <v>81.037222139999997</v>
      </c>
      <c r="AM49" s="36">
        <v>1.33011812462311</v>
      </c>
      <c r="AN49" s="36">
        <v>0.34558823529411697</v>
      </c>
      <c r="AO49" s="36"/>
      <c r="AV49" s="13">
        <f t="shared" si="2"/>
        <v>2.578762202531637</v>
      </c>
      <c r="AW49" s="36">
        <v>9.1160691875409802E-2</v>
      </c>
      <c r="AX49" s="13">
        <v>0.21445075644518216</v>
      </c>
      <c r="AY49" s="13">
        <v>0.41265754057797971</v>
      </c>
      <c r="AZ49" s="13">
        <v>489</v>
      </c>
      <c r="BA49" s="13">
        <v>1.292943400050038E-3</v>
      </c>
      <c r="BB49" s="13">
        <v>0</v>
      </c>
      <c r="BD49" s="13">
        <v>46</v>
      </c>
      <c r="BE49" s="13">
        <v>79</v>
      </c>
      <c r="BF49" s="17">
        <v>82.658595509999998</v>
      </c>
      <c r="BH49" s="36">
        <v>2.6807015216080301</v>
      </c>
      <c r="BI49" s="36">
        <v>0.372058823529411</v>
      </c>
      <c r="BJ49" s="36"/>
      <c r="BQ49" s="13">
        <f t="shared" si="3"/>
        <v>4.6311335569620304</v>
      </c>
      <c r="BR49" s="36">
        <v>0.19373072778657899</v>
      </c>
      <c r="BS49" s="13">
        <v>0.95176268846606571</v>
      </c>
      <c r="BT49" s="13">
        <v>0.92152630942724834</v>
      </c>
      <c r="BU49" s="13">
        <v>1898</v>
      </c>
      <c r="BV49" s="13">
        <v>3.5735603662893629E-3</v>
      </c>
      <c r="BW49" s="13">
        <v>0</v>
      </c>
    </row>
    <row r="50" spans="1:75">
      <c r="A50" s="13">
        <v>47</v>
      </c>
      <c r="B50" s="13">
        <v>69</v>
      </c>
      <c r="C50" s="17">
        <v>40.055465310000002</v>
      </c>
      <c r="E50" s="36">
        <v>6.6217870703517496</v>
      </c>
      <c r="F50" s="36">
        <v>0.39705882352941102</v>
      </c>
      <c r="G50" s="36"/>
      <c r="M50" s="13">
        <f t="shared" si="4"/>
        <v>-41.948600999999996</v>
      </c>
      <c r="O50" s="13">
        <v>47</v>
      </c>
      <c r="P50" s="13">
        <v>69</v>
      </c>
      <c r="Q50" s="17">
        <v>43.514859090000002</v>
      </c>
      <c r="S50" s="36">
        <v>8.4294532386934602</v>
      </c>
      <c r="T50" s="36">
        <v>0.55294117647058805</v>
      </c>
      <c r="U50" s="36"/>
      <c r="AA50" s="13">
        <f t="shared" si="1"/>
        <v>-36.934986826086956</v>
      </c>
      <c r="AB50" s="36">
        <v>0.407617747679894</v>
      </c>
      <c r="AC50" s="23">
        <v>0.90121773091459723</v>
      </c>
      <c r="AD50" s="23">
        <v>0.18730441783223467</v>
      </c>
      <c r="AE50" s="23">
        <v>1302</v>
      </c>
      <c r="AF50" s="23">
        <v>2.2991365278839872E-3</v>
      </c>
      <c r="AG50" s="23">
        <v>1</v>
      </c>
      <c r="AI50" s="13">
        <v>47</v>
      </c>
      <c r="AJ50" s="13">
        <v>69</v>
      </c>
      <c r="AK50" s="17">
        <v>63.169093060000002</v>
      </c>
      <c r="AM50" s="36">
        <v>1.36512123316582</v>
      </c>
      <c r="AN50" s="36">
        <v>0.34852941176470498</v>
      </c>
      <c r="AO50" s="36"/>
      <c r="AV50" s="13">
        <f t="shared" si="2"/>
        <v>-8.4505897681159343</v>
      </c>
      <c r="AW50" s="36">
        <v>8.6228571553447403E-2</v>
      </c>
      <c r="AX50" s="13">
        <v>0.67442438282171746</v>
      </c>
      <c r="AY50" s="13">
        <v>0.79766669082409636</v>
      </c>
      <c r="AZ50" s="13">
        <v>1138</v>
      </c>
      <c r="BA50" s="13">
        <v>3.7996874937432836E-3</v>
      </c>
      <c r="BB50" s="13">
        <v>0</v>
      </c>
      <c r="BD50" s="13">
        <v>47</v>
      </c>
      <c r="BE50" s="13">
        <v>69</v>
      </c>
      <c r="BF50" s="17">
        <v>57.441799770000003</v>
      </c>
      <c r="BH50" s="36">
        <v>2.7512462984924602</v>
      </c>
      <c r="BI50" s="36">
        <v>0.375</v>
      </c>
      <c r="BJ50" s="36"/>
      <c r="BQ50" s="13">
        <f t="shared" si="3"/>
        <v>-16.751014826086951</v>
      </c>
      <c r="BR50" s="36">
        <v>0.19373072778657899</v>
      </c>
      <c r="BS50" s="13">
        <v>0.77678680303447101</v>
      </c>
      <c r="BT50" s="13">
        <v>0.6358495278850087</v>
      </c>
      <c r="BU50" s="13">
        <v>190</v>
      </c>
      <c r="BV50" s="13">
        <v>7.8968953021567641E-3</v>
      </c>
      <c r="BW50" s="13">
        <v>1</v>
      </c>
    </row>
    <row r="51" spans="1:75">
      <c r="A51" s="13">
        <v>48</v>
      </c>
      <c r="B51" s="13">
        <v>79</v>
      </c>
      <c r="C51" s="17">
        <v>81.061184109999999</v>
      </c>
      <c r="E51" s="36">
        <v>6.7915764824120597</v>
      </c>
      <c r="F51" s="36">
        <v>0.39852941176470502</v>
      </c>
      <c r="G51" s="36"/>
      <c r="M51" s="13">
        <f t="shared" si="4"/>
        <v>2.6090938101265726</v>
      </c>
      <c r="O51" s="13">
        <v>48</v>
      </c>
      <c r="P51" s="13">
        <v>79</v>
      </c>
      <c r="Q51" s="17">
        <v>78.760243869999996</v>
      </c>
      <c r="S51" s="36">
        <v>8.6455930653266293</v>
      </c>
      <c r="T51" s="36">
        <v>0.55882352941176405</v>
      </c>
      <c r="U51" s="36"/>
      <c r="AA51" s="13">
        <f t="shared" si="1"/>
        <v>-0.30348877215190528</v>
      </c>
      <c r="AB51" s="36">
        <v>0.407617747679894</v>
      </c>
      <c r="AC51" s="23">
        <v>0.25524832647044715</v>
      </c>
      <c r="AD51" s="23">
        <v>0.43636400210760096</v>
      </c>
      <c r="AE51" s="23">
        <v>1987</v>
      </c>
      <c r="AF51" s="23">
        <v>6.9566710376898142E-3</v>
      </c>
      <c r="AG51" s="23">
        <v>0</v>
      </c>
      <c r="AI51" s="13">
        <v>48</v>
      </c>
      <c r="AJ51" s="13">
        <v>79</v>
      </c>
      <c r="AK51" s="17">
        <v>79.442236820000005</v>
      </c>
      <c r="AM51" s="36">
        <v>1.4001243417085401</v>
      </c>
      <c r="AN51" s="36">
        <v>0.34852941176470498</v>
      </c>
      <c r="AO51" s="36"/>
      <c r="AV51" s="13">
        <f t="shared" si="2"/>
        <v>0.5597934430379814</v>
      </c>
      <c r="AW51" s="36">
        <v>8.6228571553447403E-2</v>
      </c>
      <c r="AX51" s="13">
        <v>5.2924907934245188E-2</v>
      </c>
      <c r="AY51" s="13">
        <v>0.45414218765025582</v>
      </c>
      <c r="AZ51" s="13">
        <v>352</v>
      </c>
      <c r="BA51" s="13">
        <v>2.4331809693490178E-3</v>
      </c>
      <c r="BB51" s="13">
        <v>1</v>
      </c>
      <c r="BD51" s="13">
        <v>48</v>
      </c>
      <c r="BE51" s="13">
        <v>79</v>
      </c>
      <c r="BF51" s="17">
        <v>79.830736340000001</v>
      </c>
      <c r="BH51" s="36">
        <v>2.82179107537688</v>
      </c>
      <c r="BI51" s="36">
        <v>0.38088235294117601</v>
      </c>
      <c r="BJ51" s="36"/>
      <c r="BQ51" s="13">
        <f t="shared" si="3"/>
        <v>1.0515649873417798</v>
      </c>
      <c r="BR51" s="36">
        <v>0.19373072778657899</v>
      </c>
      <c r="BS51" s="13">
        <v>0.98952998606390385</v>
      </c>
      <c r="BT51" s="13">
        <v>5.021324968208473E-2</v>
      </c>
      <c r="BU51" s="13">
        <v>1441</v>
      </c>
      <c r="BV51" s="13">
        <v>3.4208749838268507E-3</v>
      </c>
      <c r="BW51" s="13">
        <v>1</v>
      </c>
    </row>
    <row r="52" spans="1:75">
      <c r="A52" s="13">
        <v>49</v>
      </c>
      <c r="B52" s="13">
        <v>185</v>
      </c>
      <c r="C52" s="17">
        <v>192.79896819999999</v>
      </c>
      <c r="E52" s="36">
        <v>6.96136589447236</v>
      </c>
      <c r="F52" s="36">
        <v>0.4</v>
      </c>
      <c r="G52" s="36"/>
      <c r="M52" s="13">
        <f t="shared" si="4"/>
        <v>4.2156584864864843</v>
      </c>
      <c r="O52" s="13">
        <v>49</v>
      </c>
      <c r="P52" s="13">
        <v>185</v>
      </c>
      <c r="Q52" s="17">
        <v>186.10621939999999</v>
      </c>
      <c r="S52" s="36">
        <v>8.8617328919597895</v>
      </c>
      <c r="T52" s="36">
        <v>0.56470588235294095</v>
      </c>
      <c r="U52" s="36"/>
      <c r="AA52" s="13">
        <f t="shared" si="1"/>
        <v>0.59795643243243379</v>
      </c>
      <c r="AB52" s="36">
        <v>0.39609081992698503</v>
      </c>
      <c r="AC52" s="23">
        <v>0.62071258354027259</v>
      </c>
      <c r="AD52" s="23">
        <v>0.19713813142279085</v>
      </c>
      <c r="AE52" s="23">
        <v>1291</v>
      </c>
      <c r="AF52" s="23">
        <v>5.5848130688688951E-3</v>
      </c>
      <c r="AG52" s="23">
        <v>0</v>
      </c>
      <c r="AI52" s="13">
        <v>49</v>
      </c>
      <c r="AJ52" s="13">
        <v>185</v>
      </c>
      <c r="AK52" s="17">
        <v>186.45979360000001</v>
      </c>
      <c r="AM52" s="36">
        <v>1.4351274502512501</v>
      </c>
      <c r="AN52" s="36">
        <v>0.35294117647058798</v>
      </c>
      <c r="AO52" s="36"/>
      <c r="AV52" s="13">
        <f t="shared" si="2"/>
        <v>0.78907762162163664</v>
      </c>
      <c r="AW52" s="36">
        <v>8.6228571553447403E-2</v>
      </c>
      <c r="AX52" s="13">
        <v>0.84824445916996372</v>
      </c>
      <c r="AY52" s="13">
        <v>0.14821395892325434</v>
      </c>
      <c r="AZ52" s="13">
        <v>1809</v>
      </c>
      <c r="BA52" s="13">
        <v>7.0489323623924944E-3</v>
      </c>
      <c r="BB52" s="13">
        <v>1</v>
      </c>
      <c r="BD52" s="13">
        <v>49</v>
      </c>
      <c r="BE52" s="13">
        <v>185</v>
      </c>
      <c r="BF52" s="17">
        <v>187.71614030000001</v>
      </c>
      <c r="BH52" s="36">
        <v>2.8923358522612999</v>
      </c>
      <c r="BI52" s="36">
        <v>0.38088235294117601</v>
      </c>
      <c r="BJ52" s="36"/>
      <c r="BQ52" s="13">
        <f t="shared" si="3"/>
        <v>1.4681839459459445</v>
      </c>
      <c r="BR52" s="36">
        <v>0.19373072778657899</v>
      </c>
      <c r="BS52" s="13">
        <v>0.39041866467213632</v>
      </c>
      <c r="BT52" s="13">
        <v>0.29735326741606954</v>
      </c>
      <c r="BU52" s="13">
        <v>497</v>
      </c>
      <c r="BV52" s="13">
        <v>6.7962573559529017E-3</v>
      </c>
      <c r="BW52" s="13">
        <v>1</v>
      </c>
    </row>
    <row r="53" spans="1:75">
      <c r="A53" s="13">
        <v>50</v>
      </c>
      <c r="B53" s="13">
        <v>176</v>
      </c>
      <c r="C53" s="17">
        <v>174.18831230000001</v>
      </c>
      <c r="E53" s="36">
        <v>7.1311553065326603</v>
      </c>
      <c r="F53" s="36">
        <v>0.4</v>
      </c>
      <c r="G53" s="36"/>
      <c r="M53" s="13">
        <f t="shared" si="4"/>
        <v>-1.0293680113636294</v>
      </c>
      <c r="O53" s="13">
        <v>50</v>
      </c>
      <c r="P53" s="13">
        <v>176</v>
      </c>
      <c r="Q53" s="17">
        <v>165.92914529999999</v>
      </c>
      <c r="S53" s="36">
        <v>9.0778727185929604</v>
      </c>
      <c r="T53" s="36">
        <v>0.57058823529411695</v>
      </c>
      <c r="U53" s="36"/>
      <c r="AA53" s="13">
        <f t="shared" si="1"/>
        <v>-5.7220765340909141</v>
      </c>
      <c r="AB53" s="36">
        <v>0.39609081992698503</v>
      </c>
      <c r="AC53" s="23">
        <v>0.33058978556458551</v>
      </c>
      <c r="AD53" s="23">
        <v>2.3103638679311096E-2</v>
      </c>
      <c r="AE53" s="23">
        <v>1069</v>
      </c>
      <c r="AF53" s="23">
        <v>8.7864857603556102E-3</v>
      </c>
      <c r="AG53" s="23">
        <v>0</v>
      </c>
      <c r="AI53" s="13">
        <v>50</v>
      </c>
      <c r="AJ53" s="13">
        <v>176</v>
      </c>
      <c r="AK53" s="17">
        <v>175.6656625</v>
      </c>
      <c r="AM53" s="36">
        <v>1.4701305587939599</v>
      </c>
      <c r="AN53" s="36">
        <v>0.35735294117646998</v>
      </c>
      <c r="AO53" s="36"/>
      <c r="AV53" s="13">
        <f t="shared" si="2"/>
        <v>-0.18996448863636273</v>
      </c>
      <c r="AW53" s="36">
        <v>8.6228571553447403E-2</v>
      </c>
      <c r="AX53" s="13">
        <v>0.14212386772306027</v>
      </c>
      <c r="AY53" s="13">
        <v>5.2744781499421932E-2</v>
      </c>
      <c r="AZ53" s="13">
        <v>781</v>
      </c>
      <c r="BA53" s="13">
        <v>9.9246277600636423E-3</v>
      </c>
      <c r="BB53" s="13">
        <v>1</v>
      </c>
      <c r="BD53" s="13">
        <v>50</v>
      </c>
      <c r="BE53" s="13">
        <v>176</v>
      </c>
      <c r="BF53" s="17">
        <v>175.79005660000001</v>
      </c>
      <c r="BH53" s="36">
        <v>2.9628806291457201</v>
      </c>
      <c r="BI53" s="36">
        <v>0.38382352941176401</v>
      </c>
      <c r="BJ53" s="36"/>
      <c r="BQ53" s="13">
        <f t="shared" si="3"/>
        <v>-0.11928602272726074</v>
      </c>
      <c r="BR53" s="36">
        <v>0.19373072778657899</v>
      </c>
      <c r="BS53" s="13">
        <v>0.669224263779716</v>
      </c>
      <c r="BT53" s="13">
        <v>0.39633869939962368</v>
      </c>
      <c r="BU53" s="13">
        <v>967</v>
      </c>
      <c r="BV53" s="13">
        <v>1.4571351157038677E-3</v>
      </c>
      <c r="BW53" s="13">
        <v>0</v>
      </c>
    </row>
    <row r="54" spans="1:75">
      <c r="A54" s="13">
        <v>51</v>
      </c>
      <c r="B54" s="13">
        <v>177</v>
      </c>
      <c r="C54" s="17">
        <v>174.46390539999999</v>
      </c>
      <c r="E54" s="36">
        <v>7.3009447185929597</v>
      </c>
      <c r="F54" s="36">
        <v>0.40294117647058803</v>
      </c>
      <c r="G54" s="36"/>
      <c r="M54" s="13">
        <f t="shared" si="4"/>
        <v>-1.4328218079096122</v>
      </c>
      <c r="O54" s="13">
        <v>51</v>
      </c>
      <c r="P54" s="13">
        <v>177</v>
      </c>
      <c r="Q54" s="17">
        <v>170.05052420000001</v>
      </c>
      <c r="S54" s="36">
        <v>9.2940125452261206</v>
      </c>
      <c r="T54" s="36">
        <v>0.58088235294117596</v>
      </c>
      <c r="U54" s="36"/>
      <c r="AA54" s="13">
        <f t="shared" si="1"/>
        <v>-3.9262575141242873</v>
      </c>
      <c r="AB54" s="36">
        <v>0.39609081992698503</v>
      </c>
      <c r="AC54" s="23">
        <v>0.3703820211240596</v>
      </c>
      <c r="AD54" s="23">
        <v>0.47369974590083791</v>
      </c>
      <c r="AE54" s="23">
        <v>503</v>
      </c>
      <c r="AF54" s="23">
        <v>1.5365420852277217E-3</v>
      </c>
      <c r="AG54" s="23">
        <v>1</v>
      </c>
      <c r="AI54" s="13">
        <v>51</v>
      </c>
      <c r="AJ54" s="13">
        <v>177</v>
      </c>
      <c r="AK54" s="17">
        <v>176.3247811</v>
      </c>
      <c r="AM54" s="36">
        <v>1.50513366733668</v>
      </c>
      <c r="AN54" s="36">
        <v>0.35735294117646998</v>
      </c>
      <c r="AO54" s="36"/>
      <c r="AV54" s="13">
        <f t="shared" si="2"/>
        <v>-0.38147960451977436</v>
      </c>
      <c r="AW54" s="36">
        <v>8.6228571553447403E-2</v>
      </c>
      <c r="AX54" s="13">
        <v>0.55164916916175211</v>
      </c>
      <c r="AY54" s="13">
        <v>0.8187473623783097</v>
      </c>
      <c r="AZ54" s="13">
        <v>677</v>
      </c>
      <c r="BA54" s="13">
        <v>4.3944072829049004E-3</v>
      </c>
      <c r="BB54" s="13">
        <v>1</v>
      </c>
      <c r="BD54" s="13">
        <v>51</v>
      </c>
      <c r="BE54" s="13">
        <v>177</v>
      </c>
      <c r="BF54" s="17">
        <v>176.02470170000001</v>
      </c>
      <c r="BH54" s="36">
        <v>3.03342540603014</v>
      </c>
      <c r="BI54" s="36">
        <v>0.38970588235294101</v>
      </c>
      <c r="BJ54" s="36"/>
      <c r="BQ54" s="13">
        <f t="shared" si="3"/>
        <v>-0.55101598870056501</v>
      </c>
      <c r="BR54" s="36">
        <v>0.19253010874603199</v>
      </c>
      <c r="BS54" s="13">
        <v>0.24514345894134698</v>
      </c>
      <c r="BT54" s="13">
        <v>0.32924172446669575</v>
      </c>
      <c r="BU54" s="13">
        <v>859</v>
      </c>
      <c r="BV54" s="13">
        <v>8.2957448077276286E-3</v>
      </c>
      <c r="BW54" s="13">
        <v>1</v>
      </c>
    </row>
    <row r="55" spans="1:75">
      <c r="A55" s="13">
        <v>52</v>
      </c>
      <c r="B55" s="13">
        <v>146</v>
      </c>
      <c r="C55" s="17">
        <v>146.5541278</v>
      </c>
      <c r="E55" s="36">
        <v>7.47073413065326</v>
      </c>
      <c r="F55" s="36">
        <v>0.40441176470588203</v>
      </c>
      <c r="G55" s="36"/>
      <c r="M55" s="13">
        <f t="shared" si="4"/>
        <v>0.37953958904108909</v>
      </c>
      <c r="O55" s="13">
        <v>52</v>
      </c>
      <c r="P55" s="13">
        <v>146</v>
      </c>
      <c r="Q55" s="17">
        <v>145.92088910000001</v>
      </c>
      <c r="S55" s="36">
        <v>9.5101523718592897</v>
      </c>
      <c r="T55" s="36">
        <v>0.58970588235294097</v>
      </c>
      <c r="U55" s="36"/>
      <c r="AA55" s="13">
        <f t="shared" si="1"/>
        <v>-5.4185547945195811E-2</v>
      </c>
      <c r="AB55" s="36">
        <v>0.39609081992698503</v>
      </c>
      <c r="AC55" s="23">
        <v>0.96090222361905708</v>
      </c>
      <c r="AD55" s="23">
        <v>0.54919425205406702</v>
      </c>
      <c r="AE55" s="23">
        <v>1743</v>
      </c>
      <c r="AF55" s="23">
        <v>8.9083744302995409E-3</v>
      </c>
      <c r="AG55" s="23">
        <v>0</v>
      </c>
      <c r="AI55" s="13">
        <v>52</v>
      </c>
      <c r="AJ55" s="13">
        <v>146</v>
      </c>
      <c r="AK55" s="17">
        <v>146.14882560000001</v>
      </c>
      <c r="AM55" s="36">
        <v>1.54013677587939</v>
      </c>
      <c r="AN55" s="36">
        <v>0.36029411764705799</v>
      </c>
      <c r="AO55" s="36"/>
      <c r="AV55" s="13">
        <f t="shared" si="2"/>
        <v>0.1019353424657643</v>
      </c>
      <c r="AW55" s="36">
        <v>8.6228571553447403E-2</v>
      </c>
      <c r="AX55" s="13">
        <v>0.96288789768679306</v>
      </c>
      <c r="AY55" s="13">
        <v>0.7085440448011151</v>
      </c>
      <c r="AZ55" s="13">
        <v>431</v>
      </c>
      <c r="BA55" s="13">
        <v>1.9421876487573124E-4</v>
      </c>
      <c r="BB55" s="13">
        <v>0</v>
      </c>
      <c r="BD55" s="13">
        <v>52</v>
      </c>
      <c r="BE55" s="13">
        <v>146</v>
      </c>
      <c r="BF55" s="17">
        <v>145.980605</v>
      </c>
      <c r="BH55" s="36">
        <v>3.1039701829145701</v>
      </c>
      <c r="BI55" s="36">
        <v>0.39411764705882302</v>
      </c>
      <c r="BJ55" s="36"/>
      <c r="BQ55" s="13">
        <f t="shared" si="3"/>
        <v>-1.3284246575340219E-2</v>
      </c>
      <c r="BR55" s="36">
        <v>0.19253010874603199</v>
      </c>
      <c r="BS55" s="13">
        <v>0.15803769812232546</v>
      </c>
      <c r="BT55" s="13">
        <v>0.66316700937358364</v>
      </c>
      <c r="BU55" s="13">
        <v>1527</v>
      </c>
      <c r="BV55" s="13">
        <v>5.0762938557879344E-3</v>
      </c>
      <c r="BW55" s="13">
        <v>1</v>
      </c>
    </row>
    <row r="56" spans="1:75">
      <c r="A56" s="13">
        <v>53</v>
      </c>
      <c r="B56" s="13">
        <v>52</v>
      </c>
      <c r="C56" s="17">
        <v>52.515078019999997</v>
      </c>
      <c r="E56" s="36">
        <v>7.6405235427135603</v>
      </c>
      <c r="F56" s="36">
        <v>0.40441176470588203</v>
      </c>
      <c r="G56" s="36"/>
      <c r="M56" s="13">
        <f t="shared" si="4"/>
        <v>0.99053465384615347</v>
      </c>
      <c r="O56" s="13">
        <v>53</v>
      </c>
      <c r="P56" s="13">
        <v>52</v>
      </c>
      <c r="Q56" s="17">
        <v>59.53812465</v>
      </c>
      <c r="S56" s="36">
        <v>9.72629219849245</v>
      </c>
      <c r="T56" s="36">
        <v>0.60294117647058798</v>
      </c>
      <c r="U56" s="36"/>
      <c r="AA56" s="13">
        <f t="shared" si="1"/>
        <v>14.496393557692301</v>
      </c>
      <c r="AB56" s="36">
        <v>0.39609081992698503</v>
      </c>
      <c r="AC56" s="23">
        <v>0.56687903559404251</v>
      </c>
      <c r="AD56" s="23">
        <v>0.62827626547005144</v>
      </c>
      <c r="AE56" s="23">
        <v>1687</v>
      </c>
      <c r="AF56" s="23">
        <v>7.3848156008513308E-3</v>
      </c>
      <c r="AG56" s="23">
        <v>1</v>
      </c>
      <c r="AI56" s="13">
        <v>53</v>
      </c>
      <c r="AJ56" s="13">
        <v>52</v>
      </c>
      <c r="AK56" s="17">
        <v>51.853015599999999</v>
      </c>
      <c r="AM56" s="36">
        <v>1.5751398844221101</v>
      </c>
      <c r="AN56" s="36">
        <v>0.36176470588235199</v>
      </c>
      <c r="AO56" s="36"/>
      <c r="AV56" s="13">
        <f t="shared" si="2"/>
        <v>-0.28266230769230516</v>
      </c>
      <c r="AW56" s="36">
        <v>8.6228571553447403E-2</v>
      </c>
      <c r="AX56" s="13">
        <v>0.12143300126001993</v>
      </c>
      <c r="AY56" s="13">
        <v>0.81976141004258829</v>
      </c>
      <c r="AZ56" s="13">
        <v>1763</v>
      </c>
      <c r="BA56" s="13">
        <v>6.8863916195007627E-3</v>
      </c>
      <c r="BB56" s="13">
        <v>0</v>
      </c>
      <c r="BD56" s="13">
        <v>53</v>
      </c>
      <c r="BE56" s="13">
        <v>52</v>
      </c>
      <c r="BF56" s="17">
        <v>51.792614829999998</v>
      </c>
      <c r="BH56" s="36">
        <v>3.1745149597989899</v>
      </c>
      <c r="BI56" s="36">
        <v>0.39558823529411702</v>
      </c>
      <c r="BJ56" s="36"/>
      <c r="BQ56" s="13">
        <f t="shared" si="3"/>
        <v>-0.39881763461538933</v>
      </c>
      <c r="BR56" s="36">
        <v>0.189638687318579</v>
      </c>
      <c r="BS56" s="13">
        <v>0.16652660324241639</v>
      </c>
      <c r="BT56" s="13">
        <v>0.45131080327973427</v>
      </c>
      <c r="BU56" s="13">
        <v>674</v>
      </c>
      <c r="BV56" s="13">
        <v>9.7890900814984558E-3</v>
      </c>
      <c r="BW56" s="13">
        <v>1</v>
      </c>
    </row>
    <row r="57" spans="1:75">
      <c r="A57" s="13">
        <v>54</v>
      </c>
      <c r="B57" s="13">
        <v>214</v>
      </c>
      <c r="C57" s="17">
        <v>183.41910480000001</v>
      </c>
      <c r="E57" s="36">
        <v>7.8103129547738597</v>
      </c>
      <c r="F57" s="36">
        <v>0.40735294117646997</v>
      </c>
      <c r="G57" s="36"/>
      <c r="M57" s="13">
        <f t="shared" si="4"/>
        <v>-14.290137943925229</v>
      </c>
      <c r="O57" s="13">
        <v>54</v>
      </c>
      <c r="P57" s="13">
        <v>214</v>
      </c>
      <c r="Q57" s="17">
        <v>173.98062880000001</v>
      </c>
      <c r="S57" s="36">
        <v>9.9424320251256209</v>
      </c>
      <c r="T57" s="36">
        <v>0.61323529411764699</v>
      </c>
      <c r="U57" s="36"/>
      <c r="AA57" s="13">
        <f t="shared" si="1"/>
        <v>-18.700640747663545</v>
      </c>
      <c r="AB57" s="36">
        <v>0.39609081992698503</v>
      </c>
      <c r="AC57" s="23">
        <v>0.11847431358942098</v>
      </c>
      <c r="AD57" s="23">
        <v>0.617671817509448</v>
      </c>
      <c r="AE57" s="23">
        <v>1651</v>
      </c>
      <c r="AF57" s="23">
        <v>7.8820279551802333E-3</v>
      </c>
      <c r="AG57" s="23">
        <v>0</v>
      </c>
      <c r="AI57" s="13">
        <v>54</v>
      </c>
      <c r="AJ57" s="13">
        <v>214</v>
      </c>
      <c r="AK57" s="17">
        <v>207.975821</v>
      </c>
      <c r="AM57" s="36">
        <v>1.6101429929648201</v>
      </c>
      <c r="AN57" s="36">
        <v>0.369117647058823</v>
      </c>
      <c r="AO57" s="36"/>
      <c r="AV57" s="13">
        <f t="shared" si="2"/>
        <v>-2.8150369158878474</v>
      </c>
      <c r="AW57" s="36">
        <v>8.6228571553447403E-2</v>
      </c>
      <c r="AX57" s="13">
        <v>5.5318061466166357E-3</v>
      </c>
      <c r="AY57" s="13">
        <v>0.47310816535270095</v>
      </c>
      <c r="AZ57" s="13">
        <v>1073</v>
      </c>
      <c r="BA57" s="13">
        <v>8.7362972106813219E-3</v>
      </c>
      <c r="BB57" s="13">
        <v>0</v>
      </c>
      <c r="BD57" s="13">
        <v>54</v>
      </c>
      <c r="BE57" s="13">
        <v>214</v>
      </c>
      <c r="BF57" s="17">
        <v>202.10340160000001</v>
      </c>
      <c r="BH57" s="36">
        <v>3.2450597366834102</v>
      </c>
      <c r="BI57" s="36">
        <v>0.40294117647058803</v>
      </c>
      <c r="BJ57" s="36"/>
      <c r="BQ57" s="13">
        <f t="shared" si="3"/>
        <v>-5.5591581308411131</v>
      </c>
      <c r="BR57" s="36">
        <v>0.189638687318579</v>
      </c>
      <c r="BS57" s="13">
        <v>0.38272315856595907</v>
      </c>
      <c r="BT57" s="13">
        <v>0.83357152824401082</v>
      </c>
      <c r="BU57" s="13">
        <v>1113</v>
      </c>
      <c r="BV57" s="13">
        <v>5.4257534815109303E-3</v>
      </c>
      <c r="BW57" s="13">
        <v>1</v>
      </c>
    </row>
    <row r="58" spans="1:75">
      <c r="A58" s="13">
        <v>55</v>
      </c>
      <c r="B58" s="13">
        <v>87</v>
      </c>
      <c r="C58" s="17">
        <v>57.690801690000001</v>
      </c>
      <c r="E58" s="36">
        <v>7.9801023668341697</v>
      </c>
      <c r="F58" s="36">
        <v>0.40882352941176398</v>
      </c>
      <c r="G58" s="36"/>
      <c r="M58" s="13">
        <f t="shared" si="4"/>
        <v>-33.688733689655173</v>
      </c>
      <c r="O58" s="13">
        <v>55</v>
      </c>
      <c r="P58" s="13">
        <v>87</v>
      </c>
      <c r="Q58" s="17">
        <v>54.950358389999998</v>
      </c>
      <c r="S58" s="36">
        <v>10.158571851758699</v>
      </c>
      <c r="T58" s="36">
        <v>0.622058823529411</v>
      </c>
      <c r="U58" s="36"/>
      <c r="AA58" s="13">
        <f t="shared" si="1"/>
        <v>-36.838668517241381</v>
      </c>
      <c r="AB58" s="36">
        <v>0.39609081992698503</v>
      </c>
      <c r="AC58" s="23">
        <v>0.78358207424459336</v>
      </c>
      <c r="AD58" s="23">
        <v>0.48667825268338938</v>
      </c>
      <c r="AE58" s="23">
        <v>583</v>
      </c>
      <c r="AF58" s="23">
        <v>1.9707929237842811E-3</v>
      </c>
      <c r="AG58" s="23">
        <v>0</v>
      </c>
      <c r="AI58" s="13">
        <v>55</v>
      </c>
      <c r="AJ58" s="13">
        <v>87</v>
      </c>
      <c r="AK58" s="17">
        <v>81.056160340000005</v>
      </c>
      <c r="AM58" s="36">
        <v>1.6451461015075299</v>
      </c>
      <c r="AN58" s="36">
        <v>0.376470588235294</v>
      </c>
      <c r="AO58" s="36"/>
      <c r="AV58" s="13">
        <f t="shared" si="2"/>
        <v>-6.8319996091953943</v>
      </c>
      <c r="AW58" s="36">
        <v>8.6228571553447403E-2</v>
      </c>
      <c r="AX58" s="13">
        <v>0.13338490067533168</v>
      </c>
      <c r="AY58" s="13">
        <v>0.10321559350552821</v>
      </c>
      <c r="AZ58" s="13">
        <v>385</v>
      </c>
      <c r="BA58" s="13">
        <v>2.4443441872073176E-3</v>
      </c>
      <c r="BB58" s="13">
        <v>1</v>
      </c>
      <c r="BD58" s="13">
        <v>55</v>
      </c>
      <c r="BE58" s="13">
        <v>87</v>
      </c>
      <c r="BF58" s="17">
        <v>75.105950480000004</v>
      </c>
      <c r="BH58" s="36">
        <v>3.31560451356783</v>
      </c>
      <c r="BI58" s="36">
        <v>0.41323529411764698</v>
      </c>
      <c r="BJ58" s="36"/>
      <c r="BQ58" s="13">
        <f t="shared" si="3"/>
        <v>-13.671321287356319</v>
      </c>
      <c r="BR58" s="36">
        <v>0.189638687318579</v>
      </c>
      <c r="BS58" s="13">
        <v>3.3606606336842856E-2</v>
      </c>
      <c r="BT58" s="13">
        <v>0.9109106465172534</v>
      </c>
      <c r="BU58" s="13">
        <v>101</v>
      </c>
      <c r="BV58" s="13">
        <v>2.4093271433669322E-3</v>
      </c>
      <c r="BW58" s="13">
        <v>1</v>
      </c>
    </row>
    <row r="59" spans="1:75">
      <c r="A59" s="13">
        <v>56</v>
      </c>
      <c r="B59" s="13">
        <v>153</v>
      </c>
      <c r="C59" s="17">
        <v>153.1802509</v>
      </c>
      <c r="E59" s="36">
        <v>8.1498917788944691</v>
      </c>
      <c r="F59" s="36">
        <v>0.41176470588235198</v>
      </c>
      <c r="G59" s="36"/>
      <c r="M59" s="13">
        <f t="shared" si="4"/>
        <v>0.11781104575163681</v>
      </c>
      <c r="O59" s="13">
        <v>56</v>
      </c>
      <c r="P59" s="13">
        <v>153</v>
      </c>
      <c r="Q59" s="17">
        <v>154.31097410000001</v>
      </c>
      <c r="S59" s="36">
        <v>10.3747116783919</v>
      </c>
      <c r="T59" s="36">
        <v>0.625</v>
      </c>
      <c r="U59" s="36"/>
      <c r="AA59" s="13">
        <f t="shared" si="1"/>
        <v>0.85684581699347895</v>
      </c>
      <c r="AB59" s="36">
        <v>0.39609081992698503</v>
      </c>
      <c r="AC59" s="23">
        <v>0.90544029211598243</v>
      </c>
      <c r="AD59" s="23">
        <v>0.25143029161809999</v>
      </c>
      <c r="AE59" s="23">
        <v>421</v>
      </c>
      <c r="AF59" s="23">
        <v>1.5320885474468607E-3</v>
      </c>
      <c r="AG59" s="23">
        <v>1</v>
      </c>
      <c r="AI59" s="13">
        <v>56</v>
      </c>
      <c r="AJ59" s="13">
        <v>153</v>
      </c>
      <c r="AK59" s="17">
        <v>153.2500502</v>
      </c>
      <c r="AM59" s="36">
        <v>1.68014921005025</v>
      </c>
      <c r="AN59" s="36">
        <v>0.379411764705882</v>
      </c>
      <c r="AO59" s="36"/>
      <c r="AV59" s="13">
        <f t="shared" si="2"/>
        <v>0.16343150326798561</v>
      </c>
      <c r="AW59" s="36">
        <v>7.87053518565317E-2</v>
      </c>
      <c r="AX59" s="13">
        <v>0.73978525711654541</v>
      </c>
      <c r="AY59" s="13">
        <v>0.57157021894014948</v>
      </c>
      <c r="AZ59" s="13">
        <v>1123</v>
      </c>
      <c r="BA59" s="13">
        <v>2.4972680201855398E-3</v>
      </c>
      <c r="BB59" s="13">
        <v>1</v>
      </c>
      <c r="BD59" s="13">
        <v>56</v>
      </c>
      <c r="BE59" s="13">
        <v>153</v>
      </c>
      <c r="BF59" s="17">
        <v>152.52241069999999</v>
      </c>
      <c r="BH59" s="36">
        <v>3.3861492904522499</v>
      </c>
      <c r="BI59" s="36">
        <v>0.42941176470588199</v>
      </c>
      <c r="BJ59" s="36"/>
      <c r="BQ59" s="13">
        <f t="shared" si="3"/>
        <v>-0.31214986928105315</v>
      </c>
      <c r="BR59" s="36">
        <v>0.189638687318579</v>
      </c>
      <c r="BS59" s="13">
        <v>0.35518212113840958</v>
      </c>
      <c r="BT59" s="13">
        <v>0.91121643856224166</v>
      </c>
      <c r="BU59" s="13">
        <v>1116</v>
      </c>
      <c r="BV59" s="13">
        <v>3.1650132038560622E-3</v>
      </c>
      <c r="BW59" s="13">
        <v>1</v>
      </c>
    </row>
    <row r="60" spans="1:75">
      <c r="A60" s="13">
        <v>57</v>
      </c>
      <c r="B60" s="13">
        <v>208</v>
      </c>
      <c r="C60" s="17">
        <v>208.27204330000001</v>
      </c>
      <c r="E60" s="36">
        <v>8.3196811909547694</v>
      </c>
      <c r="F60" s="36">
        <v>0.41764705882352898</v>
      </c>
      <c r="G60" s="36"/>
      <c r="M60" s="13">
        <f t="shared" si="4"/>
        <v>0.13079004807692307</v>
      </c>
      <c r="O60" s="13">
        <v>57</v>
      </c>
      <c r="P60" s="13">
        <v>208</v>
      </c>
      <c r="Q60" s="17">
        <v>200.29326760000001</v>
      </c>
      <c r="S60" s="36">
        <v>10.5908515050251</v>
      </c>
      <c r="T60" s="36">
        <v>0.63088235294117601</v>
      </c>
      <c r="U60" s="36"/>
      <c r="AA60" s="13">
        <f t="shared" si="1"/>
        <v>-3.7051598076923042</v>
      </c>
      <c r="AB60" s="36">
        <v>0.39609081992698503</v>
      </c>
      <c r="AC60" s="23">
        <v>0.86992732257234107</v>
      </c>
      <c r="AD60" s="23">
        <v>0.39407765985102394</v>
      </c>
      <c r="AE60" s="23">
        <v>311</v>
      </c>
      <c r="AF60" s="23">
        <v>4.5160357954310958E-3</v>
      </c>
      <c r="AG60" s="23">
        <v>1</v>
      </c>
      <c r="AI60" s="13">
        <v>57</v>
      </c>
      <c r="AJ60" s="13">
        <v>208</v>
      </c>
      <c r="AK60" s="17">
        <v>207.9084087</v>
      </c>
      <c r="AM60" s="36">
        <v>1.71515231859296</v>
      </c>
      <c r="AN60" s="36">
        <v>0.38382352941176401</v>
      </c>
      <c r="AO60" s="36"/>
      <c r="AV60" s="13">
        <f t="shared" si="2"/>
        <v>-4.4034278846161179E-2</v>
      </c>
      <c r="AW60" s="36">
        <v>7.87053518565317E-2</v>
      </c>
      <c r="AX60" s="13">
        <v>0.63303669914505978</v>
      </c>
      <c r="AY60" s="13">
        <v>0.43511910853335162</v>
      </c>
      <c r="AZ60" s="13">
        <v>110</v>
      </c>
      <c r="BA60" s="13">
        <v>2.6316797377393462E-3</v>
      </c>
      <c r="BB60" s="13">
        <v>1</v>
      </c>
      <c r="BD60" s="13">
        <v>57</v>
      </c>
      <c r="BE60" s="13">
        <v>208</v>
      </c>
      <c r="BF60" s="17">
        <v>208.22111229999999</v>
      </c>
      <c r="BH60" s="36">
        <v>3.4566940673366799</v>
      </c>
      <c r="BI60" s="36">
        <v>0.441176470588235</v>
      </c>
      <c r="BJ60" s="36"/>
      <c r="BQ60" s="13">
        <f t="shared" si="3"/>
        <v>0.10630399038460414</v>
      </c>
      <c r="BR60" s="36">
        <v>0.189638687318579</v>
      </c>
      <c r="BS60" s="13">
        <v>0.20213847530574988</v>
      </c>
      <c r="BT60" s="13">
        <v>0.91495142091249337</v>
      </c>
      <c r="BU60" s="13">
        <v>1302</v>
      </c>
      <c r="BV60" s="13">
        <v>6.4756886056471013E-3</v>
      </c>
      <c r="BW60" s="13">
        <v>1</v>
      </c>
    </row>
    <row r="61" spans="1:75">
      <c r="A61" s="13">
        <v>58</v>
      </c>
      <c r="B61" s="13">
        <v>143</v>
      </c>
      <c r="C61" s="17">
        <v>112.5014609</v>
      </c>
      <c r="E61" s="36">
        <v>8.4894706030150697</v>
      </c>
      <c r="F61" s="36">
        <v>0.41911764705882298</v>
      </c>
      <c r="G61" s="36"/>
      <c r="M61" s="13">
        <f t="shared" si="4"/>
        <v>-21.327649720279716</v>
      </c>
      <c r="O61" s="13">
        <v>58</v>
      </c>
      <c r="P61" s="13">
        <v>143</v>
      </c>
      <c r="Q61" s="17">
        <v>107.39789829999999</v>
      </c>
      <c r="S61" s="36">
        <v>10.8069913316582</v>
      </c>
      <c r="T61" s="36">
        <v>0.63529411764705801</v>
      </c>
      <c r="U61" s="36"/>
      <c r="AA61" s="13">
        <f t="shared" si="1"/>
        <v>-24.896574615384615</v>
      </c>
      <c r="AB61" s="36">
        <v>0.39609081992698503</v>
      </c>
      <c r="AC61" s="23">
        <v>0.53250911993377747</v>
      </c>
      <c r="AD61" s="23">
        <v>0.1034679955223906</v>
      </c>
      <c r="AE61" s="23">
        <v>1406</v>
      </c>
      <c r="AF61" s="23">
        <v>3.6325316299775294E-3</v>
      </c>
      <c r="AG61" s="23">
        <v>0</v>
      </c>
      <c r="AI61" s="13">
        <v>58</v>
      </c>
      <c r="AJ61" s="13">
        <v>143</v>
      </c>
      <c r="AK61" s="17">
        <v>136.5502922</v>
      </c>
      <c r="AM61" s="36">
        <v>1.7501554271356701</v>
      </c>
      <c r="AN61" s="36">
        <v>0.39264705882352902</v>
      </c>
      <c r="AO61" s="36"/>
      <c r="AV61" s="13">
        <f t="shared" si="2"/>
        <v>-4.5102851748251798</v>
      </c>
      <c r="AW61" s="36">
        <v>7.87053518565317E-2</v>
      </c>
      <c r="AX61" s="13">
        <v>0.81189226205319276</v>
      </c>
      <c r="AY61" s="13">
        <v>0.678539904865893</v>
      </c>
      <c r="AZ61" s="13">
        <v>1016</v>
      </c>
      <c r="BA61" s="13">
        <v>5.7767299641871784E-3</v>
      </c>
      <c r="BB61" s="13">
        <v>1</v>
      </c>
      <c r="BD61" s="13">
        <v>58</v>
      </c>
      <c r="BE61" s="13">
        <v>143</v>
      </c>
      <c r="BF61" s="17">
        <v>130.43509349999999</v>
      </c>
      <c r="BH61" s="36">
        <v>3.5272388442210998</v>
      </c>
      <c r="BI61" s="36">
        <v>0.45735294117647002</v>
      </c>
      <c r="BJ61" s="36"/>
      <c r="BQ61" s="13">
        <f t="shared" si="3"/>
        <v>-8.7866479020979114</v>
      </c>
      <c r="BR61" s="36">
        <v>0.189638687318579</v>
      </c>
      <c r="BS61" s="13">
        <v>0.63771098884477517</v>
      </c>
      <c r="BT61" s="13">
        <v>0.343705295710658</v>
      </c>
      <c r="BU61" s="13">
        <v>1097</v>
      </c>
      <c r="BV61" s="13">
        <v>2.0123074892308508E-3</v>
      </c>
      <c r="BW61" s="13">
        <v>0</v>
      </c>
    </row>
    <row r="62" spans="1:75">
      <c r="A62" s="13">
        <v>59</v>
      </c>
      <c r="B62" s="13">
        <v>30</v>
      </c>
      <c r="C62" s="17">
        <v>24.397629009545501</v>
      </c>
      <c r="E62" s="36">
        <v>8.65926001507537</v>
      </c>
      <c r="F62" s="36">
        <v>0.42647058823529399</v>
      </c>
      <c r="G62" s="36"/>
      <c r="M62" s="13">
        <f t="shared" si="4"/>
        <v>-18.674569968181665</v>
      </c>
      <c r="O62" s="13">
        <v>59</v>
      </c>
      <c r="P62" s="13">
        <v>30</v>
      </c>
      <c r="Q62" s="17">
        <v>29.669764538503902</v>
      </c>
      <c r="S62" s="36">
        <v>11.023131158291401</v>
      </c>
      <c r="T62" s="36">
        <v>0.64411764705882302</v>
      </c>
      <c r="U62" s="36"/>
      <c r="AA62" s="13">
        <f t="shared" si="1"/>
        <v>-1.1007848716536595</v>
      </c>
      <c r="AB62" s="36">
        <v>0.38802210898501399</v>
      </c>
      <c r="AC62" s="23">
        <v>0.26685924602067834</v>
      </c>
      <c r="AD62" s="23">
        <v>0.46065800305159377</v>
      </c>
      <c r="AE62" s="23">
        <v>861</v>
      </c>
      <c r="AF62" s="23">
        <v>8.4118914299454485E-3</v>
      </c>
      <c r="AG62" s="23">
        <v>0</v>
      </c>
      <c r="AI62" s="13">
        <v>59</v>
      </c>
      <c r="AJ62" s="13">
        <v>30</v>
      </c>
      <c r="AK62" s="17">
        <v>24.824010000000001</v>
      </c>
      <c r="AM62" s="36">
        <v>1.7851585356783899</v>
      </c>
      <c r="AN62" s="36">
        <v>0.40147058823529402</v>
      </c>
      <c r="AO62" s="36"/>
      <c r="AV62" s="13">
        <f t="shared" si="2"/>
        <v>-17.253299999999992</v>
      </c>
      <c r="AW62" s="36">
        <v>7.87053518565317E-2</v>
      </c>
      <c r="AX62" s="13">
        <v>0.47594013300347005</v>
      </c>
      <c r="AY62" s="13">
        <v>0.16270281077490004</v>
      </c>
      <c r="AZ62" s="13">
        <v>1128</v>
      </c>
      <c r="BA62" s="13">
        <v>9.7270945536179869E-3</v>
      </c>
      <c r="BB62" s="13">
        <v>1</v>
      </c>
      <c r="BD62" s="13">
        <v>59</v>
      </c>
      <c r="BE62" s="13">
        <v>30</v>
      </c>
      <c r="BF62" s="17">
        <v>34.279705694671499</v>
      </c>
      <c r="BH62" s="36">
        <v>3.5977836211055201</v>
      </c>
      <c r="BI62" s="36">
        <v>0.47647058823529398</v>
      </c>
      <c r="BJ62" s="36"/>
      <c r="BQ62" s="13">
        <f t="shared" si="3"/>
        <v>14.265685648905002</v>
      </c>
      <c r="BR62" s="36">
        <v>0.189638687318579</v>
      </c>
      <c r="BS62" s="13">
        <v>0.57475255807915959</v>
      </c>
      <c r="BT62" s="13">
        <v>0.66861376629008973</v>
      </c>
      <c r="BU62" s="13">
        <v>568</v>
      </c>
      <c r="BV62" s="13">
        <v>5.998859460603031E-3</v>
      </c>
      <c r="BW62" s="13">
        <v>1</v>
      </c>
    </row>
    <row r="63" spans="1:75">
      <c r="A63" s="13">
        <v>60</v>
      </c>
      <c r="B63" s="13">
        <v>181</v>
      </c>
      <c r="C63" s="17">
        <v>188.841352</v>
      </c>
      <c r="E63" s="36">
        <v>8.8290494271356792</v>
      </c>
      <c r="F63" s="36">
        <v>0.43088235294117599</v>
      </c>
      <c r="G63" s="36"/>
      <c r="M63" s="13">
        <f t="shared" si="4"/>
        <v>4.3322386740331398</v>
      </c>
      <c r="O63" s="13">
        <v>60</v>
      </c>
      <c r="P63" s="13">
        <v>181</v>
      </c>
      <c r="Q63" s="17">
        <v>182.17883850000001</v>
      </c>
      <c r="S63" s="36">
        <v>11.2392709849246</v>
      </c>
      <c r="T63" s="36">
        <v>0.65147058823529402</v>
      </c>
      <c r="U63" s="36"/>
      <c r="AA63" s="13">
        <f t="shared" si="1"/>
        <v>0.65129198895028662</v>
      </c>
      <c r="AB63" s="36">
        <v>0.38802210898501399</v>
      </c>
      <c r="AC63" s="23">
        <v>0.7550165443844149</v>
      </c>
      <c r="AD63" s="23">
        <v>4.0345174926126173E-2</v>
      </c>
      <c r="AE63" s="23">
        <v>468</v>
      </c>
      <c r="AF63" s="23">
        <v>8.0616059264595613E-3</v>
      </c>
      <c r="AG63" s="23">
        <v>0</v>
      </c>
      <c r="AI63" s="13">
        <v>60</v>
      </c>
      <c r="AJ63" s="13">
        <v>181</v>
      </c>
      <c r="AK63" s="17">
        <v>182.43027040000001</v>
      </c>
      <c r="AM63" s="36">
        <v>1.8201616442210999</v>
      </c>
      <c r="AN63" s="36">
        <v>0.41029411764705798</v>
      </c>
      <c r="AO63" s="36"/>
      <c r="AV63" s="13">
        <f t="shared" si="2"/>
        <v>0.79020464088397357</v>
      </c>
      <c r="AW63" s="36">
        <v>7.87053518565317E-2</v>
      </c>
      <c r="AX63" s="13">
        <v>0.21202954277964098</v>
      </c>
      <c r="AY63" s="13">
        <v>0.40176887253847959</v>
      </c>
      <c r="AZ63" s="13">
        <v>519</v>
      </c>
      <c r="BA63" s="13">
        <v>3.0580258142333706E-3</v>
      </c>
      <c r="BB63" s="13">
        <v>1</v>
      </c>
      <c r="BD63" s="13">
        <v>60</v>
      </c>
      <c r="BE63" s="13">
        <v>181</v>
      </c>
      <c r="BF63" s="17">
        <v>183.7717146</v>
      </c>
      <c r="BH63" s="36">
        <v>3.6683283979899399</v>
      </c>
      <c r="BI63" s="36">
        <v>0.49117647058823499</v>
      </c>
      <c r="BJ63" s="36"/>
      <c r="BQ63" s="13">
        <f t="shared" si="3"/>
        <v>1.5313340331491787</v>
      </c>
      <c r="BR63" s="36">
        <v>0.189638687318579</v>
      </c>
      <c r="BS63" s="13">
        <v>0.76651886215419784</v>
      </c>
      <c r="BT63" s="13">
        <v>0.42367744335923196</v>
      </c>
      <c r="BU63" s="13">
        <v>1860</v>
      </c>
      <c r="BV63" s="13">
        <v>8.9689831503614106E-3</v>
      </c>
      <c r="BW63" s="13">
        <v>0</v>
      </c>
    </row>
    <row r="64" spans="1:75">
      <c r="A64" s="13">
        <v>61</v>
      </c>
      <c r="B64" s="13">
        <v>67</v>
      </c>
      <c r="C64" s="17">
        <v>38.459300249999998</v>
      </c>
      <c r="E64" s="36">
        <v>8.9988388391959795</v>
      </c>
      <c r="F64" s="36">
        <v>0.44558823529411701</v>
      </c>
      <c r="G64" s="36"/>
      <c r="M64" s="13">
        <f t="shared" si="4"/>
        <v>-42.598059328358204</v>
      </c>
      <c r="O64" s="13">
        <v>61</v>
      </c>
      <c r="P64" s="13">
        <v>67</v>
      </c>
      <c r="Q64" s="17">
        <v>59.3116712614557</v>
      </c>
      <c r="S64" s="36">
        <v>11.4554108115577</v>
      </c>
      <c r="T64" s="36">
        <v>0.65735294117647003</v>
      </c>
      <c r="U64" s="36"/>
      <c r="AA64" s="13">
        <f t="shared" si="1"/>
        <v>-11.475117520215372</v>
      </c>
      <c r="AB64" s="36">
        <v>0.38802210898501399</v>
      </c>
      <c r="AC64" s="23">
        <v>0.77373004895247888</v>
      </c>
      <c r="AD64" s="23">
        <v>0.31161879277810917</v>
      </c>
      <c r="AE64" s="23">
        <v>1188</v>
      </c>
      <c r="AF64" s="23">
        <v>6.0687671445243665E-3</v>
      </c>
      <c r="AG64" s="23">
        <v>1</v>
      </c>
      <c r="AI64" s="13">
        <v>61</v>
      </c>
      <c r="AJ64" s="13">
        <v>67</v>
      </c>
      <c r="AK64" s="17">
        <v>60.941860050000003</v>
      </c>
      <c r="AM64" s="36">
        <v>1.85516475276381</v>
      </c>
      <c r="AN64" s="36">
        <v>0.41617647058823498</v>
      </c>
      <c r="AO64" s="36"/>
      <c r="AV64" s="13">
        <f t="shared" si="2"/>
        <v>-9.0419999253731334</v>
      </c>
      <c r="AW64" s="36">
        <v>7.87053518565317E-2</v>
      </c>
      <c r="AX64" s="13">
        <v>0.67332626108513649</v>
      </c>
      <c r="AY64" s="13">
        <v>0.95172201511007226</v>
      </c>
      <c r="AZ64" s="13">
        <v>1603</v>
      </c>
      <c r="BA64" s="13">
        <v>2.0960005331677428E-3</v>
      </c>
      <c r="BB64" s="13">
        <v>1</v>
      </c>
      <c r="BD64" s="13">
        <v>61</v>
      </c>
      <c r="BE64" s="13">
        <v>67</v>
      </c>
      <c r="BF64" s="17">
        <v>55.036659659999998</v>
      </c>
      <c r="BH64" s="36">
        <v>3.7388731748743602</v>
      </c>
      <c r="BI64" s="36">
        <v>0.504411764705882</v>
      </c>
      <c r="BJ64" s="36"/>
      <c r="BQ64" s="13">
        <f t="shared" si="3"/>
        <v>-17.85573185074627</v>
      </c>
      <c r="BR64" s="36">
        <v>0.18657798791746499</v>
      </c>
      <c r="BS64" s="13">
        <v>0.82428915428831373</v>
      </c>
      <c r="BT64" s="13">
        <v>0.72183034976077998</v>
      </c>
      <c r="BU64" s="13">
        <v>1969</v>
      </c>
      <c r="BV64" s="13">
        <v>9.7059562517811462E-3</v>
      </c>
      <c r="BW64" s="13">
        <v>0</v>
      </c>
    </row>
    <row r="65" spans="1:75">
      <c r="A65" s="13">
        <v>62</v>
      </c>
      <c r="B65" s="13">
        <v>85</v>
      </c>
      <c r="C65" s="17">
        <v>95.77007845</v>
      </c>
      <c r="E65" s="36">
        <v>9.1686282512562798</v>
      </c>
      <c r="F65" s="36">
        <v>0.46176470588235202</v>
      </c>
      <c r="G65" s="36"/>
      <c r="M65" s="13">
        <f t="shared" si="4"/>
        <v>12.67068052941176</v>
      </c>
      <c r="O65" s="13">
        <v>62</v>
      </c>
      <c r="P65" s="13">
        <v>85</v>
      </c>
      <c r="Q65" s="17">
        <v>98.812393610000001</v>
      </c>
      <c r="S65" s="36">
        <v>11.671550638190901</v>
      </c>
      <c r="T65" s="36">
        <v>0.66176470588235203</v>
      </c>
      <c r="U65" s="36"/>
      <c r="AA65" s="13">
        <f t="shared" si="1"/>
        <v>16.249874835294122</v>
      </c>
      <c r="AB65" s="36">
        <v>0.38802210898501399</v>
      </c>
      <c r="AC65" s="23">
        <v>0.68039955461316182</v>
      </c>
      <c r="AD65" s="23">
        <v>0.64915418281877546</v>
      </c>
      <c r="AE65" s="23">
        <v>1437</v>
      </c>
      <c r="AF65" s="23">
        <v>1.168965905737739E-3</v>
      </c>
      <c r="AG65" s="23">
        <v>1</v>
      </c>
      <c r="AI65" s="13">
        <v>62</v>
      </c>
      <c r="AJ65" s="13">
        <v>85</v>
      </c>
      <c r="AK65" s="17">
        <v>87.172015689999995</v>
      </c>
      <c r="AM65" s="36">
        <v>1.89016786130653</v>
      </c>
      <c r="AN65" s="36">
        <v>0.42058823529411699</v>
      </c>
      <c r="AO65" s="36"/>
      <c r="AV65" s="13">
        <f t="shared" si="2"/>
        <v>2.555312576470592</v>
      </c>
      <c r="AW65" s="36">
        <v>7.7269786371817598E-2</v>
      </c>
      <c r="AX65" s="13">
        <v>0.31173535723477835</v>
      </c>
      <c r="AY65" s="13">
        <v>0.33923380685712301</v>
      </c>
      <c r="AZ65" s="13">
        <v>1801</v>
      </c>
      <c r="BA65" s="13">
        <v>6.7642008121551345E-3</v>
      </c>
      <c r="BB65" s="13">
        <v>0</v>
      </c>
      <c r="BD65" s="13">
        <v>62</v>
      </c>
      <c r="BE65" s="13">
        <v>85</v>
      </c>
      <c r="BF65" s="17">
        <v>88.795555680000007</v>
      </c>
      <c r="BH65" s="36">
        <v>3.8094179517587898</v>
      </c>
      <c r="BI65" s="36">
        <v>0.52352941176470502</v>
      </c>
      <c r="BJ65" s="36"/>
      <c r="BQ65" s="13">
        <f t="shared" si="3"/>
        <v>4.4653596235294302</v>
      </c>
      <c r="BR65" s="36">
        <v>0.18657798791746499</v>
      </c>
      <c r="BS65" s="13">
        <v>0.34264853376414106</v>
      </c>
      <c r="BT65" s="13">
        <v>0.76170081867411388</v>
      </c>
      <c r="BU65" s="13">
        <v>1023</v>
      </c>
      <c r="BV65" s="13">
        <v>2.304401017858209E-3</v>
      </c>
      <c r="BW65" s="13">
        <v>1</v>
      </c>
    </row>
    <row r="66" spans="1:75">
      <c r="A66" s="13">
        <v>63</v>
      </c>
      <c r="B66" s="13">
        <v>202</v>
      </c>
      <c r="C66" s="17">
        <v>210.96687230000001</v>
      </c>
      <c r="E66" s="36">
        <v>9.3384176633165801</v>
      </c>
      <c r="F66" s="36">
        <v>0.47794117647058798</v>
      </c>
      <c r="G66" s="36"/>
      <c r="M66" s="13">
        <f t="shared" si="4"/>
        <v>4.439045693069299</v>
      </c>
      <c r="O66" s="13">
        <v>63</v>
      </c>
      <c r="P66" s="13">
        <v>202</v>
      </c>
      <c r="Q66" s="17">
        <v>202</v>
      </c>
      <c r="S66" s="36">
        <v>11.8876904648241</v>
      </c>
      <c r="T66" s="36">
        <v>0.66470588235294104</v>
      </c>
      <c r="U66" s="36"/>
      <c r="AA66" s="13">
        <f t="shared" si="1"/>
        <v>0</v>
      </c>
      <c r="AB66" s="36">
        <v>0.38802210898501399</v>
      </c>
      <c r="AC66" s="23">
        <v>0.86486055524405669</v>
      </c>
      <c r="AD66" s="23">
        <v>0.52896473079450168</v>
      </c>
      <c r="AE66" s="23">
        <v>1696</v>
      </c>
      <c r="AF66" s="23">
        <v>3.2923411395612886E-3</v>
      </c>
      <c r="AG66" s="23">
        <v>0</v>
      </c>
      <c r="AI66" s="13">
        <v>63</v>
      </c>
      <c r="AJ66" s="13">
        <v>202</v>
      </c>
      <c r="AK66" s="17">
        <v>203.81537449999999</v>
      </c>
      <c r="AM66" s="36">
        <v>1.9251709698492401</v>
      </c>
      <c r="AN66" s="36">
        <v>0.433823529411764</v>
      </c>
      <c r="AO66" s="36"/>
      <c r="AV66" s="13">
        <f t="shared" si="2"/>
        <v>0.89870024752474187</v>
      </c>
      <c r="AW66" s="36">
        <v>7.7269786371817598E-2</v>
      </c>
      <c r="AX66" s="13">
        <v>0.55436880427033386</v>
      </c>
      <c r="AY66" s="13">
        <v>0.10408457828430399</v>
      </c>
      <c r="AZ66" s="13">
        <v>1238</v>
      </c>
      <c r="BA66" s="13">
        <v>9.1723789734827321E-3</v>
      </c>
      <c r="BB66" s="13">
        <v>1</v>
      </c>
      <c r="BD66" s="13">
        <v>63</v>
      </c>
      <c r="BE66" s="13">
        <v>202</v>
      </c>
      <c r="BF66" s="17">
        <v>205.25194020000001</v>
      </c>
      <c r="BH66" s="36">
        <v>3.8799627286432101</v>
      </c>
      <c r="BI66" s="36">
        <v>0.53823529411764703</v>
      </c>
      <c r="BJ66" s="36"/>
      <c r="BQ66" s="13">
        <f t="shared" si="3"/>
        <v>1.6098713861386171</v>
      </c>
      <c r="BR66" s="36">
        <v>0.18303140416137201</v>
      </c>
      <c r="BS66" s="13">
        <v>0.95799289270858157</v>
      </c>
      <c r="BT66" s="13">
        <v>0.46906371001353658</v>
      </c>
      <c r="BU66" s="13">
        <v>1011</v>
      </c>
      <c r="BV66" s="13">
        <v>3.200914557303737E-3</v>
      </c>
      <c r="BW66" s="13">
        <v>1</v>
      </c>
    </row>
    <row r="67" spans="1:75">
      <c r="A67" s="13">
        <v>64</v>
      </c>
      <c r="B67" s="13">
        <v>148</v>
      </c>
      <c r="C67" s="17">
        <v>157.58475859999999</v>
      </c>
      <c r="E67" s="36">
        <v>9.5082070753768804</v>
      </c>
      <c r="F67" s="36">
        <v>0.49117647058823499</v>
      </c>
      <c r="G67" s="36"/>
      <c r="M67" s="13">
        <f t="shared" si="4"/>
        <v>6.4761882432432305</v>
      </c>
      <c r="O67" s="13">
        <v>64</v>
      </c>
      <c r="P67" s="13">
        <v>148</v>
      </c>
      <c r="Q67" s="17">
        <v>153.07475289999999</v>
      </c>
      <c r="S67" s="36">
        <v>12.1038302914572</v>
      </c>
      <c r="T67" s="36">
        <v>0.67352941176470504</v>
      </c>
      <c r="U67" s="36"/>
      <c r="AA67" s="13">
        <f t="shared" ref="AA67:AA130" si="5">((Q67/P67)-1)*100</f>
        <v>3.4288870945945904</v>
      </c>
      <c r="AB67" s="36">
        <v>0.38802210898501399</v>
      </c>
      <c r="AC67" s="23">
        <v>0.52479546352462514</v>
      </c>
      <c r="AD67" s="23">
        <v>8.6047432634000803E-2</v>
      </c>
      <c r="AE67" s="23">
        <v>1480</v>
      </c>
      <c r="AF67" s="23">
        <v>4.1092156712145148E-3</v>
      </c>
      <c r="AG67" s="23">
        <v>1</v>
      </c>
      <c r="AI67" s="13">
        <v>64</v>
      </c>
      <c r="AJ67" s="13">
        <v>148</v>
      </c>
      <c r="AK67" s="17">
        <v>149.98095169999999</v>
      </c>
      <c r="AM67" s="36">
        <v>1.9601740783919499</v>
      </c>
      <c r="AN67" s="36">
        <v>0.45</v>
      </c>
      <c r="AO67" s="36"/>
      <c r="AV67" s="13">
        <f t="shared" ref="AV67:AV130" si="6">((AK67/AJ67)-1)*100</f>
        <v>1.3384808783783786</v>
      </c>
      <c r="AW67" s="36">
        <v>7.7269786371817598E-2</v>
      </c>
      <c r="AX67" s="13">
        <v>0.31474096931371881</v>
      </c>
      <c r="AY67" s="13">
        <v>0.6121327626984151</v>
      </c>
      <c r="AZ67" s="13">
        <v>1603</v>
      </c>
      <c r="BA67" s="13">
        <v>3.3162521584899664E-3</v>
      </c>
      <c r="BB67" s="13">
        <v>1</v>
      </c>
      <c r="BD67" s="13">
        <v>64</v>
      </c>
      <c r="BE67" s="13">
        <v>148</v>
      </c>
      <c r="BF67" s="17">
        <v>151.6084559</v>
      </c>
      <c r="BH67" s="36">
        <v>3.95050750552763</v>
      </c>
      <c r="BI67" s="36">
        <v>0.55882352941176405</v>
      </c>
      <c r="BJ67" s="36"/>
      <c r="BQ67" s="13">
        <f t="shared" si="3"/>
        <v>2.4381458783783838</v>
      </c>
      <c r="BR67" s="36">
        <v>0.18303140416137201</v>
      </c>
      <c r="BS67" s="13">
        <v>0.10247447320104719</v>
      </c>
      <c r="BT67" s="13">
        <v>0.34065070792312063</v>
      </c>
      <c r="BU67" s="13">
        <v>1560</v>
      </c>
      <c r="BV67" s="13">
        <v>9.1960925366444402E-3</v>
      </c>
      <c r="BW67" s="13">
        <v>0</v>
      </c>
    </row>
    <row r="68" spans="1:75">
      <c r="A68" s="13">
        <v>65</v>
      </c>
      <c r="B68" s="13">
        <v>25</v>
      </c>
      <c r="C68" s="17">
        <v>36.531508729999999</v>
      </c>
      <c r="E68" s="36">
        <v>9.6779964874371807</v>
      </c>
      <c r="F68" s="36">
        <v>0.50588235294117601</v>
      </c>
      <c r="G68" s="36"/>
      <c r="M68" s="13">
        <f t="shared" si="4"/>
        <v>46.126034920000002</v>
      </c>
      <c r="O68" s="13">
        <v>65</v>
      </c>
      <c r="P68" s="13">
        <v>25</v>
      </c>
      <c r="Q68" s="17">
        <v>38.910006180000003</v>
      </c>
      <c r="S68" s="36">
        <v>12.319970118090399</v>
      </c>
      <c r="T68" s="36">
        <v>0.67647058823529405</v>
      </c>
      <c r="U68" s="36"/>
      <c r="AA68" s="13">
        <f t="shared" si="5"/>
        <v>55.64002472</v>
      </c>
      <c r="AB68" s="36">
        <v>0.38802210898501399</v>
      </c>
      <c r="AC68" s="23">
        <v>6.3323873769535133E-2</v>
      </c>
      <c r="AD68" s="23">
        <v>0.53650172010848196</v>
      </c>
      <c r="AE68" s="23">
        <v>518</v>
      </c>
      <c r="AF68" s="23">
        <v>7.8070030795144148E-6</v>
      </c>
      <c r="AG68" s="23">
        <v>0</v>
      </c>
      <c r="AI68" s="13">
        <v>65</v>
      </c>
      <c r="AJ68" s="13">
        <v>25</v>
      </c>
      <c r="AK68" s="17">
        <v>27.307841750000001</v>
      </c>
      <c r="AM68" s="36">
        <v>1.9951771869346699</v>
      </c>
      <c r="AN68" s="36">
        <v>0.47058823529411697</v>
      </c>
      <c r="AO68" s="36"/>
      <c r="AV68" s="13">
        <f t="shared" si="6"/>
        <v>9.2313670000000023</v>
      </c>
      <c r="AW68" s="36">
        <v>7.7269786371817598E-2</v>
      </c>
      <c r="AX68" s="13">
        <v>0.15554861135987824</v>
      </c>
      <c r="AY68" s="13">
        <v>0.46061819823507116</v>
      </c>
      <c r="AZ68" s="13">
        <v>827</v>
      </c>
      <c r="BA68" s="13">
        <v>1.888969683589992E-3</v>
      </c>
      <c r="BB68" s="13">
        <v>1</v>
      </c>
      <c r="BD68" s="13">
        <v>65</v>
      </c>
      <c r="BE68" s="13">
        <v>25</v>
      </c>
      <c r="BF68" s="17">
        <v>29.119224429999999</v>
      </c>
      <c r="BH68" s="36">
        <v>4.0210522824120503</v>
      </c>
      <c r="BI68" s="36">
        <v>0.57941176470588196</v>
      </c>
      <c r="BJ68" s="36"/>
      <c r="BQ68" s="13">
        <f t="shared" ref="BQ68:BQ131" si="7">((BF68/BE68)-1)*100</f>
        <v>16.476897720000004</v>
      </c>
      <c r="BR68" s="36">
        <v>0.168120647632159</v>
      </c>
      <c r="BS68" s="13">
        <v>0.4888727733360409</v>
      </c>
      <c r="BT68" s="13">
        <v>0.51672776834147383</v>
      </c>
      <c r="BU68" s="13">
        <v>1937</v>
      </c>
      <c r="BV68" s="13">
        <v>8.9063953421781455E-4</v>
      </c>
      <c r="BW68" s="13">
        <v>0</v>
      </c>
    </row>
    <row r="69" spans="1:75">
      <c r="A69" s="13">
        <v>66</v>
      </c>
      <c r="B69" s="13">
        <v>42</v>
      </c>
      <c r="C69" s="17">
        <v>42.662885780000003</v>
      </c>
      <c r="E69" s="36">
        <v>9.8477858994974792</v>
      </c>
      <c r="F69" s="36">
        <v>0.52058823529411702</v>
      </c>
      <c r="G69" s="36"/>
      <c r="M69" s="13">
        <f t="shared" si="4"/>
        <v>1.5782994761904812</v>
      </c>
      <c r="O69" s="13">
        <v>66</v>
      </c>
      <c r="P69" s="13">
        <v>42</v>
      </c>
      <c r="Q69" s="17">
        <v>41.338496460000002</v>
      </c>
      <c r="S69" s="36">
        <v>12.5361099447236</v>
      </c>
      <c r="T69" s="36">
        <v>0.67647058823529405</v>
      </c>
      <c r="U69" s="36"/>
      <c r="AA69" s="13">
        <f t="shared" si="5"/>
        <v>-1.5750084285714228</v>
      </c>
      <c r="AB69" s="36">
        <v>0.38802210898501399</v>
      </c>
      <c r="AC69" s="23">
        <v>0.38284635523070559</v>
      </c>
      <c r="AD69" s="23">
        <v>0.75941629098515218</v>
      </c>
      <c r="AE69" s="23">
        <v>1431</v>
      </c>
      <c r="AF69" s="23">
        <v>7.7783793348002693E-3</v>
      </c>
      <c r="AG69" s="23">
        <v>0</v>
      </c>
      <c r="AI69" s="13">
        <v>66</v>
      </c>
      <c r="AJ69" s="13">
        <v>42</v>
      </c>
      <c r="AK69" s="17">
        <v>42.086577159999997</v>
      </c>
      <c r="AM69" s="36">
        <v>2.03018029547738</v>
      </c>
      <c r="AN69" s="36">
        <v>0.48382352941176399</v>
      </c>
      <c r="AO69" s="36"/>
      <c r="AV69" s="13">
        <f t="shared" si="6"/>
        <v>0.2061360952380964</v>
      </c>
      <c r="AW69" s="36">
        <v>7.0772097947994994E-2</v>
      </c>
      <c r="AX69" s="13">
        <v>0.62057984704859692</v>
      </c>
      <c r="AY69" s="13">
        <v>0.24367787263346982</v>
      </c>
      <c r="AZ69" s="13">
        <v>1310</v>
      </c>
      <c r="BA69" s="13">
        <v>5.2786268170030726E-3</v>
      </c>
      <c r="BB69" s="13">
        <v>1</v>
      </c>
      <c r="BD69" s="13">
        <v>66</v>
      </c>
      <c r="BE69" s="13">
        <v>42</v>
      </c>
      <c r="BF69" s="17">
        <v>41.975039209999998</v>
      </c>
      <c r="BH69" s="36">
        <v>4.0915970592964799</v>
      </c>
      <c r="BI69" s="36">
        <v>0.59264705882352897</v>
      </c>
      <c r="BJ69" s="36"/>
      <c r="BQ69" s="13">
        <f t="shared" si="7"/>
        <v>-5.9430452380959675E-2</v>
      </c>
      <c r="BR69" s="36">
        <v>0.168120647632159</v>
      </c>
      <c r="BS69" s="13">
        <v>0.83653100871009434</v>
      </c>
      <c r="BT69" s="13">
        <v>6.5474015420003237E-2</v>
      </c>
      <c r="BU69" s="13">
        <v>1798</v>
      </c>
      <c r="BV69" s="13">
        <v>5.8467129709467228E-3</v>
      </c>
      <c r="BW69" s="13">
        <v>0</v>
      </c>
    </row>
    <row r="70" spans="1:75">
      <c r="A70" s="13">
        <v>67</v>
      </c>
      <c r="B70" s="13">
        <v>180</v>
      </c>
      <c r="C70" s="17">
        <v>147.865613</v>
      </c>
      <c r="E70" s="36">
        <v>10.0175753115577</v>
      </c>
      <c r="F70" s="36">
        <v>0.53088235294117603</v>
      </c>
      <c r="G70" s="36"/>
      <c r="M70" s="13">
        <f t="shared" si="4"/>
        <v>-17.852437222222228</v>
      </c>
      <c r="O70" s="13">
        <v>67</v>
      </c>
      <c r="P70" s="13">
        <v>180</v>
      </c>
      <c r="Q70" s="17">
        <v>145.73636730000001</v>
      </c>
      <c r="S70" s="36">
        <v>12.7522497713567</v>
      </c>
      <c r="T70" s="36">
        <v>0.67941176470588205</v>
      </c>
      <c r="U70" s="36"/>
      <c r="AA70" s="13">
        <f t="shared" si="5"/>
        <v>-19.035351499999997</v>
      </c>
      <c r="AB70" s="36">
        <v>0.38802210898501399</v>
      </c>
      <c r="AC70" s="23">
        <v>0.58933174295988566</v>
      </c>
      <c r="AD70" s="23">
        <v>0.30186729120303812</v>
      </c>
      <c r="AE70" s="23">
        <v>1109</v>
      </c>
      <c r="AF70" s="23">
        <v>3.7448901523319637E-3</v>
      </c>
      <c r="AG70" s="23">
        <v>1</v>
      </c>
      <c r="AI70" s="13">
        <v>67</v>
      </c>
      <c r="AJ70" s="13">
        <v>180</v>
      </c>
      <c r="AK70" s="17">
        <v>173.3111226</v>
      </c>
      <c r="AM70" s="36">
        <v>2.0651834040200998</v>
      </c>
      <c r="AN70" s="36">
        <v>0.502941176470588</v>
      </c>
      <c r="AO70" s="36"/>
      <c r="AV70" s="13">
        <f t="shared" si="6"/>
        <v>-3.7160430000000022</v>
      </c>
      <c r="AW70" s="36">
        <v>7.0772097947994994E-2</v>
      </c>
      <c r="AX70" s="13">
        <v>7.4568087685143267E-2</v>
      </c>
      <c r="AY70" s="13">
        <v>0.44978024101907244</v>
      </c>
      <c r="AZ70" s="13">
        <v>1845</v>
      </c>
      <c r="BA70" s="13">
        <v>8.5681329200242764E-3</v>
      </c>
      <c r="BB70" s="13">
        <v>1</v>
      </c>
      <c r="BD70" s="13">
        <v>67</v>
      </c>
      <c r="BE70" s="13">
        <v>180</v>
      </c>
      <c r="BF70" s="17">
        <v>167.4286577</v>
      </c>
      <c r="BH70" s="36">
        <v>4.1621418361808997</v>
      </c>
      <c r="BI70" s="36">
        <v>0.6</v>
      </c>
      <c r="BJ70" s="36"/>
      <c r="BQ70" s="13">
        <f t="shared" si="7"/>
        <v>-6.9840790555555587</v>
      </c>
      <c r="BR70" s="36">
        <v>0.164626835711494</v>
      </c>
      <c r="BS70" s="13">
        <v>0.87554948009299194</v>
      </c>
      <c r="BT70" s="13">
        <v>0.62148079089914987</v>
      </c>
      <c r="BU70" s="13">
        <v>929</v>
      </c>
      <c r="BV70" s="13">
        <v>2.7948261260607485E-3</v>
      </c>
      <c r="BW70" s="13">
        <v>0</v>
      </c>
    </row>
    <row r="71" spans="1:75">
      <c r="A71" s="13">
        <v>68</v>
      </c>
      <c r="B71" s="13">
        <v>56</v>
      </c>
      <c r="C71" s="17">
        <v>67.298249922315605</v>
      </c>
      <c r="E71" s="36">
        <v>10.187364723618</v>
      </c>
      <c r="F71" s="36">
        <v>0.54558823529411704</v>
      </c>
      <c r="G71" s="36"/>
      <c r="M71" s="13">
        <f t="shared" si="4"/>
        <v>20.175446289849287</v>
      </c>
      <c r="O71" s="13">
        <v>68</v>
      </c>
      <c r="P71" s="13">
        <v>56</v>
      </c>
      <c r="Q71" s="17">
        <v>62.930829634089797</v>
      </c>
      <c r="S71" s="36">
        <v>12.9683895979899</v>
      </c>
      <c r="T71" s="36">
        <v>0.68235294117647005</v>
      </c>
      <c r="U71" s="36"/>
      <c r="AA71" s="13">
        <f t="shared" si="5"/>
        <v>12.376481489446057</v>
      </c>
      <c r="AB71" s="36">
        <v>0.38802210898501399</v>
      </c>
      <c r="AC71" s="23">
        <v>8.8451543934481791E-2</v>
      </c>
      <c r="AD71" s="23">
        <v>9.9215760100274525E-2</v>
      </c>
      <c r="AE71" s="23">
        <v>266</v>
      </c>
      <c r="AF71" s="23">
        <v>3.3650520753448401E-3</v>
      </c>
      <c r="AG71" s="23">
        <v>0</v>
      </c>
      <c r="AI71" s="13">
        <v>68</v>
      </c>
      <c r="AJ71" s="13">
        <v>56</v>
      </c>
      <c r="AK71" s="17">
        <v>50.216766550000003</v>
      </c>
      <c r="AM71" s="36">
        <v>2.1001865125628099</v>
      </c>
      <c r="AN71" s="36">
        <v>0.52058823529411702</v>
      </c>
      <c r="AO71" s="36"/>
      <c r="AV71" s="13">
        <f t="shared" si="6"/>
        <v>-10.327202589285712</v>
      </c>
      <c r="AW71" s="36">
        <v>7.0772097947994994E-2</v>
      </c>
      <c r="AX71" s="13">
        <v>0.39166468175715907</v>
      </c>
      <c r="AY71" s="13">
        <v>0.50517645073292405</v>
      </c>
      <c r="AZ71" s="13">
        <v>1691</v>
      </c>
      <c r="BA71" s="13">
        <v>8.4376174160800069E-3</v>
      </c>
      <c r="BB71" s="13">
        <v>0</v>
      </c>
      <c r="BD71" s="13">
        <v>68</v>
      </c>
      <c r="BE71" s="13">
        <v>56</v>
      </c>
      <c r="BF71" s="17">
        <v>43.971773339999999</v>
      </c>
      <c r="BH71" s="36">
        <v>4.2326866130653196</v>
      </c>
      <c r="BI71" s="36">
        <v>0.61470588235294099</v>
      </c>
      <c r="BJ71" s="36"/>
      <c r="BQ71" s="13">
        <f t="shared" si="7"/>
        <v>-21.478976178571429</v>
      </c>
      <c r="BR71" s="36">
        <v>0.164626835711494</v>
      </c>
      <c r="BS71" s="13">
        <v>0.7027069286479718</v>
      </c>
      <c r="BT71" s="13">
        <v>0.96498903370733502</v>
      </c>
      <c r="BU71" s="13">
        <v>245</v>
      </c>
      <c r="BV71" s="13">
        <v>3.407367657307835E-3</v>
      </c>
      <c r="BW71" s="13">
        <v>1</v>
      </c>
    </row>
    <row r="72" spans="1:75">
      <c r="A72" s="13">
        <v>69</v>
      </c>
      <c r="B72" s="13">
        <v>136</v>
      </c>
      <c r="C72" s="17">
        <v>135.60444010000001</v>
      </c>
      <c r="E72" s="36">
        <v>10.3571541356783</v>
      </c>
      <c r="F72" s="36">
        <v>0.56911764705882295</v>
      </c>
      <c r="G72" s="36"/>
      <c r="M72" s="13">
        <f t="shared" si="4"/>
        <v>-0.29085286764705121</v>
      </c>
      <c r="O72" s="13">
        <v>69</v>
      </c>
      <c r="P72" s="13">
        <v>136</v>
      </c>
      <c r="Q72" s="17">
        <v>133.98650480000001</v>
      </c>
      <c r="S72" s="36">
        <v>13.184529424623101</v>
      </c>
      <c r="T72" s="36">
        <v>0.68529411764705805</v>
      </c>
      <c r="U72" s="36"/>
      <c r="AA72" s="13">
        <f t="shared" si="5"/>
        <v>-1.4805111764705892</v>
      </c>
      <c r="AB72" s="36">
        <v>0.38802210898501399</v>
      </c>
      <c r="AC72" s="23">
        <v>7.0872654660533588E-3</v>
      </c>
      <c r="AD72" s="23">
        <v>0.94606583441955105</v>
      </c>
      <c r="AE72" s="23">
        <v>1480</v>
      </c>
      <c r="AF72" s="23">
        <v>1.1492760272258706E-4</v>
      </c>
      <c r="AG72" s="23">
        <v>0</v>
      </c>
      <c r="AI72" s="13">
        <v>69</v>
      </c>
      <c r="AJ72" s="13">
        <v>136</v>
      </c>
      <c r="AK72" s="17">
        <v>135.66488799999999</v>
      </c>
      <c r="AM72" s="36">
        <v>2.1351896211055199</v>
      </c>
      <c r="AN72" s="36">
        <v>0.54117647058823504</v>
      </c>
      <c r="AO72" s="36"/>
      <c r="AV72" s="13">
        <f t="shared" si="6"/>
        <v>-0.24640588235295136</v>
      </c>
      <c r="AW72" s="36">
        <v>7.0772097947994994E-2</v>
      </c>
      <c r="AX72" s="13">
        <v>0.24623898873898092</v>
      </c>
      <c r="AY72" s="13">
        <v>0.63745392409247081</v>
      </c>
      <c r="AZ72" s="13">
        <v>374</v>
      </c>
      <c r="BA72" s="13">
        <v>7.2112178690935131E-3</v>
      </c>
      <c r="BB72" s="13">
        <v>1</v>
      </c>
      <c r="BD72" s="13">
        <v>69</v>
      </c>
      <c r="BE72" s="13">
        <v>136</v>
      </c>
      <c r="BF72" s="17">
        <v>134.9867295</v>
      </c>
      <c r="BH72" s="36">
        <v>4.3032313899497403</v>
      </c>
      <c r="BI72" s="36">
        <v>0.623529411764705</v>
      </c>
      <c r="BJ72" s="36"/>
      <c r="BQ72" s="13">
        <f t="shared" si="7"/>
        <v>-0.74505183823529997</v>
      </c>
      <c r="BR72" s="36">
        <v>0.164626835711494</v>
      </c>
      <c r="BS72" s="13">
        <v>0.80833453391770815</v>
      </c>
      <c r="BT72" s="13">
        <v>0.73324378861759087</v>
      </c>
      <c r="BU72" s="13">
        <v>1352</v>
      </c>
      <c r="BV72" s="13">
        <v>8.000159663504456E-3</v>
      </c>
      <c r="BW72" s="13">
        <v>1</v>
      </c>
    </row>
    <row r="73" spans="1:75">
      <c r="A73" s="13">
        <v>70</v>
      </c>
      <c r="B73" s="13">
        <v>243</v>
      </c>
      <c r="C73" s="17">
        <v>212.6120597</v>
      </c>
      <c r="E73" s="36">
        <v>10.5269435477386</v>
      </c>
      <c r="F73" s="36">
        <v>0.58676470588235297</v>
      </c>
      <c r="G73" s="36"/>
      <c r="M73" s="13">
        <f t="shared" si="4"/>
        <v>-12.505325226337449</v>
      </c>
      <c r="O73" s="13">
        <v>70</v>
      </c>
      <c r="P73" s="13">
        <v>243</v>
      </c>
      <c r="Q73" s="17">
        <v>206.48216110000001</v>
      </c>
      <c r="S73" s="36">
        <v>13.4006692512562</v>
      </c>
      <c r="T73" s="36">
        <v>0.68823529411764695</v>
      </c>
      <c r="U73" s="36"/>
      <c r="AA73" s="13">
        <f t="shared" si="5"/>
        <v>-15.027917242798349</v>
      </c>
      <c r="AB73" s="36">
        <v>0.38802210898501399</v>
      </c>
      <c r="AC73" s="23">
        <v>0.38229242460600643</v>
      </c>
      <c r="AD73" s="23">
        <v>0.35054899914862697</v>
      </c>
      <c r="AE73" s="23">
        <v>1500</v>
      </c>
      <c r="AF73" s="23">
        <v>6.5987846085441759E-3</v>
      </c>
      <c r="AG73" s="23">
        <v>1</v>
      </c>
      <c r="AI73" s="13">
        <v>70</v>
      </c>
      <c r="AJ73" s="13">
        <v>243</v>
      </c>
      <c r="AK73" s="17">
        <v>236.95041190000001</v>
      </c>
      <c r="AM73" s="36">
        <v>2.1701927296482402</v>
      </c>
      <c r="AN73" s="36">
        <v>0.55441176470588205</v>
      </c>
      <c r="AO73" s="36"/>
      <c r="AV73" s="13">
        <f t="shared" si="6"/>
        <v>-2.4895424279835376</v>
      </c>
      <c r="AW73" s="36">
        <v>7.0772097947994994E-2</v>
      </c>
      <c r="AX73" s="13">
        <v>8.6887064546434037E-2</v>
      </c>
      <c r="AY73" s="13">
        <v>0.43990733017710604</v>
      </c>
      <c r="AZ73" s="13">
        <v>509</v>
      </c>
      <c r="BA73" s="13">
        <v>9.092616747828167E-3</v>
      </c>
      <c r="BB73" s="13">
        <v>0</v>
      </c>
      <c r="BD73" s="13">
        <v>70</v>
      </c>
      <c r="BE73" s="13">
        <v>243</v>
      </c>
      <c r="BF73" s="17">
        <v>230.62430950000001</v>
      </c>
      <c r="BH73" s="36">
        <v>4.3737761668341602</v>
      </c>
      <c r="BI73" s="36">
        <v>0.63382352941176401</v>
      </c>
      <c r="BJ73" s="36"/>
      <c r="BQ73" s="13">
        <f t="shared" si="7"/>
        <v>-5.0928767489711868</v>
      </c>
      <c r="BR73" s="36">
        <v>0.164626835711494</v>
      </c>
      <c r="BS73" s="13">
        <v>0.33507753218540659</v>
      </c>
      <c r="BT73" s="13">
        <v>0.79891814213831969</v>
      </c>
      <c r="BU73" s="13">
        <v>1772</v>
      </c>
      <c r="BV73" s="13">
        <v>5.1087953921301991E-3</v>
      </c>
      <c r="BW73" s="13">
        <v>1</v>
      </c>
    </row>
    <row r="74" spans="1:75">
      <c r="A74" s="13">
        <v>71</v>
      </c>
      <c r="B74" s="13">
        <v>88</v>
      </c>
      <c r="C74" s="17">
        <v>98.297136309999999</v>
      </c>
      <c r="E74" s="36">
        <v>10.696732959798901</v>
      </c>
      <c r="F74" s="36">
        <v>0.60588235294117598</v>
      </c>
      <c r="G74" s="36"/>
      <c r="M74" s="13">
        <f t="shared" si="4"/>
        <v>11.701291261363632</v>
      </c>
      <c r="O74" s="13">
        <v>71</v>
      </c>
      <c r="P74" s="13">
        <v>88</v>
      </c>
      <c r="Q74" s="17">
        <v>93.850765429999996</v>
      </c>
      <c r="S74" s="36">
        <v>13.6168090778894</v>
      </c>
      <c r="T74" s="36">
        <v>0.68823529411764695</v>
      </c>
      <c r="U74" s="36"/>
      <c r="AA74" s="13">
        <f t="shared" si="5"/>
        <v>6.6485970795454596</v>
      </c>
      <c r="AB74" s="36">
        <v>0.37974096936294999</v>
      </c>
      <c r="AC74" s="23">
        <v>0.64518612902071149</v>
      </c>
      <c r="AD74" s="23">
        <v>0.80717366136516877</v>
      </c>
      <c r="AE74" s="23">
        <v>1604</v>
      </c>
      <c r="AF74" s="23">
        <v>3.8600698260998966E-3</v>
      </c>
      <c r="AG74" s="23">
        <v>0</v>
      </c>
      <c r="AI74" s="13">
        <v>71</v>
      </c>
      <c r="AJ74" s="13">
        <v>88</v>
      </c>
      <c r="AK74" s="17">
        <v>89.705427259999993</v>
      </c>
      <c r="AM74" s="36">
        <v>2.2051958381909502</v>
      </c>
      <c r="AN74" s="36">
        <v>0.57352941176470495</v>
      </c>
      <c r="AO74" s="36"/>
      <c r="AV74" s="13">
        <f t="shared" si="6"/>
        <v>1.9379855227272591</v>
      </c>
      <c r="AW74" s="36">
        <v>7.0772097947994994E-2</v>
      </c>
      <c r="AX74" s="13">
        <v>0.2731090717821078</v>
      </c>
      <c r="AY74" s="13">
        <v>0.18386275422943166</v>
      </c>
      <c r="AZ74" s="13">
        <v>250</v>
      </c>
      <c r="BA74" s="13">
        <v>1.6462868930671808E-3</v>
      </c>
      <c r="BB74" s="13">
        <v>1</v>
      </c>
      <c r="BD74" s="13">
        <v>71</v>
      </c>
      <c r="BE74" s="13">
        <v>88</v>
      </c>
      <c r="BF74" s="17">
        <v>91.505384550000002</v>
      </c>
      <c r="BH74" s="36">
        <v>4.4443209437185898</v>
      </c>
      <c r="BI74" s="36">
        <v>0.64411764705882302</v>
      </c>
      <c r="BJ74" s="36"/>
      <c r="BQ74" s="13">
        <f t="shared" si="7"/>
        <v>3.9833915340909076</v>
      </c>
      <c r="BR74" s="36">
        <v>0.164626835711494</v>
      </c>
      <c r="BS74" s="13">
        <v>0.68599352522327117</v>
      </c>
      <c r="BT74" s="13">
        <v>0.89707128282729121</v>
      </c>
      <c r="BU74" s="13">
        <v>1627</v>
      </c>
      <c r="BV74" s="13">
        <v>9.9941806233248449E-3</v>
      </c>
      <c r="BW74" s="13">
        <v>0</v>
      </c>
    </row>
    <row r="75" spans="1:75">
      <c r="A75" s="13">
        <v>72</v>
      </c>
      <c r="B75" s="13">
        <v>206</v>
      </c>
      <c r="C75" s="17">
        <v>174.07591049999999</v>
      </c>
      <c r="E75" s="36">
        <v>10.866522371859199</v>
      </c>
      <c r="F75" s="36">
        <v>0.61470588235294099</v>
      </c>
      <c r="G75" s="36"/>
      <c r="M75" s="13">
        <f t="shared" si="4"/>
        <v>-15.497130825242722</v>
      </c>
      <c r="O75" s="13">
        <v>72</v>
      </c>
      <c r="P75" s="13">
        <v>206</v>
      </c>
      <c r="Q75" s="17">
        <v>169.7689134</v>
      </c>
      <c r="S75" s="36">
        <v>13.832948904522601</v>
      </c>
      <c r="T75" s="36">
        <v>0.69117647058823495</v>
      </c>
      <c r="U75" s="36"/>
      <c r="AA75" s="13">
        <f t="shared" si="5"/>
        <v>-17.587906116504847</v>
      </c>
      <c r="AB75" s="36">
        <v>0.37974096936294999</v>
      </c>
      <c r="AC75" s="23">
        <v>0.40989236721482769</v>
      </c>
      <c r="AD75" s="23">
        <v>0.64907122261752526</v>
      </c>
      <c r="AE75" s="23">
        <v>1723</v>
      </c>
      <c r="AF75" s="23">
        <v>1.3989185325651886E-3</v>
      </c>
      <c r="AG75" s="23">
        <v>1</v>
      </c>
      <c r="AI75" s="13">
        <v>72</v>
      </c>
      <c r="AJ75" s="13">
        <v>206</v>
      </c>
      <c r="AK75" s="17">
        <v>199.73718210000001</v>
      </c>
      <c r="AM75" s="36">
        <v>2.2401989467336598</v>
      </c>
      <c r="AN75" s="36">
        <v>0.58970588235294097</v>
      </c>
      <c r="AO75" s="36"/>
      <c r="AV75" s="13">
        <f t="shared" si="6"/>
        <v>-3.0402028640776679</v>
      </c>
      <c r="AW75" s="36">
        <v>7.0772097947994994E-2</v>
      </c>
      <c r="AX75" s="13">
        <v>0.86321458711660581</v>
      </c>
      <c r="AY75" s="13">
        <v>0.81153431473739746</v>
      </c>
      <c r="AZ75" s="13">
        <v>1464</v>
      </c>
      <c r="BA75" s="13">
        <v>6.4528368013066469E-3</v>
      </c>
      <c r="BB75" s="13">
        <v>1</v>
      </c>
      <c r="BD75" s="13">
        <v>72</v>
      </c>
      <c r="BE75" s="13">
        <v>206</v>
      </c>
      <c r="BF75" s="17">
        <v>193.44562830000001</v>
      </c>
      <c r="BH75" s="36">
        <v>4.5148657206030096</v>
      </c>
      <c r="BI75" s="36">
        <v>0.65441176470588203</v>
      </c>
      <c r="BJ75" s="36"/>
      <c r="BQ75" s="13">
        <f t="shared" si="7"/>
        <v>-6.0943551941747494</v>
      </c>
      <c r="BR75" s="36">
        <v>0.164626835711494</v>
      </c>
      <c r="BS75" s="13">
        <v>0.7097890827520712</v>
      </c>
      <c r="BT75" s="13">
        <v>0.98709097376212118</v>
      </c>
      <c r="BU75" s="13">
        <v>146</v>
      </c>
      <c r="BV75" s="13">
        <v>3.0039939860924511E-3</v>
      </c>
      <c r="BW75" s="13">
        <v>1</v>
      </c>
    </row>
    <row r="76" spans="1:75">
      <c r="A76" s="13">
        <v>73</v>
      </c>
      <c r="B76" s="13">
        <v>140</v>
      </c>
      <c r="C76" s="17">
        <v>139.9801137</v>
      </c>
      <c r="E76" s="36">
        <v>11.0363117839195</v>
      </c>
      <c r="F76" s="36">
        <v>0.63088235294117601</v>
      </c>
      <c r="G76" s="36"/>
      <c r="M76" s="13">
        <f t="shared" si="4"/>
        <v>-1.4204499999992404E-2</v>
      </c>
      <c r="O76" s="13">
        <v>73</v>
      </c>
      <c r="P76" s="13">
        <v>140</v>
      </c>
      <c r="Q76" s="17">
        <v>140.07192710000001</v>
      </c>
      <c r="S76" s="36">
        <v>14.049088731155701</v>
      </c>
      <c r="T76" s="36">
        <v>0.69411764705882295</v>
      </c>
      <c r="U76" s="36"/>
      <c r="AA76" s="13">
        <f t="shared" si="5"/>
        <v>5.1376499999999936E-2</v>
      </c>
      <c r="AB76" s="36">
        <v>0.37974096936294999</v>
      </c>
      <c r="AC76" s="23">
        <v>0.5672229407797662</v>
      </c>
      <c r="AD76" s="23">
        <v>0.69398788622404117</v>
      </c>
      <c r="AE76" s="23">
        <v>1237</v>
      </c>
      <c r="AF76" s="23">
        <v>7.8927983237703572E-3</v>
      </c>
      <c r="AG76" s="23">
        <v>0</v>
      </c>
      <c r="AI76" s="13">
        <v>73</v>
      </c>
      <c r="AJ76" s="13">
        <v>140</v>
      </c>
      <c r="AK76" s="17">
        <v>139.84602269999999</v>
      </c>
      <c r="AM76" s="36">
        <v>2.2752020552763801</v>
      </c>
      <c r="AN76" s="36">
        <v>0.60441176470588198</v>
      </c>
      <c r="AO76" s="36"/>
      <c r="AV76" s="13">
        <f t="shared" si="6"/>
        <v>-0.10998378571429601</v>
      </c>
      <c r="AW76" s="36">
        <v>7.0772097947994994E-2</v>
      </c>
      <c r="AX76" s="13">
        <v>0.59689553027547881</v>
      </c>
      <c r="AY76" s="13">
        <v>0.66152697149939077</v>
      </c>
      <c r="AZ76" s="13">
        <v>406</v>
      </c>
      <c r="BA76" s="13">
        <v>5.7366085757417033E-3</v>
      </c>
      <c r="BB76" s="13">
        <v>0</v>
      </c>
      <c r="BD76" s="13">
        <v>73</v>
      </c>
      <c r="BE76" s="13">
        <v>140</v>
      </c>
      <c r="BF76" s="17">
        <v>139.54634490000001</v>
      </c>
      <c r="BH76" s="36">
        <v>4.5854104974874303</v>
      </c>
      <c r="BI76" s="36">
        <v>0.65882352941176403</v>
      </c>
      <c r="BJ76" s="36"/>
      <c r="BQ76" s="13">
        <f t="shared" si="7"/>
        <v>-0.32403935714284682</v>
      </c>
      <c r="BR76" s="36">
        <v>0.16403153242289201</v>
      </c>
      <c r="BS76" s="13">
        <v>0.95673706951781312</v>
      </c>
      <c r="BT76" s="13">
        <v>0.76477294489760039</v>
      </c>
      <c r="BU76" s="13">
        <v>1146</v>
      </c>
      <c r="BV76" s="13">
        <v>4.7339344157766175E-3</v>
      </c>
      <c r="BW76" s="13">
        <v>1</v>
      </c>
    </row>
    <row r="77" spans="1:75">
      <c r="A77" s="13">
        <v>74</v>
      </c>
      <c r="B77" s="13">
        <v>196</v>
      </c>
      <c r="C77" s="17">
        <v>196.04480580000001</v>
      </c>
      <c r="E77" s="36">
        <v>11.206101195979899</v>
      </c>
      <c r="F77" s="36">
        <v>0.64558823529411702</v>
      </c>
      <c r="G77" s="36"/>
      <c r="M77" s="13">
        <f t="shared" si="4"/>
        <v>2.2860102040822561E-2</v>
      </c>
      <c r="O77" s="13">
        <v>74</v>
      </c>
      <c r="P77" s="13">
        <v>196</v>
      </c>
      <c r="Q77" s="17">
        <v>190.43806570000001</v>
      </c>
      <c r="S77" s="36">
        <v>14.2652285577889</v>
      </c>
      <c r="T77" s="36">
        <v>0.69558823529411695</v>
      </c>
      <c r="U77" s="36"/>
      <c r="AA77" s="13">
        <f t="shared" si="5"/>
        <v>-2.8377215816326462</v>
      </c>
      <c r="AB77" s="36">
        <v>0.37974096936294999</v>
      </c>
      <c r="AC77" s="23">
        <v>0.84967613001062658</v>
      </c>
      <c r="AD77" s="23">
        <v>0.49959633851283208</v>
      </c>
      <c r="AE77" s="23">
        <v>442</v>
      </c>
      <c r="AF77" s="23">
        <v>4.1413598443256839E-3</v>
      </c>
      <c r="AG77" s="23">
        <v>0</v>
      </c>
      <c r="AI77" s="13">
        <v>74</v>
      </c>
      <c r="AJ77" s="13">
        <v>196</v>
      </c>
      <c r="AK77" s="17">
        <v>196.19896120000001</v>
      </c>
      <c r="AM77" s="36">
        <v>2.3102051638190901</v>
      </c>
      <c r="AN77" s="36">
        <v>0.61470588235294099</v>
      </c>
      <c r="AO77" s="36"/>
      <c r="AV77" s="13">
        <f t="shared" si="6"/>
        <v>0.10151081632654435</v>
      </c>
      <c r="AW77" s="36">
        <v>7.0772097947994994E-2</v>
      </c>
      <c r="AX77" s="13">
        <v>0.11680948755702061</v>
      </c>
      <c r="AY77" s="13">
        <v>0.21678259821985146</v>
      </c>
      <c r="AZ77" s="13">
        <v>572</v>
      </c>
      <c r="BA77" s="13">
        <v>1.6833573086973354E-3</v>
      </c>
      <c r="BB77" s="13">
        <v>0</v>
      </c>
      <c r="BD77" s="13">
        <v>74</v>
      </c>
      <c r="BE77" s="13">
        <v>196</v>
      </c>
      <c r="BF77" s="17">
        <v>196.00404109999999</v>
      </c>
      <c r="BH77" s="36">
        <v>4.6559552743718502</v>
      </c>
      <c r="BI77" s="36">
        <v>0.66323529411764703</v>
      </c>
      <c r="BJ77" s="36"/>
      <c r="BQ77" s="13">
        <f t="shared" si="7"/>
        <v>2.0617857142912754E-3</v>
      </c>
      <c r="BR77" s="36">
        <v>0.16403153242289201</v>
      </c>
      <c r="BS77" s="13">
        <v>0.10440607589652777</v>
      </c>
      <c r="BT77" s="13">
        <v>0.86740477740014721</v>
      </c>
      <c r="BU77" s="13">
        <v>357</v>
      </c>
      <c r="BV77" s="13">
        <v>2.4816914093504024E-3</v>
      </c>
      <c r="BW77" s="13">
        <v>1</v>
      </c>
    </row>
    <row r="78" spans="1:75">
      <c r="A78" s="13">
        <v>75</v>
      </c>
      <c r="B78" s="13">
        <v>204</v>
      </c>
      <c r="C78" s="17">
        <v>203.7703444</v>
      </c>
      <c r="E78" s="36">
        <v>11.3758906080402</v>
      </c>
      <c r="F78" s="36">
        <v>0.65735294117647003</v>
      </c>
      <c r="G78" s="36"/>
      <c r="M78" s="13">
        <f t="shared" si="4"/>
        <v>-0.11257627450980134</v>
      </c>
      <c r="O78" s="13">
        <v>75</v>
      </c>
      <c r="P78" s="13">
        <v>204</v>
      </c>
      <c r="Q78" s="17">
        <v>201.4633565</v>
      </c>
      <c r="S78" s="36">
        <v>14.481368384422099</v>
      </c>
      <c r="T78" s="36">
        <v>0.69705882352941095</v>
      </c>
      <c r="U78" s="36"/>
      <c r="AA78" s="13">
        <f t="shared" si="5"/>
        <v>-1.2434526960784287</v>
      </c>
      <c r="AB78" s="36">
        <v>0.37974096936294999</v>
      </c>
      <c r="AC78" s="23">
        <v>0.71829859234995574</v>
      </c>
      <c r="AD78" s="23">
        <v>0.16482540462659828</v>
      </c>
      <c r="AE78" s="23">
        <v>1392</v>
      </c>
      <c r="AF78" s="23">
        <v>4.5821180483408682E-3</v>
      </c>
      <c r="AG78" s="23">
        <v>1</v>
      </c>
      <c r="AI78" s="13">
        <v>75</v>
      </c>
      <c r="AJ78" s="13">
        <v>204</v>
      </c>
      <c r="AK78" s="17">
        <v>203.99206889999999</v>
      </c>
      <c r="AM78" s="36">
        <v>2.3452082723618002</v>
      </c>
      <c r="AN78" s="36">
        <v>0.622058823529411</v>
      </c>
      <c r="AO78" s="36"/>
      <c r="AV78" s="13">
        <f t="shared" si="6"/>
        <v>-3.8877941176518327E-3</v>
      </c>
      <c r="AW78" s="36">
        <v>7.0772097947994994E-2</v>
      </c>
      <c r="AX78" s="13">
        <v>0.3336247910330461</v>
      </c>
      <c r="AY78" s="13">
        <v>0.7349628379503621</v>
      </c>
      <c r="AZ78" s="13">
        <v>1529</v>
      </c>
      <c r="BA78" s="13">
        <v>3.5793093143671063E-3</v>
      </c>
      <c r="BB78" s="13">
        <v>1</v>
      </c>
      <c r="BD78" s="13">
        <v>75</v>
      </c>
      <c r="BE78" s="13">
        <v>204</v>
      </c>
      <c r="BF78" s="17">
        <v>203.229839</v>
      </c>
      <c r="BH78" s="36">
        <v>4.72650005125627</v>
      </c>
      <c r="BI78" s="36">
        <v>0.66617647058823504</v>
      </c>
      <c r="BJ78" s="36"/>
      <c r="BQ78" s="13">
        <f t="shared" si="7"/>
        <v>-0.37752990196078251</v>
      </c>
      <c r="BR78" s="36">
        <v>0.16403153242289201</v>
      </c>
      <c r="BS78" s="13">
        <v>0.4902428751156313</v>
      </c>
      <c r="BT78" s="13">
        <v>0.55967071449095929</v>
      </c>
      <c r="BU78" s="13">
        <v>1323</v>
      </c>
      <c r="BV78" s="13">
        <v>5.9748916161701544E-3</v>
      </c>
      <c r="BW78" s="13">
        <v>0</v>
      </c>
    </row>
    <row r="79" spans="1:75">
      <c r="A79" s="13">
        <v>76</v>
      </c>
      <c r="B79" s="13">
        <v>62</v>
      </c>
      <c r="C79" s="17">
        <v>73.783603549999995</v>
      </c>
      <c r="E79" s="36">
        <v>11.5456800201005</v>
      </c>
      <c r="F79" s="36">
        <v>0.67058823529411704</v>
      </c>
      <c r="G79" s="36"/>
      <c r="M79" s="13">
        <f t="shared" si="4"/>
        <v>19.005812177419344</v>
      </c>
      <c r="O79" s="13">
        <v>76</v>
      </c>
      <c r="P79" s="13">
        <v>62</v>
      </c>
      <c r="Q79" s="17">
        <v>73.532331420000006</v>
      </c>
      <c r="S79" s="36">
        <v>14.697508211055199</v>
      </c>
      <c r="T79" s="36">
        <v>0.70147058823529396</v>
      </c>
      <c r="U79" s="36"/>
      <c r="AA79" s="13">
        <f t="shared" si="5"/>
        <v>18.600534548387103</v>
      </c>
      <c r="AB79" s="36">
        <v>0.37974096936294999</v>
      </c>
      <c r="AC79" s="23">
        <v>0.79947878193966737</v>
      </c>
      <c r="AD79" s="23">
        <v>0.13826967824955294</v>
      </c>
      <c r="AE79" s="23">
        <v>730</v>
      </c>
      <c r="AF79" s="23">
        <v>8.4560054250370463E-3</v>
      </c>
      <c r="AG79" s="23">
        <v>0</v>
      </c>
      <c r="AI79" s="13">
        <v>76</v>
      </c>
      <c r="AJ79" s="13">
        <v>62</v>
      </c>
      <c r="AK79" s="17">
        <v>64.188720709999998</v>
      </c>
      <c r="AM79" s="36">
        <v>2.38021138090452</v>
      </c>
      <c r="AN79" s="36">
        <v>0.63088235294117601</v>
      </c>
      <c r="AO79" s="36"/>
      <c r="AV79" s="13">
        <f t="shared" si="6"/>
        <v>3.530194693548383</v>
      </c>
      <c r="AW79" s="36">
        <v>7.0772097947994994E-2</v>
      </c>
      <c r="AX79" s="13">
        <v>0.7957969991844297</v>
      </c>
      <c r="AY79" s="13">
        <v>0.49857582210400325</v>
      </c>
      <c r="AZ79" s="13">
        <v>1280</v>
      </c>
      <c r="BA79" s="13">
        <v>8.9227402005430233E-3</v>
      </c>
      <c r="BB79" s="13">
        <v>0</v>
      </c>
      <c r="BD79" s="13">
        <v>76</v>
      </c>
      <c r="BE79" s="13">
        <v>62</v>
      </c>
      <c r="BF79" s="17">
        <v>65.883694590000005</v>
      </c>
      <c r="BH79" s="36">
        <v>4.7970448281406997</v>
      </c>
      <c r="BI79" s="36">
        <v>0.66764705882352904</v>
      </c>
      <c r="BJ79" s="36"/>
      <c r="BQ79" s="13">
        <f t="shared" si="7"/>
        <v>6.2640235322580784</v>
      </c>
      <c r="BR79" s="36">
        <v>0.16403153242289201</v>
      </c>
      <c r="BS79" s="13">
        <v>0.77375029639159032</v>
      </c>
      <c r="BT79" s="13">
        <v>0.49003756428975437</v>
      </c>
      <c r="BU79" s="13">
        <v>1139</v>
      </c>
      <c r="BV79" s="13">
        <v>3.1339281037058844E-3</v>
      </c>
      <c r="BW79" s="13">
        <v>1</v>
      </c>
    </row>
    <row r="80" spans="1:75">
      <c r="A80" s="13">
        <v>77</v>
      </c>
      <c r="B80" s="13">
        <v>91</v>
      </c>
      <c r="C80" s="17">
        <v>100.1901196</v>
      </c>
      <c r="E80" s="36">
        <v>11.7154694321608</v>
      </c>
      <c r="F80" s="36">
        <v>0.67500000000000004</v>
      </c>
      <c r="G80" s="36"/>
      <c r="M80" s="13">
        <f t="shared" si="4"/>
        <v>10.099032527472529</v>
      </c>
      <c r="O80" s="13">
        <v>77</v>
      </c>
      <c r="P80" s="13">
        <v>91</v>
      </c>
      <c r="Q80" s="17">
        <v>98.281895449999993</v>
      </c>
      <c r="S80" s="36">
        <v>14.9136480376884</v>
      </c>
      <c r="T80" s="36">
        <v>0.70294117647058796</v>
      </c>
      <c r="U80" s="36"/>
      <c r="AA80" s="13">
        <f t="shared" si="5"/>
        <v>8.0020829120879036</v>
      </c>
      <c r="AB80" s="36">
        <v>0.37974096936294999</v>
      </c>
      <c r="AC80" s="23">
        <v>0.49330177786117263</v>
      </c>
      <c r="AD80" s="23">
        <v>0.95699849867976561</v>
      </c>
      <c r="AE80" s="23">
        <v>1876</v>
      </c>
      <c r="AF80" s="23">
        <v>4.676262568204608E-3</v>
      </c>
      <c r="AG80" s="23">
        <v>0</v>
      </c>
      <c r="AI80" s="13">
        <v>77</v>
      </c>
      <c r="AJ80" s="13">
        <v>91</v>
      </c>
      <c r="AK80" s="17">
        <v>92.900023910000002</v>
      </c>
      <c r="AM80" s="36">
        <v>2.4152144894472301</v>
      </c>
      <c r="AN80" s="36">
        <v>0.63529411764705801</v>
      </c>
      <c r="AO80" s="36"/>
      <c r="AV80" s="13">
        <f t="shared" si="6"/>
        <v>2.0879383626373649</v>
      </c>
      <c r="AW80" s="36">
        <v>7.0772097947994994E-2</v>
      </c>
      <c r="AX80" s="13">
        <v>0.82822577735821323</v>
      </c>
      <c r="AY80" s="13">
        <v>0.12705813306136168</v>
      </c>
      <c r="AZ80" s="13">
        <v>185</v>
      </c>
      <c r="BA80" s="13">
        <v>7.7704632467012801E-3</v>
      </c>
      <c r="BB80" s="13">
        <v>0</v>
      </c>
      <c r="BD80" s="13">
        <v>77</v>
      </c>
      <c r="BE80" s="13">
        <v>91</v>
      </c>
      <c r="BF80" s="17">
        <v>94.09412322</v>
      </c>
      <c r="BH80" s="36">
        <v>4.8675896050251204</v>
      </c>
      <c r="BI80" s="36">
        <v>0.66911764705882304</v>
      </c>
      <c r="BJ80" s="36"/>
      <c r="BQ80" s="13">
        <f t="shared" si="7"/>
        <v>3.4001354065934075</v>
      </c>
      <c r="BR80" s="36">
        <v>0.16403153242289201</v>
      </c>
      <c r="BS80" s="13">
        <v>0.17520408672693596</v>
      </c>
      <c r="BT80" s="13">
        <v>0.83043345999643525</v>
      </c>
      <c r="BU80" s="13">
        <v>1200</v>
      </c>
      <c r="BV80" s="13">
        <v>4.9902986392866651E-3</v>
      </c>
      <c r="BW80" s="13">
        <v>1</v>
      </c>
    </row>
    <row r="81" spans="1:75">
      <c r="A81" s="13">
        <v>78</v>
      </c>
      <c r="B81" s="13">
        <v>223</v>
      </c>
      <c r="C81" s="17">
        <v>192.8337765</v>
      </c>
      <c r="E81" s="36">
        <v>11.8852588442211</v>
      </c>
      <c r="F81" s="36">
        <v>0.68382352941176405</v>
      </c>
      <c r="G81" s="36"/>
      <c r="M81" s="13">
        <f t="shared" si="4"/>
        <v>-13.527454484304934</v>
      </c>
      <c r="O81" s="13">
        <v>78</v>
      </c>
      <c r="P81" s="13">
        <v>223</v>
      </c>
      <c r="Q81" s="17">
        <v>187.60195160000001</v>
      </c>
      <c r="S81" s="36">
        <v>15.129787864321599</v>
      </c>
      <c r="T81" s="36">
        <v>0.70294117647058796</v>
      </c>
      <c r="U81" s="36"/>
      <c r="AA81" s="13">
        <f t="shared" si="5"/>
        <v>-15.87356430493273</v>
      </c>
      <c r="AB81" s="36">
        <v>0.37974096936294999</v>
      </c>
      <c r="AC81" s="23">
        <v>0.19099476942049101</v>
      </c>
      <c r="AD81" s="23">
        <v>0.27770827142530025</v>
      </c>
      <c r="AE81" s="23">
        <v>879</v>
      </c>
      <c r="AF81" s="23">
        <v>5.9324307923881063E-3</v>
      </c>
      <c r="AG81" s="23">
        <v>1</v>
      </c>
      <c r="AI81" s="13">
        <v>78</v>
      </c>
      <c r="AJ81" s="13">
        <v>223</v>
      </c>
      <c r="AK81" s="17">
        <v>217.1647553</v>
      </c>
      <c r="AM81" s="36">
        <v>2.4502175979899499</v>
      </c>
      <c r="AN81" s="36">
        <v>0.63823529411764701</v>
      </c>
      <c r="AO81" s="36"/>
      <c r="AV81" s="13">
        <f t="shared" si="6"/>
        <v>-2.6167016591928216</v>
      </c>
      <c r="AW81" s="36">
        <v>7.0772097947994994E-2</v>
      </c>
      <c r="AX81" s="13">
        <v>0.13394172830294823</v>
      </c>
      <c r="AY81" s="13">
        <v>0.66884818557388614</v>
      </c>
      <c r="AZ81" s="13">
        <v>1289</v>
      </c>
      <c r="BA81" s="13">
        <v>5.411618718732849E-4</v>
      </c>
      <c r="BB81" s="13">
        <v>0</v>
      </c>
      <c r="BD81" s="13">
        <v>78</v>
      </c>
      <c r="BE81" s="13">
        <v>223</v>
      </c>
      <c r="BF81" s="17">
        <v>210.16606479999999</v>
      </c>
      <c r="BH81" s="36">
        <v>4.9381343819095402</v>
      </c>
      <c r="BI81" s="36">
        <v>0.67058823529411704</v>
      </c>
      <c r="BJ81" s="36"/>
      <c r="BQ81" s="13">
        <f t="shared" si="7"/>
        <v>-5.755127892376688</v>
      </c>
      <c r="BR81" s="36">
        <v>0.16403153242289201</v>
      </c>
      <c r="BS81" s="13">
        <v>0.46047367005235246</v>
      </c>
      <c r="BT81" s="13">
        <v>0.18854647208384265</v>
      </c>
      <c r="BU81" s="13">
        <v>180</v>
      </c>
      <c r="BV81" s="13">
        <v>8.119722337722483E-3</v>
      </c>
      <c r="BW81" s="13">
        <v>0</v>
      </c>
    </row>
    <row r="82" spans="1:75">
      <c r="A82" s="13">
        <v>79</v>
      </c>
      <c r="B82" s="13">
        <v>165</v>
      </c>
      <c r="C82" s="17">
        <v>175.03660550000001</v>
      </c>
      <c r="E82" s="36">
        <v>12.055048256281401</v>
      </c>
      <c r="F82" s="36">
        <v>0.68823529411764695</v>
      </c>
      <c r="G82" s="36"/>
      <c r="M82" s="13">
        <f t="shared" si="4"/>
        <v>6.082791212121208</v>
      </c>
      <c r="O82" s="13">
        <v>79</v>
      </c>
      <c r="P82" s="13">
        <v>165</v>
      </c>
      <c r="Q82" s="17">
        <v>169.0111857</v>
      </c>
      <c r="S82" s="36">
        <v>15.345927690954699</v>
      </c>
      <c r="T82" s="36">
        <v>0.70441176470588196</v>
      </c>
      <c r="U82" s="36"/>
      <c r="AA82" s="13">
        <f t="shared" si="5"/>
        <v>2.4310216363636394</v>
      </c>
      <c r="AB82" s="36">
        <v>0.37974096936294999</v>
      </c>
      <c r="AC82" s="23">
        <v>0.67334126026074326</v>
      </c>
      <c r="AD82" s="23">
        <v>0.57516809251195677</v>
      </c>
      <c r="AE82" s="23">
        <v>805</v>
      </c>
      <c r="AF82" s="23">
        <v>3.4647413665332373E-3</v>
      </c>
      <c r="AG82" s="23">
        <v>0</v>
      </c>
      <c r="AI82" s="13">
        <v>79</v>
      </c>
      <c r="AJ82" s="13">
        <v>165</v>
      </c>
      <c r="AK82" s="17">
        <v>167.00132110000001</v>
      </c>
      <c r="AM82" s="36">
        <v>2.4852207065326599</v>
      </c>
      <c r="AN82" s="36">
        <v>0.64411764705882302</v>
      </c>
      <c r="AO82" s="36"/>
      <c r="AV82" s="13">
        <f t="shared" si="6"/>
        <v>1.2129218787878759</v>
      </c>
      <c r="AW82" s="36">
        <v>7.0772097947994994E-2</v>
      </c>
      <c r="AX82" s="13">
        <v>0.88380132372189213</v>
      </c>
      <c r="AY82" s="13">
        <v>0.41949288749544611</v>
      </c>
      <c r="AZ82" s="13">
        <v>542</v>
      </c>
      <c r="BA82" s="13">
        <v>6.9813413016257767E-3</v>
      </c>
      <c r="BB82" s="13">
        <v>0</v>
      </c>
      <c r="BD82" s="13">
        <v>79</v>
      </c>
      <c r="BE82" s="13">
        <v>165</v>
      </c>
      <c r="BF82" s="17">
        <v>168.7153706</v>
      </c>
      <c r="BH82" s="36">
        <v>5.0086791587939601</v>
      </c>
      <c r="BI82" s="36">
        <v>0.67205882352941104</v>
      </c>
      <c r="BJ82" s="36"/>
      <c r="BQ82" s="13">
        <f t="shared" si="7"/>
        <v>2.2517397575757547</v>
      </c>
      <c r="BR82" s="36">
        <v>0.16403153242289201</v>
      </c>
      <c r="BS82" s="13">
        <v>0.81459847217552073</v>
      </c>
      <c r="BT82" s="13">
        <v>2.3402622929504291E-2</v>
      </c>
      <c r="BU82" s="13">
        <v>1444</v>
      </c>
      <c r="BV82" s="13">
        <v>3.1783326084796068E-3</v>
      </c>
      <c r="BW82" s="13">
        <v>0</v>
      </c>
    </row>
    <row r="83" spans="1:75">
      <c r="A83" s="13">
        <v>80</v>
      </c>
      <c r="B83" s="13">
        <v>60</v>
      </c>
      <c r="C83" s="17">
        <v>71.348652549999997</v>
      </c>
      <c r="E83" s="36">
        <v>12.224837668341699</v>
      </c>
      <c r="F83" s="36">
        <v>0.69411764705882295</v>
      </c>
      <c r="G83" s="36"/>
      <c r="M83" s="13">
        <f t="shared" si="4"/>
        <v>18.914420916666664</v>
      </c>
      <c r="O83" s="13">
        <v>80</v>
      </c>
      <c r="P83" s="13">
        <v>60</v>
      </c>
      <c r="Q83" s="17">
        <v>69.379909720000001</v>
      </c>
      <c r="S83" s="36">
        <v>15.5620675175879</v>
      </c>
      <c r="T83" s="36">
        <v>0.70441176470588196</v>
      </c>
      <c r="U83" s="36"/>
      <c r="AA83" s="13">
        <f t="shared" si="5"/>
        <v>15.633182866666662</v>
      </c>
      <c r="AB83" s="36">
        <v>0.36295068115580897</v>
      </c>
      <c r="AC83" s="23">
        <v>0.50176758136103683</v>
      </c>
      <c r="AD83" s="23">
        <v>0.76659755879380143</v>
      </c>
      <c r="AE83" s="23">
        <v>1919</v>
      </c>
      <c r="AF83" s="23">
        <v>1.5114797042858823E-3</v>
      </c>
      <c r="AG83" s="23">
        <v>1</v>
      </c>
      <c r="AI83" s="13">
        <v>80</v>
      </c>
      <c r="AJ83" s="13">
        <v>60</v>
      </c>
      <c r="AK83" s="17">
        <v>62.45973051</v>
      </c>
      <c r="AM83" s="36">
        <v>2.52022381507537</v>
      </c>
      <c r="AN83" s="36">
        <v>0.64705882352941102</v>
      </c>
      <c r="AO83" s="36"/>
      <c r="AV83" s="13">
        <f t="shared" si="6"/>
        <v>4.09955085</v>
      </c>
      <c r="AW83" s="36">
        <v>7.0772097947994994E-2</v>
      </c>
      <c r="AX83" s="13">
        <v>0.43751063073529911</v>
      </c>
      <c r="AY83" s="13">
        <v>0.42987277631032844</v>
      </c>
      <c r="AZ83" s="13">
        <v>884</v>
      </c>
      <c r="BA83" s="13">
        <v>7.1713483722547168E-3</v>
      </c>
      <c r="BB83" s="13">
        <v>1</v>
      </c>
      <c r="BD83" s="13">
        <v>80</v>
      </c>
      <c r="BE83" s="13">
        <v>60</v>
      </c>
      <c r="BF83" s="17">
        <v>64.334212809999997</v>
      </c>
      <c r="BH83" s="36">
        <v>5.0792239356783799</v>
      </c>
      <c r="BI83" s="36">
        <v>0.67205882352941104</v>
      </c>
      <c r="BJ83" s="36"/>
      <c r="BQ83" s="13">
        <f t="shared" si="7"/>
        <v>7.2236880166666628</v>
      </c>
      <c r="BR83" s="36">
        <v>0.16403153242289201</v>
      </c>
      <c r="BS83" s="13">
        <v>0.64649443634975656</v>
      </c>
      <c r="BT83" s="13">
        <v>0.50687042002600868</v>
      </c>
      <c r="BU83" s="13">
        <v>480</v>
      </c>
      <c r="BV83" s="13">
        <v>2.9219837858341386E-3</v>
      </c>
      <c r="BW83" s="13">
        <v>1</v>
      </c>
    </row>
    <row r="84" spans="1:75">
      <c r="A84" s="13">
        <v>81</v>
      </c>
      <c r="B84" s="13">
        <v>151</v>
      </c>
      <c r="C84" s="17">
        <v>160.51925059999999</v>
      </c>
      <c r="E84" s="36">
        <v>12.394627080402</v>
      </c>
      <c r="F84" s="36">
        <v>0.69852941176470495</v>
      </c>
      <c r="G84" s="36"/>
      <c r="M84" s="13">
        <f t="shared" si="4"/>
        <v>6.3041394701986775</v>
      </c>
      <c r="O84" s="13">
        <v>81</v>
      </c>
      <c r="P84" s="13">
        <v>151</v>
      </c>
      <c r="Q84" s="17">
        <v>152.87646430000001</v>
      </c>
      <c r="S84" s="36">
        <v>15.7782073442211</v>
      </c>
      <c r="T84" s="36">
        <v>0.70441176470588196</v>
      </c>
      <c r="U84" s="36"/>
      <c r="AA84" s="13">
        <f t="shared" si="5"/>
        <v>1.2426915894039769</v>
      </c>
      <c r="AB84" s="36">
        <v>0.36295068115580897</v>
      </c>
      <c r="AC84" s="23">
        <v>0.53552107941909699</v>
      </c>
      <c r="AD84" s="23">
        <v>0.38792827521271606</v>
      </c>
      <c r="AE84" s="23">
        <v>394</v>
      </c>
      <c r="AF84" s="23">
        <v>8.2565890868610357E-3</v>
      </c>
      <c r="AG84" s="23">
        <v>1</v>
      </c>
      <c r="AI84" s="13">
        <v>81</v>
      </c>
      <c r="AJ84" s="13">
        <v>151</v>
      </c>
      <c r="AK84" s="17">
        <v>153.1298501</v>
      </c>
      <c r="AM84" s="36">
        <v>2.5552269236180898</v>
      </c>
      <c r="AN84" s="36">
        <v>0.65588235294117603</v>
      </c>
      <c r="AO84" s="36"/>
      <c r="AV84" s="13">
        <f t="shared" si="6"/>
        <v>1.4104967549668945</v>
      </c>
      <c r="AW84" s="36">
        <v>6.9662619282783694E-2</v>
      </c>
      <c r="AX84" s="13">
        <v>0.61910409417643775</v>
      </c>
      <c r="AY84" s="13">
        <v>0.86673834344462397</v>
      </c>
      <c r="AZ84" s="13">
        <v>409</v>
      </c>
      <c r="BA84" s="13">
        <v>4.0011687587030607E-3</v>
      </c>
      <c r="BB84" s="13">
        <v>1</v>
      </c>
      <c r="BD84" s="13">
        <v>81</v>
      </c>
      <c r="BE84" s="13">
        <v>151</v>
      </c>
      <c r="BF84" s="17">
        <v>154.2582405</v>
      </c>
      <c r="BH84" s="36">
        <v>5.1497687125628104</v>
      </c>
      <c r="BI84" s="36">
        <v>0.67205882352941104</v>
      </c>
      <c r="BJ84" s="36"/>
      <c r="BQ84" s="13">
        <f t="shared" si="7"/>
        <v>2.1577751655629029</v>
      </c>
      <c r="BR84" s="36">
        <v>0.15114928401383601</v>
      </c>
      <c r="BS84" s="13">
        <v>0.75061426285903543</v>
      </c>
      <c r="BT84" s="13">
        <v>0.57763781292772387</v>
      </c>
      <c r="BU84" s="13">
        <v>1853</v>
      </c>
      <c r="BV84" s="13">
        <v>2.5330005927949712E-3</v>
      </c>
      <c r="BW84" s="13">
        <v>1</v>
      </c>
    </row>
    <row r="85" spans="1:75">
      <c r="A85" s="13">
        <v>82</v>
      </c>
      <c r="B85" s="13">
        <v>82</v>
      </c>
      <c r="C85" s="17">
        <v>81.570455370000005</v>
      </c>
      <c r="E85" s="36">
        <v>12.5644164924623</v>
      </c>
      <c r="F85" s="36">
        <v>0.69852941176470495</v>
      </c>
      <c r="G85" s="36"/>
      <c r="M85" s="13">
        <f t="shared" si="4"/>
        <v>-0.5238349146341359</v>
      </c>
      <c r="O85" s="13">
        <v>82</v>
      </c>
      <c r="P85" s="13">
        <v>82</v>
      </c>
      <c r="Q85" s="17">
        <v>81.640574939999993</v>
      </c>
      <c r="S85" s="36">
        <v>15.9943471708542</v>
      </c>
      <c r="T85" s="36">
        <v>0.70441176470588196</v>
      </c>
      <c r="U85" s="36"/>
      <c r="AA85" s="13">
        <f t="shared" si="5"/>
        <v>-0.43832324390244981</v>
      </c>
      <c r="AB85" s="36">
        <v>0.36295068115580897</v>
      </c>
      <c r="AC85" s="23">
        <v>0.31473058359807082</v>
      </c>
      <c r="AD85" s="23">
        <v>0.75723209037133554</v>
      </c>
      <c r="AE85" s="23">
        <v>611</v>
      </c>
      <c r="AF85" s="23">
        <v>6.198537727588176E-3</v>
      </c>
      <c r="AG85" s="23">
        <v>1</v>
      </c>
      <c r="AI85" s="13">
        <v>82</v>
      </c>
      <c r="AJ85" s="13">
        <v>82</v>
      </c>
      <c r="AK85" s="17">
        <v>82.094091070000005</v>
      </c>
      <c r="AM85" s="36">
        <v>2.5902300321607998</v>
      </c>
      <c r="AN85" s="36">
        <v>0.65735294117647003</v>
      </c>
      <c r="AO85" s="36"/>
      <c r="AV85" s="13">
        <f t="shared" si="6"/>
        <v>0.1147452073170685</v>
      </c>
      <c r="AW85" s="36">
        <v>6.9662619282783694E-2</v>
      </c>
      <c r="AX85" s="13">
        <v>0.66147365531352009</v>
      </c>
      <c r="AY85" s="13">
        <v>0.90974104591332472</v>
      </c>
      <c r="AZ85" s="13">
        <v>800</v>
      </c>
      <c r="BA85" s="13">
        <v>2.6160293929670623E-3</v>
      </c>
      <c r="BB85" s="13">
        <v>0</v>
      </c>
      <c r="BD85" s="13">
        <v>82</v>
      </c>
      <c r="BE85" s="13">
        <v>82</v>
      </c>
      <c r="BF85" s="17">
        <v>81.40367913</v>
      </c>
      <c r="BH85" s="36">
        <v>5.2203134894472303</v>
      </c>
      <c r="BI85" s="36">
        <v>0.67205882352941104</v>
      </c>
      <c r="BJ85" s="36"/>
      <c r="BQ85" s="13">
        <f t="shared" si="7"/>
        <v>-0.72722057317072819</v>
      </c>
      <c r="BR85" s="36">
        <v>0.15114928401383601</v>
      </c>
      <c r="BS85" s="13">
        <v>0.29671225945703361</v>
      </c>
      <c r="BT85" s="13">
        <v>0.30473160249592318</v>
      </c>
      <c r="BU85" s="13">
        <v>866</v>
      </c>
      <c r="BV85" s="13">
        <v>7.7218387993600512E-3</v>
      </c>
      <c r="BW85" s="13">
        <v>1</v>
      </c>
    </row>
    <row r="86" spans="1:75">
      <c r="A86" s="13">
        <v>83</v>
      </c>
      <c r="B86" s="13">
        <v>228</v>
      </c>
      <c r="C86" s="17">
        <v>197.58898310000001</v>
      </c>
      <c r="E86" s="36">
        <v>12.7342059045226</v>
      </c>
      <c r="F86" s="36">
        <v>0.70147058823529396</v>
      </c>
      <c r="G86" s="36"/>
      <c r="M86" s="13">
        <f t="shared" si="4"/>
        <v>-13.338165307017535</v>
      </c>
      <c r="O86" s="13">
        <v>83</v>
      </c>
      <c r="P86" s="13">
        <v>228</v>
      </c>
      <c r="Q86" s="17">
        <v>195.33464079999999</v>
      </c>
      <c r="S86" s="36">
        <v>16.210486997487401</v>
      </c>
      <c r="T86" s="36">
        <v>0.70441176470588196</v>
      </c>
      <c r="U86" s="36"/>
      <c r="AA86" s="13">
        <f t="shared" si="5"/>
        <v>-14.32691192982457</v>
      </c>
      <c r="AB86" s="36">
        <v>0.36295068115580897</v>
      </c>
      <c r="AC86" s="23">
        <v>0.35357181012323596</v>
      </c>
      <c r="AD86" s="23">
        <v>0.10476045277853195</v>
      </c>
      <c r="AE86" s="23">
        <v>802</v>
      </c>
      <c r="AF86" s="23">
        <v>7.4129263040811286E-3</v>
      </c>
      <c r="AG86" s="23">
        <v>0</v>
      </c>
      <c r="AI86" s="13">
        <v>83</v>
      </c>
      <c r="AJ86" s="13">
        <v>228</v>
      </c>
      <c r="AK86" s="17">
        <v>221.91379660000001</v>
      </c>
      <c r="AM86" s="36">
        <v>2.6252331407035099</v>
      </c>
      <c r="AN86" s="36">
        <v>0.66029411764705803</v>
      </c>
      <c r="AO86" s="36"/>
      <c r="AV86" s="13">
        <f t="shared" si="6"/>
        <v>-2.6693874561403486</v>
      </c>
      <c r="AW86" s="36">
        <v>6.9662619282783694E-2</v>
      </c>
      <c r="AX86" s="13">
        <v>0.82977525789820217</v>
      </c>
      <c r="AY86" s="13">
        <v>0.63345605743407152</v>
      </c>
      <c r="AZ86" s="13">
        <v>377</v>
      </c>
      <c r="BA86" s="13">
        <v>4.9373682512664262E-4</v>
      </c>
      <c r="BB86" s="13">
        <v>0</v>
      </c>
      <c r="BD86" s="13">
        <v>83</v>
      </c>
      <c r="BE86" s="13">
        <v>228</v>
      </c>
      <c r="BF86" s="17">
        <v>215.66476610000001</v>
      </c>
      <c r="BH86" s="36">
        <v>5.2908582663316501</v>
      </c>
      <c r="BI86" s="36">
        <v>0.67205882352941104</v>
      </c>
      <c r="BJ86" s="36"/>
      <c r="BQ86" s="13">
        <f t="shared" si="7"/>
        <v>-5.4101903070175368</v>
      </c>
      <c r="BR86" s="36">
        <v>0.15083900882325699</v>
      </c>
      <c r="BS86" s="13">
        <v>0.99907860796647296</v>
      </c>
      <c r="BT86" s="13">
        <v>0.59440499226629384</v>
      </c>
      <c r="BU86" s="13">
        <v>1306</v>
      </c>
      <c r="BV86" s="13">
        <v>1.762967060000608E-3</v>
      </c>
      <c r="BW86" s="13">
        <v>1</v>
      </c>
    </row>
    <row r="87" spans="1:75">
      <c r="A87" s="13">
        <v>84</v>
      </c>
      <c r="B87" s="13">
        <v>186</v>
      </c>
      <c r="C87" s="17">
        <v>184.9112772</v>
      </c>
      <c r="E87" s="36">
        <v>12.9039953165829</v>
      </c>
      <c r="F87" s="36">
        <v>0.70147058823529396</v>
      </c>
      <c r="G87" s="36"/>
      <c r="M87" s="13">
        <f t="shared" si="4"/>
        <v>-0.5853348387096724</v>
      </c>
      <c r="O87" s="13">
        <v>84</v>
      </c>
      <c r="P87" s="13">
        <v>186</v>
      </c>
      <c r="Q87" s="17">
        <v>181.3657724</v>
      </c>
      <c r="S87" s="36">
        <v>16.4266268241205</v>
      </c>
      <c r="T87" s="36">
        <v>0.70441176470588196</v>
      </c>
      <c r="U87" s="36"/>
      <c r="AA87" s="13">
        <f t="shared" si="5"/>
        <v>-2.4915202150537663</v>
      </c>
      <c r="AB87" s="36">
        <v>0.36295068115580897</v>
      </c>
      <c r="AC87" s="23">
        <v>5.8949960239716166E-2</v>
      </c>
      <c r="AD87" s="23">
        <v>0.42378783652434532</v>
      </c>
      <c r="AE87" s="23">
        <v>427</v>
      </c>
      <c r="AF87" s="23">
        <v>1.3184250089579744E-3</v>
      </c>
      <c r="AG87" s="23">
        <v>1</v>
      </c>
      <c r="AI87" s="13">
        <v>84</v>
      </c>
      <c r="AJ87" s="13">
        <v>186</v>
      </c>
      <c r="AK87" s="17">
        <v>185.70425539999999</v>
      </c>
      <c r="AM87" s="36">
        <v>2.6602362492462301</v>
      </c>
      <c r="AN87" s="36">
        <v>0.66176470588235203</v>
      </c>
      <c r="AO87" s="36"/>
      <c r="AV87" s="13">
        <f t="shared" si="6"/>
        <v>-0.15900247311828597</v>
      </c>
      <c r="AW87" s="36">
        <v>6.9662619282783694E-2</v>
      </c>
      <c r="AX87" s="13">
        <v>0.87369253566686211</v>
      </c>
      <c r="AY87" s="13">
        <v>0.72255769009929172</v>
      </c>
      <c r="AZ87" s="13">
        <v>845</v>
      </c>
      <c r="BA87" s="13">
        <v>6.3489939181964822E-3</v>
      </c>
      <c r="BB87" s="13">
        <v>1</v>
      </c>
      <c r="BD87" s="13">
        <v>84</v>
      </c>
      <c r="BE87" s="13">
        <v>186</v>
      </c>
      <c r="BF87" s="17">
        <v>184.97443569999999</v>
      </c>
      <c r="BH87" s="36">
        <v>5.36140304321607</v>
      </c>
      <c r="BI87" s="36">
        <v>0.67205882352941104</v>
      </c>
      <c r="BJ87" s="36"/>
      <c r="BQ87" s="13">
        <f t="shared" si="7"/>
        <v>-0.55137865591398105</v>
      </c>
      <c r="BR87" s="36">
        <v>0.15083900882325699</v>
      </c>
      <c r="BS87" s="13">
        <v>8.9263600035262902E-2</v>
      </c>
      <c r="BT87" s="13">
        <v>0.6008548273213794</v>
      </c>
      <c r="BU87" s="13">
        <v>1761</v>
      </c>
      <c r="BV87" s="13">
        <v>3.544130495253906E-3</v>
      </c>
      <c r="BW87" s="13">
        <v>1</v>
      </c>
    </row>
    <row r="88" spans="1:75">
      <c r="A88" s="13">
        <v>85</v>
      </c>
      <c r="B88" s="13">
        <v>182</v>
      </c>
      <c r="C88" s="17">
        <v>190.57294400000001</v>
      </c>
      <c r="E88" s="36">
        <v>13.073784728643201</v>
      </c>
      <c r="F88" s="36">
        <v>0.70147058823529396</v>
      </c>
      <c r="G88" s="36"/>
      <c r="M88" s="13">
        <f t="shared" si="4"/>
        <v>4.7104087912087866</v>
      </c>
      <c r="O88" s="13">
        <v>85</v>
      </c>
      <c r="P88" s="13">
        <v>182</v>
      </c>
      <c r="Q88" s="17">
        <v>185.74632489999999</v>
      </c>
      <c r="S88" s="36">
        <v>16.6427666507537</v>
      </c>
      <c r="T88" s="36">
        <v>0.70441176470588196</v>
      </c>
      <c r="U88" s="36"/>
      <c r="AA88" s="13">
        <f t="shared" si="5"/>
        <v>2.05842027472527</v>
      </c>
      <c r="AB88" s="36">
        <v>0.36295068115580897</v>
      </c>
      <c r="AC88" s="23">
        <v>0.97719795240533025</v>
      </c>
      <c r="AD88" s="23">
        <v>0.91862908038559843</v>
      </c>
      <c r="AE88" s="23">
        <v>1646</v>
      </c>
      <c r="AF88" s="23">
        <v>2.5243267359597197E-3</v>
      </c>
      <c r="AG88" s="23">
        <v>0</v>
      </c>
      <c r="AI88" s="13">
        <v>85</v>
      </c>
      <c r="AJ88" s="13">
        <v>182</v>
      </c>
      <c r="AK88" s="17">
        <v>183.84858879999999</v>
      </c>
      <c r="AM88" s="36">
        <v>2.6952393577889402</v>
      </c>
      <c r="AN88" s="36">
        <v>0.66176470588235203</v>
      </c>
      <c r="AO88" s="36"/>
      <c r="AV88" s="13">
        <f t="shared" si="6"/>
        <v>1.0157081318681316</v>
      </c>
      <c r="AW88" s="36">
        <v>6.9662619282783694E-2</v>
      </c>
      <c r="AX88" s="13">
        <v>0.50035052312631756</v>
      </c>
      <c r="AY88" s="13">
        <v>0.713628386397687</v>
      </c>
      <c r="AZ88" s="13">
        <v>1435</v>
      </c>
      <c r="BA88" s="13">
        <v>5.4125328229791296E-3</v>
      </c>
      <c r="BB88" s="13">
        <v>1</v>
      </c>
      <c r="BD88" s="13">
        <v>85</v>
      </c>
      <c r="BE88" s="13">
        <v>182</v>
      </c>
      <c r="BF88" s="17">
        <v>184.91557259999999</v>
      </c>
      <c r="BH88" s="36">
        <v>5.4319478201004898</v>
      </c>
      <c r="BI88" s="36">
        <v>0.67205882352941104</v>
      </c>
      <c r="BJ88" s="36"/>
      <c r="BQ88" s="13">
        <f t="shared" si="7"/>
        <v>1.601962967032966</v>
      </c>
      <c r="BR88" s="36">
        <v>0.14835432931158299</v>
      </c>
      <c r="BS88" s="13">
        <v>0.76576529729237297</v>
      </c>
      <c r="BT88" s="13">
        <v>0.74605811097055574</v>
      </c>
      <c r="BU88" s="13">
        <v>1532</v>
      </c>
      <c r="BV88" s="13">
        <v>5.433493908520733E-4</v>
      </c>
      <c r="BW88" s="13">
        <v>0</v>
      </c>
    </row>
    <row r="89" spans="1:75">
      <c r="A89" s="13">
        <v>86</v>
      </c>
      <c r="B89" s="13">
        <v>49</v>
      </c>
      <c r="C89" s="17">
        <v>55.579175334253797</v>
      </c>
      <c r="E89" s="36">
        <v>13.243574140703499</v>
      </c>
      <c r="F89" s="36">
        <v>0.70294117647058796</v>
      </c>
      <c r="G89" s="36"/>
      <c r="M89" s="13">
        <f t="shared" si="4"/>
        <v>13.426888437252638</v>
      </c>
      <c r="O89" s="13">
        <v>86</v>
      </c>
      <c r="P89" s="13">
        <v>49</v>
      </c>
      <c r="Q89" s="17">
        <v>49.249710073290402</v>
      </c>
      <c r="S89" s="36">
        <v>16.858906477386899</v>
      </c>
      <c r="T89" s="36">
        <v>0.70441176470588196</v>
      </c>
      <c r="U89" s="36"/>
      <c r="AA89" s="13">
        <f t="shared" si="5"/>
        <v>0.50961239447020468</v>
      </c>
      <c r="AB89" s="36">
        <v>0.36295068115580897</v>
      </c>
      <c r="AC89" s="23">
        <v>0.50941668244423921</v>
      </c>
      <c r="AD89" s="23">
        <v>0.61994692692775377</v>
      </c>
      <c r="AE89" s="23">
        <v>1347</v>
      </c>
      <c r="AF89" s="23">
        <v>8.7331010882448976E-3</v>
      </c>
      <c r="AG89" s="23">
        <v>1</v>
      </c>
      <c r="AI89" s="13">
        <v>86</v>
      </c>
      <c r="AJ89" s="13">
        <v>49</v>
      </c>
      <c r="AK89" s="17">
        <v>43.177020970000001</v>
      </c>
      <c r="AM89" s="36">
        <v>2.7302424663316498</v>
      </c>
      <c r="AN89" s="36">
        <v>0.66176470588235203</v>
      </c>
      <c r="AO89" s="36"/>
      <c r="AV89" s="13">
        <f t="shared" si="6"/>
        <v>-11.88363067346938</v>
      </c>
      <c r="AW89" s="36">
        <v>6.9662619282783694E-2</v>
      </c>
      <c r="AX89" s="13">
        <v>0.99460619490201863</v>
      </c>
      <c r="AY89" s="13">
        <v>0.51194963682738936</v>
      </c>
      <c r="AZ89" s="13">
        <v>1659</v>
      </c>
      <c r="BA89" s="13">
        <v>4.204023751264831E-3</v>
      </c>
      <c r="BB89" s="13">
        <v>0</v>
      </c>
      <c r="BD89" s="13">
        <v>86</v>
      </c>
      <c r="BE89" s="13">
        <v>49</v>
      </c>
      <c r="BF89" s="17">
        <v>36.723584289999998</v>
      </c>
      <c r="BH89" s="36">
        <v>5.5024925969849203</v>
      </c>
      <c r="BI89" s="36">
        <v>0.67205882352941104</v>
      </c>
      <c r="BJ89" s="36"/>
      <c r="BQ89" s="13">
        <f t="shared" si="7"/>
        <v>-25.053909612244908</v>
      </c>
      <c r="BR89" s="36">
        <v>0.14835432931158299</v>
      </c>
      <c r="BS89" s="13">
        <v>0.3099682934402711</v>
      </c>
      <c r="BT89" s="13">
        <v>0.87391641339564574</v>
      </c>
      <c r="BU89" s="13">
        <v>112</v>
      </c>
      <c r="BV89" s="13">
        <v>2.6127839918621159E-3</v>
      </c>
      <c r="BW89" s="13">
        <v>1</v>
      </c>
    </row>
    <row r="90" spans="1:75">
      <c r="A90" s="13">
        <v>87</v>
      </c>
      <c r="B90" s="13">
        <v>210</v>
      </c>
      <c r="C90" s="17">
        <v>209.27538229999999</v>
      </c>
      <c r="E90" s="36">
        <v>13.4133635527638</v>
      </c>
      <c r="F90" s="36">
        <v>0.70294117647058796</v>
      </c>
      <c r="G90" s="36"/>
      <c r="M90" s="13">
        <f t="shared" si="4"/>
        <v>-0.34505604761905229</v>
      </c>
      <c r="O90" s="13">
        <v>87</v>
      </c>
      <c r="P90" s="13">
        <v>210</v>
      </c>
      <c r="Q90" s="17">
        <v>200.88129050000001</v>
      </c>
      <c r="S90" s="36">
        <v>17.075046304019999</v>
      </c>
      <c r="T90" s="36">
        <v>0.70441176470588196</v>
      </c>
      <c r="U90" s="36"/>
      <c r="AA90" s="13">
        <f t="shared" si="5"/>
        <v>-4.3422426190476209</v>
      </c>
      <c r="AB90" s="36">
        <v>0.36295068115580897</v>
      </c>
      <c r="AC90" s="23">
        <v>0.63605532674095855</v>
      </c>
      <c r="AD90" s="23">
        <v>0.10394772739736682</v>
      </c>
      <c r="AE90" s="23">
        <v>568</v>
      </c>
      <c r="AF90" s="23">
        <v>7.7331202777421683E-3</v>
      </c>
      <c r="AG90" s="23">
        <v>0</v>
      </c>
      <c r="AI90" s="13">
        <v>87</v>
      </c>
      <c r="AJ90" s="13">
        <v>210</v>
      </c>
      <c r="AK90" s="17">
        <v>209.8210765</v>
      </c>
      <c r="AM90" s="36">
        <v>2.7652455748743701</v>
      </c>
      <c r="AN90" s="36">
        <v>0.66176470588235203</v>
      </c>
      <c r="AO90" s="36"/>
      <c r="AV90" s="13">
        <f t="shared" si="6"/>
        <v>-8.520166666666773E-2</v>
      </c>
      <c r="AW90" s="36">
        <v>6.8615577785862206E-2</v>
      </c>
      <c r="AX90" s="13">
        <v>0.16806569675440478</v>
      </c>
      <c r="AY90" s="13">
        <v>0.98795822248015874</v>
      </c>
      <c r="AZ90" s="13">
        <v>1417</v>
      </c>
      <c r="BA90" s="13">
        <v>5.1224441629235684E-4</v>
      </c>
      <c r="BB90" s="13">
        <v>0</v>
      </c>
      <c r="BD90" s="13">
        <v>87</v>
      </c>
      <c r="BE90" s="13">
        <v>210</v>
      </c>
      <c r="BF90" s="17">
        <v>209.6310604</v>
      </c>
      <c r="BH90" s="36">
        <v>5.5730373738693402</v>
      </c>
      <c r="BI90" s="36">
        <v>0.67205882352941104</v>
      </c>
      <c r="BJ90" s="36"/>
      <c r="BQ90" s="13">
        <f t="shared" si="7"/>
        <v>-0.17568552380952118</v>
      </c>
      <c r="BR90" s="36">
        <v>0.147060665371197</v>
      </c>
      <c r="BS90" s="13">
        <v>0.68266066153260607</v>
      </c>
      <c r="BT90" s="13">
        <v>0.33433277896949853</v>
      </c>
      <c r="BU90" s="13">
        <v>304</v>
      </c>
      <c r="BV90" s="13">
        <v>4.867162583582104E-3</v>
      </c>
      <c r="BW90" s="13">
        <v>0</v>
      </c>
    </row>
    <row r="91" spans="1:75">
      <c r="A91" s="13">
        <v>88</v>
      </c>
      <c r="B91" s="13">
        <v>197</v>
      </c>
      <c r="C91" s="17">
        <v>196.40663979999999</v>
      </c>
      <c r="E91" s="36">
        <v>13.5831529648241</v>
      </c>
      <c r="F91" s="36">
        <v>0.70294117647058796</v>
      </c>
      <c r="G91" s="36"/>
      <c r="M91" s="13">
        <f t="shared" si="4"/>
        <v>-0.30119807106598895</v>
      </c>
      <c r="O91" s="13">
        <v>88</v>
      </c>
      <c r="P91" s="13">
        <v>197</v>
      </c>
      <c r="Q91" s="17">
        <v>192.9930038</v>
      </c>
      <c r="S91" s="36">
        <v>17.291186130653202</v>
      </c>
      <c r="T91" s="36">
        <v>0.70441176470588196</v>
      </c>
      <c r="U91" s="36"/>
      <c r="AA91" s="13">
        <f t="shared" si="5"/>
        <v>-2.0340082233502588</v>
      </c>
      <c r="AB91" s="36">
        <v>0.36295068115580897</v>
      </c>
      <c r="AC91" s="23">
        <v>0.82091878894101333</v>
      </c>
      <c r="AD91" s="23">
        <v>0.14318917184393548</v>
      </c>
      <c r="AE91" s="23">
        <v>2000</v>
      </c>
      <c r="AF91" s="23">
        <v>5.0167615615041398E-3</v>
      </c>
      <c r="AG91" s="23">
        <v>0</v>
      </c>
      <c r="AI91" s="13">
        <v>88</v>
      </c>
      <c r="AJ91" s="13">
        <v>197</v>
      </c>
      <c r="AK91" s="17">
        <v>196.75332800000001</v>
      </c>
      <c r="AM91" s="36">
        <v>2.8002486834170801</v>
      </c>
      <c r="AN91" s="36">
        <v>0.66323529411764703</v>
      </c>
      <c r="AO91" s="36"/>
      <c r="AV91" s="13">
        <f t="shared" si="6"/>
        <v>-0.12521421319796611</v>
      </c>
      <c r="AW91" s="36">
        <v>6.8615577785862206E-2</v>
      </c>
      <c r="AX91" s="13">
        <v>0.15086689834472178</v>
      </c>
      <c r="AY91" s="13">
        <v>0.67824692266141418</v>
      </c>
      <c r="AZ91" s="13">
        <v>1614</v>
      </c>
      <c r="BA91" s="13">
        <v>6.8582885916361035E-3</v>
      </c>
      <c r="BB91" s="13">
        <v>1</v>
      </c>
      <c r="BD91" s="13">
        <v>88</v>
      </c>
      <c r="BE91" s="13">
        <v>197</v>
      </c>
      <c r="BF91" s="17">
        <v>196.4364521</v>
      </c>
      <c r="BH91" s="36">
        <v>5.64358215075376</v>
      </c>
      <c r="BI91" s="36">
        <v>0.67205882352941104</v>
      </c>
      <c r="BJ91" s="36"/>
      <c r="BQ91" s="13">
        <f t="shared" si="7"/>
        <v>-0.28606492385786497</v>
      </c>
      <c r="BR91" s="36">
        <v>0.147060665371197</v>
      </c>
      <c r="BS91" s="13">
        <v>0.86609189556651411</v>
      </c>
      <c r="BT91" s="13">
        <v>0.2248862377477974</v>
      </c>
      <c r="BU91" s="13">
        <v>1421</v>
      </c>
      <c r="BV91" s="13">
        <v>2.3057533220795464E-3</v>
      </c>
      <c r="BW91" s="13">
        <v>1</v>
      </c>
    </row>
    <row r="92" spans="1:75">
      <c r="A92" s="13">
        <v>89</v>
      </c>
      <c r="B92" s="13">
        <v>186</v>
      </c>
      <c r="C92" s="17">
        <v>155.92091529999999</v>
      </c>
      <c r="E92" s="36">
        <v>13.7529423768844</v>
      </c>
      <c r="F92" s="36">
        <v>0.70294117647058796</v>
      </c>
      <c r="G92" s="36"/>
      <c r="M92" s="13">
        <f t="shared" si="4"/>
        <v>-16.171550913978507</v>
      </c>
      <c r="O92" s="13">
        <v>89</v>
      </c>
      <c r="P92" s="13">
        <v>186</v>
      </c>
      <c r="Q92" s="17">
        <v>153.22422589999999</v>
      </c>
      <c r="S92" s="36">
        <v>17.507325957286401</v>
      </c>
      <c r="T92" s="36">
        <v>0.70441176470588196</v>
      </c>
      <c r="U92" s="36"/>
      <c r="AA92" s="13">
        <f t="shared" si="5"/>
        <v>-17.621383924731184</v>
      </c>
      <c r="AB92" s="36">
        <v>0.36295068115580897</v>
      </c>
      <c r="AC92" s="23">
        <v>0.58891904845137155</v>
      </c>
      <c r="AD92" s="23">
        <v>0.49835995764580499</v>
      </c>
      <c r="AE92" s="23">
        <v>913</v>
      </c>
      <c r="AF92" s="23">
        <v>6.5360960156791992E-3</v>
      </c>
      <c r="AG92" s="23">
        <v>1</v>
      </c>
      <c r="AI92" s="13">
        <v>89</v>
      </c>
      <c r="AJ92" s="13">
        <v>186</v>
      </c>
      <c r="AK92" s="17">
        <v>179.84618309999999</v>
      </c>
      <c r="AM92" s="36">
        <v>2.8352517919597902</v>
      </c>
      <c r="AN92" s="36">
        <v>0.66323529411764703</v>
      </c>
      <c r="AO92" s="36"/>
      <c r="AV92" s="13">
        <f t="shared" si="6"/>
        <v>-3.3085037096774239</v>
      </c>
      <c r="AW92" s="36">
        <v>6.8615577785862206E-2</v>
      </c>
      <c r="AX92" s="13">
        <v>8.2777815804332647E-2</v>
      </c>
      <c r="AY92" s="13">
        <v>8.7402520293100694E-2</v>
      </c>
      <c r="AZ92" s="13">
        <v>516</v>
      </c>
      <c r="BA92" s="13">
        <v>5.0116088992665691E-3</v>
      </c>
      <c r="BB92" s="13">
        <v>0</v>
      </c>
      <c r="BD92" s="13">
        <v>89</v>
      </c>
      <c r="BE92" s="13">
        <v>186</v>
      </c>
      <c r="BF92" s="17">
        <v>173.4493482</v>
      </c>
      <c r="BH92" s="36">
        <v>5.7141269276381799</v>
      </c>
      <c r="BI92" s="36">
        <v>0.67205882352941104</v>
      </c>
      <c r="BJ92" s="36"/>
      <c r="BQ92" s="13">
        <f t="shared" si="7"/>
        <v>-6.7476622580645129</v>
      </c>
      <c r="BR92" s="36">
        <v>0.147060665371197</v>
      </c>
      <c r="BS92" s="13">
        <v>0.88055907096109798</v>
      </c>
      <c r="BT92" s="13">
        <v>0.62772176872474417</v>
      </c>
      <c r="BU92" s="13">
        <v>443</v>
      </c>
      <c r="BV92" s="13">
        <v>2.1499666191972651E-4</v>
      </c>
      <c r="BW92" s="13">
        <v>0</v>
      </c>
    </row>
    <row r="93" spans="1:75">
      <c r="A93" s="13">
        <v>90</v>
      </c>
      <c r="B93" s="13">
        <v>208</v>
      </c>
      <c r="C93" s="17">
        <v>214.7932409</v>
      </c>
      <c r="E93" s="36">
        <v>13.9227317889447</v>
      </c>
      <c r="F93" s="36">
        <v>0.70294117647058796</v>
      </c>
      <c r="G93" s="36"/>
      <c r="M93" s="13">
        <f t="shared" si="4"/>
        <v>3.2659812019230738</v>
      </c>
      <c r="O93" s="13">
        <v>90</v>
      </c>
      <c r="P93" s="13">
        <v>208</v>
      </c>
      <c r="Q93" s="17">
        <v>212.60604889999999</v>
      </c>
      <c r="S93" s="36">
        <v>17.723465783919501</v>
      </c>
      <c r="T93" s="36">
        <v>0.70441176470588196</v>
      </c>
      <c r="U93" s="36"/>
      <c r="AA93" s="13">
        <f t="shared" si="5"/>
        <v>2.2144465865384655</v>
      </c>
      <c r="AB93" s="36">
        <v>0.36295068115580897</v>
      </c>
      <c r="AC93" s="23">
        <v>0.96588789109582573</v>
      </c>
      <c r="AD93" s="23">
        <v>0.93822618669028557</v>
      </c>
      <c r="AE93" s="23">
        <v>847</v>
      </c>
      <c r="AF93" s="23">
        <v>4.6343419854863567E-3</v>
      </c>
      <c r="AG93" s="23">
        <v>1</v>
      </c>
      <c r="AI93" s="13">
        <v>90</v>
      </c>
      <c r="AJ93" s="13">
        <v>208</v>
      </c>
      <c r="AK93" s="17">
        <v>209.0906482</v>
      </c>
      <c r="AM93" s="36">
        <v>2.87025490050251</v>
      </c>
      <c r="AN93" s="36">
        <v>0.66323529411764703</v>
      </c>
      <c r="AO93" s="36"/>
      <c r="AV93" s="13">
        <f t="shared" si="6"/>
        <v>0.5243500961538583</v>
      </c>
      <c r="AW93" s="36">
        <v>6.8615577785862206E-2</v>
      </c>
      <c r="AX93" s="13">
        <v>0.93205382733100495</v>
      </c>
      <c r="AY93" s="13">
        <v>0.53459896441617216</v>
      </c>
      <c r="AZ93" s="13">
        <v>1119</v>
      </c>
      <c r="BA93" s="13">
        <v>5.5470655641303131E-3</v>
      </c>
      <c r="BB93" s="13">
        <v>0</v>
      </c>
      <c r="BD93" s="13">
        <v>90</v>
      </c>
      <c r="BE93" s="13">
        <v>208</v>
      </c>
      <c r="BF93" s="17">
        <v>210.923349</v>
      </c>
      <c r="BH93" s="36">
        <v>5.7846717045225997</v>
      </c>
      <c r="BI93" s="36">
        <v>0.67205882352941104</v>
      </c>
      <c r="BJ93" s="36"/>
      <c r="BQ93" s="13">
        <f t="shared" si="7"/>
        <v>1.4054562499999923</v>
      </c>
      <c r="BR93" s="36">
        <v>0.147060665371197</v>
      </c>
      <c r="BS93" s="13">
        <v>0.43129455019424628</v>
      </c>
      <c r="BT93" s="13">
        <v>0.66740734250061373</v>
      </c>
      <c r="BU93" s="13">
        <v>1317</v>
      </c>
      <c r="BV93" s="13">
        <v>9.2374890187034604E-3</v>
      </c>
      <c r="BW93" s="13">
        <v>1</v>
      </c>
    </row>
    <row r="94" spans="1:75">
      <c r="A94" s="13">
        <v>91</v>
      </c>
      <c r="B94" s="13">
        <v>39</v>
      </c>
      <c r="C94" s="17">
        <v>49.931615110000003</v>
      </c>
      <c r="E94" s="36">
        <v>14.092521201005001</v>
      </c>
      <c r="F94" s="36">
        <v>0.70294117647058796</v>
      </c>
      <c r="G94" s="36"/>
      <c r="M94" s="13">
        <f t="shared" si="4"/>
        <v>28.02978233333333</v>
      </c>
      <c r="O94" s="13">
        <v>91</v>
      </c>
      <c r="P94" s="13">
        <v>39</v>
      </c>
      <c r="Q94" s="17">
        <v>52.020706420000003</v>
      </c>
      <c r="S94" s="36">
        <v>17.9396056105527</v>
      </c>
      <c r="T94" s="36">
        <v>0.70441176470588196</v>
      </c>
      <c r="U94" s="36"/>
      <c r="AA94" s="13">
        <f t="shared" si="5"/>
        <v>33.386426717948737</v>
      </c>
      <c r="AB94" s="36">
        <v>0.36295068115580897</v>
      </c>
      <c r="AC94" s="23">
        <v>0.3158057030114011</v>
      </c>
      <c r="AD94" s="23">
        <v>0.46143926689993348</v>
      </c>
      <c r="AE94" s="23">
        <v>1902</v>
      </c>
      <c r="AF94" s="23">
        <v>7.0615471780450922E-3</v>
      </c>
      <c r="AG94" s="23">
        <v>0</v>
      </c>
      <c r="AI94" s="13">
        <v>91</v>
      </c>
      <c r="AJ94" s="13">
        <v>39</v>
      </c>
      <c r="AK94" s="17">
        <v>41.268323019999997</v>
      </c>
      <c r="AM94" s="36">
        <v>2.90525800904522</v>
      </c>
      <c r="AN94" s="36">
        <v>0.66323529411764703</v>
      </c>
      <c r="AO94" s="36"/>
      <c r="AV94" s="13">
        <f t="shared" si="6"/>
        <v>5.8162128717948569</v>
      </c>
      <c r="AW94" s="36">
        <v>6.8615577785862206E-2</v>
      </c>
      <c r="AX94" s="13">
        <v>0.18464793501131399</v>
      </c>
      <c r="AY94" s="13">
        <v>0.26826906139380008</v>
      </c>
      <c r="AZ94" s="13">
        <v>227</v>
      </c>
      <c r="BA94" s="13">
        <v>3.1254833364252675E-3</v>
      </c>
      <c r="BB94" s="13">
        <v>1</v>
      </c>
      <c r="BD94" s="13">
        <v>91</v>
      </c>
      <c r="BE94" s="13">
        <v>39</v>
      </c>
      <c r="BF94" s="17">
        <v>42.980065920000001</v>
      </c>
      <c r="BH94" s="36">
        <v>5.8552164814070302</v>
      </c>
      <c r="BI94" s="36">
        <v>0.67205882352941104</v>
      </c>
      <c r="BJ94" s="36"/>
      <c r="BQ94" s="13">
        <f t="shared" si="7"/>
        <v>10.20529723076924</v>
      </c>
      <c r="BR94" s="36">
        <v>0.147060665371197</v>
      </c>
      <c r="BS94" s="13">
        <v>0.1692071517639378</v>
      </c>
      <c r="BT94" s="13">
        <v>0.67912024472993526</v>
      </c>
      <c r="BU94" s="13">
        <v>1880</v>
      </c>
      <c r="BV94" s="13">
        <v>9.8559621571693134E-3</v>
      </c>
      <c r="BW94" s="13">
        <v>1</v>
      </c>
    </row>
    <row r="95" spans="1:75">
      <c r="A95" s="13">
        <v>92</v>
      </c>
      <c r="B95" s="13">
        <v>14</v>
      </c>
      <c r="C95" s="17">
        <v>16.261246173567699</v>
      </c>
      <c r="E95" s="36">
        <v>14.262310613065299</v>
      </c>
      <c r="F95" s="36">
        <v>0.70294117647058796</v>
      </c>
      <c r="G95" s="36"/>
      <c r="M95" s="13">
        <f t="shared" si="4"/>
        <v>16.151758382626412</v>
      </c>
      <c r="O95" s="13">
        <v>92</v>
      </c>
      <c r="P95" s="13">
        <v>14</v>
      </c>
      <c r="Q95" s="17">
        <v>17.947744645841102</v>
      </c>
      <c r="S95" s="36">
        <v>18.1557454371859</v>
      </c>
      <c r="T95" s="36">
        <v>0.70441176470588196</v>
      </c>
      <c r="U95" s="36"/>
      <c r="AA95" s="13">
        <f t="shared" si="5"/>
        <v>28.198176041722146</v>
      </c>
      <c r="AB95" s="36">
        <v>0.36295068115580897</v>
      </c>
      <c r="AC95" s="23">
        <v>0.33315427037284662</v>
      </c>
      <c r="AD95" s="23">
        <v>0.98095480747862374</v>
      </c>
      <c r="AE95" s="23">
        <v>1825</v>
      </c>
      <c r="AF95" s="23">
        <v>2.1034859818522067E-3</v>
      </c>
      <c r="AG95" s="23">
        <v>1</v>
      </c>
      <c r="AI95" s="13">
        <v>92</v>
      </c>
      <c r="AJ95" s="13">
        <v>14</v>
      </c>
      <c r="AK95" s="17">
        <v>15.361640728732301</v>
      </c>
      <c r="AM95" s="36">
        <v>2.9402611175879301</v>
      </c>
      <c r="AN95" s="36">
        <v>0.66323529411764703</v>
      </c>
      <c r="AO95" s="36"/>
      <c r="AV95" s="13">
        <f t="shared" si="6"/>
        <v>9.7260052052307255</v>
      </c>
      <c r="AW95" s="36">
        <v>6.8615577785862206E-2</v>
      </c>
      <c r="AX95" s="13">
        <v>0.67954910085466647</v>
      </c>
      <c r="AY95" s="13">
        <v>0.75982329405263871</v>
      </c>
      <c r="AZ95" s="13">
        <v>1253</v>
      </c>
      <c r="BA95" s="13">
        <v>8.5875061536521448E-3</v>
      </c>
      <c r="BB95" s="13">
        <v>1</v>
      </c>
      <c r="BD95" s="13">
        <v>92</v>
      </c>
      <c r="BE95" s="13">
        <v>14</v>
      </c>
      <c r="BF95" s="17">
        <v>9.6613772040672696</v>
      </c>
      <c r="BH95" s="36">
        <v>5.9257612582914501</v>
      </c>
      <c r="BI95" s="36">
        <v>0.67205882352941104</v>
      </c>
      <c r="BJ95" s="36"/>
      <c r="BQ95" s="13">
        <f t="shared" si="7"/>
        <v>-30.990162828090927</v>
      </c>
      <c r="BR95" s="36">
        <v>0.147060665371197</v>
      </c>
      <c r="BS95" s="13">
        <v>0.58802349824783839</v>
      </c>
      <c r="BT95" s="13">
        <v>0.10013145371527303</v>
      </c>
      <c r="BU95" s="13">
        <v>1061</v>
      </c>
      <c r="BV95" s="13">
        <v>1.6956315302285789E-3</v>
      </c>
      <c r="BW95" s="13">
        <v>1</v>
      </c>
    </row>
    <row r="96" spans="1:75">
      <c r="A96" s="13">
        <v>93</v>
      </c>
      <c r="B96" s="13">
        <v>94</v>
      </c>
      <c r="C96" s="17">
        <v>104.32077200000001</v>
      </c>
      <c r="E96" s="36">
        <v>14.4321000251256</v>
      </c>
      <c r="F96" s="36">
        <v>0.70294117647058796</v>
      </c>
      <c r="G96" s="36"/>
      <c r="M96" s="13">
        <f t="shared" si="4"/>
        <v>10.979544680851072</v>
      </c>
      <c r="O96" s="13">
        <v>93</v>
      </c>
      <c r="P96" s="13">
        <v>94</v>
      </c>
      <c r="Q96" s="17">
        <v>102.845674</v>
      </c>
      <c r="S96" s="36">
        <v>18.371885263818999</v>
      </c>
      <c r="T96" s="36">
        <v>0.70441176470588196</v>
      </c>
      <c r="U96" s="36"/>
      <c r="AA96" s="13">
        <f t="shared" si="5"/>
        <v>9.4102914893617005</v>
      </c>
      <c r="AB96" s="36">
        <v>0.36295068115580897</v>
      </c>
      <c r="AC96" s="23">
        <v>0.37261328732641791</v>
      </c>
      <c r="AD96" s="23">
        <v>0.43572608188156181</v>
      </c>
      <c r="AE96" s="23">
        <v>965</v>
      </c>
      <c r="AF96" s="23">
        <v>9.2944333733531413E-3</v>
      </c>
      <c r="AG96" s="23">
        <v>1</v>
      </c>
      <c r="AI96" s="13">
        <v>93</v>
      </c>
      <c r="AJ96" s="13">
        <v>94</v>
      </c>
      <c r="AK96" s="17">
        <v>95.792154409999995</v>
      </c>
      <c r="AM96" s="36">
        <v>2.9752642261306499</v>
      </c>
      <c r="AN96" s="36">
        <v>0.66323529411764703</v>
      </c>
      <c r="AO96" s="36"/>
      <c r="AV96" s="13">
        <f t="shared" si="6"/>
        <v>1.9065472446808451</v>
      </c>
      <c r="AW96" s="36">
        <v>6.8615577785862206E-2</v>
      </c>
      <c r="AX96" s="13">
        <v>0.97693945649988856</v>
      </c>
      <c r="AY96" s="13">
        <v>0.19799298793079781</v>
      </c>
      <c r="AZ96" s="13">
        <v>1551</v>
      </c>
      <c r="BA96" s="13">
        <v>5.2327290871912371E-3</v>
      </c>
      <c r="BB96" s="13">
        <v>0</v>
      </c>
      <c r="BD96" s="13">
        <v>93</v>
      </c>
      <c r="BE96" s="13">
        <v>94</v>
      </c>
      <c r="BF96" s="17">
        <v>98.119487100000001</v>
      </c>
      <c r="BH96" s="36">
        <v>5.9963060351758699</v>
      </c>
      <c r="BI96" s="36">
        <v>0.67205882352941104</v>
      </c>
      <c r="BJ96" s="36"/>
      <c r="BQ96" s="13">
        <f t="shared" si="7"/>
        <v>4.3824330851063742</v>
      </c>
      <c r="BR96" s="36">
        <v>0.147060665371197</v>
      </c>
      <c r="BS96" s="13">
        <v>0.91344629018515866</v>
      </c>
      <c r="BT96" s="13">
        <v>7.4150419934276138E-2</v>
      </c>
      <c r="BU96" s="13">
        <v>1210</v>
      </c>
      <c r="BV96" s="13">
        <v>5.2839392014593757E-4</v>
      </c>
      <c r="BW96" s="13">
        <v>1</v>
      </c>
    </row>
    <row r="97" spans="1:75">
      <c r="A97" s="13">
        <v>94</v>
      </c>
      <c r="B97" s="13">
        <v>135</v>
      </c>
      <c r="C97" s="17">
        <v>134.76985300000001</v>
      </c>
      <c r="E97" s="36">
        <v>14.6018894371859</v>
      </c>
      <c r="F97" s="36">
        <v>0.70294117647058796</v>
      </c>
      <c r="G97" s="36"/>
      <c r="M97" s="13">
        <f t="shared" si="4"/>
        <v>-0.17047925925924856</v>
      </c>
      <c r="O97" s="13">
        <v>94</v>
      </c>
      <c r="P97" s="13">
        <v>135</v>
      </c>
      <c r="Q97" s="17">
        <v>134.5126094</v>
      </c>
      <c r="S97" s="36">
        <v>18.588025090452199</v>
      </c>
      <c r="T97" s="36">
        <v>0.70441176470588196</v>
      </c>
      <c r="U97" s="36"/>
      <c r="AA97" s="13">
        <f t="shared" si="5"/>
        <v>-0.36103007407407572</v>
      </c>
      <c r="AB97" s="36">
        <v>0.36295068115580897</v>
      </c>
      <c r="AC97" s="23">
        <v>0.60220902546143551</v>
      </c>
      <c r="AD97" s="23">
        <v>0.54745497900624374</v>
      </c>
      <c r="AE97" s="23">
        <v>717</v>
      </c>
      <c r="AF97" s="23">
        <v>3.2859216068482355E-3</v>
      </c>
      <c r="AG97" s="23">
        <v>1</v>
      </c>
      <c r="AI97" s="13">
        <v>94</v>
      </c>
      <c r="AJ97" s="13">
        <v>135</v>
      </c>
      <c r="AK97" s="17">
        <v>134.75797059999999</v>
      </c>
      <c r="AM97" s="36">
        <v>3.0102673346733599</v>
      </c>
      <c r="AN97" s="36">
        <v>0.66323529411764703</v>
      </c>
      <c r="AO97" s="36"/>
      <c r="AV97" s="13">
        <f t="shared" si="6"/>
        <v>-0.1792810370370379</v>
      </c>
      <c r="AW97" s="36">
        <v>6.8615577785862206E-2</v>
      </c>
      <c r="AX97" s="13">
        <v>0.16992040902705438</v>
      </c>
      <c r="AY97" s="13">
        <v>0.51094003417035916</v>
      </c>
      <c r="AZ97" s="13">
        <v>1570</v>
      </c>
      <c r="BA97" s="13">
        <v>8.7069240855006842E-3</v>
      </c>
      <c r="BB97" s="13">
        <v>1</v>
      </c>
      <c r="BD97" s="13">
        <v>94</v>
      </c>
      <c r="BE97" s="13">
        <v>135</v>
      </c>
      <c r="BF97" s="17">
        <v>134.04849189999999</v>
      </c>
      <c r="BH97" s="36">
        <v>6.0668508120602898</v>
      </c>
      <c r="BI97" s="36">
        <v>0.67205882352941104</v>
      </c>
      <c r="BJ97" s="36"/>
      <c r="BQ97" s="13">
        <f t="shared" si="7"/>
        <v>-0.70482081481482162</v>
      </c>
      <c r="BR97" s="36">
        <v>0.147060665371197</v>
      </c>
      <c r="BS97" s="13">
        <v>7.8340924339482171E-2</v>
      </c>
      <c r="BT97" s="13">
        <v>0.78612541335051833</v>
      </c>
      <c r="BU97" s="13">
        <v>1294</v>
      </c>
      <c r="BV97" s="13">
        <v>6.4069326423708169E-3</v>
      </c>
      <c r="BW97" s="13">
        <v>0</v>
      </c>
    </row>
    <row r="98" spans="1:75">
      <c r="A98" s="13">
        <v>95</v>
      </c>
      <c r="B98" s="13">
        <v>179</v>
      </c>
      <c r="C98" s="17">
        <v>148.32383110000001</v>
      </c>
      <c r="E98" s="36">
        <v>14.7716788492462</v>
      </c>
      <c r="F98" s="36">
        <v>0.70441176470588196</v>
      </c>
      <c r="G98" s="36"/>
      <c r="M98" s="13">
        <f t="shared" si="4"/>
        <v>-17.137524525139657</v>
      </c>
      <c r="O98" s="13">
        <v>95</v>
      </c>
      <c r="P98" s="13">
        <v>179</v>
      </c>
      <c r="Q98" s="17">
        <v>145.55987020000001</v>
      </c>
      <c r="S98" s="36">
        <v>18.804164917085401</v>
      </c>
      <c r="T98" s="36">
        <v>0.70588235294117596</v>
      </c>
      <c r="U98" s="36"/>
      <c r="AA98" s="13">
        <f t="shared" si="5"/>
        <v>-18.681636759776531</v>
      </c>
      <c r="AB98" s="36">
        <v>0.34335336709319397</v>
      </c>
      <c r="AC98" s="23">
        <v>0.1510593239998427</v>
      </c>
      <c r="AD98" s="23">
        <v>0.55376253640688644</v>
      </c>
      <c r="AE98" s="23">
        <v>554</v>
      </c>
      <c r="AF98" s="23">
        <v>2.7474238726945643E-3</v>
      </c>
      <c r="AG98" s="23">
        <v>1</v>
      </c>
      <c r="AI98" s="13">
        <v>95</v>
      </c>
      <c r="AJ98" s="13">
        <v>179</v>
      </c>
      <c r="AK98" s="17">
        <v>173.1527662</v>
      </c>
      <c r="AM98" s="36">
        <v>3.0452704432160802</v>
      </c>
      <c r="AN98" s="36">
        <v>0.66323529411764703</v>
      </c>
      <c r="AO98" s="36"/>
      <c r="AV98" s="13">
        <f t="shared" si="6"/>
        <v>-3.2666110614525179</v>
      </c>
      <c r="AW98" s="36">
        <v>6.8615577785862206E-2</v>
      </c>
      <c r="AX98" s="13">
        <v>0.57119994092550574</v>
      </c>
      <c r="AY98" s="13">
        <v>0.83328095007833902</v>
      </c>
      <c r="AZ98" s="13">
        <v>1017</v>
      </c>
      <c r="BA98" s="13">
        <v>7.5466584665242016E-3</v>
      </c>
      <c r="BB98" s="13">
        <v>0</v>
      </c>
      <c r="BD98" s="13">
        <v>95</v>
      </c>
      <c r="BE98" s="13">
        <v>179</v>
      </c>
      <c r="BF98" s="17">
        <v>166.0468999</v>
      </c>
      <c r="BH98" s="36">
        <v>6.1373955889447203</v>
      </c>
      <c r="BI98" s="36">
        <v>0.67205882352941104</v>
      </c>
      <c r="BJ98" s="36"/>
      <c r="BQ98" s="13">
        <f t="shared" si="7"/>
        <v>-7.2363687709497189</v>
      </c>
      <c r="BR98" s="36">
        <v>0.147060665371197</v>
      </c>
      <c r="BS98" s="13">
        <v>0.52894371161805498</v>
      </c>
      <c r="BT98" s="13">
        <v>0.67774151883664813</v>
      </c>
      <c r="BU98" s="13">
        <v>967</v>
      </c>
      <c r="BV98" s="13">
        <v>5.4121275426673608E-3</v>
      </c>
      <c r="BW98" s="13">
        <v>0</v>
      </c>
    </row>
    <row r="99" spans="1:75">
      <c r="A99" s="13">
        <v>96</v>
      </c>
      <c r="B99" s="13">
        <v>151</v>
      </c>
      <c r="C99" s="17">
        <v>122.1437523</v>
      </c>
      <c r="E99" s="36">
        <v>14.9414682613065</v>
      </c>
      <c r="F99" s="36">
        <v>0.70588235294117596</v>
      </c>
      <c r="G99" s="36"/>
      <c r="M99" s="13">
        <f t="shared" si="4"/>
        <v>-19.110097814569539</v>
      </c>
      <c r="O99" s="13">
        <v>96</v>
      </c>
      <c r="P99" s="13">
        <v>151</v>
      </c>
      <c r="Q99" s="17">
        <v>117.2294959</v>
      </c>
      <c r="S99" s="36">
        <v>19.020304743718501</v>
      </c>
      <c r="T99" s="36">
        <v>0.70588235294117596</v>
      </c>
      <c r="U99" s="36"/>
      <c r="AA99" s="13">
        <f t="shared" si="5"/>
        <v>-22.364572251655623</v>
      </c>
      <c r="AB99" s="36">
        <v>0.34335336709319397</v>
      </c>
      <c r="AC99" s="23">
        <v>0.69058852874452004</v>
      </c>
      <c r="AD99" s="23">
        <v>0.22312475959206354</v>
      </c>
      <c r="AE99" s="23">
        <v>1569</v>
      </c>
      <c r="AF99" s="23">
        <v>7.2714597790779247E-3</v>
      </c>
      <c r="AG99" s="23">
        <v>1</v>
      </c>
      <c r="AI99" s="13">
        <v>96</v>
      </c>
      <c r="AJ99" s="13">
        <v>151</v>
      </c>
      <c r="AK99" s="17">
        <v>145.1527505</v>
      </c>
      <c r="AM99" s="36">
        <v>3.0802735517587898</v>
      </c>
      <c r="AN99" s="36">
        <v>0.66323529411764703</v>
      </c>
      <c r="AO99" s="36"/>
      <c r="AV99" s="13">
        <f t="shared" si="6"/>
        <v>-3.8723506622516557</v>
      </c>
      <c r="AW99" s="36">
        <v>6.8615577785862206E-2</v>
      </c>
      <c r="AX99" s="13">
        <v>0.67272612581846181</v>
      </c>
      <c r="AY99" s="13">
        <v>0.98895353967129718</v>
      </c>
      <c r="AZ99" s="13">
        <v>850</v>
      </c>
      <c r="BA99" s="13">
        <v>5.1023724275186836E-3</v>
      </c>
      <c r="BB99" s="13">
        <v>0</v>
      </c>
      <c r="BD99" s="13">
        <v>96</v>
      </c>
      <c r="BE99" s="13">
        <v>151</v>
      </c>
      <c r="BF99" s="17">
        <v>138.86931229999999</v>
      </c>
      <c r="BH99" s="36">
        <v>6.2079403658291401</v>
      </c>
      <c r="BI99" s="36">
        <v>0.67205882352941104</v>
      </c>
      <c r="BJ99" s="36"/>
      <c r="BQ99" s="13">
        <f t="shared" si="7"/>
        <v>-8.0335680132450413</v>
      </c>
      <c r="BR99" s="36">
        <v>0.147060665371197</v>
      </c>
      <c r="BS99" s="13">
        <v>0.39002740103133998</v>
      </c>
      <c r="BT99" s="13">
        <v>0.77885059167055937</v>
      </c>
      <c r="BU99" s="13">
        <v>1074</v>
      </c>
      <c r="BV99" s="13">
        <v>8.9359832278296265E-3</v>
      </c>
      <c r="BW99" s="13">
        <v>1</v>
      </c>
    </row>
    <row r="100" spans="1:75">
      <c r="A100" s="13">
        <v>97</v>
      </c>
      <c r="B100" s="13">
        <v>136</v>
      </c>
      <c r="C100" s="17">
        <v>104.99412770000001</v>
      </c>
      <c r="E100" s="36">
        <v>15.111257673366801</v>
      </c>
      <c r="F100" s="36">
        <v>0.70735294117646996</v>
      </c>
      <c r="G100" s="36"/>
      <c r="M100" s="13">
        <f t="shared" si="4"/>
        <v>-22.798435514705872</v>
      </c>
      <c r="O100" s="13">
        <v>97</v>
      </c>
      <c r="P100" s="13">
        <v>136</v>
      </c>
      <c r="Q100" s="17">
        <v>102.16636130000001</v>
      </c>
      <c r="S100" s="36">
        <v>19.236444570351701</v>
      </c>
      <c r="T100" s="36">
        <v>0.70588235294117596</v>
      </c>
      <c r="U100" s="36"/>
      <c r="AA100" s="13">
        <f t="shared" si="5"/>
        <v>-24.877675514705878</v>
      </c>
      <c r="AB100" s="36">
        <v>0.34335336709319397</v>
      </c>
      <c r="AC100" s="23">
        <v>0.61241127003505269</v>
      </c>
      <c r="AD100" s="23">
        <v>0.93264736466818743</v>
      </c>
      <c r="AE100" s="23">
        <v>218</v>
      </c>
      <c r="AF100" s="23">
        <v>1.5103070146335766E-4</v>
      </c>
      <c r="AG100" s="23">
        <v>1</v>
      </c>
      <c r="AI100" s="13">
        <v>97</v>
      </c>
      <c r="AJ100" s="13">
        <v>136</v>
      </c>
      <c r="AK100" s="17">
        <v>129.6168255</v>
      </c>
      <c r="AM100" s="36">
        <v>3.1152766603014999</v>
      </c>
      <c r="AN100" s="36">
        <v>0.66323529411764703</v>
      </c>
      <c r="AO100" s="36"/>
      <c r="AV100" s="13">
        <f t="shared" si="6"/>
        <v>-4.6935106617646998</v>
      </c>
      <c r="AW100" s="36">
        <v>6.8615577785862206E-2</v>
      </c>
      <c r="AX100" s="13">
        <v>0.52581836539362792</v>
      </c>
      <c r="AY100" s="13">
        <v>0.81316893738966367</v>
      </c>
      <c r="AZ100" s="13">
        <v>1564</v>
      </c>
      <c r="BA100" s="13">
        <v>8.2708329768444236E-3</v>
      </c>
      <c r="BB100" s="13">
        <v>1</v>
      </c>
      <c r="BD100" s="13">
        <v>97</v>
      </c>
      <c r="BE100" s="13">
        <v>136</v>
      </c>
      <c r="BF100" s="17">
        <v>123.3207941</v>
      </c>
      <c r="BH100" s="36">
        <v>6.27848514271356</v>
      </c>
      <c r="BI100" s="36">
        <v>0.67205882352941104</v>
      </c>
      <c r="BJ100" s="36"/>
      <c r="BQ100" s="13">
        <f t="shared" si="7"/>
        <v>-9.3229455147058822</v>
      </c>
      <c r="BR100" s="36">
        <v>0.14566648166313501</v>
      </c>
      <c r="BS100" s="13">
        <v>0.2682796246878773</v>
      </c>
      <c r="BT100" s="13">
        <v>0.52377195809490906</v>
      </c>
      <c r="BU100" s="13">
        <v>418</v>
      </c>
      <c r="BV100" s="13">
        <v>1.1849812300357392E-4</v>
      </c>
      <c r="BW100" s="13">
        <v>1</v>
      </c>
    </row>
    <row r="101" spans="1:75">
      <c r="A101" s="13">
        <v>98</v>
      </c>
      <c r="B101" s="13">
        <v>180</v>
      </c>
      <c r="C101" s="17">
        <v>188.5923995</v>
      </c>
      <c r="E101" s="36">
        <v>15.281047085427099</v>
      </c>
      <c r="F101" s="36">
        <v>0.70882352941176396</v>
      </c>
      <c r="G101" s="36"/>
      <c r="M101" s="13">
        <f t="shared" si="4"/>
        <v>4.7735552777777857</v>
      </c>
      <c r="O101" s="13">
        <v>98</v>
      </c>
      <c r="P101" s="13">
        <v>180</v>
      </c>
      <c r="Q101" s="17">
        <v>181.52556519999999</v>
      </c>
      <c r="S101" s="36">
        <v>19.4525843969849</v>
      </c>
      <c r="T101" s="36">
        <v>0.70735294117646996</v>
      </c>
      <c r="U101" s="36"/>
      <c r="AA101" s="13">
        <f t="shared" si="5"/>
        <v>0.84753622222222269</v>
      </c>
      <c r="AB101" s="36">
        <v>0.34335336709319397</v>
      </c>
      <c r="AC101" s="23">
        <v>0.74443514373878894</v>
      </c>
      <c r="AD101" s="23">
        <v>0.86477154680201174</v>
      </c>
      <c r="AE101" s="23">
        <v>200</v>
      </c>
      <c r="AF101" s="23">
        <v>7.5896809573962624E-4</v>
      </c>
      <c r="AG101" s="23">
        <v>1</v>
      </c>
      <c r="AI101" s="13">
        <v>98</v>
      </c>
      <c r="AJ101" s="13">
        <v>180</v>
      </c>
      <c r="AK101" s="17">
        <v>181.87447990000001</v>
      </c>
      <c r="AM101" s="36">
        <v>3.1502797688442201</v>
      </c>
      <c r="AN101" s="36">
        <v>0.66323529411764703</v>
      </c>
      <c r="AO101" s="36"/>
      <c r="AV101" s="13">
        <f t="shared" si="6"/>
        <v>1.0413777222222365</v>
      </c>
      <c r="AW101" s="36">
        <v>6.8615577785862206E-2</v>
      </c>
      <c r="AX101" s="13">
        <v>0.80409838869509975</v>
      </c>
      <c r="AY101" s="13">
        <v>0.91735084683126111</v>
      </c>
      <c r="AZ101" s="13">
        <v>948</v>
      </c>
      <c r="BA101" s="13">
        <v>8.9214111274630893E-3</v>
      </c>
      <c r="BB101" s="13">
        <v>0</v>
      </c>
      <c r="BD101" s="13">
        <v>98</v>
      </c>
      <c r="BE101" s="13">
        <v>180</v>
      </c>
      <c r="BF101" s="17">
        <v>182.97236359999999</v>
      </c>
      <c r="BH101" s="36">
        <v>6.3490299195979798</v>
      </c>
      <c r="BI101" s="36">
        <v>0.67205882352941104</v>
      </c>
      <c r="BJ101" s="36"/>
      <c r="BQ101" s="13">
        <f t="shared" si="7"/>
        <v>1.6513131111111079</v>
      </c>
      <c r="BR101" s="36">
        <v>0.14566648166313501</v>
      </c>
      <c r="BS101" s="13">
        <v>0.65864055339352578</v>
      </c>
      <c r="BT101" s="13">
        <v>0.7705708313877575</v>
      </c>
      <c r="BU101" s="13">
        <v>1322</v>
      </c>
      <c r="BV101" s="13">
        <v>1.9250267871022337E-3</v>
      </c>
      <c r="BW101" s="13">
        <v>1</v>
      </c>
    </row>
    <row r="102" spans="1:75">
      <c r="A102" s="13">
        <v>99</v>
      </c>
      <c r="B102" s="13">
        <v>16</v>
      </c>
      <c r="C102" s="17">
        <v>17.14326707</v>
      </c>
      <c r="E102" s="36">
        <v>15.4508364974874</v>
      </c>
      <c r="F102" s="36">
        <v>0.70882352941176396</v>
      </c>
      <c r="G102" s="36"/>
      <c r="M102" s="13">
        <f t="shared" ref="M102:M165" si="8">((C102/B102)-1)*100</f>
        <v>7.1454191875000017</v>
      </c>
      <c r="O102" s="13">
        <v>99</v>
      </c>
      <c r="P102" s="13">
        <v>16</v>
      </c>
      <c r="Q102" s="17">
        <v>21.597780029999999</v>
      </c>
      <c r="S102" s="36">
        <v>19.668724223618</v>
      </c>
      <c r="T102" s="36">
        <v>0.70735294117646996</v>
      </c>
      <c r="U102" s="36"/>
      <c r="AA102" s="13">
        <f t="shared" si="5"/>
        <v>34.986125187499994</v>
      </c>
      <c r="AB102" s="36">
        <v>0.34335336709319397</v>
      </c>
      <c r="AC102" s="23">
        <v>0.60253226548798866</v>
      </c>
      <c r="AD102" s="23">
        <v>0.50469323689040368</v>
      </c>
      <c r="AE102" s="23">
        <v>1135</v>
      </c>
      <c r="AF102" s="23">
        <v>1.6261393549295595E-3</v>
      </c>
      <c r="AG102" s="23">
        <v>1</v>
      </c>
      <c r="AI102" s="13">
        <v>99</v>
      </c>
      <c r="AJ102" s="13">
        <v>16</v>
      </c>
      <c r="AK102" s="17">
        <v>16.227533409999999</v>
      </c>
      <c r="AM102" s="36">
        <v>3.1852828773869302</v>
      </c>
      <c r="AN102" s="36">
        <v>0.66323529411764703</v>
      </c>
      <c r="AO102" s="36"/>
      <c r="AV102" s="13">
        <f t="shared" si="6"/>
        <v>1.4220838124999968</v>
      </c>
      <c r="AW102" s="36">
        <v>6.80447777383731E-2</v>
      </c>
      <c r="AX102" s="13">
        <v>0.47636937894220305</v>
      </c>
      <c r="AY102" s="13">
        <v>0.77685508457740704</v>
      </c>
      <c r="AZ102" s="13">
        <v>1218</v>
      </c>
      <c r="BA102" s="13">
        <v>1.253970955703635E-3</v>
      </c>
      <c r="BB102" s="13">
        <v>1</v>
      </c>
      <c r="BD102" s="13">
        <v>99</v>
      </c>
      <c r="BE102" s="13">
        <v>16</v>
      </c>
      <c r="BF102" s="17">
        <v>15.87458857</v>
      </c>
      <c r="BH102" s="36">
        <v>6.4195746964823996</v>
      </c>
      <c r="BI102" s="36">
        <v>0.67205882352941104</v>
      </c>
      <c r="BJ102" s="36"/>
      <c r="BQ102" s="13">
        <f t="shared" si="7"/>
        <v>-0.78382143749999855</v>
      </c>
      <c r="BR102" s="36">
        <v>0.14566648166313501</v>
      </c>
      <c r="BS102" s="13">
        <v>0.45631418947881974</v>
      </c>
      <c r="BT102" s="13">
        <v>0.52704740503343894</v>
      </c>
      <c r="BU102" s="13">
        <v>195</v>
      </c>
      <c r="BV102" s="13">
        <v>8.9949657883846568E-3</v>
      </c>
      <c r="BW102" s="13">
        <v>1</v>
      </c>
    </row>
    <row r="103" spans="1:75">
      <c r="A103" s="13">
        <v>100</v>
      </c>
      <c r="B103" s="13">
        <v>23</v>
      </c>
      <c r="C103" s="17">
        <v>24.907062610000001</v>
      </c>
      <c r="E103" s="36">
        <v>15.6206259095477</v>
      </c>
      <c r="F103" s="36">
        <v>0.70882352941176396</v>
      </c>
      <c r="G103" s="36"/>
      <c r="M103" s="13">
        <f t="shared" si="8"/>
        <v>8.2915765652173956</v>
      </c>
      <c r="O103" s="13">
        <v>100</v>
      </c>
      <c r="P103" s="13">
        <v>23</v>
      </c>
      <c r="Q103" s="17">
        <v>25.680513179999998</v>
      </c>
      <c r="S103" s="36">
        <v>19.884864050251199</v>
      </c>
      <c r="T103" s="36">
        <v>0.70882352941176396</v>
      </c>
      <c r="U103" s="36"/>
      <c r="AA103" s="13">
        <f t="shared" si="5"/>
        <v>11.654405130434785</v>
      </c>
      <c r="AB103" s="36">
        <v>0.34335336709319397</v>
      </c>
      <c r="AC103" s="23">
        <v>0.77552197846347759</v>
      </c>
      <c r="AD103" s="23">
        <v>0.81007135282044318</v>
      </c>
      <c r="AE103" s="23">
        <v>212</v>
      </c>
      <c r="AF103" s="23">
        <v>7.8891839377105283E-3</v>
      </c>
      <c r="AG103" s="23">
        <v>1</v>
      </c>
      <c r="AI103" s="13">
        <v>100</v>
      </c>
      <c r="AJ103" s="13">
        <v>23</v>
      </c>
      <c r="AK103" s="17">
        <v>23.382972519999999</v>
      </c>
      <c r="AM103" s="36">
        <v>3.2202859859296402</v>
      </c>
      <c r="AN103" s="36">
        <v>0.66323529411764703</v>
      </c>
      <c r="AO103" s="36"/>
      <c r="AV103" s="13">
        <f t="shared" si="6"/>
        <v>1.6650979130434784</v>
      </c>
      <c r="AW103" s="36">
        <v>6.80447777383731E-2</v>
      </c>
      <c r="AX103" s="13">
        <v>0.21851806614034286</v>
      </c>
      <c r="AY103" s="13">
        <v>0.64821252735040569</v>
      </c>
      <c r="AZ103" s="13">
        <v>1988</v>
      </c>
      <c r="BA103" s="13">
        <v>3.9551268555419386E-4</v>
      </c>
      <c r="BB103" s="13">
        <v>1</v>
      </c>
      <c r="BD103" s="13">
        <v>100</v>
      </c>
      <c r="BE103" s="13">
        <v>23</v>
      </c>
      <c r="BF103" s="17">
        <v>23.222542390000001</v>
      </c>
      <c r="BH103" s="36">
        <v>6.4901194733668301</v>
      </c>
      <c r="BI103" s="36">
        <v>0.67205882352941104</v>
      </c>
      <c r="BJ103" s="36"/>
      <c r="BQ103" s="13">
        <f t="shared" si="7"/>
        <v>0.96757560869564774</v>
      </c>
      <c r="BR103" s="36">
        <v>0.14566648166313501</v>
      </c>
      <c r="BS103" s="13">
        <v>0.98005151939987667</v>
      </c>
      <c r="BT103" s="13">
        <v>0.93277287977716861</v>
      </c>
      <c r="BU103" s="13">
        <v>706</v>
      </c>
      <c r="BV103" s="13">
        <v>9.4960141491859055E-3</v>
      </c>
      <c r="BW103" s="13">
        <v>0</v>
      </c>
    </row>
    <row r="104" spans="1:75">
      <c r="A104" s="13">
        <v>101</v>
      </c>
      <c r="B104" s="13">
        <v>77</v>
      </c>
      <c r="C104" s="17">
        <v>87.571623450000004</v>
      </c>
      <c r="E104" s="36">
        <v>15.790415321608</v>
      </c>
      <c r="F104" s="36">
        <v>0.70882352941176396</v>
      </c>
      <c r="G104" s="36"/>
      <c r="M104" s="13">
        <f t="shared" si="8"/>
        <v>13.729381103896099</v>
      </c>
      <c r="O104" s="13">
        <v>101</v>
      </c>
      <c r="P104" s="13">
        <v>77</v>
      </c>
      <c r="Q104" s="17">
        <v>79.46231444</v>
      </c>
      <c r="S104" s="36">
        <v>20.101003876884398</v>
      </c>
      <c r="T104" s="36">
        <v>0.70882352941176396</v>
      </c>
      <c r="U104" s="36"/>
      <c r="AA104" s="13">
        <f t="shared" si="5"/>
        <v>3.1978109610389716</v>
      </c>
      <c r="AB104" s="36">
        <v>0.33850634544076402</v>
      </c>
      <c r="AC104" s="23">
        <v>0.81640619770970124</v>
      </c>
      <c r="AD104" s="23">
        <v>0.20551634619544271</v>
      </c>
      <c r="AE104" s="23">
        <v>1647</v>
      </c>
      <c r="AF104" s="23">
        <v>9.5711052349852638E-3</v>
      </c>
      <c r="AG104" s="23">
        <v>0</v>
      </c>
      <c r="AI104" s="13">
        <v>101</v>
      </c>
      <c r="AJ104" s="13">
        <v>77</v>
      </c>
      <c r="AK104" s="17">
        <v>78.962324690000003</v>
      </c>
      <c r="AM104" s="36">
        <v>3.25528909447236</v>
      </c>
      <c r="AN104" s="36">
        <v>0.66323529411764703</v>
      </c>
      <c r="AO104" s="36"/>
      <c r="AV104" s="13">
        <f t="shared" si="6"/>
        <v>2.5484736233766236</v>
      </c>
      <c r="AW104" s="36">
        <v>6.80447777383731E-2</v>
      </c>
      <c r="AX104" s="13">
        <v>0.27657380768308581</v>
      </c>
      <c r="AY104" s="13">
        <v>0.26467211070023283</v>
      </c>
      <c r="AZ104" s="13">
        <v>210</v>
      </c>
      <c r="BA104" s="13">
        <v>5.6804420878131499E-3</v>
      </c>
      <c r="BB104" s="13">
        <v>0</v>
      </c>
      <c r="BD104" s="13">
        <v>101</v>
      </c>
      <c r="BE104" s="13">
        <v>77</v>
      </c>
      <c r="BF104" s="17">
        <v>80.569150629999996</v>
      </c>
      <c r="BH104" s="36">
        <v>6.56066425025125</v>
      </c>
      <c r="BI104" s="36">
        <v>0.67205882352941104</v>
      </c>
      <c r="BJ104" s="36"/>
      <c r="BQ104" s="13">
        <f t="shared" si="7"/>
        <v>4.6352605584415452</v>
      </c>
      <c r="BR104" s="36">
        <v>0.14566648166313501</v>
      </c>
      <c r="BS104" s="13">
        <v>0.75877541924527958</v>
      </c>
      <c r="BT104" s="13">
        <v>7.6096155685833167E-2</v>
      </c>
      <c r="BU104" s="13">
        <v>1620</v>
      </c>
      <c r="BV104" s="13">
        <v>4.6848969887380758E-3</v>
      </c>
      <c r="BW104" s="13">
        <v>0</v>
      </c>
    </row>
    <row r="105" spans="1:75">
      <c r="A105" s="13">
        <v>102</v>
      </c>
      <c r="B105" s="13">
        <v>160</v>
      </c>
      <c r="C105" s="17">
        <v>129.70513639999999</v>
      </c>
      <c r="E105" s="36">
        <v>15.9602047336683</v>
      </c>
      <c r="F105" s="36">
        <v>0.70882352941176396</v>
      </c>
      <c r="G105" s="36"/>
      <c r="M105" s="13">
        <f t="shared" si="8"/>
        <v>-18.934289750000012</v>
      </c>
      <c r="O105" s="13">
        <v>102</v>
      </c>
      <c r="P105" s="13">
        <v>160</v>
      </c>
      <c r="Q105" s="17">
        <v>126.1669845</v>
      </c>
      <c r="S105" s="36">
        <v>20.317143703517502</v>
      </c>
      <c r="T105" s="36">
        <v>0.71029411764705797</v>
      </c>
      <c r="U105" s="36"/>
      <c r="AA105" s="13">
        <f t="shared" si="5"/>
        <v>-21.145634687500003</v>
      </c>
      <c r="AB105" s="36">
        <v>0.33850634544076402</v>
      </c>
      <c r="AC105" s="23">
        <v>0.8595775483528767</v>
      </c>
      <c r="AD105" s="23">
        <v>0.2001416200634473</v>
      </c>
      <c r="AE105" s="23">
        <v>372</v>
      </c>
      <c r="AF105" s="23">
        <v>7.6438114786264862E-4</v>
      </c>
      <c r="AG105" s="23">
        <v>0</v>
      </c>
      <c r="AI105" s="13">
        <v>102</v>
      </c>
      <c r="AJ105" s="13">
        <v>160</v>
      </c>
      <c r="AK105" s="17">
        <v>153.56902729999999</v>
      </c>
      <c r="AM105" s="36">
        <v>3.2902922030150701</v>
      </c>
      <c r="AN105" s="36">
        <v>0.66323529411764703</v>
      </c>
      <c r="AO105" s="36"/>
      <c r="AV105" s="13">
        <f t="shared" si="6"/>
        <v>-4.0193579375000121</v>
      </c>
      <c r="AW105" s="36">
        <v>6.80447777383731E-2</v>
      </c>
      <c r="AX105" s="13">
        <v>0.99585654224811226</v>
      </c>
      <c r="AY105" s="13">
        <v>0.20503104479125123</v>
      </c>
      <c r="AZ105" s="13">
        <v>1703</v>
      </c>
      <c r="BA105" s="13">
        <v>7.8744801798066226E-4</v>
      </c>
      <c r="BB105" s="13">
        <v>1</v>
      </c>
      <c r="BD105" s="13">
        <v>102</v>
      </c>
      <c r="BE105" s="13">
        <v>160</v>
      </c>
      <c r="BF105" s="17">
        <v>147.31563969999999</v>
      </c>
      <c r="BH105" s="36">
        <v>6.6312090271356698</v>
      </c>
      <c r="BI105" s="36">
        <v>0.67205882352941104</v>
      </c>
      <c r="BJ105" s="36"/>
      <c r="BQ105" s="13">
        <f t="shared" si="7"/>
        <v>-7.927725187500001</v>
      </c>
      <c r="BR105" s="36">
        <v>0.14566648166313501</v>
      </c>
      <c r="BS105" s="13">
        <v>0.85030919327159982</v>
      </c>
      <c r="BT105" s="13">
        <v>0.94619922681418123</v>
      </c>
      <c r="BU105" s="13">
        <v>868</v>
      </c>
      <c r="BV105" s="13">
        <v>4.2297215535138013E-3</v>
      </c>
      <c r="BW105" s="13">
        <v>0</v>
      </c>
    </row>
    <row r="106" spans="1:75">
      <c r="A106" s="13">
        <v>103</v>
      </c>
      <c r="B106" s="13">
        <v>126</v>
      </c>
      <c r="C106" s="17">
        <v>124.80426420000001</v>
      </c>
      <c r="E106" s="36">
        <v>16.129994145728599</v>
      </c>
      <c r="F106" s="36">
        <v>0.70882352941176396</v>
      </c>
      <c r="G106" s="36"/>
      <c r="M106" s="13">
        <f t="shared" si="8"/>
        <v>-0.94899666666665716</v>
      </c>
      <c r="O106" s="13">
        <v>103</v>
      </c>
      <c r="P106" s="13">
        <v>126</v>
      </c>
      <c r="Q106" s="17">
        <v>121.1620798</v>
      </c>
      <c r="S106" s="36">
        <v>20.533283530150701</v>
      </c>
      <c r="T106" s="36">
        <v>0.71029411764705797</v>
      </c>
      <c r="U106" s="36"/>
      <c r="AA106" s="13">
        <f t="shared" si="5"/>
        <v>-3.8396192063492096</v>
      </c>
      <c r="AB106" s="36">
        <v>0.33850634544076402</v>
      </c>
      <c r="AC106" s="23">
        <v>0.6319950542394408</v>
      </c>
      <c r="AD106" s="23">
        <v>0.53140161260629981</v>
      </c>
      <c r="AE106" s="23">
        <v>1836</v>
      </c>
      <c r="AF106" s="23">
        <v>1.8703086932015051E-3</v>
      </c>
      <c r="AG106" s="23">
        <v>0</v>
      </c>
      <c r="AI106" s="13">
        <v>103</v>
      </c>
      <c r="AJ106" s="13">
        <v>126</v>
      </c>
      <c r="AK106" s="17">
        <v>125.7568528</v>
      </c>
      <c r="AM106" s="36">
        <v>3.3252953115577801</v>
      </c>
      <c r="AN106" s="36">
        <v>0.66323529411764703</v>
      </c>
      <c r="AO106" s="36"/>
      <c r="AV106" s="13">
        <f t="shared" si="6"/>
        <v>-0.19297396825396218</v>
      </c>
      <c r="AW106" s="36">
        <v>6.80447777383731E-2</v>
      </c>
      <c r="AX106" s="13">
        <v>0.13106239884770599</v>
      </c>
      <c r="AY106" s="13">
        <v>0.85733236081356412</v>
      </c>
      <c r="AZ106" s="13">
        <v>588</v>
      </c>
      <c r="BA106" s="13">
        <v>1.9732817754507391E-3</v>
      </c>
      <c r="BB106" s="13">
        <v>0</v>
      </c>
      <c r="BD106" s="13">
        <v>103</v>
      </c>
      <c r="BE106" s="13">
        <v>126</v>
      </c>
      <c r="BF106" s="17">
        <v>125.7373276</v>
      </c>
      <c r="BH106" s="36">
        <v>6.7017538040200897</v>
      </c>
      <c r="BI106" s="36">
        <v>0.67352941176470504</v>
      </c>
      <c r="BJ106" s="36"/>
      <c r="BQ106" s="13">
        <f t="shared" si="7"/>
        <v>-0.20847015873015629</v>
      </c>
      <c r="BR106" s="36">
        <v>0.14566648166313501</v>
      </c>
      <c r="BS106" s="13">
        <v>0.50449855013074152</v>
      </c>
      <c r="BT106" s="13">
        <v>0.61806754308454459</v>
      </c>
      <c r="BU106" s="13">
        <v>1490</v>
      </c>
      <c r="BV106" s="13">
        <v>9.2187673860794541E-3</v>
      </c>
      <c r="BW106" s="13">
        <v>1</v>
      </c>
    </row>
    <row r="107" spans="1:75">
      <c r="A107" s="13">
        <v>104</v>
      </c>
      <c r="B107" s="13">
        <v>145</v>
      </c>
      <c r="C107" s="17">
        <v>155.51660949999999</v>
      </c>
      <c r="E107" s="36">
        <v>16.299783557788899</v>
      </c>
      <c r="F107" s="36">
        <v>0.70882352941176396</v>
      </c>
      <c r="G107" s="36"/>
      <c r="M107" s="13">
        <f t="shared" si="8"/>
        <v>7.2528341379310302</v>
      </c>
      <c r="O107" s="13">
        <v>104</v>
      </c>
      <c r="P107" s="13">
        <v>145</v>
      </c>
      <c r="Q107" s="17">
        <v>149.00084480000001</v>
      </c>
      <c r="S107" s="36">
        <v>20.7494233567839</v>
      </c>
      <c r="T107" s="36">
        <v>0.71176470588235297</v>
      </c>
      <c r="U107" s="36"/>
      <c r="AA107" s="13">
        <f t="shared" si="5"/>
        <v>2.7592033103448266</v>
      </c>
      <c r="AB107" s="36">
        <v>0.33850634544076402</v>
      </c>
      <c r="AC107" s="23">
        <v>0.6392785123254825</v>
      </c>
      <c r="AD107" s="23">
        <v>0.7800454944805324</v>
      </c>
      <c r="AE107" s="23">
        <v>1004</v>
      </c>
      <c r="AF107" s="23">
        <v>8.3645742060870047E-3</v>
      </c>
      <c r="AG107" s="23">
        <v>0</v>
      </c>
      <c r="AI107" s="13">
        <v>104</v>
      </c>
      <c r="AJ107" s="13">
        <v>145</v>
      </c>
      <c r="AK107" s="17">
        <v>147.19132189999999</v>
      </c>
      <c r="AM107" s="36">
        <v>3.3602984201004999</v>
      </c>
      <c r="AN107" s="36">
        <v>0.66323529411764703</v>
      </c>
      <c r="AO107" s="36"/>
      <c r="AV107" s="13">
        <f t="shared" si="6"/>
        <v>1.511256482758605</v>
      </c>
      <c r="AW107" s="36">
        <v>6.80447777383731E-2</v>
      </c>
      <c r="AX107" s="13">
        <v>0.22889950251001273</v>
      </c>
      <c r="AY107" s="13">
        <v>1.300759809139858E-2</v>
      </c>
      <c r="AZ107" s="13">
        <v>1559</v>
      </c>
      <c r="BA107" s="13">
        <v>8.562496266925736E-3</v>
      </c>
      <c r="BB107" s="13">
        <v>0</v>
      </c>
      <c r="BD107" s="13">
        <v>104</v>
      </c>
      <c r="BE107" s="13">
        <v>145</v>
      </c>
      <c r="BF107" s="17">
        <v>149.1673289</v>
      </c>
      <c r="BH107" s="36">
        <v>6.7722985809045104</v>
      </c>
      <c r="BI107" s="36">
        <v>0.67352941176470504</v>
      </c>
      <c r="BJ107" s="36"/>
      <c r="BQ107" s="13">
        <f t="shared" si="7"/>
        <v>2.8740199310344883</v>
      </c>
      <c r="BR107" s="36">
        <v>0.14566648166313501</v>
      </c>
      <c r="BS107" s="13">
        <v>0.42320183306061898</v>
      </c>
      <c r="BT107" s="13">
        <v>0.61212065722725006</v>
      </c>
      <c r="BU107" s="13">
        <v>534</v>
      </c>
      <c r="BV107" s="13">
        <v>1.9856416400179577E-3</v>
      </c>
      <c r="BW107" s="13">
        <v>1</v>
      </c>
    </row>
    <row r="108" spans="1:75">
      <c r="A108" s="13">
        <v>105</v>
      </c>
      <c r="B108" s="13">
        <v>173</v>
      </c>
      <c r="C108" s="17">
        <v>183.85146130000001</v>
      </c>
      <c r="E108" s="36">
        <v>16.469572969849199</v>
      </c>
      <c r="F108" s="36">
        <v>0.70882352941176396</v>
      </c>
      <c r="G108" s="36"/>
      <c r="M108" s="13">
        <f t="shared" si="8"/>
        <v>6.2725209826589579</v>
      </c>
      <c r="O108" s="13">
        <v>105</v>
      </c>
      <c r="P108" s="13">
        <v>173</v>
      </c>
      <c r="Q108" s="17">
        <v>182.8279905</v>
      </c>
      <c r="S108" s="36">
        <v>20.965563183417</v>
      </c>
      <c r="T108" s="36">
        <v>0.71176470588235297</v>
      </c>
      <c r="U108" s="36"/>
      <c r="AA108" s="13">
        <f t="shared" si="5"/>
        <v>5.6809193641618405</v>
      </c>
      <c r="AB108" s="36">
        <v>0.33850634544076402</v>
      </c>
      <c r="AC108" s="23">
        <v>0.64790190669378156</v>
      </c>
      <c r="AD108" s="23">
        <v>0.25188066162999145</v>
      </c>
      <c r="AE108" s="23">
        <v>967</v>
      </c>
      <c r="AF108" s="23">
        <v>9.2676808259765861E-3</v>
      </c>
      <c r="AG108" s="23">
        <v>0</v>
      </c>
      <c r="AI108" s="13">
        <v>105</v>
      </c>
      <c r="AJ108" s="13">
        <v>173</v>
      </c>
      <c r="AK108" s="17">
        <v>175.33829230000001</v>
      </c>
      <c r="AM108" s="36">
        <v>3.39530152864321</v>
      </c>
      <c r="AN108" s="36">
        <v>0.66323529411764703</v>
      </c>
      <c r="AO108" s="36"/>
      <c r="AV108" s="13">
        <f t="shared" si="6"/>
        <v>1.3516140462427773</v>
      </c>
      <c r="AW108" s="36">
        <v>6.80447777383731E-2</v>
      </c>
      <c r="AX108" s="13">
        <v>0.72253148049036542</v>
      </c>
      <c r="AY108" s="13">
        <v>0.42123950218525891</v>
      </c>
      <c r="AZ108" s="13">
        <v>1477</v>
      </c>
      <c r="BA108" s="13">
        <v>9.909422676578317E-3</v>
      </c>
      <c r="BB108" s="13">
        <v>0</v>
      </c>
      <c r="BD108" s="13">
        <v>105</v>
      </c>
      <c r="BE108" s="13">
        <v>173</v>
      </c>
      <c r="BF108" s="17">
        <v>176.9360389</v>
      </c>
      <c r="BH108" s="36">
        <v>6.84284335778894</v>
      </c>
      <c r="BI108" s="36">
        <v>0.67352941176470504</v>
      </c>
      <c r="BJ108" s="36"/>
      <c r="BQ108" s="13">
        <f t="shared" si="7"/>
        <v>2.2751669942196573</v>
      </c>
      <c r="BR108" s="36">
        <v>0.14566648166313501</v>
      </c>
      <c r="BS108" s="13">
        <v>0.3920243744177615</v>
      </c>
      <c r="BT108" s="13">
        <v>0.53346532156104076</v>
      </c>
      <c r="BU108" s="13">
        <v>1685</v>
      </c>
      <c r="BV108" s="13">
        <v>8.0751632864299733E-3</v>
      </c>
      <c r="BW108" s="13">
        <v>0</v>
      </c>
    </row>
    <row r="109" spans="1:75">
      <c r="A109" s="13">
        <v>106</v>
      </c>
      <c r="B109" s="13">
        <v>68</v>
      </c>
      <c r="C109" s="17">
        <v>79.486049100000002</v>
      </c>
      <c r="E109" s="36">
        <v>16.6393623819095</v>
      </c>
      <c r="F109" s="36">
        <v>0.71029411764705797</v>
      </c>
      <c r="G109" s="36"/>
      <c r="M109" s="13">
        <f t="shared" si="8"/>
        <v>16.891248676470582</v>
      </c>
      <c r="O109" s="13">
        <v>106</v>
      </c>
      <c r="P109" s="13">
        <v>68</v>
      </c>
      <c r="Q109" s="17">
        <v>80.593405239999996</v>
      </c>
      <c r="S109" s="36">
        <v>21.1817030100502</v>
      </c>
      <c r="T109" s="36">
        <v>0.71176470588235297</v>
      </c>
      <c r="U109" s="36"/>
      <c r="AA109" s="13">
        <f t="shared" si="5"/>
        <v>18.519713588235298</v>
      </c>
      <c r="AB109" s="36">
        <v>0.33850634544076402</v>
      </c>
      <c r="AC109" s="23">
        <v>0.97306412406997667</v>
      </c>
      <c r="AD109" s="23">
        <v>0.24968318639869169</v>
      </c>
      <c r="AE109" s="23">
        <v>1468</v>
      </c>
      <c r="AF109" s="23">
        <v>4.8238380464815569E-3</v>
      </c>
      <c r="AG109" s="23">
        <v>0</v>
      </c>
      <c r="AI109" s="13">
        <v>106</v>
      </c>
      <c r="AJ109" s="13">
        <v>68</v>
      </c>
      <c r="AK109" s="17">
        <v>70.051209819999997</v>
      </c>
      <c r="AM109" s="36">
        <v>3.43030463718592</v>
      </c>
      <c r="AN109" s="36">
        <v>0.66323529411764703</v>
      </c>
      <c r="AO109" s="36"/>
      <c r="AV109" s="13">
        <f t="shared" si="6"/>
        <v>3.016485029411764</v>
      </c>
      <c r="AW109" s="36">
        <v>6.80447777383731E-2</v>
      </c>
      <c r="AX109" s="13">
        <v>0.88889522391854503</v>
      </c>
      <c r="AY109" s="13">
        <v>0.95977671171015155</v>
      </c>
      <c r="AZ109" s="13">
        <v>1571</v>
      </c>
      <c r="BA109" s="13">
        <v>8.4134040023546124E-3</v>
      </c>
      <c r="BB109" s="13">
        <v>1</v>
      </c>
      <c r="BD109" s="13">
        <v>106</v>
      </c>
      <c r="BE109" s="13">
        <v>68</v>
      </c>
      <c r="BF109" s="17">
        <v>72.773967510000006</v>
      </c>
      <c r="BH109" s="36">
        <v>6.9133881346733599</v>
      </c>
      <c r="BI109" s="36">
        <v>0.67352941176470504</v>
      </c>
      <c r="BJ109" s="36"/>
      <c r="BQ109" s="13">
        <f t="shared" si="7"/>
        <v>7.0205404558823625</v>
      </c>
      <c r="BR109" s="36">
        <v>0.14566648166313501</v>
      </c>
      <c r="BS109" s="13">
        <v>3.6319801550030263E-2</v>
      </c>
      <c r="BT109" s="13">
        <v>0.95596104837885998</v>
      </c>
      <c r="BU109" s="13">
        <v>1447</v>
      </c>
      <c r="BV109" s="13">
        <v>3.8422098374465231E-4</v>
      </c>
      <c r="BW109" s="13">
        <v>0</v>
      </c>
    </row>
    <row r="110" spans="1:75">
      <c r="A110" s="13">
        <v>107</v>
      </c>
      <c r="B110" s="13">
        <v>59</v>
      </c>
      <c r="C110" s="17">
        <v>87.737786976725701</v>
      </c>
      <c r="E110" s="36">
        <v>16.8091517939698</v>
      </c>
      <c r="F110" s="36">
        <v>0.71029411764705797</v>
      </c>
      <c r="G110" s="36"/>
      <c r="M110" s="13">
        <f t="shared" si="8"/>
        <v>48.708113519874075</v>
      </c>
      <c r="O110" s="13">
        <v>107</v>
      </c>
      <c r="P110" s="13">
        <v>59</v>
      </c>
      <c r="Q110" s="17">
        <v>44.629099317889398</v>
      </c>
      <c r="S110" s="36">
        <v>21.397842836683399</v>
      </c>
      <c r="T110" s="36">
        <v>0.71470588235294097</v>
      </c>
      <c r="U110" s="36"/>
      <c r="AA110" s="13">
        <f t="shared" si="5"/>
        <v>-24.357458783238307</v>
      </c>
      <c r="AB110" s="36">
        <v>0.33505227551543698</v>
      </c>
      <c r="AC110" s="23">
        <v>0.58904967403771014</v>
      </c>
      <c r="AD110" s="23">
        <v>0.12199470806188714</v>
      </c>
      <c r="AE110" s="23">
        <v>1650</v>
      </c>
      <c r="AF110" s="23">
        <v>4.7360274031081851E-3</v>
      </c>
      <c r="AG110" s="23">
        <v>0</v>
      </c>
      <c r="AI110" s="13">
        <v>107</v>
      </c>
      <c r="AJ110" s="13">
        <v>59</v>
      </c>
      <c r="AK110" s="17">
        <v>53.123115130000002</v>
      </c>
      <c r="AM110" s="36">
        <v>3.4653077457286399</v>
      </c>
      <c r="AN110" s="36">
        <v>0.66323529411764703</v>
      </c>
      <c r="AO110" s="36"/>
      <c r="AV110" s="13">
        <f t="shared" si="6"/>
        <v>-9.960821813559317</v>
      </c>
      <c r="AW110" s="36">
        <v>6.80447777383731E-2</v>
      </c>
      <c r="AX110" s="13">
        <v>0.56451300252058045</v>
      </c>
      <c r="AY110" s="13">
        <v>0.65632795874618755</v>
      </c>
      <c r="AZ110" s="13">
        <v>1542</v>
      </c>
      <c r="BA110" s="13">
        <v>7.6841064943290686E-3</v>
      </c>
      <c r="BB110" s="13">
        <v>0</v>
      </c>
      <c r="BD110" s="13">
        <v>107</v>
      </c>
      <c r="BE110" s="13">
        <v>59</v>
      </c>
      <c r="BF110" s="17">
        <v>46.204333949999999</v>
      </c>
      <c r="BH110" s="36">
        <v>6.9839329115577797</v>
      </c>
      <c r="BI110" s="36">
        <v>0.67352941176470504</v>
      </c>
      <c r="BJ110" s="36"/>
      <c r="BQ110" s="13">
        <f t="shared" si="7"/>
        <v>-21.687569576271194</v>
      </c>
      <c r="BR110" s="36">
        <v>0.13989023988075</v>
      </c>
      <c r="BS110" s="13">
        <v>0.87822041652770388</v>
      </c>
      <c r="BT110" s="13">
        <v>0.52586487473611343</v>
      </c>
      <c r="BU110" s="13">
        <v>1097</v>
      </c>
      <c r="BV110" s="13">
        <v>1.9466407823957692E-3</v>
      </c>
      <c r="BW110" s="13">
        <v>0</v>
      </c>
    </row>
    <row r="111" spans="1:75">
      <c r="A111" s="13">
        <v>108</v>
      </c>
      <c r="B111" s="13">
        <v>191</v>
      </c>
      <c r="C111" s="17">
        <v>190.77135799999999</v>
      </c>
      <c r="E111" s="36">
        <v>16.9789412060301</v>
      </c>
      <c r="F111" s="36">
        <v>0.71176470588235297</v>
      </c>
      <c r="G111" s="36"/>
      <c r="M111" s="13">
        <f t="shared" si="8"/>
        <v>-0.11970785340315038</v>
      </c>
      <c r="O111" s="13">
        <v>108</v>
      </c>
      <c r="P111" s="13">
        <v>191</v>
      </c>
      <c r="Q111" s="17">
        <v>185.72444350000001</v>
      </c>
      <c r="S111" s="36">
        <v>21.613982663316499</v>
      </c>
      <c r="T111" s="36">
        <v>0.71470588235294097</v>
      </c>
      <c r="U111" s="36"/>
      <c r="AA111" s="13">
        <f t="shared" si="5"/>
        <v>-2.7620714659685852</v>
      </c>
      <c r="AB111" s="36">
        <v>0.33505227551543698</v>
      </c>
      <c r="AC111" s="23">
        <v>0.91902785296318135</v>
      </c>
      <c r="AD111" s="23">
        <v>0.39988321379769737</v>
      </c>
      <c r="AE111" s="23">
        <v>942</v>
      </c>
      <c r="AF111" s="23">
        <v>6.1339445055044687E-3</v>
      </c>
      <c r="AG111" s="23">
        <v>0</v>
      </c>
      <c r="AI111" s="13">
        <v>108</v>
      </c>
      <c r="AJ111" s="13">
        <v>191</v>
      </c>
      <c r="AK111" s="17">
        <v>191.1742716</v>
      </c>
      <c r="AM111" s="36">
        <v>3.5003108542713499</v>
      </c>
      <c r="AN111" s="36">
        <v>0.66323529411764703</v>
      </c>
      <c r="AO111" s="36"/>
      <c r="AV111" s="13">
        <f t="shared" si="6"/>
        <v>9.1241675392672583E-2</v>
      </c>
      <c r="AW111" s="36">
        <v>6.7844390855613501E-2</v>
      </c>
      <c r="AX111" s="13">
        <v>0.86626379857854729</v>
      </c>
      <c r="AY111" s="13">
        <v>0.45900985780200732</v>
      </c>
      <c r="AZ111" s="13">
        <v>636</v>
      </c>
      <c r="BA111" s="13">
        <v>6.1149878479967472E-3</v>
      </c>
      <c r="BB111" s="13">
        <v>1</v>
      </c>
      <c r="BD111" s="13">
        <v>108</v>
      </c>
      <c r="BE111" s="13">
        <v>191</v>
      </c>
      <c r="BF111" s="17">
        <v>190.61514349999999</v>
      </c>
      <c r="BH111" s="36">
        <v>7.0544776884421996</v>
      </c>
      <c r="BI111" s="36">
        <v>0.67500000000000004</v>
      </c>
      <c r="BJ111" s="36"/>
      <c r="BQ111" s="13">
        <f t="shared" si="7"/>
        <v>-0.2014955497382287</v>
      </c>
      <c r="BR111" s="36">
        <v>0.13989023988075</v>
      </c>
      <c r="BS111" s="13">
        <v>0.75043924223515335</v>
      </c>
      <c r="BT111" s="13">
        <v>0.85096876431103352</v>
      </c>
      <c r="BU111" s="13">
        <v>1056</v>
      </c>
      <c r="BV111" s="13">
        <v>5.0417887145060751E-3</v>
      </c>
      <c r="BW111" s="13">
        <v>1</v>
      </c>
    </row>
    <row r="112" spans="1:75">
      <c r="A112" s="13">
        <v>109</v>
      </c>
      <c r="B112" s="13">
        <v>35</v>
      </c>
      <c r="C112" s="17">
        <v>35.505867979999998</v>
      </c>
      <c r="E112" s="36">
        <v>17.148730618090401</v>
      </c>
      <c r="F112" s="36">
        <v>0.71176470588235297</v>
      </c>
      <c r="G112" s="36"/>
      <c r="M112" s="13">
        <f t="shared" si="8"/>
        <v>1.4453370857142822</v>
      </c>
      <c r="O112" s="13">
        <v>109</v>
      </c>
      <c r="P112" s="13">
        <v>35</v>
      </c>
      <c r="Q112" s="17">
        <v>30.527309249999998</v>
      </c>
      <c r="S112" s="36">
        <v>21.830122489949702</v>
      </c>
      <c r="T112" s="36">
        <v>0.71470588235294097</v>
      </c>
      <c r="U112" s="36"/>
      <c r="AA112" s="13">
        <f t="shared" si="5"/>
        <v>-12.779116428571434</v>
      </c>
      <c r="AB112" s="36">
        <v>0.33505227551543698</v>
      </c>
      <c r="AC112" s="23">
        <v>0.32735445640381033</v>
      </c>
      <c r="AD112" s="23">
        <v>0.40842657403989752</v>
      </c>
      <c r="AE112" s="23">
        <v>476</v>
      </c>
      <c r="AF112" s="23">
        <v>7.782446614483767E-3</v>
      </c>
      <c r="AG112" s="23">
        <v>1</v>
      </c>
      <c r="AI112" s="13">
        <v>109</v>
      </c>
      <c r="AJ112" s="13">
        <v>35</v>
      </c>
      <c r="AK112" s="17">
        <v>35.235173600000003</v>
      </c>
      <c r="AM112" s="36">
        <v>3.5353139628140702</v>
      </c>
      <c r="AN112" s="36">
        <v>0.66323529411764703</v>
      </c>
      <c r="AO112" s="36"/>
      <c r="AV112" s="13">
        <f t="shared" si="6"/>
        <v>0.67192457142857265</v>
      </c>
      <c r="AW112" s="36">
        <v>6.7844390855613501E-2</v>
      </c>
      <c r="AX112" s="13">
        <v>0.64844475214938047</v>
      </c>
      <c r="AY112" s="13">
        <v>0.47622427472207118</v>
      </c>
      <c r="AZ112" s="13">
        <v>1203</v>
      </c>
      <c r="BA112" s="13">
        <v>1.0261940341351698E-3</v>
      </c>
      <c r="BB112" s="13">
        <v>1</v>
      </c>
      <c r="BD112" s="13">
        <v>109</v>
      </c>
      <c r="BE112" s="13">
        <v>35</v>
      </c>
      <c r="BF112" s="17">
        <v>34.532129429999998</v>
      </c>
      <c r="BH112" s="36">
        <v>7.1250224653266203</v>
      </c>
      <c r="BI112" s="36">
        <v>0.67794117647058805</v>
      </c>
      <c r="BJ112" s="36"/>
      <c r="BQ112" s="13">
        <f t="shared" si="7"/>
        <v>-1.3367730571428593</v>
      </c>
      <c r="BR112" s="36">
        <v>0.13989023988075</v>
      </c>
      <c r="BS112" s="13">
        <v>0.31139618109896045</v>
      </c>
      <c r="BT112" s="13">
        <v>0.94155681433362182</v>
      </c>
      <c r="BU112" s="13">
        <v>160</v>
      </c>
      <c r="BV112" s="13">
        <v>9.1867062202460083E-3</v>
      </c>
      <c r="BW112" s="13">
        <v>1</v>
      </c>
    </row>
    <row r="113" spans="1:75">
      <c r="A113" s="13">
        <v>110</v>
      </c>
      <c r="B113" s="13">
        <v>132</v>
      </c>
      <c r="C113" s="17">
        <v>102.3106142</v>
      </c>
      <c r="E113" s="36">
        <v>17.318520030150701</v>
      </c>
      <c r="F113" s="36">
        <v>0.71176470588235297</v>
      </c>
      <c r="G113" s="36"/>
      <c r="M113" s="13">
        <f t="shared" si="8"/>
        <v>-22.491958939393943</v>
      </c>
      <c r="O113" s="13">
        <v>110</v>
      </c>
      <c r="P113" s="13">
        <v>132</v>
      </c>
      <c r="Q113" s="17">
        <v>97.947979790000005</v>
      </c>
      <c r="S113" s="36">
        <v>22.046262316582901</v>
      </c>
      <c r="T113" s="36">
        <v>0.71617647058823497</v>
      </c>
      <c r="U113" s="36"/>
      <c r="AA113" s="13">
        <f t="shared" si="5"/>
        <v>-25.796985007575756</v>
      </c>
      <c r="AB113" s="36">
        <v>0.33505227551543698</v>
      </c>
      <c r="AC113" s="23">
        <v>0.15333394555616636</v>
      </c>
      <c r="AD113" s="23">
        <v>0.92855834792037306</v>
      </c>
      <c r="AE113" s="23">
        <v>250</v>
      </c>
      <c r="AF113" s="23">
        <v>4.9307035468315902E-3</v>
      </c>
      <c r="AG113" s="23">
        <v>1</v>
      </c>
      <c r="AI113" s="13">
        <v>110</v>
      </c>
      <c r="AJ113" s="13">
        <v>132</v>
      </c>
      <c r="AK113" s="17">
        <v>126.11812279999999</v>
      </c>
      <c r="AM113" s="36">
        <v>3.5703170713567798</v>
      </c>
      <c r="AN113" s="36">
        <v>0.66323529411764703</v>
      </c>
      <c r="AO113" s="36"/>
      <c r="AV113" s="13">
        <f t="shared" si="6"/>
        <v>-4.4559675757575796</v>
      </c>
      <c r="AW113" s="36">
        <v>6.7844390855613501E-2</v>
      </c>
      <c r="AX113" s="13">
        <v>0.16351495016971679</v>
      </c>
      <c r="AY113" s="13">
        <v>0.9178176914358579</v>
      </c>
      <c r="AZ113" s="13">
        <v>1220</v>
      </c>
      <c r="BA113" s="13">
        <v>9.4904736229761994E-3</v>
      </c>
      <c r="BB113" s="13">
        <v>1</v>
      </c>
      <c r="BD113" s="13">
        <v>110</v>
      </c>
      <c r="BE113" s="13">
        <v>132</v>
      </c>
      <c r="BF113" s="17">
        <v>120.12804730000001</v>
      </c>
      <c r="BH113" s="36">
        <v>7.1955672422110499</v>
      </c>
      <c r="BI113" s="36">
        <v>0.67794117647058805</v>
      </c>
      <c r="BJ113" s="36"/>
      <c r="BQ113" s="13">
        <f t="shared" si="7"/>
        <v>-8.9939035606060536</v>
      </c>
      <c r="BR113" s="36">
        <v>0.13989023988075</v>
      </c>
      <c r="BS113" s="13">
        <v>0.19693026182376208</v>
      </c>
      <c r="BT113" s="13">
        <v>0.79168139005201998</v>
      </c>
      <c r="BU113" s="13">
        <v>1536</v>
      </c>
      <c r="BV113" s="13">
        <v>4.8323383330786014E-3</v>
      </c>
      <c r="BW113" s="13">
        <v>1</v>
      </c>
    </row>
    <row r="114" spans="1:75">
      <c r="A114" s="13">
        <v>111</v>
      </c>
      <c r="B114" s="13">
        <v>102</v>
      </c>
      <c r="C114" s="17">
        <v>113.80880550000001</v>
      </c>
      <c r="E114" s="36">
        <v>17.488309442211001</v>
      </c>
      <c r="F114" s="36">
        <v>0.71176470588235297</v>
      </c>
      <c r="G114" s="36"/>
      <c r="M114" s="13">
        <f t="shared" si="8"/>
        <v>11.577260294117654</v>
      </c>
      <c r="O114" s="13">
        <v>111</v>
      </c>
      <c r="P114" s="13">
        <v>102</v>
      </c>
      <c r="Q114" s="17">
        <v>114.055764</v>
      </c>
      <c r="S114" s="36">
        <v>22.262402143216001</v>
      </c>
      <c r="T114" s="36">
        <v>0.71617647058823497</v>
      </c>
      <c r="U114" s="36"/>
      <c r="AA114" s="13">
        <f t="shared" si="5"/>
        <v>11.819376470588239</v>
      </c>
      <c r="AB114" s="36">
        <v>0.33505227551543698</v>
      </c>
      <c r="AC114" s="23">
        <v>0.5390170541630247</v>
      </c>
      <c r="AD114" s="23">
        <v>0.86089802733348753</v>
      </c>
      <c r="AE114" s="23">
        <v>1590</v>
      </c>
      <c r="AF114" s="23">
        <v>1.7539489914218363E-3</v>
      </c>
      <c r="AG114" s="23">
        <v>1</v>
      </c>
      <c r="AI114" s="13">
        <v>111</v>
      </c>
      <c r="AJ114" s="13">
        <v>102</v>
      </c>
      <c r="AK114" s="17">
        <v>104.28376110000001</v>
      </c>
      <c r="AM114" s="36">
        <v>3.6053201798994898</v>
      </c>
      <c r="AN114" s="36">
        <v>0.66470588235294104</v>
      </c>
      <c r="AO114" s="36"/>
      <c r="AV114" s="13">
        <f t="shared" si="6"/>
        <v>2.2389814705882527</v>
      </c>
      <c r="AW114" s="36">
        <v>6.7844390855613501E-2</v>
      </c>
      <c r="AX114" s="13">
        <v>0.29353645743096751</v>
      </c>
      <c r="AY114" s="13">
        <v>0.50839916511447503</v>
      </c>
      <c r="AZ114" s="13">
        <v>1786</v>
      </c>
      <c r="BA114" s="13">
        <v>5.5868756532206302E-3</v>
      </c>
      <c r="BB114" s="13">
        <v>0</v>
      </c>
      <c r="BD114" s="13">
        <v>111</v>
      </c>
      <c r="BE114" s="13">
        <v>102</v>
      </c>
      <c r="BF114" s="17">
        <v>106.3102647</v>
      </c>
      <c r="BH114" s="36">
        <v>7.2661120190954698</v>
      </c>
      <c r="BI114" s="36">
        <v>0.67794117647058805</v>
      </c>
      <c r="BJ114" s="36"/>
      <c r="BQ114" s="13">
        <f t="shared" si="7"/>
        <v>4.2257497058823645</v>
      </c>
      <c r="BR114" s="36">
        <v>0.13989023988075</v>
      </c>
      <c r="BS114" s="13">
        <v>1.0510383691196815E-2</v>
      </c>
      <c r="BT114" s="13">
        <v>0.19841479048713315</v>
      </c>
      <c r="BU114" s="13">
        <v>1735</v>
      </c>
      <c r="BV114" s="13">
        <v>5.7522357498752926E-3</v>
      </c>
      <c r="BW114" s="13">
        <v>1</v>
      </c>
    </row>
    <row r="115" spans="1:75">
      <c r="A115" s="13">
        <v>112</v>
      </c>
      <c r="B115" s="13">
        <v>41</v>
      </c>
      <c r="C115" s="17">
        <v>42.587570810000003</v>
      </c>
      <c r="E115" s="36">
        <v>17.658098854271302</v>
      </c>
      <c r="F115" s="36">
        <v>0.71323529411764697</v>
      </c>
      <c r="G115" s="36"/>
      <c r="M115" s="13">
        <f t="shared" si="8"/>
        <v>3.872123926829274</v>
      </c>
      <c r="O115" s="13">
        <v>112</v>
      </c>
      <c r="P115" s="13">
        <v>41</v>
      </c>
      <c r="Q115" s="17">
        <v>43.831197449999998</v>
      </c>
      <c r="S115" s="36">
        <v>22.4785419698492</v>
      </c>
      <c r="T115" s="36">
        <v>0.71764705882352897</v>
      </c>
      <c r="U115" s="36"/>
      <c r="AA115" s="13">
        <f t="shared" si="5"/>
        <v>6.9053596341463352</v>
      </c>
      <c r="AB115" s="36">
        <v>0.33505227551543698</v>
      </c>
      <c r="AC115" s="23">
        <v>0.56306748744326662</v>
      </c>
      <c r="AD115" s="23">
        <v>0.46002101530199158</v>
      </c>
      <c r="AE115" s="23">
        <v>101</v>
      </c>
      <c r="AF115" s="23">
        <v>6.364770652925034E-3</v>
      </c>
      <c r="AG115" s="23">
        <v>0</v>
      </c>
      <c r="AI115" s="13">
        <v>112</v>
      </c>
      <c r="AJ115" s="13">
        <v>41</v>
      </c>
      <c r="AK115" s="17">
        <v>41.259514160000002</v>
      </c>
      <c r="AM115" s="36">
        <v>3.6403232884422101</v>
      </c>
      <c r="AN115" s="36">
        <v>0.66470588235294104</v>
      </c>
      <c r="AO115" s="36"/>
      <c r="AV115" s="13">
        <f t="shared" si="6"/>
        <v>0.63296136585366813</v>
      </c>
      <c r="AW115" s="36">
        <v>6.7844390855613501E-2</v>
      </c>
      <c r="AX115" s="13">
        <v>0.60560673127294684</v>
      </c>
      <c r="AY115" s="13">
        <v>0.86185433394463751</v>
      </c>
      <c r="AZ115" s="13">
        <v>1116</v>
      </c>
      <c r="BA115" s="13">
        <v>1.6765755091724068E-4</v>
      </c>
      <c r="BB115" s="13">
        <v>1</v>
      </c>
      <c r="BD115" s="13">
        <v>112</v>
      </c>
      <c r="BE115" s="13">
        <v>41</v>
      </c>
      <c r="BF115" s="17">
        <v>41.714630040000003</v>
      </c>
      <c r="BH115" s="36">
        <v>7.3366567959798896</v>
      </c>
      <c r="BI115" s="36">
        <v>0.67794117647058805</v>
      </c>
      <c r="BJ115" s="36"/>
      <c r="BQ115" s="13">
        <f t="shared" si="7"/>
        <v>1.7430000975609872</v>
      </c>
      <c r="BR115" s="36">
        <v>0.13989023988075</v>
      </c>
      <c r="BS115" s="13">
        <v>0.89339422454822381</v>
      </c>
      <c r="BT115" s="13">
        <v>0.20013265423031054</v>
      </c>
      <c r="BU115" s="13">
        <v>1484</v>
      </c>
      <c r="BV115" s="13">
        <v>1.8357830468628052E-3</v>
      </c>
      <c r="BW115" s="13">
        <v>1</v>
      </c>
    </row>
    <row r="116" spans="1:75">
      <c r="A116" s="13">
        <v>113</v>
      </c>
      <c r="B116" s="13">
        <v>13</v>
      </c>
      <c r="C116" s="17">
        <v>9.5987346780152105</v>
      </c>
      <c r="E116" s="36">
        <v>17.827888266331598</v>
      </c>
      <c r="F116" s="36">
        <v>0.71323529411764697</v>
      </c>
      <c r="G116" s="36"/>
      <c r="M116" s="13">
        <f t="shared" si="8"/>
        <v>-26.163579399882998</v>
      </c>
      <c r="O116" s="13">
        <v>113</v>
      </c>
      <c r="P116" s="13">
        <v>13</v>
      </c>
      <c r="Q116" s="17">
        <v>19.488796104203001</v>
      </c>
      <c r="S116" s="36">
        <v>22.694681796482399</v>
      </c>
      <c r="T116" s="36">
        <v>0.71764705882352897</v>
      </c>
      <c r="U116" s="36"/>
      <c r="AA116" s="13">
        <f t="shared" si="5"/>
        <v>49.913816186176916</v>
      </c>
      <c r="AB116" s="36">
        <v>0.33505227551543698</v>
      </c>
      <c r="AC116" s="23">
        <v>0.87711090852063545</v>
      </c>
      <c r="AD116" s="23">
        <v>0.22247542779253751</v>
      </c>
      <c r="AE116" s="23">
        <v>886</v>
      </c>
      <c r="AF116" s="23">
        <v>7.1352342081149184E-3</v>
      </c>
      <c r="AG116" s="23">
        <v>0</v>
      </c>
      <c r="AI116" s="13">
        <v>113</v>
      </c>
      <c r="AJ116" s="13">
        <v>13</v>
      </c>
      <c r="AK116" s="17">
        <v>15.4454090451129</v>
      </c>
      <c r="AM116" s="36">
        <v>3.6753263969849201</v>
      </c>
      <c r="AN116" s="36">
        <v>0.66470588235294104</v>
      </c>
      <c r="AO116" s="36"/>
      <c r="AV116" s="13">
        <f t="shared" si="6"/>
        <v>18.81083880856076</v>
      </c>
      <c r="AW116" s="36">
        <v>6.7844390855613501E-2</v>
      </c>
      <c r="AX116" s="13">
        <v>0.84262558176911517</v>
      </c>
      <c r="AY116" s="13">
        <v>0.92134302719218586</v>
      </c>
      <c r="AZ116" s="13">
        <v>744</v>
      </c>
      <c r="BA116" s="13">
        <v>3.6960103765275002E-3</v>
      </c>
      <c r="BB116" s="13">
        <v>0</v>
      </c>
      <c r="BD116" s="13">
        <v>113</v>
      </c>
      <c r="BE116" s="13">
        <v>13</v>
      </c>
      <c r="BF116" s="17">
        <v>14.734444769084201</v>
      </c>
      <c r="BH116" s="36">
        <v>7.4072015728643104</v>
      </c>
      <c r="BI116" s="36">
        <v>0.67794117647058805</v>
      </c>
      <c r="BJ116" s="36"/>
      <c r="BQ116" s="13">
        <f t="shared" si="7"/>
        <v>13.341882839109243</v>
      </c>
      <c r="BR116" s="36">
        <v>0.13989023988075</v>
      </c>
      <c r="BS116" s="13">
        <v>0.15550712374634743</v>
      </c>
      <c r="BT116" s="13">
        <v>0.2381152215646786</v>
      </c>
      <c r="BU116" s="13">
        <v>337</v>
      </c>
      <c r="BV116" s="13">
        <v>8.2236539094030121E-3</v>
      </c>
      <c r="BW116" s="13">
        <v>0</v>
      </c>
    </row>
    <row r="117" spans="1:75">
      <c r="A117" s="13">
        <v>114</v>
      </c>
      <c r="B117" s="13">
        <v>66</v>
      </c>
      <c r="C117" s="17">
        <v>66.893749260000007</v>
      </c>
      <c r="E117" s="36">
        <v>17.997677678391899</v>
      </c>
      <c r="F117" s="36">
        <v>0.71323529411764697</v>
      </c>
      <c r="G117" s="36"/>
      <c r="M117" s="13">
        <f t="shared" si="8"/>
        <v>1.3541655454545554</v>
      </c>
      <c r="O117" s="13">
        <v>114</v>
      </c>
      <c r="P117" s="13">
        <v>66</v>
      </c>
      <c r="Q117" s="17">
        <v>64.85756868</v>
      </c>
      <c r="S117" s="36">
        <v>22.910821623115499</v>
      </c>
      <c r="T117" s="36">
        <v>0.71764705882352897</v>
      </c>
      <c r="U117" s="36"/>
      <c r="AA117" s="13">
        <f t="shared" si="5"/>
        <v>-1.7309565454545428</v>
      </c>
      <c r="AB117" s="36">
        <v>0.33505227551543698</v>
      </c>
      <c r="AC117" s="23">
        <v>0.15626051291315718</v>
      </c>
      <c r="AD117" s="23">
        <v>0.64132110760172401</v>
      </c>
      <c r="AE117" s="23">
        <v>387</v>
      </c>
      <c r="AF117" s="23">
        <v>7.7632794313475773E-4</v>
      </c>
      <c r="AG117" s="23">
        <v>0</v>
      </c>
      <c r="AI117" s="13">
        <v>114</v>
      </c>
      <c r="AJ117" s="13">
        <v>66</v>
      </c>
      <c r="AK117" s="17">
        <v>66.262749850000006</v>
      </c>
      <c r="AM117" s="36">
        <v>3.7103295055276302</v>
      </c>
      <c r="AN117" s="36">
        <v>0.66470588235294104</v>
      </c>
      <c r="AO117" s="36"/>
      <c r="AV117" s="13">
        <f t="shared" si="6"/>
        <v>0.39810583333335092</v>
      </c>
      <c r="AW117" s="36">
        <v>6.3395312507071394E-2</v>
      </c>
      <c r="AX117" s="13">
        <v>0.28767136933640602</v>
      </c>
      <c r="AY117" s="13">
        <v>0.2476124375855806</v>
      </c>
      <c r="AZ117" s="13">
        <v>1818</v>
      </c>
      <c r="BA117" s="13">
        <v>8.8701953077248929E-4</v>
      </c>
      <c r="BB117" s="13">
        <v>1</v>
      </c>
      <c r="BD117" s="13">
        <v>114</v>
      </c>
      <c r="BE117" s="13">
        <v>66</v>
      </c>
      <c r="BF117" s="17">
        <v>65.729204100000004</v>
      </c>
      <c r="BH117" s="36">
        <v>7.4777463497487302</v>
      </c>
      <c r="BI117" s="36">
        <v>0.67941176470588205</v>
      </c>
      <c r="BJ117" s="36"/>
      <c r="BQ117" s="13">
        <f t="shared" si="7"/>
        <v>-0.41029681818181007</v>
      </c>
      <c r="BR117" s="36">
        <v>0.13989023988075</v>
      </c>
      <c r="BS117" s="13">
        <v>0.20698145642303545</v>
      </c>
      <c r="BT117" s="13">
        <v>0.97229986893991927</v>
      </c>
      <c r="BU117" s="13">
        <v>904</v>
      </c>
      <c r="BV117" s="13">
        <v>7.7689800713618305E-3</v>
      </c>
      <c r="BW117" s="13">
        <v>0</v>
      </c>
    </row>
    <row r="118" spans="1:75">
      <c r="A118" s="13">
        <v>115</v>
      </c>
      <c r="B118" s="13">
        <v>144</v>
      </c>
      <c r="C118" s="17">
        <v>143.71338560000001</v>
      </c>
      <c r="E118" s="36">
        <v>18.167467090452199</v>
      </c>
      <c r="F118" s="36">
        <v>0.71323529411764697</v>
      </c>
      <c r="G118" s="36"/>
      <c r="M118" s="13">
        <f t="shared" si="8"/>
        <v>-0.19903777777776632</v>
      </c>
      <c r="O118" s="13">
        <v>115</v>
      </c>
      <c r="P118" s="13">
        <v>144</v>
      </c>
      <c r="Q118" s="17">
        <v>140.66740089999999</v>
      </c>
      <c r="S118" s="36">
        <v>23.126961449748698</v>
      </c>
      <c r="T118" s="36">
        <v>0.71911764705882297</v>
      </c>
      <c r="U118" s="36"/>
      <c r="AA118" s="13">
        <f t="shared" si="5"/>
        <v>-2.3143049305555663</v>
      </c>
      <c r="AB118" s="36">
        <v>0.33505227551543698</v>
      </c>
      <c r="AC118" s="23">
        <v>0.38169259283734142</v>
      </c>
      <c r="AD118" s="23">
        <v>0.76153679004224872</v>
      </c>
      <c r="AE118" s="23">
        <v>1533</v>
      </c>
      <c r="AF118" s="23">
        <v>9.9074046734419444E-3</v>
      </c>
      <c r="AG118" s="23">
        <v>1</v>
      </c>
      <c r="AI118" s="13">
        <v>115</v>
      </c>
      <c r="AJ118" s="13">
        <v>144</v>
      </c>
      <c r="AK118" s="17">
        <v>143.88667709999999</v>
      </c>
      <c r="AM118" s="36">
        <v>3.74533261407035</v>
      </c>
      <c r="AN118" s="36">
        <v>0.66470588235294104</v>
      </c>
      <c r="AO118" s="36"/>
      <c r="AV118" s="13">
        <f t="shared" si="6"/>
        <v>-7.8696458333338271E-2</v>
      </c>
      <c r="AW118" s="36">
        <v>6.3395312507071394E-2</v>
      </c>
      <c r="AX118" s="13">
        <v>0.85025038868175129</v>
      </c>
      <c r="AY118" s="13">
        <v>0.27617286686072062</v>
      </c>
      <c r="AZ118" s="13">
        <v>749</v>
      </c>
      <c r="BA118" s="13">
        <v>5.8349610976693965E-3</v>
      </c>
      <c r="BB118" s="13">
        <v>0</v>
      </c>
      <c r="BD118" s="13">
        <v>115</v>
      </c>
      <c r="BE118" s="13">
        <v>144</v>
      </c>
      <c r="BF118" s="17">
        <v>143.2819863</v>
      </c>
      <c r="BH118" s="36">
        <v>7.5482911266331598</v>
      </c>
      <c r="BI118" s="36">
        <v>0.67941176470588205</v>
      </c>
      <c r="BJ118" s="36"/>
      <c r="BQ118" s="13">
        <f t="shared" si="7"/>
        <v>-0.49862062500000137</v>
      </c>
      <c r="BR118" s="36">
        <v>0.13348139376161799</v>
      </c>
      <c r="BS118" s="13">
        <v>0.84354636765525026</v>
      </c>
      <c r="BT118" s="13">
        <v>0.47699149078441844</v>
      </c>
      <c r="BU118" s="13">
        <v>644</v>
      </c>
      <c r="BV118" s="13">
        <v>1.7774006066823271E-3</v>
      </c>
      <c r="BW118" s="13">
        <v>0</v>
      </c>
    </row>
    <row r="119" spans="1:75">
      <c r="A119" s="13">
        <v>116</v>
      </c>
      <c r="B119" s="13">
        <v>116</v>
      </c>
      <c r="C119" s="17">
        <v>86.652983500000005</v>
      </c>
      <c r="E119" s="36">
        <v>18.337256502512499</v>
      </c>
      <c r="F119" s="36">
        <v>0.71323529411764697</v>
      </c>
      <c r="G119" s="36"/>
      <c r="M119" s="13">
        <f t="shared" si="8"/>
        <v>-25.299152155172411</v>
      </c>
      <c r="O119" s="13">
        <v>116</v>
      </c>
      <c r="P119" s="13">
        <v>116</v>
      </c>
      <c r="Q119" s="17">
        <v>83.213948209999998</v>
      </c>
      <c r="S119" s="36">
        <v>23.343101276381901</v>
      </c>
      <c r="T119" s="36">
        <v>0.71911764705882297</v>
      </c>
      <c r="U119" s="36"/>
      <c r="AA119" s="13">
        <f t="shared" si="5"/>
        <v>-28.263837749999997</v>
      </c>
      <c r="AB119" s="36">
        <v>0.33505227551543698</v>
      </c>
      <c r="AC119" s="23">
        <v>0.73134034144730131</v>
      </c>
      <c r="AD119" s="23">
        <v>0.12468263068383496</v>
      </c>
      <c r="AE119" s="23">
        <v>211</v>
      </c>
      <c r="AF119" s="23">
        <v>8.3461101866755018E-3</v>
      </c>
      <c r="AG119" s="23">
        <v>0</v>
      </c>
      <c r="AI119" s="13">
        <v>116</v>
      </c>
      <c r="AJ119" s="13">
        <v>116</v>
      </c>
      <c r="AK119" s="17">
        <v>109.87659669999999</v>
      </c>
      <c r="AM119" s="36">
        <v>3.7803357226130601</v>
      </c>
      <c r="AN119" s="36">
        <v>0.66470588235294104</v>
      </c>
      <c r="AO119" s="36"/>
      <c r="AV119" s="13">
        <f t="shared" si="6"/>
        <v>-5.2787959482758717</v>
      </c>
      <c r="AW119" s="36">
        <v>6.3395312507071394E-2</v>
      </c>
      <c r="AX119" s="13">
        <v>0.37453020745196686</v>
      </c>
      <c r="AY119" s="13">
        <v>0.8971523080879964</v>
      </c>
      <c r="AZ119" s="13">
        <v>1764</v>
      </c>
      <c r="BA119" s="13">
        <v>9.0553860685036753E-3</v>
      </c>
      <c r="BB119" s="13">
        <v>0</v>
      </c>
      <c r="BD119" s="13">
        <v>116</v>
      </c>
      <c r="BE119" s="13">
        <v>116</v>
      </c>
      <c r="BF119" s="17">
        <v>103.658113</v>
      </c>
      <c r="BH119" s="36">
        <v>7.6188359035175797</v>
      </c>
      <c r="BI119" s="36">
        <v>0.67941176470588205</v>
      </c>
      <c r="BJ119" s="36"/>
      <c r="BQ119" s="13">
        <f t="shared" si="7"/>
        <v>-10.639557758620688</v>
      </c>
      <c r="BR119" s="36">
        <v>0.13348139376161799</v>
      </c>
      <c r="BS119" s="13">
        <v>0.62544979961900993</v>
      </c>
      <c r="BT119" s="13">
        <v>0.663557571216291</v>
      </c>
      <c r="BU119" s="13">
        <v>978</v>
      </c>
      <c r="BV119" s="13">
        <v>4.7437188708648829E-3</v>
      </c>
      <c r="BW119" s="13">
        <v>0</v>
      </c>
    </row>
    <row r="120" spans="1:75">
      <c r="A120" s="13">
        <v>117</v>
      </c>
      <c r="B120" s="13">
        <v>109</v>
      </c>
      <c r="C120" s="17">
        <v>118.9394575</v>
      </c>
      <c r="E120" s="36">
        <v>18.507045914572799</v>
      </c>
      <c r="F120" s="36">
        <v>0.71323529411764697</v>
      </c>
      <c r="G120" s="36"/>
      <c r="M120" s="13">
        <f t="shared" si="8"/>
        <v>9.1187683486238633</v>
      </c>
      <c r="O120" s="13">
        <v>117</v>
      </c>
      <c r="P120" s="13">
        <v>109</v>
      </c>
      <c r="Q120" s="17">
        <v>114.2657507</v>
      </c>
      <c r="S120" s="36">
        <v>23.559241103015001</v>
      </c>
      <c r="T120" s="36">
        <v>0.71911764705882297</v>
      </c>
      <c r="U120" s="36"/>
      <c r="AA120" s="13">
        <f t="shared" si="5"/>
        <v>4.8309639449541253</v>
      </c>
      <c r="AB120" s="36">
        <v>0.33505227551543698</v>
      </c>
      <c r="AC120" s="23">
        <v>0.43222806140502679</v>
      </c>
      <c r="AD120" s="23">
        <v>0.44037566725415112</v>
      </c>
      <c r="AE120" s="23">
        <v>1767</v>
      </c>
      <c r="AF120" s="23">
        <v>6.4286815363689643E-3</v>
      </c>
      <c r="AG120" s="23">
        <v>0</v>
      </c>
      <c r="AI120" s="13">
        <v>117</v>
      </c>
      <c r="AJ120" s="13">
        <v>109</v>
      </c>
      <c r="AK120" s="17">
        <v>110.6738915</v>
      </c>
      <c r="AM120" s="36">
        <v>3.8153388311557701</v>
      </c>
      <c r="AN120" s="36">
        <v>0.66470588235294104</v>
      </c>
      <c r="AO120" s="36"/>
      <c r="AV120" s="13">
        <f t="shared" si="6"/>
        <v>1.5356802752293452</v>
      </c>
      <c r="AW120" s="36">
        <v>6.3395312507071394E-2</v>
      </c>
      <c r="AX120" s="13">
        <v>0.64507712949449925</v>
      </c>
      <c r="AY120" s="13">
        <v>0.58616516890155979</v>
      </c>
      <c r="AZ120" s="13">
        <v>694</v>
      </c>
      <c r="BA120" s="13">
        <v>8.3134817236722586E-3</v>
      </c>
      <c r="BB120" s="13">
        <v>0</v>
      </c>
      <c r="BD120" s="13">
        <v>117</v>
      </c>
      <c r="BE120" s="13">
        <v>109</v>
      </c>
      <c r="BF120" s="17">
        <v>112.47682519999999</v>
      </c>
      <c r="BH120" s="36">
        <v>7.6893806804020004</v>
      </c>
      <c r="BI120" s="36">
        <v>0.67941176470588205</v>
      </c>
      <c r="BJ120" s="36"/>
      <c r="BQ120" s="13">
        <f t="shared" si="7"/>
        <v>3.1897478899082454</v>
      </c>
      <c r="BR120" s="36">
        <v>0.13348139376161799</v>
      </c>
      <c r="BS120" s="13">
        <v>0.3147711301655034</v>
      </c>
      <c r="BT120" s="13">
        <v>0.89424841847501302</v>
      </c>
      <c r="BU120" s="13">
        <v>1841</v>
      </c>
      <c r="BV120" s="13">
        <v>9.4075541633372901E-3</v>
      </c>
      <c r="BW120" s="13">
        <v>0</v>
      </c>
    </row>
    <row r="121" spans="1:75">
      <c r="A121" s="13">
        <v>118</v>
      </c>
      <c r="B121" s="13">
        <v>127</v>
      </c>
      <c r="C121" s="17">
        <v>127.4446306</v>
      </c>
      <c r="E121" s="36">
        <v>18.6768353266331</v>
      </c>
      <c r="F121" s="36">
        <v>0.71470588235294097</v>
      </c>
      <c r="G121" s="36"/>
      <c r="M121" s="13">
        <f t="shared" si="8"/>
        <v>0.35010283464567138</v>
      </c>
      <c r="O121" s="13">
        <v>118</v>
      </c>
      <c r="P121" s="13">
        <v>127</v>
      </c>
      <c r="Q121" s="17">
        <v>118.7754113</v>
      </c>
      <c r="S121" s="36">
        <v>23.7753809296482</v>
      </c>
      <c r="T121" s="36">
        <v>0.72205882352941098</v>
      </c>
      <c r="U121" s="36"/>
      <c r="AA121" s="13">
        <f t="shared" si="5"/>
        <v>-6.4760540944881928</v>
      </c>
      <c r="AB121" s="36">
        <v>0.33505227551543698</v>
      </c>
      <c r="AC121" s="23">
        <v>0.25935490861939681</v>
      </c>
      <c r="AD121" s="23">
        <v>0.353572555082456</v>
      </c>
      <c r="AE121" s="23">
        <v>1391</v>
      </c>
      <c r="AF121" s="23">
        <v>8.6951061018548936E-3</v>
      </c>
      <c r="AG121" s="23">
        <v>0</v>
      </c>
      <c r="AI121" s="13">
        <v>118</v>
      </c>
      <c r="AJ121" s="13">
        <v>127</v>
      </c>
      <c r="AK121" s="17">
        <v>126.82092609999999</v>
      </c>
      <c r="AM121" s="36">
        <v>3.8503419396984899</v>
      </c>
      <c r="AN121" s="36">
        <v>0.66470588235294104</v>
      </c>
      <c r="AO121" s="36"/>
      <c r="AV121" s="13">
        <f t="shared" si="6"/>
        <v>-0.14100307086614139</v>
      </c>
      <c r="AW121" s="36">
        <v>6.3395312507071394E-2</v>
      </c>
      <c r="AX121" s="13">
        <v>0.95855443453020983</v>
      </c>
      <c r="AY121" s="13">
        <v>0.67935483896796045</v>
      </c>
      <c r="AZ121" s="13">
        <v>1516</v>
      </c>
      <c r="BA121" s="13">
        <v>3.4724171782508106E-3</v>
      </c>
      <c r="BB121" s="13">
        <v>0</v>
      </c>
      <c r="BD121" s="13">
        <v>118</v>
      </c>
      <c r="BE121" s="13">
        <v>127</v>
      </c>
      <c r="BF121" s="17">
        <v>126.3804054</v>
      </c>
      <c r="BH121" s="36">
        <v>7.7599254572864202</v>
      </c>
      <c r="BI121" s="36">
        <v>0.67941176470588205</v>
      </c>
      <c r="BJ121" s="36"/>
      <c r="BQ121" s="13">
        <f t="shared" si="7"/>
        <v>-0.48786976377952485</v>
      </c>
      <c r="BR121" s="36">
        <v>0.13348139376161799</v>
      </c>
      <c r="BS121" s="13">
        <v>0.30837937426015632</v>
      </c>
      <c r="BT121" s="13">
        <v>0.24006330580468602</v>
      </c>
      <c r="BU121" s="13">
        <v>890</v>
      </c>
      <c r="BV121" s="13">
        <v>8.1392736297346748E-3</v>
      </c>
      <c r="BW121" s="13">
        <v>1</v>
      </c>
    </row>
    <row r="122" spans="1:75">
      <c r="A122" s="13">
        <v>119</v>
      </c>
      <c r="B122" s="13">
        <v>161</v>
      </c>
      <c r="C122" s="17">
        <v>130.51125429999999</v>
      </c>
      <c r="E122" s="36">
        <v>18.8466247386934</v>
      </c>
      <c r="F122" s="36">
        <v>0.71617647058823497</v>
      </c>
      <c r="G122" s="36"/>
      <c r="M122" s="13">
        <f t="shared" si="8"/>
        <v>-18.937109130434791</v>
      </c>
      <c r="O122" s="13">
        <v>119</v>
      </c>
      <c r="P122" s="13">
        <v>161</v>
      </c>
      <c r="Q122" s="17">
        <v>124.2496477</v>
      </c>
      <c r="S122" s="36">
        <v>23.9915207562814</v>
      </c>
      <c r="T122" s="36">
        <v>0.72352941176470498</v>
      </c>
      <c r="U122" s="36"/>
      <c r="AA122" s="13">
        <f t="shared" si="5"/>
        <v>-22.826305776397515</v>
      </c>
      <c r="AB122" s="36">
        <v>0.33206643653977502</v>
      </c>
      <c r="AC122" s="23">
        <v>0.16493037956888382</v>
      </c>
      <c r="AD122" s="23">
        <v>0.30659460410050843</v>
      </c>
      <c r="AE122" s="23">
        <v>703</v>
      </c>
      <c r="AF122" s="23">
        <v>4.3297127629381522E-3</v>
      </c>
      <c r="AG122" s="23">
        <v>0</v>
      </c>
      <c r="AI122" s="13">
        <v>119</v>
      </c>
      <c r="AJ122" s="13">
        <v>161</v>
      </c>
      <c r="AK122" s="17">
        <v>155.14025090000001</v>
      </c>
      <c r="AM122" s="36">
        <v>3.8853450482412</v>
      </c>
      <c r="AN122" s="36">
        <v>0.66470588235294104</v>
      </c>
      <c r="AO122" s="36"/>
      <c r="AV122" s="13">
        <f t="shared" si="6"/>
        <v>-3.6395957142857038</v>
      </c>
      <c r="AW122" s="36">
        <v>6.3395312507071394E-2</v>
      </c>
      <c r="AX122" s="13">
        <v>0.75051208240144784</v>
      </c>
      <c r="AY122" s="13">
        <v>0.96351243040521317</v>
      </c>
      <c r="AZ122" s="13">
        <v>1588</v>
      </c>
      <c r="BA122" s="13">
        <v>5.628876341979513E-3</v>
      </c>
      <c r="BB122" s="13">
        <v>0</v>
      </c>
      <c r="BD122" s="13">
        <v>119</v>
      </c>
      <c r="BE122" s="13">
        <v>161</v>
      </c>
      <c r="BF122" s="17">
        <v>148.0354103</v>
      </c>
      <c r="BH122" s="36">
        <v>7.8304702341708499</v>
      </c>
      <c r="BI122" s="36">
        <v>0.67941176470588205</v>
      </c>
      <c r="BJ122" s="36"/>
      <c r="BQ122" s="13">
        <f t="shared" si="7"/>
        <v>-8.0525401863354098</v>
      </c>
      <c r="BR122" s="36">
        <v>0.13348139376161799</v>
      </c>
      <c r="BS122" s="13">
        <v>1.1587681807387651E-2</v>
      </c>
      <c r="BT122" s="13">
        <v>0.95909038146149639</v>
      </c>
      <c r="BU122" s="13">
        <v>463</v>
      </c>
      <c r="BV122" s="13">
        <v>8.2829724489003626E-3</v>
      </c>
      <c r="BW122" s="13">
        <v>0</v>
      </c>
    </row>
    <row r="123" spans="1:75">
      <c r="A123" s="13">
        <v>120</v>
      </c>
      <c r="B123" s="13">
        <v>151</v>
      </c>
      <c r="C123" s="17">
        <v>151</v>
      </c>
      <c r="E123" s="36">
        <v>19.0164141507537</v>
      </c>
      <c r="F123" s="36">
        <v>0.71617647058823497</v>
      </c>
      <c r="G123" s="36"/>
      <c r="M123" s="13">
        <f t="shared" si="8"/>
        <v>0</v>
      </c>
      <c r="O123" s="13">
        <v>120</v>
      </c>
      <c r="P123" s="13">
        <v>151</v>
      </c>
      <c r="Q123" s="17">
        <v>146.21068740000001</v>
      </c>
      <c r="S123" s="36">
        <v>24.2076605829145</v>
      </c>
      <c r="T123" s="36">
        <v>0.72352941176470498</v>
      </c>
      <c r="U123" s="36"/>
      <c r="AA123" s="13">
        <f t="shared" si="5"/>
        <v>-3.1717301986754931</v>
      </c>
      <c r="AB123" s="36">
        <v>0.33206643653977502</v>
      </c>
      <c r="AC123" s="23">
        <v>0.53673163678645652</v>
      </c>
      <c r="AD123" s="23">
        <v>0.77743782667827555</v>
      </c>
      <c r="AE123" s="23">
        <v>206</v>
      </c>
      <c r="AF123" s="23">
        <v>6.6769985824122521E-3</v>
      </c>
      <c r="AG123" s="23">
        <v>0</v>
      </c>
      <c r="AI123" s="13">
        <v>120</v>
      </c>
      <c r="AJ123" s="13">
        <v>151</v>
      </c>
      <c r="AK123" s="17">
        <v>151.06</v>
      </c>
      <c r="AM123" s="36">
        <v>3.92034815678391</v>
      </c>
      <c r="AN123" s="36">
        <v>0.66470588235294104</v>
      </c>
      <c r="AO123" s="36"/>
      <c r="AV123" s="13">
        <f t="shared" si="6"/>
        <v>3.9735099337745439E-2</v>
      </c>
      <c r="AW123" s="36">
        <v>6.3395312507071394E-2</v>
      </c>
      <c r="AX123" s="13">
        <v>0.94922877386650206</v>
      </c>
      <c r="AY123" s="13">
        <v>0.41263184636417982</v>
      </c>
      <c r="AZ123" s="13">
        <v>255</v>
      </c>
      <c r="BA123" s="13">
        <v>6.9121321477873801E-3</v>
      </c>
      <c r="BB123" s="13">
        <v>0</v>
      </c>
      <c r="BD123" s="13">
        <v>120</v>
      </c>
      <c r="BE123" s="13">
        <v>151</v>
      </c>
      <c r="BF123" s="17">
        <v>150.4322047</v>
      </c>
      <c r="BH123" s="36">
        <v>7.9010150110552697</v>
      </c>
      <c r="BI123" s="36">
        <v>0.67941176470588205</v>
      </c>
      <c r="BJ123" s="36"/>
      <c r="BQ123" s="13">
        <f t="shared" si="7"/>
        <v>-0.37602337748344761</v>
      </c>
      <c r="BR123" s="36">
        <v>0.13348139376161799</v>
      </c>
      <c r="BS123" s="13">
        <v>0.22253420158389858</v>
      </c>
      <c r="BT123" s="13">
        <v>0.93237655024393795</v>
      </c>
      <c r="BU123" s="13">
        <v>1727</v>
      </c>
      <c r="BV123" s="13">
        <v>8.0718209320811592E-3</v>
      </c>
      <c r="BW123" s="13">
        <v>0</v>
      </c>
    </row>
    <row r="124" spans="1:75">
      <c r="A124" s="13">
        <v>121</v>
      </c>
      <c r="B124" s="13">
        <v>21</v>
      </c>
      <c r="C124" s="17">
        <v>32.128040310000003</v>
      </c>
      <c r="E124" s="36">
        <v>19.186203562814001</v>
      </c>
      <c r="F124" s="36">
        <v>0.71617647058823497</v>
      </c>
      <c r="G124" s="36"/>
      <c r="M124" s="13">
        <f t="shared" si="8"/>
        <v>52.990668142857153</v>
      </c>
      <c r="O124" s="13">
        <v>121</v>
      </c>
      <c r="P124" s="13">
        <v>21</v>
      </c>
      <c r="Q124" s="17">
        <v>32.820139689999998</v>
      </c>
      <c r="S124" s="36">
        <v>24.423800409547699</v>
      </c>
      <c r="T124" s="36">
        <v>0.72352941176470498</v>
      </c>
      <c r="U124" s="36"/>
      <c r="AA124" s="13">
        <f t="shared" si="5"/>
        <v>56.286379476190461</v>
      </c>
      <c r="AB124" s="36">
        <v>0.33206643653977502</v>
      </c>
      <c r="AC124" s="23">
        <v>5.4772451875253385E-3</v>
      </c>
      <c r="AD124" s="23">
        <v>0.92217633741611194</v>
      </c>
      <c r="AE124" s="23">
        <v>1456</v>
      </c>
      <c r="AF124" s="23">
        <v>7.3139833595579542E-3</v>
      </c>
      <c r="AG124" s="23">
        <v>0</v>
      </c>
      <c r="AI124" s="13">
        <v>121</v>
      </c>
      <c r="AJ124" s="13">
        <v>21</v>
      </c>
      <c r="AK124" s="17">
        <v>23.224768059999999</v>
      </c>
      <c r="AM124" s="36">
        <v>3.9553512653266298</v>
      </c>
      <c r="AN124" s="36">
        <v>0.66470588235294104</v>
      </c>
      <c r="AO124" s="36"/>
      <c r="AV124" s="13">
        <f t="shared" si="6"/>
        <v>10.594133619047618</v>
      </c>
      <c r="AW124" s="36">
        <v>6.3395312507071394E-2</v>
      </c>
      <c r="AX124" s="13">
        <v>0.71505791963974008</v>
      </c>
      <c r="AY124" s="13">
        <v>0.73320459251762848</v>
      </c>
      <c r="AZ124" s="13">
        <v>915</v>
      </c>
      <c r="BA124" s="13">
        <v>2.5945882060446004E-4</v>
      </c>
      <c r="BB124" s="13">
        <v>0</v>
      </c>
      <c r="BD124" s="13">
        <v>121</v>
      </c>
      <c r="BE124" s="13">
        <v>21</v>
      </c>
      <c r="BF124" s="17">
        <v>25.141948429999999</v>
      </c>
      <c r="BH124" s="36">
        <v>7.9715597879396896</v>
      </c>
      <c r="BI124" s="36">
        <v>0.67941176470588205</v>
      </c>
      <c r="BJ124" s="36"/>
      <c r="BQ124" s="13">
        <f t="shared" si="7"/>
        <v>19.72356395238095</v>
      </c>
      <c r="BR124" s="36">
        <v>0.13348139376161799</v>
      </c>
      <c r="BS124" s="13">
        <v>0.11501637801266146</v>
      </c>
      <c r="BT124" s="13">
        <v>0.58889628028536045</v>
      </c>
      <c r="BU124" s="13">
        <v>347</v>
      </c>
      <c r="BV124" s="13">
        <v>8.5009273266575484E-3</v>
      </c>
      <c r="BW124" s="13">
        <v>1</v>
      </c>
    </row>
    <row r="125" spans="1:75">
      <c r="A125" s="13">
        <v>122</v>
      </c>
      <c r="B125" s="13">
        <v>31</v>
      </c>
      <c r="C125" s="17">
        <v>33.245365190000001</v>
      </c>
      <c r="E125" s="36">
        <v>19.355992974874301</v>
      </c>
      <c r="F125" s="36">
        <v>0.71617647058823497</v>
      </c>
      <c r="G125" s="36"/>
      <c r="M125" s="13">
        <f t="shared" si="8"/>
        <v>7.2431135161290294</v>
      </c>
      <c r="O125" s="13">
        <v>122</v>
      </c>
      <c r="P125" s="13">
        <v>31</v>
      </c>
      <c r="Q125" s="17">
        <v>39.426517339999997</v>
      </c>
      <c r="S125" s="36">
        <v>24.639940236180799</v>
      </c>
      <c r="T125" s="36">
        <v>0.72499999999999998</v>
      </c>
      <c r="U125" s="36"/>
      <c r="AA125" s="13">
        <f t="shared" si="5"/>
        <v>27.182313999999998</v>
      </c>
      <c r="AB125" s="36">
        <v>0.33206643653977502</v>
      </c>
      <c r="AC125" s="23">
        <v>0.20409126145545459</v>
      </c>
      <c r="AD125" s="23">
        <v>4.4777891486727145E-2</v>
      </c>
      <c r="AE125" s="23">
        <v>546</v>
      </c>
      <c r="AF125" s="23">
        <v>1.6897817968779996E-3</v>
      </c>
      <c r="AG125" s="23">
        <v>0</v>
      </c>
      <c r="AI125" s="13">
        <v>122</v>
      </c>
      <c r="AJ125" s="13">
        <v>31</v>
      </c>
      <c r="AK125" s="17">
        <v>31.509073040000001</v>
      </c>
      <c r="AM125" s="36">
        <v>3.9903543738693399</v>
      </c>
      <c r="AN125" s="36">
        <v>0.66470588235294104</v>
      </c>
      <c r="AO125" s="36"/>
      <c r="AV125" s="13">
        <f t="shared" si="6"/>
        <v>1.6421710967742031</v>
      </c>
      <c r="AW125" s="36">
        <v>6.3395312507071394E-2</v>
      </c>
      <c r="AX125" s="13">
        <v>0.31886943914528904</v>
      </c>
      <c r="AY125" s="13">
        <v>0.69125939892876898</v>
      </c>
      <c r="AZ125" s="13">
        <v>1401</v>
      </c>
      <c r="BA125" s="13">
        <v>5.4552930754704805E-3</v>
      </c>
      <c r="BB125" s="13">
        <v>0</v>
      </c>
      <c r="BD125" s="13">
        <v>122</v>
      </c>
      <c r="BE125" s="13">
        <v>31</v>
      </c>
      <c r="BF125" s="17">
        <v>31.980030320000001</v>
      </c>
      <c r="BH125" s="36">
        <v>8.0421045648241094</v>
      </c>
      <c r="BI125" s="36">
        <v>0.67941176470588205</v>
      </c>
      <c r="BJ125" s="36"/>
      <c r="BQ125" s="13">
        <f t="shared" si="7"/>
        <v>3.161388129032261</v>
      </c>
      <c r="BR125" s="36">
        <v>0.13348139376161799</v>
      </c>
      <c r="BS125" s="13">
        <v>0.74351375036902778</v>
      </c>
      <c r="BT125" s="13">
        <v>0.87054290031334292</v>
      </c>
      <c r="BU125" s="13">
        <v>1301</v>
      </c>
      <c r="BV125" s="13">
        <v>4.1068239770874213E-3</v>
      </c>
      <c r="BW125" s="13">
        <v>0</v>
      </c>
    </row>
    <row r="126" spans="1:75">
      <c r="A126" s="13">
        <v>123</v>
      </c>
      <c r="B126" s="13">
        <v>193</v>
      </c>
      <c r="C126" s="17">
        <v>202.69029710000001</v>
      </c>
      <c r="E126" s="36">
        <v>19.525782386934601</v>
      </c>
      <c r="F126" s="36">
        <v>0.71617647058823497</v>
      </c>
      <c r="G126" s="36"/>
      <c r="M126" s="13">
        <f t="shared" si="8"/>
        <v>5.0208793264248763</v>
      </c>
      <c r="O126" s="13">
        <v>123</v>
      </c>
      <c r="P126" s="13">
        <v>193</v>
      </c>
      <c r="Q126" s="17">
        <v>197.6830156</v>
      </c>
      <c r="S126" s="36">
        <v>24.856080062814002</v>
      </c>
      <c r="T126" s="36">
        <v>0.72499999999999998</v>
      </c>
      <c r="U126" s="36"/>
      <c r="AA126" s="13">
        <f t="shared" si="5"/>
        <v>2.4264329533678852</v>
      </c>
      <c r="AB126" s="36">
        <v>0.32938527769944698</v>
      </c>
      <c r="AC126" s="23">
        <v>0.76247404667952878</v>
      </c>
      <c r="AD126" s="23">
        <v>0.6779999080139687</v>
      </c>
      <c r="AE126" s="23">
        <v>908</v>
      </c>
      <c r="AF126" s="23">
        <v>3.852105975530218E-3</v>
      </c>
      <c r="AG126" s="23">
        <v>1</v>
      </c>
      <c r="AI126" s="13">
        <v>123</v>
      </c>
      <c r="AJ126" s="13">
        <v>193</v>
      </c>
      <c r="AK126" s="17">
        <v>195.1620594</v>
      </c>
      <c r="AM126" s="36">
        <v>4.0253574824120602</v>
      </c>
      <c r="AN126" s="36">
        <v>0.66470588235294104</v>
      </c>
      <c r="AO126" s="36"/>
      <c r="AV126" s="13">
        <f t="shared" si="6"/>
        <v>1.1202380310880944</v>
      </c>
      <c r="AW126" s="36">
        <v>6.3250264986681695E-2</v>
      </c>
      <c r="AX126" s="13">
        <v>0.11912960264561648</v>
      </c>
      <c r="AY126" s="13">
        <v>0.46412191282369603</v>
      </c>
      <c r="AZ126" s="13">
        <v>1918</v>
      </c>
      <c r="BA126" s="13">
        <v>1.1248521390312153E-3</v>
      </c>
      <c r="BB126" s="13">
        <v>0</v>
      </c>
      <c r="BD126" s="13">
        <v>123</v>
      </c>
      <c r="BE126" s="13">
        <v>193</v>
      </c>
      <c r="BF126" s="17">
        <v>196.56890290000001</v>
      </c>
      <c r="BH126" s="36">
        <v>8.1126493417085292</v>
      </c>
      <c r="BI126" s="36">
        <v>0.67941176470588205</v>
      </c>
      <c r="BJ126" s="36"/>
      <c r="BQ126" s="13">
        <f t="shared" si="7"/>
        <v>1.8491724870466353</v>
      </c>
      <c r="BR126" s="36">
        <v>0.13244432548841101</v>
      </c>
      <c r="BS126" s="13">
        <v>0.28214239383344186</v>
      </c>
      <c r="BT126" s="13">
        <v>0.87007828596577208</v>
      </c>
      <c r="BU126" s="13">
        <v>632</v>
      </c>
      <c r="BV126" s="13">
        <v>4.3300842971134646E-3</v>
      </c>
      <c r="BW126" s="13">
        <v>1</v>
      </c>
    </row>
    <row r="127" spans="1:75">
      <c r="A127" s="13">
        <v>124</v>
      </c>
      <c r="B127" s="13">
        <v>131</v>
      </c>
      <c r="C127" s="17">
        <v>131.80461339999999</v>
      </c>
      <c r="E127" s="36">
        <v>19.695571798994902</v>
      </c>
      <c r="F127" s="36">
        <v>0.71617647058823497</v>
      </c>
      <c r="G127" s="36"/>
      <c r="M127" s="13">
        <f t="shared" si="8"/>
        <v>0.61420870229007551</v>
      </c>
      <c r="O127" s="13">
        <v>124</v>
      </c>
      <c r="P127" s="13">
        <v>131</v>
      </c>
      <c r="Q127" s="17">
        <v>129.85927699999999</v>
      </c>
      <c r="S127" s="36">
        <v>25.072219889447201</v>
      </c>
      <c r="T127" s="36">
        <v>0.72794117647058798</v>
      </c>
      <c r="U127" s="36"/>
      <c r="AA127" s="13">
        <f t="shared" si="5"/>
        <v>-0.87078091603054464</v>
      </c>
      <c r="AB127" s="36">
        <v>0.32938527769944698</v>
      </c>
      <c r="AC127" s="23">
        <v>0.44876254369116514</v>
      </c>
      <c r="AD127" s="23">
        <v>0.31948545847346821</v>
      </c>
      <c r="AE127" s="23">
        <v>602</v>
      </c>
      <c r="AF127" s="23">
        <v>3.6547839975767447E-4</v>
      </c>
      <c r="AG127" s="23">
        <v>1</v>
      </c>
      <c r="AI127" s="13">
        <v>124</v>
      </c>
      <c r="AJ127" s="13">
        <v>131</v>
      </c>
      <c r="AK127" s="17">
        <v>131.3849227</v>
      </c>
      <c r="AM127" s="36">
        <v>4.0603605909547698</v>
      </c>
      <c r="AN127" s="36">
        <v>0.66470588235294104</v>
      </c>
      <c r="AO127" s="36"/>
      <c r="AV127" s="13">
        <f t="shared" si="6"/>
        <v>0.29383412213741522</v>
      </c>
      <c r="AW127" s="36">
        <v>6.3250264986681695E-2</v>
      </c>
      <c r="AX127" s="13">
        <v>8.4041235942615006E-3</v>
      </c>
      <c r="AY127" s="13">
        <v>0.50257752176863002</v>
      </c>
      <c r="AZ127" s="13">
        <v>946</v>
      </c>
      <c r="BA127" s="13">
        <v>9.6322071774310441E-3</v>
      </c>
      <c r="BB127" s="13">
        <v>1</v>
      </c>
      <c r="BD127" s="13">
        <v>124</v>
      </c>
      <c r="BE127" s="13">
        <v>131</v>
      </c>
      <c r="BF127" s="17">
        <v>131.86859440000001</v>
      </c>
      <c r="BH127" s="36">
        <v>8.1831941185929598</v>
      </c>
      <c r="BI127" s="36">
        <v>0.67941176470588205</v>
      </c>
      <c r="BJ127" s="36"/>
      <c r="BQ127" s="13">
        <f t="shared" si="7"/>
        <v>0.66304916030535122</v>
      </c>
      <c r="BR127" s="36">
        <v>0.13244432548841101</v>
      </c>
      <c r="BS127" s="13">
        <v>0.60847354671993326</v>
      </c>
      <c r="BT127" s="13">
        <v>0.724648446556443</v>
      </c>
      <c r="BU127" s="13">
        <v>1363</v>
      </c>
      <c r="BV127" s="13">
        <v>8.7482216143931132E-3</v>
      </c>
      <c r="BW127" s="13">
        <v>0</v>
      </c>
    </row>
    <row r="128" spans="1:75">
      <c r="A128" s="13">
        <v>125</v>
      </c>
      <c r="B128" s="13">
        <v>106</v>
      </c>
      <c r="C128" s="17">
        <v>76.616210690000003</v>
      </c>
      <c r="E128" s="36">
        <v>19.865361211055198</v>
      </c>
      <c r="F128" s="36">
        <v>0.71617647058823497</v>
      </c>
      <c r="G128" s="36"/>
      <c r="M128" s="13">
        <f t="shared" si="8"/>
        <v>-27.720555952830182</v>
      </c>
      <c r="O128" s="13">
        <v>125</v>
      </c>
      <c r="P128" s="13">
        <v>106</v>
      </c>
      <c r="Q128" s="17">
        <v>77.677984629999997</v>
      </c>
      <c r="S128" s="36">
        <v>25.288359716080301</v>
      </c>
      <c r="T128" s="36">
        <v>0.72941176470588198</v>
      </c>
      <c r="U128" s="36"/>
      <c r="AA128" s="13">
        <f t="shared" si="5"/>
        <v>-26.718882424528299</v>
      </c>
      <c r="AB128" s="36">
        <v>0.32938527769944698</v>
      </c>
      <c r="AC128" s="23">
        <v>0.54139972555475935</v>
      </c>
      <c r="AD128" s="23">
        <v>0.7022507684211573</v>
      </c>
      <c r="AE128" s="23">
        <v>1235</v>
      </c>
      <c r="AF128" s="23">
        <v>8.7334566808804845E-3</v>
      </c>
      <c r="AG128" s="23">
        <v>1</v>
      </c>
      <c r="AI128" s="13">
        <v>125</v>
      </c>
      <c r="AJ128" s="13">
        <v>106</v>
      </c>
      <c r="AK128" s="17">
        <v>100.2372421</v>
      </c>
      <c r="AM128" s="36">
        <v>4.0953636994974802</v>
      </c>
      <c r="AN128" s="36">
        <v>0.66470588235294104</v>
      </c>
      <c r="AO128" s="36"/>
      <c r="AV128" s="13">
        <f t="shared" si="6"/>
        <v>-5.4365640566037658</v>
      </c>
      <c r="AW128" s="36">
        <v>6.3250264986681695E-2</v>
      </c>
      <c r="AX128" s="13">
        <v>0.82030144909448244</v>
      </c>
      <c r="AY128" s="13">
        <v>0.70561988012793542</v>
      </c>
      <c r="AZ128" s="13">
        <v>1977</v>
      </c>
      <c r="BA128" s="13">
        <v>7.1774285417900048E-3</v>
      </c>
      <c r="BB128" s="13">
        <v>0</v>
      </c>
      <c r="BD128" s="13">
        <v>125</v>
      </c>
      <c r="BE128" s="13">
        <v>106</v>
      </c>
      <c r="BF128" s="17">
        <v>93.939467719999996</v>
      </c>
      <c r="BH128" s="36">
        <v>8.2537388954773796</v>
      </c>
      <c r="BI128" s="36">
        <v>0.67941176470588205</v>
      </c>
      <c r="BJ128" s="36"/>
      <c r="BQ128" s="13">
        <f t="shared" si="7"/>
        <v>-11.377860641509441</v>
      </c>
      <c r="BR128" s="36">
        <v>0.13244432548841101</v>
      </c>
      <c r="BS128" s="13">
        <v>0.32189257109818953</v>
      </c>
      <c r="BT128" s="13">
        <v>0.82863831841916868</v>
      </c>
      <c r="BU128" s="13">
        <v>520</v>
      </c>
      <c r="BV128" s="13">
        <v>7.1634972270066778E-3</v>
      </c>
      <c r="BW128" s="13">
        <v>0</v>
      </c>
    </row>
    <row r="129" spans="1:75">
      <c r="A129" s="13">
        <v>126</v>
      </c>
      <c r="B129" s="13">
        <v>102</v>
      </c>
      <c r="C129" s="17">
        <v>102.2160583</v>
      </c>
      <c r="E129" s="36">
        <v>20.035150623115499</v>
      </c>
      <c r="F129" s="36">
        <v>0.71617647058823497</v>
      </c>
      <c r="G129" s="36"/>
      <c r="M129" s="13">
        <f t="shared" si="8"/>
        <v>0.21182186274508741</v>
      </c>
      <c r="O129" s="13">
        <v>126</v>
      </c>
      <c r="P129" s="13">
        <v>102</v>
      </c>
      <c r="Q129" s="17">
        <v>98.173405680000002</v>
      </c>
      <c r="S129" s="36">
        <v>25.5044995427135</v>
      </c>
      <c r="T129" s="36">
        <v>0.73235294117646998</v>
      </c>
      <c r="U129" s="36"/>
      <c r="AA129" s="13">
        <f t="shared" si="5"/>
        <v>-3.751563058823526</v>
      </c>
      <c r="AB129" s="36">
        <v>0.32938527769944698</v>
      </c>
      <c r="AC129" s="23">
        <v>5.5250519681531801E-2</v>
      </c>
      <c r="AD129" s="23">
        <v>0.91907755821537473</v>
      </c>
      <c r="AE129" s="23">
        <v>286</v>
      </c>
      <c r="AF129" s="23">
        <v>6.7623472905758882E-3</v>
      </c>
      <c r="AG129" s="23">
        <v>0</v>
      </c>
      <c r="AI129" s="13">
        <v>126</v>
      </c>
      <c r="AJ129" s="13">
        <v>102</v>
      </c>
      <c r="AK129" s="17">
        <v>102.0252117</v>
      </c>
      <c r="AM129" s="36">
        <v>4.1303668080401996</v>
      </c>
      <c r="AN129" s="36">
        <v>0.66470588235294104</v>
      </c>
      <c r="AO129" s="36"/>
      <c r="AV129" s="13">
        <f t="shared" si="6"/>
        <v>2.4717352941183712E-2</v>
      </c>
      <c r="AW129" s="36">
        <v>6.3250264986681695E-2</v>
      </c>
      <c r="AX129" s="13">
        <v>0.28513694885181046</v>
      </c>
      <c r="AY129" s="13">
        <v>0.37788892782653094</v>
      </c>
      <c r="AZ129" s="13">
        <v>318</v>
      </c>
      <c r="BA129" s="13">
        <v>6.7798315709344976E-3</v>
      </c>
      <c r="BB129" s="13">
        <v>1</v>
      </c>
      <c r="BD129" s="13">
        <v>126</v>
      </c>
      <c r="BE129" s="13">
        <v>102</v>
      </c>
      <c r="BF129" s="17">
        <v>101.8818953</v>
      </c>
      <c r="BH129" s="36">
        <v>8.3242836723617994</v>
      </c>
      <c r="BI129" s="36">
        <v>0.67941176470588205</v>
      </c>
      <c r="BJ129" s="36"/>
      <c r="BQ129" s="13">
        <f t="shared" si="7"/>
        <v>-0.11578892156862697</v>
      </c>
      <c r="BR129" s="36">
        <v>0.13244432548841101</v>
      </c>
      <c r="BS129" s="13">
        <v>0.57309537769544527</v>
      </c>
      <c r="BT129" s="13">
        <v>0.3655858658409411</v>
      </c>
      <c r="BU129" s="13">
        <v>845</v>
      </c>
      <c r="BV129" s="13">
        <v>4.2321697914496238E-3</v>
      </c>
      <c r="BW129" s="13">
        <v>0</v>
      </c>
    </row>
    <row r="130" spans="1:75">
      <c r="A130" s="13">
        <v>127</v>
      </c>
      <c r="B130" s="13">
        <v>88</v>
      </c>
      <c r="C130" s="17">
        <v>60.126765419999998</v>
      </c>
      <c r="E130" s="36">
        <v>20.204940035175799</v>
      </c>
      <c r="F130" s="36">
        <v>0.71617647058823497</v>
      </c>
      <c r="G130" s="36"/>
      <c r="M130" s="13">
        <f t="shared" si="8"/>
        <v>-31.67413020454546</v>
      </c>
      <c r="O130" s="13">
        <v>127</v>
      </c>
      <c r="P130" s="13">
        <v>88</v>
      </c>
      <c r="Q130" s="17">
        <v>57.061539250000003</v>
      </c>
      <c r="S130" s="36">
        <v>25.720639369346699</v>
      </c>
      <c r="T130" s="36">
        <v>0.73382352941176399</v>
      </c>
      <c r="U130" s="36"/>
      <c r="AA130" s="13">
        <f t="shared" si="5"/>
        <v>-35.157341761363639</v>
      </c>
      <c r="AB130" s="36">
        <v>0.32938527769944698</v>
      </c>
      <c r="AC130" s="23">
        <v>6.6409889035822164E-2</v>
      </c>
      <c r="AD130" s="23">
        <v>0.2751040342195134</v>
      </c>
      <c r="AE130" s="23">
        <v>1753</v>
      </c>
      <c r="AF130" s="23">
        <v>5.9479627954734529E-3</v>
      </c>
      <c r="AG130" s="23">
        <v>0</v>
      </c>
      <c r="AI130" s="13">
        <v>127</v>
      </c>
      <c r="AJ130" s="13">
        <v>88</v>
      </c>
      <c r="AK130" s="17">
        <v>82.413353079999993</v>
      </c>
      <c r="AM130" s="36">
        <v>4.1653699165829101</v>
      </c>
      <c r="AN130" s="36">
        <v>0.66470588235294104</v>
      </c>
      <c r="AO130" s="36"/>
      <c r="AV130" s="13">
        <f t="shared" si="6"/>
        <v>-6.3484624090909154</v>
      </c>
      <c r="AW130" s="36">
        <v>6.3250264986681695E-2</v>
      </c>
      <c r="AX130" s="13">
        <v>0.6425783465885101</v>
      </c>
      <c r="AY130" s="13">
        <v>0.27274760001467663</v>
      </c>
      <c r="AZ130" s="13">
        <v>421</v>
      </c>
      <c r="BA130" s="13">
        <v>3.310567060653604E-3</v>
      </c>
      <c r="BB130" s="13">
        <v>0</v>
      </c>
      <c r="BD130" s="13">
        <v>127</v>
      </c>
      <c r="BE130" s="13">
        <v>88</v>
      </c>
      <c r="BF130" s="17">
        <v>76.3506304</v>
      </c>
      <c r="BH130" s="36">
        <v>8.3948284492462193</v>
      </c>
      <c r="BI130" s="36">
        <v>0.67941176470588205</v>
      </c>
      <c r="BJ130" s="36"/>
      <c r="BQ130" s="13">
        <f t="shared" si="7"/>
        <v>-13.237920000000003</v>
      </c>
      <c r="BR130" s="36">
        <v>0.13244432548841101</v>
      </c>
      <c r="BS130" s="13">
        <v>0.40731594114098413</v>
      </c>
      <c r="BT130" s="13">
        <v>0.59215465468517847</v>
      </c>
      <c r="BU130" s="13">
        <v>1492</v>
      </c>
      <c r="BV130" s="13">
        <v>7.8650889361894169E-3</v>
      </c>
      <c r="BW130" s="13">
        <v>0</v>
      </c>
    </row>
    <row r="131" spans="1:75">
      <c r="A131" s="13">
        <v>128</v>
      </c>
      <c r="B131" s="13">
        <v>122</v>
      </c>
      <c r="C131" s="17">
        <v>92.07527048</v>
      </c>
      <c r="E131" s="36">
        <v>20.374729447236099</v>
      </c>
      <c r="F131" s="36">
        <v>0.71617647058823497</v>
      </c>
      <c r="G131" s="36"/>
      <c r="M131" s="13">
        <f t="shared" si="8"/>
        <v>-24.528466819672133</v>
      </c>
      <c r="O131" s="13">
        <v>128</v>
      </c>
      <c r="P131" s="13">
        <v>122</v>
      </c>
      <c r="Q131" s="17">
        <v>90.052249459999999</v>
      </c>
      <c r="S131" s="36">
        <v>25.936779195979799</v>
      </c>
      <c r="T131" s="36">
        <v>0.73529411764705799</v>
      </c>
      <c r="U131" s="36"/>
      <c r="AA131" s="13">
        <f t="shared" ref="AA131:AA194" si="9">((Q131/P131)-1)*100</f>
        <v>-26.186680770491797</v>
      </c>
      <c r="AB131" s="36">
        <v>0.32938527769944698</v>
      </c>
      <c r="AC131" s="23">
        <v>0.73511807386016625</v>
      </c>
      <c r="AD131" s="23">
        <v>0.86123141917978852</v>
      </c>
      <c r="AE131" s="23">
        <v>896</v>
      </c>
      <c r="AF131" s="23">
        <v>9.2022205786277522E-3</v>
      </c>
      <c r="AG131" s="23">
        <v>1</v>
      </c>
      <c r="AI131" s="13">
        <v>128</v>
      </c>
      <c r="AJ131" s="13">
        <v>122</v>
      </c>
      <c r="AK131" s="17">
        <v>116.1850541</v>
      </c>
      <c r="AM131" s="36">
        <v>4.2003730251256197</v>
      </c>
      <c r="AN131" s="36">
        <v>0.66470588235294104</v>
      </c>
      <c r="AO131" s="36"/>
      <c r="AV131" s="13">
        <f t="shared" ref="AV131:AV194" si="10">((AK131/AJ131)-1)*100</f>
        <v>-4.7663490983606565</v>
      </c>
      <c r="AW131" s="36">
        <v>6.3250264986681695E-2</v>
      </c>
      <c r="AX131" s="13">
        <v>0.5468356395741919</v>
      </c>
      <c r="AY131" s="13">
        <v>0.26362164570830332</v>
      </c>
      <c r="AZ131" s="13">
        <v>1220</v>
      </c>
      <c r="BA131" s="13">
        <v>4.3757121716200727E-3</v>
      </c>
      <c r="BB131" s="13">
        <v>0</v>
      </c>
      <c r="BD131" s="13">
        <v>128</v>
      </c>
      <c r="BE131" s="13">
        <v>122</v>
      </c>
      <c r="BF131" s="17">
        <v>110.1158985</v>
      </c>
      <c r="BH131" s="36">
        <v>8.4653732261306391</v>
      </c>
      <c r="BI131" s="36">
        <v>0.67941176470588205</v>
      </c>
      <c r="BJ131" s="36"/>
      <c r="BQ131" s="13">
        <f t="shared" si="7"/>
        <v>-9.7410668032786862</v>
      </c>
      <c r="BR131" s="36">
        <v>0.13244432548841101</v>
      </c>
      <c r="BS131" s="13">
        <v>0.74721046481447506</v>
      </c>
      <c r="BT131" s="13">
        <v>0.58607749621164051</v>
      </c>
      <c r="BU131" s="13">
        <v>1462</v>
      </c>
      <c r="BV131" s="13">
        <v>6.723461566534002E-3</v>
      </c>
      <c r="BW131" s="13">
        <v>0</v>
      </c>
    </row>
    <row r="132" spans="1:75">
      <c r="A132" s="13">
        <v>129</v>
      </c>
      <c r="B132" s="13">
        <v>191</v>
      </c>
      <c r="C132" s="17">
        <v>201.43935429999999</v>
      </c>
      <c r="E132" s="36">
        <v>20.544518859296399</v>
      </c>
      <c r="F132" s="36">
        <v>0.71617647058823497</v>
      </c>
      <c r="G132" s="36"/>
      <c r="M132" s="13">
        <f t="shared" si="8"/>
        <v>5.4656305235601943</v>
      </c>
      <c r="O132" s="13">
        <v>129</v>
      </c>
      <c r="P132" s="13">
        <v>191</v>
      </c>
      <c r="Q132" s="17">
        <v>198.08236550000001</v>
      </c>
      <c r="S132" s="36">
        <v>26.152919022612998</v>
      </c>
      <c r="T132" s="36">
        <v>0.73676470588235299</v>
      </c>
      <c r="U132" s="36"/>
      <c r="AA132" s="13">
        <f t="shared" si="9"/>
        <v>3.7080447643978998</v>
      </c>
      <c r="AB132" s="36">
        <v>0.32938527769944698</v>
      </c>
      <c r="AC132" s="23">
        <v>2.8664539548924017E-2</v>
      </c>
      <c r="AD132" s="23">
        <v>0.75336500475814872</v>
      </c>
      <c r="AE132" s="23">
        <v>834</v>
      </c>
      <c r="AF132" s="23">
        <v>7.516460907217198E-3</v>
      </c>
      <c r="AG132" s="23">
        <v>0</v>
      </c>
      <c r="AI132" s="13">
        <v>129</v>
      </c>
      <c r="AJ132" s="13">
        <v>191</v>
      </c>
      <c r="AK132" s="17">
        <v>193.1738709</v>
      </c>
      <c r="AM132" s="36">
        <v>4.23537613366834</v>
      </c>
      <c r="AN132" s="36">
        <v>0.66470588235294104</v>
      </c>
      <c r="AO132" s="36"/>
      <c r="AV132" s="13">
        <f t="shared" si="10"/>
        <v>1.1381523036649188</v>
      </c>
      <c r="AW132" s="36">
        <v>6.3250264986681695E-2</v>
      </c>
      <c r="AX132" s="13">
        <v>0.84213601471846877</v>
      </c>
      <c r="AY132" s="13">
        <v>3.7557586896506664E-2</v>
      </c>
      <c r="AZ132" s="13">
        <v>1201</v>
      </c>
      <c r="BA132" s="13">
        <v>6.7562177161772288E-3</v>
      </c>
      <c r="BB132" s="13">
        <v>0</v>
      </c>
      <c r="BD132" s="13">
        <v>129</v>
      </c>
      <c r="BE132" s="13">
        <v>191</v>
      </c>
      <c r="BF132" s="17">
        <v>194.67100959999999</v>
      </c>
      <c r="BH132" s="36">
        <v>8.5359180030150696</v>
      </c>
      <c r="BI132" s="36">
        <v>0.67941176470588205</v>
      </c>
      <c r="BJ132" s="36"/>
      <c r="BQ132" s="13">
        <f t="shared" ref="BQ132:BQ195" si="11">((BF132/BE132)-1)*100</f>
        <v>1.921994554973816</v>
      </c>
      <c r="BR132" s="36">
        <v>0.13244432548841101</v>
      </c>
      <c r="BS132" s="13">
        <v>0.12107877615251404</v>
      </c>
      <c r="BT132" s="13">
        <v>0.2219131788005031</v>
      </c>
      <c r="BU132" s="13">
        <v>1129</v>
      </c>
      <c r="BV132" s="13">
        <v>7.9294392395268219E-3</v>
      </c>
      <c r="BW132" s="13">
        <v>1</v>
      </c>
    </row>
    <row r="133" spans="1:75">
      <c r="A133" s="13">
        <v>130</v>
      </c>
      <c r="B133" s="13">
        <v>219</v>
      </c>
      <c r="C133" s="17">
        <v>216.2286809</v>
      </c>
      <c r="E133" s="36">
        <v>20.7143082713567</v>
      </c>
      <c r="F133" s="36">
        <v>0.71617647058823497</v>
      </c>
      <c r="G133" s="36"/>
      <c r="M133" s="13">
        <f t="shared" si="8"/>
        <v>-1.2654425114155265</v>
      </c>
      <c r="O133" s="13">
        <v>130</v>
      </c>
      <c r="P133" s="13">
        <v>219</v>
      </c>
      <c r="Q133" s="17">
        <v>213.28232209999999</v>
      </c>
      <c r="S133" s="36">
        <v>26.369058849246201</v>
      </c>
      <c r="T133" s="36">
        <v>0.73970588235294099</v>
      </c>
      <c r="U133" s="36"/>
      <c r="AA133" s="13">
        <f t="shared" si="9"/>
        <v>-2.6108118264840274</v>
      </c>
      <c r="AB133" s="36">
        <v>0.32938527769944698</v>
      </c>
      <c r="AC133" s="23">
        <v>0.94584338498575593</v>
      </c>
      <c r="AD133" s="23">
        <v>0.74437472730023735</v>
      </c>
      <c r="AE133" s="23">
        <v>482</v>
      </c>
      <c r="AF133" s="23">
        <v>4.5444573621165919E-3</v>
      </c>
      <c r="AG133" s="23">
        <v>1</v>
      </c>
      <c r="AI133" s="13">
        <v>130</v>
      </c>
      <c r="AJ133" s="13">
        <v>219</v>
      </c>
      <c r="AK133" s="17">
        <v>218.5717362</v>
      </c>
      <c r="AM133" s="36">
        <v>4.2703792422110496</v>
      </c>
      <c r="AN133" s="36">
        <v>0.66470588235294104</v>
      </c>
      <c r="AO133" s="36"/>
      <c r="AV133" s="13">
        <f t="shared" si="10"/>
        <v>-0.19555424657533571</v>
      </c>
      <c r="AW133" s="36">
        <v>6.3250264986681695E-2</v>
      </c>
      <c r="AX133" s="13">
        <v>0.54967383693030947</v>
      </c>
      <c r="AY133" s="13">
        <v>0.63391542522103417</v>
      </c>
      <c r="AZ133" s="13">
        <v>1690</v>
      </c>
      <c r="BA133" s="13">
        <v>5.0986449488231479E-3</v>
      </c>
      <c r="BB133" s="13">
        <v>1</v>
      </c>
      <c r="BD133" s="13">
        <v>130</v>
      </c>
      <c r="BE133" s="13">
        <v>219</v>
      </c>
      <c r="BF133" s="17">
        <v>217.2224324</v>
      </c>
      <c r="BH133" s="36">
        <v>8.6064627798994895</v>
      </c>
      <c r="BI133" s="36">
        <v>0.67941176470588205</v>
      </c>
      <c r="BJ133" s="36"/>
      <c r="BQ133" s="13">
        <f t="shared" si="11"/>
        <v>-0.81167470319634116</v>
      </c>
      <c r="BR133" s="36">
        <v>0.13244432548841101</v>
      </c>
      <c r="BS133" s="13">
        <v>0.4327405221007774</v>
      </c>
      <c r="BT133" s="13">
        <v>0.75777279923105212</v>
      </c>
      <c r="BU133" s="13">
        <v>642</v>
      </c>
      <c r="BV133" s="13">
        <v>8.9124327341741499E-3</v>
      </c>
      <c r="BW133" s="13">
        <v>1</v>
      </c>
    </row>
    <row r="134" spans="1:75">
      <c r="A134" s="13">
        <v>131</v>
      </c>
      <c r="B134" s="13">
        <v>7</v>
      </c>
      <c r="C134" s="17">
        <v>7.4394094525043704</v>
      </c>
      <c r="E134" s="36">
        <v>20.884097683417</v>
      </c>
      <c r="F134" s="36">
        <v>0.71617647058823497</v>
      </c>
      <c r="G134" s="36"/>
      <c r="M134" s="13">
        <f t="shared" si="8"/>
        <v>6.277277892919586</v>
      </c>
      <c r="O134" s="13">
        <v>131</v>
      </c>
      <c r="P134" s="13">
        <v>7</v>
      </c>
      <c r="Q134" s="17">
        <v>7.6939202670789699</v>
      </c>
      <c r="S134" s="36">
        <v>26.585198675879301</v>
      </c>
      <c r="T134" s="36">
        <v>0.74117647058823499</v>
      </c>
      <c r="U134" s="36"/>
      <c r="AA134" s="13">
        <f t="shared" si="9"/>
        <v>9.9131466725567172</v>
      </c>
      <c r="AB134" s="36">
        <v>0.31563151178029802</v>
      </c>
      <c r="AC134" s="23">
        <v>0.15026023837071534</v>
      </c>
      <c r="AD134" s="23">
        <v>0.18215386901981498</v>
      </c>
      <c r="AE134" s="23">
        <v>855</v>
      </c>
      <c r="AF134" s="23">
        <v>7.4812524928869429E-3</v>
      </c>
      <c r="AG134" s="23">
        <v>1</v>
      </c>
      <c r="AI134" s="13">
        <v>131</v>
      </c>
      <c r="AJ134" s="13">
        <v>7</v>
      </c>
      <c r="AK134" s="17">
        <v>5.5672623649258899</v>
      </c>
      <c r="AM134" s="36">
        <v>4.3053823507537601</v>
      </c>
      <c r="AN134" s="36">
        <v>0.66470588235294104</v>
      </c>
      <c r="AO134" s="36"/>
      <c r="AV134" s="13">
        <f t="shared" si="10"/>
        <v>-20.467680501058716</v>
      </c>
      <c r="AW134" s="36">
        <v>6.2028416059786901E-2</v>
      </c>
      <c r="AX134" s="13">
        <v>0.45782121342316501</v>
      </c>
      <c r="AY134" s="13">
        <v>5.2280282415307286E-2</v>
      </c>
      <c r="AZ134" s="13">
        <v>914</v>
      </c>
      <c r="BA134" s="13">
        <v>1.6879827495095349E-3</v>
      </c>
      <c r="BB134" s="13">
        <v>1</v>
      </c>
      <c r="BD134" s="13">
        <v>131</v>
      </c>
      <c r="BE134" s="13">
        <v>7</v>
      </c>
      <c r="BF134" s="17">
        <v>9.3744527032785694</v>
      </c>
      <c r="BH134" s="36">
        <v>8.6770075567839093</v>
      </c>
      <c r="BI134" s="36">
        <v>0.67941176470588205</v>
      </c>
      <c r="BJ134" s="36"/>
      <c r="BQ134" s="13">
        <f t="shared" si="11"/>
        <v>33.920752903979555</v>
      </c>
      <c r="BR134" s="36">
        <v>0.13244432548841101</v>
      </c>
      <c r="BS134" s="13">
        <v>0.69981484283105477</v>
      </c>
      <c r="BT134" s="13">
        <v>0.24936771280354741</v>
      </c>
      <c r="BU134" s="13">
        <v>174</v>
      </c>
      <c r="BV134" s="13">
        <v>2.6562638017842773E-3</v>
      </c>
      <c r="BW134" s="13">
        <v>1</v>
      </c>
    </row>
    <row r="135" spans="1:75">
      <c r="A135" s="13">
        <v>132</v>
      </c>
      <c r="B135" s="13">
        <v>44</v>
      </c>
      <c r="C135" s="17">
        <v>67.841902335891703</v>
      </c>
      <c r="E135" s="36">
        <v>21.0538870954773</v>
      </c>
      <c r="F135" s="36">
        <v>0.71617647058823497</v>
      </c>
      <c r="G135" s="36"/>
      <c r="M135" s="13">
        <f t="shared" si="8"/>
        <v>54.186141672481149</v>
      </c>
      <c r="O135" s="13">
        <v>132</v>
      </c>
      <c r="P135" s="13">
        <v>44</v>
      </c>
      <c r="Q135" s="17">
        <v>70.231292621014504</v>
      </c>
      <c r="S135" s="36">
        <v>26.8013385025125</v>
      </c>
      <c r="T135" s="36">
        <v>0.74264705882352899</v>
      </c>
      <c r="U135" s="36"/>
      <c r="AA135" s="13">
        <f t="shared" si="9"/>
        <v>59.616574138669321</v>
      </c>
      <c r="AB135" s="36">
        <v>0.31563151178029802</v>
      </c>
      <c r="AC135" s="23">
        <v>0.40153028390630829</v>
      </c>
      <c r="AD135" s="23">
        <v>2.9537013028649979E-2</v>
      </c>
      <c r="AE135" s="23">
        <v>1209</v>
      </c>
      <c r="AF135" s="23">
        <v>7.1437992121677037E-3</v>
      </c>
      <c r="AG135" s="23">
        <v>1</v>
      </c>
      <c r="AI135" s="13">
        <v>132</v>
      </c>
      <c r="AJ135" s="13">
        <v>44</v>
      </c>
      <c r="AK135" s="17">
        <v>37.991556330000002</v>
      </c>
      <c r="AM135" s="36">
        <v>4.3403854592964803</v>
      </c>
      <c r="AN135" s="36">
        <v>0.66470588235294104</v>
      </c>
      <c r="AO135" s="36"/>
      <c r="AV135" s="13">
        <f t="shared" si="10"/>
        <v>-13.655553795454544</v>
      </c>
      <c r="AW135" s="36">
        <v>6.2028416059786901E-2</v>
      </c>
      <c r="AX135" s="13">
        <v>0.88887344072996965</v>
      </c>
      <c r="AY135" s="13">
        <v>0.37387360633165317</v>
      </c>
      <c r="AZ135" s="13">
        <v>1946</v>
      </c>
      <c r="BA135" s="13">
        <v>1.4600818689378388E-3</v>
      </c>
      <c r="BB135" s="13">
        <v>0</v>
      </c>
      <c r="BD135" s="13">
        <v>132</v>
      </c>
      <c r="BE135" s="13">
        <v>44</v>
      </c>
      <c r="BF135" s="17">
        <v>31.68435285</v>
      </c>
      <c r="BH135" s="36">
        <v>8.7475523336683292</v>
      </c>
      <c r="BI135" s="36">
        <v>0.67941176470588205</v>
      </c>
      <c r="BJ135" s="36"/>
      <c r="BQ135" s="13">
        <f t="shared" si="11"/>
        <v>-27.990107159090904</v>
      </c>
      <c r="BR135" s="36">
        <v>0.13244432548841101</v>
      </c>
      <c r="BS135" s="13">
        <v>0.59074247880978559</v>
      </c>
      <c r="BT135" s="13">
        <v>0.43025682235878032</v>
      </c>
      <c r="BU135" s="13">
        <v>1159</v>
      </c>
      <c r="BV135" s="13">
        <v>2.6344146951343371E-3</v>
      </c>
      <c r="BW135" s="13">
        <v>1</v>
      </c>
    </row>
    <row r="136" spans="1:75">
      <c r="A136" s="13">
        <v>133</v>
      </c>
      <c r="B136" s="13">
        <v>222</v>
      </c>
      <c r="C136" s="17">
        <v>189.75465550000001</v>
      </c>
      <c r="E136" s="36">
        <v>21.223676507537601</v>
      </c>
      <c r="F136" s="36">
        <v>0.71617647058823497</v>
      </c>
      <c r="G136" s="36"/>
      <c r="M136" s="13">
        <f t="shared" si="8"/>
        <v>-14.524929954954946</v>
      </c>
      <c r="O136" s="13">
        <v>133</v>
      </c>
      <c r="P136" s="13">
        <v>222</v>
      </c>
      <c r="Q136" s="17">
        <v>178.98817450000001</v>
      </c>
      <c r="S136" s="36">
        <v>27.0174783291457</v>
      </c>
      <c r="T136" s="36">
        <v>0.745588235294117</v>
      </c>
      <c r="U136" s="36"/>
      <c r="AA136" s="13">
        <f t="shared" si="9"/>
        <v>-19.37469617117117</v>
      </c>
      <c r="AB136" s="36">
        <v>0.31563151178029802</v>
      </c>
      <c r="AC136" s="23">
        <v>0.98251875809944722</v>
      </c>
      <c r="AD136" s="23">
        <v>0.61039330662437852</v>
      </c>
      <c r="AE136" s="23">
        <v>1797</v>
      </c>
      <c r="AF136" s="23">
        <v>2.1092680616453933E-3</v>
      </c>
      <c r="AG136" s="23">
        <v>0</v>
      </c>
      <c r="AI136" s="13">
        <v>133</v>
      </c>
      <c r="AJ136" s="13">
        <v>222</v>
      </c>
      <c r="AK136" s="17">
        <v>215.37893109999999</v>
      </c>
      <c r="AM136" s="36">
        <v>4.3753885678391899</v>
      </c>
      <c r="AN136" s="36">
        <v>0.66470588235294104</v>
      </c>
      <c r="AO136" s="36"/>
      <c r="AV136" s="13">
        <f t="shared" si="10"/>
        <v>-2.982463468468477</v>
      </c>
      <c r="AW136" s="36">
        <v>6.2028416059786901E-2</v>
      </c>
      <c r="AX136" s="13">
        <v>0.34673627944968105</v>
      </c>
      <c r="AY136" s="13">
        <v>0.18071340138064859</v>
      </c>
      <c r="AZ136" s="13">
        <v>1402</v>
      </c>
      <c r="BA136" s="13">
        <v>6.2744380642039757E-3</v>
      </c>
      <c r="BB136" s="13">
        <v>1</v>
      </c>
      <c r="BD136" s="13">
        <v>133</v>
      </c>
      <c r="BE136" s="13">
        <v>222</v>
      </c>
      <c r="BF136" s="17">
        <v>209.22111889999999</v>
      </c>
      <c r="BH136" s="36">
        <v>8.8180971105527508</v>
      </c>
      <c r="BI136" s="36">
        <v>0.68088235294117605</v>
      </c>
      <c r="BJ136" s="36"/>
      <c r="BQ136" s="13">
        <f t="shared" si="11"/>
        <v>-5.7562527477477481</v>
      </c>
      <c r="BR136" s="36">
        <v>0.12563066993031999</v>
      </c>
      <c r="BS136" s="13">
        <v>0.38398526392493487</v>
      </c>
      <c r="BT136" s="13">
        <v>0.43466659227768428</v>
      </c>
      <c r="BU136" s="13">
        <v>1549</v>
      </c>
      <c r="BV136" s="13">
        <v>9.6578267392005285E-3</v>
      </c>
      <c r="BW136" s="13">
        <v>1</v>
      </c>
    </row>
    <row r="137" spans="1:75">
      <c r="A137" s="13">
        <v>134</v>
      </c>
      <c r="B137" s="13">
        <v>100</v>
      </c>
      <c r="C137" s="17">
        <v>108.16223890000001</v>
      </c>
      <c r="E137" s="36">
        <v>21.393465919597901</v>
      </c>
      <c r="F137" s="36">
        <v>0.71617647058823497</v>
      </c>
      <c r="G137" s="36"/>
      <c r="M137" s="13">
        <f t="shared" si="8"/>
        <v>8.1622389000000073</v>
      </c>
      <c r="O137" s="13">
        <v>134</v>
      </c>
      <c r="P137" s="13">
        <v>100</v>
      </c>
      <c r="Q137" s="17">
        <v>107.01910460000001</v>
      </c>
      <c r="S137" s="36">
        <v>27.2336181557788</v>
      </c>
      <c r="T137" s="36">
        <v>0.748529411764705</v>
      </c>
      <c r="U137" s="36"/>
      <c r="AA137" s="13">
        <f t="shared" si="9"/>
        <v>7.0191046000000146</v>
      </c>
      <c r="AB137" s="36">
        <v>0.31563151178029802</v>
      </c>
      <c r="AC137" s="23">
        <v>0.37436532138457917</v>
      </c>
      <c r="AD137" s="23">
        <v>0.22012389502086591</v>
      </c>
      <c r="AE137" s="23">
        <v>1221</v>
      </c>
      <c r="AF137" s="23">
        <v>3.9314189166728261E-3</v>
      </c>
      <c r="AG137" s="23">
        <v>1</v>
      </c>
      <c r="AI137" s="13">
        <v>134</v>
      </c>
      <c r="AJ137" s="13">
        <v>100</v>
      </c>
      <c r="AK137" s="17">
        <v>101.6924478</v>
      </c>
      <c r="AM137" s="36">
        <v>4.4103916763819004</v>
      </c>
      <c r="AN137" s="36">
        <v>0.66470588235294104</v>
      </c>
      <c r="AO137" s="36"/>
      <c r="AV137" s="13">
        <f t="shared" si="10"/>
        <v>1.6924477999999965</v>
      </c>
      <c r="AW137" s="36">
        <v>6.2028416059786901E-2</v>
      </c>
      <c r="AX137" s="13">
        <v>0.25985665487543652</v>
      </c>
      <c r="AY137" s="13">
        <v>0.36436591522186174</v>
      </c>
      <c r="AZ137" s="13">
        <v>602</v>
      </c>
      <c r="BA137" s="13">
        <v>5.741979997919637E-3</v>
      </c>
      <c r="BB137" s="13">
        <v>0</v>
      </c>
      <c r="BD137" s="13">
        <v>134</v>
      </c>
      <c r="BE137" s="13">
        <v>100</v>
      </c>
      <c r="BF137" s="17">
        <v>102.7200285</v>
      </c>
      <c r="BH137" s="36">
        <v>8.8886418874371795</v>
      </c>
      <c r="BI137" s="36">
        <v>0.68088235294117605</v>
      </c>
      <c r="BJ137" s="36"/>
      <c r="BQ137" s="13">
        <f t="shared" si="11"/>
        <v>2.7200284999999935</v>
      </c>
      <c r="BR137" s="36">
        <v>0.12563066993031999</v>
      </c>
      <c r="BS137" s="13">
        <v>0.92573457096374068</v>
      </c>
      <c r="BT137" s="13">
        <v>2.7116047748045061E-2</v>
      </c>
      <c r="BU137" s="13">
        <v>1113</v>
      </c>
      <c r="BV137" s="13">
        <v>7.6071937536339824E-3</v>
      </c>
      <c r="BW137" s="13">
        <v>1</v>
      </c>
    </row>
    <row r="138" spans="1:75">
      <c r="A138" s="13">
        <v>135</v>
      </c>
      <c r="B138" s="13">
        <v>103</v>
      </c>
      <c r="C138" s="17">
        <v>104.3141763</v>
      </c>
      <c r="E138" s="36">
        <v>21.563255331658201</v>
      </c>
      <c r="F138" s="36">
        <v>0.71617647058823497</v>
      </c>
      <c r="G138" s="36"/>
      <c r="M138" s="13">
        <f t="shared" si="8"/>
        <v>1.2758993203883406</v>
      </c>
      <c r="O138" s="13">
        <v>135</v>
      </c>
      <c r="P138" s="13">
        <v>103</v>
      </c>
      <c r="Q138" s="17">
        <v>100.80170699999999</v>
      </c>
      <c r="S138" s="36">
        <v>27.449757982411999</v>
      </c>
      <c r="T138" s="36">
        <v>0.754411764705882</v>
      </c>
      <c r="U138" s="36"/>
      <c r="AA138" s="13">
        <f t="shared" si="9"/>
        <v>-2.1342650485436931</v>
      </c>
      <c r="AB138" s="36">
        <v>0.31563151178029802</v>
      </c>
      <c r="AC138" s="23">
        <v>0.33423099150652197</v>
      </c>
      <c r="AD138" s="23">
        <v>0.3096266037770159</v>
      </c>
      <c r="AE138" s="23">
        <v>140</v>
      </c>
      <c r="AF138" s="23">
        <v>3.3522686513774145E-3</v>
      </c>
      <c r="AG138" s="23">
        <v>0</v>
      </c>
      <c r="AI138" s="13">
        <v>135</v>
      </c>
      <c r="AJ138" s="13">
        <v>103</v>
      </c>
      <c r="AK138" s="17">
        <v>103.15283530000001</v>
      </c>
      <c r="AM138" s="36">
        <v>4.4453947849246198</v>
      </c>
      <c r="AN138" s="36">
        <v>0.66617647058823504</v>
      </c>
      <c r="AO138" s="36"/>
      <c r="AV138" s="13">
        <f t="shared" si="10"/>
        <v>0.14838378640777972</v>
      </c>
      <c r="AW138" s="36">
        <v>6.2028416059786901E-2</v>
      </c>
      <c r="AX138" s="13">
        <v>5.389243637791355E-2</v>
      </c>
      <c r="AY138" s="13">
        <v>0.17711592349162855</v>
      </c>
      <c r="AZ138" s="13">
        <v>740</v>
      </c>
      <c r="BA138" s="13">
        <v>7.969710629025158E-3</v>
      </c>
      <c r="BB138" s="13">
        <v>0</v>
      </c>
      <c r="BD138" s="13">
        <v>135</v>
      </c>
      <c r="BE138" s="13">
        <v>103</v>
      </c>
      <c r="BF138" s="17">
        <v>102.62358089999999</v>
      </c>
      <c r="BH138" s="36">
        <v>8.9591866643215994</v>
      </c>
      <c r="BI138" s="36">
        <v>0.68088235294117605</v>
      </c>
      <c r="BJ138" s="36"/>
      <c r="BQ138" s="13">
        <f t="shared" si="11"/>
        <v>-0.36545543689321391</v>
      </c>
      <c r="BR138" s="36">
        <v>0.12563066993031999</v>
      </c>
      <c r="BS138" s="13">
        <v>6.4860734530276368E-2</v>
      </c>
      <c r="BT138" s="13">
        <v>0.39597644405276983</v>
      </c>
      <c r="BU138" s="13">
        <v>1815</v>
      </c>
      <c r="BV138" s="13">
        <v>8.7020957995189688E-4</v>
      </c>
      <c r="BW138" s="13">
        <v>1</v>
      </c>
    </row>
    <row r="139" spans="1:75">
      <c r="A139" s="13">
        <v>136</v>
      </c>
      <c r="B139" s="13">
        <v>201</v>
      </c>
      <c r="C139" s="17">
        <v>209.122928</v>
      </c>
      <c r="E139" s="36">
        <v>21.733044743718501</v>
      </c>
      <c r="F139" s="36">
        <v>0.71617647058823497</v>
      </c>
      <c r="G139" s="36"/>
      <c r="M139" s="13">
        <f t="shared" si="8"/>
        <v>4.0412577114427917</v>
      </c>
      <c r="O139" s="13">
        <v>136</v>
      </c>
      <c r="P139" s="13">
        <v>201</v>
      </c>
      <c r="Q139" s="17">
        <v>202.06495849999999</v>
      </c>
      <c r="S139" s="36">
        <v>27.665897809045202</v>
      </c>
      <c r="T139" s="36">
        <v>0.75735294117647001</v>
      </c>
      <c r="U139" s="36"/>
      <c r="AA139" s="13">
        <f t="shared" si="9"/>
        <v>0.52983009950249293</v>
      </c>
      <c r="AB139" s="36">
        <v>0.31563151178029802</v>
      </c>
      <c r="AC139" s="23">
        <v>0.75638150540840099</v>
      </c>
      <c r="AD139" s="23">
        <v>0.97735153080422033</v>
      </c>
      <c r="AE139" s="23">
        <v>1212</v>
      </c>
      <c r="AF139" s="23">
        <v>5.9743563763261899E-3</v>
      </c>
      <c r="AG139" s="23">
        <v>1</v>
      </c>
      <c r="AI139" s="13">
        <v>136</v>
      </c>
      <c r="AJ139" s="13">
        <v>201</v>
      </c>
      <c r="AK139" s="17">
        <v>202.5385856</v>
      </c>
      <c r="AM139" s="36">
        <v>4.4803978934673303</v>
      </c>
      <c r="AN139" s="36">
        <v>0.66617647058823504</v>
      </c>
      <c r="AO139" s="36"/>
      <c r="AV139" s="13">
        <f t="shared" si="10"/>
        <v>0.76546547263682818</v>
      </c>
      <c r="AW139" s="36">
        <v>6.2028416059786901E-2</v>
      </c>
      <c r="AX139" s="13">
        <v>0.21784599376661065</v>
      </c>
      <c r="AY139" s="13">
        <v>3.6738166678979237E-2</v>
      </c>
      <c r="AZ139" s="13">
        <v>900</v>
      </c>
      <c r="BA139" s="13">
        <v>6.6172975332878638E-3</v>
      </c>
      <c r="BB139" s="13">
        <v>1</v>
      </c>
      <c r="BD139" s="13">
        <v>136</v>
      </c>
      <c r="BE139" s="13">
        <v>201</v>
      </c>
      <c r="BF139" s="17">
        <v>203.75758160000001</v>
      </c>
      <c r="BH139" s="36">
        <v>9.0297314412060192</v>
      </c>
      <c r="BI139" s="36">
        <v>0.68088235294117605</v>
      </c>
      <c r="BJ139" s="36"/>
      <c r="BQ139" s="13">
        <f t="shared" si="11"/>
        <v>1.3719311442786042</v>
      </c>
      <c r="BR139" s="36">
        <v>0.12563066993031999</v>
      </c>
      <c r="BS139" s="13">
        <v>0.48082499605081308</v>
      </c>
      <c r="BT139" s="13">
        <v>0.75206222798299038</v>
      </c>
      <c r="BU139" s="13">
        <v>1300</v>
      </c>
      <c r="BV139" s="13">
        <v>5.7931838867843173E-3</v>
      </c>
      <c r="BW139" s="13">
        <v>0</v>
      </c>
    </row>
    <row r="140" spans="1:75">
      <c r="A140" s="13">
        <v>137</v>
      </c>
      <c r="B140" s="13">
        <v>200</v>
      </c>
      <c r="C140" s="17">
        <v>167.30851419999999</v>
      </c>
      <c r="E140" s="36">
        <v>21.902834155778802</v>
      </c>
      <c r="F140" s="36">
        <v>0.71617647058823497</v>
      </c>
      <c r="G140" s="36"/>
      <c r="M140" s="13">
        <f t="shared" si="8"/>
        <v>-16.345742900000005</v>
      </c>
      <c r="O140" s="13">
        <v>137</v>
      </c>
      <c r="P140" s="13">
        <v>200</v>
      </c>
      <c r="Q140" s="17">
        <v>164.4511641</v>
      </c>
      <c r="S140" s="36">
        <v>27.882037635678302</v>
      </c>
      <c r="T140" s="36">
        <v>0.76029411764705801</v>
      </c>
      <c r="U140" s="36"/>
      <c r="AA140" s="13">
        <f t="shared" si="9"/>
        <v>-17.77441795</v>
      </c>
      <c r="AB140" s="36">
        <v>0.31563151178029802</v>
      </c>
      <c r="AC140" s="23">
        <v>0.66099692875842198</v>
      </c>
      <c r="AD140" s="23">
        <v>0.86373787837113603</v>
      </c>
      <c r="AE140" s="23">
        <v>704</v>
      </c>
      <c r="AF140" s="23">
        <v>1.7237245281631823E-3</v>
      </c>
      <c r="AG140" s="23">
        <v>1</v>
      </c>
      <c r="AI140" s="13">
        <v>137</v>
      </c>
      <c r="AJ140" s="13">
        <v>200</v>
      </c>
      <c r="AK140" s="17">
        <v>193.7097028</v>
      </c>
      <c r="AM140" s="36">
        <v>4.5154010020100497</v>
      </c>
      <c r="AN140" s="36">
        <v>0.66617647058823504</v>
      </c>
      <c r="AO140" s="36"/>
      <c r="AV140" s="13">
        <f t="shared" si="10"/>
        <v>-3.1451486000000028</v>
      </c>
      <c r="AW140" s="36">
        <v>5.5817030054380101E-2</v>
      </c>
      <c r="AX140" s="13">
        <v>0.7252135357880618</v>
      </c>
      <c r="AY140" s="13">
        <v>0.76426202358842077</v>
      </c>
      <c r="AZ140" s="13">
        <v>1039</v>
      </c>
      <c r="BA140" s="13">
        <v>5.9043652582645208E-3</v>
      </c>
      <c r="BB140" s="13">
        <v>0</v>
      </c>
      <c r="BD140" s="13">
        <v>137</v>
      </c>
      <c r="BE140" s="13">
        <v>200</v>
      </c>
      <c r="BF140" s="17">
        <v>185.96158940000001</v>
      </c>
      <c r="BH140" s="36">
        <v>9.1002762180904408</v>
      </c>
      <c r="BI140" s="36">
        <v>0.68088235294117605</v>
      </c>
      <c r="BJ140" s="36"/>
      <c r="BQ140" s="13">
        <f t="shared" si="11"/>
        <v>-7.0192052999999976</v>
      </c>
      <c r="BR140" s="36">
        <v>0.12563066993031999</v>
      </c>
      <c r="BS140" s="13">
        <v>0.69486048761391372</v>
      </c>
      <c r="BT140" s="13">
        <v>0.28695153327060496</v>
      </c>
      <c r="BU140" s="13">
        <v>364</v>
      </c>
      <c r="BV140" s="13">
        <v>8.0286194479835919E-3</v>
      </c>
      <c r="BW140" s="13">
        <v>1</v>
      </c>
    </row>
    <row r="141" spans="1:75">
      <c r="A141" s="13">
        <v>138</v>
      </c>
      <c r="B141" s="13">
        <v>17</v>
      </c>
      <c r="C141" s="17">
        <v>21.911011057583298</v>
      </c>
      <c r="E141" s="36">
        <v>22.072623567839099</v>
      </c>
      <c r="F141" s="36">
        <v>0.71617647058823497</v>
      </c>
      <c r="G141" s="36"/>
      <c r="M141" s="13">
        <f t="shared" si="8"/>
        <v>28.888300338725294</v>
      </c>
      <c r="O141" s="13">
        <v>138</v>
      </c>
      <c r="P141" s="13">
        <v>17</v>
      </c>
      <c r="Q141" s="17">
        <v>26.586116139642101</v>
      </c>
      <c r="S141" s="36">
        <v>28.098177462311501</v>
      </c>
      <c r="T141" s="36">
        <v>0.76323529411764701</v>
      </c>
      <c r="U141" s="36"/>
      <c r="AA141" s="13">
        <f t="shared" si="9"/>
        <v>56.388918468482949</v>
      </c>
      <c r="AB141" s="36">
        <v>0.31563151178029802</v>
      </c>
      <c r="AC141" s="23">
        <v>0.75486537369404449</v>
      </c>
      <c r="AD141" s="23">
        <v>0.24654256081786635</v>
      </c>
      <c r="AE141" s="23">
        <v>251</v>
      </c>
      <c r="AF141" s="23">
        <v>9.9734745067996018E-3</v>
      </c>
      <c r="AG141" s="23">
        <v>1</v>
      </c>
      <c r="AI141" s="13">
        <v>138</v>
      </c>
      <c r="AJ141" s="13">
        <v>17</v>
      </c>
      <c r="AK141" s="17">
        <v>17.7937675269328</v>
      </c>
      <c r="AM141" s="36">
        <v>4.5504041105527602</v>
      </c>
      <c r="AN141" s="36">
        <v>0.66617647058823504</v>
      </c>
      <c r="AO141" s="36"/>
      <c r="AV141" s="13">
        <f t="shared" si="10"/>
        <v>4.6692207466635383</v>
      </c>
      <c r="AW141" s="36">
        <v>5.5817030054380101E-2</v>
      </c>
      <c r="AX141" s="13">
        <v>0.30903325615106597</v>
      </c>
      <c r="AY141" s="13">
        <v>0.77805876254374018</v>
      </c>
      <c r="AZ141" s="13">
        <v>1973</v>
      </c>
      <c r="BA141" s="13">
        <v>4.4030498957123585E-3</v>
      </c>
      <c r="BB141" s="13">
        <v>1</v>
      </c>
      <c r="BD141" s="13">
        <v>138</v>
      </c>
      <c r="BE141" s="13">
        <v>17</v>
      </c>
      <c r="BF141" s="17">
        <v>18.247664187528301</v>
      </c>
      <c r="BH141" s="36">
        <v>9.1708209949748607</v>
      </c>
      <c r="BI141" s="36">
        <v>0.68088235294117605</v>
      </c>
      <c r="BJ141" s="36"/>
      <c r="BQ141" s="13">
        <f t="shared" si="11"/>
        <v>7.339201103107662</v>
      </c>
      <c r="BR141" s="36">
        <v>0.12563066993031999</v>
      </c>
      <c r="BS141" s="13">
        <v>0.3260501634656171</v>
      </c>
      <c r="BT141" s="13">
        <v>0.64039981681338587</v>
      </c>
      <c r="BU141" s="13">
        <v>259</v>
      </c>
      <c r="BV141" s="13">
        <v>3.3710040552702046E-3</v>
      </c>
      <c r="BW141" s="13">
        <v>0</v>
      </c>
    </row>
    <row r="142" spans="1:75">
      <c r="A142" s="13">
        <v>139</v>
      </c>
      <c r="B142" s="13">
        <v>155</v>
      </c>
      <c r="C142" s="17">
        <v>164.069909</v>
      </c>
      <c r="E142" s="36">
        <v>22.242412979899498</v>
      </c>
      <c r="F142" s="36">
        <v>0.71617647058823497</v>
      </c>
      <c r="G142" s="36"/>
      <c r="M142" s="13">
        <f t="shared" si="8"/>
        <v>5.8515541935483917</v>
      </c>
      <c r="O142" s="13">
        <v>139</v>
      </c>
      <c r="P142" s="13">
        <v>155</v>
      </c>
      <c r="Q142" s="17">
        <v>162.75218659999999</v>
      </c>
      <c r="S142" s="36">
        <v>28.3143172889447</v>
      </c>
      <c r="T142" s="36">
        <v>0.76911764705882302</v>
      </c>
      <c r="U142" s="36"/>
      <c r="AA142" s="13">
        <f t="shared" si="9"/>
        <v>5.0014107096774119</v>
      </c>
      <c r="AB142" s="36">
        <v>0.31563151178029802</v>
      </c>
      <c r="AC142" s="23">
        <v>3.7751282078550144E-3</v>
      </c>
      <c r="AD142" s="23">
        <v>0.13471026565563571</v>
      </c>
      <c r="AE142" s="23">
        <v>1364</v>
      </c>
      <c r="AF142" s="23">
        <v>9.6682483512642112E-3</v>
      </c>
      <c r="AG142" s="23">
        <v>1</v>
      </c>
      <c r="AI142" s="13">
        <v>139</v>
      </c>
      <c r="AJ142" s="13">
        <v>155</v>
      </c>
      <c r="AK142" s="17">
        <v>156.9819818</v>
      </c>
      <c r="AM142" s="36">
        <v>4.5854072190954698</v>
      </c>
      <c r="AN142" s="36">
        <v>0.66617647058823504</v>
      </c>
      <c r="AO142" s="36"/>
      <c r="AV142" s="13">
        <f t="shared" si="10"/>
        <v>1.2786979354838746</v>
      </c>
      <c r="AW142" s="36">
        <v>5.5817030054380101E-2</v>
      </c>
      <c r="AX142" s="13">
        <v>0.29198003237531467</v>
      </c>
      <c r="AY142" s="13">
        <v>0.40511939657722357</v>
      </c>
      <c r="AZ142" s="13">
        <v>1686</v>
      </c>
      <c r="BA142" s="13">
        <v>6.2473671733911029E-3</v>
      </c>
      <c r="BB142" s="13">
        <v>1</v>
      </c>
      <c r="BD142" s="13">
        <v>139</v>
      </c>
      <c r="BE142" s="13">
        <v>155</v>
      </c>
      <c r="BF142" s="17">
        <v>158.33929459999999</v>
      </c>
      <c r="BH142" s="36">
        <v>9.2413657718592894</v>
      </c>
      <c r="BI142" s="36">
        <v>0.68088235294117605</v>
      </c>
      <c r="BJ142" s="36"/>
      <c r="BQ142" s="13">
        <f t="shared" si="11"/>
        <v>2.1543836129032101</v>
      </c>
      <c r="BR142" s="36">
        <v>0.12563066993031999</v>
      </c>
      <c r="BS142" s="13">
        <v>0.59932446658683858</v>
      </c>
      <c r="BT142" s="13">
        <v>0.10523037482162421</v>
      </c>
      <c r="BU142" s="13">
        <v>859</v>
      </c>
      <c r="BV142" s="13">
        <v>6.3249935911979744E-3</v>
      </c>
      <c r="BW142" s="13">
        <v>1</v>
      </c>
    </row>
    <row r="143" spans="1:75">
      <c r="A143" s="13">
        <v>140</v>
      </c>
      <c r="B143" s="13">
        <v>4</v>
      </c>
      <c r="C143" s="17">
        <v>2.6153268361537898</v>
      </c>
      <c r="E143" s="36">
        <v>22.412202391959799</v>
      </c>
      <c r="F143" s="36">
        <v>0.71617647058823497</v>
      </c>
      <c r="G143" s="36"/>
      <c r="M143" s="13">
        <f t="shared" si="8"/>
        <v>-34.616829096155257</v>
      </c>
      <c r="O143" s="13">
        <v>140</v>
      </c>
      <c r="P143" s="13">
        <v>4</v>
      </c>
      <c r="Q143" s="17">
        <v>2.5651662643985098</v>
      </c>
      <c r="S143" s="36">
        <v>28.5304571155778</v>
      </c>
      <c r="T143" s="36">
        <v>0.77647058823529402</v>
      </c>
      <c r="U143" s="36"/>
      <c r="AA143" s="13">
        <f t="shared" si="9"/>
        <v>-35.870843390037251</v>
      </c>
      <c r="AB143" s="36">
        <v>0.31563151178029802</v>
      </c>
      <c r="AC143" s="23">
        <v>0.21484104112515509</v>
      </c>
      <c r="AD143" s="23">
        <v>4.311234220686283E-2</v>
      </c>
      <c r="AE143" s="23">
        <v>1474</v>
      </c>
      <c r="AF143" s="23">
        <v>2.3761517743480683E-3</v>
      </c>
      <c r="AG143" s="23">
        <v>1</v>
      </c>
      <c r="AI143" s="13">
        <v>140</v>
      </c>
      <c r="AJ143" s="13">
        <v>4</v>
      </c>
      <c r="AK143" s="17">
        <v>5.0423876603629498</v>
      </c>
      <c r="AM143" s="36">
        <v>4.62041032763819</v>
      </c>
      <c r="AN143" s="36">
        <v>0.66617647058823504</v>
      </c>
      <c r="AO143" s="36"/>
      <c r="AV143" s="13">
        <f t="shared" si="10"/>
        <v>26.059691509073744</v>
      </c>
      <c r="AW143" s="36">
        <v>5.5817030054380101E-2</v>
      </c>
      <c r="AX143" s="13">
        <v>0.78781580595491951</v>
      </c>
      <c r="AY143" s="13">
        <v>5.4207734477660342E-2</v>
      </c>
      <c r="AZ143" s="13">
        <v>895</v>
      </c>
      <c r="BA143" s="13">
        <v>3.8007815362801397E-3</v>
      </c>
      <c r="BB143" s="13">
        <v>1</v>
      </c>
      <c r="BD143" s="13">
        <v>140</v>
      </c>
      <c r="BE143" s="13">
        <v>4</v>
      </c>
      <c r="BF143" s="17">
        <v>5.6200665165334396</v>
      </c>
      <c r="BH143" s="36">
        <v>9.3119105487437093</v>
      </c>
      <c r="BI143" s="36">
        <v>0.68088235294117605</v>
      </c>
      <c r="BJ143" s="36"/>
      <c r="BQ143" s="13">
        <f t="shared" si="11"/>
        <v>40.501662913335991</v>
      </c>
      <c r="BR143" s="36">
        <v>0.12563066993031999</v>
      </c>
      <c r="BS143" s="13">
        <v>0.12720766537342898</v>
      </c>
      <c r="BT143" s="13">
        <v>0.85600887739062714</v>
      </c>
      <c r="BU143" s="13">
        <v>1056</v>
      </c>
      <c r="BV143" s="13">
        <v>1.3308802502695377E-3</v>
      </c>
      <c r="BW143" s="13">
        <v>0</v>
      </c>
    </row>
    <row r="144" spans="1:75">
      <c r="A144" s="13">
        <v>141</v>
      </c>
      <c r="B144" s="13">
        <v>75</v>
      </c>
      <c r="C144" s="17">
        <v>76.269467520000006</v>
      </c>
      <c r="E144" s="36">
        <v>22.581991804020099</v>
      </c>
      <c r="F144" s="36">
        <v>0.71617647058823497</v>
      </c>
      <c r="G144" s="36"/>
      <c r="M144" s="13">
        <f t="shared" si="8"/>
        <v>1.6926233600000007</v>
      </c>
      <c r="O144" s="13">
        <v>141</v>
      </c>
      <c r="P144" s="13">
        <v>75</v>
      </c>
      <c r="Q144" s="17">
        <v>69.693184869999996</v>
      </c>
      <c r="S144" s="36">
        <v>28.746596942210999</v>
      </c>
      <c r="T144" s="36">
        <v>0.77941176470588203</v>
      </c>
      <c r="U144" s="36"/>
      <c r="AA144" s="13">
        <f t="shared" si="9"/>
        <v>-7.075753506666671</v>
      </c>
      <c r="AB144" s="36">
        <v>0.31319311300075098</v>
      </c>
      <c r="AC144" s="23">
        <v>0.64095744617462158</v>
      </c>
      <c r="AD144" s="23">
        <v>0.50177559745086198</v>
      </c>
      <c r="AE144" s="23">
        <v>764</v>
      </c>
      <c r="AF144" s="23">
        <v>5.275090077566544E-3</v>
      </c>
      <c r="AG144" s="23">
        <v>1</v>
      </c>
      <c r="AI144" s="13">
        <v>141</v>
      </c>
      <c r="AJ144" s="13">
        <v>75</v>
      </c>
      <c r="AK144" s="17">
        <v>75.387893500000004</v>
      </c>
      <c r="AM144" s="36">
        <v>4.6554134361808996</v>
      </c>
      <c r="AN144" s="36">
        <v>0.66617647058823504</v>
      </c>
      <c r="AO144" s="36"/>
      <c r="AV144" s="13">
        <f t="shared" si="10"/>
        <v>0.51719133333334444</v>
      </c>
      <c r="AW144" s="36">
        <v>5.5817030054380101E-2</v>
      </c>
      <c r="AX144" s="13">
        <v>3.6952676290673683E-2</v>
      </c>
      <c r="AY144" s="13">
        <v>0.49746865911575938</v>
      </c>
      <c r="AZ144" s="13">
        <v>1491</v>
      </c>
      <c r="BA144" s="13">
        <v>9.6648768043123383E-3</v>
      </c>
      <c r="BB144" s="13">
        <v>0</v>
      </c>
      <c r="BD144" s="13">
        <v>141</v>
      </c>
      <c r="BE144" s="13">
        <v>75</v>
      </c>
      <c r="BF144" s="17">
        <v>74.777475460000005</v>
      </c>
      <c r="BH144" s="36">
        <v>9.3824553256281291</v>
      </c>
      <c r="BI144" s="36">
        <v>0.68088235294117605</v>
      </c>
      <c r="BJ144" s="36"/>
      <c r="BQ144" s="13">
        <f t="shared" si="11"/>
        <v>-0.29669938666665452</v>
      </c>
      <c r="BR144" s="36">
        <v>0.12465743135782099</v>
      </c>
      <c r="BS144" s="13">
        <v>0.38900365321609737</v>
      </c>
      <c r="BT144" s="13">
        <v>0.49349213001641595</v>
      </c>
      <c r="BU144" s="13">
        <v>206</v>
      </c>
      <c r="BV144" s="13">
        <v>7.50031324711092E-3</v>
      </c>
      <c r="BW144" s="13">
        <v>0</v>
      </c>
    </row>
    <row r="145" spans="1:75">
      <c r="A145" s="13">
        <v>142</v>
      </c>
      <c r="B145" s="13">
        <v>236</v>
      </c>
      <c r="C145" s="17">
        <v>205.57118829999999</v>
      </c>
      <c r="E145" s="36">
        <v>22.751781216080399</v>
      </c>
      <c r="F145" s="36">
        <v>0.71617647058823497</v>
      </c>
      <c r="G145" s="36"/>
      <c r="M145" s="13">
        <f t="shared" si="8"/>
        <v>-12.893564279661017</v>
      </c>
      <c r="O145" s="13">
        <v>142</v>
      </c>
      <c r="P145" s="13">
        <v>236</v>
      </c>
      <c r="Q145" s="17">
        <v>200.34115779999999</v>
      </c>
      <c r="S145" s="36">
        <v>28.962736768844199</v>
      </c>
      <c r="T145" s="36">
        <v>0.78529411764705803</v>
      </c>
      <c r="U145" s="36"/>
      <c r="AA145" s="13">
        <f t="shared" si="9"/>
        <v>-15.10967889830509</v>
      </c>
      <c r="AB145" s="36">
        <v>0.31319311300075098</v>
      </c>
      <c r="AC145" s="23">
        <v>0.14294011015116903</v>
      </c>
      <c r="AD145" s="23">
        <v>0.60875758079244313</v>
      </c>
      <c r="AE145" s="23">
        <v>487</v>
      </c>
      <c r="AF145" s="23">
        <v>2.3995326459537989E-4</v>
      </c>
      <c r="AG145" s="23">
        <v>0</v>
      </c>
      <c r="AI145" s="13">
        <v>142</v>
      </c>
      <c r="AJ145" s="13">
        <v>236</v>
      </c>
      <c r="AK145" s="17">
        <v>230.07823769999999</v>
      </c>
      <c r="AM145" s="36">
        <v>4.6904165447236101</v>
      </c>
      <c r="AN145" s="36">
        <v>0.66617647058823504</v>
      </c>
      <c r="AO145" s="36"/>
      <c r="AV145" s="13">
        <f t="shared" si="10"/>
        <v>-2.5092213135593289</v>
      </c>
      <c r="AW145" s="36">
        <v>5.5817030054380101E-2</v>
      </c>
      <c r="AX145" s="13">
        <v>0.13756795411256514</v>
      </c>
      <c r="AY145" s="13">
        <v>0.9555766346270701</v>
      </c>
      <c r="AZ145" s="13">
        <v>237</v>
      </c>
      <c r="BA145" s="13">
        <v>8.8475977441473778E-3</v>
      </c>
      <c r="BB145" s="13">
        <v>0</v>
      </c>
      <c r="BD145" s="13">
        <v>142</v>
      </c>
      <c r="BE145" s="13">
        <v>236</v>
      </c>
      <c r="BF145" s="17">
        <v>223.2402189</v>
      </c>
      <c r="BH145" s="36">
        <v>9.4530001025125507</v>
      </c>
      <c r="BI145" s="36">
        <v>0.68088235294117605</v>
      </c>
      <c r="BJ145" s="36"/>
      <c r="BQ145" s="13">
        <f t="shared" si="11"/>
        <v>-5.4066869067796564</v>
      </c>
      <c r="BR145" s="36">
        <v>0.12465743135782099</v>
      </c>
      <c r="BS145" s="13">
        <v>0.12089880676622587</v>
      </c>
      <c r="BT145" s="13">
        <v>0.12542713320721258</v>
      </c>
      <c r="BU145" s="13">
        <v>469</v>
      </c>
      <c r="BV145" s="13">
        <v>7.829404161280043E-3</v>
      </c>
      <c r="BW145" s="13">
        <v>1</v>
      </c>
    </row>
    <row r="146" spans="1:75">
      <c r="A146" s="13">
        <v>143</v>
      </c>
      <c r="B146" s="13">
        <v>69</v>
      </c>
      <c r="C146" s="17">
        <v>80.367271630000005</v>
      </c>
      <c r="E146" s="36">
        <v>22.921570628140699</v>
      </c>
      <c r="F146" s="36">
        <v>0.71617647058823497</v>
      </c>
      <c r="G146" s="36"/>
      <c r="M146" s="13">
        <f t="shared" si="8"/>
        <v>16.474306710144937</v>
      </c>
      <c r="O146" s="13">
        <v>143</v>
      </c>
      <c r="P146" s="13">
        <v>69</v>
      </c>
      <c r="Q146" s="17">
        <v>78.574473729999994</v>
      </c>
      <c r="S146" s="36">
        <v>29.178876595477298</v>
      </c>
      <c r="T146" s="36">
        <v>0.78970588235294104</v>
      </c>
      <c r="U146" s="36"/>
      <c r="AA146" s="13">
        <f t="shared" si="9"/>
        <v>13.876048884057957</v>
      </c>
      <c r="AB146" s="36">
        <v>0.31319311300075098</v>
      </c>
      <c r="AC146" s="23">
        <v>0.20994397691209135</v>
      </c>
      <c r="AD146" s="23">
        <v>0.84634277728386764</v>
      </c>
      <c r="AE146" s="23">
        <v>1874</v>
      </c>
      <c r="AF146" s="23">
        <v>5.9166692919667696E-3</v>
      </c>
      <c r="AG146" s="23">
        <v>1</v>
      </c>
      <c r="AI146" s="13">
        <v>143</v>
      </c>
      <c r="AJ146" s="13">
        <v>69</v>
      </c>
      <c r="AK146" s="17">
        <v>71.191454329999999</v>
      </c>
      <c r="AM146" s="36">
        <v>4.7254196532663304</v>
      </c>
      <c r="AN146" s="36">
        <v>0.66617647058823504</v>
      </c>
      <c r="AO146" s="36"/>
      <c r="AV146" s="13">
        <f t="shared" si="10"/>
        <v>3.1760207681159391</v>
      </c>
      <c r="AW146" s="36">
        <v>5.5817030054380101E-2</v>
      </c>
      <c r="AX146" s="13">
        <v>0.8679596765949571</v>
      </c>
      <c r="AY146" s="13">
        <v>0.45842968279359392</v>
      </c>
      <c r="AZ146" s="13">
        <v>597</v>
      </c>
      <c r="BA146" s="13">
        <v>9.6185867863070179E-3</v>
      </c>
      <c r="BB146" s="13">
        <v>1</v>
      </c>
      <c r="BD146" s="13">
        <v>143</v>
      </c>
      <c r="BE146" s="13">
        <v>69</v>
      </c>
      <c r="BF146" s="17">
        <v>72.761857469999995</v>
      </c>
      <c r="BH146" s="36">
        <v>9.5235448793969795</v>
      </c>
      <c r="BI146" s="36">
        <v>0.68088235294117605</v>
      </c>
      <c r="BJ146" s="36"/>
      <c r="BQ146" s="13">
        <f t="shared" si="11"/>
        <v>5.45196734782607</v>
      </c>
      <c r="BR146" s="36">
        <v>0.110598454790637</v>
      </c>
      <c r="BS146" s="13">
        <v>0.77896186746407414</v>
      </c>
      <c r="BT146" s="13">
        <v>8.5042265096618594E-2</v>
      </c>
      <c r="BU146" s="13">
        <v>852</v>
      </c>
      <c r="BV146" s="13">
        <v>7.689839087660506E-3</v>
      </c>
      <c r="BW146" s="13">
        <v>0</v>
      </c>
    </row>
    <row r="147" spans="1:75">
      <c r="A147" s="13">
        <v>144</v>
      </c>
      <c r="B147" s="13">
        <v>66</v>
      </c>
      <c r="C147" s="17">
        <v>37.010944600000002</v>
      </c>
      <c r="E147" s="36">
        <v>23.091360040201</v>
      </c>
      <c r="F147" s="36">
        <v>0.71617647058823497</v>
      </c>
      <c r="G147" s="36"/>
      <c r="M147" s="13">
        <f t="shared" si="8"/>
        <v>-43.922811212121204</v>
      </c>
      <c r="O147" s="13">
        <v>144</v>
      </c>
      <c r="P147" s="13">
        <v>66</v>
      </c>
      <c r="Q147" s="17">
        <v>35.813222459999999</v>
      </c>
      <c r="S147" s="36">
        <v>29.395016422110501</v>
      </c>
      <c r="T147" s="36">
        <v>0.79117647058823504</v>
      </c>
      <c r="U147" s="36"/>
      <c r="AA147" s="13">
        <f t="shared" si="9"/>
        <v>-45.737541727272735</v>
      </c>
      <c r="AB147" s="36">
        <v>0.31319311300075098</v>
      </c>
      <c r="AC147" s="23">
        <v>0.15036219754269506</v>
      </c>
      <c r="AD147" s="23">
        <v>0.72289539471926534</v>
      </c>
      <c r="AE147" s="23">
        <v>972</v>
      </c>
      <c r="AF147" s="23">
        <v>8.4568758077937164E-3</v>
      </c>
      <c r="AG147" s="23">
        <v>0</v>
      </c>
      <c r="AI147" s="13">
        <v>144</v>
      </c>
      <c r="AJ147" s="13">
        <v>66</v>
      </c>
      <c r="AK147" s="17">
        <v>60.21018892</v>
      </c>
      <c r="AM147" s="36">
        <v>4.76042276180904</v>
      </c>
      <c r="AN147" s="36">
        <v>0.66617647058823504</v>
      </c>
      <c r="AO147" s="36"/>
      <c r="AV147" s="13">
        <f t="shared" si="10"/>
        <v>-8.7724410303030353</v>
      </c>
      <c r="AW147" s="36">
        <v>5.5817030054380101E-2</v>
      </c>
      <c r="AX147" s="13">
        <v>0.13794042959488653</v>
      </c>
      <c r="AY147" s="13">
        <v>0.6632540424807768</v>
      </c>
      <c r="AZ147" s="13">
        <v>1669</v>
      </c>
      <c r="BA147" s="13">
        <v>5.4048805257303828E-3</v>
      </c>
      <c r="BB147" s="13">
        <v>1</v>
      </c>
      <c r="BD147" s="13">
        <v>144</v>
      </c>
      <c r="BE147" s="13">
        <v>66</v>
      </c>
      <c r="BF147" s="17">
        <v>53.821358119999999</v>
      </c>
      <c r="BH147" s="36">
        <v>9.5940896562813993</v>
      </c>
      <c r="BI147" s="36">
        <v>0.68088235294117605</v>
      </c>
      <c r="BJ147" s="36"/>
      <c r="BQ147" s="13">
        <f t="shared" si="11"/>
        <v>-18.452487696969698</v>
      </c>
      <c r="BR147" s="36">
        <v>0.110598454790637</v>
      </c>
      <c r="BS147" s="13">
        <v>0.92888920117273555</v>
      </c>
      <c r="BT147" s="13">
        <v>0.73785341172002972</v>
      </c>
      <c r="BU147" s="13">
        <v>485</v>
      </c>
      <c r="BV147" s="13">
        <v>3.5700487595956326E-3</v>
      </c>
      <c r="BW147" s="13">
        <v>1</v>
      </c>
    </row>
    <row r="148" spans="1:75">
      <c r="A148" s="13">
        <v>145</v>
      </c>
      <c r="B148" s="13">
        <v>198</v>
      </c>
      <c r="C148" s="17">
        <v>164.211907</v>
      </c>
      <c r="E148" s="36">
        <v>23.2611494522613</v>
      </c>
      <c r="F148" s="36">
        <v>0.71617647058823497</v>
      </c>
      <c r="G148" s="36"/>
      <c r="M148" s="13">
        <f t="shared" si="8"/>
        <v>-17.064693434343436</v>
      </c>
      <c r="O148" s="13">
        <v>145</v>
      </c>
      <c r="P148" s="13">
        <v>198</v>
      </c>
      <c r="Q148" s="17">
        <v>163.92107540000001</v>
      </c>
      <c r="S148" s="36">
        <v>29.611156248743701</v>
      </c>
      <c r="T148" s="36">
        <v>0.79411764705882304</v>
      </c>
      <c r="U148" s="36"/>
      <c r="AA148" s="13">
        <f t="shared" si="9"/>
        <v>-17.211578080808078</v>
      </c>
      <c r="AB148" s="36">
        <v>0.31319311300075098</v>
      </c>
      <c r="AC148" s="23">
        <v>0.29771267518052141</v>
      </c>
      <c r="AD148" s="23">
        <v>0.31726643785043795</v>
      </c>
      <c r="AE148" s="23">
        <v>1335</v>
      </c>
      <c r="AF148" s="23">
        <v>7.3788337941167285E-3</v>
      </c>
      <c r="AG148" s="23">
        <v>1</v>
      </c>
      <c r="AI148" s="13">
        <v>145</v>
      </c>
      <c r="AJ148" s="13">
        <v>198</v>
      </c>
      <c r="AK148" s="17">
        <v>191.0343814</v>
      </c>
      <c r="AM148" s="36">
        <v>4.7954258703517496</v>
      </c>
      <c r="AN148" s="36">
        <v>0.66617647058823504</v>
      </c>
      <c r="AO148" s="36"/>
      <c r="AV148" s="13">
        <f t="shared" si="10"/>
        <v>-3.5179891919191908</v>
      </c>
      <c r="AW148" s="36">
        <v>5.5817030054380101E-2</v>
      </c>
      <c r="AX148" s="13">
        <v>8.5102930381430783E-2</v>
      </c>
      <c r="AY148" s="13">
        <v>0.59529833698736023</v>
      </c>
      <c r="AZ148" s="13">
        <v>212</v>
      </c>
      <c r="BA148" s="13">
        <v>9.1447577637553297E-4</v>
      </c>
      <c r="BB148" s="13">
        <v>1</v>
      </c>
      <c r="BD148" s="13">
        <v>145</v>
      </c>
      <c r="BE148" s="13">
        <v>198</v>
      </c>
      <c r="BF148" s="17">
        <v>184.31965719999999</v>
      </c>
      <c r="BH148" s="36">
        <v>9.6646344331658192</v>
      </c>
      <c r="BI148" s="36">
        <v>0.68088235294117605</v>
      </c>
      <c r="BJ148" s="36"/>
      <c r="BQ148" s="13">
        <f t="shared" si="11"/>
        <v>-6.9092640404040395</v>
      </c>
      <c r="BR148" s="36">
        <v>0.110310841087449</v>
      </c>
      <c r="BS148" s="13">
        <v>0.10209262648096999</v>
      </c>
      <c r="BT148" s="13">
        <v>0.28810647417291485</v>
      </c>
      <c r="BU148" s="13">
        <v>1772</v>
      </c>
      <c r="BV148" s="13">
        <v>8.3589673011493035E-3</v>
      </c>
      <c r="BW148" s="13">
        <v>1</v>
      </c>
    </row>
    <row r="149" spans="1:75">
      <c r="A149" s="13">
        <v>146</v>
      </c>
      <c r="B149" s="13">
        <v>161</v>
      </c>
      <c r="C149" s="17">
        <v>170.5399108</v>
      </c>
      <c r="E149" s="36">
        <v>23.4309388643216</v>
      </c>
      <c r="F149" s="36">
        <v>0.71617647058823497</v>
      </c>
      <c r="G149" s="36"/>
      <c r="M149" s="13">
        <f t="shared" si="8"/>
        <v>5.9254104347826075</v>
      </c>
      <c r="O149" s="13">
        <v>146</v>
      </c>
      <c r="P149" s="13">
        <v>161</v>
      </c>
      <c r="Q149" s="17">
        <v>161.97375210000001</v>
      </c>
      <c r="S149" s="36">
        <v>29.8272960753768</v>
      </c>
      <c r="T149" s="36">
        <v>0.8</v>
      </c>
      <c r="U149" s="36"/>
      <c r="AA149" s="13">
        <f t="shared" si="9"/>
        <v>0.6048149689441118</v>
      </c>
      <c r="AB149" s="36">
        <v>0.31319311300075098</v>
      </c>
      <c r="AC149" s="23">
        <v>0.63518488317437638</v>
      </c>
      <c r="AD149" s="23">
        <v>0.81763873528604114</v>
      </c>
      <c r="AE149" s="23">
        <v>1539</v>
      </c>
      <c r="AF149" s="23">
        <v>9.9013250055644767E-3</v>
      </c>
      <c r="AG149" s="23">
        <v>1</v>
      </c>
      <c r="AI149" s="13">
        <v>146</v>
      </c>
      <c r="AJ149" s="13">
        <v>161</v>
      </c>
      <c r="AK149" s="17">
        <v>162.5999822</v>
      </c>
      <c r="AM149" s="36">
        <v>4.8304289788944699</v>
      </c>
      <c r="AN149" s="36">
        <v>0.66617647058823504</v>
      </c>
      <c r="AO149" s="36"/>
      <c r="AV149" s="13">
        <f t="shared" si="10"/>
        <v>0.9937777639751566</v>
      </c>
      <c r="AW149" s="36">
        <v>5.5817030054380101E-2</v>
      </c>
      <c r="AX149" s="13">
        <v>0.39836446462004638</v>
      </c>
      <c r="AY149" s="13">
        <v>0.98451467063775022</v>
      </c>
      <c r="AZ149" s="13">
        <v>1416</v>
      </c>
      <c r="BA149" s="13">
        <v>8.3313823641768903E-5</v>
      </c>
      <c r="BB149" s="13">
        <v>0</v>
      </c>
      <c r="BD149" s="13">
        <v>146</v>
      </c>
      <c r="BE149" s="13">
        <v>161</v>
      </c>
      <c r="BF149" s="17">
        <v>164.27026129999999</v>
      </c>
      <c r="BH149" s="36">
        <v>9.7351792100502408</v>
      </c>
      <c r="BI149" s="36">
        <v>0.68088235294117605</v>
      </c>
      <c r="BJ149" s="36"/>
      <c r="BQ149" s="13">
        <f t="shared" si="11"/>
        <v>2.031218198757756</v>
      </c>
      <c r="BR149" s="36">
        <v>0.110310841087449</v>
      </c>
      <c r="BS149" s="13">
        <v>0.92858202381091692</v>
      </c>
      <c r="BT149" s="13">
        <v>0.84484564164491771</v>
      </c>
      <c r="BU149" s="13">
        <v>1935</v>
      </c>
      <c r="BV149" s="13">
        <v>4.6265282725462854E-3</v>
      </c>
      <c r="BW149" s="13">
        <v>0</v>
      </c>
    </row>
    <row r="150" spans="1:75">
      <c r="A150" s="13">
        <v>147</v>
      </c>
      <c r="B150" s="13">
        <v>232</v>
      </c>
      <c r="C150" s="17">
        <v>201.52682949999999</v>
      </c>
      <c r="E150" s="36">
        <v>23.600728276381901</v>
      </c>
      <c r="F150" s="36">
        <v>0.71617647058823497</v>
      </c>
      <c r="G150" s="36"/>
      <c r="M150" s="13">
        <f t="shared" si="8"/>
        <v>-13.134987284482758</v>
      </c>
      <c r="O150" s="13">
        <v>147</v>
      </c>
      <c r="P150" s="13">
        <v>232</v>
      </c>
      <c r="Q150" s="17">
        <v>199.3948054</v>
      </c>
      <c r="S150" s="36">
        <v>30.04343590201</v>
      </c>
      <c r="T150" s="36">
        <v>0.80441176470588205</v>
      </c>
      <c r="U150" s="36"/>
      <c r="AA150" s="13">
        <f t="shared" si="9"/>
        <v>-14.053963189655171</v>
      </c>
      <c r="AB150" s="36">
        <v>0.31319311300075098</v>
      </c>
      <c r="AC150" s="23">
        <v>4.8599211936271237E-2</v>
      </c>
      <c r="AD150" s="23">
        <v>0.96828066988402794</v>
      </c>
      <c r="AE150" s="23">
        <v>860</v>
      </c>
      <c r="AF150" s="23">
        <v>5.4430828341571762E-4</v>
      </c>
      <c r="AG150" s="23">
        <v>1</v>
      </c>
      <c r="AI150" s="13">
        <v>147</v>
      </c>
      <c r="AJ150" s="13">
        <v>232</v>
      </c>
      <c r="AK150" s="17">
        <v>225.61336589999999</v>
      </c>
      <c r="AM150" s="36">
        <v>4.8654320874371804</v>
      </c>
      <c r="AN150" s="36">
        <v>0.66617647058823504</v>
      </c>
      <c r="AO150" s="36"/>
      <c r="AV150" s="13">
        <f t="shared" si="10"/>
        <v>-2.7528595258620725</v>
      </c>
      <c r="AW150" s="36">
        <v>5.3058273144072E-2</v>
      </c>
      <c r="AX150" s="13">
        <v>0.64592837981419648</v>
      </c>
      <c r="AY150" s="13">
        <v>0.82392814690688698</v>
      </c>
      <c r="AZ150" s="13">
        <v>810</v>
      </c>
      <c r="BA150" s="13">
        <v>7.5172253423273381E-3</v>
      </c>
      <c r="BB150" s="13">
        <v>0</v>
      </c>
      <c r="BD150" s="13">
        <v>147</v>
      </c>
      <c r="BE150" s="13">
        <v>232</v>
      </c>
      <c r="BF150" s="17">
        <v>219.9857299</v>
      </c>
      <c r="BH150" s="36">
        <v>9.8057239869346606</v>
      </c>
      <c r="BI150" s="36">
        <v>0.68088235294117605</v>
      </c>
      <c r="BJ150" s="36"/>
      <c r="BQ150" s="13">
        <f t="shared" si="11"/>
        <v>-5.1785646982758671</v>
      </c>
      <c r="BR150" s="36">
        <v>0.110310841087449</v>
      </c>
      <c r="BS150" s="13">
        <v>0.4340468762674905</v>
      </c>
      <c r="BT150" s="13">
        <v>0.28051297182477708</v>
      </c>
      <c r="BU150" s="13">
        <v>1950</v>
      </c>
      <c r="BV150" s="13">
        <v>9.4564191625562215E-4</v>
      </c>
      <c r="BW150" s="13">
        <v>0</v>
      </c>
    </row>
    <row r="151" spans="1:75">
      <c r="A151" s="13">
        <v>148</v>
      </c>
      <c r="B151" s="13">
        <v>173</v>
      </c>
      <c r="C151" s="17">
        <v>172.3496495</v>
      </c>
      <c r="E151" s="36">
        <v>23.770517688442201</v>
      </c>
      <c r="F151" s="36">
        <v>0.71617647058823497</v>
      </c>
      <c r="G151" s="36"/>
      <c r="M151" s="13">
        <f t="shared" si="8"/>
        <v>-0.37592514450867087</v>
      </c>
      <c r="O151" s="13">
        <v>148</v>
      </c>
      <c r="P151" s="13">
        <v>173</v>
      </c>
      <c r="Q151" s="17">
        <v>167.08075239999999</v>
      </c>
      <c r="S151" s="36">
        <v>30.259575728643199</v>
      </c>
      <c r="T151" s="36">
        <v>0.81029411764705805</v>
      </c>
      <c r="U151" s="36"/>
      <c r="AA151" s="13">
        <f t="shared" si="9"/>
        <v>-3.4215304046242845</v>
      </c>
      <c r="AB151" s="36">
        <v>0.31319311300075098</v>
      </c>
      <c r="AC151" s="23">
        <v>0.70718622234285056</v>
      </c>
      <c r="AD151" s="23">
        <v>0.50532763855625884</v>
      </c>
      <c r="AE151" s="23">
        <v>157</v>
      </c>
      <c r="AF151" s="23">
        <v>2.8744556060133603E-3</v>
      </c>
      <c r="AG151" s="23">
        <v>1</v>
      </c>
      <c r="AI151" s="13">
        <v>148</v>
      </c>
      <c r="AJ151" s="13">
        <v>173</v>
      </c>
      <c r="AK151" s="17">
        <v>172.8119299</v>
      </c>
      <c r="AM151" s="36">
        <v>4.9004351959798997</v>
      </c>
      <c r="AN151" s="36">
        <v>0.66617647058823504</v>
      </c>
      <c r="AO151" s="36"/>
      <c r="AV151" s="13">
        <f t="shared" si="10"/>
        <v>-0.10871104046242808</v>
      </c>
      <c r="AW151" s="36">
        <v>5.3058273144072E-2</v>
      </c>
      <c r="AX151" s="13">
        <v>0.30354241901792145</v>
      </c>
      <c r="AY151" s="13">
        <v>0.55591777401792553</v>
      </c>
      <c r="AZ151" s="13">
        <v>351</v>
      </c>
      <c r="BA151" s="13">
        <v>4.4858902040107286E-3</v>
      </c>
      <c r="BB151" s="13">
        <v>0</v>
      </c>
      <c r="BD151" s="13">
        <v>148</v>
      </c>
      <c r="BE151" s="13">
        <v>173</v>
      </c>
      <c r="BF151" s="17">
        <v>172.7797272</v>
      </c>
      <c r="BH151" s="36">
        <v>9.8762687638190894</v>
      </c>
      <c r="BI151" s="36">
        <v>0.68088235294117605</v>
      </c>
      <c r="BJ151" s="36"/>
      <c r="BQ151" s="13">
        <f t="shared" si="11"/>
        <v>-0.12732531791908031</v>
      </c>
      <c r="BR151" s="36">
        <v>0.110310841087449</v>
      </c>
      <c r="BS151" s="13">
        <v>0.92943466206752023</v>
      </c>
      <c r="BT151" s="13">
        <v>0.799866679975343</v>
      </c>
      <c r="BU151" s="13">
        <v>1997</v>
      </c>
      <c r="BV151" s="13">
        <v>7.3447853096982865E-3</v>
      </c>
      <c r="BW151" s="13">
        <v>0</v>
      </c>
    </row>
    <row r="152" spans="1:75">
      <c r="A152" s="13">
        <v>149</v>
      </c>
      <c r="B152" s="13">
        <v>168</v>
      </c>
      <c r="C152" s="17">
        <v>177.2940174</v>
      </c>
      <c r="E152" s="36">
        <v>23.940307100502501</v>
      </c>
      <c r="F152" s="36">
        <v>0.71764705882352897</v>
      </c>
      <c r="G152" s="36"/>
      <c r="M152" s="13">
        <f t="shared" si="8"/>
        <v>5.5321532142857066</v>
      </c>
      <c r="O152" s="13">
        <v>149</v>
      </c>
      <c r="P152" s="13">
        <v>168</v>
      </c>
      <c r="Q152" s="17">
        <v>172.18865690000001</v>
      </c>
      <c r="S152" s="36">
        <v>30.475715555276299</v>
      </c>
      <c r="T152" s="36">
        <v>0.81323529411764695</v>
      </c>
      <c r="U152" s="36"/>
      <c r="AA152" s="13">
        <f t="shared" si="9"/>
        <v>2.4932481547619068</v>
      </c>
      <c r="AB152" s="36">
        <v>0.31319311300075098</v>
      </c>
      <c r="AC152" s="23">
        <v>0.71727237771924779</v>
      </c>
      <c r="AD152" s="23">
        <v>0.4404997146929337</v>
      </c>
      <c r="AE152" s="23">
        <v>1923</v>
      </c>
      <c r="AF152" s="23">
        <v>9.337211928118698E-3</v>
      </c>
      <c r="AG152" s="23">
        <v>1</v>
      </c>
      <c r="AI152" s="13">
        <v>149</v>
      </c>
      <c r="AJ152" s="13">
        <v>168</v>
      </c>
      <c r="AK152" s="17">
        <v>169.9668035</v>
      </c>
      <c r="AM152" s="36">
        <v>4.9354383045226102</v>
      </c>
      <c r="AN152" s="36">
        <v>0.66617647058823504</v>
      </c>
      <c r="AO152" s="36"/>
      <c r="AV152" s="13">
        <f t="shared" si="10"/>
        <v>1.1707163690476197</v>
      </c>
      <c r="AW152" s="36">
        <v>5.3058273144072E-2</v>
      </c>
      <c r="AX152" s="13">
        <v>0.97815760517153605</v>
      </c>
      <c r="AY152" s="13">
        <v>0.31920297942786252</v>
      </c>
      <c r="AZ152" s="13">
        <v>1672</v>
      </c>
      <c r="BA152" s="13">
        <v>9.8173770922459613E-3</v>
      </c>
      <c r="BB152" s="13">
        <v>1</v>
      </c>
      <c r="BD152" s="13">
        <v>149</v>
      </c>
      <c r="BE152" s="13">
        <v>168</v>
      </c>
      <c r="BF152" s="17">
        <v>171.92467600000001</v>
      </c>
      <c r="BH152" s="36">
        <v>9.9468135407035092</v>
      </c>
      <c r="BI152" s="36">
        <v>0.68088235294117605</v>
      </c>
      <c r="BJ152" s="36"/>
      <c r="BQ152" s="13">
        <f t="shared" si="11"/>
        <v>2.3361166666666655</v>
      </c>
      <c r="BR152" s="36">
        <v>0.110310841087449</v>
      </c>
      <c r="BS152" s="13">
        <v>0.154596601445982</v>
      </c>
      <c r="BT152" s="13">
        <v>0.72692313855176915</v>
      </c>
      <c r="BU152" s="13">
        <v>1677</v>
      </c>
      <c r="BV152" s="13">
        <v>4.8512068907347996E-3</v>
      </c>
      <c r="BW152" s="13">
        <v>1</v>
      </c>
    </row>
    <row r="153" spans="1:75">
      <c r="A153" s="13">
        <v>150</v>
      </c>
      <c r="B153" s="13">
        <v>24</v>
      </c>
      <c r="C153" s="17">
        <v>25.100739340000001</v>
      </c>
      <c r="E153" s="36">
        <v>24.110096512562802</v>
      </c>
      <c r="F153" s="36">
        <v>0.71764705882352897</v>
      </c>
      <c r="G153" s="36"/>
      <c r="M153" s="13">
        <f t="shared" si="8"/>
        <v>4.5864139166666762</v>
      </c>
      <c r="O153" s="13">
        <v>150</v>
      </c>
      <c r="P153" s="13">
        <v>24</v>
      </c>
      <c r="Q153" s="17">
        <v>23.616382609999999</v>
      </c>
      <c r="S153" s="36">
        <v>30.691855381909502</v>
      </c>
      <c r="T153" s="36">
        <v>0.81617647058823495</v>
      </c>
      <c r="U153" s="36"/>
      <c r="AA153" s="13">
        <f t="shared" si="9"/>
        <v>-1.5984057916666683</v>
      </c>
      <c r="AB153" s="36">
        <v>0.31319311300075098</v>
      </c>
      <c r="AC153" s="23">
        <v>0.15105064331891943</v>
      </c>
      <c r="AD153" s="23">
        <v>0.28501026992790651</v>
      </c>
      <c r="AE153" s="23">
        <v>1342</v>
      </c>
      <c r="AF153" s="23">
        <v>2.6679285459895122E-3</v>
      </c>
      <c r="AG153" s="23">
        <v>1</v>
      </c>
      <c r="AI153" s="13">
        <v>150</v>
      </c>
      <c r="AJ153" s="13">
        <v>24</v>
      </c>
      <c r="AK153" s="17">
        <v>24.22036787</v>
      </c>
      <c r="AM153" s="36">
        <v>4.9704414130653198</v>
      </c>
      <c r="AN153" s="36">
        <v>0.66617647058823504</v>
      </c>
      <c r="AO153" s="36"/>
      <c r="AV153" s="13">
        <f t="shared" si="10"/>
        <v>0.91819945833333527</v>
      </c>
      <c r="AW153" s="36">
        <v>5.3058273144072E-2</v>
      </c>
      <c r="AX153" s="13">
        <v>0.42335234668222499</v>
      </c>
      <c r="AY153" s="13">
        <v>0.32322937831643178</v>
      </c>
      <c r="AZ153" s="13">
        <v>1486</v>
      </c>
      <c r="BA153" s="13">
        <v>8.0237650925749325E-3</v>
      </c>
      <c r="BB153" s="13">
        <v>1</v>
      </c>
      <c r="BD153" s="13">
        <v>150</v>
      </c>
      <c r="BE153" s="13">
        <v>24</v>
      </c>
      <c r="BF153" s="17">
        <v>23.8692253</v>
      </c>
      <c r="BH153" s="36">
        <v>10.017358317587901</v>
      </c>
      <c r="BI153" s="36">
        <v>0.68088235294117605</v>
      </c>
      <c r="BJ153" s="36"/>
      <c r="BQ153" s="13">
        <f t="shared" si="11"/>
        <v>-0.54489458333333296</v>
      </c>
      <c r="BR153" s="36">
        <v>0.110310841087449</v>
      </c>
      <c r="BS153" s="13">
        <v>0.87627086828424239</v>
      </c>
      <c r="BT153" s="13">
        <v>0.48141216882068771</v>
      </c>
      <c r="BU153" s="13">
        <v>141</v>
      </c>
      <c r="BV153" s="13">
        <v>4.9551937356492699E-3</v>
      </c>
      <c r="BW153" s="13">
        <v>0</v>
      </c>
    </row>
    <row r="154" spans="1:75">
      <c r="A154" s="13">
        <v>151</v>
      </c>
      <c r="B154" s="13">
        <v>0</v>
      </c>
      <c r="C154" s="17">
        <v>-27.933506380000001</v>
      </c>
      <c r="E154" s="36">
        <v>24.279885924623098</v>
      </c>
      <c r="F154" s="36">
        <v>0.71764705882352897</v>
      </c>
      <c r="G154" s="36"/>
      <c r="M154" s="13" t="e">
        <f t="shared" si="8"/>
        <v>#DIV/0!</v>
      </c>
      <c r="O154" s="13">
        <v>151</v>
      </c>
      <c r="P154" s="13">
        <v>0</v>
      </c>
      <c r="Q154" s="17">
        <v>-28.44505659</v>
      </c>
      <c r="S154" s="36">
        <v>30.907995208542701</v>
      </c>
      <c r="T154" s="36">
        <v>0.82058823529411695</v>
      </c>
      <c r="U154" s="36"/>
      <c r="AA154" s="13" t="e">
        <f t="shared" si="9"/>
        <v>#DIV/0!</v>
      </c>
      <c r="AB154" s="36">
        <v>0.31319311300075098</v>
      </c>
      <c r="AC154" s="23">
        <v>0.64999169011537983</v>
      </c>
      <c r="AD154" s="23">
        <v>0.86731892018088785</v>
      </c>
      <c r="AE154" s="23">
        <v>706</v>
      </c>
      <c r="AF154" s="23">
        <v>1.664433501509229E-3</v>
      </c>
      <c r="AG154" s="23">
        <v>0</v>
      </c>
      <c r="AI154" s="13">
        <v>151</v>
      </c>
      <c r="AJ154" s="13">
        <v>0</v>
      </c>
      <c r="AK154" s="17">
        <v>-5.584501275</v>
      </c>
      <c r="AM154" s="36">
        <v>5.0054445216080401</v>
      </c>
      <c r="AN154" s="36">
        <v>0.66617647058823504</v>
      </c>
      <c r="AO154" s="36"/>
      <c r="AV154" s="13" t="e">
        <f t="shared" si="10"/>
        <v>#DIV/0!</v>
      </c>
      <c r="AW154" s="36">
        <v>5.3058273144072E-2</v>
      </c>
      <c r="AX154" s="13">
        <v>0.63956708748017932</v>
      </c>
      <c r="AY154" s="13">
        <v>0.80414936000386339</v>
      </c>
      <c r="AZ154" s="13">
        <v>339</v>
      </c>
      <c r="BA154" s="13">
        <v>2.3840989663896695E-3</v>
      </c>
      <c r="BB154" s="13">
        <v>1</v>
      </c>
      <c r="BD154" s="13">
        <v>151</v>
      </c>
      <c r="BE154" s="13">
        <v>0</v>
      </c>
      <c r="BF154" s="17">
        <v>-11.902590719999999</v>
      </c>
      <c r="BH154" s="36">
        <v>10.087903094472299</v>
      </c>
      <c r="BI154" s="36">
        <v>0.68088235294117605</v>
      </c>
      <c r="BJ154" s="36"/>
      <c r="BQ154" s="13" t="e">
        <f t="shared" si="11"/>
        <v>#DIV/0!</v>
      </c>
      <c r="BR154" s="36">
        <v>0.11010108420826401</v>
      </c>
      <c r="BS154" s="13">
        <v>0.50408984713011162</v>
      </c>
      <c r="BT154" s="13">
        <v>8.5285192123197198E-2</v>
      </c>
      <c r="BU154" s="13">
        <v>1271</v>
      </c>
      <c r="BV154" s="13">
        <v>3.0499151983646648E-3</v>
      </c>
      <c r="BW154" s="13">
        <v>0</v>
      </c>
    </row>
    <row r="155" spans="1:75">
      <c r="A155" s="13">
        <v>152</v>
      </c>
      <c r="B155" s="13">
        <v>112</v>
      </c>
      <c r="C155" s="17">
        <v>84.450097049999997</v>
      </c>
      <c r="E155" s="36">
        <v>24.449675336683399</v>
      </c>
      <c r="F155" s="36">
        <v>0.71764705882352897</v>
      </c>
      <c r="G155" s="36"/>
      <c r="M155" s="13">
        <f t="shared" si="8"/>
        <v>-24.598127633928581</v>
      </c>
      <c r="O155" s="13">
        <v>152</v>
      </c>
      <c r="P155" s="13">
        <v>112</v>
      </c>
      <c r="Q155" s="17">
        <v>82.589857530000003</v>
      </c>
      <c r="S155" s="36">
        <v>31.124135035175801</v>
      </c>
      <c r="T155" s="36">
        <v>0.82205882352941095</v>
      </c>
      <c r="U155" s="36"/>
      <c r="AA155" s="13">
        <f t="shared" si="9"/>
        <v>-26.259055776785711</v>
      </c>
      <c r="AB155" s="36">
        <v>0.31319311300075098</v>
      </c>
      <c r="AC155" s="23">
        <v>0.77945993284445292</v>
      </c>
      <c r="AD155" s="23">
        <v>0.30421700513787236</v>
      </c>
      <c r="AE155" s="23">
        <v>379</v>
      </c>
      <c r="AF155" s="23">
        <v>4.6372986207574253E-3</v>
      </c>
      <c r="AG155" s="23">
        <v>0</v>
      </c>
      <c r="AI155" s="13">
        <v>152</v>
      </c>
      <c r="AJ155" s="13">
        <v>112</v>
      </c>
      <c r="AK155" s="17">
        <v>106.77801940000001</v>
      </c>
      <c r="AM155" s="36">
        <v>5.0404476301507497</v>
      </c>
      <c r="AN155" s="36">
        <v>0.66617647058823504</v>
      </c>
      <c r="AO155" s="36"/>
      <c r="AV155" s="13">
        <f t="shared" si="10"/>
        <v>-4.662482678571422</v>
      </c>
      <c r="AW155" s="36">
        <v>5.3058273144072E-2</v>
      </c>
      <c r="AX155" s="13">
        <v>0.87548666382566476</v>
      </c>
      <c r="AY155" s="13">
        <v>0.47392836055650972</v>
      </c>
      <c r="AZ155" s="13">
        <v>1345</v>
      </c>
      <c r="BA155" s="13">
        <v>6.6974524685954901E-3</v>
      </c>
      <c r="BB155" s="13">
        <v>0</v>
      </c>
      <c r="BD155" s="13">
        <v>152</v>
      </c>
      <c r="BE155" s="13">
        <v>112</v>
      </c>
      <c r="BF155" s="17">
        <v>100.40805589999999</v>
      </c>
      <c r="BH155" s="36">
        <v>10.158447871356699</v>
      </c>
      <c r="BI155" s="36">
        <v>0.68088235294117605</v>
      </c>
      <c r="BJ155" s="36"/>
      <c r="BQ155" s="13">
        <f t="shared" si="11"/>
        <v>-10.34995008928572</v>
      </c>
      <c r="BR155" s="36">
        <v>0.11010108420826401</v>
      </c>
      <c r="BS155" s="13">
        <v>0.23300336940480265</v>
      </c>
      <c r="BT155" s="13">
        <v>0.46841123275202184</v>
      </c>
      <c r="BU155" s="13">
        <v>373</v>
      </c>
      <c r="BV155" s="13">
        <v>4.5635505657956798E-3</v>
      </c>
      <c r="BW155" s="13">
        <v>1</v>
      </c>
    </row>
    <row r="156" spans="1:75">
      <c r="A156" s="13">
        <v>153</v>
      </c>
      <c r="B156" s="13">
        <v>112</v>
      </c>
      <c r="C156" s="17">
        <v>112.690515</v>
      </c>
      <c r="E156" s="36">
        <v>24.619464748743699</v>
      </c>
      <c r="F156" s="36">
        <v>0.71764705882352897</v>
      </c>
      <c r="G156" s="36"/>
      <c r="M156" s="13">
        <f t="shared" si="8"/>
        <v>0.61653125000000752</v>
      </c>
      <c r="O156" s="13">
        <v>153</v>
      </c>
      <c r="P156" s="13">
        <v>112</v>
      </c>
      <c r="Q156" s="17">
        <v>112.9394406</v>
      </c>
      <c r="S156" s="36">
        <v>31.340274861809</v>
      </c>
      <c r="T156" s="36">
        <v>0.82941176470588196</v>
      </c>
      <c r="U156" s="36"/>
      <c r="AA156" s="13">
        <f t="shared" si="9"/>
        <v>0.83878625000000095</v>
      </c>
      <c r="AB156" s="36">
        <v>0.312207098071341</v>
      </c>
      <c r="AC156" s="23">
        <v>0.20974079323087172</v>
      </c>
      <c r="AD156" s="23">
        <v>0.46904437171101282</v>
      </c>
      <c r="AE156" s="23">
        <v>525</v>
      </c>
      <c r="AF156" s="23">
        <v>4.6069726334475609E-3</v>
      </c>
      <c r="AG156" s="23">
        <v>0</v>
      </c>
      <c r="AI156" s="13">
        <v>153</v>
      </c>
      <c r="AJ156" s="13">
        <v>112</v>
      </c>
      <c r="AK156" s="17">
        <v>112.334103</v>
      </c>
      <c r="AM156" s="36">
        <v>5.0754507386934602</v>
      </c>
      <c r="AN156" s="36">
        <v>0.66617647058823504</v>
      </c>
      <c r="AO156" s="36"/>
      <c r="AV156" s="13">
        <f t="shared" si="10"/>
        <v>0.29830625000000222</v>
      </c>
      <c r="AW156" s="36">
        <v>5.3058273144072E-2</v>
      </c>
      <c r="AX156" s="13">
        <v>0.54170497628670977</v>
      </c>
      <c r="AY156" s="13">
        <v>0.67400275903639362</v>
      </c>
      <c r="AZ156" s="13">
        <v>1652</v>
      </c>
      <c r="BA156" s="13">
        <v>2.7317123538156776E-3</v>
      </c>
      <c r="BB156" s="13">
        <v>0</v>
      </c>
      <c r="BD156" s="13">
        <v>153</v>
      </c>
      <c r="BE156" s="13">
        <v>112</v>
      </c>
      <c r="BF156" s="17">
        <v>111.72799999999999</v>
      </c>
      <c r="BH156" s="36">
        <v>10.228992648241199</v>
      </c>
      <c r="BI156" s="36">
        <v>0.68088235294117605</v>
      </c>
      <c r="BJ156" s="36"/>
      <c r="BQ156" s="13">
        <f t="shared" si="11"/>
        <v>-0.24285714285714466</v>
      </c>
      <c r="BR156" s="36">
        <v>0.11010108420826401</v>
      </c>
      <c r="BS156" s="13">
        <v>0.88418909097605392</v>
      </c>
      <c r="BT156" s="13">
        <v>0.2613773296039793</v>
      </c>
      <c r="BU156" s="13">
        <v>652</v>
      </c>
      <c r="BV156" s="13">
        <v>5.7580723262975952E-3</v>
      </c>
      <c r="BW156" s="13">
        <v>0</v>
      </c>
    </row>
    <row r="157" spans="1:75">
      <c r="A157" s="13">
        <v>154</v>
      </c>
      <c r="B157" s="13">
        <v>235</v>
      </c>
      <c r="C157" s="17">
        <v>206.75315900000001</v>
      </c>
      <c r="E157" s="36">
        <v>24.789254160803999</v>
      </c>
      <c r="F157" s="36">
        <v>0.71764705882352897</v>
      </c>
      <c r="G157" s="36"/>
      <c r="M157" s="13">
        <f t="shared" si="8"/>
        <v>-12.019932340425532</v>
      </c>
      <c r="O157" s="13">
        <v>154</v>
      </c>
      <c r="P157" s="13">
        <v>235</v>
      </c>
      <c r="Q157" s="17">
        <v>203.2728453</v>
      </c>
      <c r="S157" s="36">
        <v>31.556414688442199</v>
      </c>
      <c r="T157" s="36">
        <v>0.83088235294117596</v>
      </c>
      <c r="U157" s="36"/>
      <c r="AA157" s="13">
        <f t="shared" si="9"/>
        <v>-13.500916893617021</v>
      </c>
      <c r="AB157" s="36">
        <v>0.312207098071341</v>
      </c>
      <c r="AC157" s="23">
        <v>0.11442186101822872</v>
      </c>
      <c r="AD157" s="23">
        <v>8.0904212920006977E-2</v>
      </c>
      <c r="AE157" s="23">
        <v>671</v>
      </c>
      <c r="AF157" s="23">
        <v>6.601915165714243E-5</v>
      </c>
      <c r="AG157" s="23">
        <v>0</v>
      </c>
      <c r="AI157" s="13">
        <v>154</v>
      </c>
      <c r="AJ157" s="13">
        <v>235</v>
      </c>
      <c r="AK157" s="17">
        <v>229.00663180000001</v>
      </c>
      <c r="AM157" s="36">
        <v>5.1104538472361796</v>
      </c>
      <c r="AN157" s="36">
        <v>0.66617647058823504</v>
      </c>
      <c r="AO157" s="36"/>
      <c r="AV157" s="13">
        <f t="shared" si="10"/>
        <v>-2.5503694468085092</v>
      </c>
      <c r="AW157" s="36">
        <v>5.3058273144072E-2</v>
      </c>
      <c r="AX157" s="13">
        <v>0.68151527742751039</v>
      </c>
      <c r="AY157" s="13">
        <v>0.48669138826208019</v>
      </c>
      <c r="AZ157" s="13">
        <v>794</v>
      </c>
      <c r="BA157" s="13">
        <v>3.2843477401045566E-3</v>
      </c>
      <c r="BB157" s="13">
        <v>0</v>
      </c>
      <c r="BD157" s="13">
        <v>154</v>
      </c>
      <c r="BE157" s="13">
        <v>235</v>
      </c>
      <c r="BF157" s="17">
        <v>222.82782499999999</v>
      </c>
      <c r="BH157" s="36">
        <v>10.2995374251256</v>
      </c>
      <c r="BI157" s="36">
        <v>0.68088235294117605</v>
      </c>
      <c r="BJ157" s="36"/>
      <c r="BQ157" s="13">
        <f t="shared" si="11"/>
        <v>-5.1796489361702225</v>
      </c>
      <c r="BR157" s="36">
        <v>0.11010108420826401</v>
      </c>
      <c r="BS157" s="13">
        <v>0.7070908292707947</v>
      </c>
      <c r="BT157" s="13">
        <v>0.91386128751485829</v>
      </c>
      <c r="BU157" s="13">
        <v>748</v>
      </c>
      <c r="BV157" s="13">
        <v>7.6564965525719305E-3</v>
      </c>
      <c r="BW157" s="13">
        <v>0</v>
      </c>
    </row>
    <row r="158" spans="1:75">
      <c r="A158" s="13">
        <v>155</v>
      </c>
      <c r="B158" s="13">
        <v>172</v>
      </c>
      <c r="C158" s="17">
        <v>140.75895310000001</v>
      </c>
      <c r="E158" s="36">
        <v>24.959043572864299</v>
      </c>
      <c r="F158" s="36">
        <v>0.71764705882352897</v>
      </c>
      <c r="G158" s="36"/>
      <c r="M158" s="13">
        <f t="shared" si="8"/>
        <v>-18.163399360465103</v>
      </c>
      <c r="O158" s="13">
        <v>155</v>
      </c>
      <c r="P158" s="13">
        <v>172</v>
      </c>
      <c r="Q158" s="17">
        <v>142.99003949999999</v>
      </c>
      <c r="S158" s="36">
        <v>31.772554515075299</v>
      </c>
      <c r="T158" s="36">
        <v>0.83970588235294097</v>
      </c>
      <c r="U158" s="36"/>
      <c r="AA158" s="13">
        <f t="shared" si="9"/>
        <v>-16.866256104651168</v>
      </c>
      <c r="AB158" s="36">
        <v>0.312207098071341</v>
      </c>
      <c r="AC158" s="23">
        <v>0.14933760985273439</v>
      </c>
      <c r="AD158" s="23">
        <v>0.84405595893907892</v>
      </c>
      <c r="AE158" s="23">
        <v>1638</v>
      </c>
      <c r="AF158" s="23">
        <v>6.2864796074723053E-3</v>
      </c>
      <c r="AG158" s="23">
        <v>1</v>
      </c>
      <c r="AI158" s="13">
        <v>155</v>
      </c>
      <c r="AJ158" s="13">
        <v>172</v>
      </c>
      <c r="AK158" s="17">
        <v>165.48379059999999</v>
      </c>
      <c r="AM158" s="36">
        <v>5.1454569557788901</v>
      </c>
      <c r="AN158" s="36">
        <v>0.66617647058823504</v>
      </c>
      <c r="AO158" s="36"/>
      <c r="AV158" s="13">
        <f t="shared" si="10"/>
        <v>-3.7884938372093058</v>
      </c>
      <c r="AW158" s="36">
        <v>5.3058273144072E-2</v>
      </c>
      <c r="AX158" s="13">
        <v>1.6965273916430795E-2</v>
      </c>
      <c r="AY158" s="13">
        <v>0.15017074641545719</v>
      </c>
      <c r="AZ158" s="13">
        <v>877</v>
      </c>
      <c r="BA158" s="13">
        <v>1.7414867378519759E-3</v>
      </c>
      <c r="BB158" s="13">
        <v>0</v>
      </c>
      <c r="BD158" s="13">
        <v>155</v>
      </c>
      <c r="BE158" s="13">
        <v>172</v>
      </c>
      <c r="BF158" s="17">
        <v>158.87554449999999</v>
      </c>
      <c r="BH158" s="36">
        <v>10.37008220201</v>
      </c>
      <c r="BI158" s="36">
        <v>0.68088235294117605</v>
      </c>
      <c r="BJ158" s="36"/>
      <c r="BQ158" s="13">
        <f t="shared" si="11"/>
        <v>-7.630497383720936</v>
      </c>
      <c r="BR158" s="36">
        <v>0.11010108420826401</v>
      </c>
      <c r="BS158" s="13">
        <v>0.12445991801998606</v>
      </c>
      <c r="BT158" s="13">
        <v>0.91691180173774223</v>
      </c>
      <c r="BU158" s="13">
        <v>1034</v>
      </c>
      <c r="BV158" s="13">
        <v>3.0511341641551062E-3</v>
      </c>
      <c r="BW158" s="13">
        <v>1</v>
      </c>
    </row>
    <row r="159" spans="1:75">
      <c r="A159" s="13">
        <v>156</v>
      </c>
      <c r="B159" s="13">
        <v>118</v>
      </c>
      <c r="C159" s="17">
        <v>128.67349469999999</v>
      </c>
      <c r="E159" s="36">
        <v>25.1288329849246</v>
      </c>
      <c r="F159" s="36">
        <v>0.71764705882352897</v>
      </c>
      <c r="G159" s="36"/>
      <c r="M159" s="13">
        <f t="shared" si="8"/>
        <v>9.0453344915254252</v>
      </c>
      <c r="O159" s="13">
        <v>156</v>
      </c>
      <c r="P159" s="13">
        <v>118</v>
      </c>
      <c r="Q159" s="17">
        <v>122.1285712</v>
      </c>
      <c r="S159" s="36">
        <v>31.988694341708499</v>
      </c>
      <c r="T159" s="36">
        <v>0.84558823529411697</v>
      </c>
      <c r="U159" s="36"/>
      <c r="AA159" s="13">
        <f t="shared" si="9"/>
        <v>3.4987891525423587</v>
      </c>
      <c r="AB159" s="36">
        <v>0.312207098071341</v>
      </c>
      <c r="AC159" s="23">
        <v>0.84476535396915919</v>
      </c>
      <c r="AD159" s="23">
        <v>0.81022892412894554</v>
      </c>
      <c r="AE159" s="23">
        <v>1592</v>
      </c>
      <c r="AF159" s="23">
        <v>5.8436696167716903E-3</v>
      </c>
      <c r="AG159" s="23">
        <v>0</v>
      </c>
      <c r="AI159" s="13">
        <v>156</v>
      </c>
      <c r="AJ159" s="13">
        <v>118</v>
      </c>
      <c r="AK159" s="17">
        <v>120.17669890000001</v>
      </c>
      <c r="AM159" s="36">
        <v>5.1804600643215997</v>
      </c>
      <c r="AN159" s="36">
        <v>0.66764705882352904</v>
      </c>
      <c r="AO159" s="36"/>
      <c r="AV159" s="13">
        <f t="shared" si="10"/>
        <v>1.844660084745775</v>
      </c>
      <c r="AW159" s="36">
        <v>5.3058273144072E-2</v>
      </c>
      <c r="AX159" s="13">
        <v>0.99907861160544065</v>
      </c>
      <c r="AY159" s="13">
        <v>0.64127692256585012</v>
      </c>
      <c r="AZ159" s="13">
        <v>1417</v>
      </c>
      <c r="BA159" s="13">
        <v>2.4472666330529009E-3</v>
      </c>
      <c r="BB159" s="13">
        <v>1</v>
      </c>
      <c r="BD159" s="13">
        <v>156</v>
      </c>
      <c r="BE159" s="13">
        <v>118</v>
      </c>
      <c r="BF159" s="17">
        <v>121.82847</v>
      </c>
      <c r="BH159" s="36">
        <v>10.4406269788944</v>
      </c>
      <c r="BI159" s="36">
        <v>0.68088235294117605</v>
      </c>
      <c r="BJ159" s="36"/>
      <c r="BQ159" s="13">
        <f t="shared" si="11"/>
        <v>3.2444661016949095</v>
      </c>
      <c r="BR159" s="36">
        <v>0.11010108420826401</v>
      </c>
      <c r="BS159" s="13">
        <v>0.32708393104402522</v>
      </c>
      <c r="BT159" s="13">
        <v>0.53654604597091793</v>
      </c>
      <c r="BU159" s="13">
        <v>204</v>
      </c>
      <c r="BV159" s="13">
        <v>5.3610354759319545E-3</v>
      </c>
      <c r="BW159" s="13">
        <v>0</v>
      </c>
    </row>
    <row r="160" spans="1:75">
      <c r="A160" s="13">
        <v>157</v>
      </c>
      <c r="B160" s="13">
        <v>119</v>
      </c>
      <c r="C160" s="17">
        <v>120.7633771</v>
      </c>
      <c r="E160" s="36">
        <v>25.2986223969849</v>
      </c>
      <c r="F160" s="36">
        <v>0.71764705882352897</v>
      </c>
      <c r="G160" s="36"/>
      <c r="M160" s="13">
        <f t="shared" si="8"/>
        <v>1.4818294957983147</v>
      </c>
      <c r="O160" s="13">
        <v>157</v>
      </c>
      <c r="P160" s="13">
        <v>119</v>
      </c>
      <c r="Q160" s="17">
        <v>117.6505815</v>
      </c>
      <c r="S160" s="36">
        <v>32.204834168341698</v>
      </c>
      <c r="T160" s="36">
        <v>0.85441176470588198</v>
      </c>
      <c r="U160" s="36"/>
      <c r="AA160" s="13">
        <f t="shared" si="9"/>
        <v>-1.133965126050418</v>
      </c>
      <c r="AB160" s="36">
        <v>0.30769243775677702</v>
      </c>
      <c r="AC160" s="23">
        <v>0.50618918328086315</v>
      </c>
      <c r="AD160" s="23">
        <v>0.46928929850063955</v>
      </c>
      <c r="AE160" s="23">
        <v>562</v>
      </c>
      <c r="AF160" s="23">
        <v>8.8940841510121924E-3</v>
      </c>
      <c r="AG160" s="23">
        <v>0</v>
      </c>
      <c r="AI160" s="13">
        <v>157</v>
      </c>
      <c r="AJ160" s="13">
        <v>119</v>
      </c>
      <c r="AK160" s="17">
        <v>119.5026754</v>
      </c>
      <c r="AM160" s="36">
        <v>5.2154631728643199</v>
      </c>
      <c r="AN160" s="36">
        <v>0.66764705882352904</v>
      </c>
      <c r="AO160" s="36"/>
      <c r="AV160" s="13">
        <f t="shared" si="10"/>
        <v>0.42241630252100038</v>
      </c>
      <c r="AW160" s="36">
        <v>5.3058273144072E-2</v>
      </c>
      <c r="AX160" s="13">
        <v>0.88405855596016647</v>
      </c>
      <c r="AY160" s="13">
        <v>0.31378789691959419</v>
      </c>
      <c r="AZ160" s="13">
        <v>588</v>
      </c>
      <c r="BA160" s="13">
        <v>7.195425031002697E-3</v>
      </c>
      <c r="BB160" s="13">
        <v>1</v>
      </c>
      <c r="BD160" s="13">
        <v>157</v>
      </c>
      <c r="BE160" s="13">
        <v>119</v>
      </c>
      <c r="BF160" s="17">
        <v>119.4460421</v>
      </c>
      <c r="BH160" s="36">
        <v>10.5111717557788</v>
      </c>
      <c r="BI160" s="36">
        <v>0.68088235294117605</v>
      </c>
      <c r="BJ160" s="36"/>
      <c r="BQ160" s="13">
        <f t="shared" si="11"/>
        <v>0.37482529411765331</v>
      </c>
      <c r="BR160" s="36">
        <v>0.11010108420826401</v>
      </c>
      <c r="BS160" s="13">
        <v>0.62567360573182418</v>
      </c>
      <c r="BT160" s="13">
        <v>0.84017392681528247</v>
      </c>
      <c r="BU160" s="13">
        <v>1388</v>
      </c>
      <c r="BV160" s="13">
        <v>8.8963862365500131E-3</v>
      </c>
      <c r="BW160" s="13">
        <v>1</v>
      </c>
    </row>
    <row r="161" spans="1:75">
      <c r="A161" s="13">
        <v>158</v>
      </c>
      <c r="B161" s="13">
        <v>217</v>
      </c>
      <c r="C161" s="17">
        <v>186.96594099999999</v>
      </c>
      <c r="E161" s="36">
        <v>25.4684118090452</v>
      </c>
      <c r="F161" s="36">
        <v>0.71764705882352897</v>
      </c>
      <c r="G161" s="36"/>
      <c r="M161" s="13">
        <f t="shared" si="8"/>
        <v>-13.840580184331808</v>
      </c>
      <c r="O161" s="13">
        <v>158</v>
      </c>
      <c r="P161" s="13">
        <v>217</v>
      </c>
      <c r="Q161" s="17">
        <v>180.3404697</v>
      </c>
      <c r="S161" s="36">
        <v>32.420973994974801</v>
      </c>
      <c r="T161" s="36">
        <v>0.86029411764705799</v>
      </c>
      <c r="U161" s="36"/>
      <c r="AA161" s="13">
        <f t="shared" si="9"/>
        <v>-16.893792764976958</v>
      </c>
      <c r="AB161" s="36">
        <v>0.30769243775677702</v>
      </c>
      <c r="AC161" s="23">
        <v>1.8260733599133139E-3</v>
      </c>
      <c r="AD161" s="23">
        <v>1.7831750911072315E-2</v>
      </c>
      <c r="AE161" s="23">
        <v>1657</v>
      </c>
      <c r="AF161" s="23">
        <v>4.229747463259703E-3</v>
      </c>
      <c r="AG161" s="23">
        <v>1</v>
      </c>
      <c r="AI161" s="13">
        <v>158</v>
      </c>
      <c r="AJ161" s="13">
        <v>217</v>
      </c>
      <c r="AK161" s="17">
        <v>211.0911882</v>
      </c>
      <c r="AM161" s="36">
        <v>5.2504662814070304</v>
      </c>
      <c r="AN161" s="36">
        <v>0.66911764705882304</v>
      </c>
      <c r="AO161" s="36"/>
      <c r="AV161" s="13">
        <f t="shared" si="10"/>
        <v>-2.722954746543782</v>
      </c>
      <c r="AW161" s="36">
        <v>5.3058273144072E-2</v>
      </c>
      <c r="AX161" s="13">
        <v>0.66365964515985587</v>
      </c>
      <c r="AY161" s="13">
        <v>0.28170403225927909</v>
      </c>
      <c r="AZ161" s="13">
        <v>1746</v>
      </c>
      <c r="BA161" s="13">
        <v>5.3074086556147478E-3</v>
      </c>
      <c r="BB161" s="13">
        <v>0</v>
      </c>
      <c r="BD161" s="13">
        <v>158</v>
      </c>
      <c r="BE161" s="13">
        <v>217</v>
      </c>
      <c r="BF161" s="17">
        <v>205.0275992</v>
      </c>
      <c r="BH161" s="36">
        <v>10.5817165326633</v>
      </c>
      <c r="BI161" s="36">
        <v>0.68088235294117605</v>
      </c>
      <c r="BJ161" s="36"/>
      <c r="BQ161" s="13">
        <f t="shared" si="11"/>
        <v>-5.517235391705066</v>
      </c>
      <c r="BR161" s="36">
        <v>0.11010108420826401</v>
      </c>
      <c r="BS161" s="13">
        <v>0.72159793328743316</v>
      </c>
      <c r="BT161" s="13">
        <v>0.49172465214224303</v>
      </c>
      <c r="BU161" s="13">
        <v>1844</v>
      </c>
      <c r="BV161" s="13">
        <v>4.1757778439613742E-3</v>
      </c>
      <c r="BW161" s="13">
        <v>1</v>
      </c>
    </row>
    <row r="162" spans="1:75">
      <c r="A162" s="13">
        <v>159</v>
      </c>
      <c r="B162" s="13">
        <v>73</v>
      </c>
      <c r="C162" s="17">
        <v>44.017959380000001</v>
      </c>
      <c r="E162" s="36">
        <v>25.638201221105501</v>
      </c>
      <c r="F162" s="36">
        <v>0.71764705882352897</v>
      </c>
      <c r="G162" s="36"/>
      <c r="M162" s="13">
        <f t="shared" si="8"/>
        <v>-39.701425506849318</v>
      </c>
      <c r="O162" s="13">
        <v>159</v>
      </c>
      <c r="P162" s="13">
        <v>73</v>
      </c>
      <c r="Q162" s="17">
        <v>49.260997680000003</v>
      </c>
      <c r="S162" s="36">
        <v>32.637113821607997</v>
      </c>
      <c r="T162" s="36">
        <v>0.86617647058823499</v>
      </c>
      <c r="U162" s="36"/>
      <c r="AA162" s="13">
        <f t="shared" si="9"/>
        <v>-32.519181260273967</v>
      </c>
      <c r="AB162" s="36">
        <v>0.30476176407861699</v>
      </c>
      <c r="AC162" s="23">
        <v>0.15399855967224432</v>
      </c>
      <c r="AD162" s="23">
        <v>0.41556897401593229</v>
      </c>
      <c r="AE162" s="23">
        <v>969</v>
      </c>
      <c r="AF162" s="23">
        <v>4.5817352133367163E-3</v>
      </c>
      <c r="AG162" s="23">
        <v>0</v>
      </c>
      <c r="AI162" s="13">
        <v>159</v>
      </c>
      <c r="AJ162" s="13">
        <v>73</v>
      </c>
      <c r="AK162" s="17">
        <v>67.027591880000003</v>
      </c>
      <c r="AM162" s="36">
        <v>5.28546938994974</v>
      </c>
      <c r="AN162" s="36">
        <v>0.67058823529411704</v>
      </c>
      <c r="AO162" s="36"/>
      <c r="AV162" s="13">
        <f t="shared" si="10"/>
        <v>-8.1813809863013667</v>
      </c>
      <c r="AW162" s="36">
        <v>5.3058273144072E-2</v>
      </c>
      <c r="AX162" s="13">
        <v>0.65539599018153238</v>
      </c>
      <c r="AY162" s="13">
        <v>0.38970124048022964</v>
      </c>
      <c r="AZ162" s="13">
        <v>1883</v>
      </c>
      <c r="BA162" s="13">
        <v>8.5318689640774947E-3</v>
      </c>
      <c r="BB162" s="13">
        <v>1</v>
      </c>
      <c r="BD162" s="13">
        <v>159</v>
      </c>
      <c r="BE162" s="13">
        <v>73</v>
      </c>
      <c r="BF162" s="17">
        <v>60.561282949999999</v>
      </c>
      <c r="BH162" s="36">
        <v>10.652261309547701</v>
      </c>
      <c r="BI162" s="36">
        <v>0.68088235294117605</v>
      </c>
      <c r="BJ162" s="36"/>
      <c r="BQ162" s="13">
        <f t="shared" si="11"/>
        <v>-17.039338424657537</v>
      </c>
      <c r="BR162" s="36">
        <v>0.11010108420826401</v>
      </c>
      <c r="BS162" s="13">
        <v>0.77382491068139903</v>
      </c>
      <c r="BT162" s="13">
        <v>0.93815308121573016</v>
      </c>
      <c r="BU162" s="13">
        <v>1082</v>
      </c>
      <c r="BV162" s="13">
        <v>2.195924403472509E-3</v>
      </c>
      <c r="BW162" s="13">
        <v>1</v>
      </c>
    </row>
    <row r="163" spans="1:75">
      <c r="A163" s="13">
        <v>160</v>
      </c>
      <c r="B163" s="13">
        <v>108</v>
      </c>
      <c r="C163" s="17">
        <v>117.55714380000001</v>
      </c>
      <c r="E163" s="36">
        <v>25.807990633165801</v>
      </c>
      <c r="F163" s="36">
        <v>0.71764705882352897</v>
      </c>
      <c r="G163" s="36"/>
      <c r="M163" s="13">
        <f t="shared" si="8"/>
        <v>8.8492072222222227</v>
      </c>
      <c r="O163" s="13">
        <v>160</v>
      </c>
      <c r="P163" s="13">
        <v>108</v>
      </c>
      <c r="Q163" s="17">
        <v>113.3463033</v>
      </c>
      <c r="S163" s="36">
        <v>32.8532536482411</v>
      </c>
      <c r="T163" s="36">
        <v>0.873529411764705</v>
      </c>
      <c r="U163" s="36"/>
      <c r="AA163" s="13">
        <f t="shared" si="9"/>
        <v>4.9502808333333315</v>
      </c>
      <c r="AB163" s="36">
        <v>0.30476176407861699</v>
      </c>
      <c r="AC163" s="23">
        <v>0.17591563364931673</v>
      </c>
      <c r="AD163" s="23">
        <v>0.10743522604728757</v>
      </c>
      <c r="AE163" s="23">
        <v>1079</v>
      </c>
      <c r="AF163" s="23">
        <v>5.9080517367742173E-3</v>
      </c>
      <c r="AG163" s="23">
        <v>1</v>
      </c>
      <c r="AI163" s="13">
        <v>160</v>
      </c>
      <c r="AJ163" s="13">
        <v>108</v>
      </c>
      <c r="AK163" s="17">
        <v>109.9754288</v>
      </c>
      <c r="AM163" s="36">
        <v>5.3204724984924603</v>
      </c>
      <c r="AN163" s="36">
        <v>0.67352941176470504</v>
      </c>
      <c r="AO163" s="36"/>
      <c r="AV163" s="13">
        <f t="shared" si="10"/>
        <v>1.8291007407407411</v>
      </c>
      <c r="AW163" s="36">
        <v>5.3058273144072E-2</v>
      </c>
      <c r="AX163" s="13">
        <v>0.52034455874085817</v>
      </c>
      <c r="AY163" s="13">
        <v>0.58025987061540385</v>
      </c>
      <c r="AZ163" s="13">
        <v>432</v>
      </c>
      <c r="BA163" s="13">
        <v>2.6203466396456949E-3</v>
      </c>
      <c r="BB163" s="13">
        <v>1</v>
      </c>
      <c r="BD163" s="13">
        <v>160</v>
      </c>
      <c r="BE163" s="13">
        <v>108</v>
      </c>
      <c r="BF163" s="17">
        <v>111.7230713</v>
      </c>
      <c r="BH163" s="36">
        <v>10.722806086432101</v>
      </c>
      <c r="BI163" s="36">
        <v>0.68088235294117605</v>
      </c>
      <c r="BJ163" s="36"/>
      <c r="BQ163" s="13">
        <f t="shared" si="11"/>
        <v>3.4472882407407424</v>
      </c>
      <c r="BR163" s="36">
        <v>0.11010108420826401</v>
      </c>
      <c r="BS163" s="13">
        <v>0.54553313752342103</v>
      </c>
      <c r="BT163" s="13">
        <v>0.96070115999926897</v>
      </c>
      <c r="BU163" s="13">
        <v>1911</v>
      </c>
      <c r="BV163" s="13">
        <v>1.1090713094828188E-3</v>
      </c>
      <c r="BW163" s="13">
        <v>1</v>
      </c>
    </row>
    <row r="164" spans="1:75">
      <c r="A164" s="13">
        <v>161</v>
      </c>
      <c r="B164" s="13">
        <v>40</v>
      </c>
      <c r="C164" s="17">
        <v>41.289345849999997</v>
      </c>
      <c r="E164" s="36">
        <v>25.977780045226101</v>
      </c>
      <c r="F164" s="36">
        <v>0.71764705882352897</v>
      </c>
      <c r="G164" s="36"/>
      <c r="M164" s="13">
        <f t="shared" si="8"/>
        <v>3.2233646249999914</v>
      </c>
      <c r="O164" s="13">
        <v>161</v>
      </c>
      <c r="P164" s="13">
        <v>40</v>
      </c>
      <c r="Q164" s="17">
        <v>40</v>
      </c>
      <c r="S164" s="36">
        <v>33.069393474874303</v>
      </c>
      <c r="T164" s="36">
        <v>0.879411764705882</v>
      </c>
      <c r="U164" s="36"/>
      <c r="AA164" s="13">
        <f t="shared" si="9"/>
        <v>0</v>
      </c>
      <c r="AB164" s="36">
        <v>0.30476176407861699</v>
      </c>
      <c r="AC164" s="23">
        <v>0.47990181892543549</v>
      </c>
      <c r="AD164" s="23">
        <v>0.79547383602612765</v>
      </c>
      <c r="AE164" s="23">
        <v>1086</v>
      </c>
      <c r="AF164" s="23">
        <v>4.7891778913949643E-3</v>
      </c>
      <c r="AG164" s="23">
        <v>1</v>
      </c>
      <c r="AI164" s="13">
        <v>161</v>
      </c>
      <c r="AJ164" s="13">
        <v>40</v>
      </c>
      <c r="AK164" s="17">
        <v>40.353869170000003</v>
      </c>
      <c r="AM164" s="36">
        <v>5.3554756070351699</v>
      </c>
      <c r="AN164" s="36">
        <v>0.67500000000000004</v>
      </c>
      <c r="AO164" s="36"/>
      <c r="AV164" s="13">
        <f t="shared" si="10"/>
        <v>0.88467292500000738</v>
      </c>
      <c r="AW164" s="36">
        <v>5.3058273144072E-2</v>
      </c>
      <c r="AX164" s="13">
        <v>0.29318764589297014</v>
      </c>
      <c r="AY164" s="13">
        <v>0.87032976993806144</v>
      </c>
      <c r="AZ164" s="13">
        <v>1537</v>
      </c>
      <c r="BA164" s="13">
        <v>9.2041597340462231E-3</v>
      </c>
      <c r="BB164" s="13">
        <v>0</v>
      </c>
      <c r="BD164" s="13">
        <v>161</v>
      </c>
      <c r="BE164" s="13">
        <v>40</v>
      </c>
      <c r="BF164" s="17">
        <v>39.758656629999997</v>
      </c>
      <c r="BH164" s="36">
        <v>10.793350863316499</v>
      </c>
      <c r="BI164" s="36">
        <v>0.68088235294117605</v>
      </c>
      <c r="BJ164" s="36"/>
      <c r="BQ164" s="13">
        <f t="shared" si="11"/>
        <v>-0.60335842500001124</v>
      </c>
      <c r="BR164" s="36">
        <v>0.109873134171977</v>
      </c>
      <c r="BS164" s="13">
        <v>0.68090798360078464</v>
      </c>
      <c r="BT164" s="13">
        <v>0.7573572229527884</v>
      </c>
      <c r="BU164" s="13">
        <v>408</v>
      </c>
      <c r="BV164" s="13">
        <v>2.2091066215735918E-3</v>
      </c>
      <c r="BW164" s="13">
        <v>0</v>
      </c>
    </row>
    <row r="165" spans="1:75">
      <c r="A165" s="13">
        <v>162</v>
      </c>
      <c r="B165" s="13">
        <v>93</v>
      </c>
      <c r="C165" s="17">
        <v>102.192409</v>
      </c>
      <c r="E165" s="36">
        <v>26.147569457286401</v>
      </c>
      <c r="F165" s="36">
        <v>0.71911764705882297</v>
      </c>
      <c r="G165" s="36"/>
      <c r="M165" s="13">
        <f t="shared" si="8"/>
        <v>9.8843107526881635</v>
      </c>
      <c r="O165" s="13">
        <v>162</v>
      </c>
      <c r="P165" s="13">
        <v>93</v>
      </c>
      <c r="Q165" s="17">
        <v>103.07862489999999</v>
      </c>
      <c r="S165" s="36">
        <v>33.285533301507499</v>
      </c>
      <c r="T165" s="36">
        <v>0.88235294117647001</v>
      </c>
      <c r="U165" s="36"/>
      <c r="AA165" s="13">
        <f t="shared" si="9"/>
        <v>10.837231075268816</v>
      </c>
      <c r="AB165" s="36">
        <v>0.30476176407861699</v>
      </c>
      <c r="AC165" s="23">
        <v>0.89491594511923911</v>
      </c>
      <c r="AD165" s="23">
        <v>0.25511682542662417</v>
      </c>
      <c r="AE165" s="23">
        <v>1394</v>
      </c>
      <c r="AF165" s="23">
        <v>3.2486692366624349E-3</v>
      </c>
      <c r="AG165" s="23">
        <v>0</v>
      </c>
      <c r="AI165" s="13">
        <v>162</v>
      </c>
      <c r="AJ165" s="13">
        <v>93</v>
      </c>
      <c r="AK165" s="17">
        <v>94.620481789999999</v>
      </c>
      <c r="AM165" s="36">
        <v>5.3904787155778804</v>
      </c>
      <c r="AN165" s="36">
        <v>0.67941176470588205</v>
      </c>
      <c r="AO165" s="36"/>
      <c r="AV165" s="13">
        <f t="shared" si="10"/>
        <v>1.742453537634403</v>
      </c>
      <c r="AW165" s="36">
        <v>5.2564758059230103E-2</v>
      </c>
      <c r="AX165" s="13">
        <v>0.4485770603070206</v>
      </c>
      <c r="AY165" s="13">
        <v>0.94238065372866264</v>
      </c>
      <c r="AZ165" s="13">
        <v>657</v>
      </c>
      <c r="BA165" s="13">
        <v>2.0783099619935651E-3</v>
      </c>
      <c r="BB165" s="13">
        <v>0</v>
      </c>
      <c r="BD165" s="13">
        <v>162</v>
      </c>
      <c r="BE165" s="13">
        <v>93</v>
      </c>
      <c r="BF165" s="17">
        <v>96.582052129999994</v>
      </c>
      <c r="BH165" s="36">
        <v>10.8638956402009</v>
      </c>
      <c r="BI165" s="36">
        <v>0.68088235294117605</v>
      </c>
      <c r="BJ165" s="36"/>
      <c r="BQ165" s="13">
        <f t="shared" si="11"/>
        <v>3.8516689569892515</v>
      </c>
      <c r="BR165" s="36">
        <v>0.109873134171977</v>
      </c>
      <c r="BS165" s="13">
        <v>0.92914964176723991</v>
      </c>
      <c r="BT165" s="13">
        <v>0.3936201347435429</v>
      </c>
      <c r="BU165" s="13">
        <v>820</v>
      </c>
      <c r="BV165" s="13">
        <v>9.2255473388836579E-3</v>
      </c>
      <c r="BW165" s="13">
        <v>1</v>
      </c>
    </row>
    <row r="166" spans="1:75">
      <c r="A166" s="13">
        <v>163</v>
      </c>
      <c r="B166" s="13">
        <v>70</v>
      </c>
      <c r="C166" s="17">
        <v>72.207951499999993</v>
      </c>
      <c r="E166" s="36">
        <v>26.317358869346702</v>
      </c>
      <c r="F166" s="36">
        <v>0.71911764705882297</v>
      </c>
      <c r="G166" s="36"/>
      <c r="M166" s="13">
        <f t="shared" ref="M166:M229" si="12">((C166/B166)-1)*100</f>
        <v>3.1542164285714103</v>
      </c>
      <c r="O166" s="13">
        <v>163</v>
      </c>
      <c r="P166" s="13">
        <v>70</v>
      </c>
      <c r="Q166" s="17">
        <v>69.883205040000007</v>
      </c>
      <c r="S166" s="36">
        <v>33.501673128140602</v>
      </c>
      <c r="T166" s="36">
        <v>0.88823529411764701</v>
      </c>
      <c r="U166" s="36"/>
      <c r="AA166" s="13">
        <f t="shared" si="9"/>
        <v>-0.16684994285712795</v>
      </c>
      <c r="AB166" s="36">
        <v>0.30476176407861699</v>
      </c>
      <c r="AC166" s="23">
        <v>0.34039227721386872</v>
      </c>
      <c r="AD166" s="23">
        <v>0.45769143593109696</v>
      </c>
      <c r="AE166" s="23">
        <v>1503</v>
      </c>
      <c r="AF166" s="23">
        <v>8.8928832868751823E-3</v>
      </c>
      <c r="AG166" s="23">
        <v>0</v>
      </c>
      <c r="AI166" s="13">
        <v>163</v>
      </c>
      <c r="AJ166" s="13">
        <v>70</v>
      </c>
      <c r="AK166" s="17">
        <v>70.241590299999999</v>
      </c>
      <c r="AM166" s="36">
        <v>5.4254818241205998</v>
      </c>
      <c r="AN166" s="36">
        <v>0.67941176470588205</v>
      </c>
      <c r="AO166" s="36"/>
      <c r="AV166" s="13">
        <f t="shared" si="10"/>
        <v>0.34512899999998847</v>
      </c>
      <c r="AW166" s="36">
        <v>5.2564758059230103E-2</v>
      </c>
      <c r="AX166" s="13">
        <v>0.30433636852617563</v>
      </c>
      <c r="AY166" s="13">
        <v>0.95153095110556418</v>
      </c>
      <c r="AZ166" s="13">
        <v>1001</v>
      </c>
      <c r="BA166" s="13">
        <v>7.0383577828138418E-3</v>
      </c>
      <c r="BB166" s="13">
        <v>0</v>
      </c>
      <c r="BD166" s="13">
        <v>163</v>
      </c>
      <c r="BE166" s="13">
        <v>70</v>
      </c>
      <c r="BF166" s="17">
        <v>70.65429958</v>
      </c>
      <c r="BH166" s="36">
        <v>10.934440417085399</v>
      </c>
      <c r="BI166" s="36">
        <v>0.68235294117647005</v>
      </c>
      <c r="BJ166" s="36"/>
      <c r="BQ166" s="13">
        <f t="shared" si="11"/>
        <v>0.93471368571429458</v>
      </c>
      <c r="BR166" s="36">
        <v>0.109873134171977</v>
      </c>
      <c r="BS166" s="13">
        <v>0.22641604807114576</v>
      </c>
      <c r="BT166" s="13">
        <v>0.98535493207322478</v>
      </c>
      <c r="BU166" s="13">
        <v>1804</v>
      </c>
      <c r="BV166" s="13">
        <v>3.0646023965659838E-4</v>
      </c>
      <c r="BW166" s="13">
        <v>0</v>
      </c>
    </row>
    <row r="167" spans="1:75">
      <c r="A167" s="13">
        <v>164</v>
      </c>
      <c r="B167" s="13">
        <v>95</v>
      </c>
      <c r="C167" s="17">
        <v>95.827878069999997</v>
      </c>
      <c r="E167" s="36">
        <v>26.487148281406999</v>
      </c>
      <c r="F167" s="36">
        <v>0.71911764705882297</v>
      </c>
      <c r="G167" s="36"/>
      <c r="M167" s="13">
        <f t="shared" si="12"/>
        <v>0.87145060000000107</v>
      </c>
      <c r="O167" s="13">
        <v>164</v>
      </c>
      <c r="P167" s="13">
        <v>95</v>
      </c>
      <c r="Q167" s="17">
        <v>94.09778523</v>
      </c>
      <c r="S167" s="36">
        <v>33.717812954773798</v>
      </c>
      <c r="T167" s="36">
        <v>0.88823529411764701</v>
      </c>
      <c r="U167" s="36"/>
      <c r="AA167" s="13">
        <f t="shared" si="9"/>
        <v>-0.9496997578947397</v>
      </c>
      <c r="AB167" s="36">
        <v>0.30476176407861699</v>
      </c>
      <c r="AC167" s="23">
        <v>0.78447456497189172</v>
      </c>
      <c r="AD167" s="23">
        <v>0.34593984841883191</v>
      </c>
      <c r="AE167" s="23">
        <v>760</v>
      </c>
      <c r="AF167" s="23">
        <v>4.0998232769706286E-3</v>
      </c>
      <c r="AG167" s="23">
        <v>1</v>
      </c>
      <c r="AI167" s="13">
        <v>164</v>
      </c>
      <c r="AJ167" s="13">
        <v>95</v>
      </c>
      <c r="AK167" s="17">
        <v>95.529575609999995</v>
      </c>
      <c r="AM167" s="36">
        <v>5.4604849326633103</v>
      </c>
      <c r="AN167" s="36">
        <v>0.68676470588235194</v>
      </c>
      <c r="AO167" s="36"/>
      <c r="AV167" s="13">
        <f t="shared" si="10"/>
        <v>0.55744801052630688</v>
      </c>
      <c r="AW167" s="36">
        <v>5.2564758059230103E-2</v>
      </c>
      <c r="AX167" s="13">
        <v>2.582641014911278E-3</v>
      </c>
      <c r="AY167" s="13">
        <v>0.57810284034570336</v>
      </c>
      <c r="AZ167" s="13">
        <v>567</v>
      </c>
      <c r="BA167" s="13">
        <v>8.6577337276488378E-3</v>
      </c>
      <c r="BB167" s="13">
        <v>1</v>
      </c>
      <c r="BD167" s="13">
        <v>164</v>
      </c>
      <c r="BE167" s="13">
        <v>95</v>
      </c>
      <c r="BF167" s="17">
        <v>94.35029677</v>
      </c>
      <c r="BH167" s="36">
        <v>11.0049851939698</v>
      </c>
      <c r="BI167" s="36">
        <v>0.68235294117647005</v>
      </c>
      <c r="BJ167" s="36"/>
      <c r="BQ167" s="13">
        <f t="shared" si="11"/>
        <v>-0.68389813684210932</v>
      </c>
      <c r="BR167" s="36">
        <v>0.109873134171977</v>
      </c>
      <c r="BS167" s="13">
        <v>0.1220971753197964</v>
      </c>
      <c r="BT167" s="13">
        <v>0.81396498931634842</v>
      </c>
      <c r="BU167" s="13">
        <v>1501</v>
      </c>
      <c r="BV167" s="13">
        <v>7.6061198435272591E-3</v>
      </c>
      <c r="BW167" s="13">
        <v>1</v>
      </c>
    </row>
    <row r="168" spans="1:75">
      <c r="A168" s="13">
        <v>165</v>
      </c>
      <c r="B168" s="13">
        <v>140</v>
      </c>
      <c r="C168" s="17">
        <v>111.55090989999999</v>
      </c>
      <c r="E168" s="36">
        <v>26.656937693467299</v>
      </c>
      <c r="F168" s="36">
        <v>0.71911764705882297</v>
      </c>
      <c r="G168" s="36"/>
      <c r="M168" s="13">
        <f t="shared" si="12"/>
        <v>-20.32077864285715</v>
      </c>
      <c r="O168" s="13">
        <v>165</v>
      </c>
      <c r="P168" s="13">
        <v>140</v>
      </c>
      <c r="Q168" s="17">
        <v>112.74777589999999</v>
      </c>
      <c r="S168" s="36">
        <v>33.933952781407001</v>
      </c>
      <c r="T168" s="36">
        <v>0.89558823529411702</v>
      </c>
      <c r="U168" s="36"/>
      <c r="AA168" s="13">
        <f t="shared" si="9"/>
        <v>-19.465874357142866</v>
      </c>
      <c r="AB168" s="36">
        <v>0.30476176407861699</v>
      </c>
      <c r="AC168" s="23">
        <v>7.971798409625451E-2</v>
      </c>
      <c r="AD168" s="23">
        <v>0.69872524510352041</v>
      </c>
      <c r="AE168" s="23">
        <v>1988</v>
      </c>
      <c r="AF168" s="23">
        <v>2.7545136669916061E-3</v>
      </c>
      <c r="AG168" s="23">
        <v>0</v>
      </c>
      <c r="AI168" s="13">
        <v>165</v>
      </c>
      <c r="AJ168" s="13">
        <v>140</v>
      </c>
      <c r="AK168" s="17">
        <v>134.24818200000001</v>
      </c>
      <c r="AM168" s="36">
        <v>5.4954880412060296</v>
      </c>
      <c r="AN168" s="36">
        <v>0.69264705882352895</v>
      </c>
      <c r="AO168" s="36"/>
      <c r="AV168" s="13">
        <f t="shared" si="10"/>
        <v>-4.1084414285714193</v>
      </c>
      <c r="AW168" s="36">
        <v>5.2564758059230103E-2</v>
      </c>
      <c r="AX168" s="13">
        <v>1.9998555617735331E-3</v>
      </c>
      <c r="AY168" s="13">
        <v>0.12217575149084699</v>
      </c>
      <c r="AZ168" s="13">
        <v>1557</v>
      </c>
      <c r="BA168" s="13">
        <v>9.4109743103084811E-3</v>
      </c>
      <c r="BB168" s="13">
        <v>0</v>
      </c>
      <c r="BD168" s="13">
        <v>165</v>
      </c>
      <c r="BE168" s="13">
        <v>140</v>
      </c>
      <c r="BF168" s="17">
        <v>128.33169409999999</v>
      </c>
      <c r="BH168" s="36">
        <v>11.0755299708542</v>
      </c>
      <c r="BI168" s="36">
        <v>0.68382352941176405</v>
      </c>
      <c r="BJ168" s="36"/>
      <c r="BQ168" s="13">
        <f t="shared" si="11"/>
        <v>-8.3345042142857206</v>
      </c>
      <c r="BR168" s="36">
        <v>0.109873134171977</v>
      </c>
      <c r="BS168" s="13">
        <v>0.13760969030500381</v>
      </c>
      <c r="BT168" s="13">
        <v>0.74744542547790571</v>
      </c>
      <c r="BU168" s="13">
        <v>633</v>
      </c>
      <c r="BV168" s="13">
        <v>7.6517673215469552E-3</v>
      </c>
      <c r="BW168" s="13">
        <v>1</v>
      </c>
    </row>
    <row r="169" spans="1:75">
      <c r="A169" s="13">
        <v>166</v>
      </c>
      <c r="B169" s="13">
        <v>92</v>
      </c>
      <c r="C169" s="17">
        <v>61.543333320000002</v>
      </c>
      <c r="E169" s="36">
        <v>26.826727105527599</v>
      </c>
      <c r="F169" s="36">
        <v>0.71911764705882297</v>
      </c>
      <c r="G169" s="36"/>
      <c r="M169" s="13">
        <f t="shared" si="12"/>
        <v>-33.105072478260865</v>
      </c>
      <c r="O169" s="13">
        <v>166</v>
      </c>
      <c r="P169" s="13">
        <v>92</v>
      </c>
      <c r="Q169" s="17">
        <v>57.675269569999998</v>
      </c>
      <c r="S169" s="36">
        <v>34.150092608040097</v>
      </c>
      <c r="T169" s="36">
        <v>0.9</v>
      </c>
      <c r="U169" s="36"/>
      <c r="AA169" s="13">
        <f t="shared" si="9"/>
        <v>-37.309489597826087</v>
      </c>
      <c r="AB169" s="36">
        <v>0.30476176407861699</v>
      </c>
      <c r="AC169" s="23">
        <v>0.46252221660087051</v>
      </c>
      <c r="AD169" s="23">
        <v>0.19085826338454726</v>
      </c>
      <c r="AE169" s="23">
        <v>999</v>
      </c>
      <c r="AF169" s="23">
        <v>5.4966744096243312E-4</v>
      </c>
      <c r="AG169" s="23">
        <v>0</v>
      </c>
      <c r="AI169" s="13">
        <v>166</v>
      </c>
      <c r="AJ169" s="13">
        <v>92</v>
      </c>
      <c r="AK169" s="17">
        <v>86.102666659999997</v>
      </c>
      <c r="AM169" s="36">
        <v>5.5304911497487401</v>
      </c>
      <c r="AN169" s="36">
        <v>0.69558823529411695</v>
      </c>
      <c r="AO169" s="36"/>
      <c r="AV169" s="13">
        <f t="shared" si="10"/>
        <v>-6.4101449347826129</v>
      </c>
      <c r="AW169" s="36">
        <v>5.2564758059230103E-2</v>
      </c>
      <c r="AX169" s="13">
        <v>0.56995734739964754</v>
      </c>
      <c r="AY169" s="13">
        <v>0.21726143632014958</v>
      </c>
      <c r="AZ169" s="13">
        <v>1281</v>
      </c>
      <c r="BA169" s="13">
        <v>3.2598491629803805E-3</v>
      </c>
      <c r="BB169" s="13">
        <v>1</v>
      </c>
      <c r="BD169" s="13">
        <v>166</v>
      </c>
      <c r="BE169" s="13">
        <v>92</v>
      </c>
      <c r="BF169" s="17">
        <v>78.824288719999998</v>
      </c>
      <c r="BH169" s="36">
        <v>11.1460747477386</v>
      </c>
      <c r="BI169" s="36">
        <v>0.68382352941176405</v>
      </c>
      <c r="BJ169" s="36"/>
      <c r="BQ169" s="13">
        <f t="shared" si="11"/>
        <v>-14.321425304347823</v>
      </c>
      <c r="BR169" s="36">
        <v>0.109873134171977</v>
      </c>
      <c r="BS169" s="13">
        <v>0.36683497236911028</v>
      </c>
      <c r="BT169" s="13">
        <v>0.51360190290164587</v>
      </c>
      <c r="BU169" s="13">
        <v>156</v>
      </c>
      <c r="BV169" s="13">
        <v>9.0767620350006122E-3</v>
      </c>
      <c r="BW169" s="13">
        <v>1</v>
      </c>
    </row>
    <row r="170" spans="1:75">
      <c r="A170" s="13">
        <v>167</v>
      </c>
      <c r="B170" s="13">
        <v>34</v>
      </c>
      <c r="C170" s="17">
        <v>36.505008429999997</v>
      </c>
      <c r="E170" s="36">
        <v>26.996516517587899</v>
      </c>
      <c r="F170" s="36">
        <v>0.72058823529411697</v>
      </c>
      <c r="G170" s="36"/>
      <c r="M170" s="13">
        <f t="shared" si="12"/>
        <v>7.36767185294116</v>
      </c>
      <c r="O170" s="13">
        <v>167</v>
      </c>
      <c r="P170" s="13">
        <v>34</v>
      </c>
      <c r="Q170" s="17">
        <v>37.313384540000001</v>
      </c>
      <c r="S170" s="36">
        <v>34.3662324346733</v>
      </c>
      <c r="T170" s="36">
        <v>0.90441176470588203</v>
      </c>
      <c r="U170" s="36"/>
      <c r="AA170" s="13">
        <f t="shared" si="9"/>
        <v>9.7452486470588351</v>
      </c>
      <c r="AB170" s="36">
        <v>0.30476176407861699</v>
      </c>
      <c r="AC170" s="23">
        <v>4.6157742795736929E-2</v>
      </c>
      <c r="AD170" s="23">
        <v>0.83943379081512148</v>
      </c>
      <c r="AE170" s="23">
        <v>1185</v>
      </c>
      <c r="AF170" s="23">
        <v>9.1628690322468793E-3</v>
      </c>
      <c r="AG170" s="23">
        <v>1</v>
      </c>
      <c r="AI170" s="13">
        <v>167</v>
      </c>
      <c r="AJ170" s="13">
        <v>34</v>
      </c>
      <c r="AK170" s="17">
        <v>34.517001690000001</v>
      </c>
      <c r="AM170" s="36">
        <v>5.5654942582914497</v>
      </c>
      <c r="AN170" s="36">
        <v>0.69705882352941095</v>
      </c>
      <c r="AO170" s="36"/>
      <c r="AV170" s="13">
        <f t="shared" si="10"/>
        <v>1.520593205882359</v>
      </c>
      <c r="AW170" s="36">
        <v>5.2564758059230103E-2</v>
      </c>
      <c r="AX170" s="13">
        <v>0.86340931711360869</v>
      </c>
      <c r="AY170" s="13">
        <v>0.35373096934961834</v>
      </c>
      <c r="AZ170" s="13">
        <v>581</v>
      </c>
      <c r="BA170" s="13">
        <v>7.068909958263191E-3</v>
      </c>
      <c r="BB170" s="13">
        <v>0</v>
      </c>
      <c r="BD170" s="13">
        <v>167</v>
      </c>
      <c r="BE170" s="13">
        <v>34</v>
      </c>
      <c r="BF170" s="17">
        <v>34.757840780000002</v>
      </c>
      <c r="BH170" s="36">
        <v>11.2166195246231</v>
      </c>
      <c r="BI170" s="36">
        <v>0.68382352941176405</v>
      </c>
      <c r="BJ170" s="36"/>
      <c r="BQ170" s="13">
        <f t="shared" si="11"/>
        <v>2.2289434705882405</v>
      </c>
      <c r="BR170" s="36">
        <v>0.109873134171977</v>
      </c>
      <c r="BS170" s="13">
        <v>0.99233369800327587</v>
      </c>
      <c r="BT170" s="13">
        <v>0.28009908660785959</v>
      </c>
      <c r="BU170" s="13">
        <v>1325</v>
      </c>
      <c r="BV170" s="13">
        <v>7.66404035216152E-3</v>
      </c>
      <c r="BW170" s="13">
        <v>0</v>
      </c>
    </row>
    <row r="171" spans="1:75">
      <c r="A171" s="13">
        <v>168</v>
      </c>
      <c r="B171" s="13">
        <v>17</v>
      </c>
      <c r="C171" s="17">
        <v>24.182306714253802</v>
      </c>
      <c r="E171" s="36">
        <v>27.1663059296482</v>
      </c>
      <c r="F171" s="36">
        <v>0.72058823529411697</v>
      </c>
      <c r="G171" s="36"/>
      <c r="M171" s="13">
        <f t="shared" si="12"/>
        <v>42.248863025022352</v>
      </c>
      <c r="O171" s="13">
        <v>168</v>
      </c>
      <c r="P171" s="13">
        <v>17</v>
      </c>
      <c r="Q171" s="17">
        <v>13.750726281097201</v>
      </c>
      <c r="S171" s="36">
        <v>34.582372261306503</v>
      </c>
      <c r="T171" s="36">
        <v>0.90882352941176403</v>
      </c>
      <c r="U171" s="36"/>
      <c r="AA171" s="13">
        <f t="shared" si="9"/>
        <v>-19.11337481707529</v>
      </c>
      <c r="AB171" s="36">
        <v>0.30476176407861699</v>
      </c>
      <c r="AC171" s="23">
        <v>0.11306215519255444</v>
      </c>
      <c r="AD171" s="23">
        <v>0.94729263644985973</v>
      </c>
      <c r="AE171" s="23">
        <v>1237</v>
      </c>
      <c r="AF171" s="23">
        <v>4.7758734560385621E-4</v>
      </c>
      <c r="AG171" s="23">
        <v>1</v>
      </c>
      <c r="AI171" s="13">
        <v>168</v>
      </c>
      <c r="AJ171" s="13">
        <v>17</v>
      </c>
      <c r="AK171" s="17">
        <v>19.31041046</v>
      </c>
      <c r="AM171" s="36">
        <v>5.60049736683417</v>
      </c>
      <c r="AN171" s="36">
        <v>0.70441176470588196</v>
      </c>
      <c r="AO171" s="36"/>
      <c r="AV171" s="13">
        <f t="shared" si="10"/>
        <v>13.590649764705876</v>
      </c>
      <c r="AW171" s="36">
        <v>5.2564758059230103E-2</v>
      </c>
      <c r="AX171" s="13">
        <v>0.72211304213465977</v>
      </c>
      <c r="AY171" s="13">
        <v>0.48670088503111525</v>
      </c>
      <c r="AZ171" s="13">
        <v>742</v>
      </c>
      <c r="BA171" s="13">
        <v>6.2997254446782325E-3</v>
      </c>
      <c r="BB171" s="13">
        <v>0</v>
      </c>
      <c r="BD171" s="13">
        <v>168</v>
      </c>
      <c r="BE171" s="13">
        <v>17</v>
      </c>
      <c r="BF171" s="17">
        <v>21.040094459999999</v>
      </c>
      <c r="BH171" s="36">
        <v>11.2871643015075</v>
      </c>
      <c r="BI171" s="36">
        <v>0.68676470588235194</v>
      </c>
      <c r="BJ171" s="36"/>
      <c r="BQ171" s="13">
        <f t="shared" si="11"/>
        <v>23.765261529411763</v>
      </c>
      <c r="BR171" s="36">
        <v>0.109873134171977</v>
      </c>
      <c r="BS171" s="13">
        <v>0.41016072861309738</v>
      </c>
      <c r="BT171" s="13">
        <v>0.19533716467769566</v>
      </c>
      <c r="BU171" s="13">
        <v>1385</v>
      </c>
      <c r="BV171" s="13">
        <v>6.1702073011012338E-3</v>
      </c>
      <c r="BW171" s="13">
        <v>1</v>
      </c>
    </row>
    <row r="172" spans="1:75">
      <c r="A172" s="13">
        <v>169</v>
      </c>
      <c r="B172" s="13">
        <v>49</v>
      </c>
      <c r="C172" s="17">
        <v>60.745565730000003</v>
      </c>
      <c r="E172" s="36">
        <v>27.3360953417085</v>
      </c>
      <c r="F172" s="36">
        <v>0.72058823529411697</v>
      </c>
      <c r="G172" s="36"/>
      <c r="M172" s="13">
        <f t="shared" si="12"/>
        <v>23.970542306122454</v>
      </c>
      <c r="O172" s="13">
        <v>169</v>
      </c>
      <c r="P172" s="13">
        <v>49</v>
      </c>
      <c r="Q172" s="17">
        <v>59.385528639999997</v>
      </c>
      <c r="S172" s="36">
        <v>34.798512087939599</v>
      </c>
      <c r="T172" s="36">
        <v>0.91323529411764703</v>
      </c>
      <c r="U172" s="36"/>
      <c r="AA172" s="13">
        <f t="shared" si="9"/>
        <v>21.194956408163268</v>
      </c>
      <c r="AB172" s="36">
        <v>0.30326807635314601</v>
      </c>
      <c r="AC172" s="23">
        <v>3.5667011914008957E-2</v>
      </c>
      <c r="AD172" s="23">
        <v>0.2738358063091661</v>
      </c>
      <c r="AE172" s="23">
        <v>924</v>
      </c>
      <c r="AF172" s="23">
        <v>3.8736911185043676E-3</v>
      </c>
      <c r="AG172" s="23">
        <v>0</v>
      </c>
      <c r="AI172" s="13">
        <v>169</v>
      </c>
      <c r="AJ172" s="13">
        <v>49</v>
      </c>
      <c r="AK172" s="17">
        <v>51.391113150000002</v>
      </c>
      <c r="AM172" s="36">
        <v>5.6355004753768796</v>
      </c>
      <c r="AN172" s="36">
        <v>0.70882352941176396</v>
      </c>
      <c r="AO172" s="36"/>
      <c r="AV172" s="13">
        <f t="shared" si="10"/>
        <v>4.8798227551020368</v>
      </c>
      <c r="AW172" s="36">
        <v>5.2564758059230103E-2</v>
      </c>
      <c r="AX172" s="13">
        <v>0.78178240195670257</v>
      </c>
      <c r="AY172" s="13">
        <v>0.41961812414549565</v>
      </c>
      <c r="AZ172" s="13">
        <v>1139</v>
      </c>
      <c r="BA172" s="13">
        <v>6.2445293837272925E-3</v>
      </c>
      <c r="BB172" s="13">
        <v>1</v>
      </c>
      <c r="BD172" s="13">
        <v>169</v>
      </c>
      <c r="BE172" s="13">
        <v>49</v>
      </c>
      <c r="BF172" s="17">
        <v>53.393853970000002</v>
      </c>
      <c r="BH172" s="36">
        <v>11.357709078391901</v>
      </c>
      <c r="BI172" s="36">
        <v>0.68823529411764695</v>
      </c>
      <c r="BJ172" s="36"/>
      <c r="BQ172" s="13">
        <f t="shared" si="11"/>
        <v>8.9670489183673485</v>
      </c>
      <c r="BR172" s="36">
        <v>0.108588100433885</v>
      </c>
      <c r="BS172" s="13">
        <v>0.13138648328566621</v>
      </c>
      <c r="BT172" s="13">
        <v>0.87733658249061552</v>
      </c>
      <c r="BU172" s="13">
        <v>1207</v>
      </c>
      <c r="BV172" s="13">
        <v>3.9435992268715163E-3</v>
      </c>
      <c r="BW172" s="13">
        <v>1</v>
      </c>
    </row>
    <row r="173" spans="1:75">
      <c r="A173" s="13">
        <v>170</v>
      </c>
      <c r="B173" s="13">
        <v>9</v>
      </c>
      <c r="C173" s="17">
        <v>13.3140290745634</v>
      </c>
      <c r="E173" s="36">
        <v>27.5058847537688</v>
      </c>
      <c r="F173" s="36">
        <v>0.72058823529411697</v>
      </c>
      <c r="G173" s="36"/>
      <c r="M173" s="13">
        <f t="shared" si="12"/>
        <v>47.933656384037789</v>
      </c>
      <c r="O173" s="13">
        <v>170</v>
      </c>
      <c r="P173" s="13">
        <v>9</v>
      </c>
      <c r="Q173" s="17">
        <v>12.1740999085615</v>
      </c>
      <c r="S173" s="36">
        <v>35.014651914572802</v>
      </c>
      <c r="T173" s="36">
        <v>0.91470588235294104</v>
      </c>
      <c r="U173" s="36"/>
      <c r="AA173" s="13">
        <f t="shared" si="9"/>
        <v>35.267776761794444</v>
      </c>
      <c r="AB173" s="36">
        <v>0.30326807635314601</v>
      </c>
      <c r="AC173" s="23">
        <v>5.9260584105933559E-2</v>
      </c>
      <c r="AD173" s="23">
        <v>0.31728350218545692</v>
      </c>
      <c r="AE173" s="23">
        <v>618</v>
      </c>
      <c r="AF173" s="23">
        <v>6.8681327585034587E-3</v>
      </c>
      <c r="AG173" s="23">
        <v>1</v>
      </c>
      <c r="AI173" s="13">
        <v>170</v>
      </c>
      <c r="AJ173" s="13">
        <v>9</v>
      </c>
      <c r="AK173" s="17">
        <v>11.079206445438199</v>
      </c>
      <c r="AM173" s="36">
        <v>5.6705035839195901</v>
      </c>
      <c r="AN173" s="36">
        <v>0.71764705882352897</v>
      </c>
      <c r="AO173" s="36"/>
      <c r="AV173" s="13">
        <f t="shared" si="10"/>
        <v>23.102293838202215</v>
      </c>
      <c r="AW173" s="36">
        <v>5.2564758059230103E-2</v>
      </c>
      <c r="AX173" s="13">
        <v>0.8380606702476382</v>
      </c>
      <c r="AY173" s="13">
        <v>0.30585326106591104</v>
      </c>
      <c r="AZ173" s="13">
        <v>1405</v>
      </c>
      <c r="BA173" s="13">
        <v>3.1863702192624008E-3</v>
      </c>
      <c r="BB173" s="13">
        <v>0</v>
      </c>
      <c r="BD173" s="13">
        <v>170</v>
      </c>
      <c r="BE173" s="13">
        <v>9</v>
      </c>
      <c r="BF173" s="17">
        <v>8.5533109483521397</v>
      </c>
      <c r="BH173" s="36">
        <v>11.428253855276299</v>
      </c>
      <c r="BI173" s="36">
        <v>0.69264705882352895</v>
      </c>
      <c r="BJ173" s="36"/>
      <c r="BQ173" s="13">
        <f t="shared" si="11"/>
        <v>-4.9632116849762209</v>
      </c>
      <c r="BR173" s="36">
        <v>0.108588100433885</v>
      </c>
      <c r="BS173" s="13">
        <v>7.3859935484337322E-2</v>
      </c>
      <c r="BT173" s="13">
        <v>0.31130327876296371</v>
      </c>
      <c r="BU173" s="13">
        <v>347</v>
      </c>
      <c r="BV173" s="13">
        <v>7.1056865774848021E-3</v>
      </c>
      <c r="BW173" s="13">
        <v>1</v>
      </c>
    </row>
    <row r="174" spans="1:75">
      <c r="A174" s="13">
        <v>171</v>
      </c>
      <c r="B174" s="13">
        <v>98</v>
      </c>
      <c r="C174" s="17">
        <v>107.2606059</v>
      </c>
      <c r="E174" s="36">
        <v>27.675674165829101</v>
      </c>
      <c r="F174" s="36">
        <v>0.72499999999999998</v>
      </c>
      <c r="G174" s="36"/>
      <c r="M174" s="13">
        <f t="shared" si="12"/>
        <v>9.4495978571428552</v>
      </c>
      <c r="O174" s="13">
        <v>171</v>
      </c>
      <c r="P174" s="13">
        <v>98</v>
      </c>
      <c r="Q174" s="17">
        <v>102.8191485</v>
      </c>
      <c r="S174" s="36">
        <v>35.230791741205998</v>
      </c>
      <c r="T174" s="36">
        <v>0.91911764705882304</v>
      </c>
      <c r="U174" s="36"/>
      <c r="AA174" s="13">
        <f t="shared" si="9"/>
        <v>4.9174984693877599</v>
      </c>
      <c r="AB174" s="36">
        <v>0.30225059480706901</v>
      </c>
      <c r="AC174" s="23">
        <v>0.22714076318276336</v>
      </c>
      <c r="AD174" s="23">
        <v>0.61429340956982403</v>
      </c>
      <c r="AE174" s="23">
        <v>862</v>
      </c>
      <c r="AF174" s="23">
        <v>6.5597326993808791E-3</v>
      </c>
      <c r="AG174" s="23">
        <v>0</v>
      </c>
      <c r="AI174" s="13">
        <v>171</v>
      </c>
      <c r="AJ174" s="13">
        <v>98</v>
      </c>
      <c r="AK174" s="17">
        <v>100.10412119999999</v>
      </c>
      <c r="AM174" s="36">
        <v>5.7055066924623103</v>
      </c>
      <c r="AN174" s="36">
        <v>0.73088235294117598</v>
      </c>
      <c r="AO174" s="36"/>
      <c r="AR174" s="36"/>
      <c r="AV174" s="13">
        <f t="shared" si="10"/>
        <v>2.1470624489795753</v>
      </c>
      <c r="AW174" s="36">
        <v>4.9145112112197201E-2</v>
      </c>
      <c r="AX174" s="36">
        <v>5.4000000000000003E-3</v>
      </c>
      <c r="AY174" s="36">
        <v>0.63</v>
      </c>
      <c r="AZ174" s="36">
        <v>1960</v>
      </c>
      <c r="BA174" s="36">
        <v>5.6999999999999998E-4</v>
      </c>
      <c r="BB174" s="36">
        <v>1</v>
      </c>
      <c r="BD174" s="13">
        <v>171</v>
      </c>
      <c r="BE174" s="13">
        <v>98</v>
      </c>
      <c r="BF174" s="17">
        <v>101.3543974</v>
      </c>
      <c r="BH174" s="36">
        <v>11.4987986321607</v>
      </c>
      <c r="BI174" s="36">
        <v>0.69705882352941095</v>
      </c>
      <c r="BJ174" s="36"/>
      <c r="BQ174" s="13">
        <f t="shared" si="11"/>
        <v>3.4228544897959123</v>
      </c>
      <c r="BR174" s="36">
        <v>0.108588100433885</v>
      </c>
      <c r="BS174" s="13">
        <v>0.93761571213395389</v>
      </c>
      <c r="BT174" s="13">
        <v>0.5067003026715281</v>
      </c>
      <c r="BU174" s="13">
        <v>935</v>
      </c>
      <c r="BV174" s="13">
        <v>5.879095630966117E-3</v>
      </c>
      <c r="BW174" s="13">
        <v>1</v>
      </c>
    </row>
    <row r="175" spans="1:75">
      <c r="A175" s="13">
        <v>172</v>
      </c>
      <c r="B175" s="13">
        <v>53</v>
      </c>
      <c r="C175" s="17">
        <v>34.3654812958736</v>
      </c>
      <c r="E175" s="36">
        <v>27.845463577889401</v>
      </c>
      <c r="F175" s="36">
        <v>0.72794117647058798</v>
      </c>
      <c r="G175" s="36"/>
      <c r="M175" s="13">
        <f t="shared" si="12"/>
        <v>-35.159469253068679</v>
      </c>
      <c r="O175" s="13">
        <v>172</v>
      </c>
      <c r="P175" s="13">
        <v>53</v>
      </c>
      <c r="Q175" s="17">
        <v>81.999672671680699</v>
      </c>
      <c r="S175" s="36">
        <v>35.446931567839101</v>
      </c>
      <c r="T175" s="36">
        <v>0.92205882352941104</v>
      </c>
      <c r="U175" s="36"/>
      <c r="AA175" s="13">
        <f t="shared" si="9"/>
        <v>54.716363531473021</v>
      </c>
      <c r="AB175" s="36">
        <v>0.30225059480706901</v>
      </c>
      <c r="AC175" s="23">
        <v>4.3182076242248055E-2</v>
      </c>
      <c r="AD175" s="23">
        <v>0.97190693637325765</v>
      </c>
      <c r="AE175" s="23">
        <v>1214</v>
      </c>
      <c r="AF175" s="23">
        <v>9.9794686560160956E-3</v>
      </c>
      <c r="AG175" s="23">
        <v>0</v>
      </c>
      <c r="AI175" s="13">
        <v>172</v>
      </c>
      <c r="AJ175" s="13">
        <v>53</v>
      </c>
      <c r="AK175" s="17">
        <v>47.302501380000002</v>
      </c>
      <c r="AM175" s="36">
        <v>5.74050980100502</v>
      </c>
      <c r="AN175" s="36">
        <v>0.748529411764705</v>
      </c>
      <c r="AO175" s="36"/>
      <c r="AR175" s="36"/>
      <c r="AV175" s="13">
        <f t="shared" si="10"/>
        <v>-10.749997396226407</v>
      </c>
      <c r="AW175" s="36">
        <v>4.9145112112197201E-2</v>
      </c>
      <c r="AX175" s="13">
        <v>0.7658256908305493</v>
      </c>
      <c r="AY175" s="13">
        <v>0.46820334573721017</v>
      </c>
      <c r="AZ175" s="13">
        <v>1679</v>
      </c>
      <c r="BA175" s="13">
        <v>8.6830090020023933E-3</v>
      </c>
      <c r="BB175" s="13">
        <v>0</v>
      </c>
      <c r="BD175" s="13">
        <v>172</v>
      </c>
      <c r="BE175" s="13">
        <v>53</v>
      </c>
      <c r="BF175" s="17">
        <v>40.841184990000002</v>
      </c>
      <c r="BH175" s="36">
        <v>11.569343409045199</v>
      </c>
      <c r="BI175" s="36">
        <v>0.70588235294117596</v>
      </c>
      <c r="BJ175" s="36"/>
      <c r="BQ175" s="13">
        <f t="shared" si="11"/>
        <v>-22.941160396226412</v>
      </c>
      <c r="BR175" s="36">
        <v>0.108588100433885</v>
      </c>
      <c r="BS175" s="13">
        <v>0.13285509274309498</v>
      </c>
      <c r="BT175" s="13">
        <v>0.44129810585036305</v>
      </c>
      <c r="BU175" s="13">
        <v>1244</v>
      </c>
      <c r="BV175" s="13">
        <v>8.2606261414024003E-3</v>
      </c>
      <c r="BW175" s="13">
        <v>1</v>
      </c>
    </row>
    <row r="176" spans="1:75">
      <c r="A176" s="13">
        <v>173</v>
      </c>
      <c r="B176" s="13">
        <v>77</v>
      </c>
      <c r="C176" s="17">
        <v>77.880666750000003</v>
      </c>
      <c r="E176" s="36">
        <v>28.015252989949701</v>
      </c>
      <c r="F176" s="36">
        <v>0.73235294117646998</v>
      </c>
      <c r="G176" s="36"/>
      <c r="M176" s="13">
        <f t="shared" si="12"/>
        <v>1.1437230519480535</v>
      </c>
      <c r="O176" s="13">
        <v>173</v>
      </c>
      <c r="P176" s="13">
        <v>77</v>
      </c>
      <c r="Q176" s="17">
        <v>76.940205140000003</v>
      </c>
      <c r="S176" s="36">
        <v>35.663071394472297</v>
      </c>
      <c r="T176" s="36">
        <v>0.92794117647058805</v>
      </c>
      <c r="U176" s="36"/>
      <c r="AA176" s="13">
        <f t="shared" si="9"/>
        <v>-7.7655662337661191E-2</v>
      </c>
      <c r="AB176" s="36">
        <v>0.30225059480706901</v>
      </c>
      <c r="AC176" s="23">
        <v>0.6575719077048382</v>
      </c>
      <c r="AD176" s="23">
        <v>0.77215006270467856</v>
      </c>
      <c r="AE176" s="23">
        <v>668</v>
      </c>
      <c r="AF176" s="23">
        <v>3.7829053007430533E-3</v>
      </c>
      <c r="AG176" s="23">
        <v>0</v>
      </c>
      <c r="AI176" s="13">
        <v>173</v>
      </c>
      <c r="AJ176" s="13">
        <v>77</v>
      </c>
      <c r="AK176" s="17">
        <v>77.252133349999994</v>
      </c>
      <c r="AM176" s="36">
        <v>5.7755129095477296</v>
      </c>
      <c r="AN176" s="36">
        <v>0.76470588235294101</v>
      </c>
      <c r="AO176" s="36"/>
      <c r="AR176" s="36"/>
      <c r="AV176" s="13">
        <f t="shared" si="10"/>
        <v>0.32744590909090654</v>
      </c>
      <c r="AW176" s="36">
        <v>4.9145112112197201E-2</v>
      </c>
      <c r="AX176" s="13">
        <v>0.26262849053587661</v>
      </c>
      <c r="AY176" s="13">
        <v>0.94686275841680301</v>
      </c>
      <c r="AZ176" s="13">
        <v>686</v>
      </c>
      <c r="BA176" s="13">
        <v>5.9402103704982627E-3</v>
      </c>
      <c r="BB176" s="13">
        <v>0</v>
      </c>
      <c r="BD176" s="13">
        <v>173</v>
      </c>
      <c r="BE176" s="13">
        <v>77</v>
      </c>
      <c r="BF176" s="17">
        <v>77.294423030000004</v>
      </c>
      <c r="BH176" s="36">
        <v>11.6398881859296</v>
      </c>
      <c r="BI176" s="36">
        <v>0.71470588235294097</v>
      </c>
      <c r="BJ176" s="36"/>
      <c r="BQ176" s="13">
        <f t="shared" si="11"/>
        <v>0.3823675714285768</v>
      </c>
      <c r="BR176" s="36">
        <v>0.108588100433885</v>
      </c>
      <c r="BS176" s="13">
        <v>0.23888249692969418</v>
      </c>
      <c r="BT176" s="13">
        <v>0.29349409040514818</v>
      </c>
      <c r="BU176" s="13">
        <v>351</v>
      </c>
      <c r="BV176" s="13">
        <v>2.4821137049157232E-3</v>
      </c>
      <c r="BW176" s="13">
        <v>0</v>
      </c>
    </row>
    <row r="177" spans="1:75">
      <c r="A177" s="13">
        <v>174</v>
      </c>
      <c r="B177" s="13">
        <v>78</v>
      </c>
      <c r="C177" s="17">
        <v>78.129015449999997</v>
      </c>
      <c r="E177" s="36">
        <v>28.185042402010001</v>
      </c>
      <c r="F177" s="36">
        <v>0.73823529411764699</v>
      </c>
      <c r="G177" s="36"/>
      <c r="M177" s="13">
        <f t="shared" si="12"/>
        <v>0.16540442307690917</v>
      </c>
      <c r="O177" s="13">
        <v>174</v>
      </c>
      <c r="P177" s="13">
        <v>78</v>
      </c>
      <c r="Q177" s="17">
        <v>78.258982970000005</v>
      </c>
      <c r="S177" s="36">
        <v>35.8792112211055</v>
      </c>
      <c r="T177" s="36">
        <v>0.93382352941176405</v>
      </c>
      <c r="U177" s="36"/>
      <c r="AA177" s="13">
        <f t="shared" si="9"/>
        <v>0.33202944871795204</v>
      </c>
      <c r="AB177" s="36">
        <v>0.30225059480706901</v>
      </c>
      <c r="AC177" s="23">
        <v>9.1426079949321462E-2</v>
      </c>
      <c r="AD177" s="23">
        <v>0.16980271409324166</v>
      </c>
      <c r="AE177" s="23">
        <v>148</v>
      </c>
      <c r="AF177" s="23">
        <v>5.2793931635997868E-3</v>
      </c>
      <c r="AG177" s="23">
        <v>0</v>
      </c>
      <c r="AI177" s="13">
        <v>174</v>
      </c>
      <c r="AJ177" s="13">
        <v>78</v>
      </c>
      <c r="AK177" s="17">
        <v>78.097803089999999</v>
      </c>
      <c r="AM177" s="36">
        <v>5.8105160180904498</v>
      </c>
      <c r="AN177" s="36">
        <v>0.77500000000000002</v>
      </c>
      <c r="AO177" s="36"/>
      <c r="AR177" s="36"/>
      <c r="AV177" s="13">
        <f t="shared" si="10"/>
        <v>0.12538857692308003</v>
      </c>
      <c r="AW177" s="36">
        <v>4.9145112112197201E-2</v>
      </c>
      <c r="AX177" s="13">
        <v>0.37972026874260056</v>
      </c>
      <c r="AY177" s="13">
        <v>0.80102013438439457</v>
      </c>
      <c r="AZ177" s="13">
        <v>367</v>
      </c>
      <c r="BA177" s="13">
        <v>9.4174180657204832E-3</v>
      </c>
      <c r="BB177" s="13">
        <v>1</v>
      </c>
      <c r="BD177" s="13">
        <v>174</v>
      </c>
      <c r="BE177" s="13">
        <v>78</v>
      </c>
      <c r="BF177" s="17">
        <v>78.462374170000004</v>
      </c>
      <c r="BH177" s="36">
        <v>11.710432962814</v>
      </c>
      <c r="BI177" s="36">
        <v>0.73235294117646998</v>
      </c>
      <c r="BJ177" s="36"/>
      <c r="BQ177" s="13">
        <f t="shared" si="11"/>
        <v>0.59278739743591213</v>
      </c>
      <c r="BR177" s="36">
        <v>0.108588100433885</v>
      </c>
      <c r="BS177" s="13">
        <v>0.60802681942467718</v>
      </c>
      <c r="BT177" s="13">
        <v>0.52390916058378278</v>
      </c>
      <c r="BU177" s="13">
        <v>1191</v>
      </c>
      <c r="BV177" s="13">
        <v>4.4766353158514263E-3</v>
      </c>
      <c r="BW177" s="13">
        <v>1</v>
      </c>
    </row>
    <row r="178" spans="1:75">
      <c r="A178" s="13">
        <v>175</v>
      </c>
      <c r="B178" s="13">
        <v>82</v>
      </c>
      <c r="C178" s="17">
        <v>53.22104504</v>
      </c>
      <c r="E178" s="36">
        <v>28.354831814070302</v>
      </c>
      <c r="F178" s="36">
        <v>0.748529411764705</v>
      </c>
      <c r="G178" s="36"/>
      <c r="M178" s="13">
        <f t="shared" si="12"/>
        <v>-35.096286536585367</v>
      </c>
      <c r="O178" s="13">
        <v>175</v>
      </c>
      <c r="P178" s="13">
        <v>82</v>
      </c>
      <c r="Q178" s="17">
        <v>53.215441409999997</v>
      </c>
      <c r="S178" s="36">
        <v>36.095351047738603</v>
      </c>
      <c r="T178" s="36">
        <v>0.93823529411764695</v>
      </c>
      <c r="U178" s="36"/>
      <c r="AA178" s="13">
        <f t="shared" si="9"/>
        <v>-35.103120231707322</v>
      </c>
      <c r="AB178" s="36">
        <v>0.30225059480706901</v>
      </c>
      <c r="AC178" s="23">
        <v>0.80412615942844989</v>
      </c>
      <c r="AD178" s="23">
        <v>0.81370412314124652</v>
      </c>
      <c r="AE178" s="23">
        <v>106</v>
      </c>
      <c r="AF178" s="23">
        <v>5.9339664958280997E-3</v>
      </c>
      <c r="AG178" s="23">
        <v>0</v>
      </c>
      <c r="AI178" s="13">
        <v>175</v>
      </c>
      <c r="AJ178" s="13">
        <v>82</v>
      </c>
      <c r="AK178" s="17">
        <v>75.952209010000004</v>
      </c>
      <c r="AM178" s="36">
        <v>5.8455191266331603</v>
      </c>
      <c r="AN178" s="36">
        <v>0.79411764705882304</v>
      </c>
      <c r="AO178" s="36"/>
      <c r="AR178" s="36"/>
      <c r="AV178" s="13">
        <f t="shared" si="10"/>
        <v>-7.3753548658536561</v>
      </c>
      <c r="AW178" s="36">
        <v>4.9145112112197201E-2</v>
      </c>
      <c r="AX178" s="13">
        <v>0.32125781094988282</v>
      </c>
      <c r="AY178" s="13">
        <v>0.75671506443394787</v>
      </c>
      <c r="AZ178" s="13">
        <v>1250</v>
      </c>
      <c r="BA178" s="13">
        <v>4.2394636829582149E-3</v>
      </c>
      <c r="BB178" s="13">
        <v>0</v>
      </c>
      <c r="BD178" s="13">
        <v>175</v>
      </c>
      <c r="BE178" s="13">
        <v>82</v>
      </c>
      <c r="BF178" s="17">
        <v>70.336857969999997</v>
      </c>
      <c r="BH178" s="36">
        <v>11.7809777396984</v>
      </c>
      <c r="BI178" s="36">
        <v>0.73970588235294099</v>
      </c>
      <c r="BJ178" s="36"/>
      <c r="BQ178" s="13">
        <f t="shared" si="11"/>
        <v>-14.223343939024391</v>
      </c>
      <c r="BR178" s="36">
        <v>0.105845845929099</v>
      </c>
      <c r="BS178" s="13">
        <v>0.6954486986229047</v>
      </c>
      <c r="BT178" s="13">
        <v>0.1324585671851356</v>
      </c>
      <c r="BU178" s="13">
        <v>815</v>
      </c>
      <c r="BV178" s="13">
        <v>2.3267169408741559E-3</v>
      </c>
      <c r="BW178" s="13">
        <v>0</v>
      </c>
    </row>
    <row r="179" spans="1:75">
      <c r="A179" s="13">
        <v>176</v>
      </c>
      <c r="B179" s="13">
        <v>200</v>
      </c>
      <c r="C179" s="17">
        <v>199.2158905</v>
      </c>
      <c r="E179" s="36">
        <v>28.524621226130598</v>
      </c>
      <c r="F179" s="36">
        <v>0.75588235294117601</v>
      </c>
      <c r="G179" s="36"/>
      <c r="M179" s="13">
        <f t="shared" si="12"/>
        <v>-0.39205475000000378</v>
      </c>
      <c r="O179" s="13">
        <v>176</v>
      </c>
      <c r="P179" s="13">
        <v>200</v>
      </c>
      <c r="Q179" s="17">
        <v>193.29348590000001</v>
      </c>
      <c r="S179" s="36">
        <v>36.311490874371799</v>
      </c>
      <c r="T179" s="36">
        <v>0.94264705882352895</v>
      </c>
      <c r="U179" s="36"/>
      <c r="AA179" s="13">
        <f t="shared" si="9"/>
        <v>-3.3532570499999914</v>
      </c>
      <c r="AB179" s="36">
        <v>0.30225059480706901</v>
      </c>
      <c r="AC179" s="23">
        <v>0.50426859355352849</v>
      </c>
      <c r="AD179" s="23">
        <v>0.76362286452014627</v>
      </c>
      <c r="AE179" s="23">
        <v>238</v>
      </c>
      <c r="AF179" s="23">
        <v>3.3089847094636767E-3</v>
      </c>
      <c r="AG179" s="23">
        <v>1</v>
      </c>
      <c r="AI179" s="13">
        <v>176</v>
      </c>
      <c r="AJ179" s="13">
        <v>200</v>
      </c>
      <c r="AK179" s="17">
        <v>200.1431781</v>
      </c>
      <c r="AM179" s="36">
        <v>5.8805222351758699</v>
      </c>
      <c r="AN179" s="36">
        <v>0.81176470588235194</v>
      </c>
      <c r="AO179" s="36"/>
      <c r="AV179" s="13">
        <f t="shared" si="10"/>
        <v>7.1589049999998267E-2</v>
      </c>
      <c r="AW179" s="36">
        <v>4.9145112112197201E-2</v>
      </c>
      <c r="AX179" s="13">
        <v>0.61848834698399502</v>
      </c>
      <c r="AY179" s="13">
        <v>0.70282963077336247</v>
      </c>
      <c r="AZ179" s="13">
        <v>575</v>
      </c>
      <c r="BA179" s="13">
        <v>8.7758425736907623E-3</v>
      </c>
      <c r="BB179" s="13">
        <v>0</v>
      </c>
      <c r="BD179" s="13">
        <v>176</v>
      </c>
      <c r="BE179" s="13">
        <v>200</v>
      </c>
      <c r="BF179" s="17">
        <v>199.51861729999999</v>
      </c>
      <c r="BH179" s="36">
        <v>11.8515225165829</v>
      </c>
      <c r="BI179" s="36">
        <v>0.75</v>
      </c>
      <c r="BJ179" s="36"/>
      <c r="BQ179" s="13">
        <f t="shared" si="11"/>
        <v>-0.24069135000001074</v>
      </c>
      <c r="BR179" s="36">
        <v>0.105845845929099</v>
      </c>
      <c r="BS179" s="13">
        <v>0.74560892926375066</v>
      </c>
      <c r="BT179" s="13">
        <v>0.23071129148143371</v>
      </c>
      <c r="BU179" s="13">
        <v>1230</v>
      </c>
      <c r="BV179" s="13">
        <v>2.5863131161565755E-3</v>
      </c>
      <c r="BW179" s="13">
        <v>1</v>
      </c>
    </row>
    <row r="180" spans="1:75">
      <c r="A180" s="13">
        <v>177</v>
      </c>
      <c r="B180" s="13">
        <v>47</v>
      </c>
      <c r="C180" s="17">
        <v>47.697330299999997</v>
      </c>
      <c r="E180" s="36">
        <v>28.694410638190899</v>
      </c>
      <c r="F180" s="36">
        <v>0.76911764705882302</v>
      </c>
      <c r="G180" s="36"/>
      <c r="M180" s="13">
        <f t="shared" si="12"/>
        <v>1.4836814893616879</v>
      </c>
      <c r="O180" s="13">
        <v>177</v>
      </c>
      <c r="P180" s="13">
        <v>47</v>
      </c>
      <c r="Q180" s="17">
        <v>52.221181690000002</v>
      </c>
      <c r="S180" s="36">
        <v>36.527630701005002</v>
      </c>
      <c r="T180" s="36">
        <v>0.95294117647058796</v>
      </c>
      <c r="U180" s="36"/>
      <c r="AA180" s="13">
        <f t="shared" si="9"/>
        <v>11.108897212765957</v>
      </c>
      <c r="AB180" s="36">
        <v>0.30225059480706901</v>
      </c>
      <c r="AC180" s="23">
        <v>1.5708465012881092E-3</v>
      </c>
      <c r="AD180" s="23">
        <v>0.86869643730366897</v>
      </c>
      <c r="AE180" s="23">
        <v>1807</v>
      </c>
      <c r="AF180" s="23">
        <v>6.3156911420559712E-3</v>
      </c>
      <c r="AG180" s="23">
        <v>1</v>
      </c>
      <c r="AI180" s="13">
        <v>177</v>
      </c>
      <c r="AJ180" s="13">
        <v>47</v>
      </c>
      <c r="AK180" s="17">
        <v>47.179466060000003</v>
      </c>
      <c r="AM180" s="36">
        <v>5.9155253437185902</v>
      </c>
      <c r="AN180" s="36">
        <v>0.82647058823529396</v>
      </c>
      <c r="AO180" s="36"/>
      <c r="AV180" s="13">
        <f t="shared" si="10"/>
        <v>0.38184268085106332</v>
      </c>
      <c r="AW180" s="36">
        <v>4.9145112112197201E-2</v>
      </c>
      <c r="AX180" s="13">
        <v>0.56615444611444576</v>
      </c>
      <c r="AY180" s="13">
        <v>0.49167265616896944</v>
      </c>
      <c r="AZ180" s="13">
        <v>1284</v>
      </c>
      <c r="BA180" s="13">
        <v>4.1449101066939565E-3</v>
      </c>
      <c r="BB180" s="13">
        <v>0</v>
      </c>
      <c r="BD180" s="13">
        <v>177</v>
      </c>
      <c r="BE180" s="13">
        <v>47</v>
      </c>
      <c r="BF180" s="17">
        <v>46.803860759999999</v>
      </c>
      <c r="BH180" s="36">
        <v>11.9220672934673</v>
      </c>
      <c r="BI180" s="36">
        <v>0.76764705882352902</v>
      </c>
      <c r="BJ180" s="36"/>
      <c r="BQ180" s="13">
        <f t="shared" si="11"/>
        <v>-0.41731753191489585</v>
      </c>
      <c r="BR180" s="36">
        <v>0.105845845929099</v>
      </c>
      <c r="BS180" s="13">
        <v>0.55269894893138849</v>
      </c>
      <c r="BT180" s="13">
        <v>0.26678726577356227</v>
      </c>
      <c r="BU180" s="13">
        <v>1715</v>
      </c>
      <c r="BV180" s="13">
        <v>6.7081338033250955E-3</v>
      </c>
      <c r="BW180" s="13">
        <v>0</v>
      </c>
    </row>
    <row r="181" spans="1:75">
      <c r="A181" s="13">
        <v>178</v>
      </c>
      <c r="B181" s="13">
        <v>128</v>
      </c>
      <c r="C181" s="17">
        <v>97.7549238</v>
      </c>
      <c r="E181" s="36">
        <v>28.864200050251199</v>
      </c>
      <c r="F181" s="36">
        <v>0.78529411764705803</v>
      </c>
      <c r="G181" s="36"/>
      <c r="M181" s="13">
        <f t="shared" si="12"/>
        <v>-23.628965781249999</v>
      </c>
      <c r="O181" s="13">
        <v>178</v>
      </c>
      <c r="P181" s="13">
        <v>128</v>
      </c>
      <c r="Q181" s="17">
        <v>96.761042990000007</v>
      </c>
      <c r="S181" s="36">
        <v>36.743770527638098</v>
      </c>
      <c r="T181" s="36">
        <v>0.95882352941176396</v>
      </c>
      <c r="U181" s="36"/>
      <c r="AA181" s="13">
        <f t="shared" si="9"/>
        <v>-24.405435164062496</v>
      </c>
      <c r="AB181" s="36">
        <v>0.30225059480706901</v>
      </c>
      <c r="AC181" s="23">
        <v>0.73297040549313086</v>
      </c>
      <c r="AD181" s="23">
        <v>0.80697126752818138</v>
      </c>
      <c r="AE181" s="23">
        <v>196</v>
      </c>
      <c r="AF181" s="23">
        <v>8.5776575240322298E-3</v>
      </c>
      <c r="AG181" s="23">
        <v>0</v>
      </c>
      <c r="AI181" s="13">
        <v>178</v>
      </c>
      <c r="AJ181" s="13">
        <v>128</v>
      </c>
      <c r="AK181" s="17">
        <v>122.0069848</v>
      </c>
      <c r="AM181" s="36">
        <v>5.9505284522612998</v>
      </c>
      <c r="AN181" s="36">
        <v>0.83970588235294097</v>
      </c>
      <c r="AO181" s="36"/>
      <c r="AV181" s="13">
        <f t="shared" si="10"/>
        <v>-4.6820431250000016</v>
      </c>
      <c r="AW181" s="36">
        <v>4.9145112112197201E-2</v>
      </c>
      <c r="AX181" s="13">
        <v>0.4115280075783439</v>
      </c>
      <c r="AY181" s="13">
        <v>0.89308244089660582</v>
      </c>
      <c r="AZ181" s="13">
        <v>1377</v>
      </c>
      <c r="BA181" s="13">
        <v>7.8585384072538524E-4</v>
      </c>
      <c r="BB181" s="13">
        <v>1</v>
      </c>
      <c r="BD181" s="13">
        <v>178</v>
      </c>
      <c r="BE181" s="13">
        <v>128</v>
      </c>
      <c r="BF181" s="17">
        <v>116.2224317</v>
      </c>
      <c r="BH181" s="36">
        <v>11.992612070351701</v>
      </c>
      <c r="BI181" s="36">
        <v>0.78529411764705803</v>
      </c>
      <c r="BJ181" s="36"/>
      <c r="BQ181" s="13">
        <f t="shared" si="11"/>
        <v>-9.2012252343749985</v>
      </c>
      <c r="BR181" s="36">
        <v>0.105845845929099</v>
      </c>
      <c r="BS181" s="13">
        <v>2.7288726022615298E-2</v>
      </c>
      <c r="BT181" s="13">
        <v>0.83907668230194998</v>
      </c>
      <c r="BU181" s="13">
        <v>666</v>
      </c>
      <c r="BV181" s="13">
        <v>8.0673844062487572E-3</v>
      </c>
      <c r="BW181" s="13">
        <v>0</v>
      </c>
    </row>
    <row r="182" spans="1:75">
      <c r="A182" s="13">
        <v>179</v>
      </c>
      <c r="B182" s="13">
        <v>117</v>
      </c>
      <c r="C182" s="17">
        <v>125.9839006</v>
      </c>
      <c r="E182" s="36">
        <v>29.033989462311499</v>
      </c>
      <c r="F182" s="36">
        <v>0.79852941176470504</v>
      </c>
      <c r="G182" s="36"/>
      <c r="M182" s="13">
        <f t="shared" si="12"/>
        <v>7.6785475213675181</v>
      </c>
      <c r="O182" s="13">
        <v>179</v>
      </c>
      <c r="P182" s="13">
        <v>117</v>
      </c>
      <c r="Q182" s="17">
        <v>118.711716</v>
      </c>
      <c r="S182" s="36">
        <v>36.959910354271301</v>
      </c>
      <c r="T182" s="36">
        <v>0.96617647058823497</v>
      </c>
      <c r="U182" s="36"/>
      <c r="AA182" s="13">
        <f t="shared" si="9"/>
        <v>1.4630051282051193</v>
      </c>
      <c r="AB182" s="36">
        <v>0.30225059480706901</v>
      </c>
      <c r="AC182" s="23">
        <v>0.67076066887589247</v>
      </c>
      <c r="AD182" s="23">
        <v>0.718150739608031</v>
      </c>
      <c r="AE182" s="23">
        <v>1780</v>
      </c>
      <c r="AF182" s="23">
        <v>4.331998018691839E-3</v>
      </c>
      <c r="AG182" s="23">
        <v>0</v>
      </c>
      <c r="AI182" s="13">
        <v>179</v>
      </c>
      <c r="AJ182" s="13">
        <v>117</v>
      </c>
      <c r="AK182" s="17">
        <v>118.8007801</v>
      </c>
      <c r="AM182" s="36">
        <v>5.98553156080402</v>
      </c>
      <c r="AN182" s="36">
        <v>0.85294117647058798</v>
      </c>
      <c r="AO182" s="36"/>
      <c r="AV182" s="13">
        <f t="shared" si="10"/>
        <v>1.5391282905982795</v>
      </c>
      <c r="AW182" s="36">
        <v>4.9145112112197201E-2</v>
      </c>
      <c r="AX182" s="13">
        <v>0.46729764615086111</v>
      </c>
      <c r="AY182" s="13">
        <v>0.65189308366752741</v>
      </c>
      <c r="AZ182" s="13">
        <v>1928</v>
      </c>
      <c r="BA182" s="13">
        <v>2.3017289313401199E-3</v>
      </c>
      <c r="BB182" s="13">
        <v>0</v>
      </c>
      <c r="BD182" s="13">
        <v>179</v>
      </c>
      <c r="BE182" s="13">
        <v>117</v>
      </c>
      <c r="BF182" s="17">
        <v>120.0106516</v>
      </c>
      <c r="BH182" s="36">
        <v>12.063156847236099</v>
      </c>
      <c r="BI182" s="36">
        <v>0.79852941176470504</v>
      </c>
      <c r="BJ182" s="36"/>
      <c r="BQ182" s="13">
        <f t="shared" si="11"/>
        <v>2.5732064957264988</v>
      </c>
      <c r="BR182" s="36">
        <v>0.105845845929099</v>
      </c>
      <c r="BS182" s="13">
        <v>0.70945922848773824</v>
      </c>
      <c r="BT182" s="13">
        <v>0.20471173108222351</v>
      </c>
      <c r="BU182" s="13">
        <v>1109</v>
      </c>
      <c r="BV182" s="13">
        <v>7.030821176636168E-3</v>
      </c>
      <c r="BW182" s="13">
        <v>0</v>
      </c>
    </row>
    <row r="183" spans="1:75">
      <c r="A183" s="13">
        <v>180</v>
      </c>
      <c r="B183" s="13">
        <v>47</v>
      </c>
      <c r="C183" s="17">
        <v>63.883285195431597</v>
      </c>
      <c r="E183" s="36">
        <v>29.2037788743718</v>
      </c>
      <c r="F183" s="36">
        <v>0.81911764705882295</v>
      </c>
      <c r="G183" s="36"/>
      <c r="M183" s="13">
        <f t="shared" si="12"/>
        <v>35.9218833945353</v>
      </c>
      <c r="O183" s="13">
        <v>180</v>
      </c>
      <c r="P183" s="13">
        <v>47</v>
      </c>
      <c r="Q183" s="17">
        <v>25.656169478826701</v>
      </c>
      <c r="S183" s="36">
        <v>37.176050180904497</v>
      </c>
      <c r="T183" s="36">
        <v>0.96617647058823497</v>
      </c>
      <c r="U183" s="36"/>
      <c r="AA183" s="13">
        <f t="shared" si="9"/>
        <v>-45.412405364198506</v>
      </c>
      <c r="AB183" s="36">
        <v>0.23581564445987799</v>
      </c>
      <c r="AC183" s="36">
        <v>9.1000000000000004E-3</v>
      </c>
      <c r="AD183" s="36">
        <v>0.31</v>
      </c>
      <c r="AE183" s="36">
        <v>1880</v>
      </c>
      <c r="AF183" s="36">
        <v>1.0300000000000001E-3</v>
      </c>
      <c r="AG183" s="36">
        <v>1</v>
      </c>
      <c r="AI183" s="13">
        <v>180</v>
      </c>
      <c r="AJ183" s="13">
        <v>47</v>
      </c>
      <c r="AK183" s="17">
        <v>41.117980250000002</v>
      </c>
      <c r="AM183" s="36">
        <v>6.0205346693467297</v>
      </c>
      <c r="AN183" s="36">
        <v>0.86617647058823499</v>
      </c>
      <c r="AO183" s="36"/>
      <c r="AV183" s="13">
        <f t="shared" si="10"/>
        <v>-12.514935638297864</v>
      </c>
      <c r="AW183" s="36">
        <v>4.9145112112197201E-2</v>
      </c>
      <c r="AX183" s="13">
        <v>0.77403074783872183</v>
      </c>
      <c r="AY183" s="13">
        <v>0.23372864998152346</v>
      </c>
      <c r="AZ183" s="13">
        <v>1039</v>
      </c>
      <c r="BA183" s="13">
        <v>8.2216961725184723E-3</v>
      </c>
      <c r="BB183" s="13">
        <v>1</v>
      </c>
      <c r="BD183" s="13">
        <v>180</v>
      </c>
      <c r="BE183" s="13">
        <v>47</v>
      </c>
      <c r="BF183" s="17">
        <v>34.286365099999998</v>
      </c>
      <c r="BH183" s="36">
        <v>12.1337016241205</v>
      </c>
      <c r="BI183" s="36">
        <v>0.81323529411764695</v>
      </c>
      <c r="BJ183" s="36"/>
      <c r="BQ183" s="13">
        <f t="shared" si="11"/>
        <v>-27.050287021276599</v>
      </c>
      <c r="BR183" s="36">
        <v>0.105845845929099</v>
      </c>
      <c r="BS183" s="13">
        <v>0.71785585667100582</v>
      </c>
      <c r="BT183" s="13">
        <v>0.93994603642567198</v>
      </c>
      <c r="BU183" s="13">
        <v>731</v>
      </c>
      <c r="BV183" s="13">
        <v>5.2574169293150965E-5</v>
      </c>
      <c r="BW183" s="13">
        <v>0</v>
      </c>
    </row>
    <row r="184" spans="1:75">
      <c r="A184" s="13">
        <v>181</v>
      </c>
      <c r="B184" s="13">
        <v>207</v>
      </c>
      <c r="C184" s="17">
        <v>206.74438979999999</v>
      </c>
      <c r="E184" s="36">
        <v>29.3735682864321</v>
      </c>
      <c r="F184" s="36">
        <v>0.82794117647058796</v>
      </c>
      <c r="G184" s="36"/>
      <c r="M184" s="13">
        <f t="shared" si="12"/>
        <v>-0.12348318840580408</v>
      </c>
      <c r="O184" s="13">
        <v>181</v>
      </c>
      <c r="P184" s="13">
        <v>207</v>
      </c>
      <c r="Q184" s="17">
        <v>205.28760539999999</v>
      </c>
      <c r="S184" s="36">
        <v>37.3921900075376</v>
      </c>
      <c r="T184" s="36">
        <v>0.96911764705882297</v>
      </c>
      <c r="U184" s="36"/>
      <c r="X184" s="36"/>
      <c r="AA184" s="13">
        <f t="shared" si="9"/>
        <v>-0.82724376811594835</v>
      </c>
      <c r="AB184" s="36">
        <v>0.23581564445987799</v>
      </c>
      <c r="AC184" s="23">
        <v>6.1228823359004515E-2</v>
      </c>
      <c r="AD184" s="23">
        <v>4.7000249235701681E-2</v>
      </c>
      <c r="AE184" s="23">
        <v>1958</v>
      </c>
      <c r="AF184" s="23">
        <v>9.8778656754382205E-3</v>
      </c>
      <c r="AG184" s="23">
        <v>0</v>
      </c>
      <c r="AI184" s="13">
        <v>181</v>
      </c>
      <c r="AJ184" s="13">
        <v>207</v>
      </c>
      <c r="AK184" s="17">
        <v>206.92487800000001</v>
      </c>
      <c r="AM184" s="36">
        <v>6.0555377778894401</v>
      </c>
      <c r="AN184" s="36">
        <v>0.879411764705882</v>
      </c>
      <c r="AO184" s="36"/>
      <c r="AV184" s="13">
        <f t="shared" si="10"/>
        <v>-3.6290821256035333E-2</v>
      </c>
      <c r="AW184" s="36">
        <v>4.9145112112197201E-2</v>
      </c>
      <c r="AX184" s="13">
        <v>0.24095144099553306</v>
      </c>
      <c r="AY184" s="13">
        <v>0.37149251145726669</v>
      </c>
      <c r="AZ184" s="13">
        <v>1022</v>
      </c>
      <c r="BA184" s="13">
        <v>3.018525182020637E-3</v>
      </c>
      <c r="BB184" s="13">
        <v>0</v>
      </c>
      <c r="BD184" s="13">
        <v>181</v>
      </c>
      <c r="BE184" s="13">
        <v>207</v>
      </c>
      <c r="BF184" s="17">
        <v>207.1219031</v>
      </c>
      <c r="BH184" s="36">
        <v>12.204246401004999</v>
      </c>
      <c r="BI184" s="36">
        <v>0.82941176470588196</v>
      </c>
      <c r="BJ184" s="36"/>
      <c r="BQ184" s="13">
        <f t="shared" si="11"/>
        <v>5.8890386473420264E-2</v>
      </c>
      <c r="BR184" s="36">
        <v>0.105845845929099</v>
      </c>
      <c r="BS184" s="13">
        <v>0.12826042905914498</v>
      </c>
      <c r="BT184" s="13">
        <v>0.84440304339384009</v>
      </c>
      <c r="BU184" s="13">
        <v>153</v>
      </c>
      <c r="BV184" s="13">
        <v>6.9846430056342565E-3</v>
      </c>
      <c r="BW184" s="13">
        <v>1</v>
      </c>
    </row>
    <row r="185" spans="1:75">
      <c r="A185" s="13">
        <v>182</v>
      </c>
      <c r="B185" s="13">
        <v>124</v>
      </c>
      <c r="C185" s="17">
        <v>133.1351794</v>
      </c>
      <c r="E185" s="36">
        <v>29.5433576984924</v>
      </c>
      <c r="F185" s="36">
        <v>0.83529411764705797</v>
      </c>
      <c r="G185" s="36"/>
      <c r="M185" s="13">
        <f t="shared" si="12"/>
        <v>7.3670801612903292</v>
      </c>
      <c r="O185" s="13">
        <v>182</v>
      </c>
      <c r="P185" s="13">
        <v>124</v>
      </c>
      <c r="Q185" s="17">
        <v>127.53153759999999</v>
      </c>
      <c r="S185" s="36">
        <v>37.608329834170803</v>
      </c>
      <c r="T185" s="36">
        <v>0.97205882352941098</v>
      </c>
      <c r="U185" s="36"/>
      <c r="X185" s="36"/>
      <c r="AA185" s="13">
        <f t="shared" si="9"/>
        <v>2.8480141935483871</v>
      </c>
      <c r="AB185" s="36">
        <v>0.23581564445987799</v>
      </c>
      <c r="AC185" s="23">
        <v>3.8550342764994479E-2</v>
      </c>
      <c r="AD185" s="23">
        <v>0.48265294284449473</v>
      </c>
      <c r="AE185" s="23">
        <v>1973</v>
      </c>
      <c r="AF185" s="23">
        <v>4.7717410683870724E-3</v>
      </c>
      <c r="AG185" s="23">
        <v>0</v>
      </c>
      <c r="AI185" s="13">
        <v>182</v>
      </c>
      <c r="AJ185" s="13">
        <v>124</v>
      </c>
      <c r="AK185" s="17">
        <v>125.76903590000001</v>
      </c>
      <c r="AM185" s="36">
        <v>6.0905408864321604</v>
      </c>
      <c r="AN185" s="36">
        <v>0.89411764705882302</v>
      </c>
      <c r="AO185" s="36"/>
      <c r="AV185" s="13">
        <f t="shared" si="10"/>
        <v>1.4266418548387172</v>
      </c>
      <c r="AW185" s="36">
        <v>4.9145112112197201E-2</v>
      </c>
      <c r="AX185" s="13">
        <v>0.73922886094985152</v>
      </c>
      <c r="AY185" s="13">
        <v>0.62078460843708383</v>
      </c>
      <c r="AZ185" s="13">
        <v>765</v>
      </c>
      <c r="BA185" s="13">
        <v>2.9350360106951004E-3</v>
      </c>
      <c r="BB185" s="13">
        <v>0</v>
      </c>
      <c r="BD185" s="13">
        <v>182</v>
      </c>
      <c r="BE185" s="13">
        <v>124</v>
      </c>
      <c r="BF185" s="17">
        <v>127.64987410000001</v>
      </c>
      <c r="BH185" s="36">
        <v>12.2747911778894</v>
      </c>
      <c r="BI185" s="36">
        <v>0.84558823529411697</v>
      </c>
      <c r="BJ185" s="36"/>
      <c r="BQ185" s="13">
        <f t="shared" si="11"/>
        <v>2.943446854838716</v>
      </c>
      <c r="BR185" s="36">
        <v>0.105845845929099</v>
      </c>
      <c r="BS185" s="13">
        <v>4.1261770409936907E-2</v>
      </c>
      <c r="BT185" s="13">
        <v>0.18133716686756482</v>
      </c>
      <c r="BU185" s="13">
        <v>562</v>
      </c>
      <c r="BV185" s="13">
        <v>4.3467354183514073E-3</v>
      </c>
      <c r="BW185" s="13">
        <v>1</v>
      </c>
    </row>
    <row r="186" spans="1:75">
      <c r="A186" s="13">
        <v>183</v>
      </c>
      <c r="B186" s="13">
        <v>194</v>
      </c>
      <c r="C186" s="17">
        <v>193.07179099999999</v>
      </c>
      <c r="E186" s="36">
        <v>29.713147110552701</v>
      </c>
      <c r="F186" s="36">
        <v>0.84852941176470498</v>
      </c>
      <c r="G186" s="36"/>
      <c r="M186" s="13">
        <f t="shared" si="12"/>
        <v>-0.47845824742268617</v>
      </c>
      <c r="O186" s="13">
        <v>183</v>
      </c>
      <c r="P186" s="13">
        <v>194</v>
      </c>
      <c r="Q186" s="17">
        <v>182.65801719999999</v>
      </c>
      <c r="S186" s="36">
        <v>37.824469660803999</v>
      </c>
      <c r="T186" s="36">
        <v>0.97352941176470498</v>
      </c>
      <c r="U186" s="36"/>
      <c r="X186" s="36"/>
      <c r="AA186" s="13">
        <f t="shared" si="9"/>
        <v>-5.8463828865979455</v>
      </c>
      <c r="AB186" s="36">
        <v>0.23581564445987799</v>
      </c>
      <c r="AC186" s="23">
        <v>0.16832650918965728</v>
      </c>
      <c r="AD186" s="23">
        <v>0.14368023277082786</v>
      </c>
      <c r="AE186" s="23">
        <v>978</v>
      </c>
      <c r="AF186" s="23">
        <v>7.1268504150552919E-3</v>
      </c>
      <c r="AG186" s="23">
        <v>1</v>
      </c>
      <c r="AI186" s="13">
        <v>183</v>
      </c>
      <c r="AJ186" s="13">
        <v>194</v>
      </c>
      <c r="AK186" s="17">
        <v>193.8463582</v>
      </c>
      <c r="AM186" s="36">
        <v>6.12554399497487</v>
      </c>
      <c r="AN186" s="36">
        <v>0.90294117647058803</v>
      </c>
      <c r="AO186" s="36"/>
      <c r="AV186" s="13">
        <f t="shared" si="10"/>
        <v>-7.9196804123715658E-2</v>
      </c>
      <c r="AW186" s="36">
        <v>4.9145112112197201E-2</v>
      </c>
      <c r="AX186" s="13">
        <v>9.0510548205715524E-2</v>
      </c>
      <c r="AY186" s="13">
        <v>0.66687114074709297</v>
      </c>
      <c r="AZ186" s="13">
        <v>424</v>
      </c>
      <c r="BA186" s="13">
        <v>5.6977728932078586E-3</v>
      </c>
      <c r="BB186" s="13">
        <v>1</v>
      </c>
      <c r="BD186" s="13">
        <v>183</v>
      </c>
      <c r="BE186" s="13">
        <v>194</v>
      </c>
      <c r="BF186" s="17">
        <v>192.80522070000001</v>
      </c>
      <c r="BH186" s="36">
        <v>12.3453359547738</v>
      </c>
      <c r="BI186" s="36">
        <v>0.86764705882352899</v>
      </c>
      <c r="BJ186" s="36"/>
      <c r="BQ186" s="13">
        <f t="shared" si="11"/>
        <v>-0.61586561855669908</v>
      </c>
      <c r="BR186" s="36">
        <v>0.105845845929099</v>
      </c>
      <c r="BS186" s="13">
        <v>0.79148401897257981</v>
      </c>
      <c r="BT186" s="13">
        <v>0.86619532027641344</v>
      </c>
      <c r="BU186" s="13">
        <v>479</v>
      </c>
      <c r="BV186" s="13">
        <v>4.7880084589699487E-3</v>
      </c>
      <c r="BW186" s="13">
        <v>1</v>
      </c>
    </row>
    <row r="187" spans="1:75">
      <c r="A187" s="13">
        <v>184</v>
      </c>
      <c r="B187" s="13">
        <v>178</v>
      </c>
      <c r="C187" s="17">
        <v>146.73283720000001</v>
      </c>
      <c r="E187" s="36">
        <v>29.882936522613001</v>
      </c>
      <c r="F187" s="36">
        <v>0.85882352941176399</v>
      </c>
      <c r="G187" s="36"/>
      <c r="M187" s="13">
        <f t="shared" si="12"/>
        <v>-17.5658217977528</v>
      </c>
      <c r="O187" s="13">
        <v>184</v>
      </c>
      <c r="P187" s="13">
        <v>178</v>
      </c>
      <c r="Q187" s="17">
        <v>142.8970482</v>
      </c>
      <c r="S187" s="36">
        <v>38.040609487437102</v>
      </c>
      <c r="T187" s="36">
        <v>0.97352941176470498</v>
      </c>
      <c r="U187" s="36"/>
      <c r="X187" s="36"/>
      <c r="AA187" s="13">
        <f t="shared" si="9"/>
        <v>-19.720759438202251</v>
      </c>
      <c r="AB187" s="36">
        <v>0.23581564445987799</v>
      </c>
      <c r="AC187" s="23">
        <v>0.57869987431176328</v>
      </c>
      <c r="AD187" s="23">
        <v>0.70185396795675092</v>
      </c>
      <c r="AE187" s="23">
        <v>1863</v>
      </c>
      <c r="AF187" s="23">
        <v>1.4444983060743876E-3</v>
      </c>
      <c r="AG187" s="23">
        <v>1</v>
      </c>
      <c r="AI187" s="13">
        <v>184</v>
      </c>
      <c r="AJ187" s="13">
        <v>178</v>
      </c>
      <c r="AK187" s="17">
        <v>172.01056740000001</v>
      </c>
      <c r="AM187" s="36">
        <v>6.1605471035175796</v>
      </c>
      <c r="AN187" s="36">
        <v>0.91617647058823504</v>
      </c>
      <c r="AO187" s="36"/>
      <c r="AV187" s="13">
        <f t="shared" si="10"/>
        <v>-3.364849775280887</v>
      </c>
      <c r="AW187" s="36">
        <v>4.9145112112197201E-2</v>
      </c>
      <c r="AX187" s="13">
        <v>0.47824474976799919</v>
      </c>
      <c r="AY187" s="13">
        <v>0.51526263338379907</v>
      </c>
      <c r="AZ187" s="13">
        <v>1972</v>
      </c>
      <c r="BA187" s="13">
        <v>4.7200952070967879E-4</v>
      </c>
      <c r="BB187" s="13">
        <v>1</v>
      </c>
      <c r="BD187" s="13">
        <v>184</v>
      </c>
      <c r="BE187" s="13">
        <v>178</v>
      </c>
      <c r="BF187" s="17">
        <v>165.58293990000001</v>
      </c>
      <c r="BH187" s="36">
        <v>12.4158807316582</v>
      </c>
      <c r="BI187" s="36">
        <v>0.877941176470588</v>
      </c>
      <c r="BJ187" s="36"/>
      <c r="BQ187" s="13">
        <f t="shared" si="11"/>
        <v>-6.9758764606741464</v>
      </c>
      <c r="BR187" s="36">
        <v>0.105845845929099</v>
      </c>
      <c r="BS187" s="13">
        <v>0.2637645737674304</v>
      </c>
      <c r="BT187" s="13">
        <v>0.24577871612535862</v>
      </c>
      <c r="BU187" s="13">
        <v>1028</v>
      </c>
      <c r="BV187" s="13">
        <v>9.5323228750521481E-3</v>
      </c>
      <c r="BW187" s="13">
        <v>0</v>
      </c>
    </row>
    <row r="188" spans="1:75">
      <c r="A188" s="13">
        <v>185</v>
      </c>
      <c r="B188" s="13">
        <v>50</v>
      </c>
      <c r="C188" s="17">
        <v>49.436556860000003</v>
      </c>
      <c r="E188" s="36">
        <v>30.052725934673301</v>
      </c>
      <c r="F188" s="36">
        <v>0.875</v>
      </c>
      <c r="G188" s="36"/>
      <c r="M188" s="13">
        <f t="shared" si="12"/>
        <v>-1.1268862799999946</v>
      </c>
      <c r="O188" s="13">
        <v>185</v>
      </c>
      <c r="P188" s="13">
        <v>50</v>
      </c>
      <c r="Q188" s="17">
        <v>51.22163673</v>
      </c>
      <c r="S188" s="36">
        <v>38.256749314070298</v>
      </c>
      <c r="T188" s="36">
        <v>0.97499999999999998</v>
      </c>
      <c r="U188" s="36"/>
      <c r="X188" s="36"/>
      <c r="AA188" s="13">
        <f t="shared" si="9"/>
        <v>2.443273459999995</v>
      </c>
      <c r="AB188" s="36">
        <v>0.23581564445987799</v>
      </c>
      <c r="AC188" s="23">
        <v>9.089833883588555E-2</v>
      </c>
      <c r="AD188" s="23">
        <v>0.28850751556507687</v>
      </c>
      <c r="AE188" s="23">
        <v>791</v>
      </c>
      <c r="AF188" s="23">
        <v>6.0513516608452301E-3</v>
      </c>
      <c r="AG188" s="23">
        <v>0</v>
      </c>
      <c r="AI188" s="13">
        <v>185</v>
      </c>
      <c r="AJ188" s="13">
        <v>50</v>
      </c>
      <c r="AK188" s="17">
        <v>49.903311369999997</v>
      </c>
      <c r="AM188" s="36">
        <v>6.1955502120602999</v>
      </c>
      <c r="AN188" s="36">
        <v>0.92205882352941104</v>
      </c>
      <c r="AO188" s="36"/>
      <c r="AV188" s="13">
        <f t="shared" si="10"/>
        <v>-0.19337726000000499</v>
      </c>
      <c r="AW188" s="36">
        <v>4.9145112112197201E-2</v>
      </c>
      <c r="AX188" s="13">
        <v>0.56768453440560374</v>
      </c>
      <c r="AY188" s="13">
        <v>0.74477634644884239</v>
      </c>
      <c r="AZ188" s="13">
        <v>1192</v>
      </c>
      <c r="BA188" s="13">
        <v>9.5097777056387337E-3</v>
      </c>
      <c r="BB188" s="13">
        <v>1</v>
      </c>
      <c r="BD188" s="13">
        <v>185</v>
      </c>
      <c r="BE188" s="13">
        <v>50</v>
      </c>
      <c r="BF188" s="17">
        <v>49.676076989999999</v>
      </c>
      <c r="BH188" s="36">
        <v>12.4864255085427</v>
      </c>
      <c r="BI188" s="36">
        <v>0.90294117647058803</v>
      </c>
      <c r="BJ188" s="36"/>
      <c r="BQ188" s="13">
        <f t="shared" si="11"/>
        <v>-0.64784601999999802</v>
      </c>
      <c r="BR188" s="36">
        <v>0.105845845929099</v>
      </c>
      <c r="BS188" s="13">
        <v>0.77370582647674058</v>
      </c>
      <c r="BT188" s="13">
        <v>0.27045892147190237</v>
      </c>
      <c r="BU188" s="13">
        <v>565</v>
      </c>
      <c r="BV188" s="13">
        <v>3.4911169349882854E-3</v>
      </c>
      <c r="BW188" s="13">
        <v>0</v>
      </c>
    </row>
    <row r="189" spans="1:75">
      <c r="A189" s="13">
        <v>186</v>
      </c>
      <c r="B189" s="13">
        <v>120</v>
      </c>
      <c r="C189" s="17">
        <v>91.469154180000004</v>
      </c>
      <c r="E189" s="36">
        <v>30.222515346733601</v>
      </c>
      <c r="F189" s="36">
        <v>0.90294117647058803</v>
      </c>
      <c r="G189" s="36"/>
      <c r="M189" s="13">
        <f t="shared" si="12"/>
        <v>-23.77570485</v>
      </c>
      <c r="O189" s="13">
        <v>186</v>
      </c>
      <c r="P189" s="13">
        <v>120</v>
      </c>
      <c r="Q189" s="17">
        <v>88.416559899999996</v>
      </c>
      <c r="S189" s="36">
        <v>38.472889140703501</v>
      </c>
      <c r="T189" s="36">
        <v>0.97794117647058798</v>
      </c>
      <c r="U189" s="36"/>
      <c r="AA189" s="13">
        <f t="shared" si="9"/>
        <v>-26.319533416666673</v>
      </c>
      <c r="AB189" s="36">
        <v>0.23581564445987799</v>
      </c>
      <c r="AC189" s="23">
        <v>0.61676724982229625</v>
      </c>
      <c r="AD189" s="23">
        <v>0.1238827527361781</v>
      </c>
      <c r="AE189" s="23">
        <v>1000</v>
      </c>
      <c r="AF189" s="23">
        <v>4.6765844955746622E-3</v>
      </c>
      <c r="AG189" s="23">
        <v>0</v>
      </c>
      <c r="AI189" s="13">
        <v>186</v>
      </c>
      <c r="AJ189" s="13">
        <v>120</v>
      </c>
      <c r="AK189" s="17">
        <v>114.3338308</v>
      </c>
      <c r="AM189" s="36">
        <v>6.2305533206030104</v>
      </c>
      <c r="AN189" s="36">
        <v>0.92941176470588205</v>
      </c>
      <c r="AO189" s="36"/>
      <c r="AV189" s="13">
        <f t="shared" si="10"/>
        <v>-4.7218076666666668</v>
      </c>
      <c r="AW189" s="36">
        <v>4.9145112112197201E-2</v>
      </c>
      <c r="AX189" s="13">
        <v>0.20012974612468884</v>
      </c>
      <c r="AY189" s="13">
        <v>0.16734241298410549</v>
      </c>
      <c r="AZ189" s="13">
        <v>131</v>
      </c>
      <c r="BA189" s="13">
        <v>1.0880964888990072E-3</v>
      </c>
      <c r="BB189" s="13">
        <v>0</v>
      </c>
      <c r="BD189" s="13">
        <v>186</v>
      </c>
      <c r="BE189" s="13">
        <v>120</v>
      </c>
      <c r="BF189" s="17">
        <v>108.31947959999999</v>
      </c>
      <c r="BH189" s="36">
        <v>12.5569702854271</v>
      </c>
      <c r="BI189" s="36">
        <v>0.91176470588235203</v>
      </c>
      <c r="BJ189" s="36"/>
      <c r="BQ189" s="13">
        <f t="shared" si="11"/>
        <v>-9.7337670000000038</v>
      </c>
      <c r="BR189" s="36">
        <v>0.105845845929099</v>
      </c>
      <c r="BS189" s="13">
        <v>7.304020628782934E-2</v>
      </c>
      <c r="BT189" s="13">
        <v>0.96379060398392513</v>
      </c>
      <c r="BU189" s="13">
        <v>903</v>
      </c>
      <c r="BV189" s="13">
        <v>6.5634847596832344E-3</v>
      </c>
      <c r="BW189" s="13">
        <v>0</v>
      </c>
    </row>
    <row r="190" spans="1:75">
      <c r="A190" s="13">
        <v>187</v>
      </c>
      <c r="B190" s="13">
        <v>64</v>
      </c>
      <c r="C190" s="17">
        <v>34.982360079999999</v>
      </c>
      <c r="E190" s="36">
        <v>30.392304758793902</v>
      </c>
      <c r="F190" s="36">
        <v>0.91029411764705803</v>
      </c>
      <c r="G190" s="36"/>
      <c r="M190" s="13">
        <f t="shared" si="12"/>
        <v>-45.340062375000002</v>
      </c>
      <c r="O190" s="13">
        <v>187</v>
      </c>
      <c r="P190" s="13">
        <v>64</v>
      </c>
      <c r="Q190" s="17">
        <v>84.236885958544903</v>
      </c>
      <c r="S190" s="36">
        <v>38.689028967336597</v>
      </c>
      <c r="T190" s="36">
        <v>0.98382352941176399</v>
      </c>
      <c r="U190" s="36"/>
      <c r="AA190" s="13">
        <f t="shared" si="9"/>
        <v>31.620134310226412</v>
      </c>
      <c r="AB190" s="36">
        <v>0.23581564445987799</v>
      </c>
      <c r="AC190" s="23">
        <v>0.89106950114977901</v>
      </c>
      <c r="AD190" s="23">
        <v>0.64701855334891134</v>
      </c>
      <c r="AE190" s="23">
        <v>222</v>
      </c>
      <c r="AF190" s="23">
        <v>8.2881616180770865E-3</v>
      </c>
      <c r="AG190" s="23">
        <v>0</v>
      </c>
      <c r="AI190" s="13">
        <v>187</v>
      </c>
      <c r="AJ190" s="13">
        <v>64</v>
      </c>
      <c r="AK190" s="17">
        <v>58.02047202</v>
      </c>
      <c r="AM190" s="36">
        <v>6.26555642914572</v>
      </c>
      <c r="AN190" s="36">
        <v>0.94117647058823495</v>
      </c>
      <c r="AO190" s="36"/>
      <c r="AV190" s="13">
        <f t="shared" si="10"/>
        <v>-9.3430124687500005</v>
      </c>
      <c r="AW190" s="36">
        <v>4.9145112112197201E-2</v>
      </c>
      <c r="AX190" s="13">
        <v>0.24519225076180023</v>
      </c>
      <c r="AY190" s="13">
        <v>0.98757078701033441</v>
      </c>
      <c r="AZ190" s="13">
        <v>1043</v>
      </c>
      <c r="BA190" s="13">
        <v>4.8159967482528758E-3</v>
      </c>
      <c r="BB190" s="13">
        <v>1</v>
      </c>
      <c r="BD190" s="13">
        <v>187</v>
      </c>
      <c r="BE190" s="13">
        <v>64</v>
      </c>
      <c r="BF190" s="17">
        <v>51.752980579999999</v>
      </c>
      <c r="BH190" s="36">
        <v>12.627515062311501</v>
      </c>
      <c r="BI190" s="36">
        <v>0.92352941176470504</v>
      </c>
      <c r="BJ190" s="36"/>
      <c r="BQ190" s="13">
        <f t="shared" si="11"/>
        <v>-19.135967843750002</v>
      </c>
      <c r="BR190" s="36">
        <v>0.105845845929099</v>
      </c>
      <c r="BS190" s="13">
        <v>0.98253413337289597</v>
      </c>
      <c r="BT190" s="13">
        <v>0.82173377654198254</v>
      </c>
      <c r="BU190" s="13">
        <v>479</v>
      </c>
      <c r="BV190" s="13">
        <v>8.0513861042029941E-3</v>
      </c>
      <c r="BW190" s="13">
        <v>0</v>
      </c>
    </row>
    <row r="191" spans="1:75">
      <c r="A191" s="13">
        <v>188</v>
      </c>
      <c r="B191" s="13">
        <v>184</v>
      </c>
      <c r="C191" s="17">
        <v>193.118843</v>
      </c>
      <c r="E191" s="36">
        <v>30.562094170854198</v>
      </c>
      <c r="F191" s="36">
        <v>0.92794117647058805</v>
      </c>
      <c r="G191" s="36"/>
      <c r="M191" s="13">
        <f t="shared" si="12"/>
        <v>4.955892934782602</v>
      </c>
      <c r="O191" s="13">
        <v>188</v>
      </c>
      <c r="P191" s="13">
        <v>184</v>
      </c>
      <c r="Q191" s="17">
        <v>192.31998150000001</v>
      </c>
      <c r="S191" s="36">
        <v>38.9051687939698</v>
      </c>
      <c r="T191" s="36">
        <v>0.98529411764705799</v>
      </c>
      <c r="U191" s="36"/>
      <c r="AA191" s="13">
        <f t="shared" si="9"/>
        <v>4.5217290760869666</v>
      </c>
      <c r="AB191" s="36">
        <v>0.23581564445987799</v>
      </c>
      <c r="AC191" s="23">
        <v>0.93657482454386476</v>
      </c>
      <c r="AD191" s="23">
        <v>0.56800595559599198</v>
      </c>
      <c r="AE191" s="23">
        <v>819</v>
      </c>
      <c r="AF191" s="23">
        <v>8.2861548794313442E-3</v>
      </c>
      <c r="AG191" s="23">
        <v>1</v>
      </c>
      <c r="AI191" s="13">
        <v>188</v>
      </c>
      <c r="AJ191" s="13">
        <v>184</v>
      </c>
      <c r="AK191" s="17">
        <v>186.11376859999999</v>
      </c>
      <c r="AM191" s="36">
        <v>6.3005595376884402</v>
      </c>
      <c r="AN191" s="36">
        <v>0.95294117647058796</v>
      </c>
      <c r="AO191" s="36"/>
      <c r="AV191" s="13">
        <f t="shared" si="10"/>
        <v>1.1487872826086987</v>
      </c>
      <c r="AW191" s="36">
        <v>4.9145112112197201E-2</v>
      </c>
      <c r="AX191" s="13">
        <v>0.59959001312685578</v>
      </c>
      <c r="AY191" s="13">
        <v>0.10712051574126386</v>
      </c>
      <c r="AZ191" s="13">
        <v>732</v>
      </c>
      <c r="BA191" s="13">
        <v>9.3375772267102731E-4</v>
      </c>
      <c r="BB191" s="13">
        <v>1</v>
      </c>
      <c r="BD191" s="13">
        <v>188</v>
      </c>
      <c r="BE191" s="13">
        <v>184</v>
      </c>
      <c r="BF191" s="17">
        <v>187.8731655</v>
      </c>
      <c r="BH191" s="36">
        <v>12.698059839195899</v>
      </c>
      <c r="BI191" s="36">
        <v>0.94411764705882295</v>
      </c>
      <c r="BJ191" s="36"/>
      <c r="BQ191" s="13">
        <f t="shared" si="11"/>
        <v>2.1049812500000042</v>
      </c>
      <c r="BR191" s="36">
        <v>0.105845845929099</v>
      </c>
      <c r="BS191" s="13">
        <v>0.53133128176714595</v>
      </c>
      <c r="BT191" s="13">
        <v>0.27012324289515144</v>
      </c>
      <c r="BU191" s="13">
        <v>798</v>
      </c>
      <c r="BV191" s="13">
        <v>1.5284322232571135E-3</v>
      </c>
      <c r="BW191" s="13">
        <v>0</v>
      </c>
    </row>
    <row r="192" spans="1:75">
      <c r="A192" s="13">
        <v>189</v>
      </c>
      <c r="B192" s="13">
        <v>131</v>
      </c>
      <c r="C192" s="17">
        <v>140.64295849999999</v>
      </c>
      <c r="E192" s="36">
        <v>30.731883582914499</v>
      </c>
      <c r="F192" s="36">
        <v>0.93676470588235194</v>
      </c>
      <c r="G192" s="36"/>
      <c r="M192" s="13">
        <f t="shared" si="12"/>
        <v>7.3610370229007627</v>
      </c>
      <c r="O192" s="13">
        <v>189</v>
      </c>
      <c r="P192" s="13">
        <v>131</v>
      </c>
      <c r="Q192" s="17">
        <v>139.6471368</v>
      </c>
      <c r="S192" s="36">
        <v>39.121308620603003</v>
      </c>
      <c r="T192" s="36">
        <v>0.98529411764705799</v>
      </c>
      <c r="U192" s="36"/>
      <c r="AA192" s="13">
        <f t="shared" si="9"/>
        <v>6.6008677862595455</v>
      </c>
      <c r="AB192" s="36">
        <v>0.23581564445987799</v>
      </c>
      <c r="AC192" s="23">
        <v>0.25302348775588013</v>
      </c>
      <c r="AD192" s="23">
        <v>4.2850871120502051E-2</v>
      </c>
      <c r="AE192" s="23">
        <v>379</v>
      </c>
      <c r="AF192" s="23">
        <v>9.9956494741994424E-3</v>
      </c>
      <c r="AG192" s="23">
        <v>0</v>
      </c>
      <c r="AI192" s="13">
        <v>189</v>
      </c>
      <c r="AJ192" s="13">
        <v>131</v>
      </c>
      <c r="AK192" s="17">
        <v>133.05059170000001</v>
      </c>
      <c r="AM192" s="36">
        <v>6.3355626462311498</v>
      </c>
      <c r="AN192" s="36">
        <v>0.96176470588235297</v>
      </c>
      <c r="AO192" s="36"/>
      <c r="AV192" s="13">
        <f t="shared" si="10"/>
        <v>1.5653371755725232</v>
      </c>
      <c r="AW192" s="36">
        <v>4.9145112112197201E-2</v>
      </c>
      <c r="AX192" s="13">
        <v>0.67179869335401465</v>
      </c>
      <c r="AY192" s="13">
        <v>0.56759195053805223</v>
      </c>
      <c r="AZ192" s="13">
        <v>599</v>
      </c>
      <c r="BA192" s="13">
        <v>4.5947662085380732E-3</v>
      </c>
      <c r="BB192" s="13">
        <v>1</v>
      </c>
      <c r="BD192" s="13">
        <v>189</v>
      </c>
      <c r="BE192" s="13">
        <v>131</v>
      </c>
      <c r="BF192" s="17">
        <v>134.49869580000001</v>
      </c>
      <c r="BH192" s="36">
        <v>12.7686046160803</v>
      </c>
      <c r="BI192" s="36">
        <v>0.94705882352941095</v>
      </c>
      <c r="BJ192" s="36"/>
      <c r="BQ192" s="13">
        <f t="shared" si="11"/>
        <v>2.6707601526717584</v>
      </c>
      <c r="BR192" s="36">
        <v>0.105845845929099</v>
      </c>
      <c r="BS192" s="13">
        <v>0.79481485399401697</v>
      </c>
      <c r="BT192" s="13">
        <v>0.1390682991427459</v>
      </c>
      <c r="BU192" s="13">
        <v>254</v>
      </c>
      <c r="BV192" s="13">
        <v>4.0566943081653236E-3</v>
      </c>
      <c r="BW192" s="13">
        <v>0</v>
      </c>
    </row>
    <row r="193" spans="1:75">
      <c r="A193" s="13">
        <v>190</v>
      </c>
      <c r="B193" s="13">
        <v>96</v>
      </c>
      <c r="C193" s="17">
        <v>66.319099460000004</v>
      </c>
      <c r="E193" s="36">
        <v>30.901672994974799</v>
      </c>
      <c r="F193" s="36">
        <v>0.94558823529411695</v>
      </c>
      <c r="G193" s="36"/>
      <c r="M193" s="13">
        <f t="shared" si="12"/>
        <v>-30.917604729166658</v>
      </c>
      <c r="O193" s="13">
        <v>190</v>
      </c>
      <c r="P193" s="13">
        <v>96</v>
      </c>
      <c r="Q193" s="17">
        <v>67.828200370000005</v>
      </c>
      <c r="S193" s="36">
        <v>39.337448447236099</v>
      </c>
      <c r="T193" s="36">
        <v>0.98676470588235299</v>
      </c>
      <c r="U193" s="36"/>
      <c r="AA193" s="13">
        <f t="shared" si="9"/>
        <v>-29.345624614583333</v>
      </c>
      <c r="AB193" s="36">
        <v>0.23581564445987799</v>
      </c>
      <c r="AC193" s="23">
        <v>0.77771140977219311</v>
      </c>
      <c r="AD193" s="23">
        <v>0.4555524467948901</v>
      </c>
      <c r="AE193" s="23">
        <v>1739</v>
      </c>
      <c r="AF193" s="23">
        <v>8.1076870434629127E-3</v>
      </c>
      <c r="AG193" s="23">
        <v>0</v>
      </c>
      <c r="AI193" s="13">
        <v>190</v>
      </c>
      <c r="AJ193" s="13">
        <v>96</v>
      </c>
      <c r="AK193" s="17">
        <v>89.959819890000006</v>
      </c>
      <c r="AM193" s="36">
        <v>6.3705657547738603</v>
      </c>
      <c r="AN193" s="36">
        <v>0.96617647058823497</v>
      </c>
      <c r="AO193" s="36"/>
      <c r="AV193" s="13">
        <f t="shared" si="10"/>
        <v>-6.2918542812499982</v>
      </c>
      <c r="AW193" s="36">
        <v>4.9145112112197201E-2</v>
      </c>
      <c r="AX193" s="13">
        <v>1.9033233780640875E-2</v>
      </c>
      <c r="AY193" s="13">
        <v>0.10144767942957417</v>
      </c>
      <c r="AZ193" s="13">
        <v>1101</v>
      </c>
      <c r="BA193" s="13">
        <v>9.9165143127539976E-3</v>
      </c>
      <c r="BB193" s="13">
        <v>0</v>
      </c>
      <c r="BD193" s="13">
        <v>190</v>
      </c>
      <c r="BE193" s="13">
        <v>96</v>
      </c>
      <c r="BF193" s="17">
        <v>83.853883890000006</v>
      </c>
      <c r="BH193" s="36">
        <v>12.839149392964799</v>
      </c>
      <c r="BI193" s="36">
        <v>0.95882352941176396</v>
      </c>
      <c r="BJ193" s="36"/>
      <c r="BQ193" s="13">
        <f t="shared" si="11"/>
        <v>-12.65220428124999</v>
      </c>
      <c r="BR193" s="36">
        <v>0.102036279619435</v>
      </c>
      <c r="BS193" s="13">
        <v>0.19306268036103907</v>
      </c>
      <c r="BT193" s="13">
        <v>0.45009798440383408</v>
      </c>
      <c r="BU193" s="13">
        <v>1662</v>
      </c>
      <c r="BV193" s="13">
        <v>1.9730591213090341E-3</v>
      </c>
      <c r="BW193" s="13">
        <v>1</v>
      </c>
    </row>
    <row r="194" spans="1:75">
      <c r="A194" s="13">
        <v>191</v>
      </c>
      <c r="B194" s="13">
        <v>157</v>
      </c>
      <c r="C194" s="17">
        <v>166.0368417</v>
      </c>
      <c r="E194" s="36">
        <v>31.071462407035099</v>
      </c>
      <c r="F194" s="36">
        <v>0.96176470588235297</v>
      </c>
      <c r="G194" s="36"/>
      <c r="M194" s="13">
        <f t="shared" si="12"/>
        <v>5.7559501273885427</v>
      </c>
      <c r="O194" s="13">
        <v>191</v>
      </c>
      <c r="P194" s="13">
        <v>157</v>
      </c>
      <c r="Q194" s="17">
        <v>162.10413370000001</v>
      </c>
      <c r="S194" s="36">
        <v>39.553588273869302</v>
      </c>
      <c r="T194" s="36">
        <v>0.98676470588235299</v>
      </c>
      <c r="U194" s="36"/>
      <c r="AA194" s="13">
        <f t="shared" si="9"/>
        <v>3.2510405732484093</v>
      </c>
      <c r="AB194" s="36">
        <v>0.23581564445987799</v>
      </c>
      <c r="AC194" s="23">
        <v>0.14876812362833466</v>
      </c>
      <c r="AD194" s="23">
        <v>0.85169611840489212</v>
      </c>
      <c r="AE194" s="23">
        <v>824</v>
      </c>
      <c r="AF194" s="23">
        <v>3.7686912535969072E-3</v>
      </c>
      <c r="AG194" s="23">
        <v>0</v>
      </c>
      <c r="AI194" s="13">
        <v>191</v>
      </c>
      <c r="AJ194" s="13">
        <v>157</v>
      </c>
      <c r="AK194" s="17">
        <v>158.6033683</v>
      </c>
      <c r="AM194" s="36">
        <v>6.4055688633165797</v>
      </c>
      <c r="AN194" s="36">
        <v>0.97647058823529398</v>
      </c>
      <c r="AO194" s="36"/>
      <c r="AV194" s="13">
        <f t="shared" si="10"/>
        <v>1.0212536942675099</v>
      </c>
      <c r="AW194" s="36">
        <v>4.9145112112197201E-2</v>
      </c>
      <c r="AX194" s="13">
        <v>0.26307917601654041</v>
      </c>
      <c r="AY194" s="13">
        <v>0.61400336965390356</v>
      </c>
      <c r="AZ194" s="13">
        <v>1419</v>
      </c>
      <c r="BA194" s="13">
        <v>6.7884249857488935E-3</v>
      </c>
      <c r="BB194" s="13">
        <v>1</v>
      </c>
      <c r="BD194" s="13">
        <v>191</v>
      </c>
      <c r="BE194" s="13">
        <v>157</v>
      </c>
      <c r="BF194" s="17">
        <v>160.53362469999999</v>
      </c>
      <c r="BH194" s="36">
        <v>12.9096941698492</v>
      </c>
      <c r="BI194" s="36">
        <v>0.96176470588235297</v>
      </c>
      <c r="BJ194" s="36"/>
      <c r="BQ194" s="13">
        <f t="shared" si="11"/>
        <v>2.2507163694267529</v>
      </c>
      <c r="BR194" s="36">
        <v>0.102036279619435</v>
      </c>
      <c r="BS194" s="13">
        <v>0.55157710564599727</v>
      </c>
      <c r="BT194" s="13">
        <v>5.4260674128733449E-2</v>
      </c>
      <c r="BU194" s="13">
        <v>497</v>
      </c>
      <c r="BV194" s="13">
        <v>1.1413028445643931E-3</v>
      </c>
      <c r="BW194" s="13">
        <v>0</v>
      </c>
    </row>
    <row r="195" spans="1:75">
      <c r="A195" s="13">
        <v>192</v>
      </c>
      <c r="B195" s="13">
        <v>65</v>
      </c>
      <c r="C195" s="17">
        <v>67.015022259999995</v>
      </c>
      <c r="E195" s="36">
        <v>31.2412518190954</v>
      </c>
      <c r="F195" s="36">
        <v>0.96911764705882297</v>
      </c>
      <c r="G195" s="36"/>
      <c r="M195" s="13">
        <f t="shared" si="12"/>
        <v>3.1000342461538377</v>
      </c>
      <c r="O195" s="13">
        <v>192</v>
      </c>
      <c r="P195" s="13">
        <v>65</v>
      </c>
      <c r="Q195" s="17">
        <v>69.846311549999996</v>
      </c>
      <c r="S195" s="36">
        <v>39.769728100502498</v>
      </c>
      <c r="T195" s="36">
        <v>0.98676470588235299</v>
      </c>
      <c r="U195" s="36"/>
      <c r="AA195" s="13">
        <f t="shared" ref="AA195:AA258" si="13">((Q195/P195)-1)*100</f>
        <v>7.4558639230769108</v>
      </c>
      <c r="AB195" s="36">
        <v>0.23581564445987799</v>
      </c>
      <c r="AC195" s="23">
        <v>0.65923826565517851</v>
      </c>
      <c r="AD195" s="23">
        <v>0.63683577588200546</v>
      </c>
      <c r="AE195" s="23">
        <v>238</v>
      </c>
      <c r="AF195" s="23">
        <v>9.54877080211778E-3</v>
      </c>
      <c r="AG195" s="23">
        <v>0</v>
      </c>
      <c r="AI195" s="13">
        <v>192</v>
      </c>
      <c r="AJ195" s="13">
        <v>65</v>
      </c>
      <c r="AK195" s="17">
        <v>65.381004450000006</v>
      </c>
      <c r="AM195" s="36">
        <v>6.4405719718592902</v>
      </c>
      <c r="AN195" s="36">
        <v>0.98088235294117598</v>
      </c>
      <c r="AO195" s="36"/>
      <c r="AV195" s="13">
        <f t="shared" ref="AV195:AV258" si="14">((AK195/AJ195)-1)*100</f>
        <v>0.58616069230770229</v>
      </c>
      <c r="AW195" s="36">
        <v>4.9145112112197201E-2</v>
      </c>
      <c r="AX195" s="13">
        <v>0.2305037600071356</v>
      </c>
      <c r="AY195" s="13">
        <v>0.26551308608209928</v>
      </c>
      <c r="AZ195" s="13">
        <v>196</v>
      </c>
      <c r="BA195" s="13">
        <v>4.9901091538931477E-3</v>
      </c>
      <c r="BB195" s="13">
        <v>1</v>
      </c>
      <c r="BD195" s="13">
        <v>192</v>
      </c>
      <c r="BE195" s="13">
        <v>65</v>
      </c>
      <c r="BF195" s="17">
        <v>64.801575249999999</v>
      </c>
      <c r="BH195" s="36">
        <v>12.9802389467336</v>
      </c>
      <c r="BI195" s="36">
        <v>0.97058823529411697</v>
      </c>
      <c r="BJ195" s="36"/>
      <c r="BQ195" s="13">
        <f t="shared" si="11"/>
        <v>-0.30526884615384997</v>
      </c>
      <c r="BR195" s="36">
        <v>0.102036279619435</v>
      </c>
      <c r="BS195" s="13">
        <v>0.45910922849802904</v>
      </c>
      <c r="BT195" s="13">
        <v>0.66603780494980147</v>
      </c>
      <c r="BU195" s="13">
        <v>220</v>
      </c>
      <c r="BV195" s="13">
        <v>7.2561814733858847E-3</v>
      </c>
      <c r="BW195" s="13">
        <v>0</v>
      </c>
    </row>
    <row r="196" spans="1:75">
      <c r="A196" s="13">
        <v>193</v>
      </c>
      <c r="B196" s="13">
        <v>93</v>
      </c>
      <c r="C196" s="17">
        <v>92.528263789999997</v>
      </c>
      <c r="E196" s="36">
        <v>31.4110412311557</v>
      </c>
      <c r="F196" s="36">
        <v>0.97941176470588198</v>
      </c>
      <c r="G196" s="36"/>
      <c r="M196" s="13">
        <f t="shared" si="12"/>
        <v>-0.50724323655914061</v>
      </c>
      <c r="O196" s="13">
        <v>193</v>
      </c>
      <c r="P196" s="13">
        <v>93</v>
      </c>
      <c r="Q196" s="17">
        <v>84.880408489999994</v>
      </c>
      <c r="S196" s="36">
        <v>39.985867927135601</v>
      </c>
      <c r="T196" s="36">
        <v>0.98676470588235299</v>
      </c>
      <c r="U196" s="36"/>
      <c r="AA196" s="13">
        <f t="shared" si="13"/>
        <v>-8.7307435591397855</v>
      </c>
      <c r="AB196" s="36">
        <v>0.23581564445987799</v>
      </c>
      <c r="AC196" s="23">
        <v>0.22890388177839813</v>
      </c>
      <c r="AD196" s="23">
        <v>0.4805889708759955</v>
      </c>
      <c r="AE196" s="23">
        <v>216</v>
      </c>
      <c r="AF196" s="23">
        <v>9.1236072340995997E-3</v>
      </c>
      <c r="AG196" s="23">
        <v>1</v>
      </c>
      <c r="AI196" s="13">
        <v>193</v>
      </c>
      <c r="AJ196" s="13">
        <v>93</v>
      </c>
      <c r="AK196" s="17">
        <v>93.013652759999999</v>
      </c>
      <c r="AM196" s="36">
        <v>6.4755750804020096</v>
      </c>
      <c r="AN196" s="36">
        <v>0.98529411764705799</v>
      </c>
      <c r="AO196" s="36"/>
      <c r="AV196" s="13">
        <f t="shared" si="14"/>
        <v>1.4680387096777103E-2</v>
      </c>
      <c r="AW196" s="36">
        <v>4.9145112112197201E-2</v>
      </c>
      <c r="AX196" s="13">
        <v>0.63160023559226153</v>
      </c>
      <c r="AY196" s="13">
        <v>0.45006131607408323</v>
      </c>
      <c r="AZ196" s="13">
        <v>502</v>
      </c>
      <c r="BA196" s="13">
        <v>3.5835428830506351E-3</v>
      </c>
      <c r="BB196" s="13">
        <v>0</v>
      </c>
      <c r="BD196" s="13">
        <v>193</v>
      </c>
      <c r="BE196" s="13">
        <v>93</v>
      </c>
      <c r="BF196" s="17">
        <v>92.663250689999998</v>
      </c>
      <c r="BH196" s="36">
        <v>13.050783723618</v>
      </c>
      <c r="BI196" s="36">
        <v>0.97794117647058798</v>
      </c>
      <c r="BJ196" s="36"/>
      <c r="BQ196" s="13">
        <f t="shared" ref="BQ196:BQ259" si="15">((BF196/BE196)-1)*100</f>
        <v>-0.36209603225806353</v>
      </c>
      <c r="BR196" s="36">
        <v>0.102036279619435</v>
      </c>
      <c r="BS196" s="13">
        <v>3.6666548735847884E-3</v>
      </c>
      <c r="BT196" s="13">
        <v>0.56697058121572597</v>
      </c>
      <c r="BU196" s="13">
        <v>801</v>
      </c>
      <c r="BV196" s="13">
        <v>4.2468638125286642E-3</v>
      </c>
      <c r="BW196" s="13">
        <v>1</v>
      </c>
    </row>
    <row r="197" spans="1:75">
      <c r="A197" s="13">
        <v>194</v>
      </c>
      <c r="B197" s="13">
        <v>226</v>
      </c>
      <c r="C197" s="17">
        <v>195.9353945</v>
      </c>
      <c r="E197" s="36">
        <v>31.580830643216</v>
      </c>
      <c r="F197" s="36">
        <v>0.98235294117646998</v>
      </c>
      <c r="G197" s="36"/>
      <c r="M197" s="13">
        <f t="shared" si="12"/>
        <v>-13.302922787610616</v>
      </c>
      <c r="O197" s="13">
        <v>194</v>
      </c>
      <c r="P197" s="13">
        <v>226</v>
      </c>
      <c r="Q197" s="17">
        <v>189.16827290000001</v>
      </c>
      <c r="S197" s="36">
        <v>40.202007753768797</v>
      </c>
      <c r="T197" s="36">
        <v>0.98970588235294099</v>
      </c>
      <c r="U197" s="36"/>
      <c r="AA197" s="13">
        <f t="shared" si="13"/>
        <v>-16.297224380530974</v>
      </c>
      <c r="AB197" s="36">
        <v>0.23581564445987799</v>
      </c>
      <c r="AC197" s="23">
        <v>0.71458820595850459</v>
      </c>
      <c r="AD197" s="23">
        <v>0.29878212256259962</v>
      </c>
      <c r="AE197" s="23">
        <v>1475</v>
      </c>
      <c r="AF197" s="23">
        <v>3.2074098479182955E-3</v>
      </c>
      <c r="AG197" s="23">
        <v>1</v>
      </c>
      <c r="AI197" s="13">
        <v>194</v>
      </c>
      <c r="AJ197" s="13">
        <v>226</v>
      </c>
      <c r="AK197" s="17">
        <v>219.69907889999999</v>
      </c>
      <c r="AM197" s="36">
        <v>6.5105781889447201</v>
      </c>
      <c r="AN197" s="36">
        <v>0.98676470588235299</v>
      </c>
      <c r="AO197" s="36"/>
      <c r="AV197" s="13">
        <f t="shared" si="14"/>
        <v>-2.7880181858407127</v>
      </c>
      <c r="AW197" s="36">
        <v>4.9145112112197201E-2</v>
      </c>
      <c r="AX197" s="13">
        <v>0.64849078674233451</v>
      </c>
      <c r="AY197" s="13">
        <v>0.81122514702500481</v>
      </c>
      <c r="AZ197" s="13">
        <v>961</v>
      </c>
      <c r="BA197" s="13">
        <v>3.569471097473626E-4</v>
      </c>
      <c r="BB197" s="13">
        <v>0</v>
      </c>
      <c r="BD197" s="13">
        <v>194</v>
      </c>
      <c r="BE197" s="13">
        <v>226</v>
      </c>
      <c r="BF197" s="17">
        <v>213.74487189999999</v>
      </c>
      <c r="BH197" s="36">
        <v>13.1213285005025</v>
      </c>
      <c r="BI197" s="36">
        <v>0.97794117647058798</v>
      </c>
      <c r="BJ197" s="36"/>
      <c r="BQ197" s="13">
        <f t="shared" si="15"/>
        <v>-5.4226230530973529</v>
      </c>
      <c r="BR197" s="36">
        <v>0.102036279619435</v>
      </c>
      <c r="BS197" s="13">
        <v>0.13896728058104654</v>
      </c>
      <c r="BT197" s="13">
        <v>0.27645379618512722</v>
      </c>
      <c r="BU197" s="13">
        <v>1297</v>
      </c>
      <c r="BV197" s="13">
        <v>7.5025475096733758E-4</v>
      </c>
      <c r="BW197" s="13">
        <v>0</v>
      </c>
    </row>
    <row r="198" spans="1:75">
      <c r="A198" s="13">
        <v>195</v>
      </c>
      <c r="B198" s="13">
        <v>142</v>
      </c>
      <c r="C198" s="17">
        <v>151.36260799999999</v>
      </c>
      <c r="E198" s="36">
        <v>31.7506200552763</v>
      </c>
      <c r="F198" s="36">
        <v>0.98235294117646998</v>
      </c>
      <c r="G198" s="36"/>
      <c r="M198" s="13">
        <f t="shared" si="12"/>
        <v>6.5933859154929442</v>
      </c>
      <c r="O198" s="13">
        <v>195</v>
      </c>
      <c r="P198" s="13">
        <v>142</v>
      </c>
      <c r="Q198" s="17">
        <v>141.6040146</v>
      </c>
      <c r="S198" s="36">
        <v>40.4181475804019</v>
      </c>
      <c r="T198" s="36">
        <v>0.98970588235294099</v>
      </c>
      <c r="U198" s="36"/>
      <c r="AA198" s="13">
        <f t="shared" si="13"/>
        <v>-0.27886295774648406</v>
      </c>
      <c r="AB198" s="36">
        <v>0.23581564445987799</v>
      </c>
      <c r="AC198" s="23">
        <v>0.99678909003863614</v>
      </c>
      <c r="AD198" s="23">
        <v>0.25306448672757548</v>
      </c>
      <c r="AE198" s="23">
        <v>1809</v>
      </c>
      <c r="AF198" s="23">
        <v>8.4836527701103795E-3</v>
      </c>
      <c r="AG198" s="23">
        <v>0</v>
      </c>
      <c r="AI198" s="13">
        <v>195</v>
      </c>
      <c r="AJ198" s="13">
        <v>142</v>
      </c>
      <c r="AK198" s="17">
        <v>144.1705216</v>
      </c>
      <c r="AM198" s="36">
        <v>6.5455812974874297</v>
      </c>
      <c r="AN198" s="36">
        <v>0.98970588235294099</v>
      </c>
      <c r="AO198" s="36"/>
      <c r="AV198" s="13">
        <f t="shared" si="14"/>
        <v>1.5285363380281636</v>
      </c>
      <c r="AW198" s="36">
        <v>4.9145112112197201E-2</v>
      </c>
      <c r="AX198" s="13">
        <v>0.65186903015305164</v>
      </c>
      <c r="AY198" s="13">
        <v>0.26004736270573309</v>
      </c>
      <c r="AZ198" s="13">
        <v>170</v>
      </c>
      <c r="BA198" s="13">
        <v>5.7383748796265748E-3</v>
      </c>
      <c r="BB198" s="13">
        <v>0</v>
      </c>
      <c r="BD198" s="13">
        <v>195</v>
      </c>
      <c r="BE198" s="13">
        <v>142</v>
      </c>
      <c r="BF198" s="17">
        <v>145.02522200000001</v>
      </c>
      <c r="BH198" s="36">
        <v>13.1918732773869</v>
      </c>
      <c r="BI198" s="36">
        <v>0.98529411764705799</v>
      </c>
      <c r="BJ198" s="36"/>
      <c r="BQ198" s="13">
        <f t="shared" si="15"/>
        <v>2.1304380281690127</v>
      </c>
      <c r="BR198" s="36">
        <v>0.102036279619435</v>
      </c>
      <c r="BS198" s="13">
        <v>0.70976427413926713</v>
      </c>
      <c r="BT198" s="13">
        <v>3.8738630509520637E-2</v>
      </c>
      <c r="BU198" s="13">
        <v>968</v>
      </c>
      <c r="BV198" s="13">
        <v>3.3907891943169592E-3</v>
      </c>
      <c r="BW198" s="13">
        <v>1</v>
      </c>
    </row>
    <row r="199" spans="1:75">
      <c r="A199" s="13">
        <v>196</v>
      </c>
      <c r="B199" s="13">
        <v>106</v>
      </c>
      <c r="C199" s="17">
        <v>106.4348533</v>
      </c>
      <c r="E199" s="36">
        <v>31.920409467336601</v>
      </c>
      <c r="F199" s="36">
        <v>0.98529411764705799</v>
      </c>
      <c r="G199" s="36"/>
      <c r="M199" s="13">
        <f t="shared" si="12"/>
        <v>0.41023896226415335</v>
      </c>
      <c r="O199" s="13">
        <v>196</v>
      </c>
      <c r="P199" s="13">
        <v>106</v>
      </c>
      <c r="Q199" s="17">
        <v>105.9775576</v>
      </c>
      <c r="S199" s="36">
        <v>40.634287407035103</v>
      </c>
      <c r="T199" s="36">
        <v>0.98970588235294099</v>
      </c>
      <c r="U199" s="36"/>
      <c r="AA199" s="13">
        <f t="shared" si="13"/>
        <v>-2.1172075471698193E-2</v>
      </c>
      <c r="AB199" s="36">
        <v>0.23581564445987799</v>
      </c>
      <c r="AC199" s="23">
        <v>0.60361766828982499</v>
      </c>
      <c r="AD199" s="23">
        <v>0.40736900084335032</v>
      </c>
      <c r="AE199" s="23">
        <v>1669</v>
      </c>
      <c r="AF199" s="23">
        <v>2.631698787962536E-3</v>
      </c>
      <c r="AG199" s="23">
        <v>1</v>
      </c>
      <c r="AI199" s="13">
        <v>196</v>
      </c>
      <c r="AJ199" s="13">
        <v>106</v>
      </c>
      <c r="AK199" s="17">
        <v>106.04497069999999</v>
      </c>
      <c r="AM199" s="36">
        <v>6.5805844060301499</v>
      </c>
      <c r="AN199" s="36">
        <v>0.99117647058823499</v>
      </c>
      <c r="AO199" s="36"/>
      <c r="AV199" s="13">
        <f t="shared" si="14"/>
        <v>4.2425188679229286E-2</v>
      </c>
      <c r="AW199" s="36">
        <v>4.9145112112197201E-2</v>
      </c>
      <c r="AX199" s="13">
        <v>0.64285893366588209</v>
      </c>
      <c r="AY199" s="13">
        <v>0.32595301202896804</v>
      </c>
      <c r="AZ199" s="13">
        <v>324</v>
      </c>
      <c r="BA199" s="13">
        <v>9.7111350955504713E-3</v>
      </c>
      <c r="BB199" s="13">
        <v>0</v>
      </c>
      <c r="BD199" s="13">
        <v>196</v>
      </c>
      <c r="BE199" s="13">
        <v>106</v>
      </c>
      <c r="BF199" s="17">
        <v>106.0154752</v>
      </c>
      <c r="BH199" s="36">
        <v>13.262418054271301</v>
      </c>
      <c r="BI199" s="36">
        <v>0.99117647058823499</v>
      </c>
      <c r="BJ199" s="36"/>
      <c r="BQ199" s="13">
        <f t="shared" si="15"/>
        <v>1.4599245283020146E-2</v>
      </c>
      <c r="BR199" s="36">
        <v>0.102036279619435</v>
      </c>
      <c r="BS199" s="13">
        <v>9.1374546131200968E-2</v>
      </c>
      <c r="BT199" s="13">
        <v>0.52068255875699576</v>
      </c>
      <c r="BU199" s="13">
        <v>1939</v>
      </c>
      <c r="BV199" s="13">
        <v>1.3014027338862178E-3</v>
      </c>
      <c r="BW199" s="13">
        <v>1</v>
      </c>
    </row>
    <row r="200" spans="1:75">
      <c r="A200" s="13">
        <v>197</v>
      </c>
      <c r="B200" s="13">
        <v>75</v>
      </c>
      <c r="C200" s="17">
        <v>85.321518229999995</v>
      </c>
      <c r="E200" s="36">
        <v>32.090198879396901</v>
      </c>
      <c r="F200" s="36">
        <v>0.99117647058823499</v>
      </c>
      <c r="G200" s="36"/>
      <c r="M200" s="13">
        <f t="shared" si="12"/>
        <v>13.762024306666664</v>
      </c>
      <c r="O200" s="13">
        <v>197</v>
      </c>
      <c r="P200" s="13">
        <v>75</v>
      </c>
      <c r="Q200" s="17">
        <v>86.957384020000006</v>
      </c>
      <c r="S200" s="36">
        <v>40.850427233668299</v>
      </c>
      <c r="T200" s="36">
        <v>0.994117647058823</v>
      </c>
      <c r="U200" s="36"/>
      <c r="AA200" s="13">
        <f t="shared" si="13"/>
        <v>15.943178693333348</v>
      </c>
      <c r="AB200" s="36">
        <v>0.23581564445987799</v>
      </c>
      <c r="AC200" s="23">
        <v>3.1616242212764531E-2</v>
      </c>
      <c r="AD200" s="23">
        <v>0.84353132134397701</v>
      </c>
      <c r="AE200" s="23">
        <v>1890</v>
      </c>
      <c r="AF200" s="23">
        <v>7.067551489563271E-3</v>
      </c>
      <c r="AG200" s="23">
        <v>0</v>
      </c>
      <c r="AI200" s="13">
        <v>197</v>
      </c>
      <c r="AJ200" s="13">
        <v>75</v>
      </c>
      <c r="AK200" s="17">
        <v>77.278303649999998</v>
      </c>
      <c r="AM200" s="36">
        <v>6.6155875145728604</v>
      </c>
      <c r="AN200" s="36">
        <v>0.99264705882352899</v>
      </c>
      <c r="AO200" s="36"/>
      <c r="AV200" s="13">
        <f t="shared" si="14"/>
        <v>3.0377381999999953</v>
      </c>
      <c r="AW200" s="36">
        <v>4.9145112112197201E-2</v>
      </c>
      <c r="AX200" s="13">
        <v>0.78683788222519668</v>
      </c>
      <c r="AY200" s="13">
        <v>0.88908060494480112</v>
      </c>
      <c r="AZ200" s="13">
        <v>1938</v>
      </c>
      <c r="BA200" s="13">
        <v>2.8247732393182202E-3</v>
      </c>
      <c r="BB200" s="13">
        <v>1</v>
      </c>
      <c r="BD200" s="13">
        <v>197</v>
      </c>
      <c r="BE200" s="13">
        <v>75</v>
      </c>
      <c r="BF200" s="17">
        <v>79.234998959999999</v>
      </c>
      <c r="BH200" s="36">
        <v>13.332962831155699</v>
      </c>
      <c r="BI200" s="36">
        <v>0.99264705882352899</v>
      </c>
      <c r="BJ200" s="36"/>
      <c r="BQ200" s="13">
        <f t="shared" si="15"/>
        <v>5.6466652799999961</v>
      </c>
      <c r="BR200" s="36">
        <v>0.102036279619435</v>
      </c>
      <c r="BS200" s="13">
        <v>0.94222273240664034</v>
      </c>
      <c r="BT200" s="13">
        <v>0.30257966476304304</v>
      </c>
      <c r="BU200" s="13">
        <v>746</v>
      </c>
      <c r="BV200" s="13">
        <v>4.8111170914284735E-3</v>
      </c>
      <c r="BW200" s="13">
        <v>1</v>
      </c>
    </row>
    <row r="201" spans="1:75">
      <c r="A201" s="13">
        <v>198</v>
      </c>
      <c r="B201" s="13">
        <v>46</v>
      </c>
      <c r="C201" s="17">
        <v>47.713350609999999</v>
      </c>
      <c r="E201" s="36">
        <v>32.259988291457198</v>
      </c>
      <c r="F201" s="36">
        <v>0.994117647058823</v>
      </c>
      <c r="G201" s="36"/>
      <c r="M201" s="13">
        <f t="shared" si="12"/>
        <v>3.7246752391304261</v>
      </c>
      <c r="O201" s="13">
        <v>198</v>
      </c>
      <c r="P201" s="13">
        <v>46</v>
      </c>
      <c r="Q201" s="17">
        <v>48.711204029999998</v>
      </c>
      <c r="S201" s="36">
        <v>41.066567060301402</v>
      </c>
      <c r="T201" s="36">
        <v>0.994117647058823</v>
      </c>
      <c r="U201" s="36"/>
      <c r="AA201" s="13">
        <f t="shared" si="13"/>
        <v>5.8939218043478236</v>
      </c>
      <c r="AB201" s="36">
        <v>0.23581564445987799</v>
      </c>
      <c r="AC201" s="23">
        <v>6.3246603007297703E-2</v>
      </c>
      <c r="AD201" s="23">
        <v>0.82852950004538395</v>
      </c>
      <c r="AE201" s="23">
        <v>1212</v>
      </c>
      <c r="AF201" s="23">
        <v>9.5163130698149197E-3</v>
      </c>
      <c r="AG201" s="23">
        <v>1</v>
      </c>
      <c r="AI201" s="13">
        <v>198</v>
      </c>
      <c r="AJ201" s="13">
        <v>46</v>
      </c>
      <c r="AK201" s="17">
        <v>46.086670120000001</v>
      </c>
      <c r="AM201" s="36">
        <v>6.65059062311557</v>
      </c>
      <c r="AN201" s="36">
        <v>0.995588235294117</v>
      </c>
      <c r="AO201" s="36"/>
      <c r="AV201" s="13">
        <f t="shared" si="14"/>
        <v>0.18841330434782311</v>
      </c>
      <c r="AW201" s="36">
        <v>4.9145112112197201E-2</v>
      </c>
      <c r="AX201" s="13">
        <v>0.7135191877238064</v>
      </c>
      <c r="AY201" s="13">
        <v>0.67282940749506837</v>
      </c>
      <c r="AZ201" s="13">
        <v>1641</v>
      </c>
      <c r="BA201" s="13">
        <v>9.1811312391023459E-3</v>
      </c>
      <c r="BB201" s="13">
        <v>1</v>
      </c>
      <c r="BD201" s="13">
        <v>198</v>
      </c>
      <c r="BE201" s="13">
        <v>46</v>
      </c>
      <c r="BF201" s="17">
        <v>45.498057619999997</v>
      </c>
      <c r="BH201" s="36">
        <v>13.403507608040099</v>
      </c>
      <c r="BI201" s="36">
        <v>0.994117647058823</v>
      </c>
      <c r="BJ201" s="36"/>
      <c r="BQ201" s="13">
        <f t="shared" si="15"/>
        <v>-1.0911790869565285</v>
      </c>
      <c r="BR201" s="36">
        <v>0.102036279619435</v>
      </c>
      <c r="BS201" s="13">
        <v>0.91573227302844717</v>
      </c>
      <c r="BT201" s="13">
        <v>0.64656529385902484</v>
      </c>
      <c r="BU201" s="13">
        <v>770</v>
      </c>
      <c r="BV201" s="13">
        <v>5.8646927502986959E-4</v>
      </c>
      <c r="BW201" s="13">
        <v>1</v>
      </c>
    </row>
    <row r="202" spans="1:75">
      <c r="A202" s="13">
        <v>199</v>
      </c>
      <c r="B202" s="13">
        <v>87</v>
      </c>
      <c r="C202" s="17">
        <v>97.979181909999994</v>
      </c>
      <c r="E202" s="36">
        <v>32.429777703517502</v>
      </c>
      <c r="F202" s="36">
        <v>0.995588235294117</v>
      </c>
      <c r="G202" s="36"/>
      <c r="M202" s="13">
        <f t="shared" si="12"/>
        <v>12.61974932183907</v>
      </c>
      <c r="O202" s="13">
        <v>199</v>
      </c>
      <c r="P202" s="13">
        <v>87</v>
      </c>
      <c r="Q202" s="17">
        <v>93.283904989999996</v>
      </c>
      <c r="S202" s="36">
        <v>41.282706886934598</v>
      </c>
      <c r="T202" s="36">
        <v>0.997058823529411</v>
      </c>
      <c r="U202" s="36"/>
      <c r="AA202" s="13">
        <f t="shared" si="13"/>
        <v>7.2228792988505708</v>
      </c>
      <c r="AB202" s="36">
        <v>0.23581564445987799</v>
      </c>
      <c r="AC202" s="23">
        <v>0.22531433808006729</v>
      </c>
      <c r="AD202" s="23">
        <v>0.87445752704076662</v>
      </c>
      <c r="AE202" s="23">
        <v>145</v>
      </c>
      <c r="AF202" s="23">
        <v>6.9951949366150621E-3</v>
      </c>
      <c r="AG202" s="23">
        <v>1</v>
      </c>
      <c r="AI202" s="13">
        <v>199</v>
      </c>
      <c r="AJ202" s="13">
        <v>87</v>
      </c>
      <c r="AK202" s="17">
        <v>89.381836379999996</v>
      </c>
      <c r="AM202" s="36">
        <v>6.6855937316582903</v>
      </c>
      <c r="AN202" s="36">
        <v>0.997058823529411</v>
      </c>
      <c r="AO202" s="36"/>
      <c r="AV202" s="13">
        <f t="shared" si="14"/>
        <v>2.7377429655172314</v>
      </c>
      <c r="AW202" s="36">
        <v>4.9145112112197201E-2</v>
      </c>
      <c r="AX202" s="13">
        <v>0.80658305177746059</v>
      </c>
      <c r="AY202" s="13">
        <v>0.33086233619688454</v>
      </c>
      <c r="AZ202" s="13">
        <v>717</v>
      </c>
      <c r="BA202" s="13">
        <v>8.2867037320634909E-3</v>
      </c>
      <c r="BB202" s="13">
        <v>0</v>
      </c>
      <c r="BD202" s="13">
        <v>199</v>
      </c>
      <c r="BE202" s="13">
        <v>87</v>
      </c>
      <c r="BF202" s="17">
        <v>91.490517109999999</v>
      </c>
      <c r="BH202" s="36">
        <v>13.474052384924599</v>
      </c>
      <c r="BI202" s="36">
        <v>0.994117647058823</v>
      </c>
      <c r="BJ202" s="36"/>
      <c r="BQ202" s="13">
        <f t="shared" si="15"/>
        <v>5.1615139195402282</v>
      </c>
      <c r="BR202" s="36">
        <v>0.102036279619435</v>
      </c>
      <c r="BS202" s="13">
        <v>0.8556924058211951</v>
      </c>
      <c r="BT202" s="13">
        <v>3.0755045034945028E-2</v>
      </c>
      <c r="BU202" s="13">
        <v>406</v>
      </c>
      <c r="BV202" s="13">
        <v>7.9022734059481445E-3</v>
      </c>
      <c r="BW202" s="13">
        <v>0</v>
      </c>
    </row>
    <row r="203" spans="1:75">
      <c r="A203" s="13">
        <v>200</v>
      </c>
      <c r="B203" s="13">
        <v>162</v>
      </c>
      <c r="C203" s="17">
        <v>160.6258751</v>
      </c>
      <c r="E203" s="36">
        <v>32.599567115577798</v>
      </c>
      <c r="F203" s="36">
        <v>0.995588235294117</v>
      </c>
      <c r="G203" s="36"/>
      <c r="M203" s="13">
        <f t="shared" si="12"/>
        <v>-0.84822524691358092</v>
      </c>
      <c r="O203" s="13">
        <v>200</v>
      </c>
      <c r="P203" s="13">
        <v>162</v>
      </c>
      <c r="Q203" s="17">
        <v>157.5727928</v>
      </c>
      <c r="S203" s="36">
        <v>41.498846713567801</v>
      </c>
      <c r="T203" s="36">
        <v>0.997058823529411</v>
      </c>
      <c r="U203" s="36"/>
      <c r="AA203" s="13">
        <f t="shared" si="13"/>
        <v>-2.7328439506172808</v>
      </c>
      <c r="AB203" s="36"/>
      <c r="AC203" s="23"/>
      <c r="AD203" s="23"/>
      <c r="AE203" s="23"/>
      <c r="AF203" s="23"/>
      <c r="AG203" s="23"/>
      <c r="AI203" s="13">
        <v>200</v>
      </c>
      <c r="AJ203" s="13">
        <v>162</v>
      </c>
      <c r="AK203" s="17">
        <v>161.86517499999999</v>
      </c>
      <c r="AM203" s="36">
        <v>6.7205968402009999</v>
      </c>
      <c r="AN203" s="36">
        <v>0.998529411764705</v>
      </c>
      <c r="AO203" s="36"/>
      <c r="AV203" s="13">
        <f t="shared" si="14"/>
        <v>-8.3225308641976525E-2</v>
      </c>
      <c r="BD203" s="13">
        <v>200</v>
      </c>
      <c r="BE203" s="13">
        <v>162</v>
      </c>
      <c r="BF203" s="17">
        <v>161.36668779999999</v>
      </c>
      <c r="BH203" s="36">
        <v>13.544597161809</v>
      </c>
      <c r="BI203" s="36">
        <v>0.995588235294117</v>
      </c>
      <c r="BJ203" s="36"/>
      <c r="BQ203" s="13">
        <f t="shared" si="15"/>
        <v>-0.39093345679013236</v>
      </c>
    </row>
    <row r="204" spans="1:75">
      <c r="A204" s="13">
        <v>201</v>
      </c>
      <c r="B204" s="13">
        <v>3</v>
      </c>
      <c r="C204" s="17">
        <v>2.7055564800769298</v>
      </c>
      <c r="E204" s="36">
        <v>32.769356527638102</v>
      </c>
      <c r="F204" s="36">
        <v>0.998529411764705</v>
      </c>
      <c r="G204" s="36"/>
      <c r="M204" s="13">
        <f t="shared" si="12"/>
        <v>-9.8147839974356721</v>
      </c>
      <c r="O204" s="13">
        <v>201</v>
      </c>
      <c r="P204" s="13">
        <v>3</v>
      </c>
      <c r="Q204" s="17">
        <v>4.1939946039816096</v>
      </c>
      <c r="S204" s="36">
        <v>41.714986540200897</v>
      </c>
      <c r="T204" s="36">
        <v>0.997058823529411</v>
      </c>
      <c r="U204" s="36"/>
      <c r="AA204" s="13">
        <f t="shared" si="13"/>
        <v>39.79982013272032</v>
      </c>
      <c r="AC204" s="23"/>
      <c r="AD204" s="23"/>
      <c r="AE204" s="23"/>
      <c r="AF204" s="23"/>
      <c r="AG204" s="23"/>
      <c r="AI204" s="13">
        <v>201</v>
      </c>
      <c r="AJ204" s="13">
        <v>3</v>
      </c>
      <c r="AK204" s="17">
        <v>2.8441134950606899</v>
      </c>
      <c r="AM204" s="36">
        <v>6.7555999487437104</v>
      </c>
      <c r="AN204" s="36">
        <v>0.998529411764705</v>
      </c>
      <c r="AO204" s="36"/>
      <c r="AV204" s="13">
        <f t="shared" si="14"/>
        <v>-5.1962168313103412</v>
      </c>
      <c r="BD204" s="13">
        <v>201</v>
      </c>
      <c r="BE204" s="13">
        <v>3</v>
      </c>
      <c r="BF204" s="17">
        <v>2.4798511377006198</v>
      </c>
      <c r="BH204" s="36">
        <v>13.6151419386934</v>
      </c>
      <c r="BI204" s="36">
        <v>0.995588235294117</v>
      </c>
      <c r="BJ204" s="36"/>
      <c r="BQ204" s="13">
        <f t="shared" si="15"/>
        <v>-17.338295409979342</v>
      </c>
    </row>
    <row r="205" spans="1:75">
      <c r="A205" s="13">
        <v>202</v>
      </c>
      <c r="B205" s="13">
        <v>207</v>
      </c>
      <c r="C205" s="17">
        <v>216.5489536</v>
      </c>
      <c r="E205" s="36">
        <v>32.939145939698399</v>
      </c>
      <c r="F205" s="36">
        <v>0.998529411764705</v>
      </c>
      <c r="G205" s="36"/>
      <c r="M205" s="13">
        <f t="shared" si="12"/>
        <v>4.6130210628019253</v>
      </c>
      <c r="O205" s="13">
        <v>202</v>
      </c>
      <c r="P205" s="13">
        <v>207</v>
      </c>
      <c r="Q205" s="17">
        <v>210.71872690000001</v>
      </c>
      <c r="S205" s="36">
        <v>41.9311263668341</v>
      </c>
      <c r="T205" s="36">
        <v>0.997058823529411</v>
      </c>
      <c r="U205" s="36"/>
      <c r="AA205" s="13">
        <f t="shared" si="13"/>
        <v>1.7964864251207802</v>
      </c>
      <c r="AC205" s="23"/>
      <c r="AD205" s="23"/>
      <c r="AE205" s="23"/>
      <c r="AF205" s="23"/>
      <c r="AG205" s="23"/>
      <c r="AI205" s="13">
        <v>202</v>
      </c>
      <c r="AJ205" s="13">
        <v>207</v>
      </c>
      <c r="AK205" s="17">
        <v>208.9637907</v>
      </c>
      <c r="AM205" s="36">
        <v>6.7906030572864298</v>
      </c>
      <c r="AN205" s="36">
        <v>0.998529411764705</v>
      </c>
      <c r="AO205" s="36"/>
      <c r="AV205" s="13">
        <f t="shared" si="14"/>
        <v>0.94869115942028959</v>
      </c>
      <c r="BD205" s="13">
        <v>202</v>
      </c>
      <c r="BE205" s="13">
        <v>207</v>
      </c>
      <c r="BF205" s="17">
        <v>210.51456769999999</v>
      </c>
      <c r="BH205" s="36">
        <v>13.6856867155778</v>
      </c>
      <c r="BI205" s="36">
        <v>0.997058823529411</v>
      </c>
      <c r="BJ205" s="36"/>
      <c r="BQ205" s="13">
        <f t="shared" si="15"/>
        <v>1.6978587922705346</v>
      </c>
    </row>
    <row r="206" spans="1:75">
      <c r="A206" s="13">
        <v>203</v>
      </c>
      <c r="B206" s="13">
        <v>149</v>
      </c>
      <c r="C206" s="17">
        <v>156.21188100000001</v>
      </c>
      <c r="E206" s="36">
        <v>33.108935351758703</v>
      </c>
      <c r="F206" s="36">
        <v>0.998529411764705</v>
      </c>
      <c r="G206" s="36"/>
      <c r="M206" s="13">
        <f t="shared" si="12"/>
        <v>4.8401885906040221</v>
      </c>
      <c r="O206" s="13">
        <v>203</v>
      </c>
      <c r="P206" s="13">
        <v>149</v>
      </c>
      <c r="Q206" s="17">
        <v>155.1391204</v>
      </c>
      <c r="S206" s="36">
        <v>42.147266193467303</v>
      </c>
      <c r="T206" s="36">
        <v>0.998529411764705</v>
      </c>
      <c r="U206" s="36"/>
      <c r="AA206" s="13">
        <f t="shared" si="13"/>
        <v>4.1202150335570398</v>
      </c>
      <c r="AC206" s="23"/>
      <c r="AD206" s="23"/>
      <c r="AE206" s="23"/>
      <c r="AF206" s="23"/>
      <c r="AG206" s="23"/>
      <c r="AI206" s="13">
        <v>203</v>
      </c>
      <c r="AJ206" s="13">
        <v>149</v>
      </c>
      <c r="AK206" s="17">
        <v>150.54837620000001</v>
      </c>
      <c r="AM206" s="36">
        <v>6.8256061658291403</v>
      </c>
      <c r="AN206" s="36">
        <v>0.998529411764705</v>
      </c>
      <c r="AO206" s="36"/>
      <c r="AV206" s="13">
        <f t="shared" si="14"/>
        <v>1.0391786577181206</v>
      </c>
      <c r="BD206" s="13">
        <v>203</v>
      </c>
      <c r="BE206" s="13">
        <v>149</v>
      </c>
      <c r="BF206" s="17">
        <v>151.3992958</v>
      </c>
      <c r="BH206" s="36">
        <v>13.7562314924623</v>
      </c>
      <c r="BI206" s="36">
        <v>0.998529411764705</v>
      </c>
      <c r="BJ206" s="36"/>
      <c r="BQ206" s="13">
        <f t="shared" si="15"/>
        <v>1.6102656375838853</v>
      </c>
    </row>
    <row r="207" spans="1:75">
      <c r="A207" s="13">
        <v>204</v>
      </c>
      <c r="B207" s="13">
        <v>202</v>
      </c>
      <c r="C207" s="17">
        <v>201.5957171</v>
      </c>
      <c r="E207" s="36">
        <v>33.278724763819099</v>
      </c>
      <c r="F207" s="36">
        <v>0.998529411764705</v>
      </c>
      <c r="G207" s="36"/>
      <c r="M207" s="13">
        <f t="shared" si="12"/>
        <v>-0.20014004950494879</v>
      </c>
      <c r="O207" s="13">
        <v>204</v>
      </c>
      <c r="P207" s="13">
        <v>202</v>
      </c>
      <c r="Q207" s="17">
        <v>197.70805369999999</v>
      </c>
      <c r="S207" s="36">
        <v>42.363406020100399</v>
      </c>
      <c r="T207" s="36">
        <v>0.998529411764705</v>
      </c>
      <c r="U207" s="36"/>
      <c r="AA207" s="13">
        <f t="shared" si="13"/>
        <v>-2.1247258910891076</v>
      </c>
      <c r="AC207" s="23"/>
      <c r="AD207" s="23"/>
      <c r="AE207" s="23"/>
      <c r="AF207" s="23"/>
      <c r="AG207" s="23"/>
      <c r="AI207" s="13">
        <v>204</v>
      </c>
      <c r="AJ207" s="13">
        <v>202</v>
      </c>
      <c r="AK207" s="17">
        <v>202.16514340000001</v>
      </c>
      <c r="AM207" s="36">
        <v>6.8606092743718499</v>
      </c>
      <c r="AN207" s="36">
        <v>0.998529411764705</v>
      </c>
      <c r="AO207" s="36"/>
      <c r="AV207" s="13">
        <f t="shared" si="14"/>
        <v>8.1754158415847655E-2</v>
      </c>
      <c r="BD207" s="13">
        <v>204</v>
      </c>
      <c r="BE207" s="13">
        <v>202</v>
      </c>
      <c r="BF207" s="17">
        <v>201.52766560000001</v>
      </c>
      <c r="BH207" s="36">
        <v>13.8267762693467</v>
      </c>
      <c r="BI207" s="36">
        <v>0.998529411764705</v>
      </c>
      <c r="BJ207" s="36"/>
      <c r="BQ207" s="13">
        <f t="shared" si="15"/>
        <v>-0.23382891089108737</v>
      </c>
    </row>
    <row r="208" spans="1:75">
      <c r="A208" s="13">
        <v>205</v>
      </c>
      <c r="B208" s="13">
        <v>193</v>
      </c>
      <c r="C208" s="17">
        <v>162.79272700000001</v>
      </c>
      <c r="E208" s="36">
        <v>33.448514175879303</v>
      </c>
      <c r="F208" s="36">
        <v>0.998529411764705</v>
      </c>
      <c r="G208" s="36"/>
      <c r="M208" s="13">
        <f t="shared" si="12"/>
        <v>-15.651436787564766</v>
      </c>
      <c r="O208" s="13">
        <v>205</v>
      </c>
      <c r="P208" s="13">
        <v>193</v>
      </c>
      <c r="Q208" s="17">
        <v>161.64427459999999</v>
      </c>
      <c r="S208" s="36">
        <v>42.579545846733602</v>
      </c>
      <c r="T208" s="36">
        <v>0.998529411764705</v>
      </c>
      <c r="U208" s="36"/>
      <c r="AA208" s="13">
        <f t="shared" si="13"/>
        <v>-16.246489844559587</v>
      </c>
      <c r="AC208" s="23"/>
      <c r="AD208" s="23"/>
      <c r="AE208" s="23"/>
      <c r="AF208" s="23"/>
      <c r="AG208" s="23"/>
      <c r="AI208" s="13">
        <v>205</v>
      </c>
      <c r="AJ208" s="13">
        <v>193</v>
      </c>
      <c r="AK208" s="17">
        <v>187.24454539999999</v>
      </c>
      <c r="AM208" s="36">
        <v>6.8956123829145701</v>
      </c>
      <c r="AN208" s="36">
        <v>0.998529411764705</v>
      </c>
      <c r="AO208" s="36"/>
      <c r="AV208" s="13">
        <f t="shared" si="14"/>
        <v>-2.9821008290155437</v>
      </c>
      <c r="BD208" s="13">
        <v>205</v>
      </c>
      <c r="BE208" s="13">
        <v>193</v>
      </c>
      <c r="BF208" s="17">
        <v>180.7517053</v>
      </c>
      <c r="BH208" s="36">
        <v>13.897321046231101</v>
      </c>
      <c r="BI208" s="36">
        <v>0.998529411764705</v>
      </c>
      <c r="BJ208" s="36"/>
      <c r="BQ208" s="13">
        <f t="shared" si="15"/>
        <v>-6.346266683937829</v>
      </c>
    </row>
    <row r="209" spans="1:69">
      <c r="A209" s="13">
        <v>206</v>
      </c>
      <c r="B209" s="13">
        <v>107</v>
      </c>
      <c r="C209" s="17">
        <v>117.3856718</v>
      </c>
      <c r="E209" s="36">
        <v>33.6183035879397</v>
      </c>
      <c r="F209" s="36">
        <v>0.998529411764705</v>
      </c>
      <c r="G209" s="36"/>
      <c r="M209" s="13">
        <f t="shared" si="12"/>
        <v>9.7062353271027959</v>
      </c>
      <c r="O209" s="13">
        <v>206</v>
      </c>
      <c r="P209" s="13">
        <v>107</v>
      </c>
      <c r="Q209" s="17">
        <v>114.2675454</v>
      </c>
      <c r="S209" s="36">
        <v>42.795685673366798</v>
      </c>
      <c r="T209" s="36">
        <v>0.998529411764705</v>
      </c>
      <c r="U209" s="36"/>
      <c r="AA209" s="13">
        <f t="shared" si="13"/>
        <v>6.7920985046729054</v>
      </c>
      <c r="AC209" s="23"/>
      <c r="AD209" s="23"/>
      <c r="AE209" s="23"/>
      <c r="AF209" s="23"/>
      <c r="AG209" s="23"/>
      <c r="AI209" s="13">
        <v>206</v>
      </c>
      <c r="AJ209" s="13">
        <v>107</v>
      </c>
      <c r="AK209" s="17">
        <v>109.25313439999999</v>
      </c>
      <c r="AM209" s="36">
        <v>6.9306154914572797</v>
      </c>
      <c r="AN209" s="36">
        <v>0.998529411764705</v>
      </c>
      <c r="AO209" s="36"/>
      <c r="AV209" s="13">
        <f t="shared" si="14"/>
        <v>2.1057330841121491</v>
      </c>
      <c r="BD209" s="13">
        <v>206</v>
      </c>
      <c r="BE209" s="13">
        <v>107</v>
      </c>
      <c r="BF209" s="17">
        <v>110.7871288</v>
      </c>
      <c r="BH209" s="36">
        <v>13.967865823115501</v>
      </c>
      <c r="BI209" s="36">
        <v>0.998529411764705</v>
      </c>
      <c r="BJ209" s="36"/>
      <c r="BQ209" s="13">
        <f t="shared" si="15"/>
        <v>3.5393727102803751</v>
      </c>
    </row>
    <row r="210" spans="1:69">
      <c r="A210" s="13">
        <v>207</v>
      </c>
      <c r="B210" s="13">
        <v>174</v>
      </c>
      <c r="C210" s="17">
        <v>183.69873390000001</v>
      </c>
      <c r="E210" s="36">
        <v>33.788093000000003</v>
      </c>
      <c r="F210" s="36">
        <v>1</v>
      </c>
      <c r="G210" s="36"/>
      <c r="M210" s="13">
        <f t="shared" si="12"/>
        <v>5.5739850000000146</v>
      </c>
      <c r="O210" s="13">
        <v>207</v>
      </c>
      <c r="P210" s="13">
        <v>174</v>
      </c>
      <c r="Q210" s="17">
        <v>179.8426939</v>
      </c>
      <c r="S210" s="36">
        <v>43.011825499999901</v>
      </c>
      <c r="T210" s="36">
        <v>1</v>
      </c>
      <c r="U210" s="36"/>
      <c r="AA210" s="13">
        <f t="shared" si="13"/>
        <v>3.3578700574712572</v>
      </c>
      <c r="AC210" s="23"/>
      <c r="AD210" s="23"/>
      <c r="AE210" s="23"/>
      <c r="AF210" s="23"/>
      <c r="AG210" s="23"/>
      <c r="AI210" s="13">
        <v>207</v>
      </c>
      <c r="AJ210" s="13">
        <v>174</v>
      </c>
      <c r="AK210" s="17">
        <v>175.75774680000001</v>
      </c>
      <c r="AM210" s="36">
        <v>6.9656185999999902</v>
      </c>
      <c r="AN210" s="36">
        <v>1</v>
      </c>
      <c r="AO210" s="36"/>
      <c r="AV210" s="13">
        <f t="shared" si="14"/>
        <v>1.0101993103448281</v>
      </c>
      <c r="BD210" s="13">
        <v>207</v>
      </c>
      <c r="BE210" s="13">
        <v>174</v>
      </c>
      <c r="BF210" s="17">
        <v>177.527658</v>
      </c>
      <c r="BH210" s="36">
        <v>14.038410599999899</v>
      </c>
      <c r="BI210" s="36">
        <v>1</v>
      </c>
      <c r="BJ210" s="36"/>
      <c r="BQ210" s="13">
        <f t="shared" si="15"/>
        <v>2.027389655172418</v>
      </c>
    </row>
    <row r="211" spans="1:69">
      <c r="A211" s="13">
        <v>208</v>
      </c>
      <c r="B211" s="13">
        <v>148</v>
      </c>
      <c r="C211" s="17">
        <v>120.3307269</v>
      </c>
      <c r="M211" s="13">
        <f t="shared" si="12"/>
        <v>-18.695454797297295</v>
      </c>
      <c r="O211" s="13">
        <v>208</v>
      </c>
      <c r="P211" s="13">
        <v>148</v>
      </c>
      <c r="Q211" s="17">
        <v>112.2143966</v>
      </c>
      <c r="AA211" s="13">
        <f t="shared" si="13"/>
        <v>-24.179461756756758</v>
      </c>
      <c r="AC211" s="23"/>
      <c r="AD211" s="23"/>
      <c r="AE211" s="23"/>
      <c r="AF211" s="23"/>
      <c r="AG211" s="23"/>
      <c r="AI211" s="13">
        <v>208</v>
      </c>
      <c r="AJ211" s="13">
        <v>148</v>
      </c>
      <c r="AK211" s="17">
        <v>142.49414540000001</v>
      </c>
      <c r="AV211" s="13">
        <f t="shared" si="14"/>
        <v>-3.7201720270270244</v>
      </c>
      <c r="BD211" s="13">
        <v>208</v>
      </c>
      <c r="BE211" s="13">
        <v>148</v>
      </c>
      <c r="BF211" s="17">
        <v>136.37727949999999</v>
      </c>
      <c r="BQ211" s="13">
        <f t="shared" si="15"/>
        <v>-7.8531895270270375</v>
      </c>
    </row>
    <row r="212" spans="1:69">
      <c r="A212" s="13">
        <v>209</v>
      </c>
      <c r="B212" s="13">
        <v>29</v>
      </c>
      <c r="C212" s="17">
        <v>31.008000296092899</v>
      </c>
      <c r="M212" s="13">
        <f t="shared" si="12"/>
        <v>6.9241389520444674</v>
      </c>
      <c r="O212" s="13">
        <v>209</v>
      </c>
      <c r="P212" s="13">
        <v>29</v>
      </c>
      <c r="Q212" s="17">
        <v>20.715768057349401</v>
      </c>
      <c r="AA212" s="13">
        <f t="shared" si="13"/>
        <v>-28.566317043622757</v>
      </c>
      <c r="AC212" s="23"/>
      <c r="AD212" s="23"/>
      <c r="AE212" s="23"/>
      <c r="AF212" s="23"/>
      <c r="AG212" s="23"/>
      <c r="AI212" s="13">
        <v>209</v>
      </c>
      <c r="AJ212" s="13">
        <v>29</v>
      </c>
      <c r="AK212" s="17">
        <v>23.048585150000001</v>
      </c>
      <c r="AV212" s="13">
        <f t="shared" si="14"/>
        <v>-20.522120172413793</v>
      </c>
      <c r="BD212" s="13">
        <v>209</v>
      </c>
      <c r="BE212" s="13">
        <v>29</v>
      </c>
      <c r="BF212" s="17">
        <v>36.425986220132401</v>
      </c>
      <c r="BQ212" s="13">
        <f t="shared" si="15"/>
        <v>25.606849034939305</v>
      </c>
    </row>
    <row r="213" spans="1:69">
      <c r="A213" s="13">
        <v>210</v>
      </c>
      <c r="B213" s="13">
        <v>29</v>
      </c>
      <c r="C213" s="17">
        <v>28.639915550000001</v>
      </c>
      <c r="M213" s="13">
        <f t="shared" si="12"/>
        <v>-1.2416705172413778</v>
      </c>
      <c r="O213" s="13">
        <v>210</v>
      </c>
      <c r="P213" s="13">
        <v>29</v>
      </c>
      <c r="Q213" s="17">
        <v>31.858806739999999</v>
      </c>
      <c r="AA213" s="13">
        <f t="shared" si="13"/>
        <v>9.8579542758620686</v>
      </c>
      <c r="AC213" s="23"/>
      <c r="AD213" s="23"/>
      <c r="AE213" s="23"/>
      <c r="AF213" s="23"/>
      <c r="AG213" s="23"/>
      <c r="AI213" s="13">
        <v>210</v>
      </c>
      <c r="AJ213" s="13">
        <v>29</v>
      </c>
      <c r="AK213" s="17">
        <v>28.92826311</v>
      </c>
      <c r="AV213" s="13">
        <f t="shared" si="14"/>
        <v>-0.2473685862068975</v>
      </c>
      <c r="BD213" s="13">
        <v>210</v>
      </c>
      <c r="BE213" s="13">
        <v>29</v>
      </c>
      <c r="BF213" s="17">
        <v>28.419136559999998</v>
      </c>
      <c r="BQ213" s="13">
        <f t="shared" si="15"/>
        <v>-2.0029773793103556</v>
      </c>
    </row>
    <row r="214" spans="1:69">
      <c r="A214" s="13">
        <v>211</v>
      </c>
      <c r="B214" s="13">
        <v>7</v>
      </c>
      <c r="C214" s="17">
        <v>10.893464938193601</v>
      </c>
      <c r="M214" s="13">
        <f t="shared" si="12"/>
        <v>55.620927688480016</v>
      </c>
      <c r="O214" s="13">
        <v>211</v>
      </c>
      <c r="P214" s="13">
        <v>7</v>
      </c>
      <c r="Q214" s="17">
        <v>5.3294549248143301</v>
      </c>
      <c r="AA214" s="13">
        <f t="shared" si="13"/>
        <v>-23.864929645509569</v>
      </c>
      <c r="AC214" s="23"/>
      <c r="AD214" s="23"/>
      <c r="AE214" s="23"/>
      <c r="AF214" s="23"/>
      <c r="AG214" s="23"/>
      <c r="AI214" s="13">
        <v>211</v>
      </c>
      <c r="AJ214" s="13">
        <v>7</v>
      </c>
      <c r="AK214" s="17">
        <v>7.9659163461685596</v>
      </c>
      <c r="AV214" s="13">
        <f t="shared" si="14"/>
        <v>13.798804945265131</v>
      </c>
      <c r="BD214" s="13">
        <v>211</v>
      </c>
      <c r="BE214" s="13">
        <v>7</v>
      </c>
      <c r="BF214" s="17">
        <v>5.7966643207937096</v>
      </c>
      <c r="BQ214" s="13">
        <f t="shared" si="15"/>
        <v>-17.190509702947011</v>
      </c>
    </row>
    <row r="215" spans="1:69">
      <c r="A215" s="13">
        <v>212</v>
      </c>
      <c r="B215" s="13">
        <v>81</v>
      </c>
      <c r="C215" s="17">
        <v>50.889514849999998</v>
      </c>
      <c r="M215" s="13">
        <f t="shared" si="12"/>
        <v>-37.17343845679013</v>
      </c>
      <c r="O215" s="13">
        <v>212</v>
      </c>
      <c r="P215" s="13">
        <v>81</v>
      </c>
      <c r="Q215" s="17">
        <v>54.44800042</v>
      </c>
      <c r="AA215" s="13">
        <f t="shared" si="13"/>
        <v>-32.780246395061731</v>
      </c>
      <c r="AC215" s="23"/>
      <c r="AD215" s="23"/>
      <c r="AE215" s="23"/>
      <c r="AF215" s="23"/>
      <c r="AG215" s="23"/>
      <c r="AI215" s="13">
        <v>212</v>
      </c>
      <c r="AJ215" s="13">
        <v>81</v>
      </c>
      <c r="AK215" s="17">
        <v>74.939902970000006</v>
      </c>
      <c r="AV215" s="13">
        <f t="shared" si="14"/>
        <v>-7.4816012716049318</v>
      </c>
      <c r="BD215" s="13">
        <v>212</v>
      </c>
      <c r="BE215" s="13">
        <v>81</v>
      </c>
      <c r="BF215" s="17">
        <v>68.78292399</v>
      </c>
      <c r="BQ215" s="13">
        <f t="shared" si="15"/>
        <v>-15.082809888888892</v>
      </c>
    </row>
    <row r="216" spans="1:69">
      <c r="A216" s="13">
        <v>213</v>
      </c>
      <c r="B216" s="13">
        <v>72</v>
      </c>
      <c r="C216" s="17">
        <v>83.959864820000007</v>
      </c>
      <c r="M216" s="13">
        <f t="shared" si="12"/>
        <v>16.610923361111119</v>
      </c>
      <c r="O216" s="13">
        <v>213</v>
      </c>
      <c r="P216" s="13">
        <v>72</v>
      </c>
      <c r="Q216" s="17">
        <v>85.855912950000004</v>
      </c>
      <c r="AA216" s="13">
        <f t="shared" si="13"/>
        <v>19.244323541666674</v>
      </c>
      <c r="AC216" s="23"/>
      <c r="AD216" s="23"/>
      <c r="AE216" s="23"/>
      <c r="AF216" s="23"/>
      <c r="AG216" s="23"/>
      <c r="AI216" s="13">
        <v>213</v>
      </c>
      <c r="AJ216" s="13">
        <v>72</v>
      </c>
      <c r="AK216" s="17">
        <v>74.135972960000004</v>
      </c>
      <c r="AV216" s="13">
        <f t="shared" si="14"/>
        <v>2.9666291111111187</v>
      </c>
      <c r="BD216" s="13">
        <v>213</v>
      </c>
      <c r="BE216" s="13">
        <v>72</v>
      </c>
      <c r="BF216" s="17">
        <v>76.287946700000006</v>
      </c>
      <c r="BQ216" s="13">
        <f t="shared" si="15"/>
        <v>5.9554815277777839</v>
      </c>
    </row>
    <row r="217" spans="1:69">
      <c r="A217" s="13">
        <v>214</v>
      </c>
      <c r="B217" s="13">
        <v>125</v>
      </c>
      <c r="C217" s="17">
        <v>124.60230199999999</v>
      </c>
      <c r="M217" s="13">
        <f t="shared" si="12"/>
        <v>-0.31815840000000151</v>
      </c>
      <c r="O217" s="13">
        <v>214</v>
      </c>
      <c r="P217" s="13">
        <v>125</v>
      </c>
      <c r="Q217" s="17">
        <v>119.40938250000001</v>
      </c>
      <c r="AA217" s="13">
        <f t="shared" si="13"/>
        <v>-4.472493999999994</v>
      </c>
      <c r="AC217" s="23"/>
      <c r="AD217" s="23"/>
      <c r="AE217" s="23"/>
      <c r="AF217" s="23"/>
      <c r="AG217" s="23"/>
      <c r="AI217" s="13">
        <v>214</v>
      </c>
      <c r="AJ217" s="13">
        <v>125</v>
      </c>
      <c r="AK217" s="17">
        <v>124.83046040000001</v>
      </c>
      <c r="AV217" s="13">
        <f t="shared" si="14"/>
        <v>-0.13563167999999237</v>
      </c>
      <c r="BD217" s="13">
        <v>214</v>
      </c>
      <c r="BE217" s="13">
        <v>125</v>
      </c>
      <c r="BF217" s="17">
        <v>124.16660589999999</v>
      </c>
      <c r="BQ217" s="13">
        <f t="shared" si="15"/>
        <v>-0.66671528000000757</v>
      </c>
    </row>
    <row r="218" spans="1:69">
      <c r="A218" s="13">
        <v>215</v>
      </c>
      <c r="B218" s="13">
        <v>39</v>
      </c>
      <c r="C218" s="17">
        <v>39.608977979999999</v>
      </c>
      <c r="M218" s="13">
        <f t="shared" si="12"/>
        <v>1.5614819999999918</v>
      </c>
      <c r="O218" s="13">
        <v>215</v>
      </c>
      <c r="P218" s="13">
        <v>39</v>
      </c>
      <c r="Q218" s="17">
        <v>40.168255950000002</v>
      </c>
      <c r="AA218" s="13">
        <f t="shared" si="13"/>
        <v>2.995528076923093</v>
      </c>
      <c r="AC218" s="23"/>
      <c r="AD218" s="23"/>
      <c r="AE218" s="23"/>
      <c r="AF218" s="23"/>
      <c r="AG218" s="23"/>
      <c r="AI218" s="13">
        <v>215</v>
      </c>
      <c r="AJ218" s="13">
        <v>39</v>
      </c>
      <c r="AK218" s="17">
        <v>39.469795599999998</v>
      </c>
      <c r="AV218" s="13">
        <f t="shared" si="14"/>
        <v>1.2046041025640886</v>
      </c>
      <c r="BD218" s="13">
        <v>215</v>
      </c>
      <c r="BE218" s="13">
        <v>39</v>
      </c>
      <c r="BF218" s="17">
        <v>38.811231540000001</v>
      </c>
      <c r="BQ218" s="13">
        <f t="shared" si="15"/>
        <v>-0.4840216923076901</v>
      </c>
    </row>
    <row r="219" spans="1:69">
      <c r="A219" s="13">
        <v>216</v>
      </c>
      <c r="B219" s="13">
        <v>128</v>
      </c>
      <c r="C219" s="17">
        <v>138.26021739999999</v>
      </c>
      <c r="M219" s="13">
        <f t="shared" si="12"/>
        <v>8.0157948437499904</v>
      </c>
      <c r="O219" s="13">
        <v>216</v>
      </c>
      <c r="P219" s="13">
        <v>128</v>
      </c>
      <c r="Q219" s="17">
        <v>135.59459910000001</v>
      </c>
      <c r="AA219" s="13">
        <f t="shared" si="13"/>
        <v>5.9332805468750083</v>
      </c>
      <c r="AC219" s="23"/>
      <c r="AD219" s="23"/>
      <c r="AE219" s="23"/>
      <c r="AF219" s="23"/>
      <c r="AG219" s="23"/>
      <c r="AI219" s="13">
        <v>216</v>
      </c>
      <c r="AJ219" s="13">
        <v>128</v>
      </c>
      <c r="AK219" s="17">
        <v>130.1480435</v>
      </c>
      <c r="AV219" s="13">
        <f t="shared" si="14"/>
        <v>1.678158984375</v>
      </c>
      <c r="BD219" s="13">
        <v>216</v>
      </c>
      <c r="BE219" s="13">
        <v>128</v>
      </c>
      <c r="BF219" s="17">
        <v>132.48102850000001</v>
      </c>
      <c r="BQ219" s="13">
        <f t="shared" si="15"/>
        <v>3.5008035156250061</v>
      </c>
    </row>
    <row r="220" spans="1:69">
      <c r="A220" s="13">
        <v>217</v>
      </c>
      <c r="B220" s="13">
        <v>18</v>
      </c>
      <c r="C220" s="17">
        <v>27.65267901</v>
      </c>
      <c r="M220" s="13">
        <f t="shared" si="12"/>
        <v>53.625994500000004</v>
      </c>
      <c r="O220" s="13">
        <v>217</v>
      </c>
      <c r="P220" s="13">
        <v>18</v>
      </c>
      <c r="Q220" s="17">
        <v>27.888584153649301</v>
      </c>
      <c r="AA220" s="13">
        <f t="shared" si="13"/>
        <v>54.936578631385011</v>
      </c>
      <c r="AC220" s="23"/>
      <c r="AD220" s="23"/>
      <c r="AE220" s="23"/>
      <c r="AF220" s="23"/>
      <c r="AG220" s="23"/>
      <c r="AI220" s="13">
        <v>217</v>
      </c>
      <c r="AJ220" s="13">
        <v>18</v>
      </c>
      <c r="AK220" s="17">
        <v>19.930735800000001</v>
      </c>
      <c r="AV220" s="13">
        <f t="shared" si="14"/>
        <v>10.726309999999994</v>
      </c>
      <c r="BD220" s="13">
        <v>217</v>
      </c>
      <c r="BE220" s="13">
        <v>18</v>
      </c>
      <c r="BF220" s="17">
        <v>21.480886389999998</v>
      </c>
      <c r="BQ220" s="13">
        <f t="shared" si="15"/>
        <v>19.338257722222217</v>
      </c>
    </row>
    <row r="221" spans="1:69">
      <c r="A221" s="13">
        <v>218</v>
      </c>
      <c r="B221" s="13">
        <v>83</v>
      </c>
      <c r="C221" s="17">
        <v>53.945135039999997</v>
      </c>
      <c r="M221" s="13">
        <f t="shared" si="12"/>
        <v>-35.005861397590365</v>
      </c>
      <c r="O221" s="13">
        <v>218</v>
      </c>
      <c r="P221" s="13">
        <v>83</v>
      </c>
      <c r="Q221" s="17">
        <v>55.036434849999999</v>
      </c>
      <c r="AA221" s="13">
        <f t="shared" si="13"/>
        <v>-33.691042349397591</v>
      </c>
      <c r="AC221" s="23"/>
      <c r="AD221" s="23"/>
      <c r="AE221" s="23"/>
      <c r="AF221" s="23"/>
      <c r="AG221" s="23"/>
      <c r="AI221" s="13">
        <v>218</v>
      </c>
      <c r="AJ221" s="13">
        <v>83</v>
      </c>
      <c r="AK221" s="17">
        <v>77.005027010000006</v>
      </c>
      <c r="AV221" s="13">
        <f t="shared" si="14"/>
        <v>-7.2228590240963726</v>
      </c>
      <c r="BD221" s="13">
        <v>218</v>
      </c>
      <c r="BE221" s="13">
        <v>83</v>
      </c>
      <c r="BF221" s="17">
        <v>70.935705850000005</v>
      </c>
      <c r="BQ221" s="13">
        <f t="shared" si="15"/>
        <v>-14.535294156626499</v>
      </c>
    </row>
    <row r="222" spans="1:69">
      <c r="A222" s="13">
        <v>219</v>
      </c>
      <c r="B222" s="13">
        <v>242</v>
      </c>
      <c r="C222" s="17">
        <v>209.9382444</v>
      </c>
      <c r="M222" s="13">
        <f t="shared" si="12"/>
        <v>-13.248659338842971</v>
      </c>
      <c r="O222" s="13">
        <v>219</v>
      </c>
      <c r="P222" s="13">
        <v>242</v>
      </c>
      <c r="Q222" s="17">
        <v>200.77778789999999</v>
      </c>
      <c r="AA222" s="13">
        <f t="shared" si="13"/>
        <v>-17.033971942148764</v>
      </c>
      <c r="AC222" s="23"/>
      <c r="AD222" s="23"/>
      <c r="AE222" s="23"/>
      <c r="AF222" s="23"/>
      <c r="AG222" s="23"/>
      <c r="AI222" s="13">
        <v>219</v>
      </c>
      <c r="AJ222" s="13">
        <v>242</v>
      </c>
      <c r="AK222" s="17">
        <v>235.79764890000001</v>
      </c>
      <c r="AV222" s="13">
        <f t="shared" si="14"/>
        <v>-2.5629550000000001</v>
      </c>
      <c r="BD222" s="13">
        <v>219</v>
      </c>
      <c r="BE222" s="13">
        <v>242</v>
      </c>
      <c r="BF222" s="17">
        <v>229.3521399</v>
      </c>
      <c r="BQ222" s="13">
        <f t="shared" si="15"/>
        <v>-5.2263884710743831</v>
      </c>
    </row>
    <row r="223" spans="1:69">
      <c r="A223" s="13">
        <v>220</v>
      </c>
      <c r="B223" s="13">
        <v>245</v>
      </c>
      <c r="C223" s="17">
        <v>214.81615149999999</v>
      </c>
      <c r="M223" s="13">
        <f t="shared" si="12"/>
        <v>-12.319938163265309</v>
      </c>
      <c r="O223" s="13">
        <v>220</v>
      </c>
      <c r="P223" s="13">
        <v>245</v>
      </c>
      <c r="Q223" s="17">
        <v>210.6230597</v>
      </c>
      <c r="AA223" s="13">
        <f t="shared" si="13"/>
        <v>-14.031404204081632</v>
      </c>
      <c r="AC223" s="23"/>
      <c r="AD223" s="23"/>
      <c r="AE223" s="23"/>
      <c r="AF223" s="23"/>
      <c r="AG223" s="23"/>
      <c r="AI223" s="13">
        <v>220</v>
      </c>
      <c r="AJ223" s="13">
        <v>245</v>
      </c>
      <c r="AK223" s="17">
        <v>238.87323029999999</v>
      </c>
      <c r="AV223" s="13">
        <f t="shared" si="14"/>
        <v>-2.5007223265306133</v>
      </c>
      <c r="BD223" s="13">
        <v>220</v>
      </c>
      <c r="BE223" s="13">
        <v>245</v>
      </c>
      <c r="BF223" s="17">
        <v>233.10210040000001</v>
      </c>
      <c r="BQ223" s="13">
        <f t="shared" si="15"/>
        <v>-4.8562855510204006</v>
      </c>
    </row>
    <row r="224" spans="1:69">
      <c r="A224" s="13">
        <v>221</v>
      </c>
      <c r="B224" s="13">
        <v>21</v>
      </c>
      <c r="C224" s="17">
        <v>14.6752856221052</v>
      </c>
      <c r="M224" s="13">
        <f t="shared" si="12"/>
        <v>-30.117687513784762</v>
      </c>
      <c r="O224" s="13">
        <v>221</v>
      </c>
      <c r="P224" s="13">
        <v>21</v>
      </c>
      <c r="Q224" s="17">
        <v>19.427985894762202</v>
      </c>
      <c r="AA224" s="13">
        <f t="shared" si="13"/>
        <v>-7.4857814535133294</v>
      </c>
      <c r="AC224" s="23"/>
      <c r="AD224" s="23"/>
      <c r="AE224" s="23"/>
      <c r="AF224" s="23"/>
      <c r="AG224" s="23"/>
      <c r="AI224" s="13">
        <v>221</v>
      </c>
      <c r="AJ224" s="13">
        <v>21</v>
      </c>
      <c r="AK224" s="17">
        <v>22.430823874959799</v>
      </c>
      <c r="AV224" s="13">
        <f t="shared" si="14"/>
        <v>6.81344702361808</v>
      </c>
      <c r="BD224" s="13">
        <v>221</v>
      </c>
      <c r="BE224" s="13">
        <v>21</v>
      </c>
      <c r="BF224" s="17">
        <v>13.972000306683899</v>
      </c>
      <c r="BQ224" s="13">
        <f t="shared" si="15"/>
        <v>-33.466665206267145</v>
      </c>
    </row>
    <row r="225" spans="1:69">
      <c r="A225" s="13">
        <v>222</v>
      </c>
      <c r="B225" s="13">
        <v>214</v>
      </c>
      <c r="C225" s="17">
        <v>214.14775689999999</v>
      </c>
      <c r="M225" s="13">
        <f t="shared" si="12"/>
        <v>6.9045280373836171E-2</v>
      </c>
      <c r="O225" s="13">
        <v>222</v>
      </c>
      <c r="P225" s="13">
        <v>214</v>
      </c>
      <c r="Q225" s="17">
        <v>208.35798389999999</v>
      </c>
      <c r="AA225" s="13">
        <f t="shared" si="13"/>
        <v>-2.6364561214953341</v>
      </c>
      <c r="AC225" s="23"/>
      <c r="AD225" s="23"/>
      <c r="AE225" s="23"/>
      <c r="AF225" s="23"/>
      <c r="AG225" s="23"/>
      <c r="AI225" s="13">
        <v>222</v>
      </c>
      <c r="AJ225" s="13">
        <v>214</v>
      </c>
      <c r="AK225" s="17">
        <v>214.09555140000001</v>
      </c>
      <c r="AV225" s="13">
        <f t="shared" si="14"/>
        <v>4.4650186915884404E-2</v>
      </c>
      <c r="BD225" s="13">
        <v>222</v>
      </c>
      <c r="BE225" s="13">
        <v>214</v>
      </c>
      <c r="BF225" s="17">
        <v>213.55876180000001</v>
      </c>
      <c r="BQ225" s="13">
        <f t="shared" si="15"/>
        <v>-0.20618607476634576</v>
      </c>
    </row>
    <row r="226" spans="1:69">
      <c r="A226" s="13">
        <v>223</v>
      </c>
      <c r="B226" s="13">
        <v>174</v>
      </c>
      <c r="C226" s="17">
        <v>172.52459400000001</v>
      </c>
      <c r="M226" s="13">
        <f t="shared" si="12"/>
        <v>-0.8479344827586166</v>
      </c>
      <c r="O226" s="13">
        <v>223</v>
      </c>
      <c r="P226" s="13">
        <v>174</v>
      </c>
      <c r="Q226" s="17">
        <v>168.77741399999999</v>
      </c>
      <c r="AA226" s="13">
        <f t="shared" si="13"/>
        <v>-3.0014862068965531</v>
      </c>
      <c r="AC226" s="23"/>
      <c r="AD226" s="23"/>
      <c r="AE226" s="23"/>
      <c r="AF226" s="23"/>
      <c r="AG226" s="23"/>
      <c r="AI226" s="13">
        <v>223</v>
      </c>
      <c r="AJ226" s="13">
        <v>174</v>
      </c>
      <c r="AK226" s="17">
        <v>173.6209188</v>
      </c>
      <c r="AV226" s="13">
        <f t="shared" si="14"/>
        <v>-0.21786275862069049</v>
      </c>
      <c r="BD226" s="13">
        <v>223</v>
      </c>
      <c r="BE226" s="13">
        <v>174</v>
      </c>
      <c r="BF226" s="17">
        <v>172.93464119999999</v>
      </c>
      <c r="BQ226" s="13">
        <f t="shared" si="15"/>
        <v>-0.61227517241380092</v>
      </c>
    </row>
    <row r="227" spans="1:69">
      <c r="A227" s="13">
        <v>224</v>
      </c>
      <c r="B227" s="13">
        <v>157</v>
      </c>
      <c r="C227" s="17">
        <v>125.6430332</v>
      </c>
      <c r="M227" s="13">
        <f t="shared" si="12"/>
        <v>-19.97259031847134</v>
      </c>
      <c r="O227" s="13">
        <v>224</v>
      </c>
      <c r="P227" s="13">
        <v>157</v>
      </c>
      <c r="Q227" s="17">
        <v>124.4386851</v>
      </c>
      <c r="AA227" s="13">
        <f t="shared" si="13"/>
        <v>-20.739691019108275</v>
      </c>
      <c r="AC227" s="23"/>
      <c r="AD227" s="23"/>
      <c r="AE227" s="23"/>
      <c r="AF227" s="23"/>
      <c r="AG227" s="23"/>
      <c r="AI227" s="13">
        <v>224</v>
      </c>
      <c r="AJ227" s="13">
        <v>157</v>
      </c>
      <c r="AK227" s="17">
        <v>150.6626066</v>
      </c>
      <c r="AV227" s="13">
        <f t="shared" si="14"/>
        <v>-4.0365563057324856</v>
      </c>
      <c r="BD227" s="13">
        <v>224</v>
      </c>
      <c r="BE227" s="13">
        <v>157</v>
      </c>
      <c r="BF227" s="17">
        <v>143.65208319999999</v>
      </c>
      <c r="BQ227" s="13">
        <f t="shared" si="15"/>
        <v>-8.5018578343949098</v>
      </c>
    </row>
    <row r="228" spans="1:69">
      <c r="A228" s="13">
        <v>225</v>
      </c>
      <c r="B228" s="13">
        <v>166</v>
      </c>
      <c r="C228" s="17">
        <v>136.0082152</v>
      </c>
      <c r="M228" s="13">
        <f t="shared" si="12"/>
        <v>-18.067340240963858</v>
      </c>
      <c r="O228" s="13">
        <v>225</v>
      </c>
      <c r="P228" s="13">
        <v>166</v>
      </c>
      <c r="Q228" s="17">
        <v>129.90915910000001</v>
      </c>
      <c r="AA228" s="13">
        <f t="shared" si="13"/>
        <v>-21.741470421686738</v>
      </c>
      <c r="AC228" s="23"/>
      <c r="AD228" s="23"/>
      <c r="AE228" s="23"/>
      <c r="AF228" s="23"/>
      <c r="AG228" s="23"/>
      <c r="AI228" s="13">
        <v>225</v>
      </c>
      <c r="AJ228" s="13">
        <v>166</v>
      </c>
      <c r="AK228" s="17">
        <v>160.215643</v>
      </c>
      <c r="AV228" s="13">
        <f t="shared" si="14"/>
        <v>-3.4845524096385527</v>
      </c>
      <c r="BD228" s="13">
        <v>225</v>
      </c>
      <c r="BE228" s="13">
        <v>166</v>
      </c>
      <c r="BF228" s="17">
        <v>153.99759890000001</v>
      </c>
      <c r="BQ228" s="13">
        <f t="shared" si="15"/>
        <v>-7.23036210843373</v>
      </c>
    </row>
    <row r="229" spans="1:69">
      <c r="A229" s="13">
        <v>226</v>
      </c>
      <c r="B229" s="13">
        <v>173</v>
      </c>
      <c r="C229" s="17">
        <v>141.89027730000001</v>
      </c>
      <c r="M229" s="13">
        <f t="shared" si="12"/>
        <v>-17.982498670520229</v>
      </c>
      <c r="O229" s="13">
        <v>226</v>
      </c>
      <c r="P229" s="13">
        <v>173</v>
      </c>
      <c r="Q229" s="17">
        <v>134.32264910000001</v>
      </c>
      <c r="AA229" s="13">
        <f t="shared" si="13"/>
        <v>-22.356850231213865</v>
      </c>
      <c r="AC229" s="23"/>
      <c r="AD229" s="23"/>
      <c r="AE229" s="23"/>
      <c r="AF229" s="23"/>
      <c r="AG229" s="23"/>
      <c r="AI229" s="13">
        <v>226</v>
      </c>
      <c r="AJ229" s="13">
        <v>173</v>
      </c>
      <c r="AK229" s="17">
        <v>166.60805550000001</v>
      </c>
      <c r="AV229" s="13">
        <f t="shared" si="14"/>
        <v>-3.6947656069364121</v>
      </c>
      <c r="BD229" s="13">
        <v>226</v>
      </c>
      <c r="BE229" s="13">
        <v>173</v>
      </c>
      <c r="BF229" s="17">
        <v>160.40997229999999</v>
      </c>
      <c r="BQ229" s="13">
        <f t="shared" si="15"/>
        <v>-7.2774726589595389</v>
      </c>
    </row>
    <row r="230" spans="1:69">
      <c r="A230" s="13">
        <v>227</v>
      </c>
      <c r="B230" s="13">
        <v>203</v>
      </c>
      <c r="C230" s="17">
        <v>202.53425680000001</v>
      </c>
      <c r="M230" s="13">
        <f t="shared" ref="M230:M293" si="16">((C230/B230)-1)*100</f>
        <v>-0.22943014778324944</v>
      </c>
      <c r="O230" s="13">
        <v>227</v>
      </c>
      <c r="P230" s="13">
        <v>203</v>
      </c>
      <c r="Q230" s="17">
        <v>197.28796600000001</v>
      </c>
      <c r="AA230" s="13">
        <f t="shared" si="13"/>
        <v>-2.8138098522167421</v>
      </c>
      <c r="AC230" s="23"/>
      <c r="AD230" s="23"/>
      <c r="AE230" s="23"/>
      <c r="AF230" s="23"/>
      <c r="AG230" s="23"/>
      <c r="AI230" s="13">
        <v>227</v>
      </c>
      <c r="AJ230" s="13">
        <v>203</v>
      </c>
      <c r="AK230" s="17">
        <v>203.16685140000001</v>
      </c>
      <c r="AV230" s="13">
        <f t="shared" si="14"/>
        <v>8.2192807881775742E-2</v>
      </c>
      <c r="BD230" s="13">
        <v>227</v>
      </c>
      <c r="BE230" s="13">
        <v>203</v>
      </c>
      <c r="BF230" s="17">
        <v>202.5785549</v>
      </c>
      <c r="BQ230" s="13">
        <f t="shared" si="15"/>
        <v>-0.20760842364532239</v>
      </c>
    </row>
    <row r="231" spans="1:69">
      <c r="A231" s="13">
        <v>228</v>
      </c>
      <c r="B231" s="13">
        <v>171</v>
      </c>
      <c r="C231" s="17">
        <v>171.6220649</v>
      </c>
      <c r="M231" s="13">
        <f t="shared" si="16"/>
        <v>0.36378064327484694</v>
      </c>
      <c r="O231" s="13">
        <v>228</v>
      </c>
      <c r="P231" s="13">
        <v>171</v>
      </c>
      <c r="Q231" s="17">
        <v>169.74852200000001</v>
      </c>
      <c r="AA231" s="13">
        <f t="shared" si="13"/>
        <v>-0.73185847953215477</v>
      </c>
      <c r="AC231" s="23"/>
      <c r="AD231" s="23"/>
      <c r="AE231" s="23"/>
      <c r="AF231" s="23"/>
      <c r="AG231" s="23"/>
      <c r="AI231" s="13">
        <v>228</v>
      </c>
      <c r="AJ231" s="13">
        <v>171</v>
      </c>
      <c r="AK231" s="17">
        <v>171.20241300000001</v>
      </c>
      <c r="AV231" s="13">
        <f t="shared" si="14"/>
        <v>0.11837017543860906</v>
      </c>
      <c r="BD231" s="13">
        <v>228</v>
      </c>
      <c r="BE231" s="13">
        <v>171</v>
      </c>
      <c r="BF231" s="17">
        <v>171.12057200000001</v>
      </c>
      <c r="BQ231" s="13">
        <f t="shared" si="15"/>
        <v>7.0509941520469077E-2</v>
      </c>
    </row>
    <row r="232" spans="1:69">
      <c r="A232" s="13">
        <v>229</v>
      </c>
      <c r="B232" s="13">
        <v>23</v>
      </c>
      <c r="C232" s="17">
        <v>28.989094336753102</v>
      </c>
      <c r="M232" s="13">
        <f t="shared" si="16"/>
        <v>26.039540594578693</v>
      </c>
      <c r="O232" s="13">
        <v>229</v>
      </c>
      <c r="P232" s="13">
        <v>23</v>
      </c>
      <c r="Q232" s="17">
        <v>13.570794377591801</v>
      </c>
      <c r="AA232" s="13">
        <f t="shared" si="13"/>
        <v>-40.996546184383476</v>
      </c>
      <c r="AC232" s="23"/>
      <c r="AD232" s="23"/>
      <c r="AE232" s="23"/>
      <c r="AF232" s="23"/>
      <c r="AG232" s="23"/>
      <c r="AI232" s="13">
        <v>229</v>
      </c>
      <c r="AJ232" s="13">
        <v>23</v>
      </c>
      <c r="AK232" s="17">
        <v>28.3735899558528</v>
      </c>
      <c r="AV232" s="13">
        <f t="shared" si="14"/>
        <v>23.363434590664344</v>
      </c>
      <c r="BD232" s="13">
        <v>229</v>
      </c>
      <c r="BE232" s="13">
        <v>23</v>
      </c>
      <c r="BF232" s="17">
        <v>25.411393725633499</v>
      </c>
      <c r="BQ232" s="13">
        <f t="shared" si="15"/>
        <v>10.484320546232606</v>
      </c>
    </row>
    <row r="233" spans="1:69">
      <c r="A233" s="13">
        <v>230</v>
      </c>
      <c r="B233" s="13">
        <v>58</v>
      </c>
      <c r="C233" s="17">
        <v>43.276480175601499</v>
      </c>
      <c r="M233" s="13">
        <f t="shared" si="16"/>
        <v>-25.385379007583619</v>
      </c>
      <c r="O233" s="13">
        <v>230</v>
      </c>
      <c r="P233" s="13">
        <v>58</v>
      </c>
      <c r="Q233" s="17">
        <v>78.666437492966594</v>
      </c>
      <c r="AA233" s="13">
        <f t="shared" si="13"/>
        <v>35.631788780976883</v>
      </c>
      <c r="AC233" s="23"/>
      <c r="AD233" s="23"/>
      <c r="AE233" s="23"/>
      <c r="AF233" s="23"/>
      <c r="AG233" s="23"/>
      <c r="AI233" s="13">
        <v>230</v>
      </c>
      <c r="AJ233" s="13">
        <v>58</v>
      </c>
      <c r="AK233" s="17">
        <v>52.266776909999997</v>
      </c>
      <c r="AV233" s="13">
        <f t="shared" si="14"/>
        <v>-9.8848673965517335</v>
      </c>
      <c r="BD233" s="13">
        <v>230</v>
      </c>
      <c r="BE233" s="13">
        <v>58</v>
      </c>
      <c r="BF233" s="17">
        <v>45.397112450000002</v>
      </c>
      <c r="BQ233" s="13">
        <f t="shared" si="15"/>
        <v>-21.72911646551724</v>
      </c>
    </row>
    <row r="234" spans="1:69">
      <c r="A234" s="13">
        <v>231</v>
      </c>
      <c r="B234" s="13">
        <v>216</v>
      </c>
      <c r="C234" s="17">
        <v>212.928392</v>
      </c>
      <c r="M234" s="13">
        <f t="shared" si="16"/>
        <v>-1.4220407407407376</v>
      </c>
      <c r="O234" s="13">
        <v>231</v>
      </c>
      <c r="P234" s="13">
        <v>216</v>
      </c>
      <c r="Q234" s="17">
        <v>206.48438189999999</v>
      </c>
      <c r="AA234" s="13">
        <f t="shared" si="13"/>
        <v>-4.4053787500000112</v>
      </c>
      <c r="AC234" s="23"/>
      <c r="AD234" s="23"/>
      <c r="AE234" s="23"/>
      <c r="AF234" s="23"/>
      <c r="AG234" s="23"/>
      <c r="AI234" s="13">
        <v>231</v>
      </c>
      <c r="AJ234" s="13">
        <v>216</v>
      </c>
      <c r="AK234" s="17">
        <v>215.34767840000001</v>
      </c>
      <c r="AV234" s="13">
        <f t="shared" si="14"/>
        <v>-0.30200074074073768</v>
      </c>
      <c r="BD234" s="13">
        <v>231</v>
      </c>
      <c r="BE234" s="13">
        <v>216</v>
      </c>
      <c r="BF234" s="17">
        <v>214.76057829999999</v>
      </c>
      <c r="BQ234" s="13">
        <f t="shared" si="15"/>
        <v>-0.57380634259259766</v>
      </c>
    </row>
    <row r="235" spans="1:69">
      <c r="A235" s="13">
        <v>232</v>
      </c>
      <c r="B235" s="13">
        <v>247</v>
      </c>
      <c r="C235" s="17">
        <v>215.44613949999999</v>
      </c>
      <c r="M235" s="13">
        <f t="shared" si="16"/>
        <v>-12.774842307692314</v>
      </c>
      <c r="O235" s="13">
        <v>232</v>
      </c>
      <c r="P235" s="13">
        <v>247</v>
      </c>
      <c r="Q235" s="17">
        <v>204.97824199999999</v>
      </c>
      <c r="AA235" s="13">
        <f t="shared" si="13"/>
        <v>-17.012857489878542</v>
      </c>
      <c r="AC235" s="23"/>
      <c r="AD235" s="23"/>
      <c r="AE235" s="23"/>
      <c r="AF235" s="23"/>
      <c r="AG235" s="23"/>
      <c r="AI235" s="13">
        <v>232</v>
      </c>
      <c r="AJ235" s="13">
        <v>247</v>
      </c>
      <c r="AK235" s="17">
        <v>240.60322790000001</v>
      </c>
      <c r="AV235" s="13">
        <f t="shared" si="14"/>
        <v>-2.5897862753036405</v>
      </c>
      <c r="BD235" s="13">
        <v>232</v>
      </c>
      <c r="BE235" s="13">
        <v>247</v>
      </c>
      <c r="BF235" s="17">
        <v>233.29858229999999</v>
      </c>
      <c r="BQ235" s="13">
        <f t="shared" si="15"/>
        <v>-5.5471326720647802</v>
      </c>
    </row>
    <row r="236" spans="1:69">
      <c r="A236" s="13">
        <v>233</v>
      </c>
      <c r="B236" s="13">
        <v>33</v>
      </c>
      <c r="C236" s="17">
        <v>44.013456910000002</v>
      </c>
      <c r="M236" s="13">
        <f t="shared" si="16"/>
        <v>33.374111848484844</v>
      </c>
      <c r="O236" s="13">
        <v>233</v>
      </c>
      <c r="P236" s="13">
        <v>33</v>
      </c>
      <c r="Q236" s="17">
        <v>47.563016779999998</v>
      </c>
      <c r="AA236" s="13">
        <f t="shared" si="13"/>
        <v>44.130353878787872</v>
      </c>
      <c r="AC236" s="23"/>
      <c r="AD236" s="23"/>
      <c r="AE236" s="23"/>
      <c r="AF236" s="23"/>
      <c r="AG236" s="23"/>
      <c r="AI236" s="13">
        <v>233</v>
      </c>
      <c r="AJ236" s="13">
        <v>33</v>
      </c>
      <c r="AK236" s="17">
        <v>35.200691380000002</v>
      </c>
      <c r="AV236" s="13">
        <f t="shared" si="14"/>
        <v>6.6687617575757585</v>
      </c>
      <c r="BD236" s="13">
        <v>233</v>
      </c>
      <c r="BE236" s="13">
        <v>33</v>
      </c>
      <c r="BF236" s="17">
        <v>36.544223180000003</v>
      </c>
      <c r="BQ236" s="13">
        <f t="shared" si="15"/>
        <v>10.740070242424249</v>
      </c>
    </row>
    <row r="237" spans="1:69">
      <c r="A237" s="13">
        <v>234</v>
      </c>
      <c r="B237" s="13">
        <v>113</v>
      </c>
      <c r="C237" s="17">
        <v>123.61191479999999</v>
      </c>
      <c r="M237" s="13">
        <f t="shared" si="16"/>
        <v>9.3910750442477884</v>
      </c>
      <c r="O237" s="13">
        <v>234</v>
      </c>
      <c r="P237" s="13">
        <v>113</v>
      </c>
      <c r="Q237" s="17">
        <v>121.91493920000001</v>
      </c>
      <c r="AA237" s="13">
        <f t="shared" si="13"/>
        <v>7.8893267256637145</v>
      </c>
      <c r="AC237" s="23"/>
      <c r="AD237" s="23"/>
      <c r="AE237" s="23"/>
      <c r="AF237" s="23"/>
      <c r="AG237" s="23"/>
      <c r="AI237" s="13">
        <v>234</v>
      </c>
      <c r="AJ237" s="13">
        <v>113</v>
      </c>
      <c r="AK237" s="17">
        <v>114.96638299999999</v>
      </c>
      <c r="AV237" s="13">
        <f t="shared" si="14"/>
        <v>1.7401619469026519</v>
      </c>
      <c r="BD237" s="13">
        <v>234</v>
      </c>
      <c r="BE237" s="13">
        <v>113</v>
      </c>
      <c r="BF237" s="17">
        <v>116.74868619999999</v>
      </c>
      <c r="BQ237" s="13">
        <f t="shared" si="15"/>
        <v>3.3174214159291893</v>
      </c>
    </row>
    <row r="238" spans="1:69">
      <c r="A238" s="13">
        <v>235</v>
      </c>
      <c r="B238" s="13">
        <v>54</v>
      </c>
      <c r="C238" s="17">
        <v>62.942143179285502</v>
      </c>
      <c r="M238" s="13">
        <f t="shared" si="16"/>
        <v>16.559524406084257</v>
      </c>
      <c r="O238" s="13">
        <v>235</v>
      </c>
      <c r="P238" s="13">
        <v>54</v>
      </c>
      <c r="Q238" s="17">
        <v>66.548717255074394</v>
      </c>
      <c r="AA238" s="13">
        <f t="shared" si="13"/>
        <v>23.238365287174801</v>
      </c>
      <c r="AC238" s="23"/>
      <c r="AD238" s="23"/>
      <c r="AE238" s="23"/>
      <c r="AF238" s="23"/>
      <c r="AG238" s="23"/>
      <c r="AI238" s="13">
        <v>235</v>
      </c>
      <c r="AJ238" s="13">
        <v>54</v>
      </c>
      <c r="AK238" s="17">
        <v>47.83789092</v>
      </c>
      <c r="AV238" s="13">
        <f t="shared" si="14"/>
        <v>-11.411313111111109</v>
      </c>
      <c r="BD238" s="13">
        <v>235</v>
      </c>
      <c r="BE238" s="13">
        <v>54</v>
      </c>
      <c r="BF238" s="17">
        <v>41.479047020000003</v>
      </c>
      <c r="BQ238" s="13">
        <f t="shared" si="15"/>
        <v>-23.186949962962956</v>
      </c>
    </row>
    <row r="239" spans="1:69">
      <c r="A239" s="13">
        <v>236</v>
      </c>
      <c r="B239" s="13">
        <v>146</v>
      </c>
      <c r="C239" s="17">
        <v>158.119336</v>
      </c>
      <c r="M239" s="13">
        <f t="shared" si="16"/>
        <v>8.3009150684931541</v>
      </c>
      <c r="O239" s="13">
        <v>236</v>
      </c>
      <c r="P239" s="13">
        <v>146</v>
      </c>
      <c r="Q239" s="17">
        <v>153.64011239999999</v>
      </c>
      <c r="AA239" s="13">
        <f t="shared" si="13"/>
        <v>5.2329536986301273</v>
      </c>
      <c r="AC239" s="23"/>
      <c r="AD239" s="23"/>
      <c r="AE239" s="23"/>
      <c r="AF239" s="23"/>
      <c r="AG239" s="23"/>
      <c r="AI239" s="13">
        <v>236</v>
      </c>
      <c r="AJ239" s="13">
        <v>146</v>
      </c>
      <c r="AK239" s="17">
        <v>148.5278672</v>
      </c>
      <c r="AV239" s="13">
        <f t="shared" si="14"/>
        <v>1.73141589041097</v>
      </c>
      <c r="BD239" s="13">
        <v>236</v>
      </c>
      <c r="BE239" s="13">
        <v>146</v>
      </c>
      <c r="BF239" s="17">
        <v>150.6782144</v>
      </c>
      <c r="BQ239" s="13">
        <f t="shared" si="15"/>
        <v>3.2042564383561567</v>
      </c>
    </row>
    <row r="240" spans="1:69">
      <c r="A240" s="13">
        <v>237</v>
      </c>
      <c r="B240" s="13">
        <v>196</v>
      </c>
      <c r="C240" s="17">
        <v>165.10467360000001</v>
      </c>
      <c r="M240" s="13">
        <f t="shared" si="16"/>
        <v>-15.762921632653059</v>
      </c>
      <c r="O240" s="13">
        <v>237</v>
      </c>
      <c r="P240" s="13">
        <v>196</v>
      </c>
      <c r="Q240" s="17">
        <v>158.2568158</v>
      </c>
      <c r="AA240" s="13">
        <f t="shared" si="13"/>
        <v>-19.256726632653066</v>
      </c>
      <c r="AC240" s="23"/>
      <c r="AD240" s="23"/>
      <c r="AE240" s="23"/>
      <c r="AF240" s="23"/>
      <c r="AG240" s="23"/>
      <c r="AI240" s="13">
        <v>237</v>
      </c>
      <c r="AJ240" s="13">
        <v>196</v>
      </c>
      <c r="AK240" s="17">
        <v>189.6949347</v>
      </c>
      <c r="AV240" s="13">
        <f t="shared" si="14"/>
        <v>-3.216870051020404</v>
      </c>
      <c r="BD240" s="13">
        <v>237</v>
      </c>
      <c r="BE240" s="13">
        <v>196</v>
      </c>
      <c r="BF240" s="17">
        <v>183.53414950000001</v>
      </c>
      <c r="BQ240" s="13">
        <f t="shared" si="15"/>
        <v>-6.3601278061224402</v>
      </c>
    </row>
    <row r="241" spans="1:69">
      <c r="A241" s="13">
        <v>238</v>
      </c>
      <c r="B241" s="13">
        <v>144</v>
      </c>
      <c r="C241" s="17">
        <v>154.1410119</v>
      </c>
      <c r="M241" s="13">
        <f t="shared" si="16"/>
        <v>7.0423693750000016</v>
      </c>
      <c r="O241" s="13">
        <v>238</v>
      </c>
      <c r="P241" s="13">
        <v>144</v>
      </c>
      <c r="Q241" s="17">
        <v>148.30576529999999</v>
      </c>
      <c r="AA241" s="13">
        <f t="shared" si="13"/>
        <v>2.9901147916666648</v>
      </c>
      <c r="AC241" s="23"/>
      <c r="AD241" s="23"/>
      <c r="AE241" s="23"/>
      <c r="AF241" s="23"/>
      <c r="AG241" s="23"/>
      <c r="AI241" s="13">
        <v>238</v>
      </c>
      <c r="AJ241" s="13">
        <v>144</v>
      </c>
      <c r="AK241" s="17">
        <v>145.8082024</v>
      </c>
      <c r="AV241" s="13">
        <f t="shared" si="14"/>
        <v>1.2556961111111153</v>
      </c>
      <c r="BD241" s="13">
        <v>238</v>
      </c>
      <c r="BE241" s="13">
        <v>144</v>
      </c>
      <c r="BF241" s="17">
        <v>147.79098909999999</v>
      </c>
      <c r="BQ241" s="13">
        <f t="shared" si="15"/>
        <v>2.6326313194444451</v>
      </c>
    </row>
    <row r="242" spans="1:69">
      <c r="A242" s="13">
        <v>239</v>
      </c>
      <c r="B242" s="13">
        <v>31</v>
      </c>
      <c r="C242" s="17">
        <v>42.843768679999997</v>
      </c>
      <c r="M242" s="13">
        <f t="shared" si="16"/>
        <v>38.205705419354821</v>
      </c>
      <c r="O242" s="13">
        <v>239</v>
      </c>
      <c r="P242" s="13">
        <v>31</v>
      </c>
      <c r="Q242" s="17">
        <v>41.653167760000002</v>
      </c>
      <c r="AA242" s="13">
        <f t="shared" si="13"/>
        <v>34.365057290322596</v>
      </c>
      <c r="AC242" s="23"/>
      <c r="AD242" s="23"/>
      <c r="AE242" s="23"/>
      <c r="AF242" s="23"/>
      <c r="AG242" s="23"/>
      <c r="AI242" s="13">
        <v>239</v>
      </c>
      <c r="AJ242" s="13">
        <v>31</v>
      </c>
      <c r="AK242" s="17">
        <v>33.468753739999997</v>
      </c>
      <c r="AV242" s="13">
        <f t="shared" si="14"/>
        <v>7.96372174193547</v>
      </c>
      <c r="BD242" s="13">
        <v>239</v>
      </c>
      <c r="BE242" s="13">
        <v>31</v>
      </c>
      <c r="BF242" s="17">
        <v>34.940607280000002</v>
      </c>
      <c r="BQ242" s="13">
        <f t="shared" si="15"/>
        <v>12.711636387096782</v>
      </c>
    </row>
    <row r="243" spans="1:69">
      <c r="A243" s="13">
        <v>240</v>
      </c>
      <c r="B243" s="13">
        <v>204</v>
      </c>
      <c r="C243" s="17">
        <v>212.83897540000001</v>
      </c>
      <c r="M243" s="13">
        <f t="shared" si="16"/>
        <v>4.3328310784313873</v>
      </c>
      <c r="O243" s="13">
        <v>240</v>
      </c>
      <c r="P243" s="13">
        <v>204</v>
      </c>
      <c r="Q243" s="17">
        <v>208.43060299999999</v>
      </c>
      <c r="AA243" s="13">
        <f t="shared" si="13"/>
        <v>2.17186421568627</v>
      </c>
      <c r="AC243" s="23"/>
      <c r="AD243" s="23"/>
      <c r="AE243" s="23"/>
      <c r="AF243" s="23"/>
      <c r="AG243" s="23"/>
      <c r="AI243" s="13">
        <v>240</v>
      </c>
      <c r="AJ243" s="13">
        <v>204</v>
      </c>
      <c r="AK243" s="17">
        <v>205.7497951</v>
      </c>
      <c r="AV243" s="13">
        <f t="shared" si="14"/>
        <v>0.85774269607843401</v>
      </c>
      <c r="BD243" s="13">
        <v>240</v>
      </c>
      <c r="BE243" s="13">
        <v>204</v>
      </c>
      <c r="BF243" s="17">
        <v>207.8938684</v>
      </c>
      <c r="BQ243" s="13">
        <f t="shared" si="15"/>
        <v>1.908759019607853</v>
      </c>
    </row>
    <row r="244" spans="1:69">
      <c r="A244" s="13">
        <v>241</v>
      </c>
      <c r="B244" s="13">
        <v>193</v>
      </c>
      <c r="C244" s="17">
        <v>193.5425913</v>
      </c>
      <c r="M244" s="13">
        <f t="shared" si="16"/>
        <v>0.28113538860103926</v>
      </c>
      <c r="O244" s="13">
        <v>241</v>
      </c>
      <c r="P244" s="13">
        <v>193</v>
      </c>
      <c r="Q244" s="17">
        <v>190.16849010000001</v>
      </c>
      <c r="AA244" s="13">
        <f t="shared" si="13"/>
        <v>-1.4671035751295247</v>
      </c>
      <c r="AC244" s="23"/>
      <c r="AD244" s="23"/>
      <c r="AE244" s="23"/>
      <c r="AF244" s="23"/>
      <c r="AG244" s="23"/>
      <c r="AI244" s="13">
        <v>241</v>
      </c>
      <c r="AJ244" s="13">
        <v>193</v>
      </c>
      <c r="AK244" s="17">
        <v>193.30451830000001</v>
      </c>
      <c r="AV244" s="13">
        <f t="shared" si="14"/>
        <v>0.15778150259067036</v>
      </c>
      <c r="BD244" s="13">
        <v>241</v>
      </c>
      <c r="BE244" s="13">
        <v>193</v>
      </c>
      <c r="BF244" s="17">
        <v>193.06346740000001</v>
      </c>
      <c r="BQ244" s="13">
        <f t="shared" si="15"/>
        <v>3.2884663212429111E-2</v>
      </c>
    </row>
    <row r="245" spans="1:69">
      <c r="A245" s="13">
        <v>242</v>
      </c>
      <c r="B245" s="13">
        <v>144</v>
      </c>
      <c r="C245" s="17">
        <v>114.40263299999999</v>
      </c>
      <c r="M245" s="13">
        <f t="shared" si="16"/>
        <v>-20.553727083333339</v>
      </c>
      <c r="O245" s="13">
        <v>242</v>
      </c>
      <c r="P245" s="13">
        <v>144</v>
      </c>
      <c r="Q245" s="17">
        <v>117.9362454</v>
      </c>
      <c r="AA245" s="13">
        <f t="shared" si="13"/>
        <v>-18.099829583333328</v>
      </c>
      <c r="AC245" s="23"/>
      <c r="AD245" s="23"/>
      <c r="AE245" s="23"/>
      <c r="AF245" s="23"/>
      <c r="AG245" s="23"/>
      <c r="AI245" s="13">
        <v>242</v>
      </c>
      <c r="AJ245" s="13">
        <v>144</v>
      </c>
      <c r="AK245" s="17">
        <v>137.9045266</v>
      </c>
      <c r="AV245" s="13">
        <f t="shared" si="14"/>
        <v>-4.2329676388888959</v>
      </c>
      <c r="BD245" s="13">
        <v>242</v>
      </c>
      <c r="BE245" s="13">
        <v>144</v>
      </c>
      <c r="BF245" s="17">
        <v>131.3068711</v>
      </c>
      <c r="BQ245" s="13">
        <f t="shared" si="15"/>
        <v>-8.8146728472222264</v>
      </c>
    </row>
    <row r="246" spans="1:69">
      <c r="A246" s="13">
        <v>243</v>
      </c>
      <c r="B246" s="13">
        <v>166</v>
      </c>
      <c r="C246" s="17">
        <v>175.04475590000001</v>
      </c>
      <c r="M246" s="13">
        <f t="shared" si="16"/>
        <v>5.4486481325301206</v>
      </c>
      <c r="O246" s="13">
        <v>243</v>
      </c>
      <c r="P246" s="13">
        <v>166</v>
      </c>
      <c r="Q246" s="17">
        <v>172.20661369999999</v>
      </c>
      <c r="AA246" s="13">
        <f t="shared" si="13"/>
        <v>3.7389239156626397</v>
      </c>
      <c r="AC246" s="23"/>
      <c r="AD246" s="23"/>
      <c r="AE246" s="23"/>
      <c r="AF246" s="23"/>
      <c r="AG246" s="23"/>
      <c r="AI246" s="13">
        <v>243</v>
      </c>
      <c r="AJ246" s="13">
        <v>166</v>
      </c>
      <c r="AK246" s="17">
        <v>167.5949512</v>
      </c>
      <c r="AV246" s="13">
        <f t="shared" si="14"/>
        <v>0.96081397590361828</v>
      </c>
      <c r="BD246" s="13">
        <v>243</v>
      </c>
      <c r="BE246" s="13">
        <v>166</v>
      </c>
      <c r="BF246" s="17">
        <v>170.0122988</v>
      </c>
      <c r="BQ246" s="13">
        <f t="shared" si="15"/>
        <v>2.4170474698795186</v>
      </c>
    </row>
    <row r="247" spans="1:69">
      <c r="A247" s="13">
        <v>244</v>
      </c>
      <c r="B247" s="13">
        <v>169</v>
      </c>
      <c r="C247" s="17">
        <v>167.4744196</v>
      </c>
      <c r="M247" s="13">
        <f t="shared" si="16"/>
        <v>-0.90271029585798912</v>
      </c>
      <c r="O247" s="13">
        <v>244</v>
      </c>
      <c r="P247" s="13">
        <v>169</v>
      </c>
      <c r="Q247" s="17">
        <v>163.11002400000001</v>
      </c>
      <c r="AA247" s="13">
        <f t="shared" si="13"/>
        <v>-3.4851928994082737</v>
      </c>
      <c r="AC247" s="23"/>
      <c r="AD247" s="23"/>
      <c r="AE247" s="23"/>
      <c r="AF247" s="23"/>
      <c r="AG247" s="23"/>
      <c r="AI247" s="13">
        <v>244</v>
      </c>
      <c r="AJ247" s="13">
        <v>169</v>
      </c>
      <c r="AK247" s="17">
        <v>168.6048839</v>
      </c>
      <c r="AV247" s="13">
        <f t="shared" si="14"/>
        <v>-0.23379650887573877</v>
      </c>
      <c r="BD247" s="13">
        <v>244</v>
      </c>
      <c r="BE247" s="13">
        <v>169</v>
      </c>
      <c r="BF247" s="17">
        <v>167.95617129999999</v>
      </c>
      <c r="BQ247" s="13">
        <f t="shared" si="15"/>
        <v>-0.61765011834319372</v>
      </c>
    </row>
    <row r="248" spans="1:69">
      <c r="A248" s="13">
        <v>245</v>
      </c>
      <c r="B248" s="13">
        <v>65</v>
      </c>
      <c r="C248" s="17">
        <v>75.436271649999995</v>
      </c>
      <c r="M248" s="13">
        <f t="shared" si="16"/>
        <v>16.055802538461528</v>
      </c>
      <c r="O248" s="13">
        <v>245</v>
      </c>
      <c r="P248" s="13">
        <v>65</v>
      </c>
      <c r="Q248" s="17">
        <v>74.442087889999996</v>
      </c>
      <c r="AA248" s="13">
        <f t="shared" si="13"/>
        <v>14.526289061538456</v>
      </c>
      <c r="AC248" s="23"/>
      <c r="AD248" s="23"/>
      <c r="AE248" s="23"/>
      <c r="AF248" s="23"/>
      <c r="AG248" s="23"/>
      <c r="AI248" s="13">
        <v>245</v>
      </c>
      <c r="AJ248" s="13">
        <v>65</v>
      </c>
      <c r="AK248" s="17">
        <v>67.227254329999994</v>
      </c>
      <c r="AV248" s="13">
        <f t="shared" si="14"/>
        <v>3.4265451230769184</v>
      </c>
      <c r="BD248" s="13">
        <v>245</v>
      </c>
      <c r="BE248" s="13">
        <v>65</v>
      </c>
      <c r="BF248" s="17">
        <v>68.928122149999993</v>
      </c>
      <c r="BQ248" s="13">
        <f t="shared" si="15"/>
        <v>6.0432648461538285</v>
      </c>
    </row>
    <row r="249" spans="1:69">
      <c r="A249" s="13">
        <v>246</v>
      </c>
      <c r="B249" s="13">
        <v>200</v>
      </c>
      <c r="C249" s="17">
        <v>209.08539730000001</v>
      </c>
      <c r="M249" s="13">
        <f t="shared" si="16"/>
        <v>4.5426986500000099</v>
      </c>
      <c r="O249" s="13">
        <v>246</v>
      </c>
      <c r="P249" s="13">
        <v>200</v>
      </c>
      <c r="Q249" s="17">
        <v>209.06359449999999</v>
      </c>
      <c r="AA249" s="13">
        <f t="shared" si="13"/>
        <v>4.5317972499999915</v>
      </c>
      <c r="AC249" s="23"/>
      <c r="AD249" s="23"/>
      <c r="AE249" s="23"/>
      <c r="AF249" s="23"/>
      <c r="AG249" s="23"/>
      <c r="AI249" s="13">
        <v>246</v>
      </c>
      <c r="AJ249" s="13">
        <v>200</v>
      </c>
      <c r="AK249" s="17">
        <v>202.15107950000001</v>
      </c>
      <c r="AV249" s="13">
        <f t="shared" si="14"/>
        <v>1.0755397500000097</v>
      </c>
      <c r="BD249" s="13">
        <v>246</v>
      </c>
      <c r="BE249" s="13">
        <v>200</v>
      </c>
      <c r="BF249" s="17">
        <v>203.99872959999999</v>
      </c>
      <c r="BQ249" s="13">
        <f t="shared" si="15"/>
        <v>1.9993648000000031</v>
      </c>
    </row>
    <row r="250" spans="1:69">
      <c r="A250" s="13">
        <v>247</v>
      </c>
      <c r="B250" s="13">
        <v>182</v>
      </c>
      <c r="C250" s="17">
        <v>181.53985209999999</v>
      </c>
      <c r="M250" s="13">
        <f t="shared" si="16"/>
        <v>-0.25282851648351645</v>
      </c>
      <c r="O250" s="13">
        <v>247</v>
      </c>
      <c r="P250" s="13">
        <v>182</v>
      </c>
      <c r="Q250" s="17">
        <v>177.1609813</v>
      </c>
      <c r="AA250" s="13">
        <f t="shared" si="13"/>
        <v>-2.6588014835164819</v>
      </c>
      <c r="AC250" s="23"/>
      <c r="AD250" s="23"/>
      <c r="AE250" s="23"/>
      <c r="AF250" s="23"/>
      <c r="AG250" s="23"/>
      <c r="AI250" s="13">
        <v>247</v>
      </c>
      <c r="AJ250" s="13">
        <v>182</v>
      </c>
      <c r="AK250" s="17">
        <v>181.77197039999999</v>
      </c>
      <c r="AV250" s="13">
        <f t="shared" si="14"/>
        <v>-0.12529098901099545</v>
      </c>
      <c r="BD250" s="13">
        <v>247</v>
      </c>
      <c r="BE250" s="13">
        <v>182</v>
      </c>
      <c r="BF250" s="17">
        <v>181.593019</v>
      </c>
      <c r="BQ250" s="13">
        <f t="shared" si="15"/>
        <v>-0.22361593406593494</v>
      </c>
    </row>
    <row r="251" spans="1:69">
      <c r="A251" s="13">
        <v>248</v>
      </c>
      <c r="B251" s="13">
        <v>62</v>
      </c>
      <c r="C251" s="17">
        <v>62.16178627</v>
      </c>
      <c r="M251" s="13">
        <f t="shared" si="16"/>
        <v>0.26094559677418694</v>
      </c>
      <c r="O251" s="13">
        <v>248</v>
      </c>
      <c r="P251" s="13">
        <v>62</v>
      </c>
      <c r="Q251" s="17">
        <v>62.227409770000001</v>
      </c>
      <c r="AA251" s="13">
        <f t="shared" si="13"/>
        <v>0.36678995161290029</v>
      </c>
      <c r="AC251" s="23"/>
      <c r="AD251" s="23"/>
      <c r="AE251" s="23"/>
      <c r="AF251" s="23"/>
      <c r="AG251" s="23"/>
      <c r="AI251" s="13">
        <v>248</v>
      </c>
      <c r="AJ251" s="13">
        <v>62</v>
      </c>
      <c r="AK251" s="17">
        <v>62.088357250000001</v>
      </c>
      <c r="AV251" s="13">
        <f t="shared" si="14"/>
        <v>0.14251169354839721</v>
      </c>
      <c r="BD251" s="13">
        <v>248</v>
      </c>
      <c r="BE251" s="13">
        <v>62</v>
      </c>
      <c r="BF251" s="17">
        <v>61.797822369999999</v>
      </c>
      <c r="BQ251" s="13">
        <f t="shared" si="15"/>
        <v>-0.32609295161291074</v>
      </c>
    </row>
    <row r="252" spans="1:69">
      <c r="A252" s="13">
        <v>249</v>
      </c>
      <c r="B252" s="13">
        <v>192</v>
      </c>
      <c r="C252" s="17">
        <v>201.2474101</v>
      </c>
      <c r="M252" s="13">
        <f t="shared" si="16"/>
        <v>4.8163594270833388</v>
      </c>
      <c r="O252" s="13">
        <v>249</v>
      </c>
      <c r="P252" s="13">
        <v>192</v>
      </c>
      <c r="Q252" s="17">
        <v>194.101834</v>
      </c>
      <c r="AA252" s="13">
        <f t="shared" si="13"/>
        <v>1.0947052083333242</v>
      </c>
      <c r="AC252" s="23"/>
      <c r="AD252" s="23"/>
      <c r="AE252" s="23"/>
      <c r="AF252" s="23"/>
      <c r="AG252" s="23"/>
      <c r="AI252" s="13">
        <v>249</v>
      </c>
      <c r="AJ252" s="13">
        <v>192</v>
      </c>
      <c r="AK252" s="17">
        <v>193.589482</v>
      </c>
      <c r="AV252" s="13">
        <f t="shared" si="14"/>
        <v>0.82785520833332793</v>
      </c>
      <c r="BD252" s="13">
        <v>249</v>
      </c>
      <c r="BE252" s="13">
        <v>192</v>
      </c>
      <c r="BF252" s="17">
        <v>195.46558239999999</v>
      </c>
      <c r="BQ252" s="13">
        <f t="shared" si="15"/>
        <v>1.8049908333333198</v>
      </c>
    </row>
    <row r="253" spans="1:69">
      <c r="A253" s="13">
        <v>250</v>
      </c>
      <c r="B253" s="13">
        <v>28</v>
      </c>
      <c r="C253" s="17">
        <v>42.8115287326412</v>
      </c>
      <c r="M253" s="13">
        <f t="shared" si="16"/>
        <v>52.898316902290013</v>
      </c>
      <c r="O253" s="13">
        <v>250</v>
      </c>
      <c r="P253" s="13">
        <v>28</v>
      </c>
      <c r="Q253" s="17">
        <v>30.1297116062476</v>
      </c>
      <c r="AA253" s="13">
        <f t="shared" si="13"/>
        <v>7.6061128794557176</v>
      </c>
      <c r="AC253" s="23"/>
      <c r="AD253" s="23"/>
      <c r="AE253" s="23"/>
      <c r="AF253" s="23"/>
      <c r="AG253" s="23"/>
      <c r="AI253" s="13">
        <v>250</v>
      </c>
      <c r="AJ253" s="13">
        <v>28</v>
      </c>
      <c r="AK253" s="17">
        <v>22.570936570000001</v>
      </c>
      <c r="AV253" s="13">
        <f t="shared" si="14"/>
        <v>-19.389512249999996</v>
      </c>
      <c r="BD253" s="13">
        <v>250</v>
      </c>
      <c r="BE253" s="13">
        <v>28</v>
      </c>
      <c r="BF253" s="17">
        <v>30.2285097682207</v>
      </c>
      <c r="BQ253" s="13">
        <f t="shared" si="15"/>
        <v>7.9589634579310786</v>
      </c>
    </row>
    <row r="254" spans="1:69">
      <c r="A254" s="13">
        <v>251</v>
      </c>
      <c r="B254" s="13">
        <v>55</v>
      </c>
      <c r="C254" s="17">
        <v>67.006318039999996</v>
      </c>
      <c r="M254" s="13">
        <f t="shared" si="16"/>
        <v>21.829669163636357</v>
      </c>
      <c r="O254" s="13">
        <v>251</v>
      </c>
      <c r="P254" s="13">
        <v>55</v>
      </c>
      <c r="Q254" s="17">
        <v>68.307140469999993</v>
      </c>
      <c r="AA254" s="13">
        <f t="shared" si="13"/>
        <v>24.194800854545441</v>
      </c>
      <c r="AC254" s="23"/>
      <c r="AD254" s="23"/>
      <c r="AE254" s="23"/>
      <c r="AF254" s="23"/>
      <c r="AG254" s="23"/>
      <c r="AI254" s="13">
        <v>251</v>
      </c>
      <c r="AJ254" s="13">
        <v>55</v>
      </c>
      <c r="AK254" s="17">
        <v>57.597263609999999</v>
      </c>
      <c r="AV254" s="13">
        <f t="shared" si="14"/>
        <v>4.7222974727272771</v>
      </c>
      <c r="BD254" s="13">
        <v>251</v>
      </c>
      <c r="BE254" s="13">
        <v>55</v>
      </c>
      <c r="BF254" s="17">
        <v>58.943725319999999</v>
      </c>
      <c r="BQ254" s="13">
        <f t="shared" si="15"/>
        <v>7.1704096727272626</v>
      </c>
    </row>
    <row r="255" spans="1:69">
      <c r="A255" s="13">
        <v>252</v>
      </c>
      <c r="B255" s="13">
        <v>59</v>
      </c>
      <c r="C255" s="17">
        <v>70.369845440000006</v>
      </c>
      <c r="M255" s="13">
        <f t="shared" si="16"/>
        <v>19.27092447457628</v>
      </c>
      <c r="O255" s="13">
        <v>252</v>
      </c>
      <c r="P255" s="13">
        <v>59</v>
      </c>
      <c r="Q255" s="17">
        <v>72.282276530000004</v>
      </c>
      <c r="AA255" s="13">
        <f t="shared" si="13"/>
        <v>22.512333101694914</v>
      </c>
      <c r="AC255" s="23"/>
      <c r="AD255" s="23"/>
      <c r="AE255" s="23"/>
      <c r="AF255" s="23"/>
      <c r="AG255" s="23"/>
      <c r="AI255" s="13">
        <v>252</v>
      </c>
      <c r="AJ255" s="13">
        <v>59</v>
      </c>
      <c r="AK255" s="17">
        <v>61.36596909</v>
      </c>
      <c r="AV255" s="13">
        <f t="shared" si="14"/>
        <v>4.0101171016949211</v>
      </c>
      <c r="BD255" s="13">
        <v>252</v>
      </c>
      <c r="BE255" s="13">
        <v>59</v>
      </c>
      <c r="BF255" s="17">
        <v>62.517159319999998</v>
      </c>
      <c r="BQ255" s="13">
        <f t="shared" si="15"/>
        <v>5.9612869830508508</v>
      </c>
    </row>
    <row r="256" spans="1:69">
      <c r="A256" s="13">
        <v>253</v>
      </c>
      <c r="B256" s="13">
        <v>44</v>
      </c>
      <c r="C256" s="17">
        <v>46.367223439999997</v>
      </c>
      <c r="M256" s="13">
        <f t="shared" si="16"/>
        <v>5.3800532727272588</v>
      </c>
      <c r="O256" s="13">
        <v>253</v>
      </c>
      <c r="P256" s="13">
        <v>44</v>
      </c>
      <c r="Q256" s="17">
        <v>50.627452570000003</v>
      </c>
      <c r="AA256" s="13">
        <f t="shared" si="13"/>
        <v>15.062392204545461</v>
      </c>
      <c r="AC256" s="23"/>
      <c r="AD256" s="23"/>
      <c r="AE256" s="23"/>
      <c r="AF256" s="23"/>
      <c r="AG256" s="23"/>
      <c r="AI256" s="13">
        <v>253</v>
      </c>
      <c r="AJ256" s="13">
        <v>44</v>
      </c>
      <c r="AK256" s="17">
        <v>44.621444689999997</v>
      </c>
      <c r="AV256" s="13">
        <f t="shared" si="14"/>
        <v>1.4123742954545326</v>
      </c>
      <c r="BD256" s="13">
        <v>253</v>
      </c>
      <c r="BE256" s="13">
        <v>44</v>
      </c>
      <c r="BF256" s="17">
        <v>44.085527810000002</v>
      </c>
      <c r="BQ256" s="13">
        <f t="shared" si="15"/>
        <v>0.19438138636365121</v>
      </c>
    </row>
    <row r="257" spans="1:69">
      <c r="A257" s="13">
        <v>254</v>
      </c>
      <c r="B257" s="13">
        <v>105</v>
      </c>
      <c r="C257" s="17">
        <v>74.918492490000006</v>
      </c>
      <c r="M257" s="13">
        <f t="shared" si="16"/>
        <v>-28.64905477142856</v>
      </c>
      <c r="O257" s="13">
        <v>254</v>
      </c>
      <c r="P257" s="13">
        <v>105</v>
      </c>
      <c r="Q257" s="17">
        <v>76.59859591</v>
      </c>
      <c r="AA257" s="13">
        <f t="shared" si="13"/>
        <v>-27.048956276190474</v>
      </c>
      <c r="AC257" s="23"/>
      <c r="AD257" s="23"/>
      <c r="AE257" s="23"/>
      <c r="AF257" s="23"/>
      <c r="AG257" s="23"/>
      <c r="AI257" s="13">
        <v>254</v>
      </c>
      <c r="AJ257" s="13">
        <v>105</v>
      </c>
      <c r="AK257" s="17">
        <v>99.303698499999996</v>
      </c>
      <c r="AV257" s="13">
        <f t="shared" si="14"/>
        <v>-5.425049047619046</v>
      </c>
      <c r="BD257" s="13">
        <v>254</v>
      </c>
      <c r="BE257" s="13">
        <v>105</v>
      </c>
      <c r="BF257" s="17">
        <v>92.117387600000001</v>
      </c>
      <c r="BQ257" s="13">
        <f t="shared" si="15"/>
        <v>-12.269154666666671</v>
      </c>
    </row>
    <row r="258" spans="1:69">
      <c r="A258" s="13">
        <v>255</v>
      </c>
      <c r="B258" s="13">
        <v>111</v>
      </c>
      <c r="C258" s="17">
        <v>80.831095809999994</v>
      </c>
      <c r="M258" s="13">
        <f t="shared" si="16"/>
        <v>-27.17919296396397</v>
      </c>
      <c r="O258" s="13">
        <v>255</v>
      </c>
      <c r="P258" s="13">
        <v>111</v>
      </c>
      <c r="Q258" s="17">
        <v>80.447658799999999</v>
      </c>
      <c r="AA258" s="13">
        <f t="shared" si="13"/>
        <v>-27.524631711711713</v>
      </c>
      <c r="AC258" s="23"/>
      <c r="AD258" s="23"/>
      <c r="AE258" s="23"/>
      <c r="AF258" s="23"/>
      <c r="AG258" s="23"/>
      <c r="AI258" s="13">
        <v>255</v>
      </c>
      <c r="AJ258" s="13">
        <v>111</v>
      </c>
      <c r="AK258" s="17">
        <v>105.2562192</v>
      </c>
      <c r="AV258" s="13">
        <f t="shared" si="14"/>
        <v>-5.1745772972972892</v>
      </c>
      <c r="BD258" s="13">
        <v>255</v>
      </c>
      <c r="BE258" s="13">
        <v>111</v>
      </c>
      <c r="BF258" s="17">
        <v>98.451209939999998</v>
      </c>
      <c r="BQ258" s="13">
        <f t="shared" si="15"/>
        <v>-11.305216270270268</v>
      </c>
    </row>
    <row r="259" spans="1:69">
      <c r="A259" s="13">
        <v>256</v>
      </c>
      <c r="B259" s="13">
        <v>25</v>
      </c>
      <c r="C259" s="17">
        <v>26.73536202</v>
      </c>
      <c r="M259" s="13">
        <f t="shared" si="16"/>
        <v>6.94144807999999</v>
      </c>
      <c r="O259" s="13">
        <v>256</v>
      </c>
      <c r="P259" s="13">
        <v>25</v>
      </c>
      <c r="Q259" s="17">
        <v>25.476590139999999</v>
      </c>
      <c r="AA259" s="13">
        <f t="shared" ref="AA259:AA322" si="17">((Q259/P259)-1)*100</f>
        <v>1.9063605599999978</v>
      </c>
      <c r="AC259" s="23"/>
      <c r="AD259" s="23"/>
      <c r="AE259" s="23"/>
      <c r="AF259" s="23"/>
      <c r="AG259" s="23"/>
      <c r="AI259" s="13">
        <v>256</v>
      </c>
      <c r="AJ259" s="13">
        <v>25</v>
      </c>
      <c r="AK259" s="17">
        <v>25.3463724</v>
      </c>
      <c r="AV259" s="13">
        <f t="shared" ref="AV259:AV322" si="18">((AK259/AJ259)-1)*100</f>
        <v>1.3854896000000005</v>
      </c>
      <c r="BD259" s="13">
        <v>256</v>
      </c>
      <c r="BE259" s="13">
        <v>25</v>
      </c>
      <c r="BF259" s="17">
        <v>25.229515620000001</v>
      </c>
      <c r="BQ259" s="13">
        <f t="shared" si="15"/>
        <v>0.91806247999999258</v>
      </c>
    </row>
    <row r="260" spans="1:69">
      <c r="A260" s="13">
        <v>257</v>
      </c>
      <c r="B260" s="13">
        <v>103</v>
      </c>
      <c r="C260" s="17">
        <v>74.208934900000003</v>
      </c>
      <c r="M260" s="13">
        <f t="shared" si="16"/>
        <v>-27.952490388349517</v>
      </c>
      <c r="O260" s="13">
        <v>257</v>
      </c>
      <c r="P260" s="13">
        <v>103</v>
      </c>
      <c r="Q260" s="17">
        <v>74.097450589999994</v>
      </c>
      <c r="AA260" s="13">
        <f t="shared" si="17"/>
        <v>-28.060727582524279</v>
      </c>
      <c r="AC260" s="23"/>
      <c r="AD260" s="23"/>
      <c r="AE260" s="23"/>
      <c r="AF260" s="23"/>
      <c r="AG260" s="23"/>
      <c r="AI260" s="13">
        <v>257</v>
      </c>
      <c r="AJ260" s="13">
        <v>103</v>
      </c>
      <c r="AK260" s="17">
        <v>97.179786980000003</v>
      </c>
      <c r="AV260" s="13">
        <f t="shared" si="18"/>
        <v>-5.6506922524271808</v>
      </c>
      <c r="BD260" s="13">
        <v>257</v>
      </c>
      <c r="BE260" s="13">
        <v>103</v>
      </c>
      <c r="BF260" s="17">
        <v>90.718307229999994</v>
      </c>
      <c r="BQ260" s="13">
        <f t="shared" ref="BQ260:BQ323" si="19">((BF260/BE260)-1)*100</f>
        <v>-11.923973563106804</v>
      </c>
    </row>
    <row r="261" spans="1:69">
      <c r="A261" s="13">
        <v>258</v>
      </c>
      <c r="B261" s="13">
        <v>95</v>
      </c>
      <c r="C261" s="17">
        <v>66.482794620000007</v>
      </c>
      <c r="M261" s="13">
        <f t="shared" si="16"/>
        <v>-30.018110926315778</v>
      </c>
      <c r="O261" s="13">
        <v>258</v>
      </c>
      <c r="P261" s="13">
        <v>95</v>
      </c>
      <c r="Q261" s="17">
        <v>67.568607990000004</v>
      </c>
      <c r="AA261" s="13">
        <f t="shared" si="17"/>
        <v>-28.875149484210528</v>
      </c>
      <c r="AC261" s="23"/>
      <c r="AD261" s="23"/>
      <c r="AE261" s="23"/>
      <c r="AF261" s="23"/>
      <c r="AG261" s="23"/>
      <c r="AI261" s="13">
        <v>258</v>
      </c>
      <c r="AJ261" s="13">
        <v>95</v>
      </c>
      <c r="AK261" s="17">
        <v>89.272558919999994</v>
      </c>
      <c r="AV261" s="13">
        <f t="shared" si="18"/>
        <v>-6.028885347368429</v>
      </c>
      <c r="BD261" s="13">
        <v>258</v>
      </c>
      <c r="BE261" s="13">
        <v>95</v>
      </c>
      <c r="BF261" s="17">
        <v>82.918584890000005</v>
      </c>
      <c r="BQ261" s="13">
        <f t="shared" si="19"/>
        <v>-12.717279063157893</v>
      </c>
    </row>
    <row r="262" spans="1:69">
      <c r="A262" s="13">
        <v>259</v>
      </c>
      <c r="B262" s="13">
        <v>20</v>
      </c>
      <c r="C262" s="17">
        <v>30.738286299999999</v>
      </c>
      <c r="M262" s="13">
        <f t="shared" si="16"/>
        <v>53.6914315</v>
      </c>
      <c r="O262" s="13">
        <v>259</v>
      </c>
      <c r="P262" s="13">
        <v>20</v>
      </c>
      <c r="Q262" s="17">
        <v>32.314559199999998</v>
      </c>
      <c r="AA262" s="13">
        <f t="shared" si="17"/>
        <v>61.572795999999983</v>
      </c>
      <c r="AC262" s="23"/>
      <c r="AD262" s="23"/>
      <c r="AE262" s="23"/>
      <c r="AF262" s="23"/>
      <c r="AG262" s="23"/>
      <c r="AI262" s="13">
        <v>259</v>
      </c>
      <c r="AJ262" s="13">
        <v>20</v>
      </c>
      <c r="AK262" s="17">
        <v>22.145597259999999</v>
      </c>
      <c r="AV262" s="13">
        <f t="shared" si="18"/>
        <v>10.727986300000003</v>
      </c>
      <c r="BD262" s="13">
        <v>259</v>
      </c>
      <c r="BE262" s="13">
        <v>20</v>
      </c>
      <c r="BF262" s="17">
        <v>23.6448638</v>
      </c>
      <c r="BQ262" s="13">
        <f t="shared" si="19"/>
        <v>18.224318999999987</v>
      </c>
    </row>
    <row r="263" spans="1:69">
      <c r="A263" s="13">
        <v>260</v>
      </c>
      <c r="B263" s="13">
        <v>248</v>
      </c>
      <c r="C263" s="17">
        <v>216.77453460000001</v>
      </c>
      <c r="M263" s="13">
        <f t="shared" si="16"/>
        <v>-12.590913467741927</v>
      </c>
      <c r="O263" s="13">
        <v>260</v>
      </c>
      <c r="P263" s="13">
        <v>248</v>
      </c>
      <c r="Q263" s="17">
        <v>216.7078108</v>
      </c>
      <c r="AA263" s="13">
        <f t="shared" si="17"/>
        <v>-12.617818225806454</v>
      </c>
      <c r="AC263" s="23"/>
      <c r="AD263" s="23"/>
      <c r="AE263" s="23"/>
      <c r="AF263" s="23"/>
      <c r="AG263" s="23"/>
      <c r="AI263" s="13">
        <v>260</v>
      </c>
      <c r="AJ263" s="13">
        <v>248</v>
      </c>
      <c r="AK263" s="17">
        <v>241.57690690000001</v>
      </c>
      <c r="AV263" s="13">
        <f t="shared" si="18"/>
        <v>-2.5899568951612828</v>
      </c>
      <c r="BD263" s="13">
        <v>260</v>
      </c>
      <c r="BE263" s="13">
        <v>248</v>
      </c>
      <c r="BF263" s="17">
        <v>235.51621779999999</v>
      </c>
      <c r="BQ263" s="13">
        <f t="shared" si="19"/>
        <v>-5.0337831451612969</v>
      </c>
    </row>
    <row r="264" spans="1:69">
      <c r="A264" s="13">
        <v>261</v>
      </c>
      <c r="B264" s="13">
        <v>24</v>
      </c>
      <c r="C264" s="17">
        <v>29.330005138341701</v>
      </c>
      <c r="M264" s="13">
        <f t="shared" si="16"/>
        <v>22.208354743090418</v>
      </c>
      <c r="O264" s="13">
        <v>261</v>
      </c>
      <c r="P264" s="13">
        <v>24</v>
      </c>
      <c r="Q264" s="17">
        <v>34.821525107761701</v>
      </c>
      <c r="AA264" s="13">
        <f t="shared" si="17"/>
        <v>45.089687949007093</v>
      </c>
      <c r="AC264" s="23"/>
      <c r="AD264" s="23"/>
      <c r="AE264" s="23"/>
      <c r="AF264" s="23"/>
      <c r="AG264" s="23"/>
      <c r="AI264" s="13">
        <v>261</v>
      </c>
      <c r="AJ264" s="13">
        <v>24</v>
      </c>
      <c r="AK264" s="17">
        <v>19.5829710853235</v>
      </c>
      <c r="AV264" s="13">
        <f t="shared" si="18"/>
        <v>-18.404287144485419</v>
      </c>
      <c r="BD264" s="13">
        <v>261</v>
      </c>
      <c r="BE264" s="13">
        <v>24</v>
      </c>
      <c r="BF264" s="17">
        <v>31.0969297003791</v>
      </c>
      <c r="BQ264" s="13">
        <f t="shared" si="19"/>
        <v>29.570540418246249</v>
      </c>
    </row>
    <row r="265" spans="1:69">
      <c r="A265" s="13">
        <v>262</v>
      </c>
      <c r="B265" s="13">
        <v>51</v>
      </c>
      <c r="C265" s="17">
        <v>60.456733598583497</v>
      </c>
      <c r="M265" s="13">
        <f t="shared" si="16"/>
        <v>18.54261489918332</v>
      </c>
      <c r="O265" s="13">
        <v>262</v>
      </c>
      <c r="P265" s="13">
        <v>51</v>
      </c>
      <c r="Q265" s="17">
        <v>29.718482737373499</v>
      </c>
      <c r="AA265" s="13">
        <f t="shared" si="17"/>
        <v>-41.728465220836277</v>
      </c>
      <c r="AC265" s="23"/>
      <c r="AD265" s="23"/>
      <c r="AE265" s="23"/>
      <c r="AF265" s="23"/>
      <c r="AG265" s="23"/>
      <c r="AI265" s="13">
        <v>262</v>
      </c>
      <c r="AJ265" s="13">
        <v>51</v>
      </c>
      <c r="AK265" s="17">
        <v>44.834575239999999</v>
      </c>
      <c r="AV265" s="13">
        <f t="shared" si="18"/>
        <v>-12.089068156862748</v>
      </c>
      <c r="BD265" s="13">
        <v>262</v>
      </c>
      <c r="BE265" s="13">
        <v>51</v>
      </c>
      <c r="BF265" s="17">
        <v>38.080013080000001</v>
      </c>
      <c r="BQ265" s="13">
        <f t="shared" si="19"/>
        <v>-25.333307686274509</v>
      </c>
    </row>
    <row r="266" spans="1:69">
      <c r="A266" s="13">
        <v>263</v>
      </c>
      <c r="B266" s="13">
        <v>97</v>
      </c>
      <c r="C266" s="17">
        <v>67.196744030000005</v>
      </c>
      <c r="M266" s="13">
        <f t="shared" si="16"/>
        <v>-30.725006154639168</v>
      </c>
      <c r="O266" s="13">
        <v>263</v>
      </c>
      <c r="P266" s="13">
        <v>97</v>
      </c>
      <c r="Q266" s="17">
        <v>65.416194500000003</v>
      </c>
      <c r="AA266" s="13">
        <f t="shared" si="17"/>
        <v>-32.560624226804123</v>
      </c>
      <c r="AC266" s="23"/>
      <c r="AD266" s="23"/>
      <c r="AE266" s="23"/>
      <c r="AF266" s="23"/>
      <c r="AG266" s="23"/>
      <c r="AI266" s="13">
        <v>263</v>
      </c>
      <c r="AJ266" s="13">
        <v>97</v>
      </c>
      <c r="AK266" s="17">
        <v>91.133348810000001</v>
      </c>
      <c r="AV266" s="13">
        <f t="shared" si="18"/>
        <v>-6.0480940103092795</v>
      </c>
      <c r="BD266" s="13">
        <v>263</v>
      </c>
      <c r="BE266" s="13">
        <v>97</v>
      </c>
      <c r="BF266" s="17">
        <v>83.996479030000003</v>
      </c>
      <c r="BQ266" s="13">
        <f t="shared" si="19"/>
        <v>-13.405691721649482</v>
      </c>
    </row>
    <row r="267" spans="1:69">
      <c r="A267" s="13">
        <v>264</v>
      </c>
      <c r="B267" s="13">
        <v>152</v>
      </c>
      <c r="C267" s="17">
        <v>152.517571</v>
      </c>
      <c r="M267" s="13">
        <f t="shared" si="16"/>
        <v>0.34050723684211359</v>
      </c>
      <c r="O267" s="13">
        <v>264</v>
      </c>
      <c r="P267" s="13">
        <v>152</v>
      </c>
      <c r="Q267" s="17">
        <v>142.8686371</v>
      </c>
      <c r="AA267" s="13">
        <f t="shared" si="17"/>
        <v>-6.0074755921052603</v>
      </c>
      <c r="AC267" s="23"/>
      <c r="AD267" s="23"/>
      <c r="AE267" s="23"/>
      <c r="AF267" s="23"/>
      <c r="AG267" s="23"/>
      <c r="AI267" s="13">
        <v>264</v>
      </c>
      <c r="AJ267" s="13">
        <v>152</v>
      </c>
      <c r="AK267" s="17">
        <v>152.1015142</v>
      </c>
      <c r="AV267" s="13">
        <f t="shared" si="18"/>
        <v>6.6785657894730122E-2</v>
      </c>
      <c r="BD267" s="13">
        <v>264</v>
      </c>
      <c r="BE267" s="13">
        <v>152</v>
      </c>
      <c r="BF267" s="17">
        <v>151.8250822</v>
      </c>
      <c r="BQ267" s="13">
        <f t="shared" si="19"/>
        <v>-0.11507750000000483</v>
      </c>
    </row>
    <row r="268" spans="1:69">
      <c r="A268" s="13">
        <v>265</v>
      </c>
      <c r="B268" s="13">
        <v>5</v>
      </c>
      <c r="C268" s="17">
        <v>3.2485679227590798</v>
      </c>
      <c r="M268" s="13">
        <f t="shared" si="16"/>
        <v>-35.028641544818406</v>
      </c>
      <c r="O268" s="13">
        <v>265</v>
      </c>
      <c r="P268" s="13">
        <v>5</v>
      </c>
      <c r="Q268" s="17">
        <v>2.84727379085284</v>
      </c>
      <c r="AA268" s="13">
        <f t="shared" si="17"/>
        <v>-43.054524182943197</v>
      </c>
      <c r="AC268" s="23"/>
      <c r="AD268" s="23"/>
      <c r="AE268" s="23"/>
      <c r="AF268" s="23"/>
      <c r="AG268" s="23"/>
      <c r="AI268" s="13">
        <v>265</v>
      </c>
      <c r="AJ268" s="13">
        <v>5</v>
      </c>
      <c r="AK268" s="17">
        <v>5.9186205512004397</v>
      </c>
      <c r="AV268" s="13">
        <f t="shared" si="18"/>
        <v>18.372411024008795</v>
      </c>
      <c r="BD268" s="13">
        <v>265</v>
      </c>
      <c r="BE268" s="13">
        <v>5</v>
      </c>
      <c r="BF268" s="17">
        <v>3.6402103221918698</v>
      </c>
      <c r="BQ268" s="13">
        <f t="shared" si="19"/>
        <v>-27.195793556162606</v>
      </c>
    </row>
    <row r="269" spans="1:69">
      <c r="A269" s="13">
        <v>266</v>
      </c>
      <c r="B269" s="13">
        <v>51</v>
      </c>
      <c r="C269" s="17">
        <v>53.000153589999996</v>
      </c>
      <c r="M269" s="13">
        <f t="shared" si="16"/>
        <v>3.9218697843137251</v>
      </c>
      <c r="O269" s="13">
        <v>266</v>
      </c>
      <c r="P269" s="13">
        <v>51</v>
      </c>
      <c r="Q269" s="17">
        <v>51.923167020000001</v>
      </c>
      <c r="AA269" s="13">
        <f t="shared" si="17"/>
        <v>1.8101314117647149</v>
      </c>
      <c r="AC269" s="23"/>
      <c r="AD269" s="23"/>
      <c r="AE269" s="23"/>
      <c r="AF269" s="23"/>
      <c r="AG269" s="23"/>
      <c r="AI269" s="13">
        <v>266</v>
      </c>
      <c r="AJ269" s="13">
        <v>51</v>
      </c>
      <c r="AK269" s="17">
        <v>51.394030720000003</v>
      </c>
      <c r="AV269" s="13">
        <f t="shared" si="18"/>
        <v>0.77260925490196808</v>
      </c>
      <c r="BD269" s="13">
        <v>266</v>
      </c>
      <c r="BE269" s="13">
        <v>51</v>
      </c>
      <c r="BF269" s="17">
        <v>51.19474933</v>
      </c>
      <c r="BQ269" s="13">
        <f t="shared" si="19"/>
        <v>0.38186143137255435</v>
      </c>
    </row>
    <row r="270" spans="1:69">
      <c r="A270" s="13">
        <v>267</v>
      </c>
      <c r="B270" s="13">
        <v>249</v>
      </c>
      <c r="C270" s="17">
        <v>217.223906</v>
      </c>
      <c r="M270" s="13">
        <f t="shared" si="16"/>
        <v>-12.761483534136541</v>
      </c>
      <c r="O270" s="13">
        <v>267</v>
      </c>
      <c r="P270" s="13">
        <v>249</v>
      </c>
      <c r="Q270" s="17">
        <v>210.64354900000001</v>
      </c>
      <c r="AA270" s="13">
        <f t="shared" si="17"/>
        <v>-15.40419718875502</v>
      </c>
      <c r="AC270" s="23"/>
      <c r="AD270" s="23"/>
      <c r="AE270" s="23"/>
      <c r="AF270" s="23"/>
      <c r="AG270" s="23"/>
      <c r="AI270" s="13">
        <v>267</v>
      </c>
      <c r="AJ270" s="13">
        <v>249</v>
      </c>
      <c r="AK270" s="17">
        <v>242.4527812</v>
      </c>
      <c r="AV270" s="13">
        <f t="shared" si="18"/>
        <v>-2.6294051405622465</v>
      </c>
      <c r="BD270" s="13">
        <v>267</v>
      </c>
      <c r="BE270" s="13">
        <v>249</v>
      </c>
      <c r="BF270" s="17">
        <v>235.831354</v>
      </c>
      <c r="BQ270" s="13">
        <f t="shared" si="19"/>
        <v>-5.2886128514056168</v>
      </c>
    </row>
    <row r="271" spans="1:69">
      <c r="A271" s="13">
        <v>268</v>
      </c>
      <c r="B271" s="13">
        <v>57</v>
      </c>
      <c r="C271" s="17">
        <v>57.940147289999999</v>
      </c>
      <c r="M271" s="13">
        <f t="shared" si="16"/>
        <v>1.6493812105263128</v>
      </c>
      <c r="O271" s="13">
        <v>268</v>
      </c>
      <c r="P271" s="13">
        <v>57</v>
      </c>
      <c r="Q271" s="17">
        <v>56.583509489999997</v>
      </c>
      <c r="AA271" s="13">
        <f t="shared" si="17"/>
        <v>-0.73068510526316244</v>
      </c>
      <c r="AC271" s="23"/>
      <c r="AD271" s="23"/>
      <c r="AE271" s="23"/>
      <c r="AF271" s="23"/>
      <c r="AG271" s="23"/>
      <c r="AI271" s="13">
        <v>268</v>
      </c>
      <c r="AJ271" s="13">
        <v>57</v>
      </c>
      <c r="AK271" s="17">
        <v>57.206029460000003</v>
      </c>
      <c r="AV271" s="13">
        <f t="shared" si="18"/>
        <v>0.36145519298245166</v>
      </c>
      <c r="BD271" s="13">
        <v>268</v>
      </c>
      <c r="BE271" s="13">
        <v>57</v>
      </c>
      <c r="BF271" s="17">
        <v>56.957684739999998</v>
      </c>
      <c r="BQ271" s="13">
        <f t="shared" si="19"/>
        <v>-7.4237298245616312E-2</v>
      </c>
    </row>
    <row r="272" spans="1:69">
      <c r="A272" s="13">
        <v>269</v>
      </c>
      <c r="B272" s="13">
        <v>120</v>
      </c>
      <c r="C272" s="17">
        <v>130.48572540000001</v>
      </c>
      <c r="M272" s="13">
        <f t="shared" si="16"/>
        <v>8.7381045000000093</v>
      </c>
      <c r="O272" s="13">
        <v>269</v>
      </c>
      <c r="P272" s="13">
        <v>120</v>
      </c>
      <c r="Q272" s="17">
        <v>127.7024318</v>
      </c>
      <c r="AA272" s="13">
        <f t="shared" si="17"/>
        <v>6.4186931666666558</v>
      </c>
      <c r="AC272" s="23"/>
      <c r="AD272" s="23"/>
      <c r="AE272" s="23"/>
      <c r="AF272" s="23"/>
      <c r="AG272" s="23"/>
      <c r="AI272" s="13">
        <v>269</v>
      </c>
      <c r="AJ272" s="13">
        <v>120</v>
      </c>
      <c r="AK272" s="17">
        <v>122.0711451</v>
      </c>
      <c r="AV272" s="13">
        <f t="shared" si="18"/>
        <v>1.7259542499999947</v>
      </c>
      <c r="BD272" s="13">
        <v>269</v>
      </c>
      <c r="BE272" s="13">
        <v>120</v>
      </c>
      <c r="BF272" s="17">
        <v>123.61562429999999</v>
      </c>
      <c r="BQ272" s="13">
        <f t="shared" si="19"/>
        <v>3.013020249999987</v>
      </c>
    </row>
    <row r="273" spans="1:69">
      <c r="A273" s="13">
        <v>270</v>
      </c>
      <c r="B273" s="13">
        <v>26</v>
      </c>
      <c r="C273" s="17">
        <v>27.90720357</v>
      </c>
      <c r="M273" s="13">
        <f t="shared" si="16"/>
        <v>7.335398346153843</v>
      </c>
      <c r="O273" s="13">
        <v>270</v>
      </c>
      <c r="P273" s="13">
        <v>26</v>
      </c>
      <c r="Q273" s="17">
        <v>32.550088899999999</v>
      </c>
      <c r="AA273" s="13">
        <f t="shared" si="17"/>
        <v>25.19264961538461</v>
      </c>
      <c r="AC273" s="23"/>
      <c r="AD273" s="23"/>
      <c r="AE273" s="23"/>
      <c r="AF273" s="23"/>
      <c r="AG273" s="23"/>
      <c r="AI273" s="13">
        <v>270</v>
      </c>
      <c r="AJ273" s="13">
        <v>26</v>
      </c>
      <c r="AK273" s="17">
        <v>26.38086071</v>
      </c>
      <c r="AV273" s="13">
        <f t="shared" si="18"/>
        <v>1.4648488846153773</v>
      </c>
      <c r="BD273" s="13">
        <v>270</v>
      </c>
      <c r="BE273" s="13">
        <v>26</v>
      </c>
      <c r="BF273" s="17">
        <v>26.150346720000002</v>
      </c>
      <c r="BQ273" s="13">
        <f t="shared" si="19"/>
        <v>0.57825661538462025</v>
      </c>
    </row>
    <row r="274" spans="1:69">
      <c r="A274" s="13">
        <v>271</v>
      </c>
      <c r="B274" s="13">
        <v>26</v>
      </c>
      <c r="C274" s="17">
        <v>16.719722234332</v>
      </c>
      <c r="M274" s="13">
        <f t="shared" si="16"/>
        <v>-35.693376021800006</v>
      </c>
      <c r="O274" s="13">
        <v>271</v>
      </c>
      <c r="P274" s="13">
        <v>26</v>
      </c>
      <c r="Q274" s="17">
        <v>20.4355710407287</v>
      </c>
      <c r="AA274" s="13">
        <f t="shared" si="17"/>
        <v>-21.401649843351155</v>
      </c>
      <c r="AC274" s="23"/>
      <c r="AD274" s="23"/>
      <c r="AE274" s="23"/>
      <c r="AF274" s="23"/>
      <c r="AG274" s="23"/>
      <c r="AI274" s="13">
        <v>271</v>
      </c>
      <c r="AJ274" s="13">
        <v>26</v>
      </c>
      <c r="AK274" s="17">
        <v>20.55120556</v>
      </c>
      <c r="AV274" s="13">
        <f t="shared" si="18"/>
        <v>-20.956901692307696</v>
      </c>
      <c r="BD274" s="13">
        <v>271</v>
      </c>
      <c r="BE274" s="13">
        <v>26</v>
      </c>
      <c r="BF274" s="17">
        <v>28.2086804875014</v>
      </c>
      <c r="BQ274" s="13">
        <f t="shared" si="19"/>
        <v>8.4949249519284731</v>
      </c>
    </row>
    <row r="275" spans="1:69">
      <c r="A275" s="13">
        <v>272</v>
      </c>
      <c r="B275" s="13">
        <v>64</v>
      </c>
      <c r="C275" s="17">
        <v>75.098237580000003</v>
      </c>
      <c r="M275" s="13">
        <f t="shared" si="16"/>
        <v>17.340996218750004</v>
      </c>
      <c r="O275" s="13">
        <v>272</v>
      </c>
      <c r="P275" s="13">
        <v>64</v>
      </c>
      <c r="Q275" s="17">
        <v>70.018246050000002</v>
      </c>
      <c r="AA275" s="13">
        <f t="shared" si="17"/>
        <v>9.4035094531250039</v>
      </c>
      <c r="AC275" s="23"/>
      <c r="AD275" s="23"/>
      <c r="AE275" s="23"/>
      <c r="AF275" s="23"/>
      <c r="AG275" s="23"/>
      <c r="AI275" s="13">
        <v>272</v>
      </c>
      <c r="AJ275" s="13">
        <v>64</v>
      </c>
      <c r="AK275" s="17">
        <v>66.177647519999994</v>
      </c>
      <c r="AV275" s="13">
        <f t="shared" si="18"/>
        <v>3.40257424999999</v>
      </c>
      <c r="BD275" s="13">
        <v>272</v>
      </c>
      <c r="BE275" s="13">
        <v>64</v>
      </c>
      <c r="BF275" s="17">
        <v>68.186661749999999</v>
      </c>
      <c r="BQ275" s="13">
        <f t="shared" si="19"/>
        <v>6.5416589843749984</v>
      </c>
    </row>
    <row r="276" spans="1:69">
      <c r="A276" s="13">
        <v>273</v>
      </c>
      <c r="B276" s="13">
        <v>46</v>
      </c>
      <c r="C276" s="17">
        <v>56.960660769999997</v>
      </c>
      <c r="M276" s="13">
        <f t="shared" si="16"/>
        <v>23.827523413043462</v>
      </c>
      <c r="O276" s="13">
        <v>273</v>
      </c>
      <c r="P276" s="13">
        <v>46</v>
      </c>
      <c r="Q276" s="17">
        <v>56.83706274</v>
      </c>
      <c r="AA276" s="13">
        <f t="shared" si="17"/>
        <v>23.558832043478262</v>
      </c>
      <c r="AC276" s="23"/>
      <c r="AD276" s="23"/>
      <c r="AE276" s="23"/>
      <c r="AF276" s="23"/>
      <c r="AG276" s="23"/>
      <c r="AI276" s="13">
        <v>273</v>
      </c>
      <c r="AJ276" s="13">
        <v>46</v>
      </c>
      <c r="AK276" s="17">
        <v>47.97813215</v>
      </c>
      <c r="AV276" s="13">
        <f t="shared" si="18"/>
        <v>4.3002872826086946</v>
      </c>
      <c r="BD276" s="13">
        <v>273</v>
      </c>
      <c r="BE276" s="13">
        <v>46</v>
      </c>
      <c r="BF276" s="17">
        <v>49.441626589999998</v>
      </c>
      <c r="BQ276" s="13">
        <f t="shared" si="19"/>
        <v>7.4817969347826141</v>
      </c>
    </row>
    <row r="277" spans="1:69">
      <c r="A277" s="13">
        <v>274</v>
      </c>
      <c r="B277" s="13">
        <v>68</v>
      </c>
      <c r="C277" s="17">
        <v>37.44476684</v>
      </c>
      <c r="M277" s="13">
        <f t="shared" si="16"/>
        <v>-44.934166411764707</v>
      </c>
      <c r="O277" s="13">
        <v>274</v>
      </c>
      <c r="P277" s="13">
        <v>68</v>
      </c>
      <c r="Q277" s="17">
        <v>39.424611830000003</v>
      </c>
      <c r="AA277" s="13">
        <f t="shared" si="17"/>
        <v>-42.022629661764697</v>
      </c>
      <c r="AC277" s="23"/>
      <c r="AD277" s="23"/>
      <c r="AE277" s="23"/>
      <c r="AF277" s="23"/>
      <c r="AG277" s="23"/>
      <c r="AI277" s="13">
        <v>274</v>
      </c>
      <c r="AJ277" s="13">
        <v>68</v>
      </c>
      <c r="AK277" s="17">
        <v>61.924953369999997</v>
      </c>
      <c r="AV277" s="13">
        <f t="shared" si="18"/>
        <v>-8.9338921029411758</v>
      </c>
      <c r="BD277" s="13">
        <v>274</v>
      </c>
      <c r="BE277" s="13">
        <v>68</v>
      </c>
      <c r="BF277" s="17">
        <v>55.540240109999999</v>
      </c>
      <c r="BQ277" s="13">
        <f t="shared" si="19"/>
        <v>-18.32317630882353</v>
      </c>
    </row>
    <row r="278" spans="1:69">
      <c r="A278" s="13">
        <v>275</v>
      </c>
      <c r="B278" s="13">
        <v>202</v>
      </c>
      <c r="C278" s="17">
        <v>172.32580469999999</v>
      </c>
      <c r="M278" s="13">
        <f t="shared" si="16"/>
        <v>-14.690195693069308</v>
      </c>
      <c r="O278" s="13">
        <v>275</v>
      </c>
      <c r="P278" s="13">
        <v>202</v>
      </c>
      <c r="Q278" s="17">
        <v>173.79019690000001</v>
      </c>
      <c r="AA278" s="13">
        <f t="shared" si="17"/>
        <v>-13.965249059405938</v>
      </c>
      <c r="AC278" s="23"/>
      <c r="AD278" s="23"/>
      <c r="AE278" s="23"/>
      <c r="AF278" s="23"/>
      <c r="AG278" s="23"/>
      <c r="AI278" s="13">
        <v>275</v>
      </c>
      <c r="AJ278" s="13">
        <v>202</v>
      </c>
      <c r="AK278" s="17">
        <v>196.0611609</v>
      </c>
      <c r="AV278" s="13">
        <f t="shared" si="18"/>
        <v>-2.9400193564356414</v>
      </c>
      <c r="BD278" s="13">
        <v>275</v>
      </c>
      <c r="BE278" s="13">
        <v>202</v>
      </c>
      <c r="BF278" s="17">
        <v>189.5695197</v>
      </c>
      <c r="BQ278" s="13">
        <f t="shared" si="19"/>
        <v>-6.1537031188118814</v>
      </c>
    </row>
    <row r="279" spans="1:69">
      <c r="A279" s="13">
        <v>276</v>
      </c>
      <c r="B279" s="13">
        <v>67</v>
      </c>
      <c r="C279" s="17">
        <v>67.295855500000002</v>
      </c>
      <c r="M279" s="13">
        <f t="shared" si="16"/>
        <v>0.4415753731343397</v>
      </c>
      <c r="O279" s="13">
        <v>276</v>
      </c>
      <c r="P279" s="13">
        <v>67</v>
      </c>
      <c r="Q279" s="17">
        <v>68.575279570000006</v>
      </c>
      <c r="AA279" s="13">
        <f t="shared" si="17"/>
        <v>2.3511635373134387</v>
      </c>
      <c r="AC279" s="23"/>
      <c r="AD279" s="23"/>
      <c r="AE279" s="23"/>
      <c r="AF279" s="23"/>
      <c r="AG279" s="23"/>
      <c r="AI279" s="13">
        <v>276</v>
      </c>
      <c r="AJ279" s="13">
        <v>67</v>
      </c>
      <c r="AK279" s="17">
        <v>67.271171100000004</v>
      </c>
      <c r="AV279" s="13">
        <f t="shared" si="18"/>
        <v>0.40473298507464062</v>
      </c>
      <c r="BD279" s="13">
        <v>276</v>
      </c>
      <c r="BE279" s="13">
        <v>67</v>
      </c>
      <c r="BF279" s="17">
        <v>67.086453969999994</v>
      </c>
      <c r="BQ279" s="13">
        <f t="shared" si="19"/>
        <v>0.12903577611940165</v>
      </c>
    </row>
    <row r="280" spans="1:69">
      <c r="A280" s="13">
        <v>277</v>
      </c>
      <c r="B280" s="13">
        <v>55</v>
      </c>
      <c r="C280" s="17">
        <v>48.255999201294699</v>
      </c>
      <c r="M280" s="13">
        <f t="shared" si="16"/>
        <v>-12.26181963400964</v>
      </c>
      <c r="O280" s="13">
        <v>277</v>
      </c>
      <c r="P280" s="13">
        <v>55</v>
      </c>
      <c r="Q280" s="17">
        <v>31.156433610000001</v>
      </c>
      <c r="AA280" s="13">
        <f t="shared" si="17"/>
        <v>-43.351938890909089</v>
      </c>
      <c r="AC280" s="23"/>
      <c r="AD280" s="23"/>
      <c r="AE280" s="23"/>
      <c r="AF280" s="23"/>
      <c r="AG280" s="23"/>
      <c r="AI280" s="13">
        <v>277</v>
      </c>
      <c r="AJ280" s="13">
        <v>55</v>
      </c>
      <c r="AK280" s="17">
        <v>49.401017160000002</v>
      </c>
      <c r="AV280" s="13">
        <f t="shared" si="18"/>
        <v>-10.179968799999994</v>
      </c>
      <c r="BD280" s="13">
        <v>277</v>
      </c>
      <c r="BE280" s="13">
        <v>55</v>
      </c>
      <c r="BF280" s="17">
        <v>42.897821499999999</v>
      </c>
      <c r="BQ280" s="13">
        <f t="shared" si="19"/>
        <v>-22.003960909090914</v>
      </c>
    </row>
    <row r="281" spans="1:69">
      <c r="A281" s="13">
        <v>278</v>
      </c>
      <c r="B281" s="13">
        <v>234</v>
      </c>
      <c r="C281" s="17">
        <v>201.6836438</v>
      </c>
      <c r="M281" s="13">
        <f t="shared" si="16"/>
        <v>-13.810408632478632</v>
      </c>
      <c r="O281" s="13">
        <v>278</v>
      </c>
      <c r="P281" s="13">
        <v>234</v>
      </c>
      <c r="Q281" s="17">
        <v>192.76793939999999</v>
      </c>
      <c r="AA281" s="13">
        <f t="shared" si="17"/>
        <v>-17.620538717948719</v>
      </c>
      <c r="AC281" s="23"/>
      <c r="AD281" s="23"/>
      <c r="AE281" s="23"/>
      <c r="AF281" s="23"/>
      <c r="AG281" s="23"/>
      <c r="AI281" s="13">
        <v>278</v>
      </c>
      <c r="AJ281" s="13">
        <v>234</v>
      </c>
      <c r="AK281" s="17">
        <v>227.51672880000001</v>
      </c>
      <c r="AV281" s="13">
        <f t="shared" si="18"/>
        <v>-2.7706287179487088</v>
      </c>
      <c r="BD281" s="13">
        <v>278</v>
      </c>
      <c r="BE281" s="13">
        <v>234</v>
      </c>
      <c r="BF281" s="17">
        <v>221.17377909999999</v>
      </c>
      <c r="BQ281" s="13">
        <f t="shared" si="19"/>
        <v>-5.4812909829059837</v>
      </c>
    </row>
    <row r="282" spans="1:69">
      <c r="A282" s="13">
        <v>279</v>
      </c>
      <c r="B282" s="13">
        <v>203</v>
      </c>
      <c r="C282" s="17">
        <v>212.46448789999999</v>
      </c>
      <c r="M282" s="13">
        <f t="shared" si="16"/>
        <v>4.6623093103448143</v>
      </c>
      <c r="O282" s="13">
        <v>279</v>
      </c>
      <c r="P282" s="13">
        <v>203</v>
      </c>
      <c r="Q282" s="17">
        <v>206.947216</v>
      </c>
      <c r="AA282" s="13">
        <f t="shared" si="17"/>
        <v>1.9444413793103354</v>
      </c>
      <c r="AC282" s="23"/>
      <c r="AD282" s="23"/>
      <c r="AE282" s="23"/>
      <c r="AF282" s="23"/>
      <c r="AG282" s="23"/>
      <c r="AI282" s="13">
        <v>279</v>
      </c>
      <c r="AJ282" s="13">
        <v>203</v>
      </c>
      <c r="AK282" s="17">
        <v>204.7388976</v>
      </c>
      <c r="AV282" s="13">
        <f t="shared" si="18"/>
        <v>0.85659980295567095</v>
      </c>
      <c r="BD282" s="13">
        <v>279</v>
      </c>
      <c r="BE282" s="13">
        <v>203</v>
      </c>
      <c r="BF282" s="17">
        <v>207.42051470000001</v>
      </c>
      <c r="BQ282" s="13">
        <f t="shared" si="19"/>
        <v>2.1775934482758608</v>
      </c>
    </row>
    <row r="283" spans="1:69">
      <c r="A283" s="13">
        <v>280</v>
      </c>
      <c r="B283" s="13">
        <v>240</v>
      </c>
      <c r="C283" s="17">
        <v>208.74915580000001</v>
      </c>
      <c r="M283" s="13">
        <f t="shared" si="16"/>
        <v>-13.02118508333333</v>
      </c>
      <c r="O283" s="13">
        <v>280</v>
      </c>
      <c r="P283" s="13">
        <v>240</v>
      </c>
      <c r="Q283" s="17">
        <v>206.6643809</v>
      </c>
      <c r="AA283" s="13">
        <f t="shared" si="17"/>
        <v>-13.889841291666672</v>
      </c>
      <c r="AC283" s="23"/>
      <c r="AD283" s="23"/>
      <c r="AE283" s="23"/>
      <c r="AF283" s="23"/>
      <c r="AG283" s="23"/>
      <c r="AI283" s="13">
        <v>280</v>
      </c>
      <c r="AJ283" s="13">
        <v>240</v>
      </c>
      <c r="AK283" s="17">
        <v>233.7398312</v>
      </c>
      <c r="AV283" s="13">
        <f t="shared" si="18"/>
        <v>-2.6084036666666699</v>
      </c>
      <c r="BD283" s="13">
        <v>280</v>
      </c>
      <c r="BE283" s="13">
        <v>240</v>
      </c>
      <c r="BF283" s="17">
        <v>227.8190491</v>
      </c>
      <c r="BQ283" s="13">
        <f t="shared" si="19"/>
        <v>-5.0753962083333377</v>
      </c>
    </row>
    <row r="284" spans="1:69">
      <c r="A284" s="13">
        <v>281</v>
      </c>
      <c r="B284" s="13">
        <v>134</v>
      </c>
      <c r="C284" s="17">
        <v>105.97330030000001</v>
      </c>
      <c r="M284" s="13">
        <f t="shared" si="16"/>
        <v>-20.915447537313426</v>
      </c>
      <c r="O284" s="13">
        <v>281</v>
      </c>
      <c r="P284" s="13">
        <v>134</v>
      </c>
      <c r="Q284" s="17">
        <v>107.03462330000001</v>
      </c>
      <c r="AA284" s="13">
        <f t="shared" si="17"/>
        <v>-20.123415447761182</v>
      </c>
      <c r="AC284" s="23"/>
      <c r="AD284" s="23"/>
      <c r="AE284" s="23"/>
      <c r="AF284" s="23"/>
      <c r="AG284" s="23"/>
      <c r="AI284" s="13">
        <v>281</v>
      </c>
      <c r="AJ284" s="13">
        <v>134</v>
      </c>
      <c r="AK284" s="17">
        <v>128.21866009999999</v>
      </c>
      <c r="AV284" s="13">
        <f t="shared" si="18"/>
        <v>-4.3144327611940314</v>
      </c>
      <c r="BD284" s="13">
        <v>281</v>
      </c>
      <c r="BE284" s="13">
        <v>134</v>
      </c>
      <c r="BF284" s="17">
        <v>122.71739700000001</v>
      </c>
      <c r="BQ284" s="13">
        <f t="shared" si="19"/>
        <v>-8.4198529850746269</v>
      </c>
    </row>
    <row r="285" spans="1:69">
      <c r="A285" s="13">
        <v>282</v>
      </c>
      <c r="B285" s="13">
        <v>116</v>
      </c>
      <c r="C285" s="17">
        <v>114.48626539999999</v>
      </c>
      <c r="M285" s="13">
        <f t="shared" si="16"/>
        <v>-1.3049436206896581</v>
      </c>
      <c r="O285" s="13">
        <v>282</v>
      </c>
      <c r="P285" s="13">
        <v>116</v>
      </c>
      <c r="Q285" s="17">
        <v>111.4860911</v>
      </c>
      <c r="AA285" s="13">
        <f t="shared" si="17"/>
        <v>-3.8913007758620721</v>
      </c>
      <c r="AC285" s="23"/>
      <c r="AD285" s="23"/>
      <c r="AE285" s="23"/>
      <c r="AF285" s="23"/>
      <c r="AG285" s="23"/>
      <c r="AI285" s="13">
        <v>282</v>
      </c>
      <c r="AJ285" s="13">
        <v>116</v>
      </c>
      <c r="AK285" s="17">
        <v>115.3172531</v>
      </c>
      <c r="AV285" s="13">
        <f t="shared" si="18"/>
        <v>-0.58857491379310511</v>
      </c>
      <c r="BD285" s="13">
        <v>282</v>
      </c>
      <c r="BE285" s="13">
        <v>116</v>
      </c>
      <c r="BF285" s="17">
        <v>115.13731420000001</v>
      </c>
      <c r="BQ285" s="13">
        <f t="shared" si="19"/>
        <v>-0.74369465517241107</v>
      </c>
    </row>
    <row r="286" spans="1:69">
      <c r="A286" s="13">
        <v>283</v>
      </c>
      <c r="B286" s="13">
        <v>138</v>
      </c>
      <c r="C286" s="17">
        <v>107.163177</v>
      </c>
      <c r="M286" s="13">
        <f t="shared" si="16"/>
        <v>-22.345523913043476</v>
      </c>
      <c r="O286" s="13">
        <v>283</v>
      </c>
      <c r="P286" s="13">
        <v>138</v>
      </c>
      <c r="Q286" s="17">
        <v>99.540060330000003</v>
      </c>
      <c r="AA286" s="13">
        <f t="shared" si="17"/>
        <v>-27.869521499999994</v>
      </c>
      <c r="AC286" s="23"/>
      <c r="AD286" s="23"/>
      <c r="AE286" s="23"/>
      <c r="AF286" s="23"/>
      <c r="AG286" s="23"/>
      <c r="AI286" s="13">
        <v>283</v>
      </c>
      <c r="AJ286" s="13">
        <v>138</v>
      </c>
      <c r="AK286" s="17">
        <v>131.81463539999999</v>
      </c>
      <c r="AV286" s="13">
        <f t="shared" si="18"/>
        <v>-4.4821482608695788</v>
      </c>
      <c r="BD286" s="13">
        <v>283</v>
      </c>
      <c r="BE286" s="13">
        <v>138</v>
      </c>
      <c r="BF286" s="17">
        <v>125.7248926</v>
      </c>
      <c r="BQ286" s="13">
        <f t="shared" si="19"/>
        <v>-8.895005362318841</v>
      </c>
    </row>
    <row r="287" spans="1:69">
      <c r="A287" s="13">
        <v>284</v>
      </c>
      <c r="B287" s="13">
        <v>164</v>
      </c>
      <c r="C287" s="17">
        <v>133.82906059999999</v>
      </c>
      <c r="M287" s="13">
        <f t="shared" si="16"/>
        <v>-18.396914268292687</v>
      </c>
      <c r="O287" s="13">
        <v>284</v>
      </c>
      <c r="P287" s="13">
        <v>164</v>
      </c>
      <c r="Q287" s="17">
        <v>128.4927319</v>
      </c>
      <c r="AA287" s="13">
        <f t="shared" si="17"/>
        <v>-21.650773231707319</v>
      </c>
      <c r="AC287" s="23"/>
      <c r="AD287" s="23"/>
      <c r="AE287" s="23"/>
      <c r="AF287" s="23"/>
      <c r="AG287" s="23"/>
      <c r="AI287" s="13">
        <v>284</v>
      </c>
      <c r="AJ287" s="13">
        <v>164</v>
      </c>
      <c r="AK287" s="17">
        <v>158.10181209999999</v>
      </c>
      <c r="AV287" s="13">
        <f t="shared" si="18"/>
        <v>-3.5964560365853715</v>
      </c>
      <c r="BD287" s="13">
        <v>284</v>
      </c>
      <c r="BE287" s="13">
        <v>164</v>
      </c>
      <c r="BF287" s="17">
        <v>151.8445432</v>
      </c>
      <c r="BQ287" s="13">
        <f t="shared" si="19"/>
        <v>-7.4118639024390198</v>
      </c>
    </row>
    <row r="288" spans="1:69">
      <c r="A288" s="13">
        <v>285</v>
      </c>
      <c r="B288" s="13">
        <v>145</v>
      </c>
      <c r="C288" s="17">
        <v>145.673216</v>
      </c>
      <c r="M288" s="13">
        <f t="shared" si="16"/>
        <v>0.46428689655171329</v>
      </c>
      <c r="O288" s="13">
        <v>285</v>
      </c>
      <c r="P288" s="13">
        <v>145</v>
      </c>
      <c r="Q288" s="17">
        <v>145.4927596</v>
      </c>
      <c r="AA288" s="13">
        <f t="shared" si="17"/>
        <v>0.33983420689656096</v>
      </c>
      <c r="AC288" s="23"/>
      <c r="AD288" s="23"/>
      <c r="AE288" s="23"/>
      <c r="AF288" s="23"/>
      <c r="AG288" s="23"/>
      <c r="AI288" s="13">
        <v>285</v>
      </c>
      <c r="AJ288" s="13">
        <v>145</v>
      </c>
      <c r="AK288" s="17">
        <v>145.25864319999999</v>
      </c>
      <c r="AV288" s="13">
        <f t="shared" si="18"/>
        <v>0.17837462068965859</v>
      </c>
      <c r="BD288" s="13">
        <v>285</v>
      </c>
      <c r="BE288" s="13">
        <v>145</v>
      </c>
      <c r="BF288" s="17">
        <v>144.727318</v>
      </c>
      <c r="BQ288" s="13">
        <f t="shared" si="19"/>
        <v>-0.18805655172413616</v>
      </c>
    </row>
    <row r="289" spans="1:69">
      <c r="A289" s="13">
        <v>286</v>
      </c>
      <c r="B289" s="13">
        <v>104</v>
      </c>
      <c r="C289" s="17">
        <v>104.8320015</v>
      </c>
      <c r="M289" s="13">
        <f t="shared" si="16"/>
        <v>0.80000144230769621</v>
      </c>
      <c r="O289" s="13">
        <v>286</v>
      </c>
      <c r="P289" s="13">
        <v>104</v>
      </c>
      <c r="Q289" s="17">
        <v>105.14932760000001</v>
      </c>
      <c r="AA289" s="13">
        <f t="shared" si="17"/>
        <v>1.1051226923076918</v>
      </c>
      <c r="AC289" s="23"/>
      <c r="AD289" s="23"/>
      <c r="AE289" s="23"/>
      <c r="AF289" s="23"/>
      <c r="AG289" s="23"/>
      <c r="AI289" s="13">
        <v>286</v>
      </c>
      <c r="AJ289" s="13">
        <v>104</v>
      </c>
      <c r="AK289" s="17">
        <v>104.1064003</v>
      </c>
      <c r="AV289" s="13">
        <f t="shared" si="18"/>
        <v>0.10230798076924508</v>
      </c>
      <c r="BD289" s="13">
        <v>286</v>
      </c>
      <c r="BE289" s="13">
        <v>104</v>
      </c>
      <c r="BF289" s="17">
        <v>104.328</v>
      </c>
      <c r="BQ289" s="13">
        <f t="shared" si="19"/>
        <v>0.31538461538462847</v>
      </c>
    </row>
    <row r="290" spans="1:69">
      <c r="A290" s="13">
        <v>287</v>
      </c>
      <c r="B290" s="13">
        <v>22</v>
      </c>
      <c r="C290" s="17">
        <v>33.473589789999998</v>
      </c>
      <c r="M290" s="13">
        <f t="shared" si="16"/>
        <v>52.152680863636355</v>
      </c>
      <c r="O290" s="13">
        <v>287</v>
      </c>
      <c r="P290" s="13">
        <v>22</v>
      </c>
      <c r="Q290" s="17">
        <v>15.5728963100273</v>
      </c>
      <c r="AA290" s="13">
        <f t="shared" si="17"/>
        <v>-29.214107681694092</v>
      </c>
      <c r="AC290" s="23"/>
      <c r="AD290" s="23"/>
      <c r="AE290" s="23"/>
      <c r="AF290" s="23"/>
      <c r="AG290" s="23"/>
      <c r="AI290" s="13">
        <v>287</v>
      </c>
      <c r="AJ290" s="13">
        <v>22</v>
      </c>
      <c r="AK290" s="17">
        <v>24.294397960000001</v>
      </c>
      <c r="AV290" s="13">
        <f t="shared" si="18"/>
        <v>10.429081636363646</v>
      </c>
      <c r="BD290" s="13">
        <v>287</v>
      </c>
      <c r="BE290" s="13">
        <v>22</v>
      </c>
      <c r="BF290" s="17">
        <v>26.01421955</v>
      </c>
      <c r="BQ290" s="13">
        <f t="shared" si="19"/>
        <v>18.246452500000011</v>
      </c>
    </row>
    <row r="291" spans="1:69">
      <c r="A291" s="13">
        <v>288</v>
      </c>
      <c r="B291" s="13">
        <v>25</v>
      </c>
      <c r="C291" s="17">
        <v>28.5369651079161</v>
      </c>
      <c r="M291" s="13">
        <f t="shared" si="16"/>
        <v>14.147860431664405</v>
      </c>
      <c r="O291" s="13">
        <v>288</v>
      </c>
      <c r="P291" s="13">
        <v>25</v>
      </c>
      <c r="Q291" s="17">
        <v>29.7559470312641</v>
      </c>
      <c r="AA291" s="13">
        <f t="shared" si="17"/>
        <v>19.023788125056406</v>
      </c>
      <c r="AC291" s="23"/>
      <c r="AD291" s="23"/>
      <c r="AE291" s="23"/>
      <c r="AF291" s="23"/>
      <c r="AG291" s="23"/>
      <c r="AI291" s="13">
        <v>288</v>
      </c>
      <c r="AJ291" s="13">
        <v>25</v>
      </c>
      <c r="AK291" s="17">
        <v>31.142809838263702</v>
      </c>
      <c r="AV291" s="13">
        <f t="shared" si="18"/>
        <v>24.571239353054807</v>
      </c>
      <c r="BD291" s="13">
        <v>288</v>
      </c>
      <c r="BE291" s="13">
        <v>25</v>
      </c>
      <c r="BF291" s="17">
        <v>32.057024433356901</v>
      </c>
      <c r="BQ291" s="13">
        <f t="shared" si="19"/>
        <v>28.228097733427603</v>
      </c>
    </row>
    <row r="292" spans="1:69">
      <c r="A292" s="13">
        <v>289</v>
      </c>
      <c r="B292" s="13">
        <v>100</v>
      </c>
      <c r="C292" s="17">
        <v>101.16158110000001</v>
      </c>
      <c r="M292" s="13">
        <f t="shared" si="16"/>
        <v>1.1615810999999976</v>
      </c>
      <c r="O292" s="13">
        <v>289</v>
      </c>
      <c r="P292" s="13">
        <v>100</v>
      </c>
      <c r="Q292" s="17">
        <v>96.912565459999996</v>
      </c>
      <c r="AA292" s="13">
        <f t="shared" si="17"/>
        <v>-3.0874345400000003</v>
      </c>
      <c r="AC292" s="23"/>
      <c r="AD292" s="23"/>
      <c r="AE292" s="23"/>
      <c r="AF292" s="23"/>
      <c r="AG292" s="23"/>
      <c r="AI292" s="13">
        <v>289</v>
      </c>
      <c r="AJ292" s="13">
        <v>100</v>
      </c>
      <c r="AK292" s="17">
        <v>100.1243162</v>
      </c>
      <c r="AV292" s="13">
        <f t="shared" si="18"/>
        <v>0.12431619999999644</v>
      </c>
      <c r="BD292" s="13">
        <v>289</v>
      </c>
      <c r="BE292" s="13">
        <v>100</v>
      </c>
      <c r="BF292" s="17">
        <v>100.0171184</v>
      </c>
      <c r="BQ292" s="13">
        <f t="shared" si="19"/>
        <v>1.7118400000004641E-2</v>
      </c>
    </row>
    <row r="293" spans="1:69">
      <c r="A293" s="13">
        <v>290</v>
      </c>
      <c r="B293" s="13">
        <v>166</v>
      </c>
      <c r="C293" s="17">
        <v>166.25509479999999</v>
      </c>
      <c r="M293" s="13">
        <f t="shared" si="16"/>
        <v>0.15367156626506784</v>
      </c>
      <c r="O293" s="13">
        <v>290</v>
      </c>
      <c r="P293" s="13">
        <v>166</v>
      </c>
      <c r="Q293" s="17">
        <v>164.68836809999999</v>
      </c>
      <c r="AA293" s="13">
        <f t="shared" si="17"/>
        <v>-0.79013969879518919</v>
      </c>
      <c r="AC293" s="23"/>
      <c r="AD293" s="23"/>
      <c r="AE293" s="23"/>
      <c r="AF293" s="23"/>
      <c r="AG293" s="23"/>
      <c r="AI293" s="13">
        <v>290</v>
      </c>
      <c r="AJ293" s="13">
        <v>166</v>
      </c>
      <c r="AK293" s="17">
        <v>166.18501900000001</v>
      </c>
      <c r="AV293" s="13">
        <f t="shared" si="18"/>
        <v>0.111457228915679</v>
      </c>
      <c r="BD293" s="13">
        <v>290</v>
      </c>
      <c r="BE293" s="13">
        <v>166</v>
      </c>
      <c r="BF293" s="17">
        <v>166.4196858</v>
      </c>
      <c r="BQ293" s="13">
        <f t="shared" si="19"/>
        <v>0.25282277108433782</v>
      </c>
    </row>
    <row r="294" spans="1:69">
      <c r="A294" s="13">
        <v>291</v>
      </c>
      <c r="B294" s="13">
        <v>68</v>
      </c>
      <c r="C294" s="17">
        <v>70.34214996</v>
      </c>
      <c r="M294" s="13">
        <f t="shared" ref="M294:M357" si="20">((C294/B294)-1)*100</f>
        <v>3.4443381764705849</v>
      </c>
      <c r="O294" s="13">
        <v>291</v>
      </c>
      <c r="P294" s="13">
        <v>68</v>
      </c>
      <c r="Q294" s="17">
        <v>71.181827830000003</v>
      </c>
      <c r="AA294" s="13">
        <f t="shared" si="17"/>
        <v>4.6791585735294072</v>
      </c>
      <c r="AC294" s="23"/>
      <c r="AD294" s="23"/>
      <c r="AE294" s="23"/>
      <c r="AF294" s="23"/>
      <c r="AG294" s="23"/>
      <c r="AI294" s="13">
        <v>291</v>
      </c>
      <c r="AJ294" s="13">
        <v>68</v>
      </c>
      <c r="AK294" s="17">
        <v>68.248429990000005</v>
      </c>
      <c r="AV294" s="13">
        <f t="shared" si="18"/>
        <v>0.3653382205882405</v>
      </c>
      <c r="BD294" s="13">
        <v>291</v>
      </c>
      <c r="BE294" s="13">
        <v>68</v>
      </c>
      <c r="BF294" s="17">
        <v>68.693265719999999</v>
      </c>
      <c r="BQ294" s="13">
        <f t="shared" si="19"/>
        <v>1.0195084117647024</v>
      </c>
    </row>
    <row r="295" spans="1:69">
      <c r="A295" s="13">
        <v>292</v>
      </c>
      <c r="B295" s="13">
        <v>26</v>
      </c>
      <c r="C295" s="17">
        <v>37.118118170000002</v>
      </c>
      <c r="M295" s="13">
        <f t="shared" si="20"/>
        <v>42.761992961538468</v>
      </c>
      <c r="O295" s="13">
        <v>292</v>
      </c>
      <c r="P295" s="13">
        <v>26</v>
      </c>
      <c r="Q295" s="17">
        <v>40.499740490000001</v>
      </c>
      <c r="AA295" s="13">
        <f t="shared" si="17"/>
        <v>55.768232653846162</v>
      </c>
      <c r="AC295" s="23"/>
      <c r="AD295" s="23"/>
      <c r="AE295" s="23"/>
      <c r="AF295" s="23"/>
      <c r="AG295" s="23"/>
      <c r="AI295" s="13">
        <v>292</v>
      </c>
      <c r="AJ295" s="13">
        <v>26</v>
      </c>
      <c r="AK295" s="17">
        <v>28.222863629999999</v>
      </c>
      <c r="AV295" s="13">
        <f t="shared" si="18"/>
        <v>8.5494755000000033</v>
      </c>
      <c r="BD295" s="13">
        <v>292</v>
      </c>
      <c r="BE295" s="13">
        <v>26</v>
      </c>
      <c r="BF295" s="17">
        <v>29.854724919999999</v>
      </c>
      <c r="BQ295" s="13">
        <f t="shared" si="19"/>
        <v>14.825865076923073</v>
      </c>
    </row>
    <row r="296" spans="1:69">
      <c r="A296" s="13">
        <v>293</v>
      </c>
      <c r="B296" s="13">
        <v>40</v>
      </c>
      <c r="C296" s="17">
        <v>39.502456050549</v>
      </c>
      <c r="M296" s="13">
        <f t="shared" si="20"/>
        <v>-1.2438598736274953</v>
      </c>
      <c r="O296" s="13">
        <v>293</v>
      </c>
      <c r="P296" s="13">
        <v>40</v>
      </c>
      <c r="Q296" s="17">
        <v>59.878247138142399</v>
      </c>
      <c r="AA296" s="13">
        <f t="shared" si="17"/>
        <v>49.69561784535599</v>
      </c>
      <c r="AC296" s="23"/>
      <c r="AD296" s="23"/>
      <c r="AE296" s="23"/>
      <c r="AF296" s="23"/>
      <c r="AG296" s="23"/>
      <c r="AI296" s="13">
        <v>293</v>
      </c>
      <c r="AJ296" s="13">
        <v>40</v>
      </c>
      <c r="AK296" s="17">
        <v>34.648075380000002</v>
      </c>
      <c r="AV296" s="13">
        <f t="shared" si="18"/>
        <v>-13.379811549999998</v>
      </c>
      <c r="BD296" s="13">
        <v>293</v>
      </c>
      <c r="BE296" s="13">
        <v>40</v>
      </c>
      <c r="BF296" s="17">
        <v>29.100338430000001</v>
      </c>
      <c r="BQ296" s="13">
        <f t="shared" si="19"/>
        <v>-27.249153925000002</v>
      </c>
    </row>
    <row r="297" spans="1:69">
      <c r="A297" s="13">
        <v>294</v>
      </c>
      <c r="B297" s="13">
        <v>12</v>
      </c>
      <c r="C297" s="17">
        <v>12.412683400000001</v>
      </c>
      <c r="M297" s="13">
        <f t="shared" si="20"/>
        <v>3.4390283333333382</v>
      </c>
      <c r="O297" s="13">
        <v>294</v>
      </c>
      <c r="P297" s="13">
        <v>12</v>
      </c>
      <c r="Q297" s="17">
        <v>13.207286720000001</v>
      </c>
      <c r="AA297" s="13">
        <f t="shared" si="17"/>
        <v>10.060722666666667</v>
      </c>
      <c r="AC297" s="23"/>
      <c r="AD297" s="23"/>
      <c r="AE297" s="23"/>
      <c r="AF297" s="23"/>
      <c r="AG297" s="23"/>
      <c r="AI297" s="13">
        <v>294</v>
      </c>
      <c r="AJ297" s="13">
        <v>12</v>
      </c>
      <c r="AK297" s="17">
        <v>12.08183668</v>
      </c>
      <c r="AV297" s="13">
        <f t="shared" si="18"/>
        <v>0.68197233333333607</v>
      </c>
      <c r="BD297" s="13">
        <v>294</v>
      </c>
      <c r="BE297" s="13">
        <v>12</v>
      </c>
      <c r="BF297" s="17">
        <v>11.65201317</v>
      </c>
      <c r="BQ297" s="13">
        <f t="shared" si="19"/>
        <v>-2.8998902500000034</v>
      </c>
    </row>
    <row r="298" spans="1:69">
      <c r="A298" s="13">
        <v>295</v>
      </c>
      <c r="B298" s="13">
        <v>147</v>
      </c>
      <c r="C298" s="17">
        <v>117.8894926</v>
      </c>
      <c r="M298" s="13">
        <f t="shared" si="20"/>
        <v>-19.803066258503399</v>
      </c>
      <c r="O298" s="13">
        <v>295</v>
      </c>
      <c r="P298" s="13">
        <v>147</v>
      </c>
      <c r="Q298" s="17">
        <v>114.7315182</v>
      </c>
      <c r="AA298" s="13">
        <f t="shared" si="17"/>
        <v>-21.951348163265305</v>
      </c>
      <c r="AC298" s="23"/>
      <c r="AD298" s="23"/>
      <c r="AE298" s="23"/>
      <c r="AF298" s="23"/>
      <c r="AG298" s="23"/>
      <c r="AI298" s="13">
        <v>295</v>
      </c>
      <c r="AJ298" s="13">
        <v>147</v>
      </c>
      <c r="AK298" s="17">
        <v>141.12789849999999</v>
      </c>
      <c r="AV298" s="13">
        <f t="shared" si="18"/>
        <v>-3.9946268707483079</v>
      </c>
      <c r="BD298" s="13">
        <v>295</v>
      </c>
      <c r="BE298" s="13">
        <v>147</v>
      </c>
      <c r="BF298" s="17">
        <v>134.5518567</v>
      </c>
      <c r="BQ298" s="13">
        <f t="shared" si="19"/>
        <v>-8.4681246938775541</v>
      </c>
    </row>
    <row r="299" spans="1:69">
      <c r="A299" s="13">
        <v>296</v>
      </c>
      <c r="B299" s="13">
        <v>211</v>
      </c>
      <c r="C299" s="17">
        <v>180.4362922</v>
      </c>
      <c r="M299" s="13">
        <f t="shared" si="20"/>
        <v>-14.485169573459721</v>
      </c>
      <c r="O299" s="13">
        <v>296</v>
      </c>
      <c r="P299" s="13">
        <v>211</v>
      </c>
      <c r="Q299" s="17">
        <v>174.57474239999999</v>
      </c>
      <c r="AA299" s="13">
        <f t="shared" si="17"/>
        <v>-17.26315526066351</v>
      </c>
      <c r="AC299" s="23"/>
      <c r="AD299" s="23"/>
      <c r="AE299" s="23"/>
      <c r="AF299" s="23"/>
      <c r="AG299" s="23"/>
      <c r="AI299" s="13">
        <v>296</v>
      </c>
      <c r="AJ299" s="13">
        <v>211</v>
      </c>
      <c r="AK299" s="17">
        <v>204.7372584</v>
      </c>
      <c r="AV299" s="13">
        <f t="shared" si="18"/>
        <v>-2.9681239810426585</v>
      </c>
      <c r="BD299" s="13">
        <v>296</v>
      </c>
      <c r="BE299" s="13">
        <v>211</v>
      </c>
      <c r="BF299" s="17">
        <v>198.08929359999999</v>
      </c>
      <c r="BQ299" s="13">
        <f t="shared" si="19"/>
        <v>-6.118818199052134</v>
      </c>
    </row>
    <row r="300" spans="1:69">
      <c r="A300" s="13">
        <v>297</v>
      </c>
      <c r="B300" s="13">
        <v>192</v>
      </c>
      <c r="C300" s="17">
        <v>162.14195319999999</v>
      </c>
      <c r="M300" s="13">
        <f t="shared" si="20"/>
        <v>-15.551066041666672</v>
      </c>
      <c r="O300" s="13">
        <v>297</v>
      </c>
      <c r="P300" s="13">
        <v>192</v>
      </c>
      <c r="Q300" s="17">
        <v>160.44271359999999</v>
      </c>
      <c r="AA300" s="13">
        <f t="shared" si="17"/>
        <v>-16.436086666666672</v>
      </c>
      <c r="AC300" s="23"/>
      <c r="AD300" s="23"/>
      <c r="AE300" s="23"/>
      <c r="AF300" s="23"/>
      <c r="AG300" s="23"/>
      <c r="AI300" s="13">
        <v>297</v>
      </c>
      <c r="AJ300" s="13">
        <v>192</v>
      </c>
      <c r="AK300" s="17">
        <v>186.24039060000001</v>
      </c>
      <c r="AV300" s="13">
        <f t="shared" si="18"/>
        <v>-2.99979656249999</v>
      </c>
      <c r="BD300" s="13">
        <v>297</v>
      </c>
      <c r="BE300" s="13">
        <v>192</v>
      </c>
      <c r="BF300" s="17">
        <v>180.02441039999999</v>
      </c>
      <c r="BQ300" s="13">
        <f t="shared" si="19"/>
        <v>-6.2372862500000075</v>
      </c>
    </row>
    <row r="301" spans="1:69">
      <c r="A301" s="13">
        <v>298</v>
      </c>
      <c r="B301" s="13">
        <v>154</v>
      </c>
      <c r="C301" s="17">
        <v>125.1701604</v>
      </c>
      <c r="M301" s="13">
        <f t="shared" si="20"/>
        <v>-18.720675064935065</v>
      </c>
      <c r="O301" s="13">
        <v>298</v>
      </c>
      <c r="P301" s="13">
        <v>154</v>
      </c>
      <c r="Q301" s="17">
        <v>117.2964851</v>
      </c>
      <c r="AA301" s="13">
        <f t="shared" si="17"/>
        <v>-23.833451233766233</v>
      </c>
      <c r="AC301" s="23"/>
      <c r="AD301" s="23"/>
      <c r="AE301" s="23"/>
      <c r="AF301" s="23"/>
      <c r="AG301" s="23"/>
      <c r="AI301" s="13">
        <v>298</v>
      </c>
      <c r="AJ301" s="13">
        <v>154</v>
      </c>
      <c r="AK301" s="17">
        <v>148.06803210000001</v>
      </c>
      <c r="AV301" s="13">
        <f t="shared" si="18"/>
        <v>-3.8519272077922051</v>
      </c>
      <c r="BD301" s="13">
        <v>298</v>
      </c>
      <c r="BE301" s="13">
        <v>154</v>
      </c>
      <c r="BF301" s="17">
        <v>142.0229301</v>
      </c>
      <c r="BQ301" s="13">
        <f t="shared" si="19"/>
        <v>-7.777318116883114</v>
      </c>
    </row>
    <row r="302" spans="1:69">
      <c r="A302" s="13">
        <v>299</v>
      </c>
      <c r="B302" s="13">
        <v>211</v>
      </c>
      <c r="C302" s="17">
        <v>210.60458370000001</v>
      </c>
      <c r="M302" s="13">
        <f t="shared" si="20"/>
        <v>-0.18740109004738992</v>
      </c>
      <c r="O302" s="13">
        <v>299</v>
      </c>
      <c r="P302" s="13">
        <v>211</v>
      </c>
      <c r="Q302" s="17">
        <v>203.69050730000001</v>
      </c>
      <c r="AA302" s="13">
        <f t="shared" si="17"/>
        <v>-3.4642145497630339</v>
      </c>
      <c r="AC302" s="23"/>
      <c r="AD302" s="23"/>
      <c r="AE302" s="23"/>
      <c r="AF302" s="23"/>
      <c r="AG302" s="23"/>
      <c r="AI302" s="13">
        <v>299</v>
      </c>
      <c r="AJ302" s="13">
        <v>211</v>
      </c>
      <c r="AK302" s="17">
        <v>210.7669167</v>
      </c>
      <c r="AV302" s="13">
        <f t="shared" si="18"/>
        <v>-0.11046601895734476</v>
      </c>
      <c r="BD302" s="13">
        <v>299</v>
      </c>
      <c r="BE302" s="13">
        <v>211</v>
      </c>
      <c r="BF302" s="17">
        <v>210.81060880000001</v>
      </c>
      <c r="BQ302" s="13">
        <f t="shared" si="19"/>
        <v>-8.9758862559241592E-2</v>
      </c>
    </row>
    <row r="303" spans="1:69">
      <c r="A303" s="13">
        <v>300</v>
      </c>
      <c r="B303" s="13">
        <v>39</v>
      </c>
      <c r="C303" s="17">
        <v>46.7804238636161</v>
      </c>
      <c r="M303" s="13">
        <f t="shared" si="20"/>
        <v>19.949804778502809</v>
      </c>
      <c r="O303" s="13">
        <v>300</v>
      </c>
      <c r="P303" s="13">
        <v>39</v>
      </c>
      <c r="Q303" s="17">
        <v>31.648648086447601</v>
      </c>
      <c r="AA303" s="13">
        <f t="shared" si="17"/>
        <v>-18.849620291159997</v>
      </c>
      <c r="AC303" s="23"/>
      <c r="AD303" s="23"/>
      <c r="AE303" s="23"/>
      <c r="AF303" s="23"/>
      <c r="AG303" s="23"/>
      <c r="AI303" s="13">
        <v>300</v>
      </c>
      <c r="AJ303" s="13">
        <v>39</v>
      </c>
      <c r="AK303" s="17">
        <v>32.659328649999999</v>
      </c>
      <c r="AV303" s="13">
        <f t="shared" si="18"/>
        <v>-16.258131666666664</v>
      </c>
      <c r="BD303" s="13">
        <v>300</v>
      </c>
      <c r="BE303" s="13">
        <v>39</v>
      </c>
      <c r="BF303" s="17">
        <v>25.77284564</v>
      </c>
      <c r="BQ303" s="13">
        <f t="shared" si="19"/>
        <v>-33.91578041025641</v>
      </c>
    </row>
    <row r="304" spans="1:69">
      <c r="A304" s="13">
        <v>301</v>
      </c>
      <c r="B304" s="13">
        <v>183</v>
      </c>
      <c r="C304" s="17">
        <v>181.55510910000001</v>
      </c>
      <c r="M304" s="13">
        <f t="shared" si="20"/>
        <v>-0.78955786885245294</v>
      </c>
      <c r="O304" s="13">
        <v>301</v>
      </c>
      <c r="P304" s="13">
        <v>183</v>
      </c>
      <c r="Q304" s="17">
        <v>176.84508020000001</v>
      </c>
      <c r="AA304" s="13">
        <f t="shared" si="17"/>
        <v>-3.3633441530054542</v>
      </c>
      <c r="AC304" s="23"/>
      <c r="AD304" s="23"/>
      <c r="AE304" s="23"/>
      <c r="AF304" s="23"/>
      <c r="AG304" s="23"/>
      <c r="AI304" s="13">
        <v>301</v>
      </c>
      <c r="AJ304" s="13">
        <v>183</v>
      </c>
      <c r="AK304" s="17">
        <v>182.54302179999999</v>
      </c>
      <c r="AV304" s="13">
        <f t="shared" si="18"/>
        <v>-0.24971486338798421</v>
      </c>
      <c r="BD304" s="13">
        <v>301</v>
      </c>
      <c r="BE304" s="13">
        <v>183</v>
      </c>
      <c r="BF304" s="17">
        <v>182.410968</v>
      </c>
      <c r="BQ304" s="13">
        <f t="shared" si="19"/>
        <v>-0.32187540983606988</v>
      </c>
    </row>
    <row r="305" spans="1:69">
      <c r="A305" s="13">
        <v>302</v>
      </c>
      <c r="B305" s="13">
        <v>80</v>
      </c>
      <c r="C305" s="17">
        <v>80.473311839999994</v>
      </c>
      <c r="M305" s="13">
        <f t="shared" si="20"/>
        <v>0.59163979999998784</v>
      </c>
      <c r="O305" s="13">
        <v>302</v>
      </c>
      <c r="P305" s="13">
        <v>80</v>
      </c>
      <c r="Q305" s="17">
        <v>75.68806635</v>
      </c>
      <c r="AA305" s="13">
        <f t="shared" si="17"/>
        <v>-5.3899170625000048</v>
      </c>
      <c r="AC305" s="23"/>
      <c r="AD305" s="23"/>
      <c r="AE305" s="23"/>
      <c r="AF305" s="23"/>
      <c r="AG305" s="23"/>
      <c r="AI305" s="13">
        <v>302</v>
      </c>
      <c r="AJ305" s="13">
        <v>80</v>
      </c>
      <c r="AK305" s="17">
        <v>80.410662369999997</v>
      </c>
      <c r="AV305" s="13">
        <f t="shared" si="18"/>
        <v>0.51332796249998758</v>
      </c>
      <c r="BD305" s="13">
        <v>302</v>
      </c>
      <c r="BE305" s="13">
        <v>80</v>
      </c>
      <c r="BF305" s="17">
        <v>79.943764990000005</v>
      </c>
      <c r="BQ305" s="13">
        <f t="shared" si="19"/>
        <v>-7.0293762499995527E-2</v>
      </c>
    </row>
    <row r="306" spans="1:69">
      <c r="A306" s="13">
        <v>303</v>
      </c>
      <c r="B306" s="13">
        <v>176</v>
      </c>
      <c r="C306" s="17">
        <v>185.2273562</v>
      </c>
      <c r="M306" s="13">
        <f t="shared" si="20"/>
        <v>5.2428160227272702</v>
      </c>
      <c r="O306" s="13">
        <v>303</v>
      </c>
      <c r="P306" s="13">
        <v>176</v>
      </c>
      <c r="Q306" s="17">
        <v>179.28984449999999</v>
      </c>
      <c r="AA306" s="13">
        <f t="shared" si="17"/>
        <v>1.869229829545449</v>
      </c>
      <c r="AC306" s="23"/>
      <c r="AD306" s="23"/>
      <c r="AE306" s="23"/>
      <c r="AF306" s="23"/>
      <c r="AG306" s="23"/>
      <c r="AI306" s="13">
        <v>303</v>
      </c>
      <c r="AJ306" s="13">
        <v>176</v>
      </c>
      <c r="AK306" s="17">
        <v>177.7454712</v>
      </c>
      <c r="AV306" s="13">
        <f t="shared" si="18"/>
        <v>0.99174499999998833</v>
      </c>
      <c r="BD306" s="13">
        <v>303</v>
      </c>
      <c r="BE306" s="13">
        <v>176</v>
      </c>
      <c r="BF306" s="17">
        <v>179.53857619999999</v>
      </c>
      <c r="BQ306" s="13">
        <f t="shared" si="19"/>
        <v>2.0105546590909018</v>
      </c>
    </row>
    <row r="307" spans="1:69">
      <c r="A307" s="13">
        <v>304</v>
      </c>
      <c r="B307" s="13">
        <v>126</v>
      </c>
      <c r="C307" s="17">
        <v>136.45765460000001</v>
      </c>
      <c r="M307" s="13">
        <f t="shared" si="20"/>
        <v>8.299725873015884</v>
      </c>
      <c r="O307" s="13">
        <v>304</v>
      </c>
      <c r="P307" s="13">
        <v>126</v>
      </c>
      <c r="Q307" s="17">
        <v>134.74689889999999</v>
      </c>
      <c r="AA307" s="13">
        <f t="shared" si="17"/>
        <v>6.9419832539682425</v>
      </c>
      <c r="AC307" s="23"/>
      <c r="AD307" s="23"/>
      <c r="AE307" s="23"/>
      <c r="AF307" s="23"/>
      <c r="AG307" s="23"/>
      <c r="AI307" s="13">
        <v>304</v>
      </c>
      <c r="AJ307" s="13">
        <v>126</v>
      </c>
      <c r="AK307" s="17">
        <v>127.95153089999999</v>
      </c>
      <c r="AV307" s="13">
        <f t="shared" si="18"/>
        <v>1.5488340476190521</v>
      </c>
      <c r="BD307" s="13">
        <v>304</v>
      </c>
      <c r="BE307" s="13">
        <v>126</v>
      </c>
      <c r="BF307" s="17">
        <v>130.35219280000001</v>
      </c>
      <c r="BQ307" s="13">
        <f t="shared" si="19"/>
        <v>3.4541212698412815</v>
      </c>
    </row>
    <row r="308" spans="1:69">
      <c r="A308" s="13">
        <v>305</v>
      </c>
      <c r="B308" s="13">
        <v>168</v>
      </c>
      <c r="C308" s="17">
        <v>139.0487641</v>
      </c>
      <c r="M308" s="13">
        <f t="shared" si="20"/>
        <v>-17.232878511904758</v>
      </c>
      <c r="O308" s="13">
        <v>305</v>
      </c>
      <c r="P308" s="13">
        <v>168</v>
      </c>
      <c r="Q308" s="17">
        <v>138.25173570000001</v>
      </c>
      <c r="AA308" s="13">
        <f t="shared" si="17"/>
        <v>-17.707300178571415</v>
      </c>
      <c r="AC308" s="23"/>
      <c r="AD308" s="23"/>
      <c r="AE308" s="23"/>
      <c r="AF308" s="23"/>
      <c r="AG308" s="23"/>
      <c r="AI308" s="13">
        <v>305</v>
      </c>
      <c r="AJ308" s="13">
        <v>168</v>
      </c>
      <c r="AK308" s="17">
        <v>162.17175280000001</v>
      </c>
      <c r="AV308" s="13">
        <f t="shared" si="18"/>
        <v>-3.4691947619047592</v>
      </c>
      <c r="BD308" s="13">
        <v>305</v>
      </c>
      <c r="BE308" s="13">
        <v>168</v>
      </c>
      <c r="BF308" s="17">
        <v>156.49084239999999</v>
      </c>
      <c r="BQ308" s="13">
        <f t="shared" si="19"/>
        <v>-6.8506890476190518</v>
      </c>
    </row>
    <row r="309" spans="1:69">
      <c r="A309" s="13">
        <v>306</v>
      </c>
      <c r="B309" s="13">
        <v>165</v>
      </c>
      <c r="C309" s="17">
        <v>134.01482440000001</v>
      </c>
      <c r="M309" s="13">
        <f t="shared" si="20"/>
        <v>-18.778894303030302</v>
      </c>
      <c r="O309" s="13">
        <v>306</v>
      </c>
      <c r="P309" s="13">
        <v>165</v>
      </c>
      <c r="Q309" s="17">
        <v>130.49508299999999</v>
      </c>
      <c r="AA309" s="13">
        <f t="shared" si="17"/>
        <v>-20.912070909090907</v>
      </c>
      <c r="AC309" s="23"/>
      <c r="AD309" s="23"/>
      <c r="AE309" s="23"/>
      <c r="AF309" s="23"/>
      <c r="AG309" s="23"/>
      <c r="AI309" s="13">
        <v>306</v>
      </c>
      <c r="AJ309" s="13">
        <v>165</v>
      </c>
      <c r="AK309" s="17">
        <v>158.70896490000001</v>
      </c>
      <c r="AV309" s="13">
        <f t="shared" si="18"/>
        <v>-3.8127485454545362</v>
      </c>
      <c r="BD309" s="13">
        <v>306</v>
      </c>
      <c r="BE309" s="13">
        <v>165</v>
      </c>
      <c r="BF309" s="17">
        <v>153.10078659999999</v>
      </c>
      <c r="BQ309" s="13">
        <f t="shared" si="19"/>
        <v>-7.21164448484849</v>
      </c>
    </row>
    <row r="310" spans="1:69">
      <c r="A310" s="13">
        <v>307</v>
      </c>
      <c r="B310" s="13">
        <v>61</v>
      </c>
      <c r="C310" s="17">
        <v>72.092143550000003</v>
      </c>
      <c r="M310" s="13">
        <f t="shared" si="20"/>
        <v>18.183841885245911</v>
      </c>
      <c r="O310" s="13">
        <v>307</v>
      </c>
      <c r="P310" s="13">
        <v>61</v>
      </c>
      <c r="Q310" s="17">
        <v>71.064838210000005</v>
      </c>
      <c r="AA310" s="13">
        <f t="shared" si="17"/>
        <v>16.499734770491802</v>
      </c>
      <c r="AC310" s="23"/>
      <c r="AD310" s="23"/>
      <c r="AE310" s="23"/>
      <c r="AF310" s="23"/>
      <c r="AG310" s="23"/>
      <c r="AI310" s="13">
        <v>307</v>
      </c>
      <c r="AJ310" s="13">
        <v>61</v>
      </c>
      <c r="AK310" s="17">
        <v>63.270428709999997</v>
      </c>
      <c r="AV310" s="13">
        <f t="shared" si="18"/>
        <v>3.7220142786885235</v>
      </c>
      <c r="BD310" s="13">
        <v>307</v>
      </c>
      <c r="BE310" s="13">
        <v>61</v>
      </c>
      <c r="BF310" s="17">
        <v>65.165234280000007</v>
      </c>
      <c r="BQ310" s="13">
        <f t="shared" si="19"/>
        <v>6.8282529180327955</v>
      </c>
    </row>
    <row r="311" spans="1:69">
      <c r="A311" s="13">
        <v>308</v>
      </c>
      <c r="B311" s="13">
        <v>160</v>
      </c>
      <c r="C311" s="17">
        <v>161.54177240000001</v>
      </c>
      <c r="M311" s="13">
        <f t="shared" si="20"/>
        <v>0.9636077500000173</v>
      </c>
      <c r="O311" s="13">
        <v>308</v>
      </c>
      <c r="P311" s="13">
        <v>160</v>
      </c>
      <c r="Q311" s="17">
        <v>161.7119069</v>
      </c>
      <c r="AA311" s="13">
        <f t="shared" si="17"/>
        <v>1.0699418124999971</v>
      </c>
      <c r="AC311" s="23"/>
      <c r="AD311" s="23"/>
      <c r="AE311" s="23"/>
      <c r="AF311" s="23"/>
      <c r="AG311" s="23"/>
      <c r="AI311" s="13">
        <v>308</v>
      </c>
      <c r="AJ311" s="13">
        <v>160</v>
      </c>
      <c r="AK311" s="17">
        <v>160.12035449999999</v>
      </c>
      <c r="AV311" s="13">
        <f t="shared" si="18"/>
        <v>7.5221562499994121E-2</v>
      </c>
      <c r="BD311" s="13">
        <v>308</v>
      </c>
      <c r="BE311" s="13">
        <v>160</v>
      </c>
      <c r="BF311" s="17">
        <v>160.42859899999999</v>
      </c>
      <c r="BQ311" s="13">
        <f t="shared" si="19"/>
        <v>0.267874374999999</v>
      </c>
    </row>
    <row r="312" spans="1:69">
      <c r="A312" s="13">
        <v>309</v>
      </c>
      <c r="B312" s="13">
        <v>108</v>
      </c>
      <c r="C312" s="17">
        <v>106.3185313</v>
      </c>
      <c r="M312" s="13">
        <f t="shared" si="20"/>
        <v>-1.55691546296296</v>
      </c>
      <c r="O312" s="13">
        <v>309</v>
      </c>
      <c r="P312" s="13">
        <v>108</v>
      </c>
      <c r="Q312" s="17">
        <v>103.93068409999999</v>
      </c>
      <c r="AA312" s="13">
        <f t="shared" si="17"/>
        <v>-3.7678850925925933</v>
      </c>
      <c r="AC312" s="23"/>
      <c r="AD312" s="23"/>
      <c r="AE312" s="23"/>
      <c r="AF312" s="23"/>
      <c r="AG312" s="23"/>
      <c r="AI312" s="13">
        <v>309</v>
      </c>
      <c r="AJ312" s="13">
        <v>108</v>
      </c>
      <c r="AK312" s="17">
        <v>107.3857063</v>
      </c>
      <c r="AV312" s="13">
        <f t="shared" si="18"/>
        <v>-0.56879046296296476</v>
      </c>
      <c r="BD312" s="13">
        <v>309</v>
      </c>
      <c r="BE312" s="13">
        <v>108</v>
      </c>
      <c r="BF312" s="17">
        <v>107.29326829999999</v>
      </c>
      <c r="BQ312" s="13">
        <f t="shared" si="19"/>
        <v>-0.65438120370371333</v>
      </c>
    </row>
    <row r="313" spans="1:69">
      <c r="A313" s="13">
        <v>310</v>
      </c>
      <c r="B313" s="13">
        <v>209</v>
      </c>
      <c r="C313" s="17">
        <v>178.70874090000001</v>
      </c>
      <c r="M313" s="13">
        <f t="shared" si="20"/>
        <v>-14.493425406698556</v>
      </c>
      <c r="O313" s="13">
        <v>310</v>
      </c>
      <c r="P313" s="13">
        <v>209</v>
      </c>
      <c r="Q313" s="17">
        <v>172.99322950000001</v>
      </c>
      <c r="AA313" s="13">
        <f t="shared" si="17"/>
        <v>-17.228119856459323</v>
      </c>
      <c r="AC313" s="23"/>
      <c r="AD313" s="23"/>
      <c r="AE313" s="23"/>
      <c r="AF313" s="23"/>
      <c r="AG313" s="23"/>
      <c r="AI313" s="13">
        <v>310</v>
      </c>
      <c r="AJ313" s="13">
        <v>209</v>
      </c>
      <c r="AK313" s="17">
        <v>203.05174819999999</v>
      </c>
      <c r="AV313" s="13">
        <f t="shared" si="18"/>
        <v>-2.8460534928229753</v>
      </c>
      <c r="BD313" s="13">
        <v>310</v>
      </c>
      <c r="BE313" s="13">
        <v>209</v>
      </c>
      <c r="BF313" s="17">
        <v>196.43542439999999</v>
      </c>
      <c r="BQ313" s="13">
        <f t="shared" si="19"/>
        <v>-6.011758660287092</v>
      </c>
    </row>
    <row r="314" spans="1:69">
      <c r="A314" s="13">
        <v>311</v>
      </c>
      <c r="B314" s="13">
        <v>123</v>
      </c>
      <c r="C314" s="17">
        <v>92.803447449999993</v>
      </c>
      <c r="M314" s="13">
        <f t="shared" si="20"/>
        <v>-24.550042723577235</v>
      </c>
      <c r="O314" s="13">
        <v>311</v>
      </c>
      <c r="P314" s="13">
        <v>123</v>
      </c>
      <c r="Q314" s="17">
        <v>94.791311100000001</v>
      </c>
      <c r="AA314" s="13">
        <f t="shared" si="17"/>
        <v>-22.933893414634142</v>
      </c>
      <c r="AC314" s="23"/>
      <c r="AD314" s="23"/>
      <c r="AE314" s="23"/>
      <c r="AF314" s="23"/>
      <c r="AG314" s="23"/>
      <c r="AI314" s="13">
        <v>311</v>
      </c>
      <c r="AJ314" s="13">
        <v>123</v>
      </c>
      <c r="AK314" s="17">
        <v>116.9426895</v>
      </c>
      <c r="AV314" s="13">
        <f t="shared" si="18"/>
        <v>-4.9246426829268275</v>
      </c>
      <c r="BD314" s="13">
        <v>311</v>
      </c>
      <c r="BE314" s="13">
        <v>123</v>
      </c>
      <c r="BF314" s="17">
        <v>110.7394575</v>
      </c>
      <c r="BQ314" s="13">
        <f t="shared" si="19"/>
        <v>-9.9679207317073129</v>
      </c>
    </row>
    <row r="315" spans="1:69">
      <c r="A315" s="13">
        <v>312</v>
      </c>
      <c r="B315" s="13">
        <v>31</v>
      </c>
      <c r="C315" s="17">
        <v>27.0278031858108</v>
      </c>
      <c r="M315" s="13">
        <f t="shared" si="20"/>
        <v>-12.813538110287737</v>
      </c>
      <c r="O315" s="13">
        <v>312</v>
      </c>
      <c r="P315" s="13">
        <v>31</v>
      </c>
      <c r="Q315" s="17">
        <v>36.463573453567697</v>
      </c>
      <c r="AA315" s="13">
        <f t="shared" si="17"/>
        <v>17.624430495379674</v>
      </c>
      <c r="AC315" s="23"/>
      <c r="AD315" s="23"/>
      <c r="AE315" s="23"/>
      <c r="AF315" s="23"/>
      <c r="AG315" s="23"/>
      <c r="AI315" s="13">
        <v>312</v>
      </c>
      <c r="AJ315" s="13">
        <v>31</v>
      </c>
      <c r="AK315" s="17">
        <v>25.244697559999999</v>
      </c>
      <c r="AV315" s="13">
        <f t="shared" si="18"/>
        <v>-18.565491741935492</v>
      </c>
      <c r="BD315" s="13">
        <v>312</v>
      </c>
      <c r="BE315" s="13">
        <v>31</v>
      </c>
      <c r="BF315" s="17">
        <v>42.592275906324097</v>
      </c>
      <c r="BQ315" s="13">
        <f t="shared" si="19"/>
        <v>37.394438407497098</v>
      </c>
    </row>
    <row r="316" spans="1:69">
      <c r="A316" s="13">
        <v>313</v>
      </c>
      <c r="B316" s="13">
        <v>167</v>
      </c>
      <c r="C316" s="17">
        <v>176.92458289999999</v>
      </c>
      <c r="M316" s="13">
        <f t="shared" si="20"/>
        <v>5.9428640119760345</v>
      </c>
      <c r="O316" s="13">
        <v>313</v>
      </c>
      <c r="P316" s="13">
        <v>167</v>
      </c>
      <c r="Q316" s="17">
        <v>177.91687300000001</v>
      </c>
      <c r="AA316" s="13">
        <f t="shared" si="17"/>
        <v>6.5370497005988071</v>
      </c>
      <c r="AC316" s="23"/>
      <c r="AD316" s="23"/>
      <c r="AE316" s="23"/>
      <c r="AF316" s="23"/>
      <c r="AG316" s="23"/>
      <c r="AI316" s="13">
        <v>313</v>
      </c>
      <c r="AJ316" s="13">
        <v>167</v>
      </c>
      <c r="AK316" s="17">
        <v>169.0949166</v>
      </c>
      <c r="AV316" s="13">
        <f t="shared" si="18"/>
        <v>1.2544410778443149</v>
      </c>
      <c r="BD316" s="13">
        <v>313</v>
      </c>
      <c r="BE316" s="13">
        <v>167</v>
      </c>
      <c r="BF316" s="17">
        <v>170.78617639999999</v>
      </c>
      <c r="BQ316" s="13">
        <f t="shared" si="19"/>
        <v>2.2671714970059709</v>
      </c>
    </row>
    <row r="317" spans="1:69">
      <c r="A317" s="13">
        <v>314</v>
      </c>
      <c r="B317" s="13">
        <v>109</v>
      </c>
      <c r="C317" s="17">
        <v>82.042574799999997</v>
      </c>
      <c r="M317" s="13">
        <f t="shared" si="20"/>
        <v>-24.73158275229358</v>
      </c>
      <c r="O317" s="13">
        <v>314</v>
      </c>
      <c r="P317" s="13">
        <v>109</v>
      </c>
      <c r="Q317" s="17">
        <v>83.461255429999994</v>
      </c>
      <c r="AA317" s="13">
        <f t="shared" si="17"/>
        <v>-23.430040889908266</v>
      </c>
      <c r="AC317" s="23"/>
      <c r="AD317" s="23"/>
      <c r="AE317" s="23"/>
      <c r="AF317" s="23"/>
      <c r="AG317" s="23"/>
      <c r="AI317" s="13">
        <v>314</v>
      </c>
      <c r="AJ317" s="13">
        <v>109</v>
      </c>
      <c r="AK317" s="17">
        <v>103.706515</v>
      </c>
      <c r="AV317" s="13">
        <f t="shared" si="18"/>
        <v>-4.8564082568807398</v>
      </c>
      <c r="BD317" s="13">
        <v>314</v>
      </c>
      <c r="BE317" s="13">
        <v>109</v>
      </c>
      <c r="BF317" s="17">
        <v>97.618556369999993</v>
      </c>
      <c r="BQ317" s="13">
        <f t="shared" si="19"/>
        <v>-10.441691403669729</v>
      </c>
    </row>
    <row r="318" spans="1:69">
      <c r="A318" s="13">
        <v>315</v>
      </c>
      <c r="B318" s="13">
        <v>132</v>
      </c>
      <c r="C318" s="17">
        <v>142.63764689999999</v>
      </c>
      <c r="M318" s="13">
        <f t="shared" si="20"/>
        <v>8.0588234090908983</v>
      </c>
      <c r="O318" s="13">
        <v>315</v>
      </c>
      <c r="P318" s="13">
        <v>132</v>
      </c>
      <c r="Q318" s="17">
        <v>137.1838358</v>
      </c>
      <c r="AA318" s="13">
        <f t="shared" si="17"/>
        <v>3.9271483333333412</v>
      </c>
      <c r="AC318" s="23"/>
      <c r="AD318" s="23"/>
      <c r="AE318" s="23"/>
      <c r="AF318" s="23"/>
      <c r="AG318" s="23"/>
      <c r="AI318" s="13">
        <v>315</v>
      </c>
      <c r="AJ318" s="13">
        <v>132</v>
      </c>
      <c r="AK318" s="17">
        <v>134.01352940000001</v>
      </c>
      <c r="AV318" s="13">
        <f t="shared" si="18"/>
        <v>1.5254010606060575</v>
      </c>
      <c r="BD318" s="13">
        <v>315</v>
      </c>
      <c r="BE318" s="13">
        <v>132</v>
      </c>
      <c r="BF318" s="17">
        <v>136.1650535</v>
      </c>
      <c r="BQ318" s="13">
        <f t="shared" si="19"/>
        <v>3.1553435606060498</v>
      </c>
    </row>
    <row r="319" spans="1:69">
      <c r="A319" s="13">
        <v>316</v>
      </c>
      <c r="B319" s="13">
        <v>15</v>
      </c>
      <c r="C319" s="17">
        <v>15.522990009130501</v>
      </c>
      <c r="M319" s="13">
        <f t="shared" si="20"/>
        <v>3.4866000608700043</v>
      </c>
      <c r="O319" s="13">
        <v>316</v>
      </c>
      <c r="P319" s="13">
        <v>15</v>
      </c>
      <c r="Q319" s="17">
        <v>10.903458129330399</v>
      </c>
      <c r="AA319" s="13">
        <f t="shared" si="17"/>
        <v>-27.310279137797334</v>
      </c>
      <c r="AC319" s="23"/>
      <c r="AD319" s="23"/>
      <c r="AE319" s="23"/>
      <c r="AF319" s="23"/>
      <c r="AG319" s="23"/>
      <c r="AI319" s="13">
        <v>316</v>
      </c>
      <c r="AJ319" s="13">
        <v>15</v>
      </c>
      <c r="AK319" s="17">
        <v>17.344780629999999</v>
      </c>
      <c r="AV319" s="13">
        <f t="shared" si="18"/>
        <v>15.631870866666663</v>
      </c>
      <c r="BD319" s="13">
        <v>316</v>
      </c>
      <c r="BE319" s="13">
        <v>15</v>
      </c>
      <c r="BF319" s="17">
        <v>19.16885314</v>
      </c>
      <c r="BQ319" s="13">
        <f t="shared" si="19"/>
        <v>27.792354266666663</v>
      </c>
    </row>
    <row r="320" spans="1:69">
      <c r="A320" s="13">
        <v>317</v>
      </c>
      <c r="B320" s="13">
        <v>69</v>
      </c>
      <c r="C320" s="17">
        <v>69.100293539999996</v>
      </c>
      <c r="M320" s="13">
        <f t="shared" si="20"/>
        <v>0.14535295652173819</v>
      </c>
      <c r="O320" s="13">
        <v>317</v>
      </c>
      <c r="P320" s="13">
        <v>69</v>
      </c>
      <c r="Q320" s="17">
        <v>65.376348239999999</v>
      </c>
      <c r="AA320" s="13">
        <f t="shared" si="17"/>
        <v>-5.2516692173913082</v>
      </c>
      <c r="AC320" s="23"/>
      <c r="AD320" s="23"/>
      <c r="AE320" s="23"/>
      <c r="AF320" s="23"/>
      <c r="AG320" s="23"/>
      <c r="AI320" s="13">
        <v>317</v>
      </c>
      <c r="AJ320" s="13">
        <v>69</v>
      </c>
      <c r="AK320" s="17">
        <v>68.856058709999999</v>
      </c>
      <c r="AV320" s="13">
        <f t="shared" si="18"/>
        <v>-0.20861056521739307</v>
      </c>
      <c r="BD320" s="13">
        <v>317</v>
      </c>
      <c r="BE320" s="13">
        <v>69</v>
      </c>
      <c r="BF320" s="17">
        <v>68.450658930000003</v>
      </c>
      <c r="BQ320" s="13">
        <f t="shared" si="19"/>
        <v>-0.79614647826086182</v>
      </c>
    </row>
    <row r="321" spans="1:69">
      <c r="A321" s="13">
        <v>318</v>
      </c>
      <c r="B321" s="13">
        <v>246</v>
      </c>
      <c r="C321" s="17">
        <v>214.71145849999999</v>
      </c>
      <c r="M321" s="13">
        <f t="shared" si="20"/>
        <v>-12.718919308943089</v>
      </c>
      <c r="O321" s="13">
        <v>318</v>
      </c>
      <c r="P321" s="13">
        <v>246</v>
      </c>
      <c r="Q321" s="17">
        <v>205.1775471</v>
      </c>
      <c r="AA321" s="13">
        <f t="shared" si="17"/>
        <v>-16.594493048780489</v>
      </c>
      <c r="AC321" s="23"/>
      <c r="AD321" s="23"/>
      <c r="AE321" s="23"/>
      <c r="AF321" s="23"/>
      <c r="AG321" s="23"/>
      <c r="AI321" s="13">
        <v>318</v>
      </c>
      <c r="AJ321" s="13">
        <v>246</v>
      </c>
      <c r="AK321" s="17">
        <v>239.36829169999999</v>
      </c>
      <c r="AV321" s="13">
        <f t="shared" si="18"/>
        <v>-2.6958163821138248</v>
      </c>
      <c r="BD321" s="13">
        <v>318</v>
      </c>
      <c r="BE321" s="13">
        <v>246</v>
      </c>
      <c r="BF321" s="17">
        <v>233.33885140000001</v>
      </c>
      <c r="BQ321" s="13">
        <f t="shared" si="19"/>
        <v>-5.1468083739837356</v>
      </c>
    </row>
    <row r="322" spans="1:69">
      <c r="A322" s="13">
        <v>319</v>
      </c>
      <c r="B322" s="13">
        <v>239</v>
      </c>
      <c r="C322" s="17">
        <v>208.17510089999999</v>
      </c>
      <c r="M322" s="13">
        <f t="shared" si="20"/>
        <v>-12.897447322175736</v>
      </c>
      <c r="O322" s="13">
        <v>319</v>
      </c>
      <c r="P322" s="13">
        <v>239</v>
      </c>
      <c r="Q322" s="17">
        <v>200.14897479999999</v>
      </c>
      <c r="AA322" s="13">
        <f t="shared" si="17"/>
        <v>-16.25565907949791</v>
      </c>
      <c r="AC322" s="23"/>
      <c r="AD322" s="23"/>
      <c r="AE322" s="23"/>
      <c r="AF322" s="23"/>
      <c r="AG322" s="23"/>
      <c r="AI322" s="13">
        <v>319</v>
      </c>
      <c r="AJ322" s="13">
        <v>239</v>
      </c>
      <c r="AK322" s="17">
        <v>232.72302020000001</v>
      </c>
      <c r="AV322" s="13">
        <f t="shared" si="18"/>
        <v>-2.6263513807531336</v>
      </c>
      <c r="BD322" s="13">
        <v>319</v>
      </c>
      <c r="BE322" s="13">
        <v>239</v>
      </c>
      <c r="BF322" s="17">
        <v>226.3908926</v>
      </c>
      <c r="BQ322" s="13">
        <f t="shared" si="19"/>
        <v>-5.2757771548117116</v>
      </c>
    </row>
    <row r="323" spans="1:69">
      <c r="A323" s="13">
        <v>320</v>
      </c>
      <c r="B323" s="13">
        <v>163</v>
      </c>
      <c r="C323" s="17">
        <v>173.94738459999999</v>
      </c>
      <c r="M323" s="13">
        <f t="shared" si="20"/>
        <v>6.7161868711656414</v>
      </c>
      <c r="O323" s="13">
        <v>320</v>
      </c>
      <c r="P323" s="13">
        <v>163</v>
      </c>
      <c r="Q323" s="17">
        <v>168.9393493</v>
      </c>
      <c r="AA323" s="13">
        <f t="shared" ref="AA323:AA386" si="21">((Q323/P323)-1)*100</f>
        <v>3.6437725766871099</v>
      </c>
      <c r="AC323" s="23"/>
      <c r="AD323" s="23"/>
      <c r="AE323" s="23"/>
      <c r="AF323" s="23"/>
      <c r="AG323" s="23"/>
      <c r="AI323" s="13">
        <v>320</v>
      </c>
      <c r="AJ323" s="13">
        <v>163</v>
      </c>
      <c r="AK323" s="17">
        <v>165.07147689999999</v>
      </c>
      <c r="AV323" s="13">
        <f t="shared" ref="AV323:AV386" si="22">((AK323/AJ323)-1)*100</f>
        <v>1.2708447239263787</v>
      </c>
      <c r="BD323" s="13">
        <v>320</v>
      </c>
      <c r="BE323" s="13">
        <v>163</v>
      </c>
      <c r="BF323" s="17">
        <v>167.61867960000001</v>
      </c>
      <c r="BQ323" s="13">
        <f t="shared" si="19"/>
        <v>2.8335457668711594</v>
      </c>
    </row>
    <row r="324" spans="1:69">
      <c r="A324" s="13">
        <v>321</v>
      </c>
      <c r="B324" s="13">
        <v>90</v>
      </c>
      <c r="C324" s="17">
        <v>59.35217952</v>
      </c>
      <c r="M324" s="13">
        <f t="shared" si="20"/>
        <v>-34.053133866666663</v>
      </c>
      <c r="O324" s="13">
        <v>321</v>
      </c>
      <c r="P324" s="13">
        <v>90</v>
      </c>
      <c r="Q324" s="17">
        <v>60.017622959999997</v>
      </c>
      <c r="AA324" s="13">
        <f t="shared" si="21"/>
        <v>-33.313752266666675</v>
      </c>
      <c r="AC324" s="23"/>
      <c r="AD324" s="23"/>
      <c r="AE324" s="23"/>
      <c r="AF324" s="23"/>
      <c r="AG324" s="23"/>
      <c r="AI324" s="13">
        <v>321</v>
      </c>
      <c r="AJ324" s="13">
        <v>90</v>
      </c>
      <c r="AK324" s="17">
        <v>83.550435899999997</v>
      </c>
      <c r="AV324" s="13">
        <f t="shared" si="22"/>
        <v>-7.166182333333337</v>
      </c>
      <c r="BD324" s="13">
        <v>321</v>
      </c>
      <c r="BE324" s="13">
        <v>90</v>
      </c>
      <c r="BF324" s="17">
        <v>77.531067809999996</v>
      </c>
      <c r="BQ324" s="13">
        <f t="shared" ref="BQ324:BQ387" si="23">((BF324/BE324)-1)*100</f>
        <v>-13.854369100000008</v>
      </c>
    </row>
    <row r="325" spans="1:69">
      <c r="A325" s="13">
        <v>322</v>
      </c>
      <c r="B325" s="13">
        <v>70</v>
      </c>
      <c r="C325" s="17">
        <v>79.154756489999997</v>
      </c>
      <c r="M325" s="13">
        <f t="shared" si="20"/>
        <v>13.078223557142854</v>
      </c>
      <c r="O325" s="13">
        <v>322</v>
      </c>
      <c r="P325" s="13">
        <v>70</v>
      </c>
      <c r="Q325" s="17">
        <v>79.226042300000003</v>
      </c>
      <c r="AA325" s="13">
        <f t="shared" si="21"/>
        <v>13.180060428571426</v>
      </c>
      <c r="AC325" s="23"/>
      <c r="AD325" s="23"/>
      <c r="AE325" s="23"/>
      <c r="AF325" s="23"/>
      <c r="AG325" s="23"/>
      <c r="AI325" s="13">
        <v>322</v>
      </c>
      <c r="AJ325" s="13">
        <v>70</v>
      </c>
      <c r="AK325" s="17">
        <v>71.998951300000002</v>
      </c>
      <c r="AV325" s="13">
        <f t="shared" si="22"/>
        <v>2.8556447142857211</v>
      </c>
      <c r="BD325" s="13">
        <v>322</v>
      </c>
      <c r="BE325" s="13">
        <v>70</v>
      </c>
      <c r="BF325" s="17">
        <v>73.54198341</v>
      </c>
      <c r="BQ325" s="13">
        <f t="shared" si="23"/>
        <v>5.0599762999999909</v>
      </c>
    </row>
    <row r="326" spans="1:69">
      <c r="A326" s="13">
        <v>323</v>
      </c>
      <c r="B326" s="13">
        <v>78</v>
      </c>
      <c r="C326" s="17">
        <v>49.878741779999999</v>
      </c>
      <c r="M326" s="13">
        <f t="shared" si="20"/>
        <v>-36.052895153846151</v>
      </c>
      <c r="O326" s="13">
        <v>323</v>
      </c>
      <c r="P326" s="13">
        <v>78</v>
      </c>
      <c r="Q326" s="17">
        <v>52.133357439999997</v>
      </c>
      <c r="AA326" s="13">
        <f t="shared" si="21"/>
        <v>-33.162362256410262</v>
      </c>
      <c r="AC326" s="23"/>
      <c r="AD326" s="23"/>
      <c r="AE326" s="23"/>
      <c r="AF326" s="23"/>
      <c r="AG326" s="23"/>
      <c r="AI326" s="13">
        <v>323</v>
      </c>
      <c r="AJ326" s="13">
        <v>78</v>
      </c>
      <c r="AK326" s="17">
        <v>72.301748360000005</v>
      </c>
      <c r="AV326" s="13">
        <f t="shared" si="22"/>
        <v>-7.3054508205128155</v>
      </c>
      <c r="BD326" s="13">
        <v>323</v>
      </c>
      <c r="BE326" s="13">
        <v>78</v>
      </c>
      <c r="BF326" s="17">
        <v>66.637517439999996</v>
      </c>
      <c r="BQ326" s="13">
        <f t="shared" si="23"/>
        <v>-14.567285333333334</v>
      </c>
    </row>
    <row r="327" spans="1:69">
      <c r="A327" s="13">
        <v>324</v>
      </c>
      <c r="B327" s="13">
        <v>181</v>
      </c>
      <c r="C327" s="17">
        <v>181.33785019999999</v>
      </c>
      <c r="M327" s="13">
        <f t="shared" si="20"/>
        <v>0.18665756906077746</v>
      </c>
      <c r="O327" s="13">
        <v>324</v>
      </c>
      <c r="P327" s="13">
        <v>181</v>
      </c>
      <c r="Q327" s="17">
        <v>179.0156317</v>
      </c>
      <c r="AA327" s="13">
        <f t="shared" si="21"/>
        <v>-1.0963360773480701</v>
      </c>
      <c r="AC327" s="23"/>
      <c r="AD327" s="23"/>
      <c r="AE327" s="23"/>
      <c r="AF327" s="23"/>
      <c r="AG327" s="23"/>
      <c r="AI327" s="13">
        <v>324</v>
      </c>
      <c r="AJ327" s="13">
        <v>181</v>
      </c>
      <c r="AK327" s="17">
        <v>181.17757</v>
      </c>
      <c r="AV327" s="13">
        <f t="shared" si="22"/>
        <v>9.8104972375701038E-2</v>
      </c>
      <c r="BD327" s="13">
        <v>324</v>
      </c>
      <c r="BE327" s="13">
        <v>181</v>
      </c>
      <c r="BF327" s="17">
        <v>181.50225829999999</v>
      </c>
      <c r="BQ327" s="13">
        <f t="shared" si="23"/>
        <v>0.27749077348064866</v>
      </c>
    </row>
    <row r="328" spans="1:69">
      <c r="A328" s="13">
        <v>325</v>
      </c>
      <c r="B328" s="13">
        <v>92</v>
      </c>
      <c r="C328" s="17">
        <v>92.221905239999998</v>
      </c>
      <c r="M328" s="13">
        <f t="shared" si="20"/>
        <v>0.24120134782608105</v>
      </c>
      <c r="O328" s="13">
        <v>325</v>
      </c>
      <c r="P328" s="13">
        <v>92</v>
      </c>
      <c r="Q328" s="17">
        <v>87.052107090000007</v>
      </c>
      <c r="AA328" s="13">
        <f t="shared" si="21"/>
        <v>-5.3781444673912997</v>
      </c>
      <c r="AC328" s="23"/>
      <c r="AD328" s="23"/>
      <c r="AE328" s="23"/>
      <c r="AF328" s="23"/>
      <c r="AG328" s="23"/>
      <c r="AI328" s="13">
        <v>325</v>
      </c>
      <c r="AJ328" s="13">
        <v>92</v>
      </c>
      <c r="AK328" s="17">
        <v>92.172381049999998</v>
      </c>
      <c r="AV328" s="13">
        <f t="shared" si="22"/>
        <v>0.18737070652172783</v>
      </c>
      <c r="BD328" s="13">
        <v>325</v>
      </c>
      <c r="BE328" s="13">
        <v>92</v>
      </c>
      <c r="BF328" s="17">
        <v>91.87248117</v>
      </c>
      <c r="BQ328" s="13">
        <f t="shared" si="23"/>
        <v>-0.13860742391303971</v>
      </c>
    </row>
    <row r="329" spans="1:69">
      <c r="A329" s="13">
        <v>326</v>
      </c>
      <c r="B329" s="13">
        <v>6</v>
      </c>
      <c r="C329" s="17">
        <v>3.4921266167155598</v>
      </c>
      <c r="M329" s="13">
        <f t="shared" si="20"/>
        <v>-41.79788972140733</v>
      </c>
      <c r="O329" s="13">
        <v>326</v>
      </c>
      <c r="P329" s="13">
        <v>6</v>
      </c>
      <c r="Q329" s="17">
        <v>8.0821876092249507</v>
      </c>
      <c r="AA329" s="13">
        <f t="shared" si="21"/>
        <v>34.703126820415854</v>
      </c>
      <c r="AC329" s="23"/>
      <c r="AD329" s="23"/>
      <c r="AE329" s="23"/>
      <c r="AF329" s="23"/>
      <c r="AG329" s="23"/>
      <c r="AI329" s="13">
        <v>326</v>
      </c>
      <c r="AJ329" s="13">
        <v>6</v>
      </c>
      <c r="AK329" s="17">
        <v>7.3587758918599802</v>
      </c>
      <c r="AV329" s="13">
        <f t="shared" si="22"/>
        <v>22.646264864333009</v>
      </c>
      <c r="BD329" s="13">
        <v>326</v>
      </c>
      <c r="BE329" s="13">
        <v>6</v>
      </c>
      <c r="BF329" s="17">
        <v>5.9628591835053504</v>
      </c>
      <c r="BQ329" s="13">
        <f t="shared" si="23"/>
        <v>-0.61901360824415663</v>
      </c>
    </row>
    <row r="330" spans="1:69">
      <c r="A330" s="13">
        <v>327</v>
      </c>
      <c r="B330" s="13">
        <v>13</v>
      </c>
      <c r="C330" s="17">
        <v>11.2478553680911</v>
      </c>
      <c r="M330" s="13">
        <f t="shared" si="20"/>
        <v>-13.478035630068463</v>
      </c>
      <c r="O330" s="13">
        <v>327</v>
      </c>
      <c r="P330" s="13">
        <v>13</v>
      </c>
      <c r="Q330" s="17">
        <v>17.747517861111099</v>
      </c>
      <c r="AA330" s="13">
        <f t="shared" si="21"/>
        <v>36.519368162393071</v>
      </c>
      <c r="AC330" s="23"/>
      <c r="AD330" s="23"/>
      <c r="AE330" s="23"/>
      <c r="AF330" s="23"/>
      <c r="AG330" s="23"/>
      <c r="AI330" s="13">
        <v>327</v>
      </c>
      <c r="AJ330" s="13">
        <v>13</v>
      </c>
      <c r="AK330" s="17">
        <v>15.2690641</v>
      </c>
      <c r="AV330" s="13">
        <f t="shared" si="22"/>
        <v>17.454339230769222</v>
      </c>
      <c r="BD330" s="13">
        <v>327</v>
      </c>
      <c r="BE330" s="13">
        <v>13</v>
      </c>
      <c r="BF330" s="17">
        <v>16.91753215</v>
      </c>
      <c r="BQ330" s="13">
        <f t="shared" si="23"/>
        <v>30.134862692307696</v>
      </c>
    </row>
    <row r="331" spans="1:69">
      <c r="A331" s="13">
        <v>328</v>
      </c>
      <c r="B331" s="13">
        <v>122</v>
      </c>
      <c r="C331" s="17">
        <v>130.6873866</v>
      </c>
      <c r="M331" s="13">
        <f t="shared" si="20"/>
        <v>7.1208086885245825</v>
      </c>
      <c r="O331" s="13">
        <v>328</v>
      </c>
      <c r="P331" s="13">
        <v>122</v>
      </c>
      <c r="Q331" s="17">
        <v>128.29770009999999</v>
      </c>
      <c r="AA331" s="13">
        <f t="shared" si="21"/>
        <v>5.1620492622950653</v>
      </c>
      <c r="AC331" s="23"/>
      <c r="AD331" s="23"/>
      <c r="AE331" s="23"/>
      <c r="AF331" s="23"/>
      <c r="AG331" s="23"/>
      <c r="AI331" s="13">
        <v>328</v>
      </c>
      <c r="AJ331" s="13">
        <v>122</v>
      </c>
      <c r="AK331" s="17">
        <v>123.93347730000001</v>
      </c>
      <c r="AV331" s="13">
        <f t="shared" si="22"/>
        <v>1.5848174590163966</v>
      </c>
      <c r="BD331" s="13">
        <v>328</v>
      </c>
      <c r="BE331" s="13">
        <v>122</v>
      </c>
      <c r="BF331" s="17">
        <v>125.5633411</v>
      </c>
      <c r="BQ331" s="13">
        <f t="shared" si="23"/>
        <v>2.9207713934426227</v>
      </c>
    </row>
    <row r="332" spans="1:69">
      <c r="A332" s="13">
        <v>329</v>
      </c>
      <c r="B332" s="13">
        <v>21</v>
      </c>
      <c r="C332" s="17">
        <v>23.62212633</v>
      </c>
      <c r="M332" s="13">
        <f t="shared" si="20"/>
        <v>12.486315857142859</v>
      </c>
      <c r="O332" s="13">
        <v>329</v>
      </c>
      <c r="P332" s="13">
        <v>21</v>
      </c>
      <c r="Q332" s="17">
        <v>23.016482960000001</v>
      </c>
      <c r="AA332" s="13">
        <f t="shared" si="21"/>
        <v>9.6022998095238066</v>
      </c>
      <c r="AC332" s="23"/>
      <c r="AD332" s="23"/>
      <c r="AE332" s="23"/>
      <c r="AF332" s="23"/>
      <c r="AG332" s="23"/>
      <c r="AI332" s="13">
        <v>329</v>
      </c>
      <c r="AJ332" s="13">
        <v>21</v>
      </c>
      <c r="AK332" s="17">
        <v>21.52240527</v>
      </c>
      <c r="AV332" s="13">
        <f t="shared" si="22"/>
        <v>2.4876441428571372</v>
      </c>
      <c r="BD332" s="13">
        <v>329</v>
      </c>
      <c r="BE332" s="13">
        <v>21</v>
      </c>
      <c r="BF332" s="17">
        <v>21.355144689999999</v>
      </c>
      <c r="BQ332" s="13">
        <f t="shared" si="23"/>
        <v>1.6911651904761849</v>
      </c>
    </row>
    <row r="333" spans="1:69">
      <c r="A333" s="13">
        <v>330</v>
      </c>
      <c r="B333" s="13">
        <v>78</v>
      </c>
      <c r="C333" s="17">
        <v>88.693389490000001</v>
      </c>
      <c r="M333" s="13">
        <f t="shared" si="20"/>
        <v>13.709473705128206</v>
      </c>
      <c r="O333" s="13">
        <v>330</v>
      </c>
      <c r="P333" s="13">
        <v>78</v>
      </c>
      <c r="Q333" s="17">
        <v>84.442654090000005</v>
      </c>
      <c r="AA333" s="13">
        <f t="shared" si="21"/>
        <v>8.2598129358974361</v>
      </c>
      <c r="AC333" s="23"/>
      <c r="AD333" s="23"/>
      <c r="AE333" s="23"/>
      <c r="AF333" s="23"/>
      <c r="AG333" s="23"/>
      <c r="AI333" s="13">
        <v>330</v>
      </c>
      <c r="AJ333" s="13">
        <v>78</v>
      </c>
      <c r="AK333" s="17">
        <v>80.118677899999994</v>
      </c>
      <c r="AV333" s="13">
        <f t="shared" si="22"/>
        <v>2.7162537179487023</v>
      </c>
      <c r="BD333" s="13">
        <v>330</v>
      </c>
      <c r="BE333" s="13">
        <v>78</v>
      </c>
      <c r="BF333" s="17">
        <v>82.213711540000006</v>
      </c>
      <c r="BQ333" s="13">
        <f t="shared" si="23"/>
        <v>5.4021942820512869</v>
      </c>
    </row>
    <row r="334" spans="1:69">
      <c r="A334" s="13">
        <v>331</v>
      </c>
      <c r="B334" s="13">
        <v>34</v>
      </c>
      <c r="C334" s="17">
        <v>38.372958689371501</v>
      </c>
      <c r="M334" s="13">
        <f t="shared" si="20"/>
        <v>12.861643204033824</v>
      </c>
      <c r="O334" s="13">
        <v>331</v>
      </c>
      <c r="P334" s="13">
        <v>34</v>
      </c>
      <c r="Q334" s="17">
        <v>53.253666088063497</v>
      </c>
      <c r="AA334" s="13">
        <f t="shared" si="21"/>
        <v>56.628429670774992</v>
      </c>
      <c r="AC334" s="23"/>
      <c r="AD334" s="23"/>
      <c r="AE334" s="23"/>
      <c r="AF334" s="23"/>
      <c r="AG334" s="23"/>
      <c r="AI334" s="13">
        <v>331</v>
      </c>
      <c r="AJ334" s="13">
        <v>34</v>
      </c>
      <c r="AK334" s="17">
        <v>28.509006589999998</v>
      </c>
      <c r="AV334" s="13">
        <f t="shared" si="22"/>
        <v>-16.149980617647063</v>
      </c>
      <c r="BD334" s="13">
        <v>331</v>
      </c>
      <c r="BE334" s="13">
        <v>34</v>
      </c>
      <c r="BF334" s="17">
        <v>22.109297999999999</v>
      </c>
      <c r="BQ334" s="13">
        <f t="shared" si="23"/>
        <v>-34.972652941176477</v>
      </c>
    </row>
    <row r="335" spans="1:69">
      <c r="A335" s="13">
        <v>332</v>
      </c>
      <c r="B335" s="13">
        <v>73</v>
      </c>
      <c r="C335" s="17">
        <v>73.031161969999999</v>
      </c>
      <c r="M335" s="13">
        <f t="shared" si="20"/>
        <v>4.2687630136994947E-2</v>
      </c>
      <c r="O335" s="13">
        <v>332</v>
      </c>
      <c r="P335" s="13">
        <v>73</v>
      </c>
      <c r="Q335" s="17">
        <v>64.899122930000004</v>
      </c>
      <c r="AA335" s="13">
        <f t="shared" si="21"/>
        <v>-11.097091876712328</v>
      </c>
      <c r="AC335" s="23"/>
      <c r="AD335" s="23"/>
      <c r="AE335" s="23"/>
      <c r="AF335" s="23"/>
      <c r="AG335" s="23"/>
      <c r="AI335" s="13">
        <v>332</v>
      </c>
      <c r="AJ335" s="13">
        <v>73</v>
      </c>
      <c r="AK335" s="17">
        <v>73.30223239</v>
      </c>
      <c r="AV335" s="13">
        <f t="shared" si="22"/>
        <v>0.41401697260274872</v>
      </c>
      <c r="BD335" s="13">
        <v>332</v>
      </c>
      <c r="BE335" s="13">
        <v>73</v>
      </c>
      <c r="BF335" s="17">
        <v>72.33238806</v>
      </c>
      <c r="BQ335" s="13">
        <f t="shared" si="23"/>
        <v>-0.91453690410958632</v>
      </c>
    </row>
    <row r="336" spans="1:69">
      <c r="A336" s="13">
        <v>333</v>
      </c>
      <c r="B336" s="13">
        <v>229</v>
      </c>
      <c r="C336" s="17">
        <v>198.17160659999999</v>
      </c>
      <c r="M336" s="13">
        <f t="shared" si="20"/>
        <v>-13.462180524017475</v>
      </c>
      <c r="O336" s="13">
        <v>333</v>
      </c>
      <c r="P336" s="13">
        <v>229</v>
      </c>
      <c r="Q336" s="17">
        <v>188.24813159999999</v>
      </c>
      <c r="AA336" s="13">
        <f t="shared" si="21"/>
        <v>-17.795575720524013</v>
      </c>
      <c r="AC336" s="23"/>
      <c r="AD336" s="23"/>
      <c r="AE336" s="23"/>
      <c r="AF336" s="23"/>
      <c r="AG336" s="23"/>
      <c r="AI336" s="13">
        <v>333</v>
      </c>
      <c r="AJ336" s="13">
        <v>229</v>
      </c>
      <c r="AK336" s="17">
        <v>222.79632129999999</v>
      </c>
      <c r="AV336" s="13">
        <f t="shared" si="22"/>
        <v>-2.7090300000000012</v>
      </c>
      <c r="BD336" s="13">
        <v>333</v>
      </c>
      <c r="BE336" s="13">
        <v>229</v>
      </c>
      <c r="BF336" s="17">
        <v>216.56370100000001</v>
      </c>
      <c r="BQ336" s="13">
        <f t="shared" si="23"/>
        <v>-5.4306982532751018</v>
      </c>
    </row>
    <row r="337" spans="1:69">
      <c r="A337" s="13">
        <v>334</v>
      </c>
      <c r="B337" s="13">
        <v>50</v>
      </c>
      <c r="C337" s="17">
        <v>66.598288563028007</v>
      </c>
      <c r="M337" s="13">
        <f t="shared" si="20"/>
        <v>33.196577126056013</v>
      </c>
      <c r="O337" s="13">
        <v>334</v>
      </c>
      <c r="P337" s="13">
        <v>50</v>
      </c>
      <c r="Q337" s="17">
        <v>72.978799737411705</v>
      </c>
      <c r="AA337" s="13">
        <f t="shared" si="21"/>
        <v>45.957599474823411</v>
      </c>
      <c r="AC337" s="23"/>
      <c r="AD337" s="23"/>
      <c r="AE337" s="23"/>
      <c r="AF337" s="23"/>
      <c r="AG337" s="23"/>
      <c r="AI337" s="13">
        <v>334</v>
      </c>
      <c r="AJ337" s="13">
        <v>50</v>
      </c>
      <c r="AK337" s="17">
        <v>44.467787119999997</v>
      </c>
      <c r="AV337" s="13">
        <f t="shared" si="22"/>
        <v>-11.064425760000008</v>
      </c>
      <c r="BD337" s="13">
        <v>334</v>
      </c>
      <c r="BE337" s="13">
        <v>50</v>
      </c>
      <c r="BF337" s="17">
        <v>38.54629087</v>
      </c>
      <c r="BQ337" s="13">
        <f t="shared" si="23"/>
        <v>-22.90741826</v>
      </c>
    </row>
    <row r="338" spans="1:69">
      <c r="A338" s="13">
        <v>335</v>
      </c>
      <c r="B338" s="13">
        <v>33</v>
      </c>
      <c r="C338" s="17">
        <v>17.9765987787342</v>
      </c>
      <c r="M338" s="13">
        <f t="shared" si="20"/>
        <v>-45.525458246260001</v>
      </c>
      <c r="O338" s="13">
        <v>335</v>
      </c>
      <c r="P338" s="13">
        <v>33</v>
      </c>
      <c r="Q338" s="17">
        <v>23.0191921915889</v>
      </c>
      <c r="AA338" s="13">
        <f t="shared" si="21"/>
        <v>-30.24487214670031</v>
      </c>
      <c r="AC338" s="23"/>
      <c r="AD338" s="23"/>
      <c r="AE338" s="23"/>
      <c r="AF338" s="23"/>
      <c r="AG338" s="23"/>
      <c r="AI338" s="13">
        <v>335</v>
      </c>
      <c r="AJ338" s="13">
        <v>33</v>
      </c>
      <c r="AK338" s="17">
        <v>27.099829629999999</v>
      </c>
      <c r="AV338" s="13">
        <f t="shared" si="22"/>
        <v>-17.87930415151515</v>
      </c>
      <c r="BD338" s="13">
        <v>335</v>
      </c>
      <c r="BE338" s="13">
        <v>33</v>
      </c>
      <c r="BF338" s="17">
        <v>34.281245255414497</v>
      </c>
      <c r="BQ338" s="13">
        <f t="shared" si="23"/>
        <v>3.8825613800439251</v>
      </c>
    </row>
    <row r="339" spans="1:69">
      <c r="A339" s="13">
        <v>336</v>
      </c>
      <c r="B339" s="13">
        <v>10</v>
      </c>
      <c r="C339" s="17">
        <v>15.9377441243726</v>
      </c>
      <c r="M339" s="13">
        <f t="shared" si="20"/>
        <v>59.37744124372599</v>
      </c>
      <c r="O339" s="13">
        <v>336</v>
      </c>
      <c r="P339" s="13">
        <v>10</v>
      </c>
      <c r="Q339" s="17">
        <v>8.8524601088680992</v>
      </c>
      <c r="AA339" s="13">
        <f t="shared" si="21"/>
        <v>-11.475398911319012</v>
      </c>
      <c r="AC339" s="23"/>
      <c r="AD339" s="23"/>
      <c r="AE339" s="23"/>
      <c r="AF339" s="23"/>
      <c r="AG339" s="23"/>
      <c r="AI339" s="13">
        <v>336</v>
      </c>
      <c r="AJ339" s="13">
        <v>10</v>
      </c>
      <c r="AK339" s="17">
        <v>11.934179520000001</v>
      </c>
      <c r="AV339" s="13">
        <f t="shared" si="22"/>
        <v>19.341795200000011</v>
      </c>
      <c r="BD339" s="13">
        <v>336</v>
      </c>
      <c r="BE339" s="13">
        <v>10</v>
      </c>
      <c r="BF339" s="17">
        <v>13.35911821</v>
      </c>
      <c r="BQ339" s="13">
        <f t="shared" si="23"/>
        <v>33.591182100000005</v>
      </c>
    </row>
    <row r="340" spans="1:69">
      <c r="A340" s="13">
        <v>337</v>
      </c>
      <c r="B340" s="13">
        <v>237</v>
      </c>
      <c r="C340" s="17">
        <v>207.17550879999999</v>
      </c>
      <c r="M340" s="13">
        <f t="shared" si="20"/>
        <v>-12.584173502109708</v>
      </c>
      <c r="O340" s="13">
        <v>337</v>
      </c>
      <c r="P340" s="13">
        <v>237</v>
      </c>
      <c r="Q340" s="17">
        <v>200.35965089999999</v>
      </c>
      <c r="AA340" s="13">
        <f t="shared" si="21"/>
        <v>-15.460062911392413</v>
      </c>
      <c r="AC340" s="23"/>
      <c r="AD340" s="23"/>
      <c r="AE340" s="23"/>
      <c r="AF340" s="23"/>
      <c r="AG340" s="23"/>
      <c r="AI340" s="13">
        <v>337</v>
      </c>
      <c r="AJ340" s="13">
        <v>237</v>
      </c>
      <c r="AK340" s="17">
        <v>230.84110179999999</v>
      </c>
      <c r="AV340" s="13">
        <f t="shared" si="22"/>
        <v>-2.5986912236286908</v>
      </c>
      <c r="BD340" s="13">
        <v>337</v>
      </c>
      <c r="BE340" s="13">
        <v>237</v>
      </c>
      <c r="BF340" s="17">
        <v>224.6721814</v>
      </c>
      <c r="BQ340" s="13">
        <f t="shared" si="23"/>
        <v>-5.2016112236286887</v>
      </c>
    </row>
    <row r="341" spans="1:69">
      <c r="A341" s="13">
        <v>338</v>
      </c>
      <c r="B341" s="13">
        <v>76</v>
      </c>
      <c r="C341" s="17">
        <v>47.047938799999997</v>
      </c>
      <c r="M341" s="13">
        <f t="shared" si="20"/>
        <v>-38.094817368421054</v>
      </c>
      <c r="O341" s="13">
        <v>338</v>
      </c>
      <c r="P341" s="13">
        <v>76</v>
      </c>
      <c r="Q341" s="17">
        <v>51.100342099999999</v>
      </c>
      <c r="AA341" s="13">
        <f t="shared" si="21"/>
        <v>-32.762707763157891</v>
      </c>
      <c r="AC341" s="23"/>
      <c r="AD341" s="23"/>
      <c r="AE341" s="23"/>
      <c r="AF341" s="23"/>
      <c r="AG341" s="23"/>
      <c r="AI341" s="13">
        <v>338</v>
      </c>
      <c r="AJ341" s="13">
        <v>76</v>
      </c>
      <c r="AK341" s="17">
        <v>70.197587760000005</v>
      </c>
      <c r="AV341" s="13">
        <f t="shared" si="22"/>
        <v>-7.6347529473684173</v>
      </c>
      <c r="BD341" s="13">
        <v>338</v>
      </c>
      <c r="BE341" s="13">
        <v>76</v>
      </c>
      <c r="BF341" s="17">
        <v>63.959114870000001</v>
      </c>
      <c r="BQ341" s="13">
        <f t="shared" si="23"/>
        <v>-15.843269907894742</v>
      </c>
    </row>
    <row r="342" spans="1:69">
      <c r="A342" s="13">
        <v>339</v>
      </c>
      <c r="B342" s="13">
        <v>72</v>
      </c>
      <c r="C342" s="17">
        <v>70.136119350000001</v>
      </c>
      <c r="M342" s="13">
        <f t="shared" si="20"/>
        <v>-2.5887231250000031</v>
      </c>
      <c r="O342" s="13">
        <v>339</v>
      </c>
      <c r="P342" s="13">
        <v>72</v>
      </c>
      <c r="Q342" s="17">
        <v>65.659869540000003</v>
      </c>
      <c r="AA342" s="13">
        <f t="shared" si="21"/>
        <v>-8.8057367499999923</v>
      </c>
      <c r="AC342" s="23"/>
      <c r="AD342" s="23"/>
      <c r="AE342" s="23"/>
      <c r="AF342" s="23"/>
      <c r="AG342" s="23"/>
      <c r="AI342" s="13">
        <v>339</v>
      </c>
      <c r="AJ342" s="13">
        <v>72</v>
      </c>
      <c r="AK342" s="17">
        <v>71.707223870000007</v>
      </c>
      <c r="AV342" s="13">
        <f t="shared" si="22"/>
        <v>-0.40663351388887659</v>
      </c>
      <c r="BD342" s="13">
        <v>339</v>
      </c>
      <c r="BE342" s="13">
        <v>72</v>
      </c>
      <c r="BF342" s="17">
        <v>70.910624459999994</v>
      </c>
      <c r="BQ342" s="13">
        <f t="shared" si="23"/>
        <v>-1.5130215833333405</v>
      </c>
    </row>
    <row r="343" spans="1:69">
      <c r="A343" s="13">
        <v>340</v>
      </c>
      <c r="B343" s="13">
        <v>145</v>
      </c>
      <c r="C343" s="17">
        <v>115.0180288</v>
      </c>
      <c r="M343" s="13">
        <f t="shared" si="20"/>
        <v>-20.677221517241385</v>
      </c>
      <c r="O343" s="13">
        <v>340</v>
      </c>
      <c r="P343" s="13">
        <v>145</v>
      </c>
      <c r="Q343" s="17">
        <v>106.8084216</v>
      </c>
      <c r="AA343" s="13">
        <f t="shared" si="21"/>
        <v>-26.339019586206891</v>
      </c>
      <c r="AC343" s="23"/>
      <c r="AD343" s="23"/>
      <c r="AE343" s="23"/>
      <c r="AF343" s="23"/>
      <c r="AG343" s="23"/>
      <c r="AI343" s="13">
        <v>340</v>
      </c>
      <c r="AJ343" s="13">
        <v>145</v>
      </c>
      <c r="AK343" s="17">
        <v>138.85760579999999</v>
      </c>
      <c r="AV343" s="13">
        <f t="shared" si="22"/>
        <v>-4.236133931034491</v>
      </c>
      <c r="BD343" s="13">
        <v>340</v>
      </c>
      <c r="BE343" s="13">
        <v>145</v>
      </c>
      <c r="BF343" s="17">
        <v>132.69786300000001</v>
      </c>
      <c r="BQ343" s="13">
        <f t="shared" si="23"/>
        <v>-8.4842324137930909</v>
      </c>
    </row>
    <row r="344" spans="1:69">
      <c r="A344" s="13">
        <v>341</v>
      </c>
      <c r="B344" s="13">
        <v>81</v>
      </c>
      <c r="C344" s="17">
        <v>90.717096830000003</v>
      </c>
      <c r="M344" s="13">
        <f t="shared" si="20"/>
        <v>11.99641583950617</v>
      </c>
      <c r="O344" s="13">
        <v>341</v>
      </c>
      <c r="P344" s="13">
        <v>81</v>
      </c>
      <c r="Q344" s="17">
        <v>88.074557170000006</v>
      </c>
      <c r="AA344" s="13">
        <f t="shared" si="21"/>
        <v>8.7340211975308613</v>
      </c>
      <c r="AC344" s="23"/>
      <c r="AD344" s="23"/>
      <c r="AE344" s="23"/>
      <c r="AF344" s="23"/>
      <c r="AG344" s="23"/>
      <c r="AI344" s="13">
        <v>341</v>
      </c>
      <c r="AJ344" s="13">
        <v>81</v>
      </c>
      <c r="AK344" s="17">
        <v>82.629419369999994</v>
      </c>
      <c r="AV344" s="13">
        <f t="shared" si="22"/>
        <v>2.0116288518518433</v>
      </c>
      <c r="BD344" s="13">
        <v>341</v>
      </c>
      <c r="BE344" s="13">
        <v>81</v>
      </c>
      <c r="BF344" s="17">
        <v>84.197620069999999</v>
      </c>
      <c r="BQ344" s="13">
        <f t="shared" si="23"/>
        <v>3.9476790987654331</v>
      </c>
    </row>
    <row r="345" spans="1:69">
      <c r="A345" s="13">
        <v>342</v>
      </c>
      <c r="B345" s="13">
        <v>216</v>
      </c>
      <c r="C345" s="17">
        <v>184.79285680000001</v>
      </c>
      <c r="M345" s="13">
        <f t="shared" si="20"/>
        <v>-14.447751481481475</v>
      </c>
      <c r="O345" s="13">
        <v>342</v>
      </c>
      <c r="P345" s="13">
        <v>216</v>
      </c>
      <c r="Q345" s="17">
        <v>179.1687766</v>
      </c>
      <c r="AA345" s="13">
        <f t="shared" si="21"/>
        <v>-17.051492314814809</v>
      </c>
      <c r="AC345" s="23"/>
      <c r="AD345" s="23"/>
      <c r="AE345" s="23"/>
      <c r="AF345" s="23"/>
      <c r="AG345" s="23"/>
      <c r="AI345" s="13">
        <v>342</v>
      </c>
      <c r="AJ345" s="13">
        <v>216</v>
      </c>
      <c r="AK345" s="17">
        <v>209.94057140000001</v>
      </c>
      <c r="AV345" s="13">
        <f t="shared" si="22"/>
        <v>-2.8052910185185187</v>
      </c>
      <c r="BD345" s="13">
        <v>342</v>
      </c>
      <c r="BE345" s="13">
        <v>216</v>
      </c>
      <c r="BF345" s="17">
        <v>203.21779559999999</v>
      </c>
      <c r="BQ345" s="13">
        <f t="shared" si="23"/>
        <v>-5.9176872222222237</v>
      </c>
    </row>
    <row r="346" spans="1:69">
      <c r="A346" s="13">
        <v>343</v>
      </c>
      <c r="B346" s="13">
        <v>104</v>
      </c>
      <c r="C346" s="17">
        <v>113.4277429</v>
      </c>
      <c r="M346" s="13">
        <f t="shared" si="20"/>
        <v>9.0651374038461583</v>
      </c>
      <c r="O346" s="13">
        <v>343</v>
      </c>
      <c r="P346" s="13">
        <v>104</v>
      </c>
      <c r="Q346" s="17">
        <v>111.0176907</v>
      </c>
      <c r="AA346" s="13">
        <f t="shared" si="21"/>
        <v>6.7477795192307788</v>
      </c>
      <c r="AC346" s="23"/>
      <c r="AD346" s="23"/>
      <c r="AE346" s="23"/>
      <c r="AF346" s="23"/>
      <c r="AG346" s="23"/>
      <c r="AI346" s="13">
        <v>343</v>
      </c>
      <c r="AJ346" s="13">
        <v>104</v>
      </c>
      <c r="AK346" s="17">
        <v>105.9355486</v>
      </c>
      <c r="AV346" s="13">
        <f t="shared" si="22"/>
        <v>1.8611044230769203</v>
      </c>
      <c r="BD346" s="13">
        <v>343</v>
      </c>
      <c r="BE346" s="13">
        <v>104</v>
      </c>
      <c r="BF346" s="17">
        <v>107.6253396</v>
      </c>
      <c r="BQ346" s="13">
        <f t="shared" si="23"/>
        <v>3.4859034615384754</v>
      </c>
    </row>
    <row r="347" spans="1:69">
      <c r="A347" s="13">
        <v>344</v>
      </c>
      <c r="B347" s="13">
        <v>33</v>
      </c>
      <c r="C347" s="17">
        <v>35.468779550000001</v>
      </c>
      <c r="M347" s="13">
        <f t="shared" si="20"/>
        <v>7.4811501515151591</v>
      </c>
      <c r="O347" s="13">
        <v>344</v>
      </c>
      <c r="P347" s="13">
        <v>33</v>
      </c>
      <c r="Q347" s="17">
        <v>34.127200019999997</v>
      </c>
      <c r="AA347" s="13">
        <f t="shared" si="21"/>
        <v>3.4157576363636366</v>
      </c>
      <c r="AC347" s="23"/>
      <c r="AD347" s="23"/>
      <c r="AE347" s="23"/>
      <c r="AF347" s="23"/>
      <c r="AG347" s="23"/>
      <c r="AI347" s="13">
        <v>344</v>
      </c>
      <c r="AJ347" s="13">
        <v>33</v>
      </c>
      <c r="AK347" s="17">
        <v>33.393755910000003</v>
      </c>
      <c r="AV347" s="13">
        <f t="shared" si="22"/>
        <v>1.1931997272727424</v>
      </c>
      <c r="BD347" s="13">
        <v>344</v>
      </c>
      <c r="BE347" s="13">
        <v>33</v>
      </c>
      <c r="BF347" s="17">
        <v>33.57751081</v>
      </c>
      <c r="BQ347" s="13">
        <f t="shared" si="23"/>
        <v>1.7500327575757479</v>
      </c>
    </row>
    <row r="348" spans="1:69">
      <c r="A348" s="13">
        <v>345</v>
      </c>
      <c r="B348" s="13">
        <v>96</v>
      </c>
      <c r="C348" s="17">
        <v>96.137718939999999</v>
      </c>
      <c r="M348" s="13">
        <f t="shared" si="20"/>
        <v>0.14345722916666581</v>
      </c>
      <c r="O348" s="13">
        <v>345</v>
      </c>
      <c r="P348" s="13">
        <v>96</v>
      </c>
      <c r="Q348" s="17">
        <v>98.065614859999997</v>
      </c>
      <c r="AA348" s="13">
        <f t="shared" si="21"/>
        <v>2.1516821458333224</v>
      </c>
      <c r="AC348" s="23"/>
      <c r="AD348" s="23"/>
      <c r="AE348" s="23"/>
      <c r="AF348" s="23"/>
      <c r="AG348" s="23"/>
      <c r="AI348" s="13">
        <v>345</v>
      </c>
      <c r="AJ348" s="13">
        <v>96</v>
      </c>
      <c r="AK348" s="17">
        <v>96.045543789999996</v>
      </c>
      <c r="AV348" s="13">
        <f t="shared" si="22"/>
        <v>4.7441447916662938E-2</v>
      </c>
      <c r="BD348" s="13">
        <v>345</v>
      </c>
      <c r="BE348" s="13">
        <v>96</v>
      </c>
      <c r="BF348" s="17">
        <v>96.089224639999998</v>
      </c>
      <c r="BQ348" s="13">
        <f t="shared" si="23"/>
        <v>9.2942333333323468E-2</v>
      </c>
    </row>
    <row r="349" spans="1:69">
      <c r="A349" s="13">
        <v>346</v>
      </c>
      <c r="B349" s="13">
        <v>104</v>
      </c>
      <c r="C349" s="17">
        <v>73.194677330000005</v>
      </c>
      <c r="M349" s="13">
        <f t="shared" si="20"/>
        <v>-29.620502567307682</v>
      </c>
      <c r="O349" s="13">
        <v>346</v>
      </c>
      <c r="P349" s="13">
        <v>104</v>
      </c>
      <c r="Q349" s="17">
        <v>76.633484850000002</v>
      </c>
      <c r="AA349" s="13">
        <f t="shared" si="21"/>
        <v>-26.313956874999999</v>
      </c>
      <c r="AC349" s="23"/>
      <c r="AD349" s="23"/>
      <c r="AE349" s="23"/>
      <c r="AF349" s="23"/>
      <c r="AG349" s="23"/>
      <c r="AI349" s="13">
        <v>346</v>
      </c>
      <c r="AJ349" s="13">
        <v>104</v>
      </c>
      <c r="AK349" s="17">
        <v>97.980935470000006</v>
      </c>
      <c r="AV349" s="13">
        <f t="shared" si="22"/>
        <v>-5.7875620480769214</v>
      </c>
      <c r="BD349" s="13">
        <v>346</v>
      </c>
      <c r="BE349" s="13">
        <v>104</v>
      </c>
      <c r="BF349" s="17">
        <v>91.743051260000001</v>
      </c>
      <c r="BQ349" s="13">
        <f t="shared" si="23"/>
        <v>-11.785527634615377</v>
      </c>
    </row>
    <row r="350" spans="1:69">
      <c r="A350" s="13">
        <v>347</v>
      </c>
      <c r="B350" s="13">
        <v>123</v>
      </c>
      <c r="C350" s="17">
        <v>122.9690913</v>
      </c>
      <c r="M350" s="13">
        <f t="shared" si="20"/>
        <v>-2.512902439024689E-2</v>
      </c>
      <c r="O350" s="13">
        <v>347</v>
      </c>
      <c r="P350" s="13">
        <v>123</v>
      </c>
      <c r="Q350" s="17">
        <v>114.61536940000001</v>
      </c>
      <c r="AA350" s="13">
        <f t="shared" si="21"/>
        <v>-6.8167728455284511</v>
      </c>
      <c r="AC350" s="23"/>
      <c r="AD350" s="23"/>
      <c r="AE350" s="23"/>
      <c r="AF350" s="23"/>
      <c r="AG350" s="23"/>
      <c r="AI350" s="13">
        <v>347</v>
      </c>
      <c r="AJ350" s="13">
        <v>123</v>
      </c>
      <c r="AK350" s="17">
        <v>122.9718183</v>
      </c>
      <c r="AV350" s="13">
        <f t="shared" si="22"/>
        <v>-2.2911951219517501E-2</v>
      </c>
      <c r="BD350" s="13">
        <v>347</v>
      </c>
      <c r="BE350" s="13">
        <v>123</v>
      </c>
      <c r="BF350" s="17">
        <v>122.3931549</v>
      </c>
      <c r="BQ350" s="13">
        <f t="shared" si="23"/>
        <v>-0.49337000000000408</v>
      </c>
    </row>
    <row r="351" spans="1:69">
      <c r="A351" s="13">
        <v>348</v>
      </c>
      <c r="B351" s="13">
        <v>76</v>
      </c>
      <c r="C351" s="17">
        <v>78.264651079999993</v>
      </c>
      <c r="M351" s="13">
        <f t="shared" si="20"/>
        <v>2.9798040526315628</v>
      </c>
      <c r="O351" s="13">
        <v>348</v>
      </c>
      <c r="P351" s="13">
        <v>76</v>
      </c>
      <c r="Q351" s="17">
        <v>75.056835699999993</v>
      </c>
      <c r="AA351" s="13">
        <f t="shared" si="21"/>
        <v>-1.2410056578947448</v>
      </c>
      <c r="AC351" s="23"/>
      <c r="AD351" s="23"/>
      <c r="AE351" s="23"/>
      <c r="AF351" s="23"/>
      <c r="AG351" s="23"/>
      <c r="AI351" s="13">
        <v>348</v>
      </c>
      <c r="AJ351" s="13">
        <v>76</v>
      </c>
      <c r="AK351" s="17">
        <v>76.528930220000007</v>
      </c>
      <c r="AV351" s="13">
        <f t="shared" si="22"/>
        <v>0.69596081578948699</v>
      </c>
      <c r="BD351" s="13">
        <v>348</v>
      </c>
      <c r="BE351" s="13">
        <v>76</v>
      </c>
      <c r="BF351" s="17">
        <v>76.185885560000003</v>
      </c>
      <c r="BQ351" s="13">
        <f t="shared" si="23"/>
        <v>0.24458626315790877</v>
      </c>
    </row>
    <row r="352" spans="1:69">
      <c r="A352" s="13">
        <v>349</v>
      </c>
      <c r="B352" s="13">
        <v>190</v>
      </c>
      <c r="C352" s="17">
        <v>198.35540689999999</v>
      </c>
      <c r="M352" s="13">
        <f t="shared" si="20"/>
        <v>4.3975825789473566</v>
      </c>
      <c r="O352" s="13">
        <v>349</v>
      </c>
      <c r="P352" s="13">
        <v>190</v>
      </c>
      <c r="Q352" s="17">
        <v>197.87903650000001</v>
      </c>
      <c r="AA352" s="13">
        <f t="shared" si="21"/>
        <v>4.146861315789474</v>
      </c>
      <c r="AC352" s="23"/>
      <c r="AD352" s="23"/>
      <c r="AE352" s="23"/>
      <c r="AF352" s="23"/>
      <c r="AG352" s="23"/>
      <c r="AI352" s="13">
        <v>349</v>
      </c>
      <c r="AJ352" s="13">
        <v>190</v>
      </c>
      <c r="AK352" s="17">
        <v>191.69908140000001</v>
      </c>
      <c r="AV352" s="13">
        <f t="shared" si="22"/>
        <v>0.89425336842106073</v>
      </c>
      <c r="BD352" s="13">
        <v>349</v>
      </c>
      <c r="BE352" s="13">
        <v>190</v>
      </c>
      <c r="BF352" s="17">
        <v>193.3447721</v>
      </c>
      <c r="BQ352" s="13">
        <f t="shared" si="23"/>
        <v>1.7604063684210525</v>
      </c>
    </row>
    <row r="353" spans="1:69">
      <c r="A353" s="13">
        <v>350</v>
      </c>
      <c r="B353" s="13">
        <v>35</v>
      </c>
      <c r="C353" s="17">
        <v>46.765527089999999</v>
      </c>
      <c r="M353" s="13">
        <f t="shared" si="20"/>
        <v>33.615791685714292</v>
      </c>
      <c r="O353" s="13">
        <v>350</v>
      </c>
      <c r="P353" s="13">
        <v>35</v>
      </c>
      <c r="Q353" s="17">
        <v>46.60666792</v>
      </c>
      <c r="AA353" s="13">
        <f t="shared" si="21"/>
        <v>33.161908342857146</v>
      </c>
      <c r="AC353" s="23"/>
      <c r="AD353" s="23"/>
      <c r="AE353" s="23"/>
      <c r="AF353" s="23"/>
      <c r="AG353" s="23"/>
      <c r="AI353" s="13">
        <v>350</v>
      </c>
      <c r="AJ353" s="13">
        <v>35</v>
      </c>
      <c r="AK353" s="17">
        <v>37.507105420000002</v>
      </c>
      <c r="AV353" s="13">
        <f t="shared" si="22"/>
        <v>7.1631583428571455</v>
      </c>
      <c r="BD353" s="13">
        <v>350</v>
      </c>
      <c r="BE353" s="13">
        <v>35</v>
      </c>
      <c r="BF353" s="17">
        <v>39.35140595</v>
      </c>
      <c r="BQ353" s="13">
        <f t="shared" si="23"/>
        <v>12.432588428571423</v>
      </c>
    </row>
    <row r="354" spans="1:69">
      <c r="A354" s="13">
        <v>351</v>
      </c>
      <c r="B354" s="13">
        <v>210</v>
      </c>
      <c r="C354" s="17">
        <v>179.53191770000001</v>
      </c>
      <c r="M354" s="13">
        <f t="shared" si="20"/>
        <v>-14.508610619047612</v>
      </c>
      <c r="O354" s="13">
        <v>351</v>
      </c>
      <c r="P354" s="13">
        <v>210</v>
      </c>
      <c r="Q354" s="17">
        <v>172.65169979999999</v>
      </c>
      <c r="AA354" s="13">
        <f t="shared" si="21"/>
        <v>-17.784904857142859</v>
      </c>
      <c r="AC354" s="23"/>
      <c r="AD354" s="23"/>
      <c r="AE354" s="23"/>
      <c r="AF354" s="23"/>
      <c r="AG354" s="23"/>
      <c r="AI354" s="13">
        <v>351</v>
      </c>
      <c r="AJ354" s="13">
        <v>210</v>
      </c>
      <c r="AK354" s="17">
        <v>203.9343835</v>
      </c>
      <c r="AV354" s="13">
        <f t="shared" si="22"/>
        <v>-2.8883888095238119</v>
      </c>
      <c r="BD354" s="13">
        <v>351</v>
      </c>
      <c r="BE354" s="13">
        <v>210</v>
      </c>
      <c r="BF354" s="17">
        <v>198.29212799999999</v>
      </c>
      <c r="BQ354" s="13">
        <f t="shared" si="23"/>
        <v>-5.5751771428571466</v>
      </c>
    </row>
    <row r="355" spans="1:69">
      <c r="A355" s="13">
        <v>352</v>
      </c>
      <c r="B355" s="13">
        <v>176</v>
      </c>
      <c r="C355" s="17">
        <v>147.15074250000001</v>
      </c>
      <c r="M355" s="13">
        <f t="shared" si="20"/>
        <v>-16.391623579545456</v>
      </c>
      <c r="O355" s="13">
        <v>352</v>
      </c>
      <c r="P355" s="13">
        <v>176</v>
      </c>
      <c r="Q355" s="17">
        <v>145.4532135</v>
      </c>
      <c r="AA355" s="13">
        <f t="shared" si="21"/>
        <v>-17.356128693181816</v>
      </c>
      <c r="AC355" s="23"/>
      <c r="AD355" s="23"/>
      <c r="AE355" s="23"/>
      <c r="AF355" s="23"/>
      <c r="AG355" s="23"/>
      <c r="AI355" s="13">
        <v>352</v>
      </c>
      <c r="AJ355" s="13">
        <v>176</v>
      </c>
      <c r="AK355" s="17">
        <v>170.16014849999999</v>
      </c>
      <c r="AV355" s="13">
        <f t="shared" si="22"/>
        <v>-3.3180974431818222</v>
      </c>
      <c r="BD355" s="13">
        <v>352</v>
      </c>
      <c r="BE355" s="13">
        <v>176</v>
      </c>
      <c r="BF355" s="17">
        <v>164.23866699999999</v>
      </c>
      <c r="BQ355" s="13">
        <f t="shared" si="23"/>
        <v>-6.6825755681818251</v>
      </c>
    </row>
    <row r="356" spans="1:69">
      <c r="A356" s="13">
        <v>353</v>
      </c>
      <c r="B356" s="13">
        <v>122</v>
      </c>
      <c r="C356" s="17">
        <v>121.9695138</v>
      </c>
      <c r="M356" s="13">
        <f t="shared" si="20"/>
        <v>-2.4988688524585356E-2</v>
      </c>
      <c r="O356" s="13">
        <v>353</v>
      </c>
      <c r="P356" s="13">
        <v>122</v>
      </c>
      <c r="Q356" s="17">
        <v>119.6320331</v>
      </c>
      <c r="AA356" s="13">
        <f t="shared" si="21"/>
        <v>-1.9409564754098385</v>
      </c>
      <c r="AC356" s="23"/>
      <c r="AD356" s="23"/>
      <c r="AE356" s="23"/>
      <c r="AF356" s="23"/>
      <c r="AG356" s="23"/>
      <c r="AI356" s="13">
        <v>353</v>
      </c>
      <c r="AJ356" s="13">
        <v>122</v>
      </c>
      <c r="AK356" s="17">
        <v>122.1039028</v>
      </c>
      <c r="AV356" s="13">
        <f t="shared" si="22"/>
        <v>8.5166229508204516E-2</v>
      </c>
      <c r="BD356" s="13">
        <v>353</v>
      </c>
      <c r="BE356" s="13">
        <v>122</v>
      </c>
      <c r="BF356" s="17">
        <v>121.6024087</v>
      </c>
      <c r="BQ356" s="13">
        <f t="shared" si="23"/>
        <v>-0.32589450819672239</v>
      </c>
    </row>
    <row r="357" spans="1:69">
      <c r="A357" s="13">
        <v>354</v>
      </c>
      <c r="B357" s="13">
        <v>58</v>
      </c>
      <c r="C357" s="17">
        <v>70.371462399999999</v>
      </c>
      <c r="M357" s="13">
        <f t="shared" si="20"/>
        <v>21.330107586206903</v>
      </c>
      <c r="O357" s="13">
        <v>354</v>
      </c>
      <c r="P357" s="13">
        <v>58</v>
      </c>
      <c r="Q357" s="17">
        <v>67.129405590000005</v>
      </c>
      <c r="AA357" s="13">
        <f t="shared" si="21"/>
        <v>15.740354465517248</v>
      </c>
      <c r="AC357" s="23"/>
      <c r="AD357" s="23"/>
      <c r="AE357" s="23"/>
      <c r="AF357" s="23"/>
      <c r="AG357" s="23"/>
      <c r="AI357" s="13">
        <v>354</v>
      </c>
      <c r="AJ357" s="13">
        <v>58</v>
      </c>
      <c r="AK357" s="17">
        <v>60.360292479999998</v>
      </c>
      <c r="AV357" s="13">
        <f t="shared" si="22"/>
        <v>4.0694697931034529</v>
      </c>
      <c r="BD357" s="13">
        <v>354</v>
      </c>
      <c r="BE357" s="13">
        <v>58</v>
      </c>
      <c r="BF357" s="17">
        <v>62.486030130000003</v>
      </c>
      <c r="BQ357" s="13">
        <f t="shared" si="23"/>
        <v>7.7345347068965564</v>
      </c>
    </row>
    <row r="358" spans="1:69">
      <c r="A358" s="13">
        <v>355</v>
      </c>
      <c r="B358" s="13">
        <v>105</v>
      </c>
      <c r="C358" s="17">
        <v>114.29478400000001</v>
      </c>
      <c r="M358" s="13">
        <f t="shared" ref="M358:M421" si="24">((C358/B358)-1)*100</f>
        <v>8.8521752380952492</v>
      </c>
      <c r="O358" s="13">
        <v>355</v>
      </c>
      <c r="P358" s="13">
        <v>105</v>
      </c>
      <c r="Q358" s="17">
        <v>115.2041224</v>
      </c>
      <c r="AA358" s="13">
        <f t="shared" si="21"/>
        <v>9.7182118095238135</v>
      </c>
      <c r="AC358" s="23"/>
      <c r="AD358" s="23"/>
      <c r="AE358" s="23"/>
      <c r="AF358" s="23"/>
      <c r="AG358" s="23"/>
      <c r="AI358" s="13">
        <v>355</v>
      </c>
      <c r="AJ358" s="13">
        <v>105</v>
      </c>
      <c r="AK358" s="17">
        <v>106.9309568</v>
      </c>
      <c r="AV358" s="13">
        <f t="shared" si="22"/>
        <v>1.8390064761904856</v>
      </c>
      <c r="BD358" s="13">
        <v>355</v>
      </c>
      <c r="BE358" s="13">
        <v>105</v>
      </c>
      <c r="BF358" s="17">
        <v>108.66674879999999</v>
      </c>
      <c r="BQ358" s="13">
        <f t="shared" si="23"/>
        <v>3.4921417142857125</v>
      </c>
    </row>
    <row r="359" spans="1:69">
      <c r="A359" s="13">
        <v>356</v>
      </c>
      <c r="B359" s="13">
        <v>150</v>
      </c>
      <c r="C359" s="17">
        <v>160.06442630000001</v>
      </c>
      <c r="M359" s="13">
        <f t="shared" si="24"/>
        <v>6.7096175333333452</v>
      </c>
      <c r="O359" s="13">
        <v>356</v>
      </c>
      <c r="P359" s="13">
        <v>150</v>
      </c>
      <c r="Q359" s="17">
        <v>151.17555590000001</v>
      </c>
      <c r="AA359" s="13">
        <f t="shared" si="21"/>
        <v>0.7837039333333351</v>
      </c>
      <c r="AC359" s="23"/>
      <c r="AD359" s="23"/>
      <c r="AE359" s="23"/>
      <c r="AF359" s="23"/>
      <c r="AG359" s="23"/>
      <c r="AI359" s="13">
        <v>356</v>
      </c>
      <c r="AJ359" s="13">
        <v>150</v>
      </c>
      <c r="AK359" s="17">
        <v>151.98688530000001</v>
      </c>
      <c r="AV359" s="13">
        <f t="shared" si="22"/>
        <v>1.3245901999999976</v>
      </c>
      <c r="BD359" s="13">
        <v>356</v>
      </c>
      <c r="BE359" s="13">
        <v>150</v>
      </c>
      <c r="BF359" s="17">
        <v>153.34376810000001</v>
      </c>
      <c r="BQ359" s="13">
        <f t="shared" si="23"/>
        <v>2.2291787333333479</v>
      </c>
    </row>
    <row r="360" spans="1:69">
      <c r="A360" s="13">
        <v>357</v>
      </c>
      <c r="B360" s="13">
        <v>136</v>
      </c>
      <c r="C360" s="17">
        <v>146.06883379999999</v>
      </c>
      <c r="M360" s="13">
        <f t="shared" si="24"/>
        <v>7.4035542647058694</v>
      </c>
      <c r="O360" s="13">
        <v>357</v>
      </c>
      <c r="P360" s="13">
        <v>136</v>
      </c>
      <c r="Q360" s="17">
        <v>142.0444846</v>
      </c>
      <c r="AA360" s="13">
        <f t="shared" si="21"/>
        <v>4.4444739705882474</v>
      </c>
      <c r="AC360" s="23"/>
      <c r="AD360" s="23"/>
      <c r="AE360" s="23"/>
      <c r="AF360" s="23"/>
      <c r="AG360" s="23"/>
      <c r="AI360" s="13">
        <v>357</v>
      </c>
      <c r="AJ360" s="13">
        <v>136</v>
      </c>
      <c r="AK360" s="17">
        <v>138.06776679999999</v>
      </c>
      <c r="AV360" s="13">
        <f t="shared" si="22"/>
        <v>1.5204167647058675</v>
      </c>
      <c r="BD360" s="13">
        <v>357</v>
      </c>
      <c r="BE360" s="13">
        <v>136</v>
      </c>
      <c r="BF360" s="17">
        <v>139.43501660000001</v>
      </c>
      <c r="BQ360" s="13">
        <f t="shared" si="23"/>
        <v>2.5257475000000085</v>
      </c>
    </row>
    <row r="361" spans="1:69">
      <c r="A361" s="13">
        <v>358</v>
      </c>
      <c r="B361" s="13">
        <v>175</v>
      </c>
      <c r="C361" s="17">
        <v>183.27755400000001</v>
      </c>
      <c r="M361" s="13">
        <f t="shared" si="24"/>
        <v>4.7300308571428529</v>
      </c>
      <c r="O361" s="13">
        <v>358</v>
      </c>
      <c r="P361" s="13">
        <v>175</v>
      </c>
      <c r="Q361" s="17">
        <v>182.98500329999999</v>
      </c>
      <c r="AA361" s="13">
        <f t="shared" si="21"/>
        <v>4.562859028571431</v>
      </c>
      <c r="AC361" s="23"/>
      <c r="AD361" s="23"/>
      <c r="AE361" s="23"/>
      <c r="AF361" s="23"/>
      <c r="AG361" s="23"/>
      <c r="AI361" s="13">
        <v>358</v>
      </c>
      <c r="AJ361" s="13">
        <v>175</v>
      </c>
      <c r="AK361" s="17">
        <v>176.52151079999999</v>
      </c>
      <c r="AV361" s="13">
        <f t="shared" si="22"/>
        <v>0.86943474285714473</v>
      </c>
      <c r="BD361" s="13">
        <v>358</v>
      </c>
      <c r="BE361" s="13">
        <v>175</v>
      </c>
      <c r="BF361" s="17">
        <v>178.35870259999999</v>
      </c>
      <c r="BQ361" s="13">
        <f t="shared" si="23"/>
        <v>1.9192586285714297</v>
      </c>
    </row>
    <row r="362" spans="1:69">
      <c r="A362" s="13">
        <v>359</v>
      </c>
      <c r="B362" s="13">
        <v>29</v>
      </c>
      <c r="C362" s="17">
        <v>39.626950059999999</v>
      </c>
      <c r="M362" s="13">
        <f t="shared" si="24"/>
        <v>36.644655379310343</v>
      </c>
      <c r="O362" s="13">
        <v>359</v>
      </c>
      <c r="P362" s="13">
        <v>29</v>
      </c>
      <c r="Q362" s="17">
        <v>36.149918939999999</v>
      </c>
      <c r="AA362" s="13">
        <f t="shared" si="21"/>
        <v>24.654892896551715</v>
      </c>
      <c r="AC362" s="23"/>
      <c r="AD362" s="23"/>
      <c r="AE362" s="23"/>
      <c r="AF362" s="23"/>
      <c r="AG362" s="23"/>
      <c r="AI362" s="13">
        <v>359</v>
      </c>
      <c r="AJ362" s="13">
        <v>29</v>
      </c>
      <c r="AK362" s="17">
        <v>31.126170009999999</v>
      </c>
      <c r="AV362" s="13">
        <f t="shared" si="22"/>
        <v>7.3316207241379328</v>
      </c>
      <c r="BD362" s="13">
        <v>359</v>
      </c>
      <c r="BE362" s="13">
        <v>29</v>
      </c>
      <c r="BF362" s="17">
        <v>32.518725259999997</v>
      </c>
      <c r="BQ362" s="13">
        <f t="shared" si="23"/>
        <v>12.133535379310324</v>
      </c>
    </row>
    <row r="363" spans="1:69">
      <c r="A363" s="13">
        <v>360</v>
      </c>
      <c r="B363" s="13">
        <v>97</v>
      </c>
      <c r="C363" s="17">
        <v>96.217081300000004</v>
      </c>
      <c r="M363" s="13">
        <f t="shared" si="24"/>
        <v>-0.80713268041237018</v>
      </c>
      <c r="O363" s="13">
        <v>360</v>
      </c>
      <c r="P363" s="13">
        <v>97</v>
      </c>
      <c r="Q363" s="17">
        <v>95.409795500000001</v>
      </c>
      <c r="AA363" s="13">
        <f t="shared" si="21"/>
        <v>-1.6393860824742257</v>
      </c>
      <c r="AC363" s="23"/>
      <c r="AD363" s="23"/>
      <c r="AE363" s="23"/>
      <c r="AF363" s="23"/>
      <c r="AG363" s="23"/>
      <c r="AI363" s="13">
        <v>360</v>
      </c>
      <c r="AJ363" s="13">
        <v>97</v>
      </c>
      <c r="AK363" s="17">
        <v>96.649416259999995</v>
      </c>
      <c r="AV363" s="13">
        <f t="shared" si="22"/>
        <v>-0.36142653608247644</v>
      </c>
      <c r="BD363" s="13">
        <v>360</v>
      </c>
      <c r="BE363" s="13">
        <v>97</v>
      </c>
      <c r="BF363" s="17">
        <v>96.937159530000002</v>
      </c>
      <c r="BQ363" s="13">
        <f t="shared" si="23"/>
        <v>-6.4783989690719856E-2</v>
      </c>
    </row>
    <row r="364" spans="1:69">
      <c r="A364" s="13">
        <v>361</v>
      </c>
      <c r="B364" s="13">
        <v>36</v>
      </c>
      <c r="C364" s="17">
        <v>36.384807309999999</v>
      </c>
      <c r="M364" s="13">
        <f t="shared" si="24"/>
        <v>1.0689091944444451</v>
      </c>
      <c r="O364" s="13">
        <v>361</v>
      </c>
      <c r="P364" s="13">
        <v>36</v>
      </c>
      <c r="Q364" s="17">
        <v>41.11254315</v>
      </c>
      <c r="AA364" s="13">
        <f t="shared" si="21"/>
        <v>14.201508749999991</v>
      </c>
      <c r="AC364" s="23"/>
      <c r="AD364" s="23"/>
      <c r="AE364" s="23"/>
      <c r="AF364" s="23"/>
      <c r="AG364" s="23"/>
      <c r="AI364" s="13">
        <v>361</v>
      </c>
      <c r="AJ364" s="13">
        <v>36</v>
      </c>
      <c r="AK364" s="17">
        <v>36.356961460000001</v>
      </c>
      <c r="AV364" s="13">
        <f t="shared" si="22"/>
        <v>0.99155961111110358</v>
      </c>
      <c r="BD364" s="13">
        <v>361</v>
      </c>
      <c r="BE364" s="13">
        <v>36</v>
      </c>
      <c r="BF364" s="17">
        <v>35.022992930000001</v>
      </c>
      <c r="BQ364" s="13">
        <f t="shared" si="23"/>
        <v>-2.7139085277777752</v>
      </c>
    </row>
    <row r="365" spans="1:69">
      <c r="A365" s="13">
        <v>362</v>
      </c>
      <c r="B365" s="13">
        <v>17</v>
      </c>
      <c r="C365" s="17">
        <v>17.09231591</v>
      </c>
      <c r="M365" s="13">
        <f t="shared" si="24"/>
        <v>0.5430347647058742</v>
      </c>
      <c r="O365" s="13">
        <v>362</v>
      </c>
      <c r="P365" s="13">
        <v>17</v>
      </c>
      <c r="Q365" s="17">
        <v>16.2108922</v>
      </c>
      <c r="AA365" s="13">
        <f t="shared" si="21"/>
        <v>-4.6418105882352956</v>
      </c>
      <c r="AC365" s="23"/>
      <c r="AD365" s="23"/>
      <c r="AE365" s="23"/>
      <c r="AF365" s="23"/>
      <c r="AG365" s="23"/>
      <c r="AI365" s="13">
        <v>362</v>
      </c>
      <c r="AJ365" s="13">
        <v>17</v>
      </c>
      <c r="AK365" s="17">
        <v>17.01830318</v>
      </c>
      <c r="AV365" s="13">
        <f t="shared" si="22"/>
        <v>0.10766576470588873</v>
      </c>
      <c r="BD365" s="13">
        <v>362</v>
      </c>
      <c r="BE365" s="13">
        <v>17</v>
      </c>
      <c r="BF365" s="17">
        <v>16.60539601</v>
      </c>
      <c r="BQ365" s="13">
        <f t="shared" si="23"/>
        <v>-2.3211999411764772</v>
      </c>
    </row>
    <row r="366" spans="1:69">
      <c r="A366" s="13">
        <v>363</v>
      </c>
      <c r="B366" s="13">
        <v>241</v>
      </c>
      <c r="C366" s="17">
        <v>211.8777269</v>
      </c>
      <c r="M366" s="13">
        <f t="shared" si="24"/>
        <v>-12.083930746887972</v>
      </c>
      <c r="O366" s="13">
        <v>363</v>
      </c>
      <c r="P366" s="13">
        <v>241</v>
      </c>
      <c r="Q366" s="17">
        <v>207.17473430000001</v>
      </c>
      <c r="AA366" s="13">
        <f t="shared" si="21"/>
        <v>-14.035379958506223</v>
      </c>
      <c r="AC366" s="23"/>
      <c r="AD366" s="23"/>
      <c r="AE366" s="23"/>
      <c r="AF366" s="23"/>
      <c r="AG366" s="23"/>
      <c r="AI366" s="13">
        <v>363</v>
      </c>
      <c r="AJ366" s="13">
        <v>241</v>
      </c>
      <c r="AK366" s="17">
        <v>234.8535454</v>
      </c>
      <c r="AV366" s="13">
        <f t="shared" si="22"/>
        <v>-2.5503960995850616</v>
      </c>
      <c r="BD366" s="13">
        <v>363</v>
      </c>
      <c r="BE366" s="13">
        <v>241</v>
      </c>
      <c r="BF366" s="17">
        <v>229.4494358</v>
      </c>
      <c r="BQ366" s="13">
        <f t="shared" si="23"/>
        <v>-4.7927652282157673</v>
      </c>
    </row>
    <row r="367" spans="1:69">
      <c r="A367" s="13">
        <v>364</v>
      </c>
      <c r="B367" s="13">
        <v>106</v>
      </c>
      <c r="C367" s="17">
        <v>116.0361511</v>
      </c>
      <c r="M367" s="13">
        <f t="shared" si="24"/>
        <v>9.4680670754716978</v>
      </c>
      <c r="O367" s="13">
        <v>364</v>
      </c>
      <c r="P367" s="13">
        <v>106</v>
      </c>
      <c r="Q367" s="17">
        <v>109.1456488</v>
      </c>
      <c r="AA367" s="13">
        <f t="shared" si="21"/>
        <v>2.9675932075471811</v>
      </c>
      <c r="AC367" s="23"/>
      <c r="AD367" s="23"/>
      <c r="AE367" s="23"/>
      <c r="AF367" s="23"/>
      <c r="AG367" s="23"/>
      <c r="AI367" s="13">
        <v>364</v>
      </c>
      <c r="AJ367" s="13">
        <v>106</v>
      </c>
      <c r="AK367" s="17">
        <v>107.92323020000001</v>
      </c>
      <c r="AV367" s="13">
        <f t="shared" si="22"/>
        <v>1.8143681132075429</v>
      </c>
      <c r="BD367" s="13">
        <v>364</v>
      </c>
      <c r="BE367" s="13">
        <v>106</v>
      </c>
      <c r="BF367" s="17">
        <v>110.03261569999999</v>
      </c>
      <c r="BQ367" s="13">
        <f t="shared" si="23"/>
        <v>3.8043544339622537</v>
      </c>
    </row>
    <row r="368" spans="1:69">
      <c r="A368" s="13">
        <v>365</v>
      </c>
      <c r="B368" s="13">
        <v>183</v>
      </c>
      <c r="C368" s="17">
        <v>191.16290989999999</v>
      </c>
      <c r="M368" s="13">
        <f t="shared" si="24"/>
        <v>4.4606065027322339</v>
      </c>
      <c r="O368" s="13">
        <v>365</v>
      </c>
      <c r="P368" s="13">
        <v>183</v>
      </c>
      <c r="Q368" s="17">
        <v>185.98130280000001</v>
      </c>
      <c r="AA368" s="13">
        <f t="shared" si="21"/>
        <v>1.6291272131147672</v>
      </c>
      <c r="AC368" s="23"/>
      <c r="AD368" s="23"/>
      <c r="AE368" s="23"/>
      <c r="AF368" s="23"/>
      <c r="AG368" s="23"/>
      <c r="AI368" s="13">
        <v>365</v>
      </c>
      <c r="AJ368" s="13">
        <v>183</v>
      </c>
      <c r="AK368" s="17">
        <v>184.748582</v>
      </c>
      <c r="AV368" s="13">
        <f t="shared" si="22"/>
        <v>0.95550928961749548</v>
      </c>
      <c r="BD368" s="13">
        <v>365</v>
      </c>
      <c r="BE368" s="13">
        <v>183</v>
      </c>
      <c r="BF368" s="17">
        <v>185.41308179999999</v>
      </c>
      <c r="BQ368" s="13">
        <f t="shared" si="23"/>
        <v>1.3186239344262329</v>
      </c>
    </row>
    <row r="369" spans="1:69">
      <c r="A369" s="13">
        <v>366</v>
      </c>
      <c r="B369" s="13">
        <v>14</v>
      </c>
      <c r="C369" s="17">
        <v>21.364469255867</v>
      </c>
      <c r="M369" s="13">
        <f t="shared" si="24"/>
        <v>52.603351827621438</v>
      </c>
      <c r="O369" s="13">
        <v>366</v>
      </c>
      <c r="P369" s="13">
        <v>14</v>
      </c>
      <c r="Q369" s="17">
        <v>19.438650542724101</v>
      </c>
      <c r="AA369" s="13">
        <f t="shared" si="21"/>
        <v>38.847503876600719</v>
      </c>
      <c r="AC369" s="23"/>
      <c r="AD369" s="23"/>
      <c r="AE369" s="23"/>
      <c r="AF369" s="23"/>
      <c r="AG369" s="23"/>
      <c r="AI369" s="13">
        <v>366</v>
      </c>
      <c r="AJ369" s="13">
        <v>14</v>
      </c>
      <c r="AK369" s="17">
        <v>16.502102860000001</v>
      </c>
      <c r="AV369" s="13">
        <f t="shared" si="22"/>
        <v>17.872163285714283</v>
      </c>
      <c r="BD369" s="13">
        <v>366</v>
      </c>
      <c r="BE369" s="13">
        <v>14</v>
      </c>
      <c r="BF369" s="17">
        <v>18.380253209999999</v>
      </c>
      <c r="BQ369" s="13">
        <f t="shared" si="23"/>
        <v>31.28752292857142</v>
      </c>
    </row>
    <row r="370" spans="1:69">
      <c r="A370" s="13">
        <v>367</v>
      </c>
      <c r="B370" s="13">
        <v>22</v>
      </c>
      <c r="C370" s="17">
        <v>24.281927079999999</v>
      </c>
      <c r="M370" s="13">
        <f t="shared" si="24"/>
        <v>10.372395818181811</v>
      </c>
      <c r="O370" s="13">
        <v>367</v>
      </c>
      <c r="P370" s="13">
        <v>22</v>
      </c>
      <c r="Q370" s="17">
        <v>19.637063869999999</v>
      </c>
      <c r="AA370" s="13">
        <f t="shared" si="21"/>
        <v>-10.740618772727284</v>
      </c>
      <c r="AC370" s="23"/>
      <c r="AD370" s="23"/>
      <c r="AE370" s="23"/>
      <c r="AF370" s="23"/>
      <c r="AG370" s="23"/>
      <c r="AI370" s="13">
        <v>367</v>
      </c>
      <c r="AJ370" s="13">
        <v>22</v>
      </c>
      <c r="AK370" s="17">
        <v>22.455585419999998</v>
      </c>
      <c r="AV370" s="13">
        <f t="shared" si="22"/>
        <v>2.0708428181818173</v>
      </c>
      <c r="BD370" s="13">
        <v>367</v>
      </c>
      <c r="BE370" s="13">
        <v>22</v>
      </c>
      <c r="BF370" s="17">
        <v>22.181083770000001</v>
      </c>
      <c r="BQ370" s="13">
        <f t="shared" si="23"/>
        <v>0.82310804545455696</v>
      </c>
    </row>
    <row r="371" spans="1:69">
      <c r="A371" s="13">
        <v>368</v>
      </c>
      <c r="B371" s="13">
        <v>130</v>
      </c>
      <c r="C371" s="17">
        <v>100.455853</v>
      </c>
      <c r="M371" s="13">
        <f t="shared" si="24"/>
        <v>-22.726266923076921</v>
      </c>
      <c r="O371" s="13">
        <v>368</v>
      </c>
      <c r="P371" s="13">
        <v>130</v>
      </c>
      <c r="Q371" s="17">
        <v>94.707517030000005</v>
      </c>
      <c r="AA371" s="13">
        <f t="shared" si="21"/>
        <v>-27.148063823076917</v>
      </c>
      <c r="AC371" s="23"/>
      <c r="AD371" s="23"/>
      <c r="AE371" s="23"/>
      <c r="AF371" s="23"/>
      <c r="AG371" s="23"/>
      <c r="AI371" s="13">
        <v>368</v>
      </c>
      <c r="AJ371" s="13">
        <v>130</v>
      </c>
      <c r="AK371" s="17">
        <v>124.3091706</v>
      </c>
      <c r="AV371" s="13">
        <f t="shared" si="22"/>
        <v>-4.3775610769230759</v>
      </c>
      <c r="BD371" s="13">
        <v>368</v>
      </c>
      <c r="BE371" s="13">
        <v>130</v>
      </c>
      <c r="BF371" s="17">
        <v>117.5376739</v>
      </c>
      <c r="BQ371" s="13">
        <f t="shared" si="23"/>
        <v>-9.586404692307692</v>
      </c>
    </row>
    <row r="372" spans="1:69">
      <c r="A372" s="13">
        <v>369</v>
      </c>
      <c r="B372" s="13">
        <v>37</v>
      </c>
      <c r="C372" s="17">
        <v>28.4540900298311</v>
      </c>
      <c r="M372" s="13">
        <f t="shared" si="24"/>
        <v>-23.09705397342946</v>
      </c>
      <c r="O372" s="13">
        <v>369</v>
      </c>
      <c r="P372" s="13">
        <v>37</v>
      </c>
      <c r="Q372" s="17">
        <v>21.726968513427199</v>
      </c>
      <c r="AA372" s="13">
        <f t="shared" si="21"/>
        <v>-41.278463477223795</v>
      </c>
      <c r="AC372" s="23"/>
      <c r="AD372" s="23"/>
      <c r="AE372" s="23"/>
      <c r="AF372" s="23"/>
      <c r="AG372" s="23"/>
      <c r="AI372" s="13">
        <v>369</v>
      </c>
      <c r="AJ372" s="13">
        <v>37</v>
      </c>
      <c r="AK372" s="17">
        <v>31.25971105</v>
      </c>
      <c r="AV372" s="13">
        <f t="shared" si="22"/>
        <v>-15.514294459459455</v>
      </c>
      <c r="BD372" s="13">
        <v>369</v>
      </c>
      <c r="BE372" s="13">
        <v>37</v>
      </c>
      <c r="BF372" s="17">
        <v>24.014643329999998</v>
      </c>
      <c r="BQ372" s="13">
        <f t="shared" si="23"/>
        <v>-35.095558567567572</v>
      </c>
    </row>
    <row r="373" spans="1:69">
      <c r="A373" s="13">
        <v>370</v>
      </c>
      <c r="B373" s="13">
        <v>48</v>
      </c>
      <c r="C373" s="17">
        <v>47.847833940000001</v>
      </c>
      <c r="M373" s="13">
        <f t="shared" si="24"/>
        <v>-0.3170126250000016</v>
      </c>
      <c r="O373" s="13">
        <v>370</v>
      </c>
      <c r="P373" s="13">
        <v>48</v>
      </c>
      <c r="Q373" s="17">
        <v>52.191132250000003</v>
      </c>
      <c r="AA373" s="13">
        <f t="shared" si="21"/>
        <v>8.7315255208333387</v>
      </c>
      <c r="AC373" s="23"/>
      <c r="AD373" s="23"/>
      <c r="AE373" s="23"/>
      <c r="AF373" s="23"/>
      <c r="AG373" s="23"/>
      <c r="AI373" s="13">
        <v>370</v>
      </c>
      <c r="AJ373" s="13">
        <v>48</v>
      </c>
      <c r="AK373" s="17">
        <v>47.855566789999997</v>
      </c>
      <c r="AV373" s="13">
        <f t="shared" si="22"/>
        <v>-0.30090252083333491</v>
      </c>
      <c r="BD373" s="13">
        <v>370</v>
      </c>
      <c r="BE373" s="13">
        <v>48</v>
      </c>
      <c r="BF373" s="17">
        <v>47.722044179999997</v>
      </c>
      <c r="BQ373" s="13">
        <f t="shared" si="23"/>
        <v>-0.57907462500000895</v>
      </c>
    </row>
    <row r="374" spans="1:69">
      <c r="A374" s="13">
        <v>371</v>
      </c>
      <c r="B374" s="13">
        <v>46</v>
      </c>
      <c r="C374" s="17">
        <v>28.427079341347302</v>
      </c>
      <c r="M374" s="13">
        <f t="shared" si="24"/>
        <v>-38.202001431853695</v>
      </c>
      <c r="O374" s="13">
        <v>371</v>
      </c>
      <c r="P374" s="13">
        <v>46</v>
      </c>
      <c r="Q374" s="17">
        <v>55.513857854320499</v>
      </c>
      <c r="AA374" s="13">
        <f t="shared" si="21"/>
        <v>20.682299683305438</v>
      </c>
      <c r="AC374" s="23"/>
      <c r="AD374" s="23"/>
      <c r="AE374" s="23"/>
      <c r="AF374" s="23"/>
      <c r="AG374" s="23"/>
      <c r="AI374" s="13">
        <v>371</v>
      </c>
      <c r="AJ374" s="13">
        <v>46</v>
      </c>
      <c r="AK374" s="17">
        <v>40.318493400000001</v>
      </c>
      <c r="AV374" s="13">
        <f t="shared" si="22"/>
        <v>-12.351101304347821</v>
      </c>
      <c r="BD374" s="13">
        <v>371</v>
      </c>
      <c r="BE374" s="13">
        <v>46</v>
      </c>
      <c r="BF374" s="17">
        <v>34.2430874</v>
      </c>
      <c r="BQ374" s="13">
        <f t="shared" si="23"/>
        <v>-25.558505652173913</v>
      </c>
    </row>
    <row r="375" spans="1:69">
      <c r="A375" s="13">
        <v>372</v>
      </c>
      <c r="B375" s="13">
        <v>90</v>
      </c>
      <c r="C375" s="17">
        <v>91.571540729999995</v>
      </c>
      <c r="M375" s="13">
        <f t="shared" si="24"/>
        <v>1.7461563666666624</v>
      </c>
      <c r="O375" s="13">
        <v>372</v>
      </c>
      <c r="P375" s="13">
        <v>90</v>
      </c>
      <c r="Q375" s="17">
        <v>87.636878350000003</v>
      </c>
      <c r="AA375" s="13">
        <f t="shared" si="21"/>
        <v>-2.6256907222222181</v>
      </c>
      <c r="AC375" s="23"/>
      <c r="AD375" s="23"/>
      <c r="AE375" s="23"/>
      <c r="AF375" s="23"/>
      <c r="AG375" s="23"/>
      <c r="AI375" s="13">
        <v>372</v>
      </c>
      <c r="AJ375" s="13">
        <v>90</v>
      </c>
      <c r="AK375" s="17">
        <v>90.560308149999997</v>
      </c>
      <c r="AV375" s="13">
        <f t="shared" si="22"/>
        <v>0.62256461111109829</v>
      </c>
      <c r="BD375" s="13">
        <v>372</v>
      </c>
      <c r="BE375" s="13">
        <v>90</v>
      </c>
      <c r="BF375" s="17">
        <v>90.154674409999998</v>
      </c>
      <c r="BQ375" s="13">
        <f t="shared" si="23"/>
        <v>0.1718604555555503</v>
      </c>
    </row>
    <row r="376" spans="1:69">
      <c r="A376" s="13">
        <v>373</v>
      </c>
      <c r="B376" s="13">
        <v>94</v>
      </c>
      <c r="C376" s="17">
        <v>94.044956389999996</v>
      </c>
      <c r="M376" s="13">
        <f t="shared" si="24"/>
        <v>4.7825946808499609E-2</v>
      </c>
      <c r="O376" s="13">
        <v>373</v>
      </c>
      <c r="P376" s="13">
        <v>94</v>
      </c>
      <c r="Q376" s="17">
        <v>86.833427060000005</v>
      </c>
      <c r="AA376" s="13">
        <f t="shared" si="21"/>
        <v>-7.6240137659574376</v>
      </c>
      <c r="AC376" s="23"/>
      <c r="AD376" s="23"/>
      <c r="AE376" s="23"/>
      <c r="AF376" s="23"/>
      <c r="AG376" s="23"/>
      <c r="AI376" s="13">
        <v>373</v>
      </c>
      <c r="AJ376" s="13">
        <v>94</v>
      </c>
      <c r="AK376" s="17">
        <v>94.148991280000004</v>
      </c>
      <c r="AV376" s="13">
        <f t="shared" si="22"/>
        <v>0.15850136170212359</v>
      </c>
      <c r="BD376" s="13">
        <v>373</v>
      </c>
      <c r="BE376" s="13">
        <v>94</v>
      </c>
      <c r="BF376" s="17">
        <v>93.788165809999995</v>
      </c>
      <c r="BQ376" s="13">
        <f t="shared" si="23"/>
        <v>-0.22535552127660452</v>
      </c>
    </row>
    <row r="377" spans="1:69">
      <c r="A377" s="13">
        <v>374</v>
      </c>
      <c r="B377" s="13">
        <v>27</v>
      </c>
      <c r="C377" s="17">
        <v>37.857262630000001</v>
      </c>
      <c r="M377" s="13">
        <f t="shared" si="24"/>
        <v>40.212083814814825</v>
      </c>
      <c r="O377" s="13">
        <v>374</v>
      </c>
      <c r="P377" s="13">
        <v>27</v>
      </c>
      <c r="Q377" s="17">
        <v>28.986450609999999</v>
      </c>
      <c r="AA377" s="13">
        <f t="shared" si="21"/>
        <v>7.3572244814814836</v>
      </c>
      <c r="AC377" s="23"/>
      <c r="AD377" s="23"/>
      <c r="AE377" s="23"/>
      <c r="AF377" s="23"/>
      <c r="AG377" s="23"/>
      <c r="AI377" s="13">
        <v>374</v>
      </c>
      <c r="AJ377" s="13">
        <v>27</v>
      </c>
      <c r="AK377" s="17">
        <v>29.17127253</v>
      </c>
      <c r="AV377" s="13">
        <f t="shared" si="22"/>
        <v>8.0417501111111012</v>
      </c>
      <c r="BD377" s="13">
        <v>374</v>
      </c>
      <c r="BE377" s="13">
        <v>27</v>
      </c>
      <c r="BF377" s="17">
        <v>30.652391600000001</v>
      </c>
      <c r="BQ377" s="13">
        <f t="shared" si="23"/>
        <v>13.5273762962963</v>
      </c>
    </row>
    <row r="378" spans="1:69">
      <c r="A378" s="13">
        <v>375</v>
      </c>
      <c r="B378" s="13">
        <v>142</v>
      </c>
      <c r="C378" s="17">
        <v>111.94506010000001</v>
      </c>
      <c r="M378" s="13">
        <f t="shared" si="24"/>
        <v>-21.165450633802806</v>
      </c>
      <c r="O378" s="13">
        <v>375</v>
      </c>
      <c r="P378" s="13">
        <v>142</v>
      </c>
      <c r="Q378" s="17">
        <v>109.8154435</v>
      </c>
      <c r="AA378" s="13">
        <f t="shared" si="21"/>
        <v>-22.665180633802816</v>
      </c>
      <c r="AC378" s="23"/>
      <c r="AD378" s="23"/>
      <c r="AE378" s="23"/>
      <c r="AF378" s="23"/>
      <c r="AG378" s="23"/>
      <c r="AI378" s="13">
        <v>375</v>
      </c>
      <c r="AJ378" s="13">
        <v>142</v>
      </c>
      <c r="AK378" s="17">
        <v>136.14501200000001</v>
      </c>
      <c r="AV378" s="13">
        <f t="shared" si="22"/>
        <v>-4.1232309859154821</v>
      </c>
      <c r="BD378" s="13">
        <v>375</v>
      </c>
      <c r="BE378" s="13">
        <v>142</v>
      </c>
      <c r="BF378" s="17">
        <v>128.7886293</v>
      </c>
      <c r="BQ378" s="13">
        <f t="shared" si="23"/>
        <v>-9.3037821830985976</v>
      </c>
    </row>
    <row r="379" spans="1:69">
      <c r="A379" s="13">
        <v>376</v>
      </c>
      <c r="B379" s="13">
        <v>150</v>
      </c>
      <c r="C379" s="17">
        <v>120.94739</v>
      </c>
      <c r="M379" s="13">
        <f t="shared" si="24"/>
        <v>-19.368406666666672</v>
      </c>
      <c r="O379" s="13">
        <v>376</v>
      </c>
      <c r="P379" s="13">
        <v>150</v>
      </c>
      <c r="Q379" s="17">
        <v>117.5790444</v>
      </c>
      <c r="AA379" s="13">
        <f t="shared" si="21"/>
        <v>-21.613970400000003</v>
      </c>
      <c r="AC379" s="23"/>
      <c r="AD379" s="23"/>
      <c r="AE379" s="23"/>
      <c r="AF379" s="23"/>
      <c r="AG379" s="23"/>
      <c r="AI379" s="13">
        <v>376</v>
      </c>
      <c r="AJ379" s="13">
        <v>150</v>
      </c>
      <c r="AK379" s="17">
        <v>144.341478</v>
      </c>
      <c r="AV379" s="13">
        <f t="shared" si="22"/>
        <v>-3.7723480000000031</v>
      </c>
      <c r="BD379" s="13">
        <v>376</v>
      </c>
      <c r="BE379" s="13">
        <v>150</v>
      </c>
      <c r="BF379" s="17">
        <v>137.5977379</v>
      </c>
      <c r="BQ379" s="13">
        <f t="shared" si="23"/>
        <v>-8.2681747333333337</v>
      </c>
    </row>
    <row r="380" spans="1:69">
      <c r="A380" s="13">
        <v>377</v>
      </c>
      <c r="B380" s="13">
        <v>0</v>
      </c>
      <c r="C380" s="17">
        <v>1.1937085730000001</v>
      </c>
      <c r="M380" s="13" t="e">
        <f t="shared" si="24"/>
        <v>#DIV/0!</v>
      </c>
      <c r="O380" s="13">
        <v>377</v>
      </c>
      <c r="P380" s="13">
        <v>0</v>
      </c>
      <c r="Q380" s="17">
        <v>2.4313629689999998</v>
      </c>
      <c r="AA380" s="13" t="e">
        <f t="shared" si="21"/>
        <v>#DIV/0!</v>
      </c>
      <c r="AC380" s="23"/>
      <c r="AD380" s="23"/>
      <c r="AE380" s="23"/>
      <c r="AF380" s="23"/>
      <c r="AG380" s="23"/>
      <c r="AI380" s="13">
        <v>377</v>
      </c>
      <c r="AJ380" s="13">
        <v>0</v>
      </c>
      <c r="AK380" s="17">
        <v>0.23960171499999999</v>
      </c>
      <c r="AV380" s="13" t="e">
        <f t="shared" si="22"/>
        <v>#DIV/0!</v>
      </c>
      <c r="BD380" s="13">
        <v>377</v>
      </c>
      <c r="BE380" s="13">
        <v>0</v>
      </c>
      <c r="BF380" s="17">
        <v>-5.1999999999999995E-4</v>
      </c>
      <c r="BQ380" s="13" t="e">
        <f t="shared" si="23"/>
        <v>#DIV/0!</v>
      </c>
    </row>
    <row r="381" spans="1:69">
      <c r="A381" s="13">
        <v>378</v>
      </c>
      <c r="B381" s="13">
        <v>63</v>
      </c>
      <c r="C381" s="17">
        <v>34.675349689999997</v>
      </c>
      <c r="M381" s="13">
        <f t="shared" si="24"/>
        <v>-44.959762396825397</v>
      </c>
      <c r="O381" s="13">
        <v>378</v>
      </c>
      <c r="P381" s="13">
        <v>63</v>
      </c>
      <c r="Q381" s="17">
        <v>35.940031879999999</v>
      </c>
      <c r="AA381" s="13">
        <f t="shared" si="21"/>
        <v>-42.952330349206349</v>
      </c>
      <c r="AC381" s="23"/>
      <c r="AD381" s="23"/>
      <c r="AE381" s="23"/>
      <c r="AF381" s="23"/>
      <c r="AG381" s="23"/>
      <c r="AI381" s="13">
        <v>378</v>
      </c>
      <c r="AJ381" s="13">
        <v>63</v>
      </c>
      <c r="AK381" s="17">
        <v>57.683069940000003</v>
      </c>
      <c r="AV381" s="13">
        <f t="shared" si="22"/>
        <v>-8.4395715238095192</v>
      </c>
      <c r="BD381" s="13">
        <v>378</v>
      </c>
      <c r="BE381" s="13">
        <v>63</v>
      </c>
      <c r="BF381" s="17">
        <v>50.792051069999999</v>
      </c>
      <c r="BQ381" s="13">
        <f t="shared" si="23"/>
        <v>-19.377696714285719</v>
      </c>
    </row>
    <row r="382" spans="1:69">
      <c r="A382" s="13">
        <v>379</v>
      </c>
      <c r="B382" s="13">
        <v>162</v>
      </c>
      <c r="C382" s="17">
        <v>130.57443739999999</v>
      </c>
      <c r="M382" s="13">
        <f t="shared" si="24"/>
        <v>-19.398495432098773</v>
      </c>
      <c r="O382" s="13">
        <v>379</v>
      </c>
      <c r="P382" s="13">
        <v>162</v>
      </c>
      <c r="Q382" s="17">
        <v>125.6458378</v>
      </c>
      <c r="AA382" s="13">
        <f t="shared" si="21"/>
        <v>-22.440840864197533</v>
      </c>
      <c r="AC382" s="23"/>
      <c r="AD382" s="23"/>
      <c r="AE382" s="23"/>
      <c r="AF382" s="23"/>
      <c r="AG382" s="23"/>
      <c r="AI382" s="13">
        <v>379</v>
      </c>
      <c r="AJ382" s="13">
        <v>162</v>
      </c>
      <c r="AK382" s="17">
        <v>155.7488875</v>
      </c>
      <c r="AV382" s="13">
        <f t="shared" si="22"/>
        <v>-3.8587114197530914</v>
      </c>
      <c r="BD382" s="13">
        <v>379</v>
      </c>
      <c r="BE382" s="13">
        <v>162</v>
      </c>
      <c r="BF382" s="17">
        <v>149.37066530000001</v>
      </c>
      <c r="BQ382" s="13">
        <f t="shared" si="23"/>
        <v>-7.7958856172839379</v>
      </c>
    </row>
    <row r="383" spans="1:69">
      <c r="A383" s="13">
        <v>380</v>
      </c>
      <c r="B383" s="13">
        <v>60</v>
      </c>
      <c r="C383" s="17">
        <v>75.220166690762795</v>
      </c>
      <c r="M383" s="13">
        <f t="shared" si="24"/>
        <v>25.366944484604659</v>
      </c>
      <c r="O383" s="13">
        <v>380</v>
      </c>
      <c r="P383" s="13">
        <v>60</v>
      </c>
      <c r="Q383" s="17">
        <v>46.252552864173197</v>
      </c>
      <c r="AA383" s="13">
        <f t="shared" si="21"/>
        <v>-22.91241189304467</v>
      </c>
      <c r="AC383" s="23"/>
      <c r="AD383" s="23"/>
      <c r="AE383" s="23"/>
      <c r="AF383" s="23"/>
      <c r="AG383" s="23"/>
      <c r="AI383" s="13">
        <v>380</v>
      </c>
      <c r="AJ383" s="13">
        <v>60</v>
      </c>
      <c r="AK383" s="17">
        <v>53.586242689999999</v>
      </c>
      <c r="AV383" s="13">
        <f t="shared" si="22"/>
        <v>-10.689595516666673</v>
      </c>
      <c r="BD383" s="13">
        <v>380</v>
      </c>
      <c r="BE383" s="13">
        <v>60</v>
      </c>
      <c r="BF383" s="17">
        <v>47.167363590000001</v>
      </c>
      <c r="BQ383" s="13">
        <f t="shared" si="23"/>
        <v>-21.387727349999995</v>
      </c>
    </row>
    <row r="384" spans="1:69">
      <c r="A384" s="13">
        <v>381</v>
      </c>
      <c r="B384" s="13">
        <v>129</v>
      </c>
      <c r="C384" s="17">
        <v>100.2903689</v>
      </c>
      <c r="M384" s="13">
        <f t="shared" si="24"/>
        <v>-22.255527984496126</v>
      </c>
      <c r="O384" s="13">
        <v>381</v>
      </c>
      <c r="P384" s="13">
        <v>129</v>
      </c>
      <c r="Q384" s="17">
        <v>102.23199630000001</v>
      </c>
      <c r="AA384" s="13">
        <f t="shared" si="21"/>
        <v>-20.750390465116276</v>
      </c>
      <c r="AC384" s="23"/>
      <c r="AD384" s="23"/>
      <c r="AE384" s="23"/>
      <c r="AF384" s="23"/>
      <c r="AG384" s="23"/>
      <c r="AI384" s="13">
        <v>381</v>
      </c>
      <c r="AJ384" s="13">
        <v>129</v>
      </c>
      <c r="AK384" s="17">
        <v>123.0480738</v>
      </c>
      <c r="AV384" s="13">
        <f t="shared" si="22"/>
        <v>-4.613896279069774</v>
      </c>
      <c r="BD384" s="13">
        <v>381</v>
      </c>
      <c r="BE384" s="13">
        <v>129</v>
      </c>
      <c r="BF384" s="17">
        <v>117.06527440000001</v>
      </c>
      <c r="BQ384" s="13">
        <f t="shared" si="23"/>
        <v>-9.2517252713178237</v>
      </c>
    </row>
    <row r="385" spans="1:69">
      <c r="A385" s="13">
        <v>382</v>
      </c>
      <c r="B385" s="13">
        <v>43</v>
      </c>
      <c r="C385" s="17">
        <v>56.222004509999998</v>
      </c>
      <c r="M385" s="13">
        <f t="shared" si="24"/>
        <v>30.748847697674407</v>
      </c>
      <c r="O385" s="13">
        <v>382</v>
      </c>
      <c r="P385" s="13">
        <v>43</v>
      </c>
      <c r="Q385" s="17">
        <v>55.076882089999998</v>
      </c>
      <c r="AA385" s="13">
        <f t="shared" si="21"/>
        <v>28.085772302325584</v>
      </c>
      <c r="AC385" s="23"/>
      <c r="AD385" s="23"/>
      <c r="AE385" s="23"/>
      <c r="AF385" s="23"/>
      <c r="AG385" s="23"/>
      <c r="AI385" s="13">
        <v>382</v>
      </c>
      <c r="AJ385" s="13">
        <v>43</v>
      </c>
      <c r="AK385" s="17">
        <v>45.6204009</v>
      </c>
      <c r="AV385" s="13">
        <f t="shared" si="22"/>
        <v>6.0939555813953383</v>
      </c>
      <c r="BD385" s="13">
        <v>382</v>
      </c>
      <c r="BE385" s="13">
        <v>43</v>
      </c>
      <c r="BF385" s="17">
        <v>47.982564549999999</v>
      </c>
      <c r="BQ385" s="13">
        <f t="shared" si="23"/>
        <v>11.587359418604649</v>
      </c>
    </row>
    <row r="386" spans="1:69">
      <c r="A386" s="13">
        <v>383</v>
      </c>
      <c r="B386" s="13">
        <v>22</v>
      </c>
      <c r="C386" s="17">
        <v>20.464445381574301</v>
      </c>
      <c r="M386" s="13">
        <f t="shared" si="24"/>
        <v>-6.9797937201168114</v>
      </c>
      <c r="O386" s="13">
        <v>383</v>
      </c>
      <c r="P386" s="13">
        <v>22</v>
      </c>
      <c r="Q386" s="17">
        <v>19.252273323616699</v>
      </c>
      <c r="AA386" s="13">
        <f t="shared" si="21"/>
        <v>-12.489666710833191</v>
      </c>
      <c r="AC386" s="23"/>
      <c r="AD386" s="23"/>
      <c r="AE386" s="23"/>
      <c r="AF386" s="23"/>
      <c r="AG386" s="23"/>
      <c r="AI386" s="13">
        <v>383</v>
      </c>
      <c r="AJ386" s="13">
        <v>22</v>
      </c>
      <c r="AK386" s="17">
        <v>25.577836612189198</v>
      </c>
      <c r="AV386" s="13">
        <f t="shared" si="22"/>
        <v>16.262893691769076</v>
      </c>
      <c r="BD386" s="13">
        <v>383</v>
      </c>
      <c r="BE386" s="13">
        <v>22</v>
      </c>
      <c r="BF386" s="17">
        <v>26.3333438286766</v>
      </c>
      <c r="BQ386" s="13">
        <f t="shared" si="23"/>
        <v>19.697017403075456</v>
      </c>
    </row>
    <row r="387" spans="1:69">
      <c r="A387" s="13">
        <v>384</v>
      </c>
      <c r="B387" s="13">
        <v>170</v>
      </c>
      <c r="C387" s="17">
        <v>140.32345359999999</v>
      </c>
      <c r="M387" s="13">
        <f t="shared" si="24"/>
        <v>-17.456792</v>
      </c>
      <c r="O387" s="13">
        <v>384</v>
      </c>
      <c r="P387" s="13">
        <v>170</v>
      </c>
      <c r="Q387" s="17">
        <v>135.2348781</v>
      </c>
      <c r="AA387" s="13">
        <f t="shared" ref="AA387:AA450" si="25">((Q387/P387)-1)*100</f>
        <v>-20.450071705882355</v>
      </c>
      <c r="AC387" s="23"/>
      <c r="AD387" s="23"/>
      <c r="AE387" s="23"/>
      <c r="AF387" s="23"/>
      <c r="AG387" s="23"/>
      <c r="AI387" s="13">
        <v>384</v>
      </c>
      <c r="AJ387" s="13">
        <v>170</v>
      </c>
      <c r="AK387" s="17">
        <v>163.7186907</v>
      </c>
      <c r="AV387" s="13">
        <f t="shared" ref="AV387:AV450" si="26">((AK387/AJ387)-1)*100</f>
        <v>-3.6948878235294136</v>
      </c>
      <c r="BD387" s="13">
        <v>384</v>
      </c>
      <c r="BE387" s="13">
        <v>170</v>
      </c>
      <c r="BF387" s="17">
        <v>157.9148289</v>
      </c>
      <c r="BQ387" s="13">
        <f t="shared" si="23"/>
        <v>-7.1089241764705875</v>
      </c>
    </row>
    <row r="388" spans="1:69">
      <c r="A388" s="13">
        <v>385</v>
      </c>
      <c r="B388" s="13">
        <v>162</v>
      </c>
      <c r="C388" s="17">
        <v>172.24541099999999</v>
      </c>
      <c r="M388" s="13">
        <f t="shared" si="24"/>
        <v>6.3243277777777607</v>
      </c>
      <c r="O388" s="13">
        <v>385</v>
      </c>
      <c r="P388" s="13">
        <v>162</v>
      </c>
      <c r="Q388" s="17">
        <v>168.95793119999999</v>
      </c>
      <c r="AA388" s="13">
        <f t="shared" si="25"/>
        <v>4.2950192592592584</v>
      </c>
      <c r="AC388" s="23"/>
      <c r="AD388" s="23"/>
      <c r="AE388" s="23"/>
      <c r="AF388" s="23"/>
      <c r="AG388" s="23"/>
      <c r="AI388" s="13">
        <v>385</v>
      </c>
      <c r="AJ388" s="13">
        <v>162</v>
      </c>
      <c r="AK388" s="17">
        <v>164.0990822</v>
      </c>
      <c r="AV388" s="13">
        <f t="shared" si="26"/>
        <v>1.2957297530864276</v>
      </c>
      <c r="BD388" s="13">
        <v>385</v>
      </c>
      <c r="BE388" s="13">
        <v>162</v>
      </c>
      <c r="BF388" s="17">
        <v>165.49088689999999</v>
      </c>
      <c r="BQ388" s="13">
        <f t="shared" ref="BQ388:BQ451" si="27">((BF388/BE388)-1)*100</f>
        <v>2.1548684567901155</v>
      </c>
    </row>
    <row r="389" spans="1:69">
      <c r="A389" s="13">
        <v>386</v>
      </c>
      <c r="B389" s="13">
        <v>238</v>
      </c>
      <c r="C389" s="17">
        <v>208.5267398</v>
      </c>
      <c r="M389" s="13">
        <f t="shared" si="24"/>
        <v>-12.383722773109241</v>
      </c>
      <c r="O389" s="13">
        <v>386</v>
      </c>
      <c r="P389" s="13">
        <v>238</v>
      </c>
      <c r="Q389" s="17">
        <v>201.46089140000001</v>
      </c>
      <c r="AA389" s="13">
        <f t="shared" si="25"/>
        <v>-15.352566638655462</v>
      </c>
      <c r="AC389" s="23"/>
      <c r="AD389" s="23"/>
      <c r="AE389" s="23"/>
      <c r="AF389" s="23"/>
      <c r="AG389" s="23"/>
      <c r="AI389" s="13">
        <v>386</v>
      </c>
      <c r="AJ389" s="13">
        <v>238</v>
      </c>
      <c r="AK389" s="17">
        <v>231.92534800000001</v>
      </c>
      <c r="AV389" s="13">
        <f t="shared" si="26"/>
        <v>-2.5523747899159566</v>
      </c>
      <c r="BD389" s="13">
        <v>386</v>
      </c>
      <c r="BE389" s="13">
        <v>238</v>
      </c>
      <c r="BF389" s="17">
        <v>226.01726210000001</v>
      </c>
      <c r="BQ389" s="13">
        <f t="shared" si="27"/>
        <v>-5.034763823529409</v>
      </c>
    </row>
    <row r="390" spans="1:69">
      <c r="A390" s="13">
        <v>387</v>
      </c>
      <c r="B390" s="13">
        <v>183</v>
      </c>
      <c r="C390" s="17">
        <v>153.4836999</v>
      </c>
      <c r="M390" s="13">
        <f t="shared" si="24"/>
        <v>-16.129125737704918</v>
      </c>
      <c r="O390" s="13">
        <v>387</v>
      </c>
      <c r="P390" s="13">
        <v>183</v>
      </c>
      <c r="Q390" s="17">
        <v>151.4135283</v>
      </c>
      <c r="AA390" s="13">
        <f t="shared" si="25"/>
        <v>-17.260367049180324</v>
      </c>
      <c r="AC390" s="23"/>
      <c r="AD390" s="23"/>
      <c r="AE390" s="23"/>
      <c r="AF390" s="23"/>
      <c r="AG390" s="23"/>
      <c r="AI390" s="13">
        <v>387</v>
      </c>
      <c r="AJ390" s="13">
        <v>183</v>
      </c>
      <c r="AK390" s="17">
        <v>176.78474</v>
      </c>
      <c r="AV390" s="13">
        <f t="shared" si="26"/>
        <v>-3.3963169398907089</v>
      </c>
      <c r="BD390" s="13">
        <v>387</v>
      </c>
      <c r="BE390" s="13">
        <v>183</v>
      </c>
      <c r="BF390" s="17">
        <v>170.77947879999999</v>
      </c>
      <c r="BQ390" s="13">
        <f t="shared" si="27"/>
        <v>-6.6778804371584783</v>
      </c>
    </row>
    <row r="391" spans="1:69">
      <c r="A391" s="13">
        <v>388</v>
      </c>
      <c r="B391" s="13">
        <v>107</v>
      </c>
      <c r="C391" s="17">
        <v>108.38190179999999</v>
      </c>
      <c r="M391" s="13">
        <f t="shared" si="24"/>
        <v>1.2914970093457878</v>
      </c>
      <c r="O391" s="13">
        <v>388</v>
      </c>
      <c r="P391" s="13">
        <v>107</v>
      </c>
      <c r="Q391" s="17">
        <v>104.28830429999999</v>
      </c>
      <c r="AA391" s="13">
        <f t="shared" si="25"/>
        <v>-2.5342950467289738</v>
      </c>
      <c r="AC391" s="23"/>
      <c r="AD391" s="23"/>
      <c r="AE391" s="23"/>
      <c r="AF391" s="23"/>
      <c r="AG391" s="23"/>
      <c r="AI391" s="13">
        <v>388</v>
      </c>
      <c r="AJ391" s="13">
        <v>107</v>
      </c>
      <c r="AK391" s="17">
        <v>107.5243804</v>
      </c>
      <c r="AV391" s="13">
        <f t="shared" si="26"/>
        <v>0.49007514018690745</v>
      </c>
      <c r="BD391" s="13">
        <v>388</v>
      </c>
      <c r="BE391" s="13">
        <v>107</v>
      </c>
      <c r="BF391" s="17">
        <v>107.508</v>
      </c>
      <c r="BQ391" s="13">
        <f t="shared" si="27"/>
        <v>0.47476635514018817</v>
      </c>
    </row>
    <row r="392" spans="1:69">
      <c r="A392" s="13">
        <v>389</v>
      </c>
      <c r="B392" s="13">
        <v>197</v>
      </c>
      <c r="C392" s="17">
        <v>206.88199409999999</v>
      </c>
      <c r="M392" s="13">
        <f t="shared" si="24"/>
        <v>5.0162406598984743</v>
      </c>
      <c r="O392" s="13">
        <v>389</v>
      </c>
      <c r="P392" s="13">
        <v>197</v>
      </c>
      <c r="Q392" s="17">
        <v>201.76093320000001</v>
      </c>
      <c r="AA392" s="13">
        <f t="shared" si="25"/>
        <v>2.4167173604060954</v>
      </c>
      <c r="AC392" s="23"/>
      <c r="AD392" s="23"/>
      <c r="AE392" s="23"/>
      <c r="AF392" s="23"/>
      <c r="AG392" s="23"/>
      <c r="AI392" s="13">
        <v>389</v>
      </c>
      <c r="AJ392" s="13">
        <v>197</v>
      </c>
      <c r="AK392" s="17">
        <v>199.08639880000001</v>
      </c>
      <c r="AV392" s="13">
        <f t="shared" si="26"/>
        <v>1.059085685279193</v>
      </c>
      <c r="BD392" s="13">
        <v>389</v>
      </c>
      <c r="BE392" s="13">
        <v>197</v>
      </c>
      <c r="BF392" s="17">
        <v>200.82799059999999</v>
      </c>
      <c r="BQ392" s="13">
        <f t="shared" si="27"/>
        <v>1.9431424365482286</v>
      </c>
    </row>
    <row r="393" spans="1:69">
      <c r="A393" s="13">
        <v>390</v>
      </c>
      <c r="B393" s="13">
        <v>91</v>
      </c>
      <c r="C393" s="17">
        <v>62.048332629999997</v>
      </c>
      <c r="M393" s="13">
        <f t="shared" si="24"/>
        <v>-31.815019087912088</v>
      </c>
      <c r="O393" s="13">
        <v>390</v>
      </c>
      <c r="P393" s="13">
        <v>91</v>
      </c>
      <c r="Q393" s="17">
        <v>58.548722069999997</v>
      </c>
      <c r="AA393" s="13">
        <f t="shared" si="25"/>
        <v>-35.660744978021988</v>
      </c>
      <c r="AC393" s="23"/>
      <c r="AD393" s="23"/>
      <c r="AE393" s="23"/>
      <c r="AF393" s="23"/>
      <c r="AG393" s="23"/>
      <c r="AI393" s="13">
        <v>390</v>
      </c>
      <c r="AJ393" s="13">
        <v>91</v>
      </c>
      <c r="AK393" s="17">
        <v>85.353666529999998</v>
      </c>
      <c r="AV393" s="13">
        <f t="shared" si="26"/>
        <v>-6.2047620549450571</v>
      </c>
      <c r="BD393" s="13">
        <v>390</v>
      </c>
      <c r="BE393" s="13">
        <v>91</v>
      </c>
      <c r="BF393" s="17">
        <v>78.691332680000002</v>
      </c>
      <c r="BQ393" s="13">
        <f t="shared" si="27"/>
        <v>-13.52600804395604</v>
      </c>
    </row>
    <row r="394" spans="1:69">
      <c r="A394" s="13">
        <v>391</v>
      </c>
      <c r="B394" s="13">
        <v>56</v>
      </c>
      <c r="C394" s="17">
        <v>65.583673919999995</v>
      </c>
      <c r="M394" s="13">
        <f t="shared" si="24"/>
        <v>17.113703428571412</v>
      </c>
      <c r="O394" s="13">
        <v>391</v>
      </c>
      <c r="P394" s="13">
        <v>56</v>
      </c>
      <c r="Q394" s="17">
        <v>66.549176520000003</v>
      </c>
      <c r="AA394" s="13">
        <f t="shared" si="25"/>
        <v>18.837815214285712</v>
      </c>
      <c r="AC394" s="23"/>
      <c r="AD394" s="23"/>
      <c r="AE394" s="23"/>
      <c r="AF394" s="23"/>
      <c r="AG394" s="23"/>
      <c r="AI394" s="13">
        <v>391</v>
      </c>
      <c r="AJ394" s="13">
        <v>56</v>
      </c>
      <c r="AK394" s="17">
        <v>58.01673478</v>
      </c>
      <c r="AV394" s="13">
        <f t="shared" si="26"/>
        <v>3.6013121071428511</v>
      </c>
      <c r="BD394" s="13">
        <v>391</v>
      </c>
      <c r="BE394" s="13">
        <v>56</v>
      </c>
      <c r="BF394" s="17">
        <v>60.011725060000003</v>
      </c>
      <c r="BQ394" s="13">
        <f t="shared" si="27"/>
        <v>7.1637947499999965</v>
      </c>
    </row>
    <row r="395" spans="1:69">
      <c r="A395" s="13">
        <v>392</v>
      </c>
      <c r="B395" s="13">
        <v>196</v>
      </c>
      <c r="C395" s="17">
        <v>204.2679814</v>
      </c>
      <c r="M395" s="13">
        <f t="shared" si="24"/>
        <v>4.2183578571428626</v>
      </c>
      <c r="O395" s="13">
        <v>392</v>
      </c>
      <c r="P395" s="13">
        <v>196</v>
      </c>
      <c r="Q395" s="17">
        <v>194.39681060000001</v>
      </c>
      <c r="AA395" s="13">
        <f t="shared" si="25"/>
        <v>-0.81795377551019399</v>
      </c>
      <c r="AC395" s="23"/>
      <c r="AD395" s="23"/>
      <c r="AE395" s="23"/>
      <c r="AF395" s="23"/>
      <c r="AG395" s="23"/>
      <c r="AI395" s="13">
        <v>392</v>
      </c>
      <c r="AJ395" s="13">
        <v>196</v>
      </c>
      <c r="AK395" s="17">
        <v>197.75759629999999</v>
      </c>
      <c r="AV395" s="13">
        <f t="shared" si="26"/>
        <v>0.89673280612243556</v>
      </c>
      <c r="BD395" s="13">
        <v>392</v>
      </c>
      <c r="BE395" s="13">
        <v>196</v>
      </c>
      <c r="BF395" s="17">
        <v>198.62830080000001</v>
      </c>
      <c r="BQ395" s="13">
        <f t="shared" si="27"/>
        <v>1.3409697959183786</v>
      </c>
    </row>
    <row r="396" spans="1:69">
      <c r="A396" s="13">
        <v>393</v>
      </c>
      <c r="B396" s="13">
        <v>141</v>
      </c>
      <c r="C396" s="17">
        <v>112.7707963</v>
      </c>
      <c r="M396" s="13">
        <f t="shared" si="24"/>
        <v>-20.020711843971629</v>
      </c>
      <c r="O396" s="13">
        <v>393</v>
      </c>
      <c r="P396" s="13">
        <v>141</v>
      </c>
      <c r="Q396" s="17">
        <v>111.3132731</v>
      </c>
      <c r="AA396" s="13">
        <f t="shared" si="25"/>
        <v>-21.054416241134753</v>
      </c>
      <c r="AC396" s="23"/>
      <c r="AD396" s="23"/>
      <c r="AE396" s="23"/>
      <c r="AF396" s="23"/>
      <c r="AG396" s="23"/>
      <c r="AI396" s="13">
        <v>393</v>
      </c>
      <c r="AJ396" s="13">
        <v>141</v>
      </c>
      <c r="AK396" s="17">
        <v>135.50615930000001</v>
      </c>
      <c r="AV396" s="13">
        <f t="shared" si="26"/>
        <v>-3.8963409219858081</v>
      </c>
      <c r="BD396" s="13">
        <v>393</v>
      </c>
      <c r="BE396" s="13">
        <v>141</v>
      </c>
      <c r="BF396" s="17">
        <v>129.15557699999999</v>
      </c>
      <c r="BQ396" s="13">
        <f t="shared" si="27"/>
        <v>-8.400300000000005</v>
      </c>
    </row>
    <row r="397" spans="1:69">
      <c r="A397" s="13">
        <v>394</v>
      </c>
      <c r="B397" s="13">
        <v>112</v>
      </c>
      <c r="C397" s="17">
        <v>122.22526259999999</v>
      </c>
      <c r="M397" s="13">
        <f t="shared" si="24"/>
        <v>9.1296987500000029</v>
      </c>
      <c r="O397" s="13">
        <v>394</v>
      </c>
      <c r="P397" s="13">
        <v>112</v>
      </c>
      <c r="Q397" s="17">
        <v>111.0527951</v>
      </c>
      <c r="AA397" s="13">
        <f t="shared" si="25"/>
        <v>-0.84571866071428969</v>
      </c>
      <c r="AC397" s="23"/>
      <c r="AD397" s="23"/>
      <c r="AE397" s="23"/>
      <c r="AF397" s="23"/>
      <c r="AG397" s="23"/>
      <c r="AI397" s="13">
        <v>394</v>
      </c>
      <c r="AJ397" s="13">
        <v>112</v>
      </c>
      <c r="AK397" s="17">
        <v>114.1210525</v>
      </c>
      <c r="AV397" s="13">
        <f t="shared" si="26"/>
        <v>1.8937968749999978</v>
      </c>
      <c r="BD397" s="13">
        <v>394</v>
      </c>
      <c r="BE397" s="13">
        <v>112</v>
      </c>
      <c r="BF397" s="17">
        <v>115.8624374</v>
      </c>
      <c r="BQ397" s="13">
        <f t="shared" si="27"/>
        <v>3.4486048214285692</v>
      </c>
    </row>
    <row r="398" spans="1:69">
      <c r="A398" s="13">
        <v>395</v>
      </c>
      <c r="B398" s="13">
        <v>19</v>
      </c>
      <c r="C398" s="17">
        <v>30.449162250000001</v>
      </c>
      <c r="M398" s="13">
        <f t="shared" si="24"/>
        <v>60.258748684210531</v>
      </c>
      <c r="O398" s="13">
        <v>395</v>
      </c>
      <c r="P398" s="13">
        <v>19</v>
      </c>
      <c r="Q398" s="17">
        <v>29.370058449999998</v>
      </c>
      <c r="AA398" s="13">
        <f t="shared" si="25"/>
        <v>54.579254999999982</v>
      </c>
      <c r="AC398" s="23"/>
      <c r="AD398" s="23"/>
      <c r="AE398" s="23"/>
      <c r="AF398" s="23"/>
      <c r="AG398" s="23"/>
      <c r="AI398" s="13">
        <v>395</v>
      </c>
      <c r="AJ398" s="13">
        <v>19</v>
      </c>
      <c r="AK398" s="17">
        <v>21.28849245</v>
      </c>
      <c r="AV398" s="13">
        <f t="shared" si="26"/>
        <v>12.044697105263147</v>
      </c>
      <c r="BD398" s="13">
        <v>395</v>
      </c>
      <c r="BE398" s="13">
        <v>19</v>
      </c>
      <c r="BF398" s="17">
        <v>22.972606840000001</v>
      </c>
      <c r="BQ398" s="13">
        <f t="shared" si="27"/>
        <v>20.908457052631579</v>
      </c>
    </row>
    <row r="399" spans="1:69">
      <c r="A399" s="13">
        <v>396</v>
      </c>
      <c r="B399" s="13">
        <v>74</v>
      </c>
      <c r="C399" s="17">
        <v>44.476676189999999</v>
      </c>
      <c r="M399" s="13">
        <f t="shared" si="24"/>
        <v>-39.896383527027027</v>
      </c>
      <c r="O399" s="13">
        <v>396</v>
      </c>
      <c r="P399" s="13">
        <v>74</v>
      </c>
      <c r="Q399" s="17">
        <v>45.971105119999997</v>
      </c>
      <c r="AA399" s="13">
        <f t="shared" si="25"/>
        <v>-37.876884972972981</v>
      </c>
      <c r="AC399" s="23"/>
      <c r="AD399" s="23"/>
      <c r="AE399" s="23"/>
      <c r="AF399" s="23"/>
      <c r="AG399" s="23"/>
      <c r="AI399" s="13">
        <v>396</v>
      </c>
      <c r="AJ399" s="13">
        <v>74</v>
      </c>
      <c r="AK399" s="17">
        <v>67.771335239999999</v>
      </c>
      <c r="AV399" s="13">
        <f t="shared" si="26"/>
        <v>-8.4171145405405383</v>
      </c>
      <c r="BD399" s="13">
        <v>396</v>
      </c>
      <c r="BE399" s="13">
        <v>74</v>
      </c>
      <c r="BF399" s="17">
        <v>61.984912119999997</v>
      </c>
      <c r="BQ399" s="13">
        <f t="shared" si="27"/>
        <v>-16.23660524324325</v>
      </c>
    </row>
    <row r="400" spans="1:69">
      <c r="A400" s="13">
        <v>397</v>
      </c>
      <c r="B400" s="13">
        <v>71</v>
      </c>
      <c r="C400" s="17">
        <v>81.418313780000005</v>
      </c>
      <c r="M400" s="13">
        <f t="shared" si="24"/>
        <v>14.673681380281689</v>
      </c>
      <c r="O400" s="13">
        <v>397</v>
      </c>
      <c r="P400" s="13">
        <v>71</v>
      </c>
      <c r="Q400" s="17">
        <v>80.773204059999998</v>
      </c>
      <c r="AA400" s="13">
        <f t="shared" si="25"/>
        <v>13.765076140845057</v>
      </c>
      <c r="AC400" s="23"/>
      <c r="AD400" s="23"/>
      <c r="AE400" s="23"/>
      <c r="AF400" s="23"/>
      <c r="AG400" s="23"/>
      <c r="AI400" s="13">
        <v>397</v>
      </c>
      <c r="AJ400" s="13">
        <v>71</v>
      </c>
      <c r="AK400" s="17">
        <v>73.403662760000003</v>
      </c>
      <c r="AV400" s="13">
        <f t="shared" si="26"/>
        <v>3.3854405070422589</v>
      </c>
      <c r="BD400" s="13">
        <v>397</v>
      </c>
      <c r="BE400" s="13">
        <v>71</v>
      </c>
      <c r="BF400" s="17">
        <v>75.209733740000004</v>
      </c>
      <c r="BQ400" s="13">
        <f t="shared" si="27"/>
        <v>5.9292024507042296</v>
      </c>
    </row>
    <row r="401" spans="1:69">
      <c r="A401" s="13">
        <v>398</v>
      </c>
      <c r="B401" s="13">
        <v>171</v>
      </c>
      <c r="C401" s="17">
        <v>181.3910736</v>
      </c>
      <c r="M401" s="13">
        <f t="shared" si="24"/>
        <v>6.0766512280701734</v>
      </c>
      <c r="O401" s="13">
        <v>398</v>
      </c>
      <c r="P401" s="13">
        <v>171</v>
      </c>
      <c r="Q401" s="17">
        <v>181.9083114</v>
      </c>
      <c r="AA401" s="13">
        <f t="shared" si="25"/>
        <v>6.3791294736842197</v>
      </c>
      <c r="AC401" s="23"/>
      <c r="AD401" s="23"/>
      <c r="AE401" s="23"/>
      <c r="AF401" s="23"/>
      <c r="AG401" s="23"/>
      <c r="AI401" s="13">
        <v>398</v>
      </c>
      <c r="AJ401" s="13">
        <v>171</v>
      </c>
      <c r="AK401" s="17">
        <v>173.03421470000001</v>
      </c>
      <c r="AV401" s="13">
        <f t="shared" si="26"/>
        <v>1.1895992397660926</v>
      </c>
      <c r="BD401" s="13">
        <v>398</v>
      </c>
      <c r="BE401" s="13">
        <v>171</v>
      </c>
      <c r="BF401" s="17">
        <v>174.9817759</v>
      </c>
      <c r="BQ401" s="13">
        <f t="shared" si="27"/>
        <v>2.3285239181286554</v>
      </c>
    </row>
    <row r="402" spans="1:69">
      <c r="A402" s="13">
        <v>399</v>
      </c>
      <c r="B402" s="13">
        <v>147</v>
      </c>
      <c r="C402" s="17">
        <v>156.16159949999999</v>
      </c>
      <c r="M402" s="13">
        <f t="shared" si="24"/>
        <v>6.2323806122448921</v>
      </c>
      <c r="O402" s="13">
        <v>399</v>
      </c>
      <c r="P402" s="13">
        <v>147</v>
      </c>
      <c r="Q402" s="17">
        <v>147.19395689999999</v>
      </c>
      <c r="AA402" s="13">
        <f t="shared" si="25"/>
        <v>0.13194346938774082</v>
      </c>
      <c r="AC402" s="23"/>
      <c r="AD402" s="23"/>
      <c r="AE402" s="23"/>
      <c r="AF402" s="23"/>
      <c r="AG402" s="23"/>
      <c r="AI402" s="13">
        <v>399</v>
      </c>
      <c r="AJ402" s="13">
        <v>147</v>
      </c>
      <c r="AK402" s="17">
        <v>148.9183199</v>
      </c>
      <c r="AV402" s="13">
        <f t="shared" si="26"/>
        <v>1.3049795238095241</v>
      </c>
      <c r="BD402" s="13">
        <v>399</v>
      </c>
      <c r="BE402" s="13">
        <v>147</v>
      </c>
      <c r="BF402" s="17">
        <v>150.25772330000001</v>
      </c>
      <c r="BQ402" s="13">
        <f t="shared" si="27"/>
        <v>2.2161382993197254</v>
      </c>
    </row>
    <row r="403" spans="1:69">
      <c r="A403" s="13">
        <v>400</v>
      </c>
      <c r="B403" s="13">
        <v>53</v>
      </c>
      <c r="C403" s="17">
        <v>63.555260240000003</v>
      </c>
      <c r="M403" s="13">
        <f t="shared" si="24"/>
        <v>19.91558535849056</v>
      </c>
      <c r="O403" s="13">
        <v>400</v>
      </c>
      <c r="P403" s="13">
        <v>53</v>
      </c>
      <c r="Q403" s="17">
        <v>63.962017609999997</v>
      </c>
      <c r="AA403" s="13">
        <f t="shared" si="25"/>
        <v>20.683052094339626</v>
      </c>
      <c r="AC403" s="23"/>
      <c r="AD403" s="23"/>
      <c r="AE403" s="23"/>
      <c r="AF403" s="23"/>
      <c r="AG403" s="23"/>
      <c r="AI403" s="13">
        <v>400</v>
      </c>
      <c r="AJ403" s="13">
        <v>53</v>
      </c>
      <c r="AK403" s="17">
        <v>55.17105205</v>
      </c>
      <c r="AV403" s="13">
        <f t="shared" si="26"/>
        <v>4.0963246226415118</v>
      </c>
      <c r="BD403" s="13">
        <v>400</v>
      </c>
      <c r="BE403" s="13">
        <v>53</v>
      </c>
      <c r="BF403" s="17">
        <v>57.480098380000001</v>
      </c>
      <c r="BQ403" s="13">
        <f t="shared" si="27"/>
        <v>8.4530158113207641</v>
      </c>
    </row>
    <row r="404" spans="1:69">
      <c r="A404" s="13">
        <v>401</v>
      </c>
      <c r="B404" s="13">
        <v>45</v>
      </c>
      <c r="C404" s="17">
        <v>54.722330790000001</v>
      </c>
      <c r="M404" s="13">
        <f t="shared" si="24"/>
        <v>21.605179533333342</v>
      </c>
      <c r="O404" s="13">
        <v>401</v>
      </c>
      <c r="P404" s="13">
        <v>45</v>
      </c>
      <c r="Q404" s="17">
        <v>52.309051709999999</v>
      </c>
      <c r="AA404" s="13">
        <f t="shared" si="25"/>
        <v>16.24233713333334</v>
      </c>
      <c r="AC404" s="23"/>
      <c r="AD404" s="23"/>
      <c r="AE404" s="23"/>
      <c r="AF404" s="23"/>
      <c r="AG404" s="23"/>
      <c r="AI404" s="13">
        <v>401</v>
      </c>
      <c r="AJ404" s="13">
        <v>45</v>
      </c>
      <c r="AK404" s="17">
        <v>46.89446616</v>
      </c>
      <c r="AV404" s="13">
        <f t="shared" si="26"/>
        <v>4.2099247999999978</v>
      </c>
      <c r="BD404" s="13">
        <v>401</v>
      </c>
      <c r="BE404" s="13">
        <v>45</v>
      </c>
      <c r="BF404" s="17">
        <v>47.797713010000002</v>
      </c>
      <c r="BQ404" s="13">
        <f t="shared" si="27"/>
        <v>6.2171400222222228</v>
      </c>
    </row>
    <row r="405" spans="1:69">
      <c r="A405" s="13">
        <v>402</v>
      </c>
      <c r="B405" s="13">
        <v>205</v>
      </c>
      <c r="C405" s="17">
        <v>214.31893550000001</v>
      </c>
      <c r="M405" s="13">
        <f t="shared" si="24"/>
        <v>4.5458221951219624</v>
      </c>
      <c r="O405" s="13">
        <v>402</v>
      </c>
      <c r="P405" s="13">
        <v>205</v>
      </c>
      <c r="Q405" s="17">
        <v>207.91406319999999</v>
      </c>
      <c r="AA405" s="13">
        <f t="shared" si="25"/>
        <v>1.4214942439024325</v>
      </c>
      <c r="AC405" s="23"/>
      <c r="AD405" s="23"/>
      <c r="AE405" s="23"/>
      <c r="AF405" s="23"/>
      <c r="AG405" s="23"/>
      <c r="AI405" s="13">
        <v>402</v>
      </c>
      <c r="AJ405" s="13">
        <v>205</v>
      </c>
      <c r="AK405" s="17">
        <v>206.94978710000001</v>
      </c>
      <c r="AV405" s="13">
        <f t="shared" si="26"/>
        <v>0.9511156585365832</v>
      </c>
      <c r="BD405" s="13">
        <v>402</v>
      </c>
      <c r="BE405" s="13">
        <v>205</v>
      </c>
      <c r="BF405" s="17">
        <v>208.4429002</v>
      </c>
      <c r="BQ405" s="13">
        <f t="shared" si="27"/>
        <v>1.6794635121951229</v>
      </c>
    </row>
    <row r="406" spans="1:69">
      <c r="A406" s="13">
        <v>403</v>
      </c>
      <c r="B406" s="13">
        <v>35</v>
      </c>
      <c r="C406" s="17">
        <v>38.639886748994698</v>
      </c>
      <c r="M406" s="13">
        <f t="shared" si="24"/>
        <v>10.399676425699145</v>
      </c>
      <c r="O406" s="13">
        <v>403</v>
      </c>
      <c r="P406" s="13">
        <v>35</v>
      </c>
      <c r="Q406" s="17">
        <v>30.590802618522002</v>
      </c>
      <c r="AA406" s="13">
        <f t="shared" si="25"/>
        <v>-12.597706804222852</v>
      </c>
      <c r="AC406" s="23"/>
      <c r="AD406" s="23"/>
      <c r="AE406" s="23"/>
      <c r="AF406" s="23"/>
      <c r="AG406" s="23"/>
      <c r="AI406" s="13">
        <v>403</v>
      </c>
      <c r="AJ406" s="13">
        <v>35</v>
      </c>
      <c r="AK406" s="17">
        <v>29.39716409</v>
      </c>
      <c r="AV406" s="13">
        <f t="shared" si="26"/>
        <v>-16.008102599999997</v>
      </c>
      <c r="BD406" s="13">
        <v>403</v>
      </c>
      <c r="BE406" s="13">
        <v>35</v>
      </c>
      <c r="BF406" s="17">
        <v>43.7936687934966</v>
      </c>
      <c r="BQ406" s="13">
        <f t="shared" si="27"/>
        <v>25.124767981418849</v>
      </c>
    </row>
    <row r="407" spans="1:69">
      <c r="A407" s="13">
        <v>404</v>
      </c>
      <c r="B407" s="13">
        <v>125</v>
      </c>
      <c r="C407" s="17">
        <v>96.381336840000003</v>
      </c>
      <c r="M407" s="13">
        <f t="shared" si="24"/>
        <v>-22.894930528000003</v>
      </c>
      <c r="O407" s="13">
        <v>404</v>
      </c>
      <c r="P407" s="13">
        <v>125</v>
      </c>
      <c r="Q407" s="17">
        <v>94.272624100000002</v>
      </c>
      <c r="AA407" s="13">
        <f t="shared" si="25"/>
        <v>-24.581900719999993</v>
      </c>
      <c r="AC407" s="23"/>
      <c r="AD407" s="23"/>
      <c r="AE407" s="23"/>
      <c r="AF407" s="23"/>
      <c r="AG407" s="23"/>
      <c r="AI407" s="13">
        <v>404</v>
      </c>
      <c r="AJ407" s="13">
        <v>125</v>
      </c>
      <c r="AK407" s="17">
        <v>119.4062674</v>
      </c>
      <c r="AV407" s="13">
        <f t="shared" si="26"/>
        <v>-4.474986079999999</v>
      </c>
      <c r="BD407" s="13">
        <v>404</v>
      </c>
      <c r="BE407" s="13">
        <v>125</v>
      </c>
      <c r="BF407" s="17">
        <v>113.3120358</v>
      </c>
      <c r="BQ407" s="13">
        <f t="shared" si="27"/>
        <v>-9.3503713599999987</v>
      </c>
    </row>
    <row r="408" spans="1:69">
      <c r="A408" s="13">
        <v>405</v>
      </c>
      <c r="B408" s="13">
        <v>207</v>
      </c>
      <c r="C408" s="17">
        <v>176.53607690000001</v>
      </c>
      <c r="M408" s="13">
        <f t="shared" si="24"/>
        <v>-14.716871062801928</v>
      </c>
      <c r="O408" s="13">
        <v>405</v>
      </c>
      <c r="P408" s="13">
        <v>207</v>
      </c>
      <c r="Q408" s="17">
        <v>176.81773469999999</v>
      </c>
      <c r="AA408" s="13">
        <f t="shared" si="25"/>
        <v>-14.580804492753629</v>
      </c>
      <c r="AC408" s="23"/>
      <c r="AD408" s="23"/>
      <c r="AE408" s="23"/>
      <c r="AF408" s="23"/>
      <c r="AG408" s="23"/>
      <c r="AI408" s="13">
        <v>405</v>
      </c>
      <c r="AJ408" s="13">
        <v>207</v>
      </c>
      <c r="AK408" s="17">
        <v>201.10921540000001</v>
      </c>
      <c r="AV408" s="13">
        <f t="shared" si="26"/>
        <v>-2.8457896618357403</v>
      </c>
      <c r="BD408" s="13">
        <v>405</v>
      </c>
      <c r="BE408" s="13">
        <v>207</v>
      </c>
      <c r="BF408" s="17">
        <v>194.6379944</v>
      </c>
      <c r="BQ408" s="13">
        <f t="shared" si="27"/>
        <v>-5.9719833816425094</v>
      </c>
    </row>
    <row r="409" spans="1:69">
      <c r="A409" s="13">
        <v>406</v>
      </c>
      <c r="B409" s="13">
        <v>82</v>
      </c>
      <c r="C409" s="17">
        <v>93.398834739999998</v>
      </c>
      <c r="M409" s="13">
        <f t="shared" si="24"/>
        <v>13.901017975609765</v>
      </c>
      <c r="O409" s="13">
        <v>406</v>
      </c>
      <c r="P409" s="13">
        <v>82</v>
      </c>
      <c r="Q409" s="17">
        <v>91.809584819999998</v>
      </c>
      <c r="AA409" s="13">
        <f t="shared" si="25"/>
        <v>11.962908317073161</v>
      </c>
      <c r="AC409" s="23"/>
      <c r="AD409" s="23"/>
      <c r="AE409" s="23"/>
      <c r="AF409" s="23"/>
      <c r="AG409" s="23"/>
      <c r="AI409" s="13">
        <v>406</v>
      </c>
      <c r="AJ409" s="13">
        <v>82</v>
      </c>
      <c r="AK409" s="17">
        <v>84.467766949999998</v>
      </c>
      <c r="AV409" s="13">
        <f t="shared" si="26"/>
        <v>3.0094718902438977</v>
      </c>
      <c r="BD409" s="13">
        <v>406</v>
      </c>
      <c r="BE409" s="13">
        <v>82</v>
      </c>
      <c r="BF409" s="17">
        <v>86.593210260000006</v>
      </c>
      <c r="BQ409" s="13">
        <f t="shared" si="27"/>
        <v>5.6014759268292691</v>
      </c>
    </row>
    <row r="410" spans="1:69">
      <c r="A410" s="13">
        <v>407</v>
      </c>
      <c r="B410" s="13">
        <v>174</v>
      </c>
      <c r="C410" s="17">
        <v>145.77599849999999</v>
      </c>
      <c r="M410" s="13">
        <f t="shared" si="24"/>
        <v>-16.220690517241387</v>
      </c>
      <c r="O410" s="13">
        <v>407</v>
      </c>
      <c r="P410" s="13">
        <v>174</v>
      </c>
      <c r="Q410" s="17">
        <v>140.70013080000001</v>
      </c>
      <c r="AA410" s="13">
        <f t="shared" si="25"/>
        <v>-19.137855862068964</v>
      </c>
      <c r="AC410" s="23"/>
      <c r="AD410" s="23"/>
      <c r="AE410" s="23"/>
      <c r="AF410" s="23"/>
      <c r="AG410" s="23"/>
      <c r="AI410" s="13">
        <v>407</v>
      </c>
      <c r="AJ410" s="13">
        <v>174</v>
      </c>
      <c r="AK410" s="17">
        <v>168.27719970000001</v>
      </c>
      <c r="AV410" s="13">
        <f t="shared" si="26"/>
        <v>-3.2889656896551656</v>
      </c>
      <c r="BD410" s="13">
        <v>407</v>
      </c>
      <c r="BE410" s="13">
        <v>174</v>
      </c>
      <c r="BF410" s="17">
        <v>162.02227970000001</v>
      </c>
      <c r="BQ410" s="13">
        <f t="shared" si="27"/>
        <v>-6.8837472988505617</v>
      </c>
    </row>
    <row r="411" spans="1:69">
      <c r="A411" s="13">
        <v>408</v>
      </c>
      <c r="B411" s="13">
        <v>10</v>
      </c>
      <c r="C411" s="17">
        <v>15.3363474364662</v>
      </c>
      <c r="M411" s="13">
        <f t="shared" si="24"/>
        <v>53.363474364661997</v>
      </c>
      <c r="O411" s="13">
        <v>408</v>
      </c>
      <c r="P411" s="13">
        <v>10</v>
      </c>
      <c r="Q411" s="17">
        <v>7.5928422021414796</v>
      </c>
      <c r="AA411" s="13">
        <f t="shared" si="25"/>
        <v>-24.0715779785852</v>
      </c>
      <c r="AC411" s="23"/>
      <c r="AD411" s="23"/>
      <c r="AE411" s="23"/>
      <c r="AF411" s="23"/>
      <c r="AG411" s="23"/>
      <c r="AI411" s="13">
        <v>408</v>
      </c>
      <c r="AJ411" s="13">
        <v>10</v>
      </c>
      <c r="AK411" s="17">
        <v>11.966431373499301</v>
      </c>
      <c r="AV411" s="13">
        <f t="shared" si="26"/>
        <v>19.664313734993002</v>
      </c>
      <c r="BD411" s="13">
        <v>408</v>
      </c>
      <c r="BE411" s="13">
        <v>10</v>
      </c>
      <c r="BF411" s="17">
        <v>10.7005377821783</v>
      </c>
      <c r="BQ411" s="13">
        <f t="shared" si="27"/>
        <v>7.0053778217829876</v>
      </c>
    </row>
    <row r="412" spans="1:69">
      <c r="A412" s="13">
        <v>409</v>
      </c>
      <c r="B412" s="13">
        <v>52</v>
      </c>
      <c r="C412" s="17">
        <v>81.069402957288503</v>
      </c>
      <c r="M412" s="13">
        <f t="shared" si="24"/>
        <v>55.902697994785576</v>
      </c>
      <c r="O412" s="13">
        <v>409</v>
      </c>
      <c r="P412" s="13">
        <v>52</v>
      </c>
      <c r="Q412" s="17">
        <v>77.303341381846593</v>
      </c>
      <c r="AA412" s="13">
        <f t="shared" si="25"/>
        <v>48.660271888166527</v>
      </c>
      <c r="AC412" s="23"/>
      <c r="AD412" s="23"/>
      <c r="AE412" s="23"/>
      <c r="AF412" s="23"/>
      <c r="AG412" s="23"/>
      <c r="AI412" s="13">
        <v>409</v>
      </c>
      <c r="AJ412" s="13">
        <v>52</v>
      </c>
      <c r="AK412" s="17">
        <v>46.17609985</v>
      </c>
      <c r="AV412" s="13">
        <f t="shared" si="26"/>
        <v>-11.199807980769227</v>
      </c>
      <c r="BD412" s="13">
        <v>409</v>
      </c>
      <c r="BE412" s="13">
        <v>52</v>
      </c>
      <c r="BF412" s="17">
        <v>39.58699215</v>
      </c>
      <c r="BQ412" s="13">
        <f t="shared" si="27"/>
        <v>-23.871168942307698</v>
      </c>
    </row>
    <row r="413" spans="1:69">
      <c r="A413" s="13">
        <v>410</v>
      </c>
      <c r="B413" s="13">
        <v>102</v>
      </c>
      <c r="C413" s="17">
        <v>74.025475119999996</v>
      </c>
      <c r="M413" s="13">
        <f t="shared" si="24"/>
        <v>-27.426004784313729</v>
      </c>
      <c r="O413" s="13">
        <v>410</v>
      </c>
      <c r="P413" s="13">
        <v>102</v>
      </c>
      <c r="Q413" s="17">
        <v>78.368492529999997</v>
      </c>
      <c r="AA413" s="13">
        <f t="shared" si="25"/>
        <v>-23.16814457843137</v>
      </c>
      <c r="AC413" s="23"/>
      <c r="AD413" s="23"/>
      <c r="AE413" s="23"/>
      <c r="AF413" s="23"/>
      <c r="AG413" s="23"/>
      <c r="AI413" s="13">
        <v>410</v>
      </c>
      <c r="AJ413" s="13">
        <v>102</v>
      </c>
      <c r="AK413" s="17">
        <v>96.127095019999999</v>
      </c>
      <c r="AV413" s="13">
        <f t="shared" si="26"/>
        <v>-5.7577499803921572</v>
      </c>
      <c r="BD413" s="13">
        <v>410</v>
      </c>
      <c r="BE413" s="13">
        <v>102</v>
      </c>
      <c r="BF413" s="17">
        <v>90.418939559999998</v>
      </c>
      <c r="BQ413" s="13">
        <f t="shared" si="27"/>
        <v>-11.353980823529408</v>
      </c>
    </row>
    <row r="414" spans="1:69">
      <c r="A414" s="13">
        <v>411</v>
      </c>
      <c r="B414" s="13">
        <v>134</v>
      </c>
      <c r="C414" s="17">
        <v>134.26804849999999</v>
      </c>
      <c r="M414" s="13">
        <f t="shared" si="24"/>
        <v>0.20003619402984008</v>
      </c>
      <c r="O414" s="13">
        <v>411</v>
      </c>
      <c r="P414" s="13">
        <v>134</v>
      </c>
      <c r="Q414" s="17">
        <v>126.3809562</v>
      </c>
      <c r="AA414" s="13">
        <f t="shared" si="25"/>
        <v>-5.6858535820895506</v>
      </c>
      <c r="AC414" s="23"/>
      <c r="AD414" s="23"/>
      <c r="AE414" s="23"/>
      <c r="AF414" s="23"/>
      <c r="AG414" s="23"/>
      <c r="AI414" s="13">
        <v>411</v>
      </c>
      <c r="AJ414" s="13">
        <v>134</v>
      </c>
      <c r="AK414" s="17">
        <v>134.22760969999999</v>
      </c>
      <c r="AV414" s="13">
        <f t="shared" si="26"/>
        <v>0.16985798507462846</v>
      </c>
      <c r="BD414" s="13">
        <v>411</v>
      </c>
      <c r="BE414" s="13">
        <v>134</v>
      </c>
      <c r="BF414" s="17">
        <v>133.76308829999999</v>
      </c>
      <c r="BQ414" s="13">
        <f t="shared" si="27"/>
        <v>-0.17679977611940734</v>
      </c>
    </row>
    <row r="415" spans="1:69">
      <c r="A415" s="13">
        <v>412</v>
      </c>
      <c r="B415" s="13">
        <v>187</v>
      </c>
      <c r="C415" s="17">
        <v>198.13024179999999</v>
      </c>
      <c r="M415" s="13">
        <f t="shared" si="24"/>
        <v>5.9520009625668502</v>
      </c>
      <c r="O415" s="13">
        <v>412</v>
      </c>
      <c r="P415" s="13">
        <v>187</v>
      </c>
      <c r="Q415" s="17">
        <v>198.63671020000001</v>
      </c>
      <c r="AA415" s="13">
        <f t="shared" si="25"/>
        <v>6.2228396791443874</v>
      </c>
      <c r="AC415" s="23"/>
      <c r="AD415" s="23"/>
      <c r="AE415" s="23"/>
      <c r="AF415" s="23"/>
      <c r="AG415" s="23"/>
      <c r="AI415" s="13">
        <v>412</v>
      </c>
      <c r="AJ415" s="13">
        <v>187</v>
      </c>
      <c r="AK415" s="17">
        <v>189.24604840000001</v>
      </c>
      <c r="AV415" s="13">
        <f t="shared" si="26"/>
        <v>1.2010954010695185</v>
      </c>
      <c r="BD415" s="13">
        <v>412</v>
      </c>
      <c r="BE415" s="13">
        <v>187</v>
      </c>
      <c r="BF415" s="17">
        <v>190.9069193</v>
      </c>
      <c r="BQ415" s="13">
        <f t="shared" si="27"/>
        <v>2.0892616577540046</v>
      </c>
    </row>
    <row r="416" spans="1:69">
      <c r="A416" s="13">
        <v>413</v>
      </c>
      <c r="B416" s="13">
        <v>60</v>
      </c>
      <c r="C416" s="17">
        <v>60.934716360000003</v>
      </c>
      <c r="M416" s="13">
        <f t="shared" si="24"/>
        <v>1.557860600000005</v>
      </c>
      <c r="O416" s="13">
        <v>413</v>
      </c>
      <c r="P416" s="13">
        <v>60</v>
      </c>
      <c r="Q416" s="17">
        <v>60.462174930000003</v>
      </c>
      <c r="AA416" s="13">
        <f t="shared" si="25"/>
        <v>0.77029155000001293</v>
      </c>
      <c r="AC416" s="23"/>
      <c r="AD416" s="23"/>
      <c r="AE416" s="23"/>
      <c r="AF416" s="23"/>
      <c r="AG416" s="23"/>
      <c r="AI416" s="13">
        <v>413</v>
      </c>
      <c r="AJ416" s="13">
        <v>60</v>
      </c>
      <c r="AK416" s="17">
        <v>60.22694327</v>
      </c>
      <c r="AV416" s="13">
        <f t="shared" si="26"/>
        <v>0.37823878333334005</v>
      </c>
      <c r="BD416" s="13">
        <v>413</v>
      </c>
      <c r="BE416" s="13">
        <v>60</v>
      </c>
      <c r="BF416" s="17">
        <v>59.440629870000002</v>
      </c>
      <c r="BQ416" s="13">
        <f t="shared" si="27"/>
        <v>-0.93228355000000152</v>
      </c>
    </row>
    <row r="417" spans="1:69">
      <c r="A417" s="13">
        <v>414</v>
      </c>
      <c r="B417" s="13">
        <v>155</v>
      </c>
      <c r="C417" s="17">
        <v>126.6509408</v>
      </c>
      <c r="M417" s="13">
        <f t="shared" si="24"/>
        <v>-18.289715612903223</v>
      </c>
      <c r="O417" s="13">
        <v>414</v>
      </c>
      <c r="P417" s="13">
        <v>155</v>
      </c>
      <c r="Q417" s="17">
        <v>124.5439167</v>
      </c>
      <c r="AA417" s="13">
        <f t="shared" si="25"/>
        <v>-19.649086000000004</v>
      </c>
      <c r="AC417" s="23"/>
      <c r="AD417" s="23"/>
      <c r="AE417" s="23"/>
      <c r="AF417" s="23"/>
      <c r="AG417" s="23"/>
      <c r="AI417" s="13">
        <v>414</v>
      </c>
      <c r="AJ417" s="13">
        <v>155</v>
      </c>
      <c r="AK417" s="17">
        <v>149.26418820000001</v>
      </c>
      <c r="AV417" s="13">
        <f t="shared" si="26"/>
        <v>-3.7005237419354797</v>
      </c>
      <c r="BD417" s="13">
        <v>414</v>
      </c>
      <c r="BE417" s="13">
        <v>155</v>
      </c>
      <c r="BF417" s="17">
        <v>142.71168420000001</v>
      </c>
      <c r="BQ417" s="13">
        <f t="shared" si="27"/>
        <v>-7.9279456774193457</v>
      </c>
    </row>
    <row r="418" spans="1:69">
      <c r="A418" s="13">
        <v>415</v>
      </c>
      <c r="B418" s="13">
        <v>184</v>
      </c>
      <c r="C418" s="17">
        <v>184.1477319</v>
      </c>
      <c r="M418" s="13">
        <f t="shared" si="24"/>
        <v>8.0289076086947908E-2</v>
      </c>
      <c r="O418" s="13">
        <v>415</v>
      </c>
      <c r="P418" s="13">
        <v>184</v>
      </c>
      <c r="Q418" s="17">
        <v>178.84920529999999</v>
      </c>
      <c r="AA418" s="13">
        <f t="shared" si="25"/>
        <v>-2.7993449456521824</v>
      </c>
      <c r="AC418" s="23"/>
      <c r="AD418" s="23"/>
      <c r="AE418" s="23"/>
      <c r="AF418" s="23"/>
      <c r="AG418" s="23"/>
      <c r="AI418" s="13">
        <v>415</v>
      </c>
      <c r="AJ418" s="13">
        <v>184</v>
      </c>
      <c r="AK418" s="17">
        <v>183.7475464</v>
      </c>
      <c r="AV418" s="13">
        <f t="shared" si="26"/>
        <v>-0.13720304347826229</v>
      </c>
      <c r="BD418" s="13">
        <v>415</v>
      </c>
      <c r="BE418" s="13">
        <v>184</v>
      </c>
      <c r="BF418" s="17">
        <v>184.10062479999999</v>
      </c>
      <c r="BQ418" s="13">
        <f t="shared" si="27"/>
        <v>5.4687391304342192E-2</v>
      </c>
    </row>
    <row r="419" spans="1:69">
      <c r="A419" s="13">
        <v>416</v>
      </c>
      <c r="B419" s="13">
        <v>139</v>
      </c>
      <c r="C419" s="17">
        <v>110.38576569999999</v>
      </c>
      <c r="M419" s="13">
        <f t="shared" si="24"/>
        <v>-20.585780071942452</v>
      </c>
      <c r="O419" s="13">
        <v>416</v>
      </c>
      <c r="P419" s="13">
        <v>139</v>
      </c>
      <c r="Q419" s="17">
        <v>109.44075650000001</v>
      </c>
      <c r="AA419" s="13">
        <f t="shared" si="25"/>
        <v>-21.265642805755391</v>
      </c>
      <c r="AC419" s="23"/>
      <c r="AD419" s="23"/>
      <c r="AE419" s="23"/>
      <c r="AF419" s="23"/>
      <c r="AG419" s="23"/>
      <c r="AI419" s="13">
        <v>416</v>
      </c>
      <c r="AJ419" s="13">
        <v>139</v>
      </c>
      <c r="AK419" s="17">
        <v>133.2971531</v>
      </c>
      <c r="AV419" s="13">
        <f t="shared" si="26"/>
        <v>-4.1027675539568325</v>
      </c>
      <c r="BD419" s="13">
        <v>416</v>
      </c>
      <c r="BE419" s="13">
        <v>139</v>
      </c>
      <c r="BF419" s="17">
        <v>127.521382</v>
      </c>
      <c r="BQ419" s="13">
        <f t="shared" si="27"/>
        <v>-8.25799856115108</v>
      </c>
    </row>
    <row r="420" spans="1:69">
      <c r="A420" s="13">
        <v>417</v>
      </c>
      <c r="B420" s="13">
        <v>49</v>
      </c>
      <c r="C420" s="17">
        <v>50.946161740000001</v>
      </c>
      <c r="M420" s="13">
        <f t="shared" si="24"/>
        <v>3.9717586530612303</v>
      </c>
      <c r="O420" s="13">
        <v>417</v>
      </c>
      <c r="P420" s="13">
        <v>49</v>
      </c>
      <c r="Q420" s="17">
        <v>48.778093409999997</v>
      </c>
      <c r="AA420" s="13">
        <f t="shared" si="25"/>
        <v>-0.45287059183674039</v>
      </c>
      <c r="AC420" s="23"/>
      <c r="AD420" s="23"/>
      <c r="AE420" s="23"/>
      <c r="AF420" s="23"/>
      <c r="AG420" s="23"/>
      <c r="AI420" s="13">
        <v>417</v>
      </c>
      <c r="AJ420" s="13">
        <v>49</v>
      </c>
      <c r="AK420" s="17">
        <v>49.091232349999999</v>
      </c>
      <c r="AV420" s="13">
        <f t="shared" si="26"/>
        <v>0.18618846938776024</v>
      </c>
      <c r="BD420" s="13">
        <v>417</v>
      </c>
      <c r="BE420" s="13">
        <v>49</v>
      </c>
      <c r="BF420" s="17">
        <v>49.27483428</v>
      </c>
      <c r="BQ420" s="13">
        <f t="shared" si="27"/>
        <v>0.56088628571429044</v>
      </c>
    </row>
    <row r="421" spans="1:69">
      <c r="A421" s="13">
        <v>418</v>
      </c>
      <c r="B421" s="13">
        <v>100</v>
      </c>
      <c r="C421" s="17">
        <v>71.206415519999993</v>
      </c>
      <c r="M421" s="13">
        <f t="shared" si="24"/>
        <v>-28.79358448000001</v>
      </c>
      <c r="O421" s="13">
        <v>418</v>
      </c>
      <c r="P421" s="13">
        <v>100</v>
      </c>
      <c r="Q421" s="17">
        <v>71.489560789999999</v>
      </c>
      <c r="AA421" s="13">
        <f t="shared" si="25"/>
        <v>-28.510439210000005</v>
      </c>
      <c r="AC421" s="23"/>
      <c r="AD421" s="23"/>
      <c r="AE421" s="23"/>
      <c r="AF421" s="23"/>
      <c r="AG421" s="23"/>
      <c r="AI421" s="13">
        <v>418</v>
      </c>
      <c r="AJ421" s="13">
        <v>100</v>
      </c>
      <c r="AK421" s="17">
        <v>93.941283100000007</v>
      </c>
      <c r="AV421" s="13">
        <f t="shared" si="26"/>
        <v>-6.0587168999999941</v>
      </c>
      <c r="BD421" s="13">
        <v>418</v>
      </c>
      <c r="BE421" s="13">
        <v>100</v>
      </c>
      <c r="BF421" s="17">
        <v>88.182091700000001</v>
      </c>
      <c r="BQ421" s="13">
        <f t="shared" si="27"/>
        <v>-11.817908300000003</v>
      </c>
    </row>
    <row r="422" spans="1:69">
      <c r="A422" s="13">
        <v>419</v>
      </c>
      <c r="B422" s="13">
        <v>108</v>
      </c>
      <c r="C422" s="17">
        <v>78.783258320000002</v>
      </c>
      <c r="M422" s="13">
        <f t="shared" ref="M422:M485" si="28">((C422/B422)-1)*100</f>
        <v>-27.05253859259259</v>
      </c>
      <c r="O422" s="13">
        <v>419</v>
      </c>
      <c r="P422" s="13">
        <v>108</v>
      </c>
      <c r="Q422" s="17">
        <v>74.085980379999995</v>
      </c>
      <c r="AA422" s="13">
        <f t="shared" si="25"/>
        <v>-31.401870018518519</v>
      </c>
      <c r="AC422" s="23"/>
      <c r="AD422" s="23"/>
      <c r="AE422" s="23"/>
      <c r="AF422" s="23"/>
      <c r="AG422" s="23"/>
      <c r="AI422" s="13">
        <v>419</v>
      </c>
      <c r="AJ422" s="13">
        <v>108</v>
      </c>
      <c r="AK422" s="17">
        <v>102.13465170000001</v>
      </c>
      <c r="AV422" s="13">
        <f t="shared" si="26"/>
        <v>-5.4308780555555547</v>
      </c>
      <c r="BD422" s="13">
        <v>419</v>
      </c>
      <c r="BE422" s="13">
        <v>108</v>
      </c>
      <c r="BF422" s="17">
        <v>96.216183810000004</v>
      </c>
      <c r="BQ422" s="13">
        <f t="shared" si="27"/>
        <v>-10.910940916666668</v>
      </c>
    </row>
    <row r="423" spans="1:69">
      <c r="A423" s="13">
        <v>420</v>
      </c>
      <c r="B423" s="13">
        <v>41</v>
      </c>
      <c r="C423" s="17">
        <v>52.832786235559603</v>
      </c>
      <c r="M423" s="13">
        <f t="shared" si="28"/>
        <v>28.860454233072197</v>
      </c>
      <c r="O423" s="13">
        <v>420</v>
      </c>
      <c r="P423" s="13">
        <v>41</v>
      </c>
      <c r="Q423" s="17">
        <v>36.006661612608902</v>
      </c>
      <c r="AA423" s="13">
        <f t="shared" si="25"/>
        <v>-12.178874115588044</v>
      </c>
      <c r="AC423" s="23"/>
      <c r="AD423" s="23"/>
      <c r="AE423" s="23"/>
      <c r="AF423" s="23"/>
      <c r="AG423" s="23"/>
      <c r="AI423" s="13">
        <v>420</v>
      </c>
      <c r="AJ423" s="13">
        <v>41</v>
      </c>
      <c r="AK423" s="17">
        <v>35.123541029999998</v>
      </c>
      <c r="AV423" s="13">
        <f t="shared" si="26"/>
        <v>-14.33282675609756</v>
      </c>
      <c r="BD423" s="13">
        <v>420</v>
      </c>
      <c r="BE423" s="13">
        <v>41</v>
      </c>
      <c r="BF423" s="17">
        <v>28.348674519999999</v>
      </c>
      <c r="BQ423" s="13">
        <f t="shared" si="27"/>
        <v>-30.856891414634148</v>
      </c>
    </row>
    <row r="424" spans="1:69">
      <c r="A424" s="13">
        <v>421</v>
      </c>
      <c r="B424" s="13">
        <v>124</v>
      </c>
      <c r="C424" s="17">
        <v>124.3462607</v>
      </c>
      <c r="M424" s="13">
        <f t="shared" si="28"/>
        <v>0.27924249999999873</v>
      </c>
      <c r="O424" s="13">
        <v>421</v>
      </c>
      <c r="P424" s="13">
        <v>124</v>
      </c>
      <c r="Q424" s="17">
        <v>125.1512163</v>
      </c>
      <c r="AA424" s="13">
        <f t="shared" si="25"/>
        <v>0.92840024193547865</v>
      </c>
      <c r="AC424" s="23"/>
      <c r="AD424" s="23"/>
      <c r="AE424" s="23"/>
      <c r="AF424" s="23"/>
      <c r="AG424" s="23"/>
      <c r="AI424" s="13">
        <v>421</v>
      </c>
      <c r="AJ424" s="13">
        <v>124</v>
      </c>
      <c r="AK424" s="17">
        <v>124.05925209999999</v>
      </c>
      <c r="AV424" s="13">
        <f t="shared" si="26"/>
        <v>4.778395161288973E-2</v>
      </c>
      <c r="BD424" s="13">
        <v>421</v>
      </c>
      <c r="BE424" s="13">
        <v>124</v>
      </c>
      <c r="BF424" s="17">
        <v>124.01228260000001</v>
      </c>
      <c r="BQ424" s="13">
        <f t="shared" si="27"/>
        <v>9.9053225806500222E-3</v>
      </c>
    </row>
    <row r="425" spans="1:69">
      <c r="A425" s="13">
        <v>422</v>
      </c>
      <c r="B425" s="13">
        <v>189</v>
      </c>
      <c r="C425" s="17">
        <v>199.26320949999999</v>
      </c>
      <c r="M425" s="13">
        <f t="shared" si="28"/>
        <v>5.4302695767195708</v>
      </c>
      <c r="O425" s="13">
        <v>422</v>
      </c>
      <c r="P425" s="13">
        <v>189</v>
      </c>
      <c r="Q425" s="17">
        <v>189.70156990000001</v>
      </c>
      <c r="AA425" s="13">
        <f t="shared" si="25"/>
        <v>0.37120100529099975</v>
      </c>
      <c r="AC425" s="23"/>
      <c r="AD425" s="23"/>
      <c r="AE425" s="23"/>
      <c r="AF425" s="23"/>
      <c r="AG425" s="23"/>
      <c r="AI425" s="13">
        <v>422</v>
      </c>
      <c r="AJ425" s="13">
        <v>189</v>
      </c>
      <c r="AK425" s="17">
        <v>190.92064189999999</v>
      </c>
      <c r="AV425" s="13">
        <f t="shared" si="26"/>
        <v>1.0162126455026455</v>
      </c>
      <c r="BD425" s="13">
        <v>422</v>
      </c>
      <c r="BE425" s="13">
        <v>189</v>
      </c>
      <c r="BF425" s="17">
        <v>192.9935471</v>
      </c>
      <c r="BQ425" s="13">
        <f t="shared" si="27"/>
        <v>2.1129878835978833</v>
      </c>
    </row>
    <row r="426" spans="1:69">
      <c r="A426" s="13">
        <v>423</v>
      </c>
      <c r="B426" s="13">
        <v>219</v>
      </c>
      <c r="C426" s="17">
        <v>189.82079390000001</v>
      </c>
      <c r="M426" s="13">
        <f t="shared" si="28"/>
        <v>-13.323838401826482</v>
      </c>
      <c r="O426" s="13">
        <v>423</v>
      </c>
      <c r="P426" s="13">
        <v>219</v>
      </c>
      <c r="Q426" s="17">
        <v>184.11849100000001</v>
      </c>
      <c r="AA426" s="13">
        <f t="shared" si="25"/>
        <v>-15.927629680365296</v>
      </c>
      <c r="AC426" s="23"/>
      <c r="AD426" s="23"/>
      <c r="AE426" s="23"/>
      <c r="AF426" s="23"/>
      <c r="AG426" s="23"/>
      <c r="AI426" s="13">
        <v>423</v>
      </c>
      <c r="AJ426" s="13">
        <v>219</v>
      </c>
      <c r="AK426" s="17">
        <v>213.10215880000001</v>
      </c>
      <c r="AV426" s="13">
        <f t="shared" si="26"/>
        <v>-2.6930781735159726</v>
      </c>
      <c r="BD426" s="13">
        <v>423</v>
      </c>
      <c r="BE426" s="13">
        <v>219</v>
      </c>
      <c r="BF426" s="17">
        <v>206.88212480000001</v>
      </c>
      <c r="BQ426" s="13">
        <f t="shared" si="27"/>
        <v>-5.5332763470319568</v>
      </c>
    </row>
    <row r="427" spans="1:69">
      <c r="A427" s="13">
        <v>424</v>
      </c>
      <c r="B427" s="13">
        <v>126</v>
      </c>
      <c r="C427" s="17">
        <v>97.594182430000004</v>
      </c>
      <c r="M427" s="13">
        <f t="shared" si="28"/>
        <v>-22.544299658730161</v>
      </c>
      <c r="O427" s="13">
        <v>424</v>
      </c>
      <c r="P427" s="13">
        <v>126</v>
      </c>
      <c r="Q427" s="17">
        <v>96.054374780000003</v>
      </c>
      <c r="AA427" s="13">
        <f t="shared" si="25"/>
        <v>-23.766369222222217</v>
      </c>
      <c r="AC427" s="23"/>
      <c r="AD427" s="23"/>
      <c r="AE427" s="23"/>
      <c r="AF427" s="23"/>
      <c r="AG427" s="23"/>
      <c r="AI427" s="13">
        <v>424</v>
      </c>
      <c r="AJ427" s="13">
        <v>126</v>
      </c>
      <c r="AK427" s="17">
        <v>120.3508365</v>
      </c>
      <c r="AV427" s="13">
        <f t="shared" si="26"/>
        <v>-4.4834630952380934</v>
      </c>
      <c r="BD427" s="13">
        <v>424</v>
      </c>
      <c r="BE427" s="13">
        <v>126</v>
      </c>
      <c r="BF427" s="17">
        <v>114.1073245</v>
      </c>
      <c r="BQ427" s="13">
        <f t="shared" si="27"/>
        <v>-9.4386313492063501</v>
      </c>
    </row>
    <row r="428" spans="1:69">
      <c r="A428" s="13">
        <v>425</v>
      </c>
      <c r="B428" s="13">
        <v>86</v>
      </c>
      <c r="C428" s="17">
        <v>56.159041389999999</v>
      </c>
      <c r="M428" s="13">
        <f t="shared" si="28"/>
        <v>-34.698789081395354</v>
      </c>
      <c r="O428" s="13">
        <v>425</v>
      </c>
      <c r="P428" s="13">
        <v>86</v>
      </c>
      <c r="Q428" s="17">
        <v>58.98099268</v>
      </c>
      <c r="AA428" s="13">
        <f t="shared" si="25"/>
        <v>-31.417450372093025</v>
      </c>
      <c r="AC428" s="23"/>
      <c r="AD428" s="23"/>
      <c r="AE428" s="23"/>
      <c r="AF428" s="23"/>
      <c r="AG428" s="23"/>
      <c r="AI428" s="13">
        <v>425</v>
      </c>
      <c r="AJ428" s="13">
        <v>86</v>
      </c>
      <c r="AK428" s="17">
        <v>80.291808279999998</v>
      </c>
      <c r="AV428" s="13">
        <f t="shared" si="26"/>
        <v>-6.6374322325581385</v>
      </c>
      <c r="BD428" s="13">
        <v>425</v>
      </c>
      <c r="BE428" s="13">
        <v>86</v>
      </c>
      <c r="BF428" s="17">
        <v>73.870526839999997</v>
      </c>
      <c r="BQ428" s="13">
        <f t="shared" si="27"/>
        <v>-14.104038558139543</v>
      </c>
    </row>
    <row r="429" spans="1:69">
      <c r="A429" s="13">
        <v>426</v>
      </c>
      <c r="B429" s="13">
        <v>13</v>
      </c>
      <c r="C429" s="17">
        <v>14.051360239999999</v>
      </c>
      <c r="M429" s="13">
        <f t="shared" si="28"/>
        <v>8.0873864615384594</v>
      </c>
      <c r="O429" s="13">
        <v>426</v>
      </c>
      <c r="P429" s="13">
        <v>13</v>
      </c>
      <c r="Q429" s="17">
        <v>16.496173070000001</v>
      </c>
      <c r="AA429" s="13">
        <f t="shared" si="25"/>
        <v>26.893639000000015</v>
      </c>
      <c r="AC429" s="23"/>
      <c r="AD429" s="23"/>
      <c r="AE429" s="23"/>
      <c r="AF429" s="23"/>
      <c r="AG429" s="23"/>
      <c r="AI429" s="13">
        <v>426</v>
      </c>
      <c r="AJ429" s="13">
        <v>13</v>
      </c>
      <c r="AK429" s="17">
        <v>13.21249205</v>
      </c>
      <c r="AV429" s="13">
        <f t="shared" si="26"/>
        <v>1.6345542307692362</v>
      </c>
      <c r="BD429" s="13">
        <v>426</v>
      </c>
      <c r="BE429" s="13">
        <v>13</v>
      </c>
      <c r="BF429" s="17">
        <v>12.979761910000001</v>
      </c>
      <c r="BQ429" s="13">
        <f t="shared" si="27"/>
        <v>-0.15567761538460845</v>
      </c>
    </row>
    <row r="430" spans="1:69">
      <c r="A430" s="13">
        <v>427</v>
      </c>
      <c r="B430" s="13">
        <v>37</v>
      </c>
      <c r="C430" s="17">
        <v>47.98144035</v>
      </c>
      <c r="M430" s="13">
        <f t="shared" si="28"/>
        <v>29.679568513513523</v>
      </c>
      <c r="O430" s="13">
        <v>427</v>
      </c>
      <c r="P430" s="13">
        <v>37</v>
      </c>
      <c r="Q430" s="17">
        <v>47.764332770000003</v>
      </c>
      <c r="AA430" s="13">
        <f t="shared" si="25"/>
        <v>29.092791270270268</v>
      </c>
      <c r="AC430" s="23"/>
      <c r="AD430" s="23"/>
      <c r="AE430" s="23"/>
      <c r="AF430" s="23"/>
      <c r="AG430" s="23"/>
      <c r="AI430" s="13">
        <v>427</v>
      </c>
      <c r="AJ430" s="13">
        <v>37</v>
      </c>
      <c r="AK430" s="17">
        <v>39.094288069999998</v>
      </c>
      <c r="AV430" s="13">
        <f t="shared" si="26"/>
        <v>5.6602380270270203</v>
      </c>
      <c r="BD430" s="13">
        <v>427</v>
      </c>
      <c r="BE430" s="13">
        <v>37</v>
      </c>
      <c r="BF430" s="17">
        <v>40.744571469999997</v>
      </c>
      <c r="BQ430" s="13">
        <f t="shared" si="27"/>
        <v>10.120463432432425</v>
      </c>
    </row>
    <row r="431" spans="1:69">
      <c r="A431" s="13">
        <v>428</v>
      </c>
      <c r="B431" s="13">
        <v>32</v>
      </c>
      <c r="C431" s="17">
        <v>42.45064636</v>
      </c>
      <c r="M431" s="13">
        <f t="shared" si="28"/>
        <v>32.658269875000002</v>
      </c>
      <c r="O431" s="13">
        <v>428</v>
      </c>
      <c r="P431" s="13">
        <v>32</v>
      </c>
      <c r="Q431" s="17">
        <v>39.143741200000001</v>
      </c>
      <c r="AA431" s="13">
        <f t="shared" si="25"/>
        <v>22.324191250000002</v>
      </c>
      <c r="AC431" s="23"/>
      <c r="AD431" s="23"/>
      <c r="AE431" s="23"/>
      <c r="AF431" s="23"/>
      <c r="AG431" s="23"/>
      <c r="AI431" s="13">
        <v>428</v>
      </c>
      <c r="AJ431" s="13">
        <v>32</v>
      </c>
      <c r="AK431" s="17">
        <v>34.136129269999998</v>
      </c>
      <c r="AV431" s="13">
        <f t="shared" si="26"/>
        <v>6.6754039687499933</v>
      </c>
      <c r="BD431" s="13">
        <v>428</v>
      </c>
      <c r="BE431" s="13">
        <v>32</v>
      </c>
      <c r="BF431" s="17">
        <v>35.365589419999999</v>
      </c>
      <c r="BQ431" s="13">
        <f t="shared" si="27"/>
        <v>10.517466937499997</v>
      </c>
    </row>
    <row r="432" spans="1:69">
      <c r="A432" s="13">
        <v>429</v>
      </c>
      <c r="B432" s="13">
        <v>107</v>
      </c>
      <c r="C432" s="17">
        <v>78.744387439999997</v>
      </c>
      <c r="M432" s="13">
        <f t="shared" si="28"/>
        <v>-26.407114542056075</v>
      </c>
      <c r="O432" s="13">
        <v>429</v>
      </c>
      <c r="P432" s="13">
        <v>107</v>
      </c>
      <c r="Q432" s="17">
        <v>79.138578100000004</v>
      </c>
      <c r="AA432" s="13">
        <f t="shared" si="25"/>
        <v>-26.038712056074765</v>
      </c>
      <c r="AC432" s="23"/>
      <c r="AD432" s="23"/>
      <c r="AE432" s="23"/>
      <c r="AF432" s="23"/>
      <c r="AG432" s="23"/>
      <c r="AI432" s="13">
        <v>429</v>
      </c>
      <c r="AJ432" s="13">
        <v>107</v>
      </c>
      <c r="AK432" s="17">
        <v>101.3388775</v>
      </c>
      <c r="AV432" s="13">
        <f t="shared" si="26"/>
        <v>-5.2907686915887879</v>
      </c>
      <c r="BD432" s="13">
        <v>429</v>
      </c>
      <c r="BE432" s="13">
        <v>107</v>
      </c>
      <c r="BF432" s="17">
        <v>95.316410779999998</v>
      </c>
      <c r="BQ432" s="13">
        <f t="shared" si="27"/>
        <v>-10.91924226168225</v>
      </c>
    </row>
    <row r="433" spans="1:69">
      <c r="A433" s="13">
        <v>430</v>
      </c>
      <c r="B433" s="13">
        <v>2</v>
      </c>
      <c r="C433" s="17">
        <v>1.2032041222179899</v>
      </c>
      <c r="M433" s="13">
        <f t="shared" si="28"/>
        <v>-39.839793889100505</v>
      </c>
      <c r="O433" s="13">
        <v>430</v>
      </c>
      <c r="P433" s="13">
        <v>2</v>
      </c>
      <c r="Q433" s="17">
        <v>2.9205736280000001</v>
      </c>
      <c r="AA433" s="13">
        <f t="shared" si="25"/>
        <v>46.028681400000004</v>
      </c>
      <c r="AC433" s="23"/>
      <c r="AD433" s="23"/>
      <c r="AE433" s="23"/>
      <c r="AF433" s="23"/>
      <c r="AG433" s="23"/>
      <c r="AI433" s="13">
        <v>430</v>
      </c>
      <c r="AJ433" s="13">
        <v>2</v>
      </c>
      <c r="AK433" s="17">
        <v>2.4055276779999999</v>
      </c>
      <c r="AV433" s="13">
        <f t="shared" si="26"/>
        <v>20.276383899999995</v>
      </c>
      <c r="BD433" s="13">
        <v>430</v>
      </c>
      <c r="BE433" s="13">
        <v>2</v>
      </c>
      <c r="BF433" s="17">
        <v>2.0978898629999998</v>
      </c>
      <c r="BQ433" s="13">
        <f t="shared" si="27"/>
        <v>4.89449314999999</v>
      </c>
    </row>
    <row r="434" spans="1:69">
      <c r="A434" s="13">
        <v>431</v>
      </c>
      <c r="B434" s="13">
        <v>215</v>
      </c>
      <c r="C434" s="17">
        <v>214.01733440000001</v>
      </c>
      <c r="M434" s="13">
        <f t="shared" si="28"/>
        <v>-0.45705376744185067</v>
      </c>
      <c r="O434" s="13">
        <v>431</v>
      </c>
      <c r="P434" s="13">
        <v>215</v>
      </c>
      <c r="Q434" s="17">
        <v>210.37472930000001</v>
      </c>
      <c r="AA434" s="13">
        <f t="shared" si="25"/>
        <v>-2.1512886976744139</v>
      </c>
      <c r="AC434" s="23"/>
      <c r="AD434" s="23"/>
      <c r="AE434" s="23"/>
      <c r="AF434" s="23"/>
      <c r="AG434" s="23"/>
      <c r="AI434" s="13">
        <v>431</v>
      </c>
      <c r="AJ434" s="13">
        <v>215</v>
      </c>
      <c r="AK434" s="17">
        <v>214.83946689999999</v>
      </c>
      <c r="AV434" s="13">
        <f t="shared" si="26"/>
        <v>-7.4666558139535599E-2</v>
      </c>
      <c r="BD434" s="13">
        <v>431</v>
      </c>
      <c r="BE434" s="13">
        <v>215</v>
      </c>
      <c r="BF434" s="17">
        <v>214.6759155</v>
      </c>
      <c r="BQ434" s="13">
        <f t="shared" si="27"/>
        <v>-0.15073697674418129</v>
      </c>
    </row>
    <row r="435" spans="1:69">
      <c r="A435" s="13">
        <v>432</v>
      </c>
      <c r="B435" s="13">
        <v>75</v>
      </c>
      <c r="C435" s="17">
        <v>45.851600840000003</v>
      </c>
      <c r="M435" s="13">
        <f t="shared" si="28"/>
        <v>-38.864532213333327</v>
      </c>
      <c r="O435" s="13">
        <v>432</v>
      </c>
      <c r="P435" s="13">
        <v>75</v>
      </c>
      <c r="Q435" s="17">
        <v>45.2243998</v>
      </c>
      <c r="AA435" s="13">
        <f t="shared" si="25"/>
        <v>-39.700800266666668</v>
      </c>
      <c r="AC435" s="23"/>
      <c r="AD435" s="23"/>
      <c r="AE435" s="23"/>
      <c r="AF435" s="23"/>
      <c r="AG435" s="23"/>
      <c r="AI435" s="13">
        <v>432</v>
      </c>
      <c r="AJ435" s="13">
        <v>75</v>
      </c>
      <c r="AK435" s="17">
        <v>69.120320169999999</v>
      </c>
      <c r="AV435" s="13">
        <f t="shared" si="26"/>
        <v>-7.8395731066666645</v>
      </c>
      <c r="BD435" s="13">
        <v>432</v>
      </c>
      <c r="BE435" s="13">
        <v>75</v>
      </c>
      <c r="BF435" s="17">
        <v>62.16373514</v>
      </c>
      <c r="BQ435" s="13">
        <f t="shared" si="27"/>
        <v>-17.115019813333333</v>
      </c>
    </row>
    <row r="436" spans="1:69">
      <c r="A436" s="13">
        <v>433</v>
      </c>
      <c r="B436" s="13">
        <v>133</v>
      </c>
      <c r="C436" s="17">
        <v>102.8403493</v>
      </c>
      <c r="M436" s="13">
        <f t="shared" si="28"/>
        <v>-22.676429097744368</v>
      </c>
      <c r="O436" s="13">
        <v>433</v>
      </c>
      <c r="P436" s="13">
        <v>133</v>
      </c>
      <c r="Q436" s="17">
        <v>101.4144044</v>
      </c>
      <c r="AA436" s="13">
        <f t="shared" si="25"/>
        <v>-23.748568120300749</v>
      </c>
      <c r="AC436" s="23"/>
      <c r="AD436" s="23"/>
      <c r="AE436" s="23"/>
      <c r="AF436" s="23"/>
      <c r="AG436" s="23"/>
      <c r="AI436" s="13">
        <v>433</v>
      </c>
      <c r="AJ436" s="13">
        <v>133</v>
      </c>
      <c r="AK436" s="17">
        <v>126.96006989999999</v>
      </c>
      <c r="AV436" s="13">
        <f t="shared" si="26"/>
        <v>-4.5413008270676736</v>
      </c>
      <c r="BD436" s="13">
        <v>433</v>
      </c>
      <c r="BE436" s="13">
        <v>133</v>
      </c>
      <c r="BF436" s="17">
        <v>119.9706944</v>
      </c>
      <c r="BQ436" s="13">
        <f t="shared" si="27"/>
        <v>-9.7964703759398475</v>
      </c>
    </row>
    <row r="437" spans="1:69">
      <c r="A437" s="13">
        <v>434</v>
      </c>
      <c r="B437" s="13">
        <v>121</v>
      </c>
      <c r="C437" s="17">
        <v>121.5859104</v>
      </c>
      <c r="M437" s="13">
        <f t="shared" si="28"/>
        <v>0.48422347107437425</v>
      </c>
      <c r="O437" s="13">
        <v>434</v>
      </c>
      <c r="P437" s="13">
        <v>121</v>
      </c>
      <c r="Q437" s="17">
        <v>117.0167436</v>
      </c>
      <c r="AA437" s="13">
        <f t="shared" si="25"/>
        <v>-3.2919474380165292</v>
      </c>
      <c r="AC437" s="23"/>
      <c r="AD437" s="23"/>
      <c r="AE437" s="23"/>
      <c r="AF437" s="23"/>
      <c r="AG437" s="23"/>
      <c r="AI437" s="13">
        <v>434</v>
      </c>
      <c r="AJ437" s="13">
        <v>121</v>
      </c>
      <c r="AK437" s="17">
        <v>121.22718209999999</v>
      </c>
      <c r="AV437" s="13">
        <f t="shared" si="26"/>
        <v>0.18775380165287903</v>
      </c>
      <c r="BD437" s="13">
        <v>434</v>
      </c>
      <c r="BE437" s="13">
        <v>121</v>
      </c>
      <c r="BF437" s="17">
        <v>121.1356732</v>
      </c>
      <c r="BQ437" s="13">
        <f t="shared" si="27"/>
        <v>0.11212661157025128</v>
      </c>
    </row>
    <row r="438" spans="1:69">
      <c r="A438" s="13">
        <v>435</v>
      </c>
      <c r="B438" s="13">
        <v>23</v>
      </c>
      <c r="C438" s="17">
        <v>34.141117370000003</v>
      </c>
      <c r="M438" s="13">
        <f t="shared" si="28"/>
        <v>48.439640739130454</v>
      </c>
      <c r="O438" s="13">
        <v>435</v>
      </c>
      <c r="P438" s="13">
        <v>23</v>
      </c>
      <c r="Q438" s="17">
        <v>37.235745309999999</v>
      </c>
      <c r="AA438" s="13">
        <f t="shared" si="25"/>
        <v>61.894544826086964</v>
      </c>
      <c r="AC438" s="23"/>
      <c r="AD438" s="23"/>
      <c r="AE438" s="23"/>
      <c r="AF438" s="23"/>
      <c r="AG438" s="23"/>
      <c r="AI438" s="13">
        <v>435</v>
      </c>
      <c r="AJ438" s="13">
        <v>23</v>
      </c>
      <c r="AK438" s="17">
        <v>25.225823470000002</v>
      </c>
      <c r="AV438" s="13">
        <f t="shared" si="26"/>
        <v>9.677493347826104</v>
      </c>
      <c r="BD438" s="13">
        <v>435</v>
      </c>
      <c r="BE438" s="13">
        <v>23</v>
      </c>
      <c r="BF438" s="17">
        <v>26.93763233</v>
      </c>
      <c r="BQ438" s="13">
        <f t="shared" si="27"/>
        <v>17.12014056521738</v>
      </c>
    </row>
    <row r="439" spans="1:69">
      <c r="A439" s="13">
        <v>436</v>
      </c>
      <c r="B439" s="13">
        <v>177</v>
      </c>
      <c r="C439" s="17">
        <v>145.95640700000001</v>
      </c>
      <c r="M439" s="13">
        <f t="shared" si="28"/>
        <v>-17.538753107344629</v>
      </c>
      <c r="O439" s="13">
        <v>436</v>
      </c>
      <c r="P439" s="13">
        <v>177</v>
      </c>
      <c r="Q439" s="17">
        <v>139.73034340000001</v>
      </c>
      <c r="AA439" s="13">
        <f t="shared" si="25"/>
        <v>-21.056303163841804</v>
      </c>
      <c r="AC439" s="23"/>
      <c r="AD439" s="23"/>
      <c r="AE439" s="23"/>
      <c r="AF439" s="23"/>
      <c r="AG439" s="23"/>
      <c r="AI439" s="13">
        <v>436</v>
      </c>
      <c r="AJ439" s="13">
        <v>177</v>
      </c>
      <c r="AK439" s="17">
        <v>171.04928140000001</v>
      </c>
      <c r="AV439" s="13">
        <f t="shared" si="26"/>
        <v>-3.3619879096045135</v>
      </c>
      <c r="BD439" s="13">
        <v>436</v>
      </c>
      <c r="BE439" s="13">
        <v>177</v>
      </c>
      <c r="BF439" s="17">
        <v>164.35458299999999</v>
      </c>
      <c r="BQ439" s="13">
        <f t="shared" si="27"/>
        <v>-7.1443033898305082</v>
      </c>
    </row>
    <row r="440" spans="1:69">
      <c r="A440" s="13">
        <v>437</v>
      </c>
      <c r="B440" s="13">
        <v>172</v>
      </c>
      <c r="C440" s="17">
        <v>173.45369339999999</v>
      </c>
      <c r="M440" s="13">
        <f t="shared" si="28"/>
        <v>0.84517058139534917</v>
      </c>
      <c r="O440" s="13">
        <v>437</v>
      </c>
      <c r="P440" s="13">
        <v>172</v>
      </c>
      <c r="Q440" s="17">
        <v>165.3748133</v>
      </c>
      <c r="AA440" s="13">
        <f t="shared" si="25"/>
        <v>-3.8518527325581364</v>
      </c>
      <c r="AC440" s="23"/>
      <c r="AD440" s="23"/>
      <c r="AE440" s="23"/>
      <c r="AF440" s="23"/>
      <c r="AG440" s="23"/>
      <c r="AI440" s="13">
        <v>437</v>
      </c>
      <c r="AJ440" s="13">
        <v>172</v>
      </c>
      <c r="AK440" s="17">
        <v>172.26673869999999</v>
      </c>
      <c r="AV440" s="13">
        <f t="shared" si="26"/>
        <v>0.15508063953488804</v>
      </c>
      <c r="BD440" s="13">
        <v>437</v>
      </c>
      <c r="BE440" s="13">
        <v>172</v>
      </c>
      <c r="BF440" s="17">
        <v>172.8929158</v>
      </c>
      <c r="BQ440" s="13">
        <f t="shared" si="27"/>
        <v>0.51913709302324751</v>
      </c>
    </row>
    <row r="441" spans="1:69">
      <c r="A441" s="13">
        <v>438</v>
      </c>
      <c r="B441" s="13">
        <v>187</v>
      </c>
      <c r="C441" s="17">
        <v>185.9759952</v>
      </c>
      <c r="M441" s="13">
        <f t="shared" si="28"/>
        <v>-0.54759614973262094</v>
      </c>
      <c r="O441" s="13">
        <v>438</v>
      </c>
      <c r="P441" s="13">
        <v>187</v>
      </c>
      <c r="Q441" s="17">
        <v>179.1841325</v>
      </c>
      <c r="AA441" s="13">
        <f t="shared" si="25"/>
        <v>-4.1796082887700532</v>
      </c>
      <c r="AC441" s="23"/>
      <c r="AD441" s="23"/>
      <c r="AE441" s="23"/>
      <c r="AF441" s="23"/>
      <c r="AG441" s="23"/>
      <c r="AI441" s="13">
        <v>438</v>
      </c>
      <c r="AJ441" s="13">
        <v>187</v>
      </c>
      <c r="AK441" s="17">
        <v>186.99719899999999</v>
      </c>
      <c r="AV441" s="13">
        <f t="shared" si="26"/>
        <v>-1.4978609625737604E-3</v>
      </c>
      <c r="BD441" s="13">
        <v>438</v>
      </c>
      <c r="BE441" s="13">
        <v>187</v>
      </c>
      <c r="BF441" s="17">
        <v>186.3925347</v>
      </c>
      <c r="BQ441" s="13">
        <f t="shared" si="27"/>
        <v>-0.3248477540106931</v>
      </c>
    </row>
    <row r="442" spans="1:69">
      <c r="A442" s="13">
        <v>439</v>
      </c>
      <c r="B442" s="13">
        <v>19</v>
      </c>
      <c r="C442" s="17">
        <v>20.742938120000002</v>
      </c>
      <c r="M442" s="13">
        <f t="shared" si="28"/>
        <v>9.1733585263158002</v>
      </c>
      <c r="O442" s="13">
        <v>439</v>
      </c>
      <c r="P442" s="13">
        <v>19</v>
      </c>
      <c r="Q442" s="17">
        <v>22.955253890000002</v>
      </c>
      <c r="AA442" s="13">
        <f t="shared" si="25"/>
        <v>20.817125736842112</v>
      </c>
      <c r="AC442" s="23"/>
      <c r="AD442" s="23"/>
      <c r="AE442" s="23"/>
      <c r="AF442" s="23"/>
      <c r="AG442" s="23"/>
      <c r="AI442" s="13">
        <v>439</v>
      </c>
      <c r="AJ442" s="13">
        <v>19</v>
      </c>
      <c r="AK442" s="17">
        <v>19.346947620000002</v>
      </c>
      <c r="AV442" s="13">
        <f t="shared" si="26"/>
        <v>1.8260401052631714</v>
      </c>
      <c r="BD442" s="13">
        <v>439</v>
      </c>
      <c r="BE442" s="13">
        <v>19</v>
      </c>
      <c r="BF442" s="17">
        <v>19.122813820000001</v>
      </c>
      <c r="BQ442" s="13">
        <f t="shared" si="27"/>
        <v>0.64638852631579979</v>
      </c>
    </row>
    <row r="443" spans="1:69">
      <c r="A443" s="13">
        <v>440</v>
      </c>
      <c r="B443" s="13">
        <v>85</v>
      </c>
      <c r="C443" s="17">
        <v>86.922815279999995</v>
      </c>
      <c r="M443" s="13">
        <f t="shared" si="28"/>
        <v>2.2621356235294154</v>
      </c>
      <c r="O443" s="13">
        <v>440</v>
      </c>
      <c r="P443" s="13">
        <v>85</v>
      </c>
      <c r="Q443" s="17">
        <v>86.364426499999993</v>
      </c>
      <c r="AA443" s="13">
        <f t="shared" si="25"/>
        <v>1.6052076470588261</v>
      </c>
      <c r="AC443" s="23"/>
      <c r="AD443" s="23"/>
      <c r="AE443" s="23"/>
      <c r="AF443" s="23"/>
      <c r="AG443" s="23"/>
      <c r="AI443" s="13">
        <v>440</v>
      </c>
      <c r="AJ443" s="13">
        <v>85</v>
      </c>
      <c r="AK443" s="17">
        <v>85.296563059999997</v>
      </c>
      <c r="AV443" s="13">
        <f t="shared" si="26"/>
        <v>0.34889771764705646</v>
      </c>
      <c r="BD443" s="13">
        <v>440</v>
      </c>
      <c r="BE443" s="13">
        <v>85</v>
      </c>
      <c r="BF443" s="17">
        <v>84.744851120000007</v>
      </c>
      <c r="BQ443" s="13">
        <f t="shared" si="27"/>
        <v>-0.30017515294117336</v>
      </c>
    </row>
    <row r="444" spans="1:69">
      <c r="A444" s="13">
        <v>441</v>
      </c>
      <c r="B444" s="13">
        <v>192</v>
      </c>
      <c r="C444" s="17">
        <v>191.5376976</v>
      </c>
      <c r="M444" s="13">
        <f t="shared" si="28"/>
        <v>-0.24078250000000301</v>
      </c>
      <c r="O444" s="13">
        <v>441</v>
      </c>
      <c r="P444" s="13">
        <v>192</v>
      </c>
      <c r="Q444" s="17">
        <v>186.6232244</v>
      </c>
      <c r="AA444" s="13">
        <f t="shared" si="25"/>
        <v>-2.8004039583333307</v>
      </c>
      <c r="AC444" s="23"/>
      <c r="AD444" s="23"/>
      <c r="AE444" s="23"/>
      <c r="AF444" s="23"/>
      <c r="AG444" s="23"/>
      <c r="AI444" s="13">
        <v>441</v>
      </c>
      <c r="AJ444" s="13">
        <v>192</v>
      </c>
      <c r="AK444" s="17">
        <v>191.8275395</v>
      </c>
      <c r="AV444" s="13">
        <f t="shared" si="26"/>
        <v>-8.9823177083336869E-2</v>
      </c>
      <c r="BD444" s="13">
        <v>441</v>
      </c>
      <c r="BE444" s="13">
        <v>192</v>
      </c>
      <c r="BF444" s="17">
        <v>191.48987980000001</v>
      </c>
      <c r="BQ444" s="13">
        <f t="shared" si="27"/>
        <v>-0.26568760416666448</v>
      </c>
    </row>
    <row r="445" spans="1:69">
      <c r="A445" s="13">
        <v>442</v>
      </c>
      <c r="B445" s="13">
        <v>84</v>
      </c>
      <c r="C445" s="17">
        <v>53.91769231</v>
      </c>
      <c r="M445" s="13">
        <f t="shared" si="28"/>
        <v>-35.812271059523816</v>
      </c>
      <c r="O445" s="13">
        <v>442</v>
      </c>
      <c r="P445" s="13">
        <v>84</v>
      </c>
      <c r="Q445" s="17">
        <v>56.371825510000001</v>
      </c>
      <c r="AA445" s="13">
        <f t="shared" si="25"/>
        <v>-32.89068391666666</v>
      </c>
      <c r="AC445" s="23"/>
      <c r="AD445" s="23"/>
      <c r="AE445" s="23"/>
      <c r="AF445" s="23"/>
      <c r="AG445" s="23"/>
      <c r="AI445" s="13">
        <v>442</v>
      </c>
      <c r="AJ445" s="13">
        <v>84</v>
      </c>
      <c r="AK445" s="17">
        <v>78.257538460000006</v>
      </c>
      <c r="AV445" s="13">
        <f t="shared" si="26"/>
        <v>-6.8362637380952274</v>
      </c>
      <c r="BD445" s="13">
        <v>442</v>
      </c>
      <c r="BE445" s="13">
        <v>84</v>
      </c>
      <c r="BF445" s="17">
        <v>71.615339570000003</v>
      </c>
      <c r="BQ445" s="13">
        <f t="shared" si="27"/>
        <v>-14.743643369047611</v>
      </c>
    </row>
    <row r="446" spans="1:69">
      <c r="A446" s="13">
        <v>443</v>
      </c>
      <c r="B446" s="13">
        <v>199</v>
      </c>
      <c r="C446" s="17">
        <v>210.01491759999999</v>
      </c>
      <c r="M446" s="13">
        <f t="shared" si="28"/>
        <v>5.5351344723618023</v>
      </c>
      <c r="O446" s="13">
        <v>443</v>
      </c>
      <c r="P446" s="13">
        <v>199</v>
      </c>
      <c r="Q446" s="17">
        <v>206.5303773</v>
      </c>
      <c r="AA446" s="13">
        <f t="shared" si="25"/>
        <v>3.78410919597989</v>
      </c>
      <c r="AC446" s="23"/>
      <c r="AD446" s="23"/>
      <c r="AE446" s="23"/>
      <c r="AF446" s="23"/>
      <c r="AG446" s="23"/>
      <c r="AI446" s="13">
        <v>443</v>
      </c>
      <c r="AJ446" s="13">
        <v>199</v>
      </c>
      <c r="AK446" s="17">
        <v>201.26698350000001</v>
      </c>
      <c r="AV446" s="13">
        <f t="shared" si="26"/>
        <v>1.1391876884422114</v>
      </c>
      <c r="BD446" s="13">
        <v>443</v>
      </c>
      <c r="BE446" s="13">
        <v>199</v>
      </c>
      <c r="BF446" s="17">
        <v>203.0806283</v>
      </c>
      <c r="BQ446" s="13">
        <f t="shared" si="27"/>
        <v>2.0505669849246289</v>
      </c>
    </row>
    <row r="447" spans="1:69">
      <c r="A447" s="13">
        <v>444</v>
      </c>
      <c r="B447" s="13">
        <v>190</v>
      </c>
      <c r="C447" s="17">
        <v>161.4804944</v>
      </c>
      <c r="M447" s="13">
        <f t="shared" si="28"/>
        <v>-15.01026610526316</v>
      </c>
      <c r="O447" s="13">
        <v>444</v>
      </c>
      <c r="P447" s="13">
        <v>190</v>
      </c>
      <c r="Q447" s="17">
        <v>157.72475940000001</v>
      </c>
      <c r="AA447" s="13">
        <f t="shared" si="25"/>
        <v>-16.986968736842101</v>
      </c>
      <c r="AC447" s="23"/>
      <c r="AD447" s="23"/>
      <c r="AE447" s="23"/>
      <c r="AF447" s="23"/>
      <c r="AG447" s="23"/>
      <c r="AI447" s="13">
        <v>444</v>
      </c>
      <c r="AJ447" s="13">
        <v>190</v>
      </c>
      <c r="AK447" s="17">
        <v>184.63209889999999</v>
      </c>
      <c r="AV447" s="13">
        <f t="shared" si="26"/>
        <v>-2.825211105263159</v>
      </c>
      <c r="BD447" s="13">
        <v>444</v>
      </c>
      <c r="BE447" s="13">
        <v>190</v>
      </c>
      <c r="BF447" s="17">
        <v>178.62022529999999</v>
      </c>
      <c r="BQ447" s="13">
        <f t="shared" si="27"/>
        <v>-5.9893551052631615</v>
      </c>
    </row>
    <row r="448" spans="1:69">
      <c r="A448" s="13">
        <v>445</v>
      </c>
      <c r="B448" s="13">
        <v>51</v>
      </c>
      <c r="C448" s="17">
        <v>61.079624809999999</v>
      </c>
      <c r="M448" s="13">
        <f t="shared" si="28"/>
        <v>19.763970215686278</v>
      </c>
      <c r="O448" s="13">
        <v>445</v>
      </c>
      <c r="P448" s="13">
        <v>51</v>
      </c>
      <c r="Q448" s="17">
        <v>61.091060200000001</v>
      </c>
      <c r="AA448" s="13">
        <f t="shared" si="25"/>
        <v>19.786392549019617</v>
      </c>
      <c r="AC448" s="23"/>
      <c r="AD448" s="23"/>
      <c r="AE448" s="23"/>
      <c r="AF448" s="23"/>
      <c r="AG448" s="23"/>
      <c r="AI448" s="13">
        <v>445</v>
      </c>
      <c r="AJ448" s="13">
        <v>51</v>
      </c>
      <c r="AK448" s="17">
        <v>53.075924960000002</v>
      </c>
      <c r="AV448" s="13">
        <f t="shared" si="26"/>
        <v>4.0704410980392236</v>
      </c>
      <c r="BD448" s="13">
        <v>445</v>
      </c>
      <c r="BE448" s="13">
        <v>51</v>
      </c>
      <c r="BF448" s="17">
        <v>54.721811369999998</v>
      </c>
      <c r="BQ448" s="13">
        <f t="shared" si="27"/>
        <v>7.2976693529411607</v>
      </c>
    </row>
    <row r="449" spans="1:69">
      <c r="A449" s="13">
        <v>446</v>
      </c>
      <c r="B449" s="13">
        <v>141</v>
      </c>
      <c r="C449" s="17">
        <v>150.81017270000001</v>
      </c>
      <c r="M449" s="13">
        <f t="shared" si="28"/>
        <v>6.9575692907801523</v>
      </c>
      <c r="O449" s="13">
        <v>446</v>
      </c>
      <c r="P449" s="13">
        <v>141</v>
      </c>
      <c r="Q449" s="17">
        <v>150.4451291</v>
      </c>
      <c r="AA449" s="13">
        <f t="shared" si="25"/>
        <v>6.6986731205673777</v>
      </c>
      <c r="AC449" s="23"/>
      <c r="AD449" s="23"/>
      <c r="AE449" s="23"/>
      <c r="AF449" s="23"/>
      <c r="AG449" s="23"/>
      <c r="AI449" s="13">
        <v>446</v>
      </c>
      <c r="AJ449" s="13">
        <v>141</v>
      </c>
      <c r="AK449" s="17">
        <v>143.1560345</v>
      </c>
      <c r="AV449" s="13">
        <f t="shared" si="26"/>
        <v>1.5291024822694954</v>
      </c>
      <c r="BD449" s="13">
        <v>446</v>
      </c>
      <c r="BE449" s="13">
        <v>141</v>
      </c>
      <c r="BF449" s="17">
        <v>145.0279132</v>
      </c>
      <c r="BQ449" s="13">
        <f t="shared" si="27"/>
        <v>2.8566760283687875</v>
      </c>
    </row>
    <row r="450" spans="1:69">
      <c r="A450" s="13">
        <v>447</v>
      </c>
      <c r="B450" s="13">
        <v>11</v>
      </c>
      <c r="C450" s="17">
        <v>7.41756507656015</v>
      </c>
      <c r="M450" s="13">
        <f t="shared" si="28"/>
        <v>-32.567590213089545</v>
      </c>
      <c r="O450" s="13">
        <v>447</v>
      </c>
      <c r="P450" s="13">
        <v>11</v>
      </c>
      <c r="Q450" s="17">
        <v>13.265819752823599</v>
      </c>
      <c r="AA450" s="13">
        <f t="shared" si="25"/>
        <v>20.598361389305442</v>
      </c>
      <c r="AC450" s="23"/>
      <c r="AD450" s="23"/>
      <c r="AE450" s="23"/>
      <c r="AF450" s="23"/>
      <c r="AG450" s="23"/>
      <c r="AI450" s="13">
        <v>447</v>
      </c>
      <c r="AJ450" s="13">
        <v>11</v>
      </c>
      <c r="AK450" s="17">
        <v>13.208894129999999</v>
      </c>
      <c r="AV450" s="13">
        <f t="shared" si="26"/>
        <v>20.080855727272716</v>
      </c>
      <c r="BD450" s="13">
        <v>447</v>
      </c>
      <c r="BE450" s="13">
        <v>11</v>
      </c>
      <c r="BF450" s="17">
        <v>14.85811294</v>
      </c>
      <c r="BQ450" s="13">
        <f t="shared" si="27"/>
        <v>35.073753999999994</v>
      </c>
    </row>
    <row r="451" spans="1:69">
      <c r="A451" s="13">
        <v>448</v>
      </c>
      <c r="B451" s="13">
        <v>38</v>
      </c>
      <c r="C451" s="17">
        <v>49.278583509999997</v>
      </c>
      <c r="M451" s="13">
        <f t="shared" si="28"/>
        <v>29.680482921052629</v>
      </c>
      <c r="O451" s="13">
        <v>448</v>
      </c>
      <c r="P451" s="13">
        <v>38</v>
      </c>
      <c r="Q451" s="17">
        <v>50.878241520000003</v>
      </c>
      <c r="AA451" s="13">
        <f t="shared" ref="AA451:AA514" si="29">((Q451/P451)-1)*100</f>
        <v>33.890109263157896</v>
      </c>
      <c r="AC451" s="23"/>
      <c r="AD451" s="23"/>
      <c r="AE451" s="23"/>
      <c r="AF451" s="23"/>
      <c r="AG451" s="23"/>
      <c r="AI451" s="13">
        <v>448</v>
      </c>
      <c r="AJ451" s="13">
        <v>38</v>
      </c>
      <c r="AK451" s="17">
        <v>40.315716700000003</v>
      </c>
      <c r="AV451" s="13">
        <f t="shared" ref="AV451:AV514" si="30">((AK451/AJ451)-1)*100</f>
        <v>6.093991315789471</v>
      </c>
      <c r="BD451" s="13">
        <v>448</v>
      </c>
      <c r="BE451" s="13">
        <v>38</v>
      </c>
      <c r="BF451" s="17">
        <v>42.024982780000002</v>
      </c>
      <c r="BQ451" s="13">
        <f t="shared" si="27"/>
        <v>10.592059947368426</v>
      </c>
    </row>
    <row r="452" spans="1:69">
      <c r="A452" s="13">
        <v>449</v>
      </c>
      <c r="B452" s="13">
        <v>181</v>
      </c>
      <c r="C452" s="17">
        <v>151.07038679999999</v>
      </c>
      <c r="M452" s="13">
        <f t="shared" si="28"/>
        <v>-16.535697900552492</v>
      </c>
      <c r="O452" s="13">
        <v>449</v>
      </c>
      <c r="P452" s="13">
        <v>181</v>
      </c>
      <c r="Q452" s="17">
        <v>147.99689739999999</v>
      </c>
      <c r="AA452" s="13">
        <f t="shared" si="29"/>
        <v>-18.233758342541439</v>
      </c>
      <c r="AC452" s="23"/>
      <c r="AD452" s="23"/>
      <c r="AE452" s="23"/>
      <c r="AF452" s="23"/>
      <c r="AG452" s="23"/>
      <c r="AI452" s="13">
        <v>449</v>
      </c>
      <c r="AJ452" s="13">
        <v>181</v>
      </c>
      <c r="AK452" s="17">
        <v>174.9980774</v>
      </c>
      <c r="AV452" s="13">
        <f t="shared" si="30"/>
        <v>-3.3159793370165724</v>
      </c>
      <c r="BD452" s="13">
        <v>449</v>
      </c>
      <c r="BE452" s="13">
        <v>181</v>
      </c>
      <c r="BF452" s="17">
        <v>168.80399159999999</v>
      </c>
      <c r="BQ452" s="13">
        <f t="shared" ref="BQ452:BQ515" si="31">((BF452/BE452)-1)*100</f>
        <v>-6.7381261878453058</v>
      </c>
    </row>
    <row r="453" spans="1:69">
      <c r="A453" s="13">
        <v>450</v>
      </c>
      <c r="B453" s="13">
        <v>81</v>
      </c>
      <c r="C453" s="17">
        <v>84.565004250000001</v>
      </c>
      <c r="M453" s="13">
        <f t="shared" si="28"/>
        <v>4.4012398148148169</v>
      </c>
      <c r="O453" s="13">
        <v>450</v>
      </c>
      <c r="P453" s="13">
        <v>81</v>
      </c>
      <c r="Q453" s="17">
        <v>84.502304659999993</v>
      </c>
      <c r="AA453" s="13">
        <f t="shared" si="29"/>
        <v>4.3238329135802278</v>
      </c>
      <c r="AC453" s="23"/>
      <c r="AD453" s="23"/>
      <c r="AE453" s="23"/>
      <c r="AF453" s="23"/>
      <c r="AG453" s="23"/>
      <c r="AI453" s="13">
        <v>450</v>
      </c>
      <c r="AJ453" s="13">
        <v>81</v>
      </c>
      <c r="AK453" s="17">
        <v>81.717000850000005</v>
      </c>
      <c r="AV453" s="13">
        <f t="shared" si="30"/>
        <v>0.88518623456790291</v>
      </c>
      <c r="BD453" s="13">
        <v>450</v>
      </c>
      <c r="BE453" s="13">
        <v>81</v>
      </c>
      <c r="BF453" s="17">
        <v>82.049235580000001</v>
      </c>
      <c r="BQ453" s="13">
        <f t="shared" si="31"/>
        <v>1.2953525679012312</v>
      </c>
    </row>
    <row r="454" spans="1:69">
      <c r="A454" s="13">
        <v>451</v>
      </c>
      <c r="B454" s="13">
        <v>157</v>
      </c>
      <c r="C454" s="17">
        <v>156.36489739999999</v>
      </c>
      <c r="M454" s="13">
        <f t="shared" si="28"/>
        <v>-0.40452394904458844</v>
      </c>
      <c r="O454" s="13">
        <v>451</v>
      </c>
      <c r="P454" s="13">
        <v>157</v>
      </c>
      <c r="Q454" s="17">
        <v>151.0057314</v>
      </c>
      <c r="AA454" s="13">
        <f t="shared" si="29"/>
        <v>-3.8180054777070094</v>
      </c>
      <c r="AC454" s="23"/>
      <c r="AD454" s="23"/>
      <c r="AE454" s="23"/>
      <c r="AF454" s="23"/>
      <c r="AG454" s="23"/>
      <c r="AI454" s="13">
        <v>451</v>
      </c>
      <c r="AJ454" s="13">
        <v>157</v>
      </c>
      <c r="AK454" s="17">
        <v>156.94297950000001</v>
      </c>
      <c r="AV454" s="13">
        <f t="shared" si="30"/>
        <v>-3.6318789808909013E-2</v>
      </c>
      <c r="BD454" s="13">
        <v>451</v>
      </c>
      <c r="BE454" s="13">
        <v>157</v>
      </c>
      <c r="BF454" s="17">
        <v>155.96188419999999</v>
      </c>
      <c r="BQ454" s="13">
        <f t="shared" si="31"/>
        <v>-0.66122025477708402</v>
      </c>
    </row>
    <row r="455" spans="1:69">
      <c r="A455" s="13">
        <v>452</v>
      </c>
      <c r="B455" s="13">
        <v>208</v>
      </c>
      <c r="C455" s="17">
        <v>177.3399521</v>
      </c>
      <c r="M455" s="13">
        <f t="shared" si="28"/>
        <v>-14.740407644230768</v>
      </c>
      <c r="O455" s="13">
        <v>452</v>
      </c>
      <c r="P455" s="13">
        <v>208</v>
      </c>
      <c r="Q455" s="17">
        <v>172.31018950000001</v>
      </c>
      <c r="AA455" s="13">
        <f t="shared" si="29"/>
        <v>-17.15856274038461</v>
      </c>
      <c r="AC455" s="23"/>
      <c r="AD455" s="23"/>
      <c r="AE455" s="23"/>
      <c r="AF455" s="23"/>
      <c r="AG455" s="23"/>
      <c r="AI455" s="13">
        <v>452</v>
      </c>
      <c r="AJ455" s="13">
        <v>208</v>
      </c>
      <c r="AK455" s="17">
        <v>201.7019904</v>
      </c>
      <c r="AV455" s="13">
        <f t="shared" si="30"/>
        <v>-3.0278892307692318</v>
      </c>
      <c r="BD455" s="13">
        <v>452</v>
      </c>
      <c r="BE455" s="13">
        <v>208</v>
      </c>
      <c r="BF455" s="17">
        <v>196.16486180000001</v>
      </c>
      <c r="BQ455" s="13">
        <f t="shared" si="31"/>
        <v>-5.6899702884615326</v>
      </c>
    </row>
    <row r="456" spans="1:69">
      <c r="A456" s="13">
        <v>453</v>
      </c>
      <c r="B456" s="13">
        <v>91</v>
      </c>
      <c r="C456" s="17">
        <v>90.622945790000003</v>
      </c>
      <c r="M456" s="13">
        <f t="shared" si="28"/>
        <v>-0.41434528571427931</v>
      </c>
      <c r="O456" s="13">
        <v>453</v>
      </c>
      <c r="P456" s="13">
        <v>91</v>
      </c>
      <c r="Q456" s="17">
        <v>92.015219049999999</v>
      </c>
      <c r="AA456" s="13">
        <f t="shared" si="29"/>
        <v>1.1156253296703333</v>
      </c>
      <c r="AC456" s="23"/>
      <c r="AD456" s="23"/>
      <c r="AE456" s="23"/>
      <c r="AF456" s="23"/>
      <c r="AG456" s="23"/>
      <c r="AI456" s="13">
        <v>453</v>
      </c>
      <c r="AJ456" s="13">
        <v>91</v>
      </c>
      <c r="AK456" s="17">
        <v>91.030589160000005</v>
      </c>
      <c r="AV456" s="13">
        <f t="shared" si="30"/>
        <v>3.3614461538467033E-2</v>
      </c>
      <c r="BD456" s="13">
        <v>453</v>
      </c>
      <c r="BE456" s="13">
        <v>91</v>
      </c>
      <c r="BF456" s="17">
        <v>90.839974799999993</v>
      </c>
      <c r="BQ456" s="13">
        <f t="shared" si="31"/>
        <v>-0.17585186813187104</v>
      </c>
    </row>
    <row r="457" spans="1:69">
      <c r="A457" s="13">
        <v>454</v>
      </c>
      <c r="B457" s="13">
        <v>19</v>
      </c>
      <c r="C457" s="17">
        <v>14.586296079318901</v>
      </c>
      <c r="M457" s="13">
        <f t="shared" si="28"/>
        <v>-23.230020635163683</v>
      </c>
      <c r="O457" s="13">
        <v>454</v>
      </c>
      <c r="P457" s="13">
        <v>19</v>
      </c>
      <c r="Q457" s="17">
        <v>13.3699414807895</v>
      </c>
      <c r="AA457" s="13">
        <f t="shared" si="29"/>
        <v>-29.631886943213161</v>
      </c>
      <c r="AC457" s="23"/>
      <c r="AD457" s="23"/>
      <c r="AE457" s="23"/>
      <c r="AF457" s="23"/>
      <c r="AG457" s="23"/>
      <c r="AI457" s="13">
        <v>454</v>
      </c>
      <c r="AJ457" s="13">
        <v>19</v>
      </c>
      <c r="AK457" s="17">
        <v>16.228410364633199</v>
      </c>
      <c r="AV457" s="13">
        <f t="shared" si="30"/>
        <v>-14.587313870351581</v>
      </c>
      <c r="BD457" s="13">
        <v>454</v>
      </c>
      <c r="BE457" s="13">
        <v>19</v>
      </c>
      <c r="BF457" s="17">
        <v>15.6837432610949</v>
      </c>
      <c r="BQ457" s="13">
        <f t="shared" si="31"/>
        <v>-17.453982836342629</v>
      </c>
    </row>
    <row r="458" spans="1:69">
      <c r="A458" s="13">
        <v>455</v>
      </c>
      <c r="B458" s="13">
        <v>159</v>
      </c>
      <c r="C458" s="17">
        <v>128.82291069999999</v>
      </c>
      <c r="M458" s="13">
        <f t="shared" si="28"/>
        <v>-18.979301446540887</v>
      </c>
      <c r="O458" s="13">
        <v>455</v>
      </c>
      <c r="P458" s="13">
        <v>159</v>
      </c>
      <c r="Q458" s="17">
        <v>127.7386813</v>
      </c>
      <c r="AA458" s="13">
        <f t="shared" si="29"/>
        <v>-19.661206729559755</v>
      </c>
      <c r="AC458" s="23"/>
      <c r="AD458" s="23"/>
      <c r="AE458" s="23"/>
      <c r="AF458" s="23"/>
      <c r="AG458" s="23"/>
      <c r="AI458" s="13">
        <v>455</v>
      </c>
      <c r="AJ458" s="13">
        <v>159</v>
      </c>
      <c r="AK458" s="17">
        <v>153.07258210000001</v>
      </c>
      <c r="AV458" s="13">
        <f t="shared" si="30"/>
        <v>-3.7279357861635165</v>
      </c>
      <c r="BD458" s="13">
        <v>455</v>
      </c>
      <c r="BE458" s="13">
        <v>159</v>
      </c>
      <c r="BF458" s="17">
        <v>146.356469</v>
      </c>
      <c r="BQ458" s="13">
        <f t="shared" si="31"/>
        <v>-7.9519062893081749</v>
      </c>
    </row>
    <row r="459" spans="1:69">
      <c r="A459" s="13">
        <v>456</v>
      </c>
      <c r="B459" s="13">
        <v>155</v>
      </c>
      <c r="C459" s="17">
        <v>154.49566630000001</v>
      </c>
      <c r="M459" s="13">
        <f t="shared" si="28"/>
        <v>-0.32537658064515362</v>
      </c>
      <c r="O459" s="13">
        <v>456</v>
      </c>
      <c r="P459" s="13">
        <v>155</v>
      </c>
      <c r="Q459" s="17">
        <v>148.28042099999999</v>
      </c>
      <c r="AA459" s="13">
        <f t="shared" si="29"/>
        <v>-4.3352122580645247</v>
      </c>
      <c r="AC459" s="23"/>
      <c r="AD459" s="23"/>
      <c r="AE459" s="23"/>
      <c r="AF459" s="23"/>
      <c r="AG459" s="23"/>
      <c r="AI459" s="13">
        <v>456</v>
      </c>
      <c r="AJ459" s="13">
        <v>155</v>
      </c>
      <c r="AK459" s="17">
        <v>155.02513329999999</v>
      </c>
      <c r="AV459" s="13">
        <f t="shared" si="30"/>
        <v>1.6215032258060091E-2</v>
      </c>
      <c r="BD459" s="13">
        <v>456</v>
      </c>
      <c r="BE459" s="13">
        <v>155</v>
      </c>
      <c r="BF459" s="17">
        <v>154.0542494</v>
      </c>
      <c r="BQ459" s="13">
        <f t="shared" si="31"/>
        <v>-0.6101616774193519</v>
      </c>
    </row>
    <row r="460" spans="1:69">
      <c r="A460" s="13">
        <v>457</v>
      </c>
      <c r="B460" s="13">
        <v>205</v>
      </c>
      <c r="C460" s="17">
        <v>204.78412589999999</v>
      </c>
      <c r="M460" s="13">
        <f t="shared" si="28"/>
        <v>-0.10530443902438957</v>
      </c>
      <c r="O460" s="13">
        <v>457</v>
      </c>
      <c r="P460" s="13">
        <v>205</v>
      </c>
      <c r="Q460" s="17">
        <v>196.6418315</v>
      </c>
      <c r="AA460" s="13">
        <f t="shared" si="29"/>
        <v>-4.0771553658536579</v>
      </c>
      <c r="AC460" s="23"/>
      <c r="AD460" s="23"/>
      <c r="AE460" s="23"/>
      <c r="AF460" s="23"/>
      <c r="AG460" s="23"/>
      <c r="AI460" s="13">
        <v>457</v>
      </c>
      <c r="AJ460" s="13">
        <v>205</v>
      </c>
      <c r="AK460" s="17">
        <v>204.95882520000001</v>
      </c>
      <c r="AV460" s="13">
        <f t="shared" si="30"/>
        <v>-2.0085268292679981E-2</v>
      </c>
      <c r="BD460" s="13">
        <v>457</v>
      </c>
      <c r="BE460" s="13">
        <v>205</v>
      </c>
      <c r="BF460" s="17">
        <v>205.19686089999999</v>
      </c>
      <c r="BQ460" s="13">
        <f t="shared" si="31"/>
        <v>9.6029707317057955E-2</v>
      </c>
    </row>
    <row r="461" spans="1:69">
      <c r="A461" s="13">
        <v>458</v>
      </c>
      <c r="B461" s="13">
        <v>63</v>
      </c>
      <c r="C461" s="17">
        <v>62.974009379999998</v>
      </c>
      <c r="M461" s="13">
        <f t="shared" si="28"/>
        <v>-4.1254952380953558E-2</v>
      </c>
      <c r="O461" s="13">
        <v>458</v>
      </c>
      <c r="P461" s="13">
        <v>63</v>
      </c>
      <c r="Q461" s="17">
        <v>63.244523319999999</v>
      </c>
      <c r="AA461" s="13">
        <f t="shared" si="29"/>
        <v>0.38813225396825413</v>
      </c>
      <c r="AC461" s="23"/>
      <c r="AD461" s="23"/>
      <c r="AE461" s="23"/>
      <c r="AF461" s="23"/>
      <c r="AG461" s="23"/>
      <c r="AI461" s="13">
        <v>458</v>
      </c>
      <c r="AJ461" s="13">
        <v>63</v>
      </c>
      <c r="AK461" s="17">
        <v>62.698801879999998</v>
      </c>
      <c r="AV461" s="13">
        <f t="shared" si="30"/>
        <v>-0.47809225396825417</v>
      </c>
      <c r="BD461" s="13">
        <v>458</v>
      </c>
      <c r="BE461" s="13">
        <v>63</v>
      </c>
      <c r="BF461" s="17">
        <v>61.888524140000001</v>
      </c>
      <c r="BQ461" s="13">
        <f t="shared" si="31"/>
        <v>-1.7642473968253913</v>
      </c>
    </row>
    <row r="462" spans="1:69">
      <c r="A462" s="13">
        <v>459</v>
      </c>
      <c r="B462" s="13">
        <v>179</v>
      </c>
      <c r="C462" s="17">
        <v>177.81598399999999</v>
      </c>
      <c r="M462" s="13">
        <f t="shared" si="28"/>
        <v>-0.66146145251397837</v>
      </c>
      <c r="O462" s="13">
        <v>459</v>
      </c>
      <c r="P462" s="13">
        <v>179</v>
      </c>
      <c r="Q462" s="17">
        <v>173.26605699999999</v>
      </c>
      <c r="AA462" s="13">
        <f t="shared" si="29"/>
        <v>-3.2033201117318444</v>
      </c>
      <c r="AC462" s="23"/>
      <c r="AD462" s="23"/>
      <c r="AE462" s="23"/>
      <c r="AF462" s="23"/>
      <c r="AG462" s="23"/>
      <c r="AI462" s="13">
        <v>459</v>
      </c>
      <c r="AJ462" s="13">
        <v>179</v>
      </c>
      <c r="AK462" s="17">
        <v>178.89519680000001</v>
      </c>
      <c r="AV462" s="13">
        <f t="shared" si="30"/>
        <v>-5.8549273743013774E-2</v>
      </c>
      <c r="BD462" s="13">
        <v>459</v>
      </c>
      <c r="BE462" s="13">
        <v>179</v>
      </c>
      <c r="BF462" s="17">
        <v>178.35485660000001</v>
      </c>
      <c r="BQ462" s="13">
        <f t="shared" si="31"/>
        <v>-0.36041530726256266</v>
      </c>
    </row>
    <row r="463" spans="1:69">
      <c r="A463" s="13">
        <v>460</v>
      </c>
      <c r="B463" s="13">
        <v>187</v>
      </c>
      <c r="C463" s="17">
        <v>155.7115541</v>
      </c>
      <c r="M463" s="13">
        <f t="shared" si="28"/>
        <v>-16.731789251336892</v>
      </c>
      <c r="O463" s="13">
        <v>460</v>
      </c>
      <c r="P463" s="13">
        <v>187</v>
      </c>
      <c r="Q463" s="17">
        <v>150.11195319999999</v>
      </c>
      <c r="AA463" s="13">
        <f t="shared" si="29"/>
        <v>-19.726228235294119</v>
      </c>
      <c r="AC463" s="23"/>
      <c r="AD463" s="23"/>
      <c r="AE463" s="23"/>
      <c r="AF463" s="23"/>
      <c r="AG463" s="23"/>
      <c r="AI463" s="13">
        <v>460</v>
      </c>
      <c r="AJ463" s="13">
        <v>187</v>
      </c>
      <c r="AK463" s="17">
        <v>180.9783108</v>
      </c>
      <c r="AV463" s="13">
        <f t="shared" si="30"/>
        <v>-3.2201546524064151</v>
      </c>
      <c r="BD463" s="13">
        <v>460</v>
      </c>
      <c r="BE463" s="13">
        <v>187</v>
      </c>
      <c r="BF463" s="17">
        <v>174.10174190000001</v>
      </c>
      <c r="BQ463" s="13">
        <f t="shared" si="31"/>
        <v>-6.8974642245989255</v>
      </c>
    </row>
    <row r="464" spans="1:69">
      <c r="A464" s="13">
        <v>461</v>
      </c>
      <c r="B464" s="13">
        <v>50</v>
      </c>
      <c r="C464" s="17">
        <v>59.053761919999999</v>
      </c>
      <c r="M464" s="13">
        <f t="shared" si="28"/>
        <v>18.107523840000006</v>
      </c>
      <c r="O464" s="13">
        <v>461</v>
      </c>
      <c r="P464" s="13">
        <v>50</v>
      </c>
      <c r="Q464" s="17">
        <v>54.749406290000003</v>
      </c>
      <c r="AA464" s="13">
        <f t="shared" si="29"/>
        <v>9.4988125800000045</v>
      </c>
      <c r="AC464" s="23"/>
      <c r="AD464" s="23"/>
      <c r="AE464" s="23"/>
      <c r="AF464" s="23"/>
      <c r="AG464" s="23"/>
      <c r="AI464" s="13">
        <v>461</v>
      </c>
      <c r="AJ464" s="13">
        <v>50</v>
      </c>
      <c r="AK464" s="17">
        <v>51.632752379999999</v>
      </c>
      <c r="AV464" s="13">
        <f t="shared" si="30"/>
        <v>3.2655047600000042</v>
      </c>
      <c r="BD464" s="13">
        <v>461</v>
      </c>
      <c r="BE464" s="13">
        <v>50</v>
      </c>
      <c r="BF464" s="17">
        <v>53.716621019999998</v>
      </c>
      <c r="BQ464" s="13">
        <f t="shared" si="31"/>
        <v>7.4332420399999988</v>
      </c>
    </row>
    <row r="465" spans="1:69">
      <c r="A465" s="13">
        <v>462</v>
      </c>
      <c r="B465" s="13">
        <v>32</v>
      </c>
      <c r="C465" s="17">
        <v>33.791853449999998</v>
      </c>
      <c r="M465" s="13">
        <f t="shared" si="28"/>
        <v>5.5995420312499933</v>
      </c>
      <c r="O465" s="13">
        <v>462</v>
      </c>
      <c r="P465" s="13">
        <v>32</v>
      </c>
      <c r="Q465" s="17">
        <v>33.683435559999999</v>
      </c>
      <c r="AA465" s="13">
        <f t="shared" si="29"/>
        <v>5.2607361249999984</v>
      </c>
      <c r="AC465" s="23"/>
      <c r="AD465" s="23"/>
      <c r="AE465" s="23"/>
      <c r="AF465" s="23"/>
      <c r="AG465" s="23"/>
      <c r="AI465" s="13">
        <v>462</v>
      </c>
      <c r="AJ465" s="13">
        <v>32</v>
      </c>
      <c r="AK465" s="17">
        <v>32.304370689999999</v>
      </c>
      <c r="AV465" s="13">
        <f t="shared" si="30"/>
        <v>0.9511584062499967</v>
      </c>
      <c r="BD465" s="13">
        <v>462</v>
      </c>
      <c r="BE465" s="13">
        <v>32</v>
      </c>
      <c r="BF465" s="17">
        <v>31.9043761</v>
      </c>
      <c r="BQ465" s="13">
        <f t="shared" si="31"/>
        <v>-0.29882468749999891</v>
      </c>
    </row>
    <row r="466" spans="1:69">
      <c r="A466" s="13">
        <v>463</v>
      </c>
      <c r="B466" s="13">
        <v>3</v>
      </c>
      <c r="C466" s="17">
        <v>3</v>
      </c>
      <c r="M466" s="13">
        <f t="shared" si="28"/>
        <v>0</v>
      </c>
      <c r="O466" s="13">
        <v>463</v>
      </c>
      <c r="P466" s="13">
        <v>3</v>
      </c>
      <c r="Q466" s="17">
        <v>2.8501338123220599</v>
      </c>
      <c r="AA466" s="13">
        <f t="shared" si="29"/>
        <v>-4.9955395892646752</v>
      </c>
      <c r="AC466" s="23"/>
      <c r="AD466" s="23"/>
      <c r="AE466" s="23"/>
      <c r="AF466" s="23"/>
      <c r="AG466" s="23"/>
      <c r="AI466" s="13">
        <v>463</v>
      </c>
      <c r="AJ466" s="13">
        <v>3</v>
      </c>
      <c r="AK466" s="17">
        <v>2.9978799999999999</v>
      </c>
      <c r="AV466" s="13">
        <f t="shared" si="30"/>
        <v>-7.0666666666674427E-2</v>
      </c>
      <c r="BD466" s="13">
        <v>463</v>
      </c>
      <c r="BE466" s="13">
        <v>3</v>
      </c>
      <c r="BF466" s="17">
        <v>2.52321266</v>
      </c>
      <c r="BQ466" s="13">
        <f t="shared" si="31"/>
        <v>-15.892911333333338</v>
      </c>
    </row>
    <row r="467" spans="1:69">
      <c r="A467" s="13">
        <v>464</v>
      </c>
      <c r="B467" s="13">
        <v>167</v>
      </c>
      <c r="C467" s="17">
        <v>165.58794349999999</v>
      </c>
      <c r="M467" s="13">
        <f t="shared" si="28"/>
        <v>-0.84554281437125844</v>
      </c>
      <c r="O467" s="13">
        <v>464</v>
      </c>
      <c r="P467" s="13">
        <v>167</v>
      </c>
      <c r="Q467" s="17">
        <v>160.85999910000001</v>
      </c>
      <c r="AA467" s="13">
        <f t="shared" si="29"/>
        <v>-3.6766472455089794</v>
      </c>
      <c r="AC467" s="23"/>
      <c r="AD467" s="23"/>
      <c r="AE467" s="23"/>
      <c r="AF467" s="23"/>
      <c r="AG467" s="23"/>
      <c r="AI467" s="13">
        <v>464</v>
      </c>
      <c r="AJ467" s="13">
        <v>167</v>
      </c>
      <c r="AK467" s="17">
        <v>166.54358869999999</v>
      </c>
      <c r="AV467" s="13">
        <f t="shared" si="30"/>
        <v>-0.27330017964072306</v>
      </c>
      <c r="BD467" s="13">
        <v>464</v>
      </c>
      <c r="BE467" s="13">
        <v>167</v>
      </c>
      <c r="BF467" s="17">
        <v>165.96517209999999</v>
      </c>
      <c r="BQ467" s="13">
        <f t="shared" si="31"/>
        <v>-0.61965742514971112</v>
      </c>
    </row>
    <row r="468" spans="1:69">
      <c r="A468" s="13">
        <v>465</v>
      </c>
      <c r="B468" s="13">
        <v>92</v>
      </c>
      <c r="C468" s="17">
        <v>103.3510327</v>
      </c>
      <c r="M468" s="13">
        <f t="shared" si="28"/>
        <v>12.338079021739134</v>
      </c>
      <c r="O468" s="13">
        <v>465</v>
      </c>
      <c r="P468" s="13">
        <v>92</v>
      </c>
      <c r="Q468" s="17">
        <v>100.591274</v>
      </c>
      <c r="AA468" s="13">
        <f t="shared" si="29"/>
        <v>9.3383413043478303</v>
      </c>
      <c r="AC468" s="23"/>
      <c r="AD468" s="23"/>
      <c r="AE468" s="23"/>
      <c r="AF468" s="23"/>
      <c r="AG468" s="23"/>
      <c r="AI468" s="13">
        <v>465</v>
      </c>
      <c r="AJ468" s="13">
        <v>92</v>
      </c>
      <c r="AK468" s="17">
        <v>94.13420653</v>
      </c>
      <c r="AV468" s="13">
        <f t="shared" si="30"/>
        <v>2.3197897065217354</v>
      </c>
      <c r="BD468" s="13">
        <v>465</v>
      </c>
      <c r="BE468" s="13">
        <v>92</v>
      </c>
      <c r="BF468" s="17">
        <v>95.837156669999999</v>
      </c>
      <c r="BQ468" s="13">
        <f t="shared" si="31"/>
        <v>4.1708224673913108</v>
      </c>
    </row>
    <row r="469" spans="1:69">
      <c r="A469" s="13">
        <v>466</v>
      </c>
      <c r="B469" s="13">
        <v>134</v>
      </c>
      <c r="C469" s="17">
        <v>144.42759720000001</v>
      </c>
      <c r="M469" s="13">
        <f t="shared" si="28"/>
        <v>7.7817889552238784</v>
      </c>
      <c r="O469" s="13">
        <v>466</v>
      </c>
      <c r="P469" s="13">
        <v>134</v>
      </c>
      <c r="Q469" s="17">
        <v>140.28026650000001</v>
      </c>
      <c r="AA469" s="13">
        <f t="shared" si="29"/>
        <v>4.6867660447761361</v>
      </c>
      <c r="AC469" s="23"/>
      <c r="AD469" s="23"/>
      <c r="AE469" s="23"/>
      <c r="AF469" s="23"/>
      <c r="AG469" s="23"/>
      <c r="AI469" s="13">
        <v>466</v>
      </c>
      <c r="AJ469" s="13">
        <v>134</v>
      </c>
      <c r="AK469" s="17">
        <v>136.0055194</v>
      </c>
      <c r="AV469" s="13">
        <f t="shared" si="30"/>
        <v>1.4966562686567153</v>
      </c>
      <c r="BD469" s="13">
        <v>466</v>
      </c>
      <c r="BE469" s="13">
        <v>134</v>
      </c>
      <c r="BF469" s="17">
        <v>137.58967380000001</v>
      </c>
      <c r="BQ469" s="13">
        <f t="shared" si="31"/>
        <v>2.6788610447761263</v>
      </c>
    </row>
    <row r="470" spans="1:69">
      <c r="A470" s="13">
        <v>467</v>
      </c>
      <c r="B470" s="13">
        <v>178</v>
      </c>
      <c r="C470" s="17">
        <v>188.24320209999999</v>
      </c>
      <c r="M470" s="13">
        <f t="shared" si="28"/>
        <v>5.7546079213483203</v>
      </c>
      <c r="O470" s="13">
        <v>467</v>
      </c>
      <c r="P470" s="13">
        <v>178</v>
      </c>
      <c r="Q470" s="17">
        <v>182.72572500000001</v>
      </c>
      <c r="AA470" s="13">
        <f t="shared" si="29"/>
        <v>2.6549016853932628</v>
      </c>
      <c r="AC470" s="23"/>
      <c r="AD470" s="23"/>
      <c r="AE470" s="23"/>
      <c r="AF470" s="23"/>
      <c r="AG470" s="23"/>
      <c r="AI470" s="13">
        <v>467</v>
      </c>
      <c r="AJ470" s="13">
        <v>178</v>
      </c>
      <c r="AK470" s="17">
        <v>180.03264039999999</v>
      </c>
      <c r="AV470" s="13">
        <f t="shared" si="30"/>
        <v>1.1419328089887548</v>
      </c>
      <c r="BD470" s="13">
        <v>467</v>
      </c>
      <c r="BE470" s="13">
        <v>178</v>
      </c>
      <c r="BF470" s="17">
        <v>181.7245404</v>
      </c>
      <c r="BQ470" s="13">
        <f t="shared" si="31"/>
        <v>2.0924384269662921</v>
      </c>
    </row>
    <row r="471" spans="1:69">
      <c r="A471" s="13">
        <v>468</v>
      </c>
      <c r="B471" s="13">
        <v>218</v>
      </c>
      <c r="C471" s="17">
        <v>187.67522589999999</v>
      </c>
      <c r="M471" s="13">
        <f t="shared" si="28"/>
        <v>-13.910446834862389</v>
      </c>
      <c r="O471" s="13">
        <v>468</v>
      </c>
      <c r="P471" s="13">
        <v>218</v>
      </c>
      <c r="Q471" s="17">
        <v>179.3199041</v>
      </c>
      <c r="AA471" s="13">
        <f t="shared" si="29"/>
        <v>-17.743163256880734</v>
      </c>
      <c r="AC471" s="23"/>
      <c r="AD471" s="23"/>
      <c r="AE471" s="23"/>
      <c r="AF471" s="23"/>
      <c r="AG471" s="23"/>
      <c r="AI471" s="13">
        <v>468</v>
      </c>
      <c r="AJ471" s="13">
        <v>218</v>
      </c>
      <c r="AK471" s="17">
        <v>211.8830452</v>
      </c>
      <c r="AV471" s="13">
        <f t="shared" si="30"/>
        <v>-2.8059425688073403</v>
      </c>
      <c r="BD471" s="13">
        <v>468</v>
      </c>
      <c r="BE471" s="13">
        <v>218</v>
      </c>
      <c r="BF471" s="17">
        <v>205.7116843</v>
      </c>
      <c r="BQ471" s="13">
        <f t="shared" si="31"/>
        <v>-5.6368420642201826</v>
      </c>
    </row>
    <row r="472" spans="1:69">
      <c r="A472" s="13">
        <v>469</v>
      </c>
      <c r="B472" s="13">
        <v>224</v>
      </c>
      <c r="C472" s="17">
        <v>193.5628088</v>
      </c>
      <c r="M472" s="13">
        <f t="shared" si="28"/>
        <v>-13.588031785714282</v>
      </c>
      <c r="O472" s="13">
        <v>469</v>
      </c>
      <c r="P472" s="13">
        <v>224</v>
      </c>
      <c r="Q472" s="17">
        <v>191.03486290000001</v>
      </c>
      <c r="AA472" s="13">
        <f t="shared" si="29"/>
        <v>-14.716579062500001</v>
      </c>
      <c r="AC472" s="23"/>
      <c r="AD472" s="23"/>
      <c r="AE472" s="23"/>
      <c r="AF472" s="23"/>
      <c r="AG472" s="23"/>
      <c r="AI472" s="13">
        <v>469</v>
      </c>
      <c r="AJ472" s="13">
        <v>224</v>
      </c>
      <c r="AK472" s="17">
        <v>217.72856179999999</v>
      </c>
      <c r="AV472" s="13">
        <f t="shared" si="30"/>
        <v>-2.7997491964285692</v>
      </c>
      <c r="BD472" s="13">
        <v>469</v>
      </c>
      <c r="BE472" s="13">
        <v>224</v>
      </c>
      <c r="BF472" s="17">
        <v>212.0210318</v>
      </c>
      <c r="BQ472" s="13">
        <f t="shared" si="31"/>
        <v>-5.3477536607142824</v>
      </c>
    </row>
    <row r="473" spans="1:69">
      <c r="A473" s="13">
        <v>470</v>
      </c>
      <c r="B473" s="13">
        <v>2</v>
      </c>
      <c r="C473" s="17">
        <v>2.4798657356641698</v>
      </c>
      <c r="M473" s="13">
        <f t="shared" si="28"/>
        <v>23.99328678320849</v>
      </c>
      <c r="O473" s="13">
        <v>470</v>
      </c>
      <c r="P473" s="13">
        <v>2</v>
      </c>
      <c r="Q473" s="17">
        <v>2.76091465076159</v>
      </c>
      <c r="AA473" s="13">
        <f t="shared" si="29"/>
        <v>38.045732538079506</v>
      </c>
      <c r="AC473" s="23"/>
      <c r="AD473" s="23"/>
      <c r="AE473" s="23"/>
      <c r="AF473" s="23"/>
      <c r="AG473" s="23"/>
      <c r="AI473" s="13">
        <v>470</v>
      </c>
      <c r="AJ473" s="13">
        <v>2</v>
      </c>
      <c r="AK473" s="17">
        <v>2.1411062075477099</v>
      </c>
      <c r="AV473" s="13">
        <f t="shared" si="30"/>
        <v>7.055310377385493</v>
      </c>
      <c r="BD473" s="13">
        <v>470</v>
      </c>
      <c r="BE473" s="13">
        <v>2</v>
      </c>
      <c r="BF473" s="17">
        <v>1.92318050600086</v>
      </c>
      <c r="BQ473" s="13">
        <f t="shared" si="31"/>
        <v>-3.8409746999570005</v>
      </c>
    </row>
    <row r="474" spans="1:69">
      <c r="A474" s="13">
        <v>471</v>
      </c>
      <c r="B474" s="13">
        <v>160</v>
      </c>
      <c r="C474" s="17">
        <v>168.9426771</v>
      </c>
      <c r="M474" s="13">
        <f t="shared" si="28"/>
        <v>5.5891731875000072</v>
      </c>
      <c r="O474" s="13">
        <v>471</v>
      </c>
      <c r="P474" s="13">
        <v>160</v>
      </c>
      <c r="Q474" s="17">
        <v>162.58692840000001</v>
      </c>
      <c r="AA474" s="13">
        <f t="shared" si="29"/>
        <v>1.616830250000012</v>
      </c>
      <c r="AC474" s="23"/>
      <c r="AD474" s="23"/>
      <c r="AE474" s="23"/>
      <c r="AF474" s="23"/>
      <c r="AG474" s="23"/>
      <c r="AI474" s="13">
        <v>471</v>
      </c>
      <c r="AJ474" s="13">
        <v>160</v>
      </c>
      <c r="AK474" s="17">
        <v>162.04253539999999</v>
      </c>
      <c r="AV474" s="13">
        <f t="shared" si="30"/>
        <v>1.276584624999999</v>
      </c>
      <c r="BD474" s="13">
        <v>471</v>
      </c>
      <c r="BE474" s="13">
        <v>160</v>
      </c>
      <c r="BF474" s="17">
        <v>163.24349319999999</v>
      </c>
      <c r="BQ474" s="13">
        <f t="shared" si="31"/>
        <v>2.0271832499999975</v>
      </c>
    </row>
    <row r="475" spans="1:69">
      <c r="A475" s="13">
        <v>472</v>
      </c>
      <c r="B475" s="13">
        <v>18</v>
      </c>
      <c r="C475" s="17">
        <v>19.737380519999999</v>
      </c>
      <c r="M475" s="13">
        <f t="shared" si="28"/>
        <v>9.6521139999999903</v>
      </c>
      <c r="O475" s="13">
        <v>472</v>
      </c>
      <c r="P475" s="13">
        <v>18</v>
      </c>
      <c r="Q475" s="17">
        <v>21.591733720000001</v>
      </c>
      <c r="AA475" s="13">
        <f t="shared" si="29"/>
        <v>19.954076222222227</v>
      </c>
      <c r="AC475" s="23"/>
      <c r="AD475" s="23"/>
      <c r="AE475" s="23"/>
      <c r="AF475" s="23"/>
      <c r="AG475" s="23"/>
      <c r="AI475" s="13">
        <v>472</v>
      </c>
      <c r="AJ475" s="13">
        <v>18</v>
      </c>
      <c r="AK475" s="17">
        <v>18.344456099999999</v>
      </c>
      <c r="AV475" s="13">
        <f t="shared" si="30"/>
        <v>1.9136449999999972</v>
      </c>
      <c r="BD475" s="13">
        <v>472</v>
      </c>
      <c r="BE475" s="13">
        <v>18</v>
      </c>
      <c r="BF475" s="17">
        <v>18.103001070000001</v>
      </c>
      <c r="BQ475" s="13">
        <f t="shared" si="31"/>
        <v>0.5722281666666662</v>
      </c>
    </row>
    <row r="476" spans="1:69">
      <c r="A476" s="13">
        <v>473</v>
      </c>
      <c r="B476" s="13">
        <v>58</v>
      </c>
      <c r="C476" s="17">
        <v>58.935674300000002</v>
      </c>
      <c r="M476" s="13">
        <f t="shared" si="28"/>
        <v>1.613231551724148</v>
      </c>
      <c r="O476" s="13">
        <v>473</v>
      </c>
      <c r="P476" s="13">
        <v>58</v>
      </c>
      <c r="Q476" s="17">
        <v>57.646954289999996</v>
      </c>
      <c r="AA476" s="13">
        <f t="shared" si="29"/>
        <v>-0.6086995000000095</v>
      </c>
      <c r="AC476" s="23"/>
      <c r="AD476" s="23"/>
      <c r="AE476" s="23"/>
      <c r="AF476" s="23"/>
      <c r="AG476" s="23"/>
      <c r="AI476" s="13">
        <v>473</v>
      </c>
      <c r="AJ476" s="13">
        <v>58</v>
      </c>
      <c r="AK476" s="17">
        <v>58.285134859999999</v>
      </c>
      <c r="AV476" s="13">
        <f t="shared" si="30"/>
        <v>0.49161182758621358</v>
      </c>
      <c r="BD476" s="13">
        <v>473</v>
      </c>
      <c r="BE476" s="13">
        <v>58</v>
      </c>
      <c r="BF476" s="17">
        <v>58.272369820000002</v>
      </c>
      <c r="BQ476" s="13">
        <f t="shared" si="31"/>
        <v>0.46960313793102948</v>
      </c>
    </row>
    <row r="477" spans="1:69">
      <c r="A477" s="13">
        <v>474</v>
      </c>
      <c r="B477" s="13">
        <v>124</v>
      </c>
      <c r="C477" s="17">
        <v>94.647936920000006</v>
      </c>
      <c r="M477" s="13">
        <f t="shared" si="28"/>
        <v>-23.671018612903218</v>
      </c>
      <c r="O477" s="13">
        <v>474</v>
      </c>
      <c r="P477" s="13">
        <v>124</v>
      </c>
      <c r="Q477" s="17">
        <v>96.220841309999997</v>
      </c>
      <c r="AA477" s="13">
        <f t="shared" si="29"/>
        <v>-22.402547330645163</v>
      </c>
      <c r="AC477" s="23"/>
      <c r="AD477" s="23"/>
      <c r="AE477" s="23"/>
      <c r="AF477" s="23"/>
      <c r="AG477" s="23"/>
      <c r="AI477" s="13">
        <v>474</v>
      </c>
      <c r="AJ477" s="13">
        <v>124</v>
      </c>
      <c r="AK477" s="17">
        <v>118.2655874</v>
      </c>
      <c r="AV477" s="13">
        <f t="shared" si="30"/>
        <v>-4.6245262903225832</v>
      </c>
      <c r="BD477" s="13">
        <v>474</v>
      </c>
      <c r="BE477" s="13">
        <v>124</v>
      </c>
      <c r="BF477" s="17">
        <v>111.7963206</v>
      </c>
      <c r="BQ477" s="13">
        <f t="shared" si="31"/>
        <v>-9.8416769354838678</v>
      </c>
    </row>
    <row r="478" spans="1:69">
      <c r="A478" s="13">
        <v>475</v>
      </c>
      <c r="B478" s="13">
        <v>28</v>
      </c>
      <c r="C478" s="17">
        <v>40.096648129999998</v>
      </c>
      <c r="M478" s="13">
        <f t="shared" si="28"/>
        <v>43.202314750000006</v>
      </c>
      <c r="O478" s="13">
        <v>475</v>
      </c>
      <c r="P478" s="13">
        <v>28</v>
      </c>
      <c r="Q478" s="17">
        <v>37.395495510000003</v>
      </c>
      <c r="AA478" s="13">
        <f t="shared" si="29"/>
        <v>33.555341107142866</v>
      </c>
      <c r="AC478" s="23"/>
      <c r="AD478" s="23"/>
      <c r="AE478" s="23"/>
      <c r="AF478" s="23"/>
      <c r="AG478" s="23"/>
      <c r="AI478" s="13">
        <v>475</v>
      </c>
      <c r="AJ478" s="13">
        <v>28</v>
      </c>
      <c r="AK478" s="17">
        <v>30.41960963</v>
      </c>
      <c r="AV478" s="13">
        <f t="shared" si="30"/>
        <v>8.6414629642857186</v>
      </c>
      <c r="BD478" s="13">
        <v>475</v>
      </c>
      <c r="BE478" s="13">
        <v>28</v>
      </c>
      <c r="BF478" s="17">
        <v>32.296646879999997</v>
      </c>
      <c r="BQ478" s="13">
        <f t="shared" si="31"/>
        <v>15.345167428571415</v>
      </c>
    </row>
    <row r="479" spans="1:69">
      <c r="A479" s="13">
        <v>476</v>
      </c>
      <c r="B479" s="13">
        <v>203</v>
      </c>
      <c r="C479" s="17">
        <v>173.9391214</v>
      </c>
      <c r="M479" s="13">
        <f t="shared" si="28"/>
        <v>-14.315703743842366</v>
      </c>
      <c r="O479" s="13">
        <v>476</v>
      </c>
      <c r="P479" s="13">
        <v>203</v>
      </c>
      <c r="Q479" s="17">
        <v>166.58898310000001</v>
      </c>
      <c r="AA479" s="13">
        <f t="shared" si="29"/>
        <v>-17.936461527093595</v>
      </c>
      <c r="AC479" s="23"/>
      <c r="AD479" s="23"/>
      <c r="AE479" s="23"/>
      <c r="AF479" s="23"/>
      <c r="AG479" s="23"/>
      <c r="AI479" s="13">
        <v>476</v>
      </c>
      <c r="AJ479" s="13">
        <v>203</v>
      </c>
      <c r="AK479" s="17">
        <v>197.3678243</v>
      </c>
      <c r="AV479" s="13">
        <f t="shared" si="30"/>
        <v>-2.7744707881773412</v>
      </c>
      <c r="BD479" s="13">
        <v>476</v>
      </c>
      <c r="BE479" s="13">
        <v>203</v>
      </c>
      <c r="BF479" s="17">
        <v>191.67480180000001</v>
      </c>
      <c r="BQ479" s="13">
        <f t="shared" si="31"/>
        <v>-5.5789153694581266</v>
      </c>
    </row>
    <row r="480" spans="1:69">
      <c r="A480" s="13">
        <v>477</v>
      </c>
      <c r="B480" s="13">
        <v>114</v>
      </c>
      <c r="C480" s="17">
        <v>114.7436854</v>
      </c>
      <c r="M480" s="13">
        <f t="shared" si="28"/>
        <v>0.6523556140350939</v>
      </c>
      <c r="O480" s="13">
        <v>477</v>
      </c>
      <c r="P480" s="13">
        <v>114</v>
      </c>
      <c r="Q480" s="17">
        <v>111.3078713</v>
      </c>
      <c r="AA480" s="13">
        <f t="shared" si="29"/>
        <v>-2.3615164035087677</v>
      </c>
      <c r="AC480" s="23"/>
      <c r="AD480" s="23"/>
      <c r="AE480" s="23"/>
      <c r="AF480" s="23"/>
      <c r="AG480" s="23"/>
      <c r="AI480" s="13">
        <v>477</v>
      </c>
      <c r="AJ480" s="13">
        <v>114</v>
      </c>
      <c r="AK480" s="17">
        <v>114.37273709999999</v>
      </c>
      <c r="AV480" s="13">
        <f t="shared" si="30"/>
        <v>0.32696236842104653</v>
      </c>
      <c r="BD480" s="13">
        <v>477</v>
      </c>
      <c r="BE480" s="13">
        <v>114</v>
      </c>
      <c r="BF480" s="17">
        <v>113.7090603</v>
      </c>
      <c r="BQ480" s="13">
        <f t="shared" si="31"/>
        <v>-0.25521026315789008</v>
      </c>
    </row>
    <row r="481" spans="1:69">
      <c r="A481" s="13">
        <v>478</v>
      </c>
      <c r="B481" s="13">
        <v>114</v>
      </c>
      <c r="C481" s="17">
        <v>85.177874329999995</v>
      </c>
      <c r="M481" s="13">
        <f t="shared" si="28"/>
        <v>-25.282566377192982</v>
      </c>
      <c r="O481" s="13">
        <v>478</v>
      </c>
      <c r="P481" s="13">
        <v>114</v>
      </c>
      <c r="Q481" s="17">
        <v>83.903259210000002</v>
      </c>
      <c r="AA481" s="13">
        <f t="shared" si="29"/>
        <v>-26.400649815789468</v>
      </c>
      <c r="AC481" s="23"/>
      <c r="AD481" s="23"/>
      <c r="AE481" s="23"/>
      <c r="AF481" s="23"/>
      <c r="AG481" s="23"/>
      <c r="AI481" s="13">
        <v>478</v>
      </c>
      <c r="AJ481" s="13">
        <v>114</v>
      </c>
      <c r="AK481" s="17">
        <v>108.1655749</v>
      </c>
      <c r="AV481" s="13">
        <f t="shared" si="30"/>
        <v>-5.1179167543859645</v>
      </c>
      <c r="BD481" s="13">
        <v>478</v>
      </c>
      <c r="BE481" s="13">
        <v>114</v>
      </c>
      <c r="BF481" s="17">
        <v>102.0451319</v>
      </c>
      <c r="BQ481" s="13">
        <f t="shared" si="31"/>
        <v>-10.486726403508772</v>
      </c>
    </row>
    <row r="482" spans="1:69">
      <c r="A482" s="13">
        <v>479</v>
      </c>
      <c r="B482" s="13">
        <v>40</v>
      </c>
      <c r="C482" s="17">
        <v>50.259740200000003</v>
      </c>
      <c r="M482" s="13">
        <f t="shared" si="28"/>
        <v>25.649350500000011</v>
      </c>
      <c r="O482" s="13">
        <v>479</v>
      </c>
      <c r="P482" s="13">
        <v>40</v>
      </c>
      <c r="Q482" s="17">
        <v>46.551293110000003</v>
      </c>
      <c r="AA482" s="13">
        <f t="shared" si="29"/>
        <v>16.378232775000011</v>
      </c>
      <c r="AC482" s="23"/>
      <c r="AD482" s="23"/>
      <c r="AE482" s="23"/>
      <c r="AF482" s="23"/>
      <c r="AG482" s="23"/>
      <c r="AI482" s="13">
        <v>479</v>
      </c>
      <c r="AJ482" s="13">
        <v>40</v>
      </c>
      <c r="AK482" s="17">
        <v>42.271948039999998</v>
      </c>
      <c r="AV482" s="13">
        <f t="shared" si="30"/>
        <v>5.6798700999999951</v>
      </c>
      <c r="BD482" s="13">
        <v>479</v>
      </c>
      <c r="BE482" s="13">
        <v>40</v>
      </c>
      <c r="BF482" s="17">
        <v>43.551726070000001</v>
      </c>
      <c r="BQ482" s="13">
        <f t="shared" si="31"/>
        <v>8.8793151750000021</v>
      </c>
    </row>
    <row r="483" spans="1:69">
      <c r="A483" s="13">
        <v>480</v>
      </c>
      <c r="B483" s="13">
        <v>218</v>
      </c>
      <c r="C483" s="17">
        <v>216.27862769999999</v>
      </c>
      <c r="M483" s="13">
        <f t="shared" si="28"/>
        <v>-0.78962032110092562</v>
      </c>
      <c r="O483" s="13">
        <v>480</v>
      </c>
      <c r="P483" s="13">
        <v>218</v>
      </c>
      <c r="Q483" s="17">
        <v>213.56669529999999</v>
      </c>
      <c r="AA483" s="13">
        <f t="shared" si="29"/>
        <v>-2.0336260091743164</v>
      </c>
      <c r="AC483" s="23"/>
      <c r="AD483" s="23"/>
      <c r="AE483" s="23"/>
      <c r="AF483" s="23"/>
      <c r="AG483" s="23"/>
      <c r="AI483" s="13">
        <v>480</v>
      </c>
      <c r="AJ483" s="13">
        <v>218</v>
      </c>
      <c r="AK483" s="17">
        <v>217.81172549999999</v>
      </c>
      <c r="AV483" s="13">
        <f t="shared" si="30"/>
        <v>-8.6364449541287414E-2</v>
      </c>
      <c r="BD483" s="13">
        <v>480</v>
      </c>
      <c r="BE483" s="13">
        <v>218</v>
      </c>
      <c r="BF483" s="17">
        <v>217.40731679999999</v>
      </c>
      <c r="BQ483" s="13">
        <f t="shared" si="31"/>
        <v>-0.27187302752293974</v>
      </c>
    </row>
    <row r="484" spans="1:69">
      <c r="A484" s="13">
        <v>481</v>
      </c>
      <c r="B484" s="13">
        <v>45</v>
      </c>
      <c r="C484" s="17">
        <v>26.180680846425201</v>
      </c>
      <c r="M484" s="13">
        <f t="shared" si="28"/>
        <v>-41.820709230166223</v>
      </c>
      <c r="O484" s="13">
        <v>481</v>
      </c>
      <c r="P484" s="13">
        <v>45</v>
      </c>
      <c r="Q484" s="17">
        <v>42.282503985415801</v>
      </c>
      <c r="AA484" s="13">
        <f t="shared" si="29"/>
        <v>-6.0388800324093328</v>
      </c>
      <c r="AC484" s="23"/>
      <c r="AD484" s="23"/>
      <c r="AE484" s="23"/>
      <c r="AF484" s="23"/>
      <c r="AG484" s="23"/>
      <c r="AI484" s="13">
        <v>481</v>
      </c>
      <c r="AJ484" s="13">
        <v>45</v>
      </c>
      <c r="AK484" s="17">
        <v>39.549703229999999</v>
      </c>
      <c r="AV484" s="13">
        <f t="shared" si="30"/>
        <v>-12.111770600000005</v>
      </c>
      <c r="BD484" s="13">
        <v>481</v>
      </c>
      <c r="BE484" s="13">
        <v>45</v>
      </c>
      <c r="BF484" s="17">
        <v>32.43787399</v>
      </c>
      <c r="BQ484" s="13">
        <f t="shared" si="31"/>
        <v>-27.915835577777781</v>
      </c>
    </row>
    <row r="485" spans="1:69">
      <c r="A485" s="13">
        <v>482</v>
      </c>
      <c r="B485" s="13">
        <v>118</v>
      </c>
      <c r="C485" s="17">
        <v>88.355954760000003</v>
      </c>
      <c r="M485" s="13">
        <f t="shared" si="28"/>
        <v>-25.12207223728813</v>
      </c>
      <c r="O485" s="13">
        <v>482</v>
      </c>
      <c r="P485" s="13">
        <v>118</v>
      </c>
      <c r="Q485" s="17">
        <v>86.215977019999997</v>
      </c>
      <c r="AA485" s="13">
        <f t="shared" si="29"/>
        <v>-26.935612694915257</v>
      </c>
      <c r="AC485" s="23"/>
      <c r="AD485" s="23"/>
      <c r="AE485" s="23"/>
      <c r="AF485" s="23"/>
      <c r="AG485" s="23"/>
      <c r="AI485" s="13">
        <v>482</v>
      </c>
      <c r="AJ485" s="13">
        <v>118</v>
      </c>
      <c r="AK485" s="17">
        <v>111.865191</v>
      </c>
      <c r="AV485" s="13">
        <f t="shared" si="30"/>
        <v>-5.1989906779661084</v>
      </c>
      <c r="BD485" s="13">
        <v>482</v>
      </c>
      <c r="BE485" s="13">
        <v>118</v>
      </c>
      <c r="BF485" s="17">
        <v>105.6588321</v>
      </c>
      <c r="BQ485" s="13">
        <f t="shared" si="31"/>
        <v>-10.458616864406778</v>
      </c>
    </row>
    <row r="486" spans="1:69">
      <c r="A486" s="13">
        <v>483</v>
      </c>
      <c r="B486" s="13">
        <v>139</v>
      </c>
      <c r="C486" s="17">
        <v>139.77440669999999</v>
      </c>
      <c r="M486" s="13">
        <f t="shared" ref="M486:M549" si="32">((C486/B486)-1)*100</f>
        <v>0.55712712230215899</v>
      </c>
      <c r="O486" s="13">
        <v>483</v>
      </c>
      <c r="P486" s="13">
        <v>139</v>
      </c>
      <c r="Q486" s="17">
        <v>138.9994466</v>
      </c>
      <c r="AA486" s="13">
        <f t="shared" si="29"/>
        <v>-3.981294964039428E-4</v>
      </c>
      <c r="AC486" s="23"/>
      <c r="AD486" s="23"/>
      <c r="AE486" s="23"/>
      <c r="AF486" s="23"/>
      <c r="AG486" s="23"/>
      <c r="AI486" s="13">
        <v>483</v>
      </c>
      <c r="AJ486" s="13">
        <v>139</v>
      </c>
      <c r="AK486" s="17">
        <v>139.00288130000001</v>
      </c>
      <c r="AV486" s="13">
        <f t="shared" si="30"/>
        <v>2.0728776978451435E-3</v>
      </c>
      <c r="BD486" s="13">
        <v>483</v>
      </c>
      <c r="BE486" s="13">
        <v>139</v>
      </c>
      <c r="BF486" s="17">
        <v>138.8856481</v>
      </c>
      <c r="BQ486" s="13">
        <f t="shared" si="31"/>
        <v>-8.2267553956838491E-2</v>
      </c>
    </row>
    <row r="487" spans="1:69">
      <c r="A487" s="13">
        <v>484</v>
      </c>
      <c r="B487" s="13">
        <v>14</v>
      </c>
      <c r="C487" s="17">
        <v>15.140232190000001</v>
      </c>
      <c r="M487" s="13">
        <f t="shared" si="32"/>
        <v>8.1445156428571419</v>
      </c>
      <c r="O487" s="13">
        <v>484</v>
      </c>
      <c r="P487" s="13">
        <v>14</v>
      </c>
      <c r="Q487" s="17">
        <v>20.092524820000001</v>
      </c>
      <c r="AA487" s="13">
        <f t="shared" si="29"/>
        <v>43.518034428571426</v>
      </c>
      <c r="AC487" s="23"/>
      <c r="AD487" s="23"/>
      <c r="AE487" s="23"/>
      <c r="AF487" s="23"/>
      <c r="AG487" s="23"/>
      <c r="AI487" s="13">
        <v>484</v>
      </c>
      <c r="AJ487" s="13">
        <v>14</v>
      </c>
      <c r="AK487" s="17">
        <v>14.22832644</v>
      </c>
      <c r="AV487" s="13">
        <f t="shared" si="30"/>
        <v>1.630903142857143</v>
      </c>
      <c r="BD487" s="13">
        <v>484</v>
      </c>
      <c r="BE487" s="13">
        <v>14</v>
      </c>
      <c r="BF487" s="17">
        <v>13.94702792</v>
      </c>
      <c r="BQ487" s="13">
        <f t="shared" si="31"/>
        <v>-0.37837200000000459</v>
      </c>
    </row>
    <row r="488" spans="1:69">
      <c r="A488" s="13">
        <v>485</v>
      </c>
      <c r="B488" s="13">
        <v>185</v>
      </c>
      <c r="C488" s="17">
        <v>184.3902842</v>
      </c>
      <c r="M488" s="13">
        <f t="shared" si="32"/>
        <v>-0.32957610810810944</v>
      </c>
      <c r="O488" s="13">
        <v>485</v>
      </c>
      <c r="P488" s="13">
        <v>185</v>
      </c>
      <c r="Q488" s="17">
        <v>185.28155179999999</v>
      </c>
      <c r="AA488" s="13">
        <f t="shared" si="29"/>
        <v>0.15219016216214687</v>
      </c>
      <c r="AC488" s="23"/>
      <c r="AD488" s="23"/>
      <c r="AE488" s="23"/>
      <c r="AF488" s="23"/>
      <c r="AG488" s="23"/>
      <c r="AI488" s="13">
        <v>485</v>
      </c>
      <c r="AJ488" s="13">
        <v>185</v>
      </c>
      <c r="AK488" s="17">
        <v>184.85805680000001</v>
      </c>
      <c r="AV488" s="13">
        <f t="shared" si="30"/>
        <v>-7.6726054054043757E-2</v>
      </c>
      <c r="BD488" s="13">
        <v>485</v>
      </c>
      <c r="BE488" s="13">
        <v>185</v>
      </c>
      <c r="BF488" s="17">
        <v>184.10864169999999</v>
      </c>
      <c r="BQ488" s="13">
        <f t="shared" si="31"/>
        <v>-0.48181529729730554</v>
      </c>
    </row>
    <row r="489" spans="1:69">
      <c r="A489" s="13">
        <v>486</v>
      </c>
      <c r="B489" s="13">
        <v>171</v>
      </c>
      <c r="C489" s="17">
        <v>140.07650319999999</v>
      </c>
      <c r="M489" s="13">
        <f t="shared" si="32"/>
        <v>-18.083916257309951</v>
      </c>
      <c r="O489" s="13">
        <v>486</v>
      </c>
      <c r="P489" s="13">
        <v>171</v>
      </c>
      <c r="Q489" s="17">
        <v>130.2632375</v>
      </c>
      <c r="AA489" s="13">
        <f t="shared" si="29"/>
        <v>-23.822668128654968</v>
      </c>
      <c r="AC489" s="23"/>
      <c r="AD489" s="23"/>
      <c r="AE489" s="23"/>
      <c r="AF489" s="23"/>
      <c r="AG489" s="23"/>
      <c r="AI489" s="13">
        <v>486</v>
      </c>
      <c r="AJ489" s="13">
        <v>171</v>
      </c>
      <c r="AK489" s="17">
        <v>164.6833006</v>
      </c>
      <c r="AV489" s="13">
        <f t="shared" si="30"/>
        <v>-3.6939762573099388</v>
      </c>
      <c r="BD489" s="13">
        <v>486</v>
      </c>
      <c r="BE489" s="13">
        <v>171</v>
      </c>
      <c r="BF489" s="17">
        <v>158.8541505</v>
      </c>
      <c r="BQ489" s="13">
        <f t="shared" si="31"/>
        <v>-7.1028359649122796</v>
      </c>
    </row>
    <row r="490" spans="1:69">
      <c r="A490" s="13">
        <v>487</v>
      </c>
      <c r="B490" s="13">
        <v>2</v>
      </c>
      <c r="C490" s="17">
        <v>1.25952313684128</v>
      </c>
      <c r="M490" s="13">
        <f t="shared" si="32"/>
        <v>-37.023843157936</v>
      </c>
      <c r="O490" s="13">
        <v>487</v>
      </c>
      <c r="P490" s="13">
        <v>2</v>
      </c>
      <c r="Q490" s="17">
        <v>2.8652412872503299</v>
      </c>
      <c r="AA490" s="13">
        <f t="shared" si="29"/>
        <v>43.262064362516497</v>
      </c>
      <c r="AC490" s="23"/>
      <c r="AD490" s="23"/>
      <c r="AE490" s="23"/>
      <c r="AF490" s="23"/>
      <c r="AG490" s="23"/>
      <c r="AI490" s="13">
        <v>487</v>
      </c>
      <c r="AJ490" s="13">
        <v>2</v>
      </c>
      <c r="AK490" s="17">
        <v>2.4143478746306601</v>
      </c>
      <c r="AV490" s="13">
        <f t="shared" si="30"/>
        <v>20.717393731533008</v>
      </c>
      <c r="BD490" s="13">
        <v>487</v>
      </c>
      <c r="BE490" s="13">
        <v>2</v>
      </c>
      <c r="BF490" s="17">
        <v>1.92241995346663</v>
      </c>
      <c r="BQ490" s="13">
        <f t="shared" si="31"/>
        <v>-3.8790023266685014</v>
      </c>
    </row>
    <row r="491" spans="1:69">
      <c r="A491" s="13">
        <v>488</v>
      </c>
      <c r="B491" s="13">
        <v>225</v>
      </c>
      <c r="C491" s="17">
        <v>193.78009180000001</v>
      </c>
      <c r="M491" s="13">
        <f t="shared" si="32"/>
        <v>-13.875514755555551</v>
      </c>
      <c r="O491" s="13">
        <v>488</v>
      </c>
      <c r="P491" s="13">
        <v>225</v>
      </c>
      <c r="Q491" s="17">
        <v>192.13986270000001</v>
      </c>
      <c r="AA491" s="13">
        <f t="shared" si="29"/>
        <v>-14.604505466666662</v>
      </c>
      <c r="AC491" s="23"/>
      <c r="AD491" s="23"/>
      <c r="AE491" s="23"/>
      <c r="AF491" s="23"/>
      <c r="AG491" s="23"/>
      <c r="AI491" s="13">
        <v>488</v>
      </c>
      <c r="AJ491" s="13">
        <v>225</v>
      </c>
      <c r="AK491" s="17">
        <v>218.6100184</v>
      </c>
      <c r="AV491" s="13">
        <f t="shared" si="30"/>
        <v>-2.8399918222222209</v>
      </c>
      <c r="BD491" s="13">
        <v>488</v>
      </c>
      <c r="BE491" s="13">
        <v>225</v>
      </c>
      <c r="BF491" s="17">
        <v>212.55102919999999</v>
      </c>
      <c r="BQ491" s="13">
        <f t="shared" si="31"/>
        <v>-5.5328759111111125</v>
      </c>
    </row>
    <row r="492" spans="1:69">
      <c r="A492" s="13">
        <v>489</v>
      </c>
      <c r="B492" s="13">
        <v>63</v>
      </c>
      <c r="C492" s="17">
        <v>71.570606330000004</v>
      </c>
      <c r="M492" s="13">
        <f t="shared" si="32"/>
        <v>13.604137031746033</v>
      </c>
      <c r="O492" s="13">
        <v>489</v>
      </c>
      <c r="P492" s="13">
        <v>63</v>
      </c>
      <c r="Q492" s="17">
        <v>72.09161211</v>
      </c>
      <c r="AA492" s="13">
        <f t="shared" si="29"/>
        <v>14.431130333333343</v>
      </c>
      <c r="AC492" s="23"/>
      <c r="AD492" s="23"/>
      <c r="AE492" s="23"/>
      <c r="AF492" s="23"/>
      <c r="AG492" s="23"/>
      <c r="AI492" s="13">
        <v>489</v>
      </c>
      <c r="AJ492" s="13">
        <v>63</v>
      </c>
      <c r="AK492" s="17">
        <v>64.782121270000005</v>
      </c>
      <c r="AV492" s="13">
        <f t="shared" si="30"/>
        <v>2.8287639206349358</v>
      </c>
      <c r="BD492" s="13">
        <v>489</v>
      </c>
      <c r="BE492" s="13">
        <v>63</v>
      </c>
      <c r="BF492" s="17">
        <v>66.103270929999994</v>
      </c>
      <c r="BQ492" s="13">
        <f t="shared" si="31"/>
        <v>4.9258268730158594</v>
      </c>
    </row>
    <row r="493" spans="1:69">
      <c r="A493" s="13">
        <v>490</v>
      </c>
      <c r="B493" s="13">
        <v>128</v>
      </c>
      <c r="C493" s="17">
        <v>128.19667569999999</v>
      </c>
      <c r="M493" s="13">
        <f t="shared" si="32"/>
        <v>0.15365289062498899</v>
      </c>
      <c r="O493" s="13">
        <v>490</v>
      </c>
      <c r="P493" s="13">
        <v>128</v>
      </c>
      <c r="Q493" s="17">
        <v>130.9341661</v>
      </c>
      <c r="AA493" s="13">
        <f t="shared" si="29"/>
        <v>2.292317265624999</v>
      </c>
      <c r="AC493" s="23"/>
      <c r="AD493" s="23"/>
      <c r="AE493" s="23"/>
      <c r="AF493" s="23"/>
      <c r="AG493" s="23"/>
      <c r="AI493" s="13">
        <v>490</v>
      </c>
      <c r="AJ493" s="13">
        <v>128</v>
      </c>
      <c r="AK493" s="17">
        <v>128.07333510000001</v>
      </c>
      <c r="AV493" s="13">
        <f t="shared" si="30"/>
        <v>5.7293046875006581E-2</v>
      </c>
      <c r="BD493" s="13">
        <v>490</v>
      </c>
      <c r="BE493" s="13">
        <v>128</v>
      </c>
      <c r="BF493" s="17">
        <v>128.4773002</v>
      </c>
      <c r="BQ493" s="13">
        <f t="shared" si="31"/>
        <v>0.37289078125000152</v>
      </c>
    </row>
    <row r="494" spans="1:69">
      <c r="A494" s="13">
        <v>491</v>
      </c>
      <c r="B494" s="13">
        <v>90</v>
      </c>
      <c r="C494" s="17">
        <v>100.0986106</v>
      </c>
      <c r="M494" s="13">
        <f t="shared" si="32"/>
        <v>11.220678444444454</v>
      </c>
      <c r="O494" s="13">
        <v>491</v>
      </c>
      <c r="P494" s="13">
        <v>90</v>
      </c>
      <c r="Q494" s="17">
        <v>95.051947490000003</v>
      </c>
      <c r="AA494" s="13">
        <f t="shared" si="29"/>
        <v>5.6132749888888833</v>
      </c>
      <c r="AC494" s="23"/>
      <c r="AD494" s="23"/>
      <c r="AE494" s="23"/>
      <c r="AF494" s="23"/>
      <c r="AG494" s="23"/>
      <c r="AI494" s="13">
        <v>491</v>
      </c>
      <c r="AJ494" s="13">
        <v>90</v>
      </c>
      <c r="AK494" s="17">
        <v>92.233722119999996</v>
      </c>
      <c r="AV494" s="13">
        <f t="shared" si="30"/>
        <v>2.4819134666666631</v>
      </c>
      <c r="BD494" s="13">
        <v>491</v>
      </c>
      <c r="BE494" s="13">
        <v>90</v>
      </c>
      <c r="BF494" s="17">
        <v>93.545566500000007</v>
      </c>
      <c r="BQ494" s="13">
        <f t="shared" si="31"/>
        <v>3.9395183333333472</v>
      </c>
    </row>
    <row r="495" spans="1:69">
      <c r="A495" s="13">
        <v>492</v>
      </c>
      <c r="B495" s="13">
        <v>115</v>
      </c>
      <c r="C495" s="17">
        <v>85.944917559999993</v>
      </c>
      <c r="M495" s="13">
        <f t="shared" si="32"/>
        <v>-25.265289078260878</v>
      </c>
      <c r="O495" s="13">
        <v>492</v>
      </c>
      <c r="P495" s="13">
        <v>115</v>
      </c>
      <c r="Q495" s="17">
        <v>81.854061810000005</v>
      </c>
      <c r="AA495" s="13">
        <f t="shared" si="29"/>
        <v>-28.822554947826085</v>
      </c>
      <c r="AC495" s="23"/>
      <c r="AD495" s="23"/>
      <c r="AE495" s="23"/>
      <c r="AF495" s="23"/>
      <c r="AG495" s="23"/>
      <c r="AI495" s="13">
        <v>492</v>
      </c>
      <c r="AJ495" s="13">
        <v>115</v>
      </c>
      <c r="AK495" s="17">
        <v>109.2949835</v>
      </c>
      <c r="AV495" s="13">
        <f t="shared" si="30"/>
        <v>-4.960883913043479</v>
      </c>
      <c r="BD495" s="13">
        <v>492</v>
      </c>
      <c r="BE495" s="13">
        <v>115</v>
      </c>
      <c r="BF495" s="17">
        <v>102.8742991</v>
      </c>
      <c r="BQ495" s="13">
        <f t="shared" si="31"/>
        <v>-10.544087739130436</v>
      </c>
    </row>
    <row r="496" spans="1:69">
      <c r="A496" s="13">
        <v>493</v>
      </c>
      <c r="B496" s="13">
        <v>84</v>
      </c>
      <c r="C496" s="17">
        <v>95.289817979999995</v>
      </c>
      <c r="M496" s="13">
        <f t="shared" si="32"/>
        <v>13.440259499999986</v>
      </c>
      <c r="O496" s="13">
        <v>493</v>
      </c>
      <c r="P496" s="13">
        <v>84</v>
      </c>
      <c r="Q496" s="17">
        <v>95.929249040000002</v>
      </c>
      <c r="AA496" s="13">
        <f t="shared" si="29"/>
        <v>14.201486952380948</v>
      </c>
      <c r="AC496" s="23"/>
      <c r="AD496" s="23"/>
      <c r="AE496" s="23"/>
      <c r="AF496" s="23"/>
      <c r="AG496" s="23"/>
      <c r="AI496" s="13">
        <v>493</v>
      </c>
      <c r="AJ496" s="13">
        <v>84</v>
      </c>
      <c r="AK496" s="17">
        <v>86.345963600000005</v>
      </c>
      <c r="AV496" s="13">
        <f t="shared" si="30"/>
        <v>2.7928138095238086</v>
      </c>
      <c r="BD496" s="13">
        <v>493</v>
      </c>
      <c r="BE496" s="13">
        <v>84</v>
      </c>
      <c r="BF496" s="17">
        <v>88.850459439999995</v>
      </c>
      <c r="BQ496" s="13">
        <f t="shared" si="31"/>
        <v>5.7743564761904675</v>
      </c>
    </row>
    <row r="497" spans="1:69">
      <c r="A497" s="13">
        <v>494</v>
      </c>
      <c r="B497" s="13">
        <v>188</v>
      </c>
      <c r="C497" s="17">
        <v>196.94726299999999</v>
      </c>
      <c r="M497" s="13">
        <f t="shared" si="32"/>
        <v>4.7591824468085075</v>
      </c>
      <c r="O497" s="13">
        <v>494</v>
      </c>
      <c r="P497" s="13">
        <v>188</v>
      </c>
      <c r="Q497" s="17">
        <v>196.41131290000001</v>
      </c>
      <c r="AA497" s="13">
        <f t="shared" si="29"/>
        <v>4.4741026063829903</v>
      </c>
      <c r="AC497" s="23"/>
      <c r="AD497" s="23"/>
      <c r="AE497" s="23"/>
      <c r="AF497" s="23"/>
      <c r="AG497" s="23"/>
      <c r="AI497" s="13">
        <v>494</v>
      </c>
      <c r="AJ497" s="13">
        <v>188</v>
      </c>
      <c r="AK497" s="17">
        <v>189.58745260000001</v>
      </c>
      <c r="AV497" s="13">
        <f t="shared" si="30"/>
        <v>0.84438968085107646</v>
      </c>
      <c r="BD497" s="13">
        <v>494</v>
      </c>
      <c r="BE497" s="13">
        <v>188</v>
      </c>
      <c r="BF497" s="17">
        <v>191.45180869999999</v>
      </c>
      <c r="BQ497" s="13">
        <f t="shared" si="31"/>
        <v>1.8360684574467934</v>
      </c>
    </row>
    <row r="498" spans="1:69">
      <c r="A498" s="13">
        <v>495</v>
      </c>
      <c r="B498" s="13">
        <v>206</v>
      </c>
      <c r="C498" s="17">
        <v>206.04090009999999</v>
      </c>
      <c r="M498" s="13">
        <f t="shared" si="32"/>
        <v>1.985441747571759E-2</v>
      </c>
      <c r="O498" s="13">
        <v>495</v>
      </c>
      <c r="P498" s="13">
        <v>206</v>
      </c>
      <c r="Q498" s="17">
        <v>206</v>
      </c>
      <c r="AA498" s="13">
        <f t="shared" si="29"/>
        <v>0</v>
      </c>
      <c r="AC498" s="23"/>
      <c r="AD498" s="23"/>
      <c r="AE498" s="23"/>
      <c r="AF498" s="23"/>
      <c r="AG498" s="23"/>
      <c r="AI498" s="13">
        <v>495</v>
      </c>
      <c r="AJ498" s="13">
        <v>206</v>
      </c>
      <c r="AK498" s="17">
        <v>205.80817999999999</v>
      </c>
      <c r="AV498" s="13">
        <f t="shared" si="30"/>
        <v>-9.3116504854373616E-2</v>
      </c>
      <c r="BD498" s="13">
        <v>495</v>
      </c>
      <c r="BE498" s="13">
        <v>206</v>
      </c>
      <c r="BF498" s="17">
        <v>205.90162849999999</v>
      </c>
      <c r="BQ498" s="13">
        <f t="shared" si="31"/>
        <v>-4.7753155339813613E-2</v>
      </c>
    </row>
    <row r="499" spans="1:69">
      <c r="A499" s="13">
        <v>496</v>
      </c>
      <c r="B499" s="13">
        <v>114</v>
      </c>
      <c r="C499" s="17">
        <v>126.6195235</v>
      </c>
      <c r="M499" s="13">
        <f t="shared" si="32"/>
        <v>11.069757456140362</v>
      </c>
      <c r="O499" s="13">
        <v>496</v>
      </c>
      <c r="P499" s="13">
        <v>114</v>
      </c>
      <c r="Q499" s="17">
        <v>125.0387547</v>
      </c>
      <c r="AA499" s="13">
        <f t="shared" si="29"/>
        <v>9.6831181578947323</v>
      </c>
      <c r="AC499" s="23"/>
      <c r="AD499" s="23"/>
      <c r="AE499" s="23"/>
      <c r="AF499" s="23"/>
      <c r="AG499" s="23"/>
      <c r="AI499" s="13">
        <v>496</v>
      </c>
      <c r="AJ499" s="13">
        <v>114</v>
      </c>
      <c r="AK499" s="17">
        <v>116.5699047</v>
      </c>
      <c r="AV499" s="13">
        <f t="shared" si="30"/>
        <v>2.2543023684210572</v>
      </c>
      <c r="BD499" s="13">
        <v>496</v>
      </c>
      <c r="BE499" s="13">
        <v>114</v>
      </c>
      <c r="BF499" s="17">
        <v>118.53641279999999</v>
      </c>
      <c r="BQ499" s="13">
        <f t="shared" si="31"/>
        <v>3.9793094736842116</v>
      </c>
    </row>
    <row r="500" spans="1:69">
      <c r="A500" s="13">
        <v>497</v>
      </c>
      <c r="B500" s="13">
        <v>79</v>
      </c>
      <c r="C500" s="17">
        <v>50.411224609999998</v>
      </c>
      <c r="M500" s="13">
        <f t="shared" si="32"/>
        <v>-36.188323278481015</v>
      </c>
      <c r="O500" s="13">
        <v>497</v>
      </c>
      <c r="P500" s="13">
        <v>79</v>
      </c>
      <c r="Q500" s="17">
        <v>44.433672100000003</v>
      </c>
      <c r="AA500" s="13">
        <f t="shared" si="29"/>
        <v>-43.754845443037972</v>
      </c>
      <c r="AC500" s="23"/>
      <c r="AD500" s="23"/>
      <c r="AE500" s="23"/>
      <c r="AF500" s="23"/>
      <c r="AG500" s="23"/>
      <c r="AI500" s="13">
        <v>497</v>
      </c>
      <c r="AJ500" s="13">
        <v>79</v>
      </c>
      <c r="AK500" s="17">
        <v>72.948244919999993</v>
      </c>
      <c r="AV500" s="13">
        <f t="shared" si="30"/>
        <v>-7.660449468354436</v>
      </c>
      <c r="BD500" s="13">
        <v>497</v>
      </c>
      <c r="BE500" s="13">
        <v>79</v>
      </c>
      <c r="BF500" s="17">
        <v>67.085554549999998</v>
      </c>
      <c r="BQ500" s="13">
        <f t="shared" si="31"/>
        <v>-15.081576518987349</v>
      </c>
    </row>
    <row r="501" spans="1:69">
      <c r="A501" s="13">
        <v>498</v>
      </c>
      <c r="B501" s="13">
        <v>42</v>
      </c>
      <c r="C501" s="17">
        <v>51.791324510000003</v>
      </c>
      <c r="M501" s="13">
        <f t="shared" si="32"/>
        <v>23.312677404761907</v>
      </c>
      <c r="O501" s="13">
        <v>498</v>
      </c>
      <c r="P501" s="13">
        <v>42</v>
      </c>
      <c r="Q501" s="17">
        <v>53.36474905</v>
      </c>
      <c r="AA501" s="13">
        <f t="shared" si="29"/>
        <v>27.058926309523802</v>
      </c>
      <c r="AC501" s="23"/>
      <c r="AD501" s="23"/>
      <c r="AE501" s="23"/>
      <c r="AF501" s="23"/>
      <c r="AG501" s="23"/>
      <c r="AI501" s="13">
        <v>498</v>
      </c>
      <c r="AJ501" s="13">
        <v>42</v>
      </c>
      <c r="AK501" s="17">
        <v>43.9382649</v>
      </c>
      <c r="AV501" s="13">
        <f t="shared" si="30"/>
        <v>4.6149164285714361</v>
      </c>
      <c r="BD501" s="13">
        <v>498</v>
      </c>
      <c r="BE501" s="13">
        <v>42</v>
      </c>
      <c r="BF501" s="17">
        <v>45.999582570000001</v>
      </c>
      <c r="BQ501" s="13">
        <f t="shared" si="31"/>
        <v>9.522815642857152</v>
      </c>
    </row>
    <row r="502" spans="1:69">
      <c r="A502" s="13">
        <v>499</v>
      </c>
      <c r="B502" s="13">
        <v>156</v>
      </c>
      <c r="C502" s="17">
        <v>166.6668651</v>
      </c>
      <c r="M502" s="13">
        <f t="shared" si="32"/>
        <v>6.8377340384615293</v>
      </c>
      <c r="O502" s="13">
        <v>499</v>
      </c>
      <c r="P502" s="13">
        <v>156</v>
      </c>
      <c r="Q502" s="17">
        <v>168.00857439999999</v>
      </c>
      <c r="AA502" s="13">
        <f t="shared" si="29"/>
        <v>7.6978041025640875</v>
      </c>
      <c r="AC502" s="23"/>
      <c r="AD502" s="23"/>
      <c r="AE502" s="23"/>
      <c r="AF502" s="23"/>
      <c r="AG502" s="23"/>
      <c r="AI502" s="13">
        <v>499</v>
      </c>
      <c r="AJ502" s="13">
        <v>156</v>
      </c>
      <c r="AK502" s="17">
        <v>158.043373</v>
      </c>
      <c r="AV502" s="13">
        <f t="shared" si="30"/>
        <v>1.3098544871794848</v>
      </c>
      <c r="BD502" s="13">
        <v>499</v>
      </c>
      <c r="BE502" s="13">
        <v>156</v>
      </c>
      <c r="BF502" s="17">
        <v>160.0873986</v>
      </c>
      <c r="BQ502" s="13">
        <f t="shared" si="31"/>
        <v>2.6201273076922993</v>
      </c>
    </row>
    <row r="503" spans="1:69">
      <c r="A503" s="13">
        <v>500</v>
      </c>
      <c r="B503" s="13">
        <v>53</v>
      </c>
      <c r="C503" s="17">
        <v>53.955748479999997</v>
      </c>
      <c r="M503" s="13">
        <f t="shared" si="32"/>
        <v>1.8032990188679099</v>
      </c>
      <c r="O503" s="13">
        <v>500</v>
      </c>
      <c r="P503" s="13">
        <v>53</v>
      </c>
      <c r="Q503" s="17">
        <v>56.178145100000002</v>
      </c>
      <c r="AA503" s="13">
        <f t="shared" si="29"/>
        <v>5.9965001886792546</v>
      </c>
      <c r="AC503" s="23"/>
      <c r="AD503" s="23"/>
      <c r="AE503" s="23"/>
      <c r="AF503" s="23"/>
      <c r="AG503" s="23"/>
      <c r="AI503" s="13">
        <v>500</v>
      </c>
      <c r="AJ503" s="13">
        <v>53</v>
      </c>
      <c r="AK503" s="17">
        <v>53.203149699999997</v>
      </c>
      <c r="AV503" s="13">
        <f t="shared" si="30"/>
        <v>0.38330132075470313</v>
      </c>
      <c r="BD503" s="13">
        <v>500</v>
      </c>
      <c r="BE503" s="13">
        <v>53</v>
      </c>
      <c r="BF503" s="17">
        <v>52.920900410000002</v>
      </c>
      <c r="BQ503" s="13">
        <f t="shared" si="31"/>
        <v>-0.14924450943395451</v>
      </c>
    </row>
    <row r="504" spans="1:69">
      <c r="A504" s="13">
        <v>501</v>
      </c>
      <c r="B504" s="13">
        <v>5</v>
      </c>
      <c r="C504" s="17">
        <v>4.2392141020371001</v>
      </c>
      <c r="M504" s="13">
        <f t="shared" si="32"/>
        <v>-15.215717959258001</v>
      </c>
      <c r="O504" s="13">
        <v>501</v>
      </c>
      <c r="P504" s="13">
        <v>5</v>
      </c>
      <c r="Q504" s="17">
        <v>4.4355908259541401</v>
      </c>
      <c r="AA504" s="13">
        <f t="shared" si="29"/>
        <v>-11.288183480917201</v>
      </c>
      <c r="AC504" s="23"/>
      <c r="AD504" s="23"/>
      <c r="AE504" s="23"/>
      <c r="AF504" s="23"/>
      <c r="AG504" s="23"/>
      <c r="AI504" s="13">
        <v>501</v>
      </c>
      <c r="AJ504" s="13">
        <v>5</v>
      </c>
      <c r="AK504" s="17">
        <v>5.9848920949752298</v>
      </c>
      <c r="AV504" s="13">
        <f t="shared" si="30"/>
        <v>19.697841899504589</v>
      </c>
      <c r="BD504" s="13">
        <v>501</v>
      </c>
      <c r="BE504" s="13">
        <v>5</v>
      </c>
      <c r="BF504" s="17">
        <v>5.84525282460109</v>
      </c>
      <c r="BQ504" s="13">
        <f t="shared" si="31"/>
        <v>16.905056492021806</v>
      </c>
    </row>
    <row r="505" spans="1:69">
      <c r="A505" s="13">
        <v>502</v>
      </c>
      <c r="B505" s="13">
        <v>195</v>
      </c>
      <c r="C505" s="17">
        <v>164.03718939999999</v>
      </c>
      <c r="M505" s="13">
        <f t="shared" si="32"/>
        <v>-15.878364410256419</v>
      </c>
      <c r="O505" s="13">
        <v>502</v>
      </c>
      <c r="P505" s="13">
        <v>195</v>
      </c>
      <c r="Q505" s="17">
        <v>154.9194066</v>
      </c>
      <c r="AA505" s="13">
        <f t="shared" si="29"/>
        <v>-20.554150461538455</v>
      </c>
      <c r="AC505" s="23"/>
      <c r="AD505" s="23"/>
      <c r="AE505" s="23"/>
      <c r="AF505" s="23"/>
      <c r="AG505" s="23"/>
      <c r="AI505" s="13">
        <v>502</v>
      </c>
      <c r="AJ505" s="13">
        <v>195</v>
      </c>
      <c r="AK505" s="17">
        <v>188.69343789999999</v>
      </c>
      <c r="AV505" s="13">
        <f t="shared" si="30"/>
        <v>-3.2341344102564173</v>
      </c>
      <c r="BD505" s="13">
        <v>502</v>
      </c>
      <c r="BE505" s="13">
        <v>195</v>
      </c>
      <c r="BF505" s="17">
        <v>181.8388965</v>
      </c>
      <c r="BQ505" s="13">
        <f t="shared" si="31"/>
        <v>-6.7492838461538422</v>
      </c>
    </row>
    <row r="506" spans="1:69">
      <c r="A506" s="13">
        <v>503</v>
      </c>
      <c r="B506" s="13">
        <v>15</v>
      </c>
      <c r="C506" s="17">
        <v>12.7461322420817</v>
      </c>
      <c r="M506" s="13">
        <f t="shared" si="32"/>
        <v>-15.025785052788665</v>
      </c>
      <c r="O506" s="13">
        <v>503</v>
      </c>
      <c r="P506" s="13">
        <v>15</v>
      </c>
      <c r="Q506" s="17">
        <v>16.611612452026201</v>
      </c>
      <c r="AA506" s="13">
        <f t="shared" si="29"/>
        <v>10.744083013508</v>
      </c>
      <c r="AC506" s="23"/>
      <c r="AD506" s="23"/>
      <c r="AE506" s="23"/>
      <c r="AF506" s="23"/>
      <c r="AG506" s="23"/>
      <c r="AI506" s="13">
        <v>503</v>
      </c>
      <c r="AJ506" s="13">
        <v>15</v>
      </c>
      <c r="AK506" s="17">
        <v>12.726308927385199</v>
      </c>
      <c r="AV506" s="13">
        <f t="shared" si="30"/>
        <v>-15.157940484098676</v>
      </c>
      <c r="BD506" s="13">
        <v>503</v>
      </c>
      <c r="BE506" s="13">
        <v>15</v>
      </c>
      <c r="BF506" s="17">
        <v>19.4741323975908</v>
      </c>
      <c r="BQ506" s="13">
        <f t="shared" si="31"/>
        <v>29.827549317272005</v>
      </c>
    </row>
    <row r="507" spans="1:69">
      <c r="A507" s="13">
        <v>504</v>
      </c>
      <c r="B507" s="13">
        <v>175</v>
      </c>
      <c r="C507" s="17">
        <v>145.92605040000001</v>
      </c>
      <c r="M507" s="13">
        <f t="shared" si="32"/>
        <v>-16.613685485714281</v>
      </c>
      <c r="O507" s="13">
        <v>504</v>
      </c>
      <c r="P507" s="13">
        <v>175</v>
      </c>
      <c r="Q507" s="17">
        <v>144.72410790000001</v>
      </c>
      <c r="AA507" s="13">
        <f t="shared" si="29"/>
        <v>-17.300509771428562</v>
      </c>
      <c r="AC507" s="23"/>
      <c r="AD507" s="23"/>
      <c r="AE507" s="23"/>
      <c r="AF507" s="23"/>
      <c r="AG507" s="23"/>
      <c r="AI507" s="13">
        <v>504</v>
      </c>
      <c r="AJ507" s="13">
        <v>175</v>
      </c>
      <c r="AK507" s="17">
        <v>169.0472101</v>
      </c>
      <c r="AV507" s="13">
        <f t="shared" si="30"/>
        <v>-3.4015942285714251</v>
      </c>
      <c r="BD507" s="13">
        <v>504</v>
      </c>
      <c r="BE507" s="13">
        <v>175</v>
      </c>
      <c r="BF507" s="17">
        <v>162.80312359999999</v>
      </c>
      <c r="BQ507" s="13">
        <f t="shared" si="31"/>
        <v>-6.9696436571428659</v>
      </c>
    </row>
    <row r="508" spans="1:69">
      <c r="A508" s="13">
        <v>505</v>
      </c>
      <c r="B508" s="13">
        <v>186</v>
      </c>
      <c r="C508" s="17">
        <v>195.83053240000001</v>
      </c>
      <c r="M508" s="13">
        <f t="shared" si="32"/>
        <v>5.2852324731182954</v>
      </c>
      <c r="O508" s="13">
        <v>505</v>
      </c>
      <c r="P508" s="13">
        <v>186</v>
      </c>
      <c r="Q508" s="17">
        <v>192.34008059999999</v>
      </c>
      <c r="AA508" s="13">
        <f t="shared" si="29"/>
        <v>3.4086454838709646</v>
      </c>
      <c r="AC508" s="23"/>
      <c r="AD508" s="23"/>
      <c r="AE508" s="23"/>
      <c r="AF508" s="23"/>
      <c r="AG508" s="23"/>
      <c r="AI508" s="13">
        <v>505</v>
      </c>
      <c r="AJ508" s="13">
        <v>186</v>
      </c>
      <c r="AK508" s="17">
        <v>188.19210649999999</v>
      </c>
      <c r="AV508" s="13">
        <f t="shared" si="30"/>
        <v>1.1785518817204244</v>
      </c>
      <c r="BD508" s="13">
        <v>505</v>
      </c>
      <c r="BE508" s="13">
        <v>186</v>
      </c>
      <c r="BF508" s="17">
        <v>189.74293840000001</v>
      </c>
      <c r="BQ508" s="13">
        <f t="shared" si="31"/>
        <v>2.0123324731182946</v>
      </c>
    </row>
    <row r="509" spans="1:69">
      <c r="A509" s="13">
        <v>506</v>
      </c>
      <c r="B509" s="13">
        <v>113</v>
      </c>
      <c r="C509" s="17">
        <v>83.375088660000003</v>
      </c>
      <c r="M509" s="13">
        <f t="shared" si="32"/>
        <v>-26.216735699115045</v>
      </c>
      <c r="O509" s="13">
        <v>506</v>
      </c>
      <c r="P509" s="13">
        <v>113</v>
      </c>
      <c r="Q509" s="17">
        <v>76.134993690000002</v>
      </c>
      <c r="AA509" s="13">
        <f t="shared" si="29"/>
        <v>-32.623899389380526</v>
      </c>
      <c r="AC509" s="23"/>
      <c r="AD509" s="23"/>
      <c r="AE509" s="23"/>
      <c r="AF509" s="23"/>
      <c r="AG509" s="23"/>
      <c r="AI509" s="13">
        <v>506</v>
      </c>
      <c r="AJ509" s="13">
        <v>113</v>
      </c>
      <c r="AK509" s="17">
        <v>107.0710177</v>
      </c>
      <c r="AV509" s="13">
        <f t="shared" si="30"/>
        <v>-5.2468869911504452</v>
      </c>
      <c r="BD509" s="13">
        <v>506</v>
      </c>
      <c r="BE509" s="13">
        <v>113</v>
      </c>
      <c r="BF509" s="17">
        <v>100.0710558</v>
      </c>
      <c r="BQ509" s="13">
        <f t="shared" si="31"/>
        <v>-11.441543539823007</v>
      </c>
    </row>
    <row r="510" spans="1:69">
      <c r="A510" s="13">
        <v>507</v>
      </c>
      <c r="B510" s="13">
        <v>117</v>
      </c>
      <c r="C510" s="17">
        <v>85.998414370000006</v>
      </c>
      <c r="M510" s="13">
        <f t="shared" si="32"/>
        <v>-26.497081735042727</v>
      </c>
      <c r="O510" s="13">
        <v>507</v>
      </c>
      <c r="P510" s="13">
        <v>117</v>
      </c>
      <c r="Q510" s="17">
        <v>81.282240000000002</v>
      </c>
      <c r="AA510" s="13">
        <f t="shared" si="29"/>
        <v>-30.527999999999999</v>
      </c>
      <c r="AC510" s="23"/>
      <c r="AD510" s="23"/>
      <c r="AE510" s="23"/>
      <c r="AF510" s="23"/>
      <c r="AG510" s="23"/>
      <c r="AI510" s="13">
        <v>507</v>
      </c>
      <c r="AJ510" s="13">
        <v>117</v>
      </c>
      <c r="AK510" s="17">
        <v>110.7176829</v>
      </c>
      <c r="AV510" s="13">
        <f t="shared" si="30"/>
        <v>-5.3695017948718</v>
      </c>
      <c r="BD510" s="13">
        <v>507</v>
      </c>
      <c r="BE510" s="13">
        <v>117</v>
      </c>
      <c r="BF510" s="17">
        <v>103.4758764</v>
      </c>
      <c r="BQ510" s="13">
        <f t="shared" si="31"/>
        <v>-11.55908</v>
      </c>
    </row>
    <row r="511" spans="1:69">
      <c r="A511" s="13">
        <v>508</v>
      </c>
      <c r="B511" s="13">
        <v>30</v>
      </c>
      <c r="C511" s="17">
        <v>31.09834442</v>
      </c>
      <c r="M511" s="13">
        <f t="shared" si="32"/>
        <v>3.661148066666664</v>
      </c>
      <c r="O511" s="13">
        <v>508</v>
      </c>
      <c r="P511" s="13">
        <v>30</v>
      </c>
      <c r="Q511" s="17">
        <v>30.833448780000001</v>
      </c>
      <c r="AA511" s="13">
        <f t="shared" si="29"/>
        <v>2.7781626000000115</v>
      </c>
      <c r="AC511" s="23"/>
      <c r="AD511" s="23"/>
      <c r="AE511" s="23"/>
      <c r="AF511" s="23"/>
      <c r="AG511" s="23"/>
      <c r="AI511" s="13">
        <v>508</v>
      </c>
      <c r="AJ511" s="13">
        <v>30</v>
      </c>
      <c r="AK511" s="17">
        <v>30.307668880000001</v>
      </c>
      <c r="AV511" s="13">
        <f t="shared" si="30"/>
        <v>1.0255629333333349</v>
      </c>
      <c r="BD511" s="13">
        <v>508</v>
      </c>
      <c r="BE511" s="13">
        <v>30</v>
      </c>
      <c r="BF511" s="17">
        <v>29.9289849</v>
      </c>
      <c r="BQ511" s="13">
        <f t="shared" si="31"/>
        <v>-0.2367169999999974</v>
      </c>
    </row>
    <row r="512" spans="1:69">
      <c r="A512" s="13">
        <v>509</v>
      </c>
      <c r="B512" s="13">
        <v>204</v>
      </c>
      <c r="C512" s="17">
        <v>173.91220749999999</v>
      </c>
      <c r="M512" s="13">
        <f t="shared" si="32"/>
        <v>-14.748917892156864</v>
      </c>
      <c r="O512" s="13">
        <v>509</v>
      </c>
      <c r="P512" s="13">
        <v>204</v>
      </c>
      <c r="Q512" s="17">
        <v>170.6855596</v>
      </c>
      <c r="AA512" s="13">
        <f t="shared" si="29"/>
        <v>-16.33060803921569</v>
      </c>
      <c r="AC512" s="23"/>
      <c r="AD512" s="23"/>
      <c r="AE512" s="23"/>
      <c r="AF512" s="23"/>
      <c r="AG512" s="23"/>
      <c r="AI512" s="13">
        <v>509</v>
      </c>
      <c r="AJ512" s="13">
        <v>204</v>
      </c>
      <c r="AK512" s="17">
        <v>197.94644149999999</v>
      </c>
      <c r="AV512" s="13">
        <f t="shared" si="30"/>
        <v>-2.9674306372549086</v>
      </c>
      <c r="BD512" s="13">
        <v>509</v>
      </c>
      <c r="BE512" s="13">
        <v>204</v>
      </c>
      <c r="BF512" s="17">
        <v>192.29973330000001</v>
      </c>
      <c r="BQ512" s="13">
        <f t="shared" si="31"/>
        <v>-5.7354248529411738</v>
      </c>
    </row>
    <row r="513" spans="1:69">
      <c r="A513" s="13">
        <v>510</v>
      </c>
      <c r="B513" s="13">
        <v>169</v>
      </c>
      <c r="C513" s="17">
        <v>138.8368399</v>
      </c>
      <c r="M513" s="13">
        <f t="shared" si="32"/>
        <v>-17.848023727810649</v>
      </c>
      <c r="O513" s="13">
        <v>510</v>
      </c>
      <c r="P513" s="13">
        <v>169</v>
      </c>
      <c r="Q513" s="17">
        <v>132.68590140000001</v>
      </c>
      <c r="AA513" s="13">
        <f t="shared" si="29"/>
        <v>-21.487632307692305</v>
      </c>
      <c r="AC513" s="23"/>
      <c r="AD513" s="23"/>
      <c r="AE513" s="23"/>
      <c r="AF513" s="23"/>
      <c r="AG513" s="23"/>
      <c r="AI513" s="13">
        <v>510</v>
      </c>
      <c r="AJ513" s="13">
        <v>169</v>
      </c>
      <c r="AK513" s="17">
        <v>162.76336800000001</v>
      </c>
      <c r="AV513" s="13">
        <f t="shared" si="30"/>
        <v>-3.6903147928993962</v>
      </c>
      <c r="BD513" s="13">
        <v>510</v>
      </c>
      <c r="BE513" s="13">
        <v>169</v>
      </c>
      <c r="BF513" s="17">
        <v>156.30850090000001</v>
      </c>
      <c r="BQ513" s="13">
        <f t="shared" si="31"/>
        <v>-7.5097627810650769</v>
      </c>
    </row>
    <row r="514" spans="1:69">
      <c r="A514" s="13">
        <v>511</v>
      </c>
      <c r="B514" s="13">
        <v>161</v>
      </c>
      <c r="C514" s="17">
        <v>159.82196880000001</v>
      </c>
      <c r="M514" s="13">
        <f t="shared" si="32"/>
        <v>-0.7316963975155244</v>
      </c>
      <c r="O514" s="13">
        <v>511</v>
      </c>
      <c r="P514" s="13">
        <v>161</v>
      </c>
      <c r="Q514" s="17">
        <v>151.12343329999999</v>
      </c>
      <c r="AA514" s="13">
        <f t="shared" si="29"/>
        <v>-6.1345134782608728</v>
      </c>
      <c r="AC514" s="23"/>
      <c r="AD514" s="23"/>
      <c r="AE514" s="23"/>
      <c r="AF514" s="23"/>
      <c r="AG514" s="23"/>
      <c r="AI514" s="13">
        <v>511</v>
      </c>
      <c r="AJ514" s="13">
        <v>161</v>
      </c>
      <c r="AK514" s="17">
        <v>160.81039380000001</v>
      </c>
      <c r="AV514" s="13">
        <f t="shared" si="30"/>
        <v>-0.11776782608694525</v>
      </c>
      <c r="BD514" s="13">
        <v>511</v>
      </c>
      <c r="BE514" s="13">
        <v>161</v>
      </c>
      <c r="BF514" s="17">
        <v>160.59039329999999</v>
      </c>
      <c r="BQ514" s="13">
        <f t="shared" si="31"/>
        <v>-0.25441409937888571</v>
      </c>
    </row>
    <row r="515" spans="1:69">
      <c r="A515" s="13">
        <v>512</v>
      </c>
      <c r="B515" s="13">
        <v>205</v>
      </c>
      <c r="C515" s="17">
        <v>172.3636966</v>
      </c>
      <c r="M515" s="13">
        <f t="shared" si="32"/>
        <v>-15.920148000000001</v>
      </c>
      <c r="O515" s="13">
        <v>512</v>
      </c>
      <c r="P515" s="13">
        <v>205</v>
      </c>
      <c r="Q515" s="17">
        <v>167.55979790000001</v>
      </c>
      <c r="AA515" s="13">
        <f t="shared" ref="AA515:AA578" si="33">((Q515/P515)-1)*100</f>
        <v>-18.263513219512195</v>
      </c>
      <c r="AC515" s="23"/>
      <c r="AD515" s="23"/>
      <c r="AE515" s="23"/>
      <c r="AF515" s="23"/>
      <c r="AG515" s="23"/>
      <c r="AI515" s="13">
        <v>512</v>
      </c>
      <c r="AJ515" s="13">
        <v>205</v>
      </c>
      <c r="AK515" s="17">
        <v>198.47673929999999</v>
      </c>
      <c r="AV515" s="13">
        <f t="shared" ref="AV515:AV578" si="34">((AK515/AJ515)-1)*100</f>
        <v>-3.1820783902439032</v>
      </c>
      <c r="BD515" s="13">
        <v>512</v>
      </c>
      <c r="BE515" s="13">
        <v>205</v>
      </c>
      <c r="BF515" s="17">
        <v>192.31142550000001</v>
      </c>
      <c r="BQ515" s="13">
        <f t="shared" si="31"/>
        <v>-6.1895485365853542</v>
      </c>
    </row>
    <row r="516" spans="1:69">
      <c r="A516" s="13">
        <v>513</v>
      </c>
      <c r="B516" s="13">
        <v>119</v>
      </c>
      <c r="C516" s="17">
        <v>88.183031869999994</v>
      </c>
      <c r="M516" s="13">
        <f t="shared" si="32"/>
        <v>-25.896611873949581</v>
      </c>
      <c r="O516" s="13">
        <v>513</v>
      </c>
      <c r="P516" s="13">
        <v>119</v>
      </c>
      <c r="Q516" s="17">
        <v>89.178366600000004</v>
      </c>
      <c r="AA516" s="13">
        <f t="shared" si="33"/>
        <v>-25.060196134453783</v>
      </c>
      <c r="AC516" s="23"/>
      <c r="AD516" s="23"/>
      <c r="AE516" s="23"/>
      <c r="AF516" s="23"/>
      <c r="AG516" s="23"/>
      <c r="AI516" s="13">
        <v>513</v>
      </c>
      <c r="AJ516" s="13">
        <v>119</v>
      </c>
      <c r="AK516" s="17">
        <v>112.95260639999999</v>
      </c>
      <c r="AV516" s="13">
        <f t="shared" si="34"/>
        <v>-5.0818433613445402</v>
      </c>
      <c r="BD516" s="13">
        <v>513</v>
      </c>
      <c r="BE516" s="13">
        <v>119</v>
      </c>
      <c r="BF516" s="17">
        <v>105.797844</v>
      </c>
      <c r="BQ516" s="13">
        <f t="shared" ref="BQ516:BQ579" si="35">((BF516/BE516)-1)*100</f>
        <v>-11.094248739495804</v>
      </c>
    </row>
    <row r="517" spans="1:69">
      <c r="A517" s="13">
        <v>514</v>
      </c>
      <c r="B517" s="13">
        <v>177</v>
      </c>
      <c r="C517" s="17">
        <v>185.00524680000001</v>
      </c>
      <c r="M517" s="13">
        <f t="shared" si="32"/>
        <v>4.5227383050847614</v>
      </c>
      <c r="O517" s="13">
        <v>514</v>
      </c>
      <c r="P517" s="13">
        <v>177</v>
      </c>
      <c r="Q517" s="17">
        <v>179.2791757</v>
      </c>
      <c r="AA517" s="13">
        <f t="shared" si="33"/>
        <v>1.287669887005638</v>
      </c>
      <c r="AC517" s="23"/>
      <c r="AD517" s="23"/>
      <c r="AE517" s="23"/>
      <c r="AF517" s="23"/>
      <c r="AG517" s="23"/>
      <c r="AI517" s="13">
        <v>514</v>
      </c>
      <c r="AJ517" s="13">
        <v>177</v>
      </c>
      <c r="AK517" s="17">
        <v>178.46704940000001</v>
      </c>
      <c r="AV517" s="13">
        <f t="shared" si="34"/>
        <v>0.82884146892656663</v>
      </c>
      <c r="BD517" s="13">
        <v>514</v>
      </c>
      <c r="BE517" s="13">
        <v>177</v>
      </c>
      <c r="BF517" s="17">
        <v>180.27140009999999</v>
      </c>
      <c r="BQ517" s="13">
        <f t="shared" si="35"/>
        <v>1.8482486440677848</v>
      </c>
    </row>
    <row r="518" spans="1:69">
      <c r="A518" s="13">
        <v>515</v>
      </c>
      <c r="B518" s="13">
        <v>198</v>
      </c>
      <c r="C518" s="17">
        <v>196.799364</v>
      </c>
      <c r="M518" s="13">
        <f t="shared" si="32"/>
        <v>-0.60638181818182257</v>
      </c>
      <c r="O518" s="13">
        <v>515</v>
      </c>
      <c r="P518" s="13">
        <v>198</v>
      </c>
      <c r="Q518" s="17">
        <v>193.40482900000001</v>
      </c>
      <c r="AA518" s="13">
        <f t="shared" si="33"/>
        <v>-2.3207934343434267</v>
      </c>
      <c r="AC518" s="23"/>
      <c r="AD518" s="23"/>
      <c r="AE518" s="23"/>
      <c r="AF518" s="23"/>
      <c r="AG518" s="23"/>
      <c r="AI518" s="13">
        <v>515</v>
      </c>
      <c r="AJ518" s="13">
        <v>198</v>
      </c>
      <c r="AK518" s="17">
        <v>197.55387279999999</v>
      </c>
      <c r="AV518" s="13">
        <f t="shared" si="34"/>
        <v>-0.22531676767677533</v>
      </c>
      <c r="BD518" s="13">
        <v>515</v>
      </c>
      <c r="BE518" s="13">
        <v>198</v>
      </c>
      <c r="BF518" s="17">
        <v>197.47368710000001</v>
      </c>
      <c r="BQ518" s="13">
        <f t="shared" si="35"/>
        <v>-0.26581459595959034</v>
      </c>
    </row>
    <row r="519" spans="1:69">
      <c r="A519" s="13">
        <v>516</v>
      </c>
      <c r="B519" s="13">
        <v>116</v>
      </c>
      <c r="C519" s="17">
        <v>127.09181649999999</v>
      </c>
      <c r="M519" s="13">
        <f t="shared" si="32"/>
        <v>9.5619107758620601</v>
      </c>
      <c r="O519" s="13">
        <v>516</v>
      </c>
      <c r="P519" s="13">
        <v>116</v>
      </c>
      <c r="Q519" s="17">
        <v>125.41820749999999</v>
      </c>
      <c r="AA519" s="13">
        <f t="shared" si="33"/>
        <v>8.1191443965517252</v>
      </c>
      <c r="AC519" s="23"/>
      <c r="AD519" s="23"/>
      <c r="AE519" s="23"/>
      <c r="AF519" s="23"/>
      <c r="AG519" s="23"/>
      <c r="AI519" s="13">
        <v>516</v>
      </c>
      <c r="AJ519" s="13">
        <v>116</v>
      </c>
      <c r="AK519" s="17">
        <v>118.3083633</v>
      </c>
      <c r="AV519" s="13">
        <f t="shared" si="34"/>
        <v>1.9899683620689723</v>
      </c>
      <c r="BD519" s="13">
        <v>516</v>
      </c>
      <c r="BE519" s="13">
        <v>116</v>
      </c>
      <c r="BF519" s="17">
        <v>120.0778969</v>
      </c>
      <c r="BQ519" s="13">
        <f t="shared" si="35"/>
        <v>3.515428362068973</v>
      </c>
    </row>
    <row r="520" spans="1:69">
      <c r="A520" s="13">
        <v>517</v>
      </c>
      <c r="B520" s="13">
        <v>220</v>
      </c>
      <c r="C520" s="17">
        <v>190.1022815</v>
      </c>
      <c r="M520" s="13">
        <f t="shared" si="32"/>
        <v>-13.589872045454543</v>
      </c>
      <c r="O520" s="13">
        <v>517</v>
      </c>
      <c r="P520" s="13">
        <v>220</v>
      </c>
      <c r="Q520" s="17">
        <v>184.96120930000001</v>
      </c>
      <c r="AA520" s="13">
        <f t="shared" si="33"/>
        <v>-15.926723045454539</v>
      </c>
      <c r="AC520" s="23"/>
      <c r="AD520" s="23"/>
      <c r="AE520" s="23"/>
      <c r="AF520" s="23"/>
      <c r="AG520" s="23"/>
      <c r="AI520" s="13">
        <v>517</v>
      </c>
      <c r="AJ520" s="13">
        <v>220</v>
      </c>
      <c r="AK520" s="17">
        <v>214.10645629999999</v>
      </c>
      <c r="AV520" s="13">
        <f t="shared" si="34"/>
        <v>-2.6788835000000066</v>
      </c>
      <c r="BD520" s="13">
        <v>517</v>
      </c>
      <c r="BE520" s="13">
        <v>220</v>
      </c>
      <c r="BF520" s="17">
        <v>208.1084329</v>
      </c>
      <c r="BQ520" s="13">
        <f t="shared" si="35"/>
        <v>-5.4052577727272784</v>
      </c>
    </row>
    <row r="521" spans="1:69">
      <c r="A521" s="13">
        <v>518</v>
      </c>
      <c r="B521" s="13">
        <v>59</v>
      </c>
      <c r="C521" s="17">
        <v>59.2954516</v>
      </c>
      <c r="M521" s="13">
        <f t="shared" si="32"/>
        <v>0.50076542372881061</v>
      </c>
      <c r="O521" s="13">
        <v>518</v>
      </c>
      <c r="P521" s="13">
        <v>59</v>
      </c>
      <c r="Q521" s="17">
        <v>61.723547930000002</v>
      </c>
      <c r="AA521" s="13">
        <f t="shared" si="33"/>
        <v>4.6161829322033832</v>
      </c>
      <c r="AC521" s="23"/>
      <c r="AD521" s="23"/>
      <c r="AE521" s="23"/>
      <c r="AF521" s="23"/>
      <c r="AG521" s="23"/>
      <c r="AI521" s="13">
        <v>518</v>
      </c>
      <c r="AJ521" s="13">
        <v>59</v>
      </c>
      <c r="AK521" s="17">
        <v>58.983090320000002</v>
      </c>
      <c r="AV521" s="13">
        <f t="shared" si="34"/>
        <v>-2.8660474576269745E-2</v>
      </c>
      <c r="BD521" s="13">
        <v>518</v>
      </c>
      <c r="BE521" s="13">
        <v>59</v>
      </c>
      <c r="BF521" s="17">
        <v>58.871938960000001</v>
      </c>
      <c r="BQ521" s="13">
        <f t="shared" si="35"/>
        <v>-0.21705261016948807</v>
      </c>
    </row>
    <row r="522" spans="1:69">
      <c r="A522" s="13">
        <v>519</v>
      </c>
      <c r="B522" s="13">
        <v>153</v>
      </c>
      <c r="C522" s="17">
        <v>162.99252899999999</v>
      </c>
      <c r="M522" s="13">
        <f t="shared" si="32"/>
        <v>6.531064705882339</v>
      </c>
      <c r="O522" s="13">
        <v>519</v>
      </c>
      <c r="P522" s="13">
        <v>153</v>
      </c>
      <c r="Q522" s="17">
        <v>156.59064100000001</v>
      </c>
      <c r="AA522" s="13">
        <f t="shared" si="33"/>
        <v>2.3468241830065351</v>
      </c>
      <c r="AC522" s="23"/>
      <c r="AD522" s="23"/>
      <c r="AE522" s="23"/>
      <c r="AF522" s="23"/>
      <c r="AG522" s="23"/>
      <c r="AI522" s="13">
        <v>519</v>
      </c>
      <c r="AJ522" s="13">
        <v>153</v>
      </c>
      <c r="AK522" s="17">
        <v>155.1345058</v>
      </c>
      <c r="AV522" s="13">
        <f t="shared" si="34"/>
        <v>1.3951018300653484</v>
      </c>
      <c r="BD522" s="13">
        <v>519</v>
      </c>
      <c r="BE522" s="13">
        <v>153</v>
      </c>
      <c r="BF522" s="17">
        <v>156.44065760000001</v>
      </c>
      <c r="BQ522" s="13">
        <f t="shared" si="35"/>
        <v>2.2487958169934652</v>
      </c>
    </row>
    <row r="523" spans="1:69">
      <c r="A523" s="13">
        <v>520</v>
      </c>
      <c r="B523" s="13">
        <v>28</v>
      </c>
      <c r="C523" s="17">
        <v>29.46759393</v>
      </c>
      <c r="M523" s="13">
        <f t="shared" si="32"/>
        <v>5.2414068928571478</v>
      </c>
      <c r="O523" s="13">
        <v>520</v>
      </c>
      <c r="P523" s="13">
        <v>28</v>
      </c>
      <c r="Q523" s="17">
        <v>27.644152389999999</v>
      </c>
      <c r="AA523" s="13">
        <f t="shared" si="33"/>
        <v>-1.2708843214285781</v>
      </c>
      <c r="AC523" s="23"/>
      <c r="AD523" s="23"/>
      <c r="AE523" s="23"/>
      <c r="AF523" s="23"/>
      <c r="AG523" s="23"/>
      <c r="AI523" s="13">
        <v>520</v>
      </c>
      <c r="AJ523" s="13">
        <v>28</v>
      </c>
      <c r="AK523" s="17">
        <v>28.290918789999999</v>
      </c>
      <c r="AV523" s="13">
        <f t="shared" si="34"/>
        <v>1.0389956785714194</v>
      </c>
      <c r="BD523" s="13">
        <v>520</v>
      </c>
      <c r="BE523" s="13">
        <v>28</v>
      </c>
      <c r="BF523" s="17">
        <v>28.038795969999999</v>
      </c>
      <c r="BQ523" s="13">
        <f t="shared" si="35"/>
        <v>0.1385570357142818</v>
      </c>
    </row>
    <row r="524" spans="1:69">
      <c r="A524" s="13">
        <v>521</v>
      </c>
      <c r="B524" s="13">
        <v>44</v>
      </c>
      <c r="C524" s="17">
        <v>55.46506754</v>
      </c>
      <c r="M524" s="13">
        <f t="shared" si="32"/>
        <v>26.056971681818176</v>
      </c>
      <c r="O524" s="13">
        <v>521</v>
      </c>
      <c r="P524" s="13">
        <v>44</v>
      </c>
      <c r="Q524" s="17">
        <v>47.547061030000002</v>
      </c>
      <c r="AA524" s="13">
        <f t="shared" si="33"/>
        <v>8.0615023409090991</v>
      </c>
      <c r="AC524" s="23"/>
      <c r="AD524" s="23"/>
      <c r="AE524" s="23"/>
      <c r="AF524" s="23"/>
      <c r="AG524" s="23"/>
      <c r="AI524" s="13">
        <v>521</v>
      </c>
      <c r="AJ524" s="13">
        <v>44</v>
      </c>
      <c r="AK524" s="17">
        <v>46.233013509999999</v>
      </c>
      <c r="AV524" s="13">
        <f t="shared" si="34"/>
        <v>5.0750307045454468</v>
      </c>
      <c r="BD524" s="13">
        <v>521</v>
      </c>
      <c r="BE524" s="13">
        <v>44</v>
      </c>
      <c r="BF524" s="17">
        <v>47.968622770000003</v>
      </c>
      <c r="BQ524" s="13">
        <f t="shared" si="35"/>
        <v>9.0195972045454589</v>
      </c>
    </row>
    <row r="525" spans="1:69">
      <c r="A525" s="13">
        <v>522</v>
      </c>
      <c r="B525" s="13">
        <v>16</v>
      </c>
      <c r="C525" s="17">
        <v>20.218009690147401</v>
      </c>
      <c r="M525" s="13">
        <f t="shared" si="32"/>
        <v>26.362560563421255</v>
      </c>
      <c r="O525" s="13">
        <v>522</v>
      </c>
      <c r="P525" s="13">
        <v>16</v>
      </c>
      <c r="Q525" s="17">
        <v>13.585520710965801</v>
      </c>
      <c r="AA525" s="13">
        <f t="shared" si="33"/>
        <v>-15.090495556463745</v>
      </c>
      <c r="AC525" s="23"/>
      <c r="AD525" s="23"/>
      <c r="AE525" s="23"/>
      <c r="AF525" s="23"/>
      <c r="AG525" s="23"/>
      <c r="AI525" s="13">
        <v>522</v>
      </c>
      <c r="AJ525" s="13">
        <v>16</v>
      </c>
      <c r="AK525" s="17">
        <v>18.13041007</v>
      </c>
      <c r="AV525" s="13">
        <f t="shared" si="34"/>
        <v>13.315062937499999</v>
      </c>
      <c r="BD525" s="13">
        <v>522</v>
      </c>
      <c r="BE525" s="13">
        <v>16</v>
      </c>
      <c r="BF525" s="17">
        <v>19.75619099</v>
      </c>
      <c r="BQ525" s="13">
        <f t="shared" si="35"/>
        <v>23.4761936875</v>
      </c>
    </row>
    <row r="526" spans="1:69">
      <c r="A526" s="13">
        <v>523</v>
      </c>
      <c r="B526" s="13">
        <v>188</v>
      </c>
      <c r="C526" s="17">
        <v>156.24338349999999</v>
      </c>
      <c r="M526" s="13">
        <f t="shared" si="32"/>
        <v>-16.891817287234044</v>
      </c>
      <c r="O526" s="13">
        <v>523</v>
      </c>
      <c r="P526" s="13">
        <v>188</v>
      </c>
      <c r="Q526" s="17">
        <v>148.68228540000001</v>
      </c>
      <c r="AA526" s="13">
        <f t="shared" si="33"/>
        <v>-20.913677978723399</v>
      </c>
      <c r="AC526" s="23"/>
      <c r="AD526" s="23"/>
      <c r="AE526" s="23"/>
      <c r="AF526" s="23"/>
      <c r="AG526" s="23"/>
      <c r="AI526" s="13">
        <v>523</v>
      </c>
      <c r="AJ526" s="13">
        <v>188</v>
      </c>
      <c r="AK526" s="17">
        <v>181.3846767</v>
      </c>
      <c r="AV526" s="13">
        <f t="shared" si="34"/>
        <v>-3.5187889893616986</v>
      </c>
      <c r="BD526" s="13">
        <v>523</v>
      </c>
      <c r="BE526" s="13">
        <v>188</v>
      </c>
      <c r="BF526" s="17">
        <v>174.96628899999999</v>
      </c>
      <c r="BQ526" s="13">
        <f t="shared" si="35"/>
        <v>-6.9328250000000091</v>
      </c>
    </row>
    <row r="527" spans="1:69">
      <c r="A527" s="13">
        <v>524</v>
      </c>
      <c r="B527" s="13">
        <v>86</v>
      </c>
      <c r="C527" s="17">
        <v>94.785356300000004</v>
      </c>
      <c r="M527" s="13">
        <f t="shared" si="32"/>
        <v>10.215530581395349</v>
      </c>
      <c r="O527" s="13">
        <v>524</v>
      </c>
      <c r="P527" s="13">
        <v>86</v>
      </c>
      <c r="Q527" s="17">
        <v>93.532445820000007</v>
      </c>
      <c r="AA527" s="13">
        <f t="shared" si="33"/>
        <v>8.7586579302325607</v>
      </c>
      <c r="AC527" s="23"/>
      <c r="AD527" s="23"/>
      <c r="AE527" s="23"/>
      <c r="AF527" s="23"/>
      <c r="AG527" s="23"/>
      <c r="AI527" s="13">
        <v>524</v>
      </c>
      <c r="AJ527" s="13">
        <v>86</v>
      </c>
      <c r="AK527" s="17">
        <v>88.069071260000001</v>
      </c>
      <c r="AV527" s="13">
        <f t="shared" si="34"/>
        <v>2.4058968139534898</v>
      </c>
      <c r="BD527" s="13">
        <v>524</v>
      </c>
      <c r="BE527" s="13">
        <v>86</v>
      </c>
      <c r="BF527" s="17">
        <v>88.487155920000006</v>
      </c>
      <c r="BQ527" s="13">
        <f t="shared" si="35"/>
        <v>2.8920417674418664</v>
      </c>
    </row>
    <row r="528" spans="1:69">
      <c r="A528" s="13">
        <v>525</v>
      </c>
      <c r="B528" s="13">
        <v>121</v>
      </c>
      <c r="C528" s="17">
        <v>131.90292360000001</v>
      </c>
      <c r="M528" s="13">
        <f t="shared" si="32"/>
        <v>9.0106806611570214</v>
      </c>
      <c r="O528" s="13">
        <v>525</v>
      </c>
      <c r="P528" s="13">
        <v>121</v>
      </c>
      <c r="Q528" s="17">
        <v>127.6376714</v>
      </c>
      <c r="AA528" s="13">
        <f t="shared" si="33"/>
        <v>5.4856788429752168</v>
      </c>
      <c r="AC528" s="23"/>
      <c r="AD528" s="23"/>
      <c r="AE528" s="23"/>
      <c r="AF528" s="23"/>
      <c r="AG528" s="23"/>
      <c r="AI528" s="13">
        <v>525</v>
      </c>
      <c r="AJ528" s="13">
        <v>121</v>
      </c>
      <c r="AK528" s="17">
        <v>122.9425847</v>
      </c>
      <c r="AV528" s="13">
        <f t="shared" si="34"/>
        <v>1.6054419008264542</v>
      </c>
      <c r="BD528" s="13">
        <v>525</v>
      </c>
      <c r="BE528" s="13">
        <v>121</v>
      </c>
      <c r="BF528" s="17">
        <v>125.6446289</v>
      </c>
      <c r="BQ528" s="13">
        <f t="shared" si="35"/>
        <v>3.8385362809917334</v>
      </c>
    </row>
    <row r="529" spans="1:69">
      <c r="A529" s="13">
        <v>526</v>
      </c>
      <c r="B529" s="13">
        <v>18</v>
      </c>
      <c r="C529" s="17">
        <v>19.748283158230201</v>
      </c>
      <c r="M529" s="13">
        <f t="shared" si="32"/>
        <v>9.7126842123899984</v>
      </c>
      <c r="O529" s="13">
        <v>526</v>
      </c>
      <c r="P529" s="13">
        <v>18</v>
      </c>
      <c r="Q529" s="17">
        <v>24.237813057833002</v>
      </c>
      <c r="AA529" s="13">
        <f t="shared" si="33"/>
        <v>34.654516987961117</v>
      </c>
      <c r="AC529" s="23"/>
      <c r="AD529" s="23"/>
      <c r="AE529" s="23"/>
      <c r="AF529" s="23"/>
      <c r="AG529" s="23"/>
      <c r="AI529" s="13">
        <v>526</v>
      </c>
      <c r="AJ529" s="13">
        <v>18</v>
      </c>
      <c r="AK529" s="17">
        <v>16.543058055359001</v>
      </c>
      <c r="AV529" s="13">
        <f t="shared" si="34"/>
        <v>-8.0941219146722148</v>
      </c>
      <c r="BD529" s="13">
        <v>526</v>
      </c>
      <c r="BE529" s="13">
        <v>18</v>
      </c>
      <c r="BF529" s="17">
        <v>24.682518187043801</v>
      </c>
      <c r="BQ529" s="13">
        <f t="shared" si="35"/>
        <v>37.125101039132225</v>
      </c>
    </row>
    <row r="530" spans="1:69">
      <c r="A530" s="13">
        <v>527</v>
      </c>
      <c r="B530" s="13">
        <v>89</v>
      </c>
      <c r="C530" s="17">
        <v>91.291066529999995</v>
      </c>
      <c r="M530" s="13">
        <f t="shared" si="32"/>
        <v>2.5742320561797705</v>
      </c>
      <c r="O530" s="13">
        <v>527</v>
      </c>
      <c r="P530" s="13">
        <v>89</v>
      </c>
      <c r="Q530" s="17">
        <v>90.368132709999998</v>
      </c>
      <c r="AA530" s="13">
        <f t="shared" si="33"/>
        <v>1.5372277640449461</v>
      </c>
      <c r="AC530" s="23"/>
      <c r="AD530" s="23"/>
      <c r="AE530" s="23"/>
      <c r="AF530" s="23"/>
      <c r="AG530" s="23"/>
      <c r="AI530" s="13">
        <v>527</v>
      </c>
      <c r="AJ530" s="13">
        <v>89</v>
      </c>
      <c r="AK530" s="17">
        <v>89.536213309999994</v>
      </c>
      <c r="AV530" s="13">
        <f t="shared" si="34"/>
        <v>0.60248686516852779</v>
      </c>
      <c r="BD530" s="13">
        <v>527</v>
      </c>
      <c r="BE530" s="13">
        <v>89</v>
      </c>
      <c r="BF530" s="17">
        <v>89.819377660000001</v>
      </c>
      <c r="BQ530" s="13">
        <f t="shared" si="35"/>
        <v>0.92064905617976756</v>
      </c>
    </row>
    <row r="531" spans="1:69">
      <c r="A531" s="13">
        <v>528</v>
      </c>
      <c r="B531" s="13">
        <v>16</v>
      </c>
      <c r="C531" s="17">
        <v>18.405438978333802</v>
      </c>
      <c r="M531" s="13">
        <f t="shared" si="32"/>
        <v>15.033993614586262</v>
      </c>
      <c r="O531" s="13">
        <v>528</v>
      </c>
      <c r="P531" s="13">
        <v>16</v>
      </c>
      <c r="Q531" s="17">
        <v>25.534834092589101</v>
      </c>
      <c r="AA531" s="13">
        <f t="shared" si="33"/>
        <v>59.592713078681882</v>
      </c>
      <c r="AC531" s="23"/>
      <c r="AD531" s="23"/>
      <c r="AE531" s="23"/>
      <c r="AF531" s="23"/>
      <c r="AG531" s="23"/>
      <c r="AI531" s="13">
        <v>528</v>
      </c>
      <c r="AJ531" s="13">
        <v>16</v>
      </c>
      <c r="AK531" s="17">
        <v>17.314928830572899</v>
      </c>
      <c r="AV531" s="13">
        <f t="shared" si="34"/>
        <v>8.2183051910806206</v>
      </c>
      <c r="BD531" s="13">
        <v>528</v>
      </c>
      <c r="BE531" s="13">
        <v>16</v>
      </c>
      <c r="BF531" s="17">
        <v>18.619605230764702</v>
      </c>
      <c r="BQ531" s="13">
        <f t="shared" si="35"/>
        <v>16.372532692279385</v>
      </c>
    </row>
    <row r="532" spans="1:69">
      <c r="A532" s="13">
        <v>529</v>
      </c>
      <c r="B532" s="13">
        <v>120</v>
      </c>
      <c r="C532" s="17">
        <v>120.18826900000001</v>
      </c>
      <c r="M532" s="13">
        <f t="shared" si="32"/>
        <v>0.15689083333334519</v>
      </c>
      <c r="O532" s="13">
        <v>529</v>
      </c>
      <c r="P532" s="13">
        <v>120</v>
      </c>
      <c r="Q532" s="17">
        <v>116.7694869</v>
      </c>
      <c r="AA532" s="13">
        <f t="shared" si="33"/>
        <v>-2.6920942499999989</v>
      </c>
      <c r="AC532" s="23"/>
      <c r="AD532" s="23"/>
      <c r="AE532" s="23"/>
      <c r="AF532" s="23"/>
      <c r="AG532" s="23"/>
      <c r="AI532" s="13">
        <v>529</v>
      </c>
      <c r="AJ532" s="13">
        <v>120</v>
      </c>
      <c r="AK532" s="17">
        <v>119.6916538</v>
      </c>
      <c r="AV532" s="13">
        <f t="shared" si="34"/>
        <v>-0.25695516666667251</v>
      </c>
      <c r="BD532" s="13">
        <v>529</v>
      </c>
      <c r="BE532" s="13">
        <v>120</v>
      </c>
      <c r="BF532" s="17">
        <v>118.9371125</v>
      </c>
      <c r="BQ532" s="13">
        <f t="shared" si="35"/>
        <v>-0.88573958333333369</v>
      </c>
    </row>
    <row r="533" spans="1:69">
      <c r="A533" s="13">
        <v>530</v>
      </c>
      <c r="B533" s="13">
        <v>57</v>
      </c>
      <c r="C533" s="17">
        <v>66.454849089999996</v>
      </c>
      <c r="M533" s="13">
        <f t="shared" si="32"/>
        <v>16.587454543859636</v>
      </c>
      <c r="O533" s="13">
        <v>530</v>
      </c>
      <c r="P533" s="13">
        <v>57</v>
      </c>
      <c r="Q533" s="17">
        <v>66.85190412</v>
      </c>
      <c r="AA533" s="13">
        <f t="shared" si="33"/>
        <v>17.284042315789485</v>
      </c>
      <c r="AC533" s="23"/>
      <c r="AD533" s="23"/>
      <c r="AE533" s="23"/>
      <c r="AF533" s="23"/>
      <c r="AG533" s="23"/>
      <c r="AI533" s="13">
        <v>530</v>
      </c>
      <c r="AJ533" s="13">
        <v>57</v>
      </c>
      <c r="AK533" s="17">
        <v>58.628969820000002</v>
      </c>
      <c r="AV533" s="13">
        <f t="shared" si="34"/>
        <v>2.8578417894736807</v>
      </c>
      <c r="BD533" s="13">
        <v>530</v>
      </c>
      <c r="BE533" s="13">
        <v>57</v>
      </c>
      <c r="BF533" s="17">
        <v>60.720465060000002</v>
      </c>
      <c r="BQ533" s="13">
        <f t="shared" si="35"/>
        <v>6.5271316842105298</v>
      </c>
    </row>
    <row r="534" spans="1:69">
      <c r="A534" s="13">
        <v>531</v>
      </c>
      <c r="B534" s="13">
        <v>132</v>
      </c>
      <c r="C534" s="17">
        <v>132.2218555</v>
      </c>
      <c r="M534" s="13">
        <f t="shared" si="32"/>
        <v>0.16807234848486008</v>
      </c>
      <c r="O534" s="13">
        <v>531</v>
      </c>
      <c r="P534" s="13">
        <v>132</v>
      </c>
      <c r="Q534" s="17">
        <v>123.713815</v>
      </c>
      <c r="AA534" s="13">
        <f t="shared" si="33"/>
        <v>-6.2774128787878798</v>
      </c>
      <c r="AC534" s="23"/>
      <c r="AD534" s="23"/>
      <c r="AE534" s="23"/>
      <c r="AF534" s="23"/>
      <c r="AG534" s="23"/>
      <c r="AI534" s="13">
        <v>531</v>
      </c>
      <c r="AJ534" s="13">
        <v>132</v>
      </c>
      <c r="AK534" s="17">
        <v>131.81837110000001</v>
      </c>
      <c r="AV534" s="13">
        <f t="shared" si="34"/>
        <v>-0.13759765151514225</v>
      </c>
      <c r="BD534" s="13">
        <v>531</v>
      </c>
      <c r="BE534" s="13">
        <v>132</v>
      </c>
      <c r="BF534" s="17">
        <v>132.1675754</v>
      </c>
      <c r="BQ534" s="13">
        <f t="shared" si="35"/>
        <v>0.12695106060607309</v>
      </c>
    </row>
    <row r="535" spans="1:69">
      <c r="A535" s="13">
        <v>532</v>
      </c>
      <c r="B535" s="13">
        <v>221</v>
      </c>
      <c r="C535" s="17">
        <v>190.03954039999999</v>
      </c>
      <c r="M535" s="13">
        <f t="shared" si="32"/>
        <v>-14.009257737556569</v>
      </c>
      <c r="O535" s="13">
        <v>532</v>
      </c>
      <c r="P535" s="13">
        <v>221</v>
      </c>
      <c r="Q535" s="17">
        <v>186.8855418</v>
      </c>
      <c r="AA535" s="13">
        <f t="shared" si="33"/>
        <v>-15.436406425339367</v>
      </c>
      <c r="AC535" s="23"/>
      <c r="AD535" s="23"/>
      <c r="AE535" s="23"/>
      <c r="AF535" s="23"/>
      <c r="AG535" s="23"/>
      <c r="AI535" s="13">
        <v>532</v>
      </c>
      <c r="AJ535" s="13">
        <v>221</v>
      </c>
      <c r="AK535" s="17">
        <v>214.59790810000001</v>
      </c>
      <c r="AV535" s="13">
        <f t="shared" si="34"/>
        <v>-2.8968741628959238</v>
      </c>
      <c r="BD535" s="13">
        <v>532</v>
      </c>
      <c r="BE535" s="13">
        <v>221</v>
      </c>
      <c r="BF535" s="17">
        <v>208.67029579999999</v>
      </c>
      <c r="BQ535" s="13">
        <f t="shared" si="35"/>
        <v>-5.5790516742081468</v>
      </c>
    </row>
    <row r="536" spans="1:69">
      <c r="A536" s="13">
        <v>533</v>
      </c>
      <c r="B536" s="13">
        <v>99</v>
      </c>
      <c r="C536" s="17">
        <v>111.2994156</v>
      </c>
      <c r="M536" s="13">
        <f t="shared" si="32"/>
        <v>12.423652121212125</v>
      </c>
      <c r="O536" s="13">
        <v>533</v>
      </c>
      <c r="P536" s="13">
        <v>99</v>
      </c>
      <c r="Q536" s="17">
        <v>102.3797661</v>
      </c>
      <c r="AA536" s="13">
        <f t="shared" si="33"/>
        <v>3.4139051515151397</v>
      </c>
      <c r="AC536" s="23"/>
      <c r="AD536" s="23"/>
      <c r="AE536" s="23"/>
      <c r="AF536" s="23"/>
      <c r="AG536" s="23"/>
      <c r="AI536" s="13">
        <v>533</v>
      </c>
      <c r="AJ536" s="13">
        <v>99</v>
      </c>
      <c r="AK536" s="17">
        <v>101.3738831</v>
      </c>
      <c r="AV536" s="13">
        <f t="shared" si="34"/>
        <v>2.397861717171712</v>
      </c>
      <c r="BD536" s="13">
        <v>533</v>
      </c>
      <c r="BE536" s="13">
        <v>99</v>
      </c>
      <c r="BF536" s="17">
        <v>103.4281421</v>
      </c>
      <c r="BQ536" s="13">
        <f t="shared" si="35"/>
        <v>4.4728708080808088</v>
      </c>
    </row>
    <row r="537" spans="1:69">
      <c r="A537" s="13">
        <v>534</v>
      </c>
      <c r="B537" s="13">
        <v>5</v>
      </c>
      <c r="C537" s="17">
        <v>6.6374207439999999</v>
      </c>
      <c r="M537" s="13">
        <f t="shared" si="32"/>
        <v>32.748414879999999</v>
      </c>
      <c r="O537" s="13">
        <v>534</v>
      </c>
      <c r="P537" s="13">
        <v>5</v>
      </c>
      <c r="Q537" s="17">
        <v>6.8191966730000004</v>
      </c>
      <c r="AA537" s="13">
        <f t="shared" si="33"/>
        <v>36.383933460000016</v>
      </c>
      <c r="AC537" s="23"/>
      <c r="AD537" s="23"/>
      <c r="AE537" s="23"/>
      <c r="AF537" s="23"/>
      <c r="AG537" s="23"/>
      <c r="AI537" s="13">
        <v>534</v>
      </c>
      <c r="AJ537" s="13">
        <v>5</v>
      </c>
      <c r="AK537" s="17">
        <v>5.3288841490000003</v>
      </c>
      <c r="AV537" s="13">
        <f t="shared" si="34"/>
        <v>6.5776829800000103</v>
      </c>
      <c r="BD537" s="13">
        <v>534</v>
      </c>
      <c r="BE537" s="13">
        <v>5</v>
      </c>
      <c r="BF537" s="17">
        <v>5.0988240640000004</v>
      </c>
      <c r="BQ537" s="13">
        <f t="shared" si="35"/>
        <v>1.9764812800000087</v>
      </c>
    </row>
    <row r="538" spans="1:69">
      <c r="A538" s="13">
        <v>535</v>
      </c>
      <c r="B538" s="13">
        <v>213</v>
      </c>
      <c r="C538" s="17">
        <v>183.8188155</v>
      </c>
      <c r="M538" s="13">
        <f t="shared" si="32"/>
        <v>-13.700086619718309</v>
      </c>
      <c r="O538" s="13">
        <v>535</v>
      </c>
      <c r="P538" s="13">
        <v>213</v>
      </c>
      <c r="Q538" s="17">
        <v>178.39413830000001</v>
      </c>
      <c r="AA538" s="13">
        <f t="shared" si="33"/>
        <v>-16.246883427230042</v>
      </c>
      <c r="AC538" s="23"/>
      <c r="AD538" s="23"/>
      <c r="AE538" s="23"/>
      <c r="AF538" s="23"/>
      <c r="AG538" s="23"/>
      <c r="AI538" s="13">
        <v>535</v>
      </c>
      <c r="AJ538" s="13">
        <v>213</v>
      </c>
      <c r="AK538" s="17">
        <v>207.12376309999999</v>
      </c>
      <c r="AV538" s="13">
        <f t="shared" si="34"/>
        <v>-2.7587966666666741</v>
      </c>
      <c r="BD538" s="13">
        <v>535</v>
      </c>
      <c r="BE538" s="13">
        <v>213</v>
      </c>
      <c r="BF538" s="17">
        <v>201.46385799999999</v>
      </c>
      <c r="BQ538" s="13">
        <f t="shared" si="35"/>
        <v>-5.4160291079812239</v>
      </c>
    </row>
    <row r="539" spans="1:69">
      <c r="A539" s="13">
        <v>536</v>
      </c>
      <c r="B539" s="13">
        <v>98</v>
      </c>
      <c r="C539" s="17">
        <v>98.324157290000002</v>
      </c>
      <c r="M539" s="13">
        <f t="shared" si="32"/>
        <v>0.33077274489796693</v>
      </c>
      <c r="O539" s="13">
        <v>536</v>
      </c>
      <c r="P539" s="13">
        <v>98</v>
      </c>
      <c r="Q539" s="17">
        <v>91.353944600000005</v>
      </c>
      <c r="AA539" s="13">
        <f t="shared" si="33"/>
        <v>-6.7816891836734676</v>
      </c>
      <c r="AC539" s="23"/>
      <c r="AD539" s="23"/>
      <c r="AE539" s="23"/>
      <c r="AF539" s="23"/>
      <c r="AG539" s="23"/>
      <c r="AI539" s="13">
        <v>536</v>
      </c>
      <c r="AJ539" s="13">
        <v>98</v>
      </c>
      <c r="AK539" s="17">
        <v>97.754831460000005</v>
      </c>
      <c r="AV539" s="13">
        <f t="shared" si="34"/>
        <v>-0.25017197959182891</v>
      </c>
      <c r="BD539" s="13">
        <v>536</v>
      </c>
      <c r="BE539" s="13">
        <v>98</v>
      </c>
      <c r="BF539" s="17">
        <v>97.283110089999994</v>
      </c>
      <c r="BQ539" s="13">
        <f t="shared" si="35"/>
        <v>-0.73152031632653935</v>
      </c>
    </row>
    <row r="540" spans="1:69">
      <c r="A540" s="13">
        <v>537</v>
      </c>
      <c r="B540" s="13">
        <v>65</v>
      </c>
      <c r="C540" s="17">
        <v>37.161289889999999</v>
      </c>
      <c r="M540" s="13">
        <f t="shared" si="32"/>
        <v>-42.82878478461538</v>
      </c>
      <c r="O540" s="13">
        <v>537</v>
      </c>
      <c r="P540" s="13">
        <v>65</v>
      </c>
      <c r="Q540" s="17">
        <v>40.113707990000002</v>
      </c>
      <c r="AA540" s="13">
        <f t="shared" si="33"/>
        <v>-38.286603092307693</v>
      </c>
      <c r="AC540" s="23"/>
      <c r="AD540" s="23"/>
      <c r="AE540" s="23"/>
      <c r="AF540" s="23"/>
      <c r="AG540" s="23"/>
      <c r="AI540" s="13">
        <v>537</v>
      </c>
      <c r="AJ540" s="13">
        <v>65</v>
      </c>
      <c r="AK540" s="17">
        <v>59.73825798</v>
      </c>
      <c r="AV540" s="13">
        <f t="shared" si="34"/>
        <v>-8.0949877230769189</v>
      </c>
      <c r="BD540" s="13">
        <v>537</v>
      </c>
      <c r="BE540" s="13">
        <v>65</v>
      </c>
      <c r="BF540" s="17">
        <v>53.535235900000004</v>
      </c>
      <c r="BQ540" s="13">
        <f t="shared" si="35"/>
        <v>-17.638098615384614</v>
      </c>
    </row>
    <row r="541" spans="1:69">
      <c r="A541" s="13">
        <v>538</v>
      </c>
      <c r="B541" s="13">
        <v>199</v>
      </c>
      <c r="C541" s="17">
        <v>197.5276944</v>
      </c>
      <c r="M541" s="13">
        <f t="shared" si="32"/>
        <v>-0.73985206030150463</v>
      </c>
      <c r="O541" s="13">
        <v>538</v>
      </c>
      <c r="P541" s="13">
        <v>199</v>
      </c>
      <c r="Q541" s="17">
        <v>192.11496529999999</v>
      </c>
      <c r="AA541" s="13">
        <f t="shared" si="33"/>
        <v>-3.4598164321608116</v>
      </c>
      <c r="AC541" s="23"/>
      <c r="AD541" s="23"/>
      <c r="AE541" s="23"/>
      <c r="AF541" s="23"/>
      <c r="AG541" s="23"/>
      <c r="AI541" s="13">
        <v>538</v>
      </c>
      <c r="AJ541" s="13">
        <v>199</v>
      </c>
      <c r="AK541" s="17">
        <v>198.6715389</v>
      </c>
      <c r="AV541" s="13">
        <f t="shared" si="34"/>
        <v>-0.16505582914573269</v>
      </c>
      <c r="BD541" s="13">
        <v>538</v>
      </c>
      <c r="BE541" s="13">
        <v>199</v>
      </c>
      <c r="BF541" s="17">
        <v>198.23792030000001</v>
      </c>
      <c r="BQ541" s="13">
        <f t="shared" si="35"/>
        <v>-0.38295462311557227</v>
      </c>
    </row>
    <row r="542" spans="1:69">
      <c r="A542" s="13">
        <v>539</v>
      </c>
      <c r="B542" s="13">
        <v>148</v>
      </c>
      <c r="C542" s="17">
        <v>148.00548259999999</v>
      </c>
      <c r="M542" s="13">
        <f t="shared" si="32"/>
        <v>3.7044594594526359E-3</v>
      </c>
      <c r="O542" s="13">
        <v>539</v>
      </c>
      <c r="P542" s="13">
        <v>148</v>
      </c>
      <c r="Q542" s="17">
        <v>143.62624080000001</v>
      </c>
      <c r="AA542" s="13">
        <f t="shared" si="33"/>
        <v>-2.9552427027026984</v>
      </c>
      <c r="AC542" s="23"/>
      <c r="AD542" s="23"/>
      <c r="AE542" s="23"/>
      <c r="AF542" s="23"/>
      <c r="AG542" s="23"/>
      <c r="AI542" s="13">
        <v>539</v>
      </c>
      <c r="AJ542" s="13">
        <v>148</v>
      </c>
      <c r="AK542" s="17">
        <v>148.11309650000001</v>
      </c>
      <c r="AV542" s="13">
        <f t="shared" si="34"/>
        <v>7.641655405405956E-2</v>
      </c>
      <c r="BD542" s="13">
        <v>539</v>
      </c>
      <c r="BE542" s="13">
        <v>148</v>
      </c>
      <c r="BF542" s="17">
        <v>147.38609779999999</v>
      </c>
      <c r="BQ542" s="13">
        <f t="shared" si="35"/>
        <v>-0.41479878378378743</v>
      </c>
    </row>
    <row r="543" spans="1:69">
      <c r="A543" s="13">
        <v>540</v>
      </c>
      <c r="B543" s="13">
        <v>113</v>
      </c>
      <c r="C543" s="17">
        <v>111.7404729</v>
      </c>
      <c r="M543" s="13">
        <f t="shared" si="32"/>
        <v>-1.1146257522123837</v>
      </c>
      <c r="O543" s="13">
        <v>540</v>
      </c>
      <c r="P543" s="13">
        <v>113</v>
      </c>
      <c r="Q543" s="17">
        <v>110.1930634</v>
      </c>
      <c r="AA543" s="13">
        <f t="shared" si="33"/>
        <v>-2.4840146902654903</v>
      </c>
      <c r="AC543" s="23"/>
      <c r="AD543" s="23"/>
      <c r="AE543" s="23"/>
      <c r="AF543" s="23"/>
      <c r="AG543" s="23"/>
      <c r="AI543" s="13">
        <v>540</v>
      </c>
      <c r="AJ543" s="13">
        <v>113</v>
      </c>
      <c r="AK543" s="17">
        <v>112.8460946</v>
      </c>
      <c r="AV543" s="13">
        <f t="shared" si="34"/>
        <v>-0.13619946902654334</v>
      </c>
      <c r="BD543" s="13">
        <v>540</v>
      </c>
      <c r="BE543" s="13">
        <v>113</v>
      </c>
      <c r="BF543" s="17">
        <v>112.0606665</v>
      </c>
      <c r="BQ543" s="13">
        <f t="shared" si="35"/>
        <v>-0.83126858407079895</v>
      </c>
    </row>
    <row r="544" spans="1:69">
      <c r="A544" s="13">
        <v>541</v>
      </c>
      <c r="B544" s="13">
        <v>159</v>
      </c>
      <c r="C544" s="17">
        <v>169.46258320000001</v>
      </c>
      <c r="M544" s="13">
        <f t="shared" si="32"/>
        <v>6.5802410062893113</v>
      </c>
      <c r="O544" s="13">
        <v>541</v>
      </c>
      <c r="P544" s="13">
        <v>159</v>
      </c>
      <c r="Q544" s="17">
        <v>159.2001855</v>
      </c>
      <c r="AA544" s="13">
        <f t="shared" si="33"/>
        <v>0.12590283018867332</v>
      </c>
      <c r="AC544" s="23"/>
      <c r="AD544" s="23"/>
      <c r="AE544" s="23"/>
      <c r="AF544" s="23"/>
      <c r="AG544" s="23"/>
      <c r="AI544" s="13">
        <v>541</v>
      </c>
      <c r="AJ544" s="13">
        <v>159</v>
      </c>
      <c r="AK544" s="17">
        <v>161.0245166</v>
      </c>
      <c r="AV544" s="13">
        <f t="shared" si="34"/>
        <v>1.2732808805031359</v>
      </c>
      <c r="BD544" s="13">
        <v>541</v>
      </c>
      <c r="BE544" s="13">
        <v>159</v>
      </c>
      <c r="BF544" s="17">
        <v>162.84000549999999</v>
      </c>
      <c r="BQ544" s="13">
        <f t="shared" si="35"/>
        <v>2.4150977987421385</v>
      </c>
    </row>
    <row r="545" spans="1:69">
      <c r="A545" s="13">
        <v>542</v>
      </c>
      <c r="B545" s="13">
        <v>244</v>
      </c>
      <c r="C545" s="17">
        <v>213.09828060000001</v>
      </c>
      <c r="M545" s="13">
        <f t="shared" si="32"/>
        <v>-12.664639098360652</v>
      </c>
      <c r="O545" s="13">
        <v>542</v>
      </c>
      <c r="P545" s="13">
        <v>244</v>
      </c>
      <c r="Q545" s="17">
        <v>206.5212482</v>
      </c>
      <c r="AA545" s="13">
        <f t="shared" si="33"/>
        <v>-15.360144180327872</v>
      </c>
      <c r="AC545" s="23"/>
      <c r="AD545" s="23"/>
      <c r="AE545" s="23"/>
      <c r="AF545" s="23"/>
      <c r="AG545" s="23"/>
      <c r="AI545" s="13">
        <v>542</v>
      </c>
      <c r="AJ545" s="13">
        <v>244</v>
      </c>
      <c r="AK545" s="17">
        <v>237.71965610000001</v>
      </c>
      <c r="AV545" s="13">
        <f t="shared" si="34"/>
        <v>-2.5739114344262237</v>
      </c>
      <c r="BD545" s="13">
        <v>542</v>
      </c>
      <c r="BE545" s="13">
        <v>244</v>
      </c>
      <c r="BF545" s="17">
        <v>231.53168429999999</v>
      </c>
      <c r="BQ545" s="13">
        <f t="shared" si="35"/>
        <v>-5.1099654508196757</v>
      </c>
    </row>
    <row r="546" spans="1:69">
      <c r="A546" s="13">
        <v>543</v>
      </c>
      <c r="B546" s="13">
        <v>117</v>
      </c>
      <c r="C546" s="17">
        <v>117.59861530000001</v>
      </c>
      <c r="M546" s="13">
        <f t="shared" si="32"/>
        <v>0.51163700854701677</v>
      </c>
      <c r="O546" s="13">
        <v>543</v>
      </c>
      <c r="P546" s="13">
        <v>117</v>
      </c>
      <c r="Q546" s="17">
        <v>113.2015244</v>
      </c>
      <c r="AA546" s="13">
        <f t="shared" si="33"/>
        <v>-3.2465603418803446</v>
      </c>
      <c r="AC546" s="23"/>
      <c r="AD546" s="23"/>
      <c r="AE546" s="23"/>
      <c r="AF546" s="23"/>
      <c r="AG546" s="23"/>
      <c r="AI546" s="13">
        <v>543</v>
      </c>
      <c r="AJ546" s="13">
        <v>117</v>
      </c>
      <c r="AK546" s="17">
        <v>117.31172309999999</v>
      </c>
      <c r="AV546" s="13">
        <f t="shared" si="34"/>
        <v>0.26642999999999528</v>
      </c>
      <c r="BD546" s="13">
        <v>543</v>
      </c>
      <c r="BE546" s="13">
        <v>117</v>
      </c>
      <c r="BF546" s="17">
        <v>117.39876940000001</v>
      </c>
      <c r="BQ546" s="13">
        <f t="shared" si="35"/>
        <v>0.34082854700854259</v>
      </c>
    </row>
    <row r="547" spans="1:69">
      <c r="A547" s="13">
        <v>544</v>
      </c>
      <c r="B547" s="13">
        <v>32</v>
      </c>
      <c r="C547" s="2">
        <v>28.467109985059899</v>
      </c>
      <c r="M547" s="13">
        <f t="shared" si="32"/>
        <v>-11.040281296687816</v>
      </c>
      <c r="O547" s="13">
        <v>544</v>
      </c>
      <c r="P547" s="13">
        <v>32</v>
      </c>
      <c r="Q547" s="2">
        <v>42.805158663440402</v>
      </c>
      <c r="AA547" s="13">
        <f t="shared" si="33"/>
        <v>33.766120823251256</v>
      </c>
      <c r="AC547" s="23"/>
      <c r="AD547" s="23"/>
      <c r="AE547" s="23"/>
      <c r="AF547" s="23"/>
      <c r="AG547" s="23"/>
      <c r="AI547" s="13">
        <v>544</v>
      </c>
      <c r="AJ547" s="13">
        <v>32</v>
      </c>
      <c r="AK547" s="2">
        <v>26.018972219999998</v>
      </c>
      <c r="AV547" s="13">
        <f t="shared" si="34"/>
        <v>-18.690711812500005</v>
      </c>
      <c r="BD547" s="13">
        <v>544</v>
      </c>
      <c r="BE547" s="13">
        <v>32</v>
      </c>
      <c r="BF547" s="2">
        <v>35.110798895998499</v>
      </c>
      <c r="BQ547" s="13">
        <f t="shared" si="35"/>
        <v>9.7212465499953105</v>
      </c>
    </row>
    <row r="548" spans="1:69">
      <c r="A548" s="13">
        <v>545</v>
      </c>
      <c r="B548" s="13">
        <v>72</v>
      </c>
      <c r="C548" s="2">
        <v>43.656769930000003</v>
      </c>
      <c r="M548" s="13">
        <f t="shared" si="32"/>
        <v>-39.365597319444447</v>
      </c>
      <c r="O548" s="13">
        <v>545</v>
      </c>
      <c r="P548" s="13">
        <v>72</v>
      </c>
      <c r="Q548" s="2">
        <v>42.970407999999999</v>
      </c>
      <c r="AA548" s="13">
        <f t="shared" si="33"/>
        <v>-40.318877777777786</v>
      </c>
      <c r="AC548" s="23"/>
      <c r="AD548" s="23"/>
      <c r="AE548" s="23"/>
      <c r="AF548" s="23"/>
      <c r="AG548" s="23"/>
      <c r="AI548" s="13">
        <v>545</v>
      </c>
      <c r="AJ548" s="13">
        <v>72</v>
      </c>
      <c r="AK548" s="2">
        <v>66.641353989999999</v>
      </c>
      <c r="AV548" s="13">
        <f t="shared" si="34"/>
        <v>-7.4425639027777768</v>
      </c>
      <c r="BD548" s="13">
        <v>545</v>
      </c>
      <c r="BE548" s="13">
        <v>72</v>
      </c>
      <c r="BF548" s="2">
        <v>60.310110379999998</v>
      </c>
      <c r="BQ548" s="13">
        <f t="shared" si="35"/>
        <v>-16.235957805555557</v>
      </c>
    </row>
    <row r="549" spans="1:69">
      <c r="A549" s="13">
        <v>546</v>
      </c>
      <c r="B549" s="13">
        <v>156</v>
      </c>
      <c r="C549" s="2">
        <v>154.2156311</v>
      </c>
      <c r="M549" s="13">
        <f t="shared" si="32"/>
        <v>-1.143826217948718</v>
      </c>
      <c r="O549" s="13">
        <v>546</v>
      </c>
      <c r="P549" s="13">
        <v>156</v>
      </c>
      <c r="Q549" s="2">
        <v>152.82948709999999</v>
      </c>
      <c r="AA549" s="13">
        <f t="shared" si="33"/>
        <v>-2.032380064102568</v>
      </c>
      <c r="AC549" s="23"/>
      <c r="AD549" s="23"/>
      <c r="AE549" s="23"/>
      <c r="AF549" s="23"/>
      <c r="AG549" s="23"/>
      <c r="AI549" s="13">
        <v>546</v>
      </c>
      <c r="AJ549" s="13">
        <v>156</v>
      </c>
      <c r="AK549" s="2">
        <v>155.85712620000001</v>
      </c>
      <c r="AV549" s="13">
        <f t="shared" si="34"/>
        <v>-9.1585769230762004E-2</v>
      </c>
      <c r="BD549" s="13">
        <v>546</v>
      </c>
      <c r="BE549" s="13">
        <v>156</v>
      </c>
      <c r="BF549" s="2">
        <v>155.00021050000001</v>
      </c>
      <c r="BQ549" s="13">
        <f t="shared" si="35"/>
        <v>-0.64089070512819424</v>
      </c>
    </row>
    <row r="550" spans="1:69">
      <c r="A550" s="13">
        <v>547</v>
      </c>
      <c r="B550" s="13">
        <v>110</v>
      </c>
      <c r="C550" s="2">
        <v>120.9683611</v>
      </c>
      <c r="M550" s="13">
        <f t="shared" ref="M550:M613" si="36">((C550/B550)-1)*100</f>
        <v>9.9712373636363658</v>
      </c>
      <c r="O550" s="13">
        <v>547</v>
      </c>
      <c r="P550" s="13">
        <v>110</v>
      </c>
      <c r="Q550" s="2">
        <v>117.7872241</v>
      </c>
      <c r="AA550" s="13">
        <f t="shared" si="33"/>
        <v>7.0792946363636311</v>
      </c>
      <c r="AC550" s="23"/>
      <c r="AD550" s="23"/>
      <c r="AE550" s="23"/>
      <c r="AF550" s="23"/>
      <c r="AG550" s="23"/>
      <c r="AI550" s="13">
        <v>547</v>
      </c>
      <c r="AJ550" s="13">
        <v>110</v>
      </c>
      <c r="AK550" s="2">
        <v>112.1536722</v>
      </c>
      <c r="AV550" s="13">
        <f t="shared" si="34"/>
        <v>1.957883818181827</v>
      </c>
      <c r="BD550" s="13">
        <v>547</v>
      </c>
      <c r="BE550" s="13">
        <v>110</v>
      </c>
      <c r="BF550" s="2">
        <v>113.9495632</v>
      </c>
      <c r="BQ550" s="13">
        <f t="shared" si="35"/>
        <v>3.5905120000000013</v>
      </c>
    </row>
    <row r="551" spans="1:69">
      <c r="A551" s="13">
        <v>548</v>
      </c>
      <c r="B551" s="13">
        <v>118</v>
      </c>
      <c r="C551" s="2">
        <v>119.1907657</v>
      </c>
      <c r="M551" s="13">
        <f t="shared" si="36"/>
        <v>1.0091234745762678</v>
      </c>
      <c r="O551" s="13">
        <v>548</v>
      </c>
      <c r="P551" s="13">
        <v>118</v>
      </c>
      <c r="Q551" s="2">
        <v>117.7558193</v>
      </c>
      <c r="AA551" s="13">
        <f t="shared" si="33"/>
        <v>-0.20693279661017083</v>
      </c>
      <c r="AC551" s="23"/>
      <c r="AD551" s="23"/>
      <c r="AE551" s="23"/>
      <c r="AF551" s="23"/>
      <c r="AG551" s="23"/>
      <c r="AI551" s="13">
        <v>548</v>
      </c>
      <c r="AJ551" s="13">
        <v>118</v>
      </c>
      <c r="AK551" s="2">
        <v>118.1201531</v>
      </c>
      <c r="AV551" s="13">
        <f t="shared" si="34"/>
        <v>0.10182466101693599</v>
      </c>
      <c r="BD551" s="13">
        <v>548</v>
      </c>
      <c r="BE551" s="13">
        <v>118</v>
      </c>
      <c r="BF551" s="2">
        <v>118.2345706</v>
      </c>
      <c r="BQ551" s="13">
        <f t="shared" si="35"/>
        <v>0.19878864406779329</v>
      </c>
    </row>
    <row r="552" spans="1:69">
      <c r="A552" s="13">
        <v>549</v>
      </c>
      <c r="B552" s="13">
        <v>137</v>
      </c>
      <c r="C552" s="2">
        <v>108.92813200000001</v>
      </c>
      <c r="M552" s="13">
        <f t="shared" si="36"/>
        <v>-20.490414598540141</v>
      </c>
      <c r="O552" s="13">
        <v>549</v>
      </c>
      <c r="P552" s="13">
        <v>137</v>
      </c>
      <c r="Q552" s="2">
        <v>104.87871579999999</v>
      </c>
      <c r="AA552" s="13">
        <f t="shared" si="33"/>
        <v>-23.446192846715331</v>
      </c>
      <c r="AC552" s="23"/>
      <c r="AD552" s="23"/>
      <c r="AE552" s="23"/>
      <c r="AF552" s="23"/>
      <c r="AG552" s="23"/>
      <c r="AI552" s="13">
        <v>549</v>
      </c>
      <c r="AJ552" s="13">
        <v>137</v>
      </c>
      <c r="AK552" s="2">
        <v>131.23362639999999</v>
      </c>
      <c r="AV552" s="13">
        <f t="shared" si="34"/>
        <v>-4.2090318248175222</v>
      </c>
      <c r="BD552" s="13">
        <v>549</v>
      </c>
      <c r="BE552" s="13">
        <v>137</v>
      </c>
      <c r="BF552" s="2">
        <v>125.05024710000001</v>
      </c>
      <c r="BQ552" s="13">
        <f t="shared" si="35"/>
        <v>-8.7224473722627653</v>
      </c>
    </row>
    <row r="553" spans="1:69">
      <c r="A553" s="13">
        <v>550</v>
      </c>
      <c r="B553" s="13">
        <v>169</v>
      </c>
      <c r="C553" s="2">
        <v>178.05628859999999</v>
      </c>
      <c r="M553" s="13">
        <f t="shared" si="36"/>
        <v>5.358750650887556</v>
      </c>
      <c r="O553" s="13">
        <v>550</v>
      </c>
      <c r="P553" s="13">
        <v>169</v>
      </c>
      <c r="Q553" s="2">
        <v>171.29973140000001</v>
      </c>
      <c r="AA553" s="13">
        <f t="shared" si="33"/>
        <v>1.3607878106508986</v>
      </c>
      <c r="AC553" s="23"/>
      <c r="AD553" s="23"/>
      <c r="AE553" s="23"/>
      <c r="AF553" s="23"/>
      <c r="AG553" s="23"/>
      <c r="AI553" s="13">
        <v>550</v>
      </c>
      <c r="AJ553" s="13">
        <v>169</v>
      </c>
      <c r="AK553" s="2">
        <v>170.7392577</v>
      </c>
      <c r="AV553" s="13">
        <f t="shared" si="34"/>
        <v>1.0291465680473344</v>
      </c>
      <c r="BD553" s="13">
        <v>550</v>
      </c>
      <c r="BE553" s="13">
        <v>169</v>
      </c>
      <c r="BF553" s="2">
        <v>172.4638229</v>
      </c>
      <c r="BQ553" s="13">
        <f t="shared" si="35"/>
        <v>2.0495993491124187</v>
      </c>
    </row>
    <row r="554" spans="1:69">
      <c r="A554" s="13">
        <v>551</v>
      </c>
      <c r="B554" s="13">
        <v>54</v>
      </c>
      <c r="C554" s="2">
        <v>54.220097189999997</v>
      </c>
      <c r="M554" s="13">
        <f t="shared" si="36"/>
        <v>0.4075873888888859</v>
      </c>
      <c r="O554" s="13">
        <v>551</v>
      </c>
      <c r="P554" s="13">
        <v>54</v>
      </c>
      <c r="Q554" s="2">
        <v>52.676419330000002</v>
      </c>
      <c r="AA554" s="13">
        <f t="shared" si="33"/>
        <v>-2.4510753148148101</v>
      </c>
      <c r="AC554" s="23"/>
      <c r="AD554" s="23"/>
      <c r="AE554" s="23"/>
      <c r="AF554" s="23"/>
      <c r="AG554" s="23"/>
      <c r="AI554" s="13">
        <v>551</v>
      </c>
      <c r="AJ554" s="13">
        <v>54</v>
      </c>
      <c r="AK554" s="2">
        <v>53.918019440000002</v>
      </c>
      <c r="AV554" s="13">
        <f t="shared" si="34"/>
        <v>-0.15181585185184421</v>
      </c>
      <c r="BD554" s="13">
        <v>551</v>
      </c>
      <c r="BE554" s="13">
        <v>54</v>
      </c>
      <c r="BF554" s="2">
        <v>53.93673501</v>
      </c>
      <c r="BQ554" s="13">
        <f t="shared" si="35"/>
        <v>-0.11715738888888882</v>
      </c>
    </row>
    <row r="555" spans="1:69">
      <c r="A555" s="13">
        <v>552</v>
      </c>
      <c r="B555" s="13">
        <v>20</v>
      </c>
      <c r="C555" s="2">
        <v>22.233860409386299</v>
      </c>
      <c r="M555" s="13">
        <f t="shared" si="36"/>
        <v>11.169302046931495</v>
      </c>
      <c r="O555" s="13">
        <v>552</v>
      </c>
      <c r="P555" s="13">
        <v>20</v>
      </c>
      <c r="Q555" s="2">
        <v>21.670634185131298</v>
      </c>
      <c r="AA555" s="13">
        <f t="shared" si="33"/>
        <v>8.3531709256564834</v>
      </c>
      <c r="AC555" s="23"/>
      <c r="AD555" s="23"/>
      <c r="AE555" s="23"/>
      <c r="AF555" s="23"/>
      <c r="AG555" s="23"/>
      <c r="AI555" s="13">
        <v>552</v>
      </c>
      <c r="AJ555" s="13">
        <v>20</v>
      </c>
      <c r="AK555" s="2">
        <v>22.528699515186201</v>
      </c>
      <c r="AV555" s="13">
        <f t="shared" si="34"/>
        <v>12.643497575930995</v>
      </c>
      <c r="BD555" s="13">
        <v>552</v>
      </c>
      <c r="BE555" s="13">
        <v>20</v>
      </c>
      <c r="BF555" s="2">
        <v>22.999992396524298</v>
      </c>
      <c r="BQ555" s="13">
        <f t="shared" si="35"/>
        <v>14.999961982621501</v>
      </c>
    </row>
    <row r="556" spans="1:69">
      <c r="A556" s="13">
        <v>553</v>
      </c>
      <c r="B556" s="13">
        <v>194</v>
      </c>
      <c r="C556" s="2">
        <v>163.931408</v>
      </c>
      <c r="M556" s="13">
        <f t="shared" si="36"/>
        <v>-15.499274226804117</v>
      </c>
      <c r="O556" s="13">
        <v>553</v>
      </c>
      <c r="P556" s="13">
        <v>194</v>
      </c>
      <c r="Q556" s="2">
        <v>161.93339159999999</v>
      </c>
      <c r="AA556" s="13">
        <f t="shared" si="33"/>
        <v>-16.529179587628875</v>
      </c>
      <c r="AC556" s="23"/>
      <c r="AD556" s="23"/>
      <c r="AE556" s="23"/>
      <c r="AF556" s="23"/>
      <c r="AG556" s="23"/>
      <c r="AI556" s="13">
        <v>553</v>
      </c>
      <c r="AJ556" s="13">
        <v>194</v>
      </c>
      <c r="AK556" s="2">
        <v>188.0082816</v>
      </c>
      <c r="AV556" s="13">
        <f t="shared" si="34"/>
        <v>-3.0885146391752549</v>
      </c>
      <c r="BD556" s="13">
        <v>553</v>
      </c>
      <c r="BE556" s="13">
        <v>194</v>
      </c>
      <c r="BF556" s="2">
        <v>181.95144020000001</v>
      </c>
      <c r="BQ556" s="13">
        <f t="shared" si="35"/>
        <v>-6.2105978350515461</v>
      </c>
    </row>
    <row r="557" spans="1:69">
      <c r="A557" s="13">
        <v>554</v>
      </c>
      <c r="B557" s="13">
        <v>95</v>
      </c>
      <c r="C557" s="2">
        <v>106.1673886</v>
      </c>
      <c r="M557" s="13">
        <f t="shared" si="36"/>
        <v>11.755145894736829</v>
      </c>
      <c r="O557" s="13">
        <v>554</v>
      </c>
      <c r="P557" s="13">
        <v>95</v>
      </c>
      <c r="Q557" s="2">
        <v>100.81816019999999</v>
      </c>
      <c r="AA557" s="13">
        <f t="shared" si="33"/>
        <v>6.1243791578947215</v>
      </c>
      <c r="AC557" s="23"/>
      <c r="AD557" s="23"/>
      <c r="AE557" s="23"/>
      <c r="AF557" s="23"/>
      <c r="AG557" s="23"/>
      <c r="AI557" s="13">
        <v>554</v>
      </c>
      <c r="AJ557" s="13">
        <v>95</v>
      </c>
      <c r="AK557" s="2">
        <v>97.529477729999996</v>
      </c>
      <c r="AV557" s="13">
        <f t="shared" si="34"/>
        <v>2.6626081368420929</v>
      </c>
      <c r="BD557" s="13">
        <v>554</v>
      </c>
      <c r="BE557" s="13">
        <v>95</v>
      </c>
      <c r="BF557" s="2">
        <v>99.046610950000002</v>
      </c>
      <c r="BQ557" s="13">
        <f t="shared" si="35"/>
        <v>4.259590473684205</v>
      </c>
    </row>
    <row r="558" spans="1:69">
      <c r="A558" s="13">
        <v>555</v>
      </c>
      <c r="B558" s="13">
        <v>11</v>
      </c>
      <c r="C558" s="2">
        <v>12.273640479999999</v>
      </c>
      <c r="M558" s="13">
        <f t="shared" si="36"/>
        <v>11.578549818181806</v>
      </c>
      <c r="O558" s="13">
        <v>555</v>
      </c>
      <c r="P558" s="13">
        <v>11</v>
      </c>
      <c r="Q558" s="2">
        <v>13.34336616</v>
      </c>
      <c r="AA558" s="13">
        <f t="shared" si="33"/>
        <v>21.303328727272742</v>
      </c>
      <c r="AC558" s="23"/>
      <c r="AD558" s="23"/>
      <c r="AE558" s="23"/>
      <c r="AF558" s="23"/>
      <c r="AG558" s="23"/>
      <c r="AI558" s="13">
        <v>555</v>
      </c>
      <c r="AJ558" s="13">
        <v>11</v>
      </c>
      <c r="AK558" s="2">
        <v>11.253648099999999</v>
      </c>
      <c r="AV558" s="13">
        <f t="shared" si="34"/>
        <v>2.3058918181818155</v>
      </c>
      <c r="BD558" s="13">
        <v>555</v>
      </c>
      <c r="BE558" s="13">
        <v>11</v>
      </c>
      <c r="BF558" s="2">
        <v>10.911809399999999</v>
      </c>
      <c r="BQ558" s="13">
        <f t="shared" si="35"/>
        <v>-0.80173272727273037</v>
      </c>
    </row>
    <row r="559" spans="1:69">
      <c r="A559" s="13">
        <v>556</v>
      </c>
      <c r="B559" s="13">
        <v>195</v>
      </c>
      <c r="C559" s="2">
        <v>205.05566350000001</v>
      </c>
      <c r="M559" s="13">
        <f t="shared" si="36"/>
        <v>5.1567505128205182</v>
      </c>
      <c r="O559" s="13">
        <v>556</v>
      </c>
      <c r="P559" s="13">
        <v>195</v>
      </c>
      <c r="Q559" s="2">
        <v>198.33593669999999</v>
      </c>
      <c r="AA559" s="13">
        <f t="shared" si="33"/>
        <v>1.7107367692307696</v>
      </c>
      <c r="AC559" s="23"/>
      <c r="AD559" s="23"/>
      <c r="AE559" s="23"/>
      <c r="AF559" s="23"/>
      <c r="AG559" s="23"/>
      <c r="AI559" s="13">
        <v>556</v>
      </c>
      <c r="AJ559" s="13">
        <v>195</v>
      </c>
      <c r="AK559" s="2">
        <v>196.9231327</v>
      </c>
      <c r="AV559" s="13">
        <f t="shared" si="34"/>
        <v>0.9862218974358905</v>
      </c>
      <c r="BD559" s="13">
        <v>556</v>
      </c>
      <c r="BE559" s="13">
        <v>195</v>
      </c>
      <c r="BF559" s="2">
        <v>198.74577310000001</v>
      </c>
      <c r="BQ559" s="13">
        <f t="shared" si="35"/>
        <v>1.9209092820512863</v>
      </c>
    </row>
    <row r="560" spans="1:69">
      <c r="A560" s="13">
        <v>557</v>
      </c>
      <c r="B560" s="13">
        <v>73</v>
      </c>
      <c r="C560" s="2">
        <v>85.232665699999998</v>
      </c>
      <c r="M560" s="13">
        <f t="shared" si="36"/>
        <v>16.757076301369867</v>
      </c>
      <c r="O560" s="13">
        <v>557</v>
      </c>
      <c r="P560" s="13">
        <v>73</v>
      </c>
      <c r="Q560" s="2">
        <v>86.114709349999998</v>
      </c>
      <c r="AA560" s="13">
        <f t="shared" si="33"/>
        <v>17.965355273972605</v>
      </c>
      <c r="AC560" s="23"/>
      <c r="AD560" s="23"/>
      <c r="AE560" s="23"/>
      <c r="AF560" s="23"/>
      <c r="AG560" s="23"/>
      <c r="AI560" s="13">
        <v>557</v>
      </c>
      <c r="AJ560" s="13">
        <v>73</v>
      </c>
      <c r="AK560" s="2">
        <v>75.648533139999998</v>
      </c>
      <c r="AV560" s="13">
        <f t="shared" si="34"/>
        <v>3.6281275890410969</v>
      </c>
      <c r="BD560" s="13">
        <v>557</v>
      </c>
      <c r="BE560" s="13">
        <v>73</v>
      </c>
      <c r="BF560" s="2">
        <v>77.869195439999999</v>
      </c>
      <c r="BQ560" s="13">
        <f t="shared" si="35"/>
        <v>6.6701307397260212</v>
      </c>
    </row>
    <row r="561" spans="1:69">
      <c r="A561" s="13">
        <v>558</v>
      </c>
      <c r="B561" s="13">
        <v>88</v>
      </c>
      <c r="C561" s="2">
        <v>88.663444670000004</v>
      </c>
      <c r="M561" s="13">
        <f t="shared" si="36"/>
        <v>0.75391439772727331</v>
      </c>
      <c r="O561" s="13">
        <v>558</v>
      </c>
      <c r="P561" s="13">
        <v>88</v>
      </c>
      <c r="Q561" s="2">
        <v>82.825668390000004</v>
      </c>
      <c r="AA561" s="13">
        <f t="shared" si="33"/>
        <v>-5.8799222840908989</v>
      </c>
      <c r="AC561" s="23"/>
      <c r="AD561" s="23"/>
      <c r="AE561" s="23"/>
      <c r="AF561" s="23"/>
      <c r="AG561" s="23"/>
      <c r="AI561" s="13">
        <v>558</v>
      </c>
      <c r="AJ561" s="13">
        <v>88</v>
      </c>
      <c r="AK561" s="2">
        <v>88.018688929999996</v>
      </c>
      <c r="AV561" s="13">
        <f t="shared" si="34"/>
        <v>2.1237420454545131E-2</v>
      </c>
      <c r="BD561" s="13">
        <v>558</v>
      </c>
      <c r="BE561" s="13">
        <v>88</v>
      </c>
      <c r="BF561" s="2">
        <v>87.222810420000002</v>
      </c>
      <c r="BQ561" s="13">
        <f t="shared" si="35"/>
        <v>-0.88316997727272417</v>
      </c>
    </row>
    <row r="562" spans="1:69">
      <c r="A562" s="13">
        <v>559</v>
      </c>
      <c r="B562" s="13">
        <v>154</v>
      </c>
      <c r="C562" s="2">
        <v>164.01941579999999</v>
      </c>
      <c r="M562" s="13">
        <f t="shared" si="36"/>
        <v>6.5061141558441449</v>
      </c>
      <c r="O562" s="13">
        <v>559</v>
      </c>
      <c r="P562" s="13">
        <v>154</v>
      </c>
      <c r="Q562" s="2">
        <v>158.94181589999999</v>
      </c>
      <c r="AA562" s="13">
        <f t="shared" si="33"/>
        <v>3.2089713636363593</v>
      </c>
      <c r="AC562" s="23"/>
      <c r="AD562" s="23"/>
      <c r="AE562" s="23"/>
      <c r="AF562" s="23"/>
      <c r="AG562" s="23"/>
      <c r="AI562" s="13">
        <v>559</v>
      </c>
      <c r="AJ562" s="13">
        <v>154</v>
      </c>
      <c r="AK562" s="2">
        <v>155.96788319999999</v>
      </c>
      <c r="AV562" s="13">
        <f t="shared" si="34"/>
        <v>1.2778462337662333</v>
      </c>
      <c r="BD562" s="13">
        <v>559</v>
      </c>
      <c r="BE562" s="13">
        <v>154</v>
      </c>
      <c r="BF562" s="2">
        <v>158.19199800000001</v>
      </c>
      <c r="BQ562" s="13">
        <f t="shared" si="35"/>
        <v>2.7220766233766236</v>
      </c>
    </row>
    <row r="563" spans="1:69">
      <c r="A563" s="13">
        <v>560</v>
      </c>
      <c r="B563" s="13">
        <v>10</v>
      </c>
      <c r="C563" s="2">
        <v>12.5073855</v>
      </c>
      <c r="M563" s="13">
        <f t="shared" si="36"/>
        <v>25.073854999999988</v>
      </c>
      <c r="O563" s="13">
        <v>560</v>
      </c>
      <c r="P563" s="13">
        <v>10</v>
      </c>
      <c r="Q563" s="2">
        <v>14.22149336</v>
      </c>
      <c r="AA563" s="13">
        <f t="shared" si="33"/>
        <v>42.214933599999995</v>
      </c>
      <c r="AC563" s="23"/>
      <c r="AD563" s="23"/>
      <c r="AE563" s="23"/>
      <c r="AF563" s="23"/>
      <c r="AG563" s="23"/>
      <c r="AI563" s="13">
        <v>560</v>
      </c>
      <c r="AJ563" s="13">
        <v>10</v>
      </c>
      <c r="AK563" s="2">
        <v>10.5022971</v>
      </c>
      <c r="AV563" s="13">
        <f t="shared" si="34"/>
        <v>5.0229709999999983</v>
      </c>
      <c r="BD563" s="13">
        <v>560</v>
      </c>
      <c r="BE563" s="13">
        <v>10</v>
      </c>
      <c r="BF563" s="2">
        <v>10.65707748</v>
      </c>
      <c r="BQ563" s="13">
        <f t="shared" si="35"/>
        <v>6.5707747999999899</v>
      </c>
    </row>
    <row r="564" spans="1:69">
      <c r="A564" s="13">
        <v>561</v>
      </c>
      <c r="B564" s="13">
        <v>164</v>
      </c>
      <c r="C564" s="2">
        <v>162.3566476</v>
      </c>
      <c r="M564" s="13">
        <f t="shared" si="36"/>
        <v>-1.0020441463414631</v>
      </c>
      <c r="O564" s="13">
        <v>561</v>
      </c>
      <c r="P564" s="13">
        <v>164</v>
      </c>
      <c r="Q564" s="2">
        <v>161.1555999</v>
      </c>
      <c r="AA564" s="13">
        <f t="shared" si="33"/>
        <v>-1.7343903048780529</v>
      </c>
      <c r="AC564" s="23"/>
      <c r="AD564" s="23"/>
      <c r="AE564" s="23"/>
      <c r="AF564" s="23"/>
      <c r="AG564" s="23"/>
      <c r="AI564" s="13">
        <v>561</v>
      </c>
      <c r="AJ564" s="13">
        <v>164</v>
      </c>
      <c r="AK564" s="2">
        <v>163.75532949999999</v>
      </c>
      <c r="AV564" s="13">
        <f t="shared" si="34"/>
        <v>-0.14918932926829553</v>
      </c>
      <c r="BD564" s="13">
        <v>561</v>
      </c>
      <c r="BE564" s="13">
        <v>164</v>
      </c>
      <c r="BF564" s="2">
        <v>163.3305119</v>
      </c>
      <c r="BQ564" s="13">
        <f t="shared" si="35"/>
        <v>-0.40822445121950768</v>
      </c>
    </row>
    <row r="565" spans="1:69">
      <c r="A565" s="13">
        <v>562</v>
      </c>
      <c r="B565" s="13">
        <v>9</v>
      </c>
      <c r="C565" s="2">
        <v>8.5136461729999997</v>
      </c>
      <c r="M565" s="13">
        <f t="shared" si="36"/>
        <v>-5.4039314111111185</v>
      </c>
      <c r="O565" s="13">
        <v>562</v>
      </c>
      <c r="P565" s="13">
        <v>9</v>
      </c>
      <c r="Q565" s="2">
        <v>11.274124349999999</v>
      </c>
      <c r="AA565" s="13">
        <f t="shared" si="33"/>
        <v>25.268048333333315</v>
      </c>
      <c r="AC565" s="23"/>
      <c r="AD565" s="23"/>
      <c r="AE565" s="23"/>
      <c r="AF565" s="23"/>
      <c r="AG565" s="23"/>
      <c r="AI565" s="13">
        <v>562</v>
      </c>
      <c r="AJ565" s="13">
        <v>9</v>
      </c>
      <c r="AK565" s="2">
        <v>8.9028292350000005</v>
      </c>
      <c r="AV565" s="13">
        <f t="shared" si="34"/>
        <v>-1.0796751666666604</v>
      </c>
      <c r="BD565" s="13">
        <v>562</v>
      </c>
      <c r="BE565" s="13">
        <v>9</v>
      </c>
      <c r="BF565" s="2">
        <v>8.2765502959999999</v>
      </c>
      <c r="BQ565" s="13">
        <f t="shared" si="35"/>
        <v>-8.0383300444444412</v>
      </c>
    </row>
    <row r="566" spans="1:69">
      <c r="A566" s="13">
        <v>563</v>
      </c>
      <c r="B566" s="13">
        <v>137</v>
      </c>
      <c r="C566" s="2">
        <v>146.47623419999999</v>
      </c>
      <c r="M566" s="13">
        <f t="shared" si="36"/>
        <v>6.9169592700729865</v>
      </c>
      <c r="O566" s="13">
        <v>563</v>
      </c>
      <c r="P566" s="13">
        <v>137</v>
      </c>
      <c r="Q566" s="2">
        <v>142.63575280000001</v>
      </c>
      <c r="AA566" s="13">
        <f t="shared" si="33"/>
        <v>4.113688175182495</v>
      </c>
      <c r="AC566" s="23"/>
      <c r="AD566" s="23"/>
      <c r="AE566" s="23"/>
      <c r="AF566" s="23"/>
      <c r="AG566" s="23"/>
      <c r="AI566" s="13">
        <v>563</v>
      </c>
      <c r="AJ566" s="13">
        <v>137</v>
      </c>
      <c r="AK566" s="2">
        <v>138.82924679999999</v>
      </c>
      <c r="AV566" s="13">
        <f t="shared" si="34"/>
        <v>1.335216642335757</v>
      </c>
      <c r="BD566" s="13">
        <v>563</v>
      </c>
      <c r="BE566" s="13">
        <v>137</v>
      </c>
      <c r="BF566" s="2">
        <v>140.72648390000001</v>
      </c>
      <c r="BQ566" s="13">
        <f t="shared" si="35"/>
        <v>2.7200612408759151</v>
      </c>
    </row>
    <row r="567" spans="1:69">
      <c r="A567" s="13">
        <v>564</v>
      </c>
      <c r="B567" s="13">
        <v>197</v>
      </c>
      <c r="C567" s="2">
        <v>167.0597272</v>
      </c>
      <c r="M567" s="13">
        <f t="shared" si="36"/>
        <v>-15.198108020304568</v>
      </c>
      <c r="O567" s="13">
        <v>564</v>
      </c>
      <c r="P567" s="13">
        <v>197</v>
      </c>
      <c r="Q567" s="2">
        <v>162.33679119999999</v>
      </c>
      <c r="AA567" s="13">
        <f t="shared" si="33"/>
        <v>-17.595537461928934</v>
      </c>
      <c r="AC567" s="23"/>
      <c r="AD567" s="23"/>
      <c r="AE567" s="23"/>
      <c r="AF567" s="23"/>
      <c r="AG567" s="23"/>
      <c r="AI567" s="13">
        <v>564</v>
      </c>
      <c r="AJ567" s="13">
        <v>197</v>
      </c>
      <c r="AK567" s="2">
        <v>191.0419454</v>
      </c>
      <c r="AV567" s="13">
        <f t="shared" si="34"/>
        <v>-3.0243931979695438</v>
      </c>
      <c r="BD567" s="13">
        <v>564</v>
      </c>
      <c r="BE567" s="13">
        <v>197</v>
      </c>
      <c r="BF567" s="2">
        <v>184.54422679999999</v>
      </c>
      <c r="BQ567" s="13">
        <f t="shared" si="35"/>
        <v>-6.3227275126903626</v>
      </c>
    </row>
    <row r="568" spans="1:69">
      <c r="A568" s="13">
        <v>565</v>
      </c>
      <c r="B568" s="13">
        <v>142</v>
      </c>
      <c r="C568" s="2">
        <v>144.05182669999999</v>
      </c>
      <c r="M568" s="13">
        <f t="shared" si="36"/>
        <v>1.4449483802816854</v>
      </c>
      <c r="O568" s="13">
        <v>565</v>
      </c>
      <c r="P568" s="13">
        <v>142</v>
      </c>
      <c r="Q568" s="2">
        <v>140.4539824</v>
      </c>
      <c r="AA568" s="13">
        <f t="shared" si="33"/>
        <v>-1.0887447887323987</v>
      </c>
      <c r="AC568" s="23"/>
      <c r="AD568" s="23"/>
      <c r="AE568" s="23"/>
      <c r="AF568" s="23"/>
      <c r="AG568" s="23"/>
      <c r="AI568" s="13">
        <v>565</v>
      </c>
      <c r="AJ568" s="13">
        <v>142</v>
      </c>
      <c r="AK568" s="2">
        <v>142.35436530000001</v>
      </c>
      <c r="AV568" s="13">
        <f t="shared" si="34"/>
        <v>0.24955302816902503</v>
      </c>
      <c r="BD568" s="13">
        <v>565</v>
      </c>
      <c r="BE568" s="13">
        <v>142</v>
      </c>
      <c r="BF568" s="2">
        <v>142.6638787</v>
      </c>
      <c r="BQ568" s="13">
        <f t="shared" si="35"/>
        <v>0.46752021126761356</v>
      </c>
    </row>
    <row r="569" spans="1:69">
      <c r="A569" s="13">
        <v>566</v>
      </c>
      <c r="B569" s="13">
        <v>206</v>
      </c>
      <c r="C569" s="2">
        <v>214.9648646</v>
      </c>
      <c r="M569" s="13">
        <f t="shared" si="36"/>
        <v>4.3518760194174666</v>
      </c>
      <c r="O569" s="13">
        <v>566</v>
      </c>
      <c r="P569" s="13">
        <v>206</v>
      </c>
      <c r="Q569" s="2">
        <v>206.82324850000001</v>
      </c>
      <c r="AA569" s="13">
        <f t="shared" si="33"/>
        <v>0.39963519417476334</v>
      </c>
      <c r="AC569" s="23"/>
      <c r="AD569" s="23"/>
      <c r="AE569" s="23"/>
      <c r="AF569" s="23"/>
      <c r="AG569" s="23"/>
      <c r="AI569" s="13">
        <v>566</v>
      </c>
      <c r="AJ569" s="13">
        <v>206</v>
      </c>
      <c r="AK569" s="2">
        <v>207.7229729</v>
      </c>
      <c r="AV569" s="13">
        <f t="shared" si="34"/>
        <v>0.83639461165048168</v>
      </c>
      <c r="BD569" s="13">
        <v>566</v>
      </c>
      <c r="BE569" s="13">
        <v>206</v>
      </c>
      <c r="BF569" s="2">
        <v>209.37113350000001</v>
      </c>
      <c r="BQ569" s="13">
        <f t="shared" si="35"/>
        <v>1.6364725728155394</v>
      </c>
    </row>
    <row r="570" spans="1:69">
      <c r="A570" s="13">
        <v>567</v>
      </c>
      <c r="B570" s="13">
        <v>133</v>
      </c>
      <c r="C570" s="2">
        <v>142.2342965</v>
      </c>
      <c r="M570" s="13">
        <f t="shared" si="36"/>
        <v>6.9430800751879795</v>
      </c>
      <c r="O570" s="13">
        <v>567</v>
      </c>
      <c r="P570" s="13">
        <v>133</v>
      </c>
      <c r="Q570" s="2">
        <v>134.8273423</v>
      </c>
      <c r="AA570" s="13">
        <f t="shared" si="33"/>
        <v>1.3739415789473686</v>
      </c>
      <c r="AC570" s="23"/>
      <c r="AD570" s="23"/>
      <c r="AE570" s="23"/>
      <c r="AF570" s="23"/>
      <c r="AG570" s="23"/>
      <c r="AI570" s="13">
        <v>567</v>
      </c>
      <c r="AJ570" s="13">
        <v>133</v>
      </c>
      <c r="AK570" s="2">
        <v>134.97885930000001</v>
      </c>
      <c r="AV570" s="13">
        <f t="shared" si="34"/>
        <v>1.4878641353383459</v>
      </c>
      <c r="BD570" s="13">
        <v>567</v>
      </c>
      <c r="BE570" s="13">
        <v>133</v>
      </c>
      <c r="BF570" s="2">
        <v>136.27299450000001</v>
      </c>
      <c r="BQ570" s="13">
        <f t="shared" si="35"/>
        <v>2.4608981203007696</v>
      </c>
    </row>
    <row r="571" spans="1:69">
      <c r="A571" s="13">
        <v>568</v>
      </c>
      <c r="B571" s="13">
        <v>76</v>
      </c>
      <c r="C571" s="2">
        <v>88.200521760000001</v>
      </c>
      <c r="M571" s="13">
        <f t="shared" si="36"/>
        <v>16.053318105263159</v>
      </c>
      <c r="O571" s="13">
        <v>568</v>
      </c>
      <c r="P571" s="13">
        <v>76</v>
      </c>
      <c r="Q571" s="2">
        <v>90.595636299999995</v>
      </c>
      <c r="AA571" s="13">
        <f t="shared" si="33"/>
        <v>19.204784605263157</v>
      </c>
      <c r="AC571" s="23"/>
      <c r="AD571" s="23"/>
      <c r="AE571" s="23"/>
      <c r="AF571" s="23"/>
      <c r="AG571" s="23"/>
      <c r="AI571" s="13">
        <v>568</v>
      </c>
      <c r="AJ571" s="13">
        <v>76</v>
      </c>
      <c r="AK571" s="2">
        <v>78.538104349999998</v>
      </c>
      <c r="AV571" s="13">
        <f t="shared" si="34"/>
        <v>3.3396109868421009</v>
      </c>
      <c r="BD571" s="13">
        <v>568</v>
      </c>
      <c r="BE571" s="13">
        <v>76</v>
      </c>
      <c r="BF571" s="2">
        <v>80.522728810000004</v>
      </c>
      <c r="BQ571" s="13">
        <f t="shared" si="35"/>
        <v>5.9509589605263313</v>
      </c>
    </row>
    <row r="572" spans="1:69">
      <c r="A572" s="13">
        <v>569</v>
      </c>
      <c r="B572" s="13">
        <v>165</v>
      </c>
      <c r="C572" s="2">
        <v>163.90397100000001</v>
      </c>
      <c r="M572" s="13">
        <f t="shared" si="36"/>
        <v>-0.6642599999999943</v>
      </c>
      <c r="O572" s="13">
        <v>569</v>
      </c>
      <c r="P572" s="13">
        <v>165</v>
      </c>
      <c r="Q572" s="2">
        <v>161.01861539999999</v>
      </c>
      <c r="AA572" s="13">
        <f t="shared" si="33"/>
        <v>-2.4129603636363739</v>
      </c>
      <c r="AC572" s="23"/>
      <c r="AD572" s="23"/>
      <c r="AE572" s="23"/>
      <c r="AF572" s="23"/>
      <c r="AG572" s="23"/>
      <c r="AI572" s="13">
        <v>569</v>
      </c>
      <c r="AJ572" s="13">
        <v>165</v>
      </c>
      <c r="AK572" s="2">
        <v>164.74879419999999</v>
      </c>
      <c r="AV572" s="13">
        <f t="shared" si="34"/>
        <v>-0.15224593939394682</v>
      </c>
      <c r="BD572" s="13">
        <v>569</v>
      </c>
      <c r="BE572" s="13">
        <v>165</v>
      </c>
      <c r="BF572" s="2">
        <v>164.11874370000001</v>
      </c>
      <c r="BQ572" s="13">
        <f t="shared" si="35"/>
        <v>-0.5340947272727159</v>
      </c>
    </row>
    <row r="573" spans="1:69">
      <c r="A573" s="13">
        <v>570</v>
      </c>
      <c r="B573" s="13">
        <v>99</v>
      </c>
      <c r="C573" s="2">
        <v>98.513539420000001</v>
      </c>
      <c r="M573" s="13">
        <f t="shared" si="36"/>
        <v>-0.49137432323231867</v>
      </c>
      <c r="O573" s="13">
        <v>570</v>
      </c>
      <c r="P573" s="13">
        <v>99</v>
      </c>
      <c r="Q573" s="2">
        <v>96.062079249999996</v>
      </c>
      <c r="AA573" s="13">
        <f t="shared" si="33"/>
        <v>-2.9675967171717166</v>
      </c>
      <c r="AC573" s="23"/>
      <c r="AD573" s="23"/>
      <c r="AE573" s="23"/>
      <c r="AF573" s="23"/>
      <c r="AG573" s="23"/>
      <c r="AI573" s="13">
        <v>570</v>
      </c>
      <c r="AJ573" s="13">
        <v>99</v>
      </c>
      <c r="AK573" s="2">
        <v>99.05870788</v>
      </c>
      <c r="AV573" s="13">
        <f t="shared" si="34"/>
        <v>5.9300888888880188E-2</v>
      </c>
      <c r="BD573" s="13">
        <v>570</v>
      </c>
      <c r="BE573" s="13">
        <v>99</v>
      </c>
      <c r="BF573" s="2">
        <v>98.261803420000007</v>
      </c>
      <c r="BQ573" s="13">
        <f t="shared" si="35"/>
        <v>-0.74565311111109978</v>
      </c>
    </row>
    <row r="574" spans="1:69">
      <c r="A574" s="13">
        <v>571</v>
      </c>
      <c r="B574" s="13">
        <v>62</v>
      </c>
      <c r="C574" s="2">
        <v>33.856159130000002</v>
      </c>
      <c r="M574" s="13">
        <f t="shared" si="36"/>
        <v>-45.393291725806449</v>
      </c>
      <c r="O574" s="13">
        <v>571</v>
      </c>
      <c r="P574" s="13">
        <v>62</v>
      </c>
      <c r="Q574" s="2">
        <v>35.165789570000001</v>
      </c>
      <c r="AA574" s="13">
        <f t="shared" si="33"/>
        <v>-43.280984564516125</v>
      </c>
      <c r="AC574" s="23"/>
      <c r="AD574" s="23"/>
      <c r="AE574" s="23"/>
      <c r="AF574" s="23"/>
      <c r="AG574" s="23"/>
      <c r="AI574" s="13">
        <v>571</v>
      </c>
      <c r="AJ574" s="13">
        <v>62</v>
      </c>
      <c r="AK574" s="2">
        <v>56.429231829999999</v>
      </c>
      <c r="AV574" s="13">
        <f t="shared" si="34"/>
        <v>-8.9851099516129018</v>
      </c>
      <c r="BD574" s="13">
        <v>571</v>
      </c>
      <c r="BE574" s="13">
        <v>62</v>
      </c>
      <c r="BF574" s="2">
        <v>50.941674570000004</v>
      </c>
      <c r="BQ574" s="13">
        <f t="shared" si="35"/>
        <v>-17.836008758064516</v>
      </c>
    </row>
    <row r="575" spans="1:69">
      <c r="A575" s="13">
        <v>572</v>
      </c>
      <c r="B575" s="13">
        <v>139</v>
      </c>
      <c r="C575" s="2">
        <v>148.89097949999999</v>
      </c>
      <c r="M575" s="13">
        <f t="shared" si="36"/>
        <v>7.1158125899280389</v>
      </c>
      <c r="O575" s="13">
        <v>572</v>
      </c>
      <c r="P575" s="13">
        <v>139</v>
      </c>
      <c r="Q575" s="2">
        <v>147.00042980000001</v>
      </c>
      <c r="AA575" s="13">
        <f t="shared" si="33"/>
        <v>5.7557048920863441</v>
      </c>
      <c r="AC575" s="23"/>
      <c r="AD575" s="23"/>
      <c r="AE575" s="23"/>
      <c r="AF575" s="23"/>
      <c r="AG575" s="23"/>
      <c r="AI575" s="13">
        <v>572</v>
      </c>
      <c r="AJ575" s="13">
        <v>139</v>
      </c>
      <c r="AK575" s="2">
        <v>140.98619590000001</v>
      </c>
      <c r="AV575" s="13">
        <f t="shared" si="34"/>
        <v>1.4289179136690811</v>
      </c>
      <c r="BD575" s="13">
        <v>572</v>
      </c>
      <c r="BE575" s="13">
        <v>139</v>
      </c>
      <c r="BF575" s="2">
        <v>142.23641259999999</v>
      </c>
      <c r="BQ575" s="13">
        <f t="shared" si="35"/>
        <v>2.3283543884891955</v>
      </c>
    </row>
    <row r="576" spans="1:69">
      <c r="A576" s="13">
        <v>573</v>
      </c>
      <c r="B576" s="13">
        <v>209</v>
      </c>
      <c r="C576" s="2">
        <v>217.81179950000001</v>
      </c>
      <c r="M576" s="13">
        <f t="shared" si="36"/>
        <v>4.2161720095693855</v>
      </c>
      <c r="O576" s="13">
        <v>573</v>
      </c>
      <c r="P576" s="13">
        <v>209</v>
      </c>
      <c r="Q576" s="2">
        <v>213.60806070000001</v>
      </c>
      <c r="AA576" s="13">
        <f t="shared" si="33"/>
        <v>2.2048137320574313</v>
      </c>
      <c r="AC576" s="23"/>
      <c r="AD576" s="23"/>
      <c r="AE576" s="23"/>
      <c r="AF576" s="23"/>
      <c r="AG576" s="23"/>
      <c r="AI576" s="13">
        <v>573</v>
      </c>
      <c r="AJ576" s="13">
        <v>209</v>
      </c>
      <c r="AK576" s="2">
        <v>211.0403599</v>
      </c>
      <c r="AV576" s="13">
        <f t="shared" si="34"/>
        <v>0.97624875598085747</v>
      </c>
      <c r="BD576" s="13">
        <v>573</v>
      </c>
      <c r="BE576" s="13">
        <v>209</v>
      </c>
      <c r="BF576" s="2">
        <v>212.21850689999999</v>
      </c>
      <c r="BQ576" s="13">
        <f t="shared" si="35"/>
        <v>1.5399554545454608</v>
      </c>
    </row>
    <row r="577" spans="1:69">
      <c r="A577" s="13">
        <v>574</v>
      </c>
      <c r="B577" s="13">
        <v>89</v>
      </c>
      <c r="C577" s="2">
        <v>58.992702090000002</v>
      </c>
      <c r="M577" s="13">
        <f t="shared" si="36"/>
        <v>-33.716065067415727</v>
      </c>
      <c r="O577" s="13">
        <v>574</v>
      </c>
      <c r="P577" s="13">
        <v>89</v>
      </c>
      <c r="Q577" s="2">
        <v>58.961538910000002</v>
      </c>
      <c r="AA577" s="13">
        <f t="shared" si="33"/>
        <v>-33.751079876404489</v>
      </c>
      <c r="AC577" s="23"/>
      <c r="AD577" s="23"/>
      <c r="AE577" s="23"/>
      <c r="AF577" s="23"/>
      <c r="AG577" s="23"/>
      <c r="AI577" s="13">
        <v>574</v>
      </c>
      <c r="AJ577" s="13">
        <v>89</v>
      </c>
      <c r="AK577" s="2">
        <v>82.770540420000003</v>
      </c>
      <c r="AV577" s="13">
        <f t="shared" si="34"/>
        <v>-6.9993927865168448</v>
      </c>
      <c r="BD577" s="13">
        <v>574</v>
      </c>
      <c r="BE577" s="13">
        <v>89</v>
      </c>
      <c r="BF577" s="2">
        <v>76.407503869999999</v>
      </c>
      <c r="BQ577" s="13">
        <f t="shared" si="35"/>
        <v>-14.148872056179773</v>
      </c>
    </row>
    <row r="578" spans="1:69">
      <c r="A578" s="13">
        <v>575</v>
      </c>
      <c r="B578" s="13">
        <v>111</v>
      </c>
      <c r="C578" s="2">
        <v>121.5957595</v>
      </c>
      <c r="M578" s="13">
        <f t="shared" si="36"/>
        <v>9.5457292792792803</v>
      </c>
      <c r="O578" s="13">
        <v>575</v>
      </c>
      <c r="P578" s="13">
        <v>111</v>
      </c>
      <c r="Q578" s="2">
        <v>122.3881523</v>
      </c>
      <c r="AA578" s="13">
        <f t="shared" si="33"/>
        <v>10.25959666666667</v>
      </c>
      <c r="AC578" s="23"/>
      <c r="AD578" s="23"/>
      <c r="AE578" s="23"/>
      <c r="AF578" s="23"/>
      <c r="AG578" s="23"/>
      <c r="AI578" s="13">
        <v>575</v>
      </c>
      <c r="AJ578" s="13">
        <v>111</v>
      </c>
      <c r="AK578" s="2">
        <v>113.3171519</v>
      </c>
      <c r="AV578" s="13">
        <f t="shared" si="34"/>
        <v>2.0875242342342393</v>
      </c>
      <c r="BD578" s="13">
        <v>575</v>
      </c>
      <c r="BE578" s="13">
        <v>111</v>
      </c>
      <c r="BF578" s="2">
        <v>114.9345292</v>
      </c>
      <c r="BQ578" s="13">
        <f t="shared" si="35"/>
        <v>3.5446209009009078</v>
      </c>
    </row>
    <row r="579" spans="1:69">
      <c r="A579" s="13">
        <v>576</v>
      </c>
      <c r="B579" s="13">
        <v>24</v>
      </c>
      <c r="C579" s="2">
        <v>34.285601710000002</v>
      </c>
      <c r="M579" s="13">
        <f t="shared" si="36"/>
        <v>42.856673791666665</v>
      </c>
      <c r="O579" s="13">
        <v>576</v>
      </c>
      <c r="P579" s="13">
        <v>24</v>
      </c>
      <c r="Q579" s="2">
        <v>33.5743358</v>
      </c>
      <c r="AA579" s="13">
        <f t="shared" ref="AA579:AA642" si="37">((Q579/P579)-1)*100</f>
        <v>39.893065833333338</v>
      </c>
      <c r="AC579" s="23"/>
      <c r="AD579" s="23"/>
      <c r="AE579" s="23"/>
      <c r="AF579" s="23"/>
      <c r="AG579" s="23"/>
      <c r="AI579" s="13">
        <v>576</v>
      </c>
      <c r="AJ579" s="13">
        <v>24</v>
      </c>
      <c r="AK579" s="2">
        <v>26.05638034</v>
      </c>
      <c r="AV579" s="13">
        <f t="shared" ref="AV579:AV642" si="38">((AK579/AJ579)-1)*100</f>
        <v>8.5682514166666621</v>
      </c>
      <c r="BD579" s="13">
        <v>576</v>
      </c>
      <c r="BE579" s="13">
        <v>24</v>
      </c>
      <c r="BF579" s="2">
        <v>27.640704419999999</v>
      </c>
      <c r="BQ579" s="13">
        <f t="shared" si="35"/>
        <v>15.169601749999995</v>
      </c>
    </row>
    <row r="580" spans="1:69">
      <c r="A580" s="13">
        <v>577</v>
      </c>
      <c r="B580" s="13">
        <v>143</v>
      </c>
      <c r="C580" s="2">
        <v>143.60941399999999</v>
      </c>
      <c r="M580" s="13">
        <f t="shared" si="36"/>
        <v>0.42616363636363008</v>
      </c>
      <c r="O580" s="13">
        <v>577</v>
      </c>
      <c r="P580" s="13">
        <v>143</v>
      </c>
      <c r="Q580" s="2">
        <v>142.9531331</v>
      </c>
      <c r="AA580" s="13">
        <f t="shared" si="37"/>
        <v>-3.2774055944051472E-2</v>
      </c>
      <c r="AC580" s="23"/>
      <c r="AD580" s="23"/>
      <c r="AE580" s="23"/>
      <c r="AF580" s="23"/>
      <c r="AG580" s="23"/>
      <c r="AI580" s="13">
        <v>577</v>
      </c>
      <c r="AJ580" s="13">
        <v>143</v>
      </c>
      <c r="AK580" s="2">
        <v>142.99788280000001</v>
      </c>
      <c r="AV580" s="13">
        <f t="shared" si="38"/>
        <v>-1.4805594405475908E-3</v>
      </c>
      <c r="BD580" s="13">
        <v>577</v>
      </c>
      <c r="BE580" s="13">
        <v>143</v>
      </c>
      <c r="BF580" s="2">
        <v>143.0695484</v>
      </c>
      <c r="BQ580" s="13">
        <f t="shared" ref="BQ580:BQ643" si="39">((BF580/BE580)-1)*100</f>
        <v>4.8635244755246276E-2</v>
      </c>
    </row>
    <row r="581" spans="1:69">
      <c r="A581" s="13">
        <v>578</v>
      </c>
      <c r="B581" s="13">
        <v>61</v>
      </c>
      <c r="C581" s="2">
        <v>66.144075928416299</v>
      </c>
      <c r="M581" s="13">
        <f t="shared" si="36"/>
        <v>8.4329113580595028</v>
      </c>
      <c r="O581" s="13">
        <v>578</v>
      </c>
      <c r="P581" s="13">
        <v>61</v>
      </c>
      <c r="Q581" s="2">
        <v>53.430496997506097</v>
      </c>
      <c r="AA581" s="13">
        <f t="shared" si="37"/>
        <v>-12.409021315563773</v>
      </c>
      <c r="AC581" s="23"/>
      <c r="AD581" s="23"/>
      <c r="AE581" s="23"/>
      <c r="AF581" s="23"/>
      <c r="AG581" s="23"/>
      <c r="AI581" s="13">
        <v>578</v>
      </c>
      <c r="AJ581" s="13">
        <v>61</v>
      </c>
      <c r="AK581" s="2">
        <v>55.28311609</v>
      </c>
      <c r="AV581" s="13">
        <f t="shared" si="38"/>
        <v>-9.3719408360655727</v>
      </c>
      <c r="BD581" s="13">
        <v>578</v>
      </c>
      <c r="BE581" s="13">
        <v>61</v>
      </c>
      <c r="BF581" s="2">
        <v>48.787573000000002</v>
      </c>
      <c r="BQ581" s="13">
        <f t="shared" si="39"/>
        <v>-20.020372131147536</v>
      </c>
    </row>
    <row r="582" spans="1:69">
      <c r="A582" s="13">
        <v>579</v>
      </c>
      <c r="B582" s="13">
        <v>119</v>
      </c>
      <c r="C582" s="2">
        <v>128.0556474</v>
      </c>
      <c r="M582" s="13">
        <f t="shared" si="36"/>
        <v>7.6097877310924433</v>
      </c>
      <c r="O582" s="13">
        <v>579</v>
      </c>
      <c r="P582" s="13">
        <v>119</v>
      </c>
      <c r="Q582" s="2">
        <v>125.2800445</v>
      </c>
      <c r="AA582" s="13">
        <f t="shared" si="37"/>
        <v>5.2773483193277348</v>
      </c>
      <c r="AC582" s="23"/>
      <c r="AD582" s="23"/>
      <c r="AE582" s="23"/>
      <c r="AF582" s="23"/>
      <c r="AG582" s="23"/>
      <c r="AI582" s="13">
        <v>579</v>
      </c>
      <c r="AJ582" s="13">
        <v>119</v>
      </c>
      <c r="AK582" s="2">
        <v>120.7531295</v>
      </c>
      <c r="AV582" s="13">
        <f t="shared" si="38"/>
        <v>1.4732180672268891</v>
      </c>
      <c r="BD582" s="13">
        <v>579</v>
      </c>
      <c r="BE582" s="13">
        <v>119</v>
      </c>
      <c r="BF582" s="2">
        <v>122.19179099999999</v>
      </c>
      <c r="BQ582" s="13">
        <f t="shared" si="39"/>
        <v>2.6821773109243718</v>
      </c>
    </row>
    <row r="583" spans="1:69">
      <c r="A583" s="13">
        <v>580</v>
      </c>
      <c r="B583" s="13">
        <v>212</v>
      </c>
      <c r="C583" s="2">
        <v>182.92330659999999</v>
      </c>
      <c r="M583" s="13">
        <f t="shared" si="36"/>
        <v>-13.715421415094342</v>
      </c>
      <c r="O583" s="13">
        <v>580</v>
      </c>
      <c r="P583" s="13">
        <v>212</v>
      </c>
      <c r="Q583" s="2">
        <v>182.7344325</v>
      </c>
      <c r="AA583" s="13">
        <f t="shared" si="37"/>
        <v>-13.804512971698113</v>
      </c>
      <c r="AC583" s="23"/>
      <c r="AD583" s="23"/>
      <c r="AE583" s="23"/>
      <c r="AF583" s="23"/>
      <c r="AG583" s="23"/>
      <c r="AI583" s="13">
        <v>580</v>
      </c>
      <c r="AJ583" s="13">
        <v>212</v>
      </c>
      <c r="AK583" s="2">
        <v>206.34666129999999</v>
      </c>
      <c r="AV583" s="13">
        <f t="shared" si="38"/>
        <v>-2.666669198113214</v>
      </c>
      <c r="BD583" s="13">
        <v>580</v>
      </c>
      <c r="BE583" s="13">
        <v>212</v>
      </c>
      <c r="BF583" s="2">
        <v>200.31537779999999</v>
      </c>
      <c r="BQ583" s="13">
        <f t="shared" si="39"/>
        <v>-5.5116142452830257</v>
      </c>
    </row>
    <row r="584" spans="1:69">
      <c r="A584" s="13">
        <v>581</v>
      </c>
      <c r="B584" s="13">
        <v>129</v>
      </c>
      <c r="C584" s="2">
        <v>128.82964279999999</v>
      </c>
      <c r="M584" s="13">
        <f t="shared" si="36"/>
        <v>-0.132059844961252</v>
      </c>
      <c r="O584" s="13">
        <v>581</v>
      </c>
      <c r="P584" s="13">
        <v>129</v>
      </c>
      <c r="Q584" s="2">
        <v>125.7274584</v>
      </c>
      <c r="AA584" s="13">
        <f t="shared" si="37"/>
        <v>-2.5368539534883716</v>
      </c>
      <c r="AC584" s="23"/>
      <c r="AD584" s="23"/>
      <c r="AE584" s="23"/>
      <c r="AF584" s="23"/>
      <c r="AG584" s="23"/>
      <c r="AI584" s="13">
        <v>581</v>
      </c>
      <c r="AJ584" s="13">
        <v>129</v>
      </c>
      <c r="AK584" s="2">
        <v>128.92592859999999</v>
      </c>
      <c r="AV584" s="13">
        <f t="shared" si="38"/>
        <v>-5.7419689922488804E-2</v>
      </c>
      <c r="BD584" s="13">
        <v>581</v>
      </c>
      <c r="BE584" s="13">
        <v>129</v>
      </c>
      <c r="BF584" s="2">
        <v>128.20223590000001</v>
      </c>
      <c r="BQ584" s="13">
        <f t="shared" si="39"/>
        <v>-0.6184217829457328</v>
      </c>
    </row>
    <row r="585" spans="1:69">
      <c r="A585" s="13">
        <v>582</v>
      </c>
      <c r="B585" s="13">
        <v>4</v>
      </c>
      <c r="C585" s="2">
        <v>3.5071586677494899</v>
      </c>
      <c r="M585" s="13">
        <f t="shared" si="36"/>
        <v>-12.321033306262752</v>
      </c>
      <c r="O585" s="13">
        <v>582</v>
      </c>
      <c r="P585" s="13">
        <v>4</v>
      </c>
      <c r="Q585" s="2">
        <v>4.2766045078742296</v>
      </c>
      <c r="AA585" s="13">
        <f t="shared" si="37"/>
        <v>6.9151126968557408</v>
      </c>
      <c r="AC585" s="23"/>
      <c r="AD585" s="23"/>
      <c r="AE585" s="23"/>
      <c r="AF585" s="23"/>
      <c r="AG585" s="23"/>
      <c r="AI585" s="13">
        <v>582</v>
      </c>
      <c r="AJ585" s="13">
        <v>4</v>
      </c>
      <c r="AK585" s="2">
        <v>3.3202276019530101</v>
      </c>
      <c r="AV585" s="13">
        <f t="shared" si="38"/>
        <v>-16.994309951174746</v>
      </c>
      <c r="BD585" s="13">
        <v>582</v>
      </c>
      <c r="BE585" s="13">
        <v>4</v>
      </c>
      <c r="BF585" s="2">
        <v>4.1570556467467297</v>
      </c>
      <c r="BQ585" s="13">
        <f t="shared" si="39"/>
        <v>3.9263911686682418</v>
      </c>
    </row>
    <row r="586" spans="1:69">
      <c r="A586" s="13">
        <v>583</v>
      </c>
      <c r="B586" s="13">
        <v>0</v>
      </c>
      <c r="C586" s="2">
        <v>10.141209330000001</v>
      </c>
      <c r="M586" s="13" t="e">
        <f t="shared" si="36"/>
        <v>#DIV/0!</v>
      </c>
      <c r="O586" s="13">
        <v>583</v>
      </c>
      <c r="P586" s="13">
        <v>0</v>
      </c>
      <c r="Q586" s="2">
        <v>8.8866104190000001</v>
      </c>
      <c r="AA586" s="13" t="e">
        <f t="shared" si="37"/>
        <v>#DIV/0!</v>
      </c>
      <c r="AC586" s="23"/>
      <c r="AD586" s="23"/>
      <c r="AE586" s="23"/>
      <c r="AF586" s="23"/>
      <c r="AG586" s="23"/>
      <c r="AI586" s="13">
        <v>583</v>
      </c>
      <c r="AJ586" s="13">
        <v>0</v>
      </c>
      <c r="AK586" s="2">
        <v>2.0277818669999998</v>
      </c>
      <c r="AV586" s="13" t="e">
        <f t="shared" si="38"/>
        <v>#DIV/0!</v>
      </c>
      <c r="BD586" s="13">
        <v>583</v>
      </c>
      <c r="BE586" s="13">
        <v>0</v>
      </c>
      <c r="BF586" s="2">
        <v>3.3814855330000002</v>
      </c>
      <c r="BQ586" s="13" t="e">
        <f t="shared" si="39"/>
        <v>#DIV/0!</v>
      </c>
    </row>
    <row r="587" spans="1:69">
      <c r="A587" s="13">
        <v>584</v>
      </c>
      <c r="B587" s="13">
        <v>141</v>
      </c>
      <c r="C587" s="2">
        <v>141.10680970000001</v>
      </c>
      <c r="M587" s="13">
        <f t="shared" si="36"/>
        <v>7.5751560283698893E-2</v>
      </c>
      <c r="O587" s="13">
        <v>584</v>
      </c>
      <c r="P587" s="13">
        <v>141</v>
      </c>
      <c r="Q587" s="2">
        <v>134.90288330000001</v>
      </c>
      <c r="AA587" s="13">
        <f t="shared" si="37"/>
        <v>-4.3241962411347368</v>
      </c>
      <c r="AC587" s="23"/>
      <c r="AD587" s="23"/>
      <c r="AE587" s="23"/>
      <c r="AF587" s="23"/>
      <c r="AG587" s="23"/>
      <c r="AI587" s="13">
        <v>584</v>
      </c>
      <c r="AJ587" s="13">
        <v>141</v>
      </c>
      <c r="AK587" s="2">
        <v>141.10936190000001</v>
      </c>
      <c r="AV587" s="13">
        <f t="shared" si="38"/>
        <v>7.7561631205691484E-2</v>
      </c>
      <c r="BD587" s="13">
        <v>584</v>
      </c>
      <c r="BE587" s="13">
        <v>141</v>
      </c>
      <c r="BF587" s="2">
        <v>141.09390590000001</v>
      </c>
      <c r="BQ587" s="13">
        <f t="shared" si="39"/>
        <v>6.6599929078026143E-2</v>
      </c>
    </row>
    <row r="588" spans="1:69">
      <c r="A588" s="13">
        <v>585</v>
      </c>
      <c r="B588" s="13">
        <v>12</v>
      </c>
      <c r="C588" s="2">
        <v>16.423396271376099</v>
      </c>
      <c r="M588" s="13">
        <f t="shared" si="36"/>
        <v>36.861635594800823</v>
      </c>
      <c r="O588" s="13">
        <v>585</v>
      </c>
      <c r="P588" s="13">
        <v>12</v>
      </c>
      <c r="Q588" s="2">
        <v>8.5513351764036099</v>
      </c>
      <c r="AA588" s="13">
        <f t="shared" si="37"/>
        <v>-28.738873529969922</v>
      </c>
      <c r="AC588" s="23"/>
      <c r="AD588" s="23"/>
      <c r="AE588" s="23"/>
      <c r="AF588" s="23"/>
      <c r="AG588" s="23"/>
      <c r="AI588" s="13">
        <v>585</v>
      </c>
      <c r="AJ588" s="13">
        <v>12</v>
      </c>
      <c r="AK588" s="2">
        <v>13.6418272157103</v>
      </c>
      <c r="AV588" s="13">
        <f t="shared" si="38"/>
        <v>13.681893464252504</v>
      </c>
      <c r="BD588" s="13">
        <v>585</v>
      </c>
      <c r="BE588" s="13">
        <v>12</v>
      </c>
      <c r="BF588" s="2">
        <v>12.674280630999901</v>
      </c>
      <c r="BQ588" s="13">
        <f t="shared" si="39"/>
        <v>5.619005258332499</v>
      </c>
    </row>
    <row r="589" spans="1:69">
      <c r="A589" s="13">
        <v>586</v>
      </c>
      <c r="B589" s="13">
        <v>209</v>
      </c>
      <c r="C589" s="2">
        <v>207.31118040000001</v>
      </c>
      <c r="M589" s="13">
        <f t="shared" si="36"/>
        <v>-0.80804765550238633</v>
      </c>
      <c r="O589" s="13">
        <v>586</v>
      </c>
      <c r="P589" s="13">
        <v>209</v>
      </c>
      <c r="Q589" s="2">
        <v>204.4548628</v>
      </c>
      <c r="AA589" s="13">
        <f t="shared" si="37"/>
        <v>-2.1747067942583742</v>
      </c>
      <c r="AC589" s="23"/>
      <c r="AD589" s="23"/>
      <c r="AE589" s="23"/>
      <c r="AF589" s="23"/>
      <c r="AG589" s="23"/>
      <c r="AI589" s="13">
        <v>586</v>
      </c>
      <c r="AJ589" s="13">
        <v>209</v>
      </c>
      <c r="AK589" s="2">
        <v>208.61623610000001</v>
      </c>
      <c r="AV589" s="13">
        <f t="shared" si="38"/>
        <v>-0.18361909090908179</v>
      </c>
      <c r="BD589" s="13">
        <v>586</v>
      </c>
      <c r="BE589" s="13">
        <v>209</v>
      </c>
      <c r="BF589" s="2">
        <v>208.14045630000001</v>
      </c>
      <c r="BQ589" s="13">
        <f t="shared" si="39"/>
        <v>-0.41126492822965988</v>
      </c>
    </row>
    <row r="590" spans="1:69">
      <c r="A590" s="13">
        <v>587</v>
      </c>
      <c r="B590" s="13">
        <v>99</v>
      </c>
      <c r="C590" s="2">
        <v>69.8892922</v>
      </c>
      <c r="M590" s="13">
        <f t="shared" si="36"/>
        <v>-29.40475535353535</v>
      </c>
      <c r="O590" s="13">
        <v>587</v>
      </c>
      <c r="P590" s="13">
        <v>99</v>
      </c>
      <c r="Q590" s="2">
        <v>70.179658770000003</v>
      </c>
      <c r="AA590" s="13">
        <f t="shared" si="37"/>
        <v>-29.111455787878782</v>
      </c>
      <c r="AC590" s="23"/>
      <c r="AD590" s="23"/>
      <c r="AE590" s="23"/>
      <c r="AF590" s="23"/>
      <c r="AG590" s="23"/>
      <c r="AI590" s="13">
        <v>587</v>
      </c>
      <c r="AJ590" s="13">
        <v>99</v>
      </c>
      <c r="AK590" s="2">
        <v>93.225858439999996</v>
      </c>
      <c r="AV590" s="13">
        <f t="shared" si="38"/>
        <v>-5.8324662222222212</v>
      </c>
      <c r="BD590" s="13">
        <v>587</v>
      </c>
      <c r="BE590" s="13">
        <v>99</v>
      </c>
      <c r="BF590" s="2">
        <v>87.782565739999995</v>
      </c>
      <c r="BQ590" s="13">
        <f t="shared" si="39"/>
        <v>-11.330741676767687</v>
      </c>
    </row>
    <row r="591" spans="1:69">
      <c r="A591" s="13">
        <v>588</v>
      </c>
      <c r="B591" s="13">
        <v>55</v>
      </c>
      <c r="C591" s="2">
        <v>54.791153280000003</v>
      </c>
      <c r="M591" s="13">
        <f t="shared" si="36"/>
        <v>-0.37972130909090795</v>
      </c>
      <c r="O591" s="13">
        <v>588</v>
      </c>
      <c r="P591" s="13">
        <v>55</v>
      </c>
      <c r="Q591" s="2">
        <v>55.042447199999998</v>
      </c>
      <c r="AA591" s="13">
        <f t="shared" si="37"/>
        <v>7.7176727272720846E-2</v>
      </c>
      <c r="AC591" s="23"/>
      <c r="AD591" s="23"/>
      <c r="AE591" s="23"/>
      <c r="AF591" s="23"/>
      <c r="AG591" s="23"/>
      <c r="AI591" s="13">
        <v>588</v>
      </c>
      <c r="AJ591" s="13">
        <v>55</v>
      </c>
      <c r="AK591" s="2">
        <v>55.098230659999999</v>
      </c>
      <c r="AV591" s="13">
        <f t="shared" si="38"/>
        <v>0.1786011999999948</v>
      </c>
      <c r="BD591" s="13">
        <v>588</v>
      </c>
      <c r="BE591" s="13">
        <v>55</v>
      </c>
      <c r="BF591" s="2">
        <v>54.568433059999997</v>
      </c>
      <c r="BQ591" s="13">
        <f t="shared" si="39"/>
        <v>-0.78466716363636557</v>
      </c>
    </row>
    <row r="592" spans="1:69">
      <c r="A592" s="13">
        <v>589</v>
      </c>
      <c r="B592" s="13">
        <v>71</v>
      </c>
      <c r="C592" s="2">
        <v>41.578955309999998</v>
      </c>
      <c r="M592" s="13">
        <f t="shared" si="36"/>
        <v>-41.438091112676055</v>
      </c>
      <c r="O592" s="13">
        <v>589</v>
      </c>
      <c r="P592" s="13">
        <v>71</v>
      </c>
      <c r="Q592" s="2">
        <v>44.731422569999999</v>
      </c>
      <c r="AA592" s="13">
        <f t="shared" si="37"/>
        <v>-36.997996380281691</v>
      </c>
      <c r="AC592" s="23"/>
      <c r="AD592" s="23"/>
      <c r="AE592" s="23"/>
      <c r="AF592" s="23"/>
      <c r="AG592" s="23"/>
      <c r="AI592" s="13">
        <v>589</v>
      </c>
      <c r="AJ592" s="13">
        <v>71</v>
      </c>
      <c r="AK592" s="2">
        <v>65.165791060000004</v>
      </c>
      <c r="AV592" s="13">
        <f t="shared" si="38"/>
        <v>-8.2171956901408443</v>
      </c>
      <c r="BD592" s="13">
        <v>589</v>
      </c>
      <c r="BE592" s="13">
        <v>71</v>
      </c>
      <c r="BF592" s="2">
        <v>59.148991680000002</v>
      </c>
      <c r="BQ592" s="13">
        <f t="shared" si="39"/>
        <v>-16.691561014084499</v>
      </c>
    </row>
    <row r="593" spans="1:69">
      <c r="A593" s="13">
        <v>590</v>
      </c>
      <c r="B593" s="13">
        <v>121</v>
      </c>
      <c r="C593" s="2">
        <v>89.958552580000003</v>
      </c>
      <c r="M593" s="13">
        <f t="shared" si="36"/>
        <v>-25.654088776859506</v>
      </c>
      <c r="O593" s="13">
        <v>590</v>
      </c>
      <c r="P593" s="13">
        <v>121</v>
      </c>
      <c r="Q593" s="2">
        <v>88.946144129999993</v>
      </c>
      <c r="AA593" s="13">
        <f t="shared" si="37"/>
        <v>-26.490789975206617</v>
      </c>
      <c r="AC593" s="23"/>
      <c r="AD593" s="23"/>
      <c r="AE593" s="23"/>
      <c r="AF593" s="23"/>
      <c r="AG593" s="23"/>
      <c r="AI593" s="13">
        <v>590</v>
      </c>
      <c r="AJ593" s="13">
        <v>121</v>
      </c>
      <c r="AK593" s="2">
        <v>114.8117105</v>
      </c>
      <c r="AV593" s="13">
        <f t="shared" si="38"/>
        <v>-5.1142888429752009</v>
      </c>
      <c r="BD593" s="13">
        <v>590</v>
      </c>
      <c r="BE593" s="13">
        <v>121</v>
      </c>
      <c r="BF593" s="2">
        <v>108.0078439</v>
      </c>
      <c r="BQ593" s="13">
        <f t="shared" si="39"/>
        <v>-10.737319090909093</v>
      </c>
    </row>
    <row r="594" spans="1:69">
      <c r="A594" s="13">
        <v>591</v>
      </c>
      <c r="B594" s="13">
        <v>3</v>
      </c>
      <c r="C594" s="2">
        <v>4.0915731103759301</v>
      </c>
      <c r="M594" s="13">
        <f t="shared" si="36"/>
        <v>36.385770345864344</v>
      </c>
      <c r="O594" s="13">
        <v>591</v>
      </c>
      <c r="P594" s="13">
        <v>3</v>
      </c>
      <c r="Q594" s="2">
        <v>1.97513649824078</v>
      </c>
      <c r="AA594" s="13">
        <f t="shared" si="37"/>
        <v>-34.162116725307335</v>
      </c>
      <c r="AC594" s="23"/>
      <c r="AD594" s="23"/>
      <c r="AE594" s="23"/>
      <c r="AF594" s="23"/>
      <c r="AG594" s="23"/>
      <c r="AI594" s="13">
        <v>591</v>
      </c>
      <c r="AJ594" s="13">
        <v>3</v>
      </c>
      <c r="AK594" s="2">
        <v>3.7468348536561602</v>
      </c>
      <c r="AV594" s="13">
        <f t="shared" si="38"/>
        <v>24.894495121872005</v>
      </c>
      <c r="BD594" s="13">
        <v>591</v>
      </c>
      <c r="BE594" s="13">
        <v>3</v>
      </c>
      <c r="BF594" s="2">
        <v>2.5430414053769899</v>
      </c>
      <c r="BQ594" s="13">
        <f t="shared" si="39"/>
        <v>-15.231953154100342</v>
      </c>
    </row>
    <row r="595" spans="1:69">
      <c r="A595" s="13">
        <v>592</v>
      </c>
      <c r="B595" s="13">
        <v>188</v>
      </c>
      <c r="C595" s="2">
        <v>188.23429519999999</v>
      </c>
      <c r="M595" s="13">
        <f t="shared" si="36"/>
        <v>0.12462510638298063</v>
      </c>
      <c r="O595" s="13">
        <v>592</v>
      </c>
      <c r="P595" s="13">
        <v>188</v>
      </c>
      <c r="Q595" s="2">
        <v>184.68336650000001</v>
      </c>
      <c r="AA595" s="13">
        <f t="shared" si="37"/>
        <v>-1.7641667553191409</v>
      </c>
      <c r="AC595" s="23"/>
      <c r="AD595" s="23"/>
      <c r="AE595" s="23"/>
      <c r="AF595" s="23"/>
      <c r="AG595" s="23"/>
      <c r="AI595" s="13">
        <v>592</v>
      </c>
      <c r="AJ595" s="13">
        <v>188</v>
      </c>
      <c r="AK595" s="2">
        <v>187.98285899999999</v>
      </c>
      <c r="AV595" s="13">
        <f t="shared" si="38"/>
        <v>-9.1175531914955421E-3</v>
      </c>
      <c r="BD595" s="13">
        <v>592</v>
      </c>
      <c r="BE595" s="13">
        <v>188</v>
      </c>
      <c r="BF595" s="2">
        <v>188.1774479</v>
      </c>
      <c r="BQ595" s="13">
        <f t="shared" si="39"/>
        <v>9.4387180851063235E-2</v>
      </c>
    </row>
    <row r="596" spans="1:69">
      <c r="A596" s="13">
        <v>593</v>
      </c>
      <c r="B596" s="13">
        <v>8</v>
      </c>
      <c r="C596" s="2">
        <v>7.0532492601980596</v>
      </c>
      <c r="M596" s="13">
        <f t="shared" si="36"/>
        <v>-11.834384247524255</v>
      </c>
      <c r="O596" s="13">
        <v>593</v>
      </c>
      <c r="P596" s="13">
        <v>8</v>
      </c>
      <c r="Q596" s="2">
        <v>9.2148800702357594</v>
      </c>
      <c r="AA596" s="13">
        <f t="shared" si="37"/>
        <v>15.186000877946991</v>
      </c>
      <c r="AC596" s="23"/>
      <c r="AD596" s="23"/>
      <c r="AE596" s="23"/>
      <c r="AF596" s="23"/>
      <c r="AG596" s="23"/>
      <c r="AI596" s="13">
        <v>593</v>
      </c>
      <c r="AJ596" s="13">
        <v>8</v>
      </c>
      <c r="AK596" s="2">
        <v>6.8419384268435799</v>
      </c>
      <c r="AV596" s="13">
        <f t="shared" si="38"/>
        <v>-14.475769664455251</v>
      </c>
      <c r="BD596" s="13">
        <v>593</v>
      </c>
      <c r="BE596" s="13">
        <v>8</v>
      </c>
      <c r="BF596" s="2">
        <v>7.05000675408278</v>
      </c>
      <c r="BQ596" s="13">
        <f t="shared" si="39"/>
        <v>-11.87491557396525</v>
      </c>
    </row>
    <row r="597" spans="1:69">
      <c r="A597" s="13">
        <v>594</v>
      </c>
      <c r="B597" s="13">
        <v>199</v>
      </c>
      <c r="C597" s="2">
        <v>168.4548891</v>
      </c>
      <c r="M597" s="13">
        <f t="shared" si="36"/>
        <v>-15.349301959798989</v>
      </c>
      <c r="O597" s="13">
        <v>594</v>
      </c>
      <c r="P597" s="13">
        <v>199</v>
      </c>
      <c r="Q597" s="2">
        <v>163.9059264</v>
      </c>
      <c r="AA597" s="13">
        <f t="shared" si="37"/>
        <v>-17.635212864321602</v>
      </c>
      <c r="AC597" s="23"/>
      <c r="AD597" s="23"/>
      <c r="AE597" s="23"/>
      <c r="AF597" s="23"/>
      <c r="AG597" s="23"/>
      <c r="AI597" s="13">
        <v>594</v>
      </c>
      <c r="AJ597" s="13">
        <v>199</v>
      </c>
      <c r="AK597" s="2">
        <v>192.76897779999999</v>
      </c>
      <c r="AV597" s="13">
        <f t="shared" si="38"/>
        <v>-3.1311669346733684</v>
      </c>
      <c r="BD597" s="13">
        <v>594</v>
      </c>
      <c r="BE597" s="13">
        <v>199</v>
      </c>
      <c r="BF597" s="2">
        <v>186.88415069999999</v>
      </c>
      <c r="BQ597" s="13">
        <f t="shared" si="39"/>
        <v>-6.0883664824120665</v>
      </c>
    </row>
    <row r="598" spans="1:69">
      <c r="A598" s="13">
        <v>595</v>
      </c>
      <c r="B598" s="13">
        <v>146</v>
      </c>
      <c r="C598" s="2">
        <v>117.43381189999999</v>
      </c>
      <c r="M598" s="13">
        <f t="shared" si="36"/>
        <v>-19.56588226027398</v>
      </c>
      <c r="O598" s="13">
        <v>595</v>
      </c>
      <c r="P598" s="13">
        <v>146</v>
      </c>
      <c r="Q598" s="2">
        <v>118.5432634</v>
      </c>
      <c r="AA598" s="13">
        <f t="shared" si="37"/>
        <v>-18.805983972602736</v>
      </c>
      <c r="AC598" s="23"/>
      <c r="AD598" s="23"/>
      <c r="AE598" s="23"/>
      <c r="AF598" s="23"/>
      <c r="AG598" s="23"/>
      <c r="AI598" s="13">
        <v>595</v>
      </c>
      <c r="AJ598" s="13">
        <v>146</v>
      </c>
      <c r="AK598" s="2">
        <v>140.1887624</v>
      </c>
      <c r="AV598" s="13">
        <f t="shared" si="38"/>
        <v>-3.980299726027392</v>
      </c>
      <c r="BD598" s="13">
        <v>595</v>
      </c>
      <c r="BE598" s="13">
        <v>146</v>
      </c>
      <c r="BF598" s="2">
        <v>134.47038599999999</v>
      </c>
      <c r="BQ598" s="13">
        <f t="shared" si="39"/>
        <v>-7.8969958904109632</v>
      </c>
    </row>
    <row r="599" spans="1:69">
      <c r="A599" s="13">
        <v>596</v>
      </c>
      <c r="B599" s="13">
        <v>140</v>
      </c>
      <c r="C599" s="2">
        <v>151.5519812</v>
      </c>
      <c r="M599" s="13">
        <f t="shared" si="36"/>
        <v>8.2514151428571445</v>
      </c>
      <c r="O599" s="13">
        <v>596</v>
      </c>
      <c r="P599" s="13">
        <v>140</v>
      </c>
      <c r="Q599" s="2">
        <v>144.15079320000001</v>
      </c>
      <c r="AA599" s="13">
        <f t="shared" si="37"/>
        <v>2.9648522857143034</v>
      </c>
      <c r="AC599" s="23"/>
      <c r="AD599" s="23"/>
      <c r="AE599" s="23"/>
      <c r="AF599" s="23"/>
      <c r="AG599" s="23"/>
      <c r="AI599" s="13">
        <v>596</v>
      </c>
      <c r="AJ599" s="13">
        <v>140</v>
      </c>
      <c r="AK599" s="2">
        <v>142.2363962</v>
      </c>
      <c r="AV599" s="13">
        <f t="shared" si="38"/>
        <v>1.5974258571428646</v>
      </c>
      <c r="BD599" s="13">
        <v>596</v>
      </c>
      <c r="BE599" s="13">
        <v>140</v>
      </c>
      <c r="BF599" s="2">
        <v>144.37801730000001</v>
      </c>
      <c r="BQ599" s="13">
        <f t="shared" si="39"/>
        <v>3.1271552142857262</v>
      </c>
    </row>
    <row r="600" spans="1:69">
      <c r="A600" s="13">
        <v>597</v>
      </c>
      <c r="B600" s="13">
        <v>20</v>
      </c>
      <c r="C600" s="2">
        <v>23.693962070000001</v>
      </c>
      <c r="M600" s="13">
        <f t="shared" si="36"/>
        <v>18.469810350000017</v>
      </c>
      <c r="O600" s="13">
        <v>597</v>
      </c>
      <c r="P600" s="13">
        <v>20</v>
      </c>
      <c r="Q600" s="2">
        <v>25.459128840000002</v>
      </c>
      <c r="AA600" s="13">
        <f t="shared" si="37"/>
        <v>27.295644200000012</v>
      </c>
      <c r="AC600" s="23"/>
      <c r="AD600" s="23"/>
      <c r="AE600" s="23"/>
      <c r="AF600" s="23"/>
      <c r="AG600" s="23"/>
      <c r="AI600" s="13">
        <v>597</v>
      </c>
      <c r="AJ600" s="13">
        <v>20</v>
      </c>
      <c r="AK600" s="2">
        <v>20.740652409999999</v>
      </c>
      <c r="AV600" s="13">
        <f t="shared" si="38"/>
        <v>3.7032620500000002</v>
      </c>
      <c r="BD600" s="13">
        <v>597</v>
      </c>
      <c r="BE600" s="13">
        <v>20</v>
      </c>
      <c r="BF600" s="2">
        <v>20.917693440000001</v>
      </c>
      <c r="BQ600" s="13">
        <f t="shared" si="39"/>
        <v>4.5884672000000126</v>
      </c>
    </row>
    <row r="601" spans="1:69">
      <c r="A601" s="13">
        <v>598</v>
      </c>
      <c r="B601" s="13">
        <v>77</v>
      </c>
      <c r="C601" s="2">
        <v>48.321545569999998</v>
      </c>
      <c r="M601" s="13">
        <f t="shared" si="36"/>
        <v>-37.244746012987015</v>
      </c>
      <c r="O601" s="13">
        <v>598</v>
      </c>
      <c r="P601" s="13">
        <v>77</v>
      </c>
      <c r="Q601" s="2">
        <v>46.805634009999999</v>
      </c>
      <c r="AA601" s="13">
        <f t="shared" si="37"/>
        <v>-39.213462324675334</v>
      </c>
      <c r="AC601" s="23"/>
      <c r="AD601" s="23"/>
      <c r="AE601" s="23"/>
      <c r="AF601" s="23"/>
      <c r="AG601" s="23"/>
      <c r="AI601" s="13">
        <v>598</v>
      </c>
      <c r="AJ601" s="13">
        <v>77</v>
      </c>
      <c r="AK601" s="2">
        <v>71.224309109999993</v>
      </c>
      <c r="AV601" s="13">
        <f t="shared" si="38"/>
        <v>-7.5008972597402686</v>
      </c>
      <c r="BD601" s="13">
        <v>598</v>
      </c>
      <c r="BE601" s="13">
        <v>77</v>
      </c>
      <c r="BF601" s="2">
        <v>65.361879360000003</v>
      </c>
      <c r="BQ601" s="13">
        <f t="shared" si="39"/>
        <v>-15.114442389610383</v>
      </c>
    </row>
    <row r="602" spans="1:69">
      <c r="A602" s="13">
        <v>599</v>
      </c>
      <c r="B602" s="13">
        <v>48</v>
      </c>
      <c r="C602" s="2">
        <v>58.613682879999999</v>
      </c>
      <c r="M602" s="13">
        <f t="shared" si="36"/>
        <v>22.111839333333339</v>
      </c>
      <c r="O602" s="13">
        <v>599</v>
      </c>
      <c r="P602" s="13">
        <v>48</v>
      </c>
      <c r="Q602" s="2">
        <v>57.636894609999999</v>
      </c>
      <c r="AA602" s="13">
        <f t="shared" si="37"/>
        <v>20.076863770833331</v>
      </c>
      <c r="AC602" s="23"/>
      <c r="AD602" s="23"/>
      <c r="AE602" s="23"/>
      <c r="AF602" s="23"/>
      <c r="AG602" s="23"/>
      <c r="AI602" s="13">
        <v>599</v>
      </c>
      <c r="AJ602" s="13">
        <v>48</v>
      </c>
      <c r="AK602" s="2">
        <v>49.872736580000002</v>
      </c>
      <c r="AV602" s="13">
        <f t="shared" si="38"/>
        <v>3.9015345416666625</v>
      </c>
      <c r="BD602" s="13">
        <v>599</v>
      </c>
      <c r="BE602" s="13">
        <v>48</v>
      </c>
      <c r="BF602" s="2">
        <v>51.756903639999997</v>
      </c>
      <c r="BQ602" s="13">
        <f t="shared" si="39"/>
        <v>7.8268825833333278</v>
      </c>
    </row>
    <row r="603" spans="1:69">
      <c r="A603" s="13">
        <v>600</v>
      </c>
      <c r="B603" s="13">
        <v>101</v>
      </c>
      <c r="C603" s="2">
        <v>100.58697189999999</v>
      </c>
      <c r="M603" s="13">
        <f t="shared" si="36"/>
        <v>-0.40893871287128736</v>
      </c>
      <c r="O603" s="13">
        <v>600</v>
      </c>
      <c r="P603" s="13">
        <v>101</v>
      </c>
      <c r="Q603" s="2">
        <v>98.441417400000006</v>
      </c>
      <c r="AA603" s="13">
        <f t="shared" si="37"/>
        <v>-2.5332500990098983</v>
      </c>
      <c r="AC603" s="23"/>
      <c r="AD603" s="23"/>
      <c r="AE603" s="23"/>
      <c r="AF603" s="23"/>
      <c r="AG603" s="23"/>
      <c r="AI603" s="13">
        <v>600</v>
      </c>
      <c r="AJ603" s="13">
        <v>101</v>
      </c>
      <c r="AK603" s="2">
        <v>100.7013944</v>
      </c>
      <c r="AV603" s="13">
        <f t="shared" si="38"/>
        <v>-0.29564910891088925</v>
      </c>
      <c r="BD603" s="13">
        <v>600</v>
      </c>
      <c r="BE603" s="13">
        <v>101</v>
      </c>
      <c r="BF603" s="2">
        <v>99.719743739999998</v>
      </c>
      <c r="BQ603" s="13">
        <f t="shared" si="39"/>
        <v>-1.2675804554455494</v>
      </c>
    </row>
    <row r="604" spans="1:69">
      <c r="A604" s="13">
        <v>601</v>
      </c>
      <c r="B604" s="13">
        <v>84</v>
      </c>
      <c r="C604" s="2">
        <v>85.155851749999997</v>
      </c>
      <c r="M604" s="13">
        <f t="shared" si="36"/>
        <v>1.3760139880952371</v>
      </c>
      <c r="O604" s="13">
        <v>601</v>
      </c>
      <c r="P604" s="13">
        <v>84</v>
      </c>
      <c r="Q604" s="2">
        <v>89.341977529999994</v>
      </c>
      <c r="AA604" s="13">
        <f t="shared" si="37"/>
        <v>6.3594970595238109</v>
      </c>
      <c r="AC604" s="23"/>
      <c r="AD604" s="23"/>
      <c r="AE604" s="23"/>
      <c r="AF604" s="23"/>
      <c r="AG604" s="23"/>
      <c r="AI604" s="13">
        <v>601</v>
      </c>
      <c r="AJ604" s="13">
        <v>84</v>
      </c>
      <c r="AK604" s="2">
        <v>84.025170349999996</v>
      </c>
      <c r="AV604" s="13">
        <f t="shared" si="38"/>
        <v>2.9964702380946839E-2</v>
      </c>
      <c r="BD604" s="13">
        <v>601</v>
      </c>
      <c r="BE604" s="13">
        <v>84</v>
      </c>
      <c r="BF604" s="2">
        <v>84.371103660000003</v>
      </c>
      <c r="BQ604" s="13">
        <f t="shared" si="39"/>
        <v>0.44179007142857163</v>
      </c>
    </row>
    <row r="605" spans="1:69">
      <c r="A605" s="13">
        <v>602</v>
      </c>
      <c r="B605" s="13">
        <v>184</v>
      </c>
      <c r="C605" s="2">
        <v>153.55853200000001</v>
      </c>
      <c r="M605" s="13">
        <f t="shared" si="36"/>
        <v>-16.544276086956511</v>
      </c>
      <c r="O605" s="13">
        <v>602</v>
      </c>
      <c r="P605" s="13">
        <v>184</v>
      </c>
      <c r="Q605" s="2">
        <v>151.79684950000001</v>
      </c>
      <c r="AA605" s="13">
        <f t="shared" si="37"/>
        <v>-17.501712228260867</v>
      </c>
      <c r="AC605" s="23"/>
      <c r="AD605" s="23"/>
      <c r="AE605" s="23"/>
      <c r="AF605" s="23"/>
      <c r="AG605" s="23"/>
      <c r="AI605" s="13">
        <v>602</v>
      </c>
      <c r="AJ605" s="13">
        <v>184</v>
      </c>
      <c r="AK605" s="2">
        <v>177.8617064</v>
      </c>
      <c r="AV605" s="13">
        <f t="shared" si="38"/>
        <v>-3.3360291304347811</v>
      </c>
      <c r="BD605" s="13">
        <v>602</v>
      </c>
      <c r="BE605" s="13">
        <v>184</v>
      </c>
      <c r="BF605" s="2">
        <v>171.6652192</v>
      </c>
      <c r="BQ605" s="13">
        <f t="shared" si="39"/>
        <v>-6.7036852173913086</v>
      </c>
    </row>
    <row r="606" spans="1:69">
      <c r="A606" s="13">
        <v>603</v>
      </c>
      <c r="B606" s="13">
        <v>217</v>
      </c>
      <c r="C606" s="2">
        <v>215.72161700000001</v>
      </c>
      <c r="M606" s="13">
        <f t="shared" si="36"/>
        <v>-0.58911658986174897</v>
      </c>
      <c r="O606" s="13">
        <v>603</v>
      </c>
      <c r="P606" s="13">
        <v>217</v>
      </c>
      <c r="Q606" s="2">
        <v>208.4656142</v>
      </c>
      <c r="AA606" s="13">
        <f t="shared" si="37"/>
        <v>-3.9328966820276423</v>
      </c>
      <c r="AC606" s="23"/>
      <c r="AD606" s="23"/>
      <c r="AE606" s="23"/>
      <c r="AF606" s="23"/>
      <c r="AG606" s="23"/>
      <c r="AI606" s="13">
        <v>603</v>
      </c>
      <c r="AJ606" s="13">
        <v>217</v>
      </c>
      <c r="AK606" s="2">
        <v>216.81032339999999</v>
      </c>
      <c r="AV606" s="13">
        <f t="shared" si="38"/>
        <v>-8.740857142858216E-2</v>
      </c>
      <c r="BD606" s="13">
        <v>603</v>
      </c>
      <c r="BE606" s="13">
        <v>217</v>
      </c>
      <c r="BF606" s="2">
        <v>216.45651190000001</v>
      </c>
      <c r="BQ606" s="13">
        <f t="shared" si="39"/>
        <v>-0.25045534562211369</v>
      </c>
    </row>
    <row r="607" spans="1:69">
      <c r="A607" s="13">
        <v>604</v>
      </c>
      <c r="B607" s="13">
        <v>123</v>
      </c>
      <c r="C607" s="2">
        <v>132.3502699</v>
      </c>
      <c r="M607" s="13">
        <f t="shared" si="36"/>
        <v>7.6018454471544761</v>
      </c>
      <c r="O607" s="13">
        <v>604</v>
      </c>
      <c r="P607" s="13">
        <v>123</v>
      </c>
      <c r="Q607" s="2">
        <v>130.29673270000001</v>
      </c>
      <c r="AA607" s="13">
        <f t="shared" si="37"/>
        <v>5.9323030081300798</v>
      </c>
      <c r="AC607" s="23"/>
      <c r="AD607" s="23"/>
      <c r="AE607" s="23"/>
      <c r="AF607" s="23"/>
      <c r="AG607" s="23"/>
      <c r="AI607" s="13">
        <v>604</v>
      </c>
      <c r="AJ607" s="13">
        <v>123</v>
      </c>
      <c r="AK607" s="2">
        <v>125.082054</v>
      </c>
      <c r="AV607" s="13">
        <f t="shared" si="38"/>
        <v>1.6927268292682873</v>
      </c>
      <c r="BD607" s="13">
        <v>604</v>
      </c>
      <c r="BE607" s="13">
        <v>123</v>
      </c>
      <c r="BF607" s="2">
        <v>126.856892</v>
      </c>
      <c r="BQ607" s="13">
        <f t="shared" si="39"/>
        <v>3.1356845528455191</v>
      </c>
    </row>
    <row r="608" spans="1:69">
      <c r="A608" s="13">
        <v>605</v>
      </c>
      <c r="B608" s="13">
        <v>138</v>
      </c>
      <c r="C608" s="2">
        <v>138.79830910000001</v>
      </c>
      <c r="M608" s="13">
        <f t="shared" si="36"/>
        <v>0.57848485507248082</v>
      </c>
      <c r="O608" s="13">
        <v>605</v>
      </c>
      <c r="P608" s="13">
        <v>138</v>
      </c>
      <c r="Q608" s="2">
        <v>133.45314289999999</v>
      </c>
      <c r="AA608" s="13">
        <f t="shared" si="37"/>
        <v>-3.2948239855072559</v>
      </c>
      <c r="AC608" s="23"/>
      <c r="AD608" s="23"/>
      <c r="AE608" s="23"/>
      <c r="AF608" s="23"/>
      <c r="AG608" s="23"/>
      <c r="AI608" s="13">
        <v>605</v>
      </c>
      <c r="AJ608" s="13">
        <v>138</v>
      </c>
      <c r="AK608" s="2">
        <v>138.06966180000001</v>
      </c>
      <c r="AV608" s="13">
        <f t="shared" si="38"/>
        <v>5.0479565217398381E-2</v>
      </c>
      <c r="BD608" s="13">
        <v>605</v>
      </c>
      <c r="BE608" s="13">
        <v>138</v>
      </c>
      <c r="BF608" s="2">
        <v>137.86781329999999</v>
      </c>
      <c r="BQ608" s="13">
        <f t="shared" si="39"/>
        <v>-9.5787463768115533E-2</v>
      </c>
    </row>
    <row r="609" spans="1:69">
      <c r="A609" s="13">
        <v>606</v>
      </c>
      <c r="B609" s="13">
        <v>101</v>
      </c>
      <c r="C609" s="2">
        <v>71.751652989999997</v>
      </c>
      <c r="M609" s="13">
        <f t="shared" si="36"/>
        <v>-28.958759415841584</v>
      </c>
      <c r="O609" s="13">
        <v>606</v>
      </c>
      <c r="P609" s="13">
        <v>101</v>
      </c>
      <c r="Q609" s="2">
        <v>64.922128900000004</v>
      </c>
      <c r="AA609" s="13">
        <f t="shared" si="37"/>
        <v>-35.720664455445537</v>
      </c>
      <c r="AC609" s="23"/>
      <c r="AD609" s="23"/>
      <c r="AE609" s="23"/>
      <c r="AF609" s="23"/>
      <c r="AG609" s="23"/>
      <c r="AI609" s="13">
        <v>606</v>
      </c>
      <c r="AJ609" s="13">
        <v>101</v>
      </c>
      <c r="AK609" s="2">
        <v>95.070330600000005</v>
      </c>
      <c r="AV609" s="13">
        <f t="shared" si="38"/>
        <v>-5.8709598019801916</v>
      </c>
      <c r="BD609" s="13">
        <v>606</v>
      </c>
      <c r="BE609" s="13">
        <v>101</v>
      </c>
      <c r="BF609" s="2">
        <v>88.955815689999994</v>
      </c>
      <c r="BQ609" s="13">
        <f t="shared" si="39"/>
        <v>-11.924934960396049</v>
      </c>
    </row>
    <row r="610" spans="1:69">
      <c r="A610" s="13">
        <v>607</v>
      </c>
      <c r="B610" s="13">
        <v>127</v>
      </c>
      <c r="C610" s="2">
        <v>136.469435</v>
      </c>
      <c r="M610" s="13">
        <f t="shared" si="36"/>
        <v>7.4562480314960711</v>
      </c>
      <c r="O610" s="13">
        <v>607</v>
      </c>
      <c r="P610" s="13">
        <v>127</v>
      </c>
      <c r="Q610" s="2">
        <v>132.63148989999999</v>
      </c>
      <c r="AA610" s="13">
        <f t="shared" si="37"/>
        <v>4.4342440157480345</v>
      </c>
      <c r="AC610" s="23"/>
      <c r="AD610" s="23"/>
      <c r="AE610" s="23"/>
      <c r="AF610" s="23"/>
      <c r="AG610" s="23"/>
      <c r="AI610" s="13">
        <v>607</v>
      </c>
      <c r="AJ610" s="13">
        <v>127</v>
      </c>
      <c r="AK610" s="2">
        <v>128.95388700000001</v>
      </c>
      <c r="AV610" s="13">
        <f t="shared" si="38"/>
        <v>1.5384937007874022</v>
      </c>
      <c r="BD610" s="13">
        <v>607</v>
      </c>
      <c r="BE610" s="13">
        <v>127</v>
      </c>
      <c r="BF610" s="2">
        <v>131.0697504</v>
      </c>
      <c r="BQ610" s="13">
        <f t="shared" si="39"/>
        <v>3.2045278740157501</v>
      </c>
    </row>
    <row r="611" spans="1:69">
      <c r="A611" s="13">
        <v>608</v>
      </c>
      <c r="B611" s="13">
        <v>12</v>
      </c>
      <c r="C611" s="2">
        <v>15.5117101014167</v>
      </c>
      <c r="M611" s="13">
        <f t="shared" si="36"/>
        <v>29.264250845139173</v>
      </c>
      <c r="O611" s="13">
        <v>608</v>
      </c>
      <c r="P611" s="13">
        <v>12</v>
      </c>
      <c r="Q611" s="2">
        <v>13.041505339189699</v>
      </c>
      <c r="AA611" s="13">
        <f t="shared" si="37"/>
        <v>8.6792111599141677</v>
      </c>
      <c r="AC611" s="23"/>
      <c r="AD611" s="23"/>
      <c r="AE611" s="23"/>
      <c r="AF611" s="23"/>
      <c r="AG611" s="23"/>
      <c r="AI611" s="13">
        <v>608</v>
      </c>
      <c r="AJ611" s="13">
        <v>12</v>
      </c>
      <c r="AK611" s="2">
        <v>14.21390667</v>
      </c>
      <c r="AV611" s="13">
        <f t="shared" si="38"/>
        <v>18.449222250000009</v>
      </c>
      <c r="BD611" s="13">
        <v>608</v>
      </c>
      <c r="BE611" s="13">
        <v>12</v>
      </c>
      <c r="BF611" s="2">
        <v>15.94433793</v>
      </c>
      <c r="BQ611" s="13">
        <f t="shared" si="39"/>
        <v>32.869482749999989</v>
      </c>
    </row>
    <row r="612" spans="1:69">
      <c r="A612" s="13">
        <v>609</v>
      </c>
      <c r="B612" s="13">
        <v>41</v>
      </c>
      <c r="C612" s="2">
        <v>53.086788130000002</v>
      </c>
      <c r="M612" s="13">
        <f t="shared" si="36"/>
        <v>29.479971048780484</v>
      </c>
      <c r="O612" s="13">
        <v>609</v>
      </c>
      <c r="P612" s="13">
        <v>41</v>
      </c>
      <c r="Q612" s="2">
        <v>53.10502486</v>
      </c>
      <c r="AA612" s="13">
        <f t="shared" si="37"/>
        <v>29.524450878048782</v>
      </c>
      <c r="AC612" s="23"/>
      <c r="AD612" s="23"/>
      <c r="AE612" s="23"/>
      <c r="AF612" s="23"/>
      <c r="AG612" s="23"/>
      <c r="AI612" s="13">
        <v>609</v>
      </c>
      <c r="AJ612" s="13">
        <v>41</v>
      </c>
      <c r="AK612" s="2">
        <v>43.211357630000002</v>
      </c>
      <c r="AV612" s="13">
        <f t="shared" si="38"/>
        <v>5.3935551951219463</v>
      </c>
      <c r="BD612" s="13">
        <v>609</v>
      </c>
      <c r="BE612" s="13">
        <v>41</v>
      </c>
      <c r="BF612" s="2">
        <v>45.677971399999997</v>
      </c>
      <c r="BQ612" s="13">
        <f t="shared" si="39"/>
        <v>11.409686341463399</v>
      </c>
    </row>
    <row r="613" spans="1:69">
      <c r="A613" s="13">
        <v>610</v>
      </c>
      <c r="B613" s="13">
        <v>83</v>
      </c>
      <c r="C613" s="2">
        <v>94.355189879999998</v>
      </c>
      <c r="M613" s="13">
        <f t="shared" si="36"/>
        <v>13.680951662650598</v>
      </c>
      <c r="O613" s="13">
        <v>610</v>
      </c>
      <c r="P613" s="13">
        <v>83</v>
      </c>
      <c r="Q613" s="2">
        <v>90.656645879999999</v>
      </c>
      <c r="AA613" s="13">
        <f t="shared" si="37"/>
        <v>9.2248745542168784</v>
      </c>
      <c r="AC613" s="23"/>
      <c r="AD613" s="23"/>
      <c r="AE613" s="23"/>
      <c r="AF613" s="23"/>
      <c r="AG613" s="23"/>
      <c r="AI613" s="13">
        <v>610</v>
      </c>
      <c r="AJ613" s="13">
        <v>83</v>
      </c>
      <c r="AK613" s="2">
        <v>85.269037979999993</v>
      </c>
      <c r="AV613" s="13">
        <f t="shared" si="38"/>
        <v>2.733780698795174</v>
      </c>
      <c r="BD613" s="13">
        <v>610</v>
      </c>
      <c r="BE613" s="13">
        <v>83</v>
      </c>
      <c r="BF613" s="2">
        <v>87.145789120000003</v>
      </c>
      <c r="BQ613" s="13">
        <f t="shared" si="39"/>
        <v>4.9949266506024159</v>
      </c>
    </row>
    <row r="614" spans="1:69">
      <c r="A614" s="13">
        <v>611</v>
      </c>
      <c r="B614" s="13">
        <v>152</v>
      </c>
      <c r="C614" s="2">
        <v>122.7395908</v>
      </c>
      <c r="M614" s="13">
        <f t="shared" ref="M614:M677" si="40">((C614/B614)-1)*100</f>
        <v>-19.250269210526316</v>
      </c>
      <c r="O614" s="13">
        <v>611</v>
      </c>
      <c r="P614" s="13">
        <v>152</v>
      </c>
      <c r="Q614" s="2">
        <v>123.2179984</v>
      </c>
      <c r="AA614" s="13">
        <f t="shared" si="37"/>
        <v>-18.935527368421056</v>
      </c>
      <c r="AC614" s="23"/>
      <c r="AD614" s="23"/>
      <c r="AE614" s="23"/>
      <c r="AF614" s="23"/>
      <c r="AG614" s="23"/>
      <c r="AI614" s="13">
        <v>611</v>
      </c>
      <c r="AJ614" s="13">
        <v>152</v>
      </c>
      <c r="AK614" s="2">
        <v>146.26591819999999</v>
      </c>
      <c r="AV614" s="13">
        <f t="shared" si="38"/>
        <v>-3.7724222368421101</v>
      </c>
      <c r="BD614" s="13">
        <v>611</v>
      </c>
      <c r="BE614" s="13">
        <v>152</v>
      </c>
      <c r="BF614" s="2">
        <v>139.7274898</v>
      </c>
      <c r="BQ614" s="13">
        <f t="shared" si="39"/>
        <v>-8.0740198684210558</v>
      </c>
    </row>
    <row r="615" spans="1:69">
      <c r="A615" s="13">
        <v>612</v>
      </c>
      <c r="B615" s="13">
        <v>170</v>
      </c>
      <c r="C615" s="1">
        <v>179.45658230000001</v>
      </c>
      <c r="M615" s="13">
        <f t="shared" si="40"/>
        <v>5.5626954705882303</v>
      </c>
      <c r="O615" s="13">
        <v>612</v>
      </c>
      <c r="P615" s="13">
        <v>170</v>
      </c>
      <c r="Q615" s="1">
        <v>180.58094489999999</v>
      </c>
      <c r="AA615" s="13">
        <f t="shared" si="37"/>
        <v>6.2240852352941189</v>
      </c>
      <c r="AC615" s="23"/>
      <c r="AD615" s="23"/>
      <c r="AE615" s="23"/>
      <c r="AF615" s="23"/>
      <c r="AG615" s="23"/>
      <c r="AI615" s="13">
        <v>612</v>
      </c>
      <c r="AJ615" s="13">
        <v>170</v>
      </c>
      <c r="AK615" s="1">
        <v>171.8293165</v>
      </c>
      <c r="AV615" s="13">
        <f t="shared" si="38"/>
        <v>1.0760685294117778</v>
      </c>
      <c r="BD615" s="13">
        <v>612</v>
      </c>
      <c r="BE615" s="13">
        <v>170</v>
      </c>
      <c r="BF615" s="1">
        <v>173.4527721</v>
      </c>
      <c r="BQ615" s="13">
        <f t="shared" si="39"/>
        <v>2.0310424117647052</v>
      </c>
    </row>
    <row r="616" spans="1:69">
      <c r="A616" s="13">
        <v>613</v>
      </c>
      <c r="B616" s="13">
        <v>27</v>
      </c>
      <c r="C616" s="1">
        <v>28.419064389999999</v>
      </c>
      <c r="M616" s="13">
        <f t="shared" si="40"/>
        <v>5.2557940370370426</v>
      </c>
      <c r="O616" s="13">
        <v>613</v>
      </c>
      <c r="P616" s="13">
        <v>27</v>
      </c>
      <c r="Q616" s="1">
        <v>31.703848560000001</v>
      </c>
      <c r="AA616" s="13">
        <f t="shared" si="37"/>
        <v>17.42166133333334</v>
      </c>
      <c r="AC616" s="23"/>
      <c r="AD616" s="23"/>
      <c r="AE616" s="23"/>
      <c r="AF616" s="23"/>
      <c r="AG616" s="23"/>
      <c r="AI616" s="13">
        <v>613</v>
      </c>
      <c r="AJ616" s="13">
        <v>27</v>
      </c>
      <c r="AK616" s="1">
        <v>27.28623288</v>
      </c>
      <c r="AV616" s="13">
        <f t="shared" si="38"/>
        <v>1.0601217777777672</v>
      </c>
      <c r="BD616" s="13">
        <v>613</v>
      </c>
      <c r="BE616" s="13">
        <v>27</v>
      </c>
      <c r="BF616" s="1">
        <v>27.023582179999998</v>
      </c>
      <c r="BQ616" s="13">
        <f t="shared" si="39"/>
        <v>8.7341407407404148E-2</v>
      </c>
    </row>
    <row r="617" spans="1:69">
      <c r="A617" s="13">
        <v>614</v>
      </c>
      <c r="B617" s="13">
        <v>147</v>
      </c>
      <c r="C617" s="1">
        <v>147.2813621</v>
      </c>
      <c r="M617" s="13">
        <f t="shared" si="40"/>
        <v>0.19140278911564668</v>
      </c>
      <c r="O617" s="13">
        <v>614</v>
      </c>
      <c r="P617" s="13">
        <v>147</v>
      </c>
      <c r="Q617" s="1">
        <v>144.8604048</v>
      </c>
      <c r="AA617" s="13">
        <f t="shared" si="37"/>
        <v>-1.4555069387755082</v>
      </c>
      <c r="AC617" s="23"/>
      <c r="AD617" s="23"/>
      <c r="AE617" s="23"/>
      <c r="AF617" s="23"/>
      <c r="AG617" s="23"/>
      <c r="AI617" s="13">
        <v>614</v>
      </c>
      <c r="AJ617" s="13">
        <v>147</v>
      </c>
      <c r="AK617" s="1">
        <v>146.85627239999999</v>
      </c>
      <c r="AV617" s="13">
        <f t="shared" si="38"/>
        <v>-9.7773877551021737E-2</v>
      </c>
      <c r="BD617" s="13">
        <v>614</v>
      </c>
      <c r="BE617" s="13">
        <v>147</v>
      </c>
      <c r="BF617" s="1">
        <v>146.55052620000001</v>
      </c>
      <c r="BQ617" s="13">
        <f t="shared" si="39"/>
        <v>-0.3057644897959122</v>
      </c>
    </row>
    <row r="618" spans="1:69">
      <c r="A618" s="13">
        <v>615</v>
      </c>
      <c r="B618" s="13">
        <v>103</v>
      </c>
      <c r="C618" s="1">
        <v>114.57580710000001</v>
      </c>
      <c r="M618" s="13">
        <f t="shared" si="40"/>
        <v>11.238647669902925</v>
      </c>
      <c r="O618" s="13">
        <v>615</v>
      </c>
      <c r="P618" s="13">
        <v>103</v>
      </c>
      <c r="Q618" s="1">
        <v>109.87317109999999</v>
      </c>
      <c r="AA618" s="13">
        <f t="shared" si="37"/>
        <v>6.6729816504854211</v>
      </c>
      <c r="AC618" s="23"/>
      <c r="AD618" s="23"/>
      <c r="AE618" s="23"/>
      <c r="AF618" s="23"/>
      <c r="AG618" s="23"/>
      <c r="AI618" s="13">
        <v>615</v>
      </c>
      <c r="AJ618" s="13">
        <v>103</v>
      </c>
      <c r="AK618" s="1">
        <v>105.1171614</v>
      </c>
      <c r="AV618" s="13">
        <f t="shared" si="38"/>
        <v>2.0554965048543705</v>
      </c>
      <c r="BD618" s="13">
        <v>615</v>
      </c>
      <c r="BE618" s="13">
        <v>103</v>
      </c>
      <c r="BF618" s="1">
        <v>107.31726209999999</v>
      </c>
      <c r="BQ618" s="13">
        <f t="shared" si="39"/>
        <v>4.1915166019417471</v>
      </c>
    </row>
    <row r="619" spans="1:69">
      <c r="A619" s="13">
        <v>616</v>
      </c>
      <c r="B619" s="13">
        <v>152</v>
      </c>
      <c r="C619" s="1">
        <v>160.6537203</v>
      </c>
      <c r="M619" s="13">
        <f t="shared" si="40"/>
        <v>5.6932370394736864</v>
      </c>
      <c r="O619" s="13">
        <v>616</v>
      </c>
      <c r="P619" s="13">
        <v>152</v>
      </c>
      <c r="Q619" s="1">
        <v>156.3111868</v>
      </c>
      <c r="AA619" s="13">
        <f t="shared" si="37"/>
        <v>2.8363071052631694</v>
      </c>
      <c r="AC619" s="23"/>
      <c r="AD619" s="23"/>
      <c r="AE619" s="23"/>
      <c r="AF619" s="23"/>
      <c r="AG619" s="23"/>
      <c r="AI619" s="13">
        <v>616</v>
      </c>
      <c r="AJ619" s="13">
        <v>152</v>
      </c>
      <c r="AK619" s="1">
        <v>153.66674409999999</v>
      </c>
      <c r="AV619" s="13">
        <f t="shared" si="38"/>
        <v>1.0965421710526169</v>
      </c>
      <c r="BD619" s="13">
        <v>616</v>
      </c>
      <c r="BE619" s="13">
        <v>152</v>
      </c>
      <c r="BF619" s="1">
        <v>155.03498680000001</v>
      </c>
      <c r="BQ619" s="13">
        <f t="shared" si="39"/>
        <v>1.9967018421052751</v>
      </c>
    </row>
    <row r="620" spans="1:69">
      <c r="A620" s="13">
        <v>617</v>
      </c>
      <c r="B620" s="13">
        <v>135</v>
      </c>
      <c r="C620" s="1">
        <v>146.66320189999999</v>
      </c>
      <c r="M620" s="13">
        <f t="shared" si="40"/>
        <v>8.6394088148147965</v>
      </c>
      <c r="O620" s="13">
        <v>617</v>
      </c>
      <c r="P620" s="13">
        <v>135</v>
      </c>
      <c r="Q620" s="1">
        <v>141.186061</v>
      </c>
      <c r="AA620" s="13">
        <f t="shared" si="37"/>
        <v>4.5822674074074143</v>
      </c>
      <c r="AC620" s="23"/>
      <c r="AD620" s="23"/>
      <c r="AE620" s="23"/>
      <c r="AF620" s="23"/>
      <c r="AG620" s="23"/>
      <c r="AI620" s="13">
        <v>617</v>
      </c>
      <c r="AJ620" s="13">
        <v>135</v>
      </c>
      <c r="AK620" s="1">
        <v>137.0766404</v>
      </c>
      <c r="AV620" s="13">
        <f t="shared" si="38"/>
        <v>1.5382521481481559</v>
      </c>
      <c r="BD620" s="13">
        <v>617</v>
      </c>
      <c r="BE620" s="13">
        <v>135</v>
      </c>
      <c r="BF620" s="1">
        <v>139.4396457</v>
      </c>
      <c r="BQ620" s="13">
        <f t="shared" si="39"/>
        <v>3.2886264444444535</v>
      </c>
    </row>
    <row r="621" spans="1:69">
      <c r="A621" s="13">
        <v>618</v>
      </c>
      <c r="B621" s="13">
        <v>159</v>
      </c>
      <c r="C621" s="1">
        <v>158.11391269999999</v>
      </c>
      <c r="M621" s="13">
        <f t="shared" si="40"/>
        <v>-0.5572876100629065</v>
      </c>
      <c r="O621" s="13">
        <v>618</v>
      </c>
      <c r="P621" s="13">
        <v>159</v>
      </c>
      <c r="Q621" s="1">
        <v>157.3066384</v>
      </c>
      <c r="AA621" s="13">
        <f t="shared" si="37"/>
        <v>-1.0650072955974865</v>
      </c>
      <c r="AC621" s="23"/>
      <c r="AD621" s="23"/>
      <c r="AE621" s="23"/>
      <c r="AF621" s="23"/>
      <c r="AG621" s="23"/>
      <c r="AI621" s="13">
        <v>618</v>
      </c>
      <c r="AJ621" s="13">
        <v>159</v>
      </c>
      <c r="AK621" s="1">
        <v>158.6407825</v>
      </c>
      <c r="AV621" s="13">
        <f t="shared" si="38"/>
        <v>-0.22592295597484435</v>
      </c>
      <c r="BD621" s="13">
        <v>618</v>
      </c>
      <c r="BE621" s="13">
        <v>159</v>
      </c>
      <c r="BF621" s="1">
        <v>158.02036100000001</v>
      </c>
      <c r="BQ621" s="13">
        <f t="shared" si="39"/>
        <v>-0.61612515723269423</v>
      </c>
    </row>
    <row r="622" spans="1:69">
      <c r="A622" s="13">
        <v>619</v>
      </c>
      <c r="B622" s="13">
        <v>194</v>
      </c>
      <c r="C622" s="1">
        <v>202.84991629999999</v>
      </c>
      <c r="M622" s="13">
        <f t="shared" si="40"/>
        <v>4.5618125257731901</v>
      </c>
      <c r="O622" s="13">
        <v>619</v>
      </c>
      <c r="P622" s="13">
        <v>194</v>
      </c>
      <c r="Q622" s="1">
        <v>203.9351174</v>
      </c>
      <c r="AA622" s="13">
        <f t="shared" si="37"/>
        <v>5.1211945360824629</v>
      </c>
      <c r="AC622" s="23"/>
      <c r="AD622" s="23"/>
      <c r="AE622" s="23"/>
      <c r="AF622" s="23"/>
      <c r="AG622" s="23"/>
      <c r="AI622" s="13">
        <v>619</v>
      </c>
      <c r="AJ622" s="13">
        <v>194</v>
      </c>
      <c r="AK622" s="1">
        <v>195.84198330000001</v>
      </c>
      <c r="AV622" s="13">
        <f t="shared" si="38"/>
        <v>0.94947592783505286</v>
      </c>
      <c r="BD622" s="13">
        <v>619</v>
      </c>
      <c r="BE622" s="13">
        <v>194</v>
      </c>
      <c r="BF622" s="1">
        <v>197.28483729999999</v>
      </c>
      <c r="BQ622" s="13">
        <f t="shared" si="39"/>
        <v>1.6932151030927711</v>
      </c>
    </row>
    <row r="623" spans="1:69">
      <c r="A623" s="13">
        <v>620</v>
      </c>
      <c r="B623" s="13">
        <v>189</v>
      </c>
      <c r="C623" s="1">
        <v>187.24016420000001</v>
      </c>
      <c r="M623" s="13">
        <f t="shared" si="40"/>
        <v>-0.93113005291004525</v>
      </c>
      <c r="O623" s="13">
        <v>620</v>
      </c>
      <c r="P623" s="13">
        <v>189</v>
      </c>
      <c r="Q623" s="1">
        <v>181.7028455</v>
      </c>
      <c r="AA623" s="13">
        <f t="shared" si="37"/>
        <v>-3.8609283068783085</v>
      </c>
      <c r="AC623" s="23"/>
      <c r="AD623" s="23"/>
      <c r="AE623" s="23"/>
      <c r="AF623" s="23"/>
      <c r="AG623" s="23"/>
      <c r="AI623" s="13">
        <v>620</v>
      </c>
      <c r="AJ623" s="13">
        <v>189</v>
      </c>
      <c r="AK623" s="1">
        <v>188.59603279999999</v>
      </c>
      <c r="AV623" s="13">
        <f t="shared" si="38"/>
        <v>-0.21373925925926018</v>
      </c>
      <c r="BD623" s="13">
        <v>620</v>
      </c>
      <c r="BE623" s="13">
        <v>189</v>
      </c>
      <c r="BF623" s="1">
        <v>188.207075</v>
      </c>
      <c r="BQ623" s="13">
        <f t="shared" si="39"/>
        <v>-0.41953703703703216</v>
      </c>
    </row>
    <row r="624" spans="1:69">
      <c r="A624" s="13">
        <v>621</v>
      </c>
      <c r="B624" s="13">
        <v>150</v>
      </c>
      <c r="C624" s="1">
        <v>148.5209155</v>
      </c>
      <c r="M624" s="13">
        <f t="shared" si="40"/>
        <v>-0.98605633333332943</v>
      </c>
      <c r="O624" s="13">
        <v>621</v>
      </c>
      <c r="P624" s="13">
        <v>150</v>
      </c>
      <c r="Q624" s="1">
        <v>141.56203049999999</v>
      </c>
      <c r="AA624" s="13">
        <f t="shared" si="37"/>
        <v>-5.6253130000000091</v>
      </c>
      <c r="AC624" s="23"/>
      <c r="AD624" s="23"/>
      <c r="AE624" s="23"/>
      <c r="AF624" s="23"/>
      <c r="AG624" s="23"/>
      <c r="AI624" s="13">
        <v>621</v>
      </c>
      <c r="AJ624" s="13">
        <v>150</v>
      </c>
      <c r="AK624" s="1">
        <v>149.7001831</v>
      </c>
      <c r="AV624" s="13">
        <f t="shared" si="38"/>
        <v>-0.1998779333333256</v>
      </c>
      <c r="BD624" s="13">
        <v>621</v>
      </c>
      <c r="BE624" s="13">
        <v>150</v>
      </c>
      <c r="BF624" s="1">
        <v>148.87252290000001</v>
      </c>
      <c r="BQ624" s="13">
        <f t="shared" si="39"/>
        <v>-0.75165139999999742</v>
      </c>
    </row>
    <row r="625" spans="1:69">
      <c r="A625" s="13">
        <v>622</v>
      </c>
      <c r="B625" s="13">
        <v>96</v>
      </c>
      <c r="C625" s="1">
        <v>105.7575301</v>
      </c>
      <c r="M625" s="13">
        <f t="shared" si="40"/>
        <v>10.164093854166655</v>
      </c>
      <c r="O625" s="13">
        <v>622</v>
      </c>
      <c r="P625" s="13">
        <v>96</v>
      </c>
      <c r="Q625" s="1">
        <v>93.871951580000001</v>
      </c>
      <c r="AA625" s="13">
        <f t="shared" si="37"/>
        <v>-2.2167171041666656</v>
      </c>
      <c r="AC625" s="23"/>
      <c r="AD625" s="23"/>
      <c r="AE625" s="23"/>
      <c r="AF625" s="23"/>
      <c r="AG625" s="23"/>
      <c r="AI625" s="13">
        <v>622</v>
      </c>
      <c r="AJ625" s="13">
        <v>96</v>
      </c>
      <c r="AK625" s="1">
        <v>98.111506009999999</v>
      </c>
      <c r="AV625" s="13">
        <f t="shared" si="38"/>
        <v>2.1994854270833253</v>
      </c>
      <c r="BD625" s="13">
        <v>622</v>
      </c>
      <c r="BE625" s="13">
        <v>96</v>
      </c>
      <c r="BF625" s="1">
        <v>98.66614629</v>
      </c>
      <c r="BQ625" s="13">
        <f t="shared" si="39"/>
        <v>2.777235718749993</v>
      </c>
    </row>
    <row r="626" spans="1:69">
      <c r="A626" s="13">
        <v>623</v>
      </c>
      <c r="B626" s="13">
        <v>7</v>
      </c>
      <c r="C626" s="1">
        <v>7.7731692350000001</v>
      </c>
      <c r="M626" s="13">
        <f t="shared" si="40"/>
        <v>11.045274785714287</v>
      </c>
      <c r="O626" s="13">
        <v>623</v>
      </c>
      <c r="P626" s="13">
        <v>7</v>
      </c>
      <c r="Q626" s="1">
        <v>7.6296451160574197</v>
      </c>
      <c r="AA626" s="13">
        <f t="shared" si="37"/>
        <v>8.9949302293917057</v>
      </c>
      <c r="AC626" s="23"/>
      <c r="AD626" s="23"/>
      <c r="AE626" s="23"/>
      <c r="AF626" s="23"/>
      <c r="AG626" s="23"/>
      <c r="AI626" s="13">
        <v>623</v>
      </c>
      <c r="AJ626" s="13">
        <v>7</v>
      </c>
      <c r="AK626" s="1">
        <v>7.1529738470000002</v>
      </c>
      <c r="AV626" s="13">
        <f t="shared" si="38"/>
        <v>2.1853406714285706</v>
      </c>
      <c r="BD626" s="13">
        <v>623</v>
      </c>
      <c r="BE626" s="13">
        <v>7</v>
      </c>
      <c r="BF626" s="1">
        <v>6.5176355600000004</v>
      </c>
      <c r="BQ626" s="13">
        <f t="shared" si="39"/>
        <v>-6.8909205714285608</v>
      </c>
    </row>
    <row r="627" spans="1:69">
      <c r="A627" s="13">
        <v>624</v>
      </c>
      <c r="B627" s="13">
        <v>175</v>
      </c>
      <c r="C627" s="1">
        <v>172.4688582</v>
      </c>
      <c r="M627" s="13">
        <f t="shared" si="40"/>
        <v>-1.4463667428571414</v>
      </c>
      <c r="O627" s="13">
        <v>624</v>
      </c>
      <c r="P627" s="13">
        <v>175</v>
      </c>
      <c r="Q627" s="1">
        <v>165.88295059999999</v>
      </c>
      <c r="AA627" s="13">
        <f t="shared" si="37"/>
        <v>-5.2097425142857201</v>
      </c>
      <c r="AC627" s="23"/>
      <c r="AD627" s="23"/>
      <c r="AE627" s="23"/>
      <c r="AF627" s="23"/>
      <c r="AG627" s="23"/>
      <c r="AI627" s="13">
        <v>624</v>
      </c>
      <c r="AJ627" s="13">
        <v>175</v>
      </c>
      <c r="AK627" s="1">
        <v>174.48577159999999</v>
      </c>
      <c r="AV627" s="13">
        <f t="shared" si="38"/>
        <v>-0.29384480000000934</v>
      </c>
      <c r="BD627" s="13">
        <v>624</v>
      </c>
      <c r="BE627" s="13">
        <v>175</v>
      </c>
      <c r="BF627" s="1">
        <v>173.3480228</v>
      </c>
      <c r="BQ627" s="13">
        <f t="shared" si="39"/>
        <v>-0.94398697142857868</v>
      </c>
    </row>
    <row r="628" spans="1:69">
      <c r="A628" s="13">
        <v>625</v>
      </c>
      <c r="B628" s="13">
        <v>149</v>
      </c>
      <c r="C628" s="1">
        <v>147.22322019999999</v>
      </c>
      <c r="M628" s="13">
        <f t="shared" si="40"/>
        <v>-1.1924696644295407</v>
      </c>
      <c r="O628" s="13">
        <v>625</v>
      </c>
      <c r="P628" s="13">
        <v>149</v>
      </c>
      <c r="Q628" s="1">
        <v>139.37848819999999</v>
      </c>
      <c r="AA628" s="13">
        <f t="shared" si="37"/>
        <v>-6.4573904697986624</v>
      </c>
      <c r="AC628" s="23"/>
      <c r="AD628" s="23"/>
      <c r="AE628" s="23"/>
      <c r="AF628" s="23"/>
      <c r="AG628" s="23"/>
      <c r="AI628" s="13">
        <v>625</v>
      </c>
      <c r="AJ628" s="13">
        <v>149</v>
      </c>
      <c r="AK628" s="1">
        <v>148.50664399999999</v>
      </c>
      <c r="AV628" s="13">
        <f t="shared" si="38"/>
        <v>-0.33111140939597883</v>
      </c>
      <c r="BD628" s="13">
        <v>625</v>
      </c>
      <c r="BE628" s="13">
        <v>149</v>
      </c>
      <c r="BF628" s="1">
        <v>147.7169471</v>
      </c>
      <c r="BQ628" s="13">
        <f t="shared" si="39"/>
        <v>-0.86110932885906655</v>
      </c>
    </row>
    <row r="629" spans="1:69">
      <c r="A629" s="13">
        <v>626</v>
      </c>
      <c r="B629" s="13">
        <v>129</v>
      </c>
      <c r="C629" s="1">
        <v>139.22429930000001</v>
      </c>
      <c r="M629" s="13">
        <f t="shared" si="40"/>
        <v>7.9258134108527223</v>
      </c>
      <c r="O629" s="13">
        <v>626</v>
      </c>
      <c r="P629" s="13">
        <v>129</v>
      </c>
      <c r="Q629" s="1">
        <v>139.98432210000001</v>
      </c>
      <c r="AA629" s="13">
        <f t="shared" si="37"/>
        <v>8.5149783720930294</v>
      </c>
      <c r="AC629" s="23"/>
      <c r="AD629" s="23"/>
      <c r="AE629" s="23"/>
      <c r="AF629" s="23"/>
      <c r="AG629" s="23"/>
      <c r="AI629" s="13">
        <v>626</v>
      </c>
      <c r="AJ629" s="13">
        <v>129</v>
      </c>
      <c r="AK629" s="1">
        <v>130.9968599</v>
      </c>
      <c r="AV629" s="13">
        <f t="shared" si="38"/>
        <v>1.5479534108527204</v>
      </c>
      <c r="BD629" s="13">
        <v>626</v>
      </c>
      <c r="BE629" s="13">
        <v>129</v>
      </c>
      <c r="BF629" s="1">
        <v>132.9744944</v>
      </c>
      <c r="BQ629" s="13">
        <f t="shared" si="39"/>
        <v>3.0810034108527118</v>
      </c>
    </row>
    <row r="630" spans="1:69">
      <c r="A630" s="13">
        <v>627</v>
      </c>
      <c r="B630" s="13">
        <v>172</v>
      </c>
      <c r="C630" s="1">
        <v>183.04251289999999</v>
      </c>
      <c r="M630" s="13">
        <f t="shared" si="40"/>
        <v>6.4200656395348776</v>
      </c>
      <c r="O630" s="13">
        <v>627</v>
      </c>
      <c r="P630" s="13">
        <v>172</v>
      </c>
      <c r="Q630" s="1">
        <v>174.69082940000001</v>
      </c>
      <c r="AA630" s="13">
        <f t="shared" si="37"/>
        <v>1.5644356976744156</v>
      </c>
      <c r="AC630" s="23"/>
      <c r="AD630" s="23"/>
      <c r="AE630" s="23"/>
      <c r="AF630" s="23"/>
      <c r="AG630" s="23"/>
      <c r="AI630" s="13">
        <v>627</v>
      </c>
      <c r="AJ630" s="13">
        <v>172</v>
      </c>
      <c r="AK630" s="1">
        <v>174.15050260000001</v>
      </c>
      <c r="AV630" s="13">
        <f t="shared" si="38"/>
        <v>1.2502922093023283</v>
      </c>
      <c r="BD630" s="13">
        <v>627</v>
      </c>
      <c r="BE630" s="13">
        <v>172</v>
      </c>
      <c r="BF630" s="1">
        <v>176.47526680000001</v>
      </c>
      <c r="BQ630" s="13">
        <f t="shared" si="39"/>
        <v>2.6018993023255943</v>
      </c>
    </row>
    <row r="631" spans="1:69">
      <c r="A631" s="13">
        <v>628</v>
      </c>
      <c r="B631" s="13">
        <v>43</v>
      </c>
      <c r="C631" s="1">
        <v>44.114499330000001</v>
      </c>
      <c r="M631" s="13">
        <f t="shared" si="40"/>
        <v>2.5918589069767517</v>
      </c>
      <c r="O631" s="13">
        <v>628</v>
      </c>
      <c r="P631" s="13">
        <v>43</v>
      </c>
      <c r="Q631" s="1">
        <v>45.178005669999997</v>
      </c>
      <c r="AA631" s="13">
        <f t="shared" si="37"/>
        <v>5.0651294651162804</v>
      </c>
      <c r="AC631" s="23"/>
      <c r="AD631" s="23"/>
      <c r="AE631" s="23"/>
      <c r="AF631" s="23"/>
      <c r="AG631" s="23"/>
      <c r="AI631" s="13">
        <v>628</v>
      </c>
      <c r="AJ631" s="13">
        <v>43</v>
      </c>
      <c r="AK631" s="1">
        <v>43.150899870000003</v>
      </c>
      <c r="AV631" s="13">
        <f t="shared" si="38"/>
        <v>0.35092993023255747</v>
      </c>
      <c r="BD631" s="13">
        <v>628</v>
      </c>
      <c r="BE631" s="13">
        <v>43</v>
      </c>
      <c r="BF631" s="1">
        <v>42.740720199999998</v>
      </c>
      <c r="BQ631" s="13">
        <f t="shared" si="39"/>
        <v>-0.60297627906976681</v>
      </c>
    </row>
    <row r="632" spans="1:69">
      <c r="A632" s="13">
        <v>629</v>
      </c>
      <c r="B632" s="13">
        <v>87</v>
      </c>
      <c r="C632" s="1">
        <v>88.397466960000003</v>
      </c>
      <c r="M632" s="13">
        <f t="shared" si="40"/>
        <v>1.6062838620689579</v>
      </c>
      <c r="O632" s="13">
        <v>629</v>
      </c>
      <c r="P632" s="13">
        <v>87</v>
      </c>
      <c r="Q632" s="1">
        <v>84.814553950000004</v>
      </c>
      <c r="AA632" s="13">
        <f t="shared" si="37"/>
        <v>-2.5120069540229828</v>
      </c>
      <c r="AC632" s="23"/>
      <c r="AD632" s="23"/>
      <c r="AE632" s="23"/>
      <c r="AF632" s="23"/>
      <c r="AG632" s="23"/>
      <c r="AI632" s="13">
        <v>629</v>
      </c>
      <c r="AJ632" s="13">
        <v>87</v>
      </c>
      <c r="AK632" s="1">
        <v>87.251493389999993</v>
      </c>
      <c r="AV632" s="13">
        <f t="shared" si="38"/>
        <v>0.28907286206896199</v>
      </c>
      <c r="BD632" s="13">
        <v>629</v>
      </c>
      <c r="BE632" s="13">
        <v>87</v>
      </c>
      <c r="BF632" s="1">
        <v>87.024586220000003</v>
      </c>
      <c r="BQ632" s="13">
        <f t="shared" si="39"/>
        <v>2.8260022988502165E-2</v>
      </c>
    </row>
    <row r="633" spans="1:69">
      <c r="A633" s="13">
        <v>630</v>
      </c>
      <c r="B633" s="13">
        <v>34</v>
      </c>
      <c r="C633" s="1">
        <v>44.475224249999997</v>
      </c>
      <c r="M633" s="13">
        <f t="shared" si="40"/>
        <v>30.809483088235279</v>
      </c>
      <c r="O633" s="13">
        <v>630</v>
      </c>
      <c r="P633" s="13">
        <v>34</v>
      </c>
      <c r="Q633" s="1">
        <v>42.296419790000002</v>
      </c>
      <c r="AA633" s="13">
        <f t="shared" si="37"/>
        <v>24.401234676470594</v>
      </c>
      <c r="AC633" s="23"/>
      <c r="AD633" s="23"/>
      <c r="AE633" s="23"/>
      <c r="AF633" s="23"/>
      <c r="AG633" s="23"/>
      <c r="AI633" s="13">
        <v>630</v>
      </c>
      <c r="AJ633" s="13">
        <v>34</v>
      </c>
      <c r="AK633" s="1">
        <v>36.123044849999999</v>
      </c>
      <c r="AV633" s="13">
        <f t="shared" si="38"/>
        <v>6.2442495588235225</v>
      </c>
      <c r="BD633" s="13">
        <v>630</v>
      </c>
      <c r="BE633" s="13">
        <v>34</v>
      </c>
      <c r="BF633" s="1">
        <v>37.352840669999999</v>
      </c>
      <c r="BQ633" s="13">
        <f t="shared" si="39"/>
        <v>9.861296088235294</v>
      </c>
    </row>
    <row r="634" spans="1:69">
      <c r="A634" s="13">
        <v>631</v>
      </c>
      <c r="B634" s="13">
        <v>45</v>
      </c>
      <c r="C634" s="1">
        <v>44.462985359999998</v>
      </c>
      <c r="M634" s="13">
        <f t="shared" si="40"/>
        <v>-1.1933658666666735</v>
      </c>
      <c r="O634" s="13">
        <v>631</v>
      </c>
      <c r="P634" s="13">
        <v>45</v>
      </c>
      <c r="Q634" s="1">
        <v>48.411902449999999</v>
      </c>
      <c r="AA634" s="13">
        <f t="shared" si="37"/>
        <v>7.5820054444444507</v>
      </c>
      <c r="AC634" s="23"/>
      <c r="AD634" s="23"/>
      <c r="AE634" s="23"/>
      <c r="AF634" s="23"/>
      <c r="AG634" s="23"/>
      <c r="AI634" s="13">
        <v>631</v>
      </c>
      <c r="AJ634" s="13">
        <v>45</v>
      </c>
      <c r="AK634" s="1">
        <v>44.528597069999996</v>
      </c>
      <c r="AV634" s="13">
        <f t="shared" si="38"/>
        <v>-1.0475620666666741</v>
      </c>
      <c r="BD634" s="13">
        <v>631</v>
      </c>
      <c r="BE634" s="13">
        <v>45</v>
      </c>
      <c r="BF634" s="1">
        <v>44.017538000000002</v>
      </c>
      <c r="BQ634" s="13">
        <f t="shared" si="39"/>
        <v>-2.183248888888889</v>
      </c>
    </row>
    <row r="635" spans="1:69">
      <c r="A635" s="13">
        <v>632</v>
      </c>
      <c r="B635" s="13">
        <v>80</v>
      </c>
      <c r="C635" s="1">
        <v>50.371696460000003</v>
      </c>
      <c r="M635" s="13">
        <f t="shared" si="40"/>
        <v>-37.035379424999995</v>
      </c>
      <c r="O635" s="13">
        <v>632</v>
      </c>
      <c r="P635" s="13">
        <v>80</v>
      </c>
      <c r="Q635" s="1">
        <v>48.091886799999997</v>
      </c>
      <c r="AA635" s="13">
        <f t="shared" si="37"/>
        <v>-39.885141499999996</v>
      </c>
      <c r="AC635" s="23"/>
      <c r="AD635" s="23"/>
      <c r="AE635" s="23"/>
      <c r="AF635" s="23"/>
      <c r="AG635" s="23"/>
      <c r="AI635" s="13">
        <v>632</v>
      </c>
      <c r="AJ635" s="13">
        <v>80</v>
      </c>
      <c r="AK635" s="1">
        <v>73.906339290000005</v>
      </c>
      <c r="AV635" s="13">
        <f t="shared" si="38"/>
        <v>-7.6170758874999915</v>
      </c>
      <c r="BD635" s="13">
        <v>632</v>
      </c>
      <c r="BE635" s="13">
        <v>80</v>
      </c>
      <c r="BF635" s="1">
        <v>67.962767779999993</v>
      </c>
      <c r="BQ635" s="13">
        <f t="shared" si="39"/>
        <v>-15.046540275000009</v>
      </c>
    </row>
    <row r="636" spans="1:69">
      <c r="A636" s="13">
        <v>633</v>
      </c>
      <c r="B636" s="13">
        <v>110</v>
      </c>
      <c r="C636" s="1">
        <v>109.5013847</v>
      </c>
      <c r="M636" s="13">
        <f t="shared" si="40"/>
        <v>-0.45328663636363675</v>
      </c>
      <c r="O636" s="13">
        <v>633</v>
      </c>
      <c r="P636" s="13">
        <v>110</v>
      </c>
      <c r="Q636" s="1">
        <v>108.5535294</v>
      </c>
      <c r="AA636" s="13">
        <f t="shared" si="37"/>
        <v>-1.3149732727272712</v>
      </c>
      <c r="AC636" s="23"/>
      <c r="AD636" s="23"/>
      <c r="AE636" s="23"/>
      <c r="AF636" s="23"/>
      <c r="AG636" s="23"/>
      <c r="AI636" s="13">
        <v>633</v>
      </c>
      <c r="AJ636" s="13">
        <v>110</v>
      </c>
      <c r="AK636" s="1">
        <v>110.1282769</v>
      </c>
      <c r="AV636" s="13">
        <f t="shared" si="38"/>
        <v>0.11661536363636316</v>
      </c>
      <c r="BD636" s="13">
        <v>633</v>
      </c>
      <c r="BE636" s="13">
        <v>110</v>
      </c>
      <c r="BF636" s="1">
        <v>109.44152</v>
      </c>
      <c r="BQ636" s="13">
        <f t="shared" si="39"/>
        <v>-0.507709090909092</v>
      </c>
    </row>
    <row r="637" spans="1:69">
      <c r="A637" s="13">
        <v>634</v>
      </c>
      <c r="B637" s="13">
        <v>154</v>
      </c>
      <c r="C637" s="1">
        <v>153.93557139999999</v>
      </c>
      <c r="M637" s="13">
        <f t="shared" si="40"/>
        <v>-4.1836753246760061E-2</v>
      </c>
      <c r="O637" s="13">
        <v>634</v>
      </c>
      <c r="P637" s="13">
        <v>154</v>
      </c>
      <c r="Q637" s="1">
        <v>150.03992109999999</v>
      </c>
      <c r="AA637" s="13">
        <f t="shared" si="37"/>
        <v>-2.5714798051948096</v>
      </c>
      <c r="AC637" s="23"/>
      <c r="AD637" s="23"/>
      <c r="AE637" s="23"/>
      <c r="AF637" s="23"/>
      <c r="AG637" s="23"/>
      <c r="AI637" s="13">
        <v>634</v>
      </c>
      <c r="AJ637" s="13">
        <v>154</v>
      </c>
      <c r="AK637" s="1">
        <v>154.1831143</v>
      </c>
      <c r="AV637" s="13">
        <f t="shared" si="38"/>
        <v>0.11890538961039088</v>
      </c>
      <c r="BD637" s="13">
        <v>634</v>
      </c>
      <c r="BE637" s="13">
        <v>154</v>
      </c>
      <c r="BF637" s="1">
        <v>153.7174278</v>
      </c>
      <c r="BQ637" s="13">
        <f t="shared" si="39"/>
        <v>-0.18348844155844368</v>
      </c>
    </row>
    <row r="638" spans="1:69">
      <c r="A638" s="13">
        <v>635</v>
      </c>
      <c r="B638" s="13">
        <v>52</v>
      </c>
      <c r="C638" s="1">
        <v>62.224748349999999</v>
      </c>
      <c r="M638" s="13">
        <f t="shared" si="40"/>
        <v>19.662977596153851</v>
      </c>
      <c r="O638" s="13">
        <v>635</v>
      </c>
      <c r="P638" s="13">
        <v>52</v>
      </c>
      <c r="Q638" s="1">
        <v>60.161891079999997</v>
      </c>
      <c r="AA638" s="13">
        <f t="shared" si="37"/>
        <v>15.695944384615368</v>
      </c>
      <c r="AC638" s="23"/>
      <c r="AD638" s="23"/>
      <c r="AE638" s="23"/>
      <c r="AF638" s="23"/>
      <c r="AG638" s="23"/>
      <c r="AI638" s="13">
        <v>635</v>
      </c>
      <c r="AJ638" s="13">
        <v>52</v>
      </c>
      <c r="AK638" s="1">
        <v>54.174949669999997</v>
      </c>
      <c r="AV638" s="13">
        <f t="shared" si="38"/>
        <v>4.1825955192307696</v>
      </c>
      <c r="BD638" s="13">
        <v>635</v>
      </c>
      <c r="BE638" s="13">
        <v>52</v>
      </c>
      <c r="BF638" s="1">
        <v>55.743945429999997</v>
      </c>
      <c r="BQ638" s="13">
        <f t="shared" si="39"/>
        <v>7.199895057692296</v>
      </c>
    </row>
    <row r="639" spans="1:69">
      <c r="A639" s="13">
        <v>636</v>
      </c>
      <c r="B639" s="13">
        <v>170</v>
      </c>
      <c r="C639" s="1">
        <v>169.20212090000001</v>
      </c>
      <c r="M639" s="13">
        <f t="shared" si="40"/>
        <v>-0.46934064705881351</v>
      </c>
      <c r="O639" s="13">
        <v>636</v>
      </c>
      <c r="P639" s="13">
        <v>170</v>
      </c>
      <c r="Q639" s="1">
        <v>167.80186879999999</v>
      </c>
      <c r="AA639" s="13">
        <f t="shared" si="37"/>
        <v>-1.2930183529411776</v>
      </c>
      <c r="AC639" s="23"/>
      <c r="AD639" s="23"/>
      <c r="AE639" s="23"/>
      <c r="AF639" s="23"/>
      <c r="AG639" s="23"/>
      <c r="AI639" s="13">
        <v>636</v>
      </c>
      <c r="AJ639" s="13">
        <v>170</v>
      </c>
      <c r="AK639" s="1">
        <v>169.95042419999999</v>
      </c>
      <c r="AV639" s="13">
        <f t="shared" si="38"/>
        <v>-2.9162235294122318E-2</v>
      </c>
      <c r="BD639" s="13">
        <v>636</v>
      </c>
      <c r="BE639" s="13">
        <v>170</v>
      </c>
      <c r="BF639" s="1">
        <v>169.32980480000001</v>
      </c>
      <c r="BQ639" s="13">
        <f t="shared" si="39"/>
        <v>-0.39423247058822941</v>
      </c>
    </row>
    <row r="640" spans="1:69">
      <c r="A640" s="13">
        <v>637</v>
      </c>
      <c r="B640" s="13">
        <v>215</v>
      </c>
      <c r="C640" s="1">
        <v>184.01873900000001</v>
      </c>
      <c r="M640" s="13">
        <f t="shared" si="40"/>
        <v>-14.409888837209294</v>
      </c>
      <c r="O640" s="13">
        <v>637</v>
      </c>
      <c r="P640" s="13">
        <v>215</v>
      </c>
      <c r="Q640" s="1">
        <v>182.50254839999999</v>
      </c>
      <c r="AA640" s="13">
        <f t="shared" si="37"/>
        <v>-15.115093767441866</v>
      </c>
      <c r="AC640" s="23"/>
      <c r="AD640" s="23"/>
      <c r="AE640" s="23"/>
      <c r="AF640" s="23"/>
      <c r="AG640" s="23"/>
      <c r="AI640" s="13">
        <v>637</v>
      </c>
      <c r="AJ640" s="13">
        <v>215</v>
      </c>
      <c r="AK640" s="1">
        <v>208.7397478</v>
      </c>
      <c r="AV640" s="13">
        <f t="shared" si="38"/>
        <v>-2.9117452093023188</v>
      </c>
      <c r="BD640" s="13">
        <v>637</v>
      </c>
      <c r="BE640" s="13">
        <v>215</v>
      </c>
      <c r="BF640" s="1">
        <v>202.34254340000001</v>
      </c>
      <c r="BQ640" s="13">
        <f t="shared" si="39"/>
        <v>-5.8871891162790675</v>
      </c>
    </row>
    <row r="641" spans="1:69">
      <c r="A641" s="13">
        <v>638</v>
      </c>
      <c r="B641" s="13">
        <v>67</v>
      </c>
      <c r="C641" s="1">
        <v>77.307324499999993</v>
      </c>
      <c r="M641" s="13">
        <f t="shared" si="40"/>
        <v>15.384066417910436</v>
      </c>
      <c r="O641" s="13">
        <v>638</v>
      </c>
      <c r="P641" s="13">
        <v>67</v>
      </c>
      <c r="Q641" s="1">
        <v>75.700737630000006</v>
      </c>
      <c r="AA641" s="13">
        <f t="shared" si="37"/>
        <v>12.986175567164192</v>
      </c>
      <c r="AC641" s="23"/>
      <c r="AD641" s="23"/>
      <c r="AE641" s="23"/>
      <c r="AF641" s="23"/>
      <c r="AG641" s="23"/>
      <c r="AI641" s="13">
        <v>638</v>
      </c>
      <c r="AJ641" s="13">
        <v>67</v>
      </c>
      <c r="AK641" s="1">
        <v>68.795464899999999</v>
      </c>
      <c r="AV641" s="13">
        <f t="shared" si="38"/>
        <v>2.6797983582089513</v>
      </c>
      <c r="BD641" s="13">
        <v>638</v>
      </c>
      <c r="BE641" s="13">
        <v>67</v>
      </c>
      <c r="BF641" s="1">
        <v>70.448654759999997</v>
      </c>
      <c r="BQ641" s="13">
        <f t="shared" si="39"/>
        <v>5.1472459104477508</v>
      </c>
    </row>
    <row r="642" spans="1:69">
      <c r="A642" s="13">
        <v>639</v>
      </c>
      <c r="B642" s="13">
        <v>180</v>
      </c>
      <c r="C642" s="1">
        <v>179.25545099999999</v>
      </c>
      <c r="M642" s="13">
        <f t="shared" si="40"/>
        <v>-0.41363833333333266</v>
      </c>
      <c r="O642" s="13">
        <v>639</v>
      </c>
      <c r="P642" s="13">
        <v>180</v>
      </c>
      <c r="Q642" s="1">
        <v>175.17556540000001</v>
      </c>
      <c r="AA642" s="13">
        <f t="shared" si="37"/>
        <v>-2.6802414444444422</v>
      </c>
      <c r="AC642" s="23"/>
      <c r="AD642" s="23"/>
      <c r="AE642" s="23"/>
      <c r="AF642" s="23"/>
      <c r="AG642" s="23"/>
      <c r="AI642" s="13">
        <v>639</v>
      </c>
      <c r="AJ642" s="13">
        <v>180</v>
      </c>
      <c r="AK642" s="1">
        <v>179.88709019999999</v>
      </c>
      <c r="AV642" s="13">
        <f t="shared" si="38"/>
        <v>-6.2727666666673176E-2</v>
      </c>
      <c r="BD642" s="13">
        <v>639</v>
      </c>
      <c r="BE642" s="13">
        <v>180</v>
      </c>
      <c r="BF642" s="1">
        <v>178.89659660000001</v>
      </c>
      <c r="BQ642" s="13">
        <f t="shared" si="39"/>
        <v>-0.61300188888888663</v>
      </c>
    </row>
    <row r="643" spans="1:69">
      <c r="A643" s="13">
        <v>640</v>
      </c>
      <c r="B643" s="13">
        <v>101</v>
      </c>
      <c r="C643" s="1">
        <v>111.5657205</v>
      </c>
      <c r="M643" s="13">
        <f t="shared" si="40"/>
        <v>10.461109405940583</v>
      </c>
      <c r="O643" s="13">
        <v>640</v>
      </c>
      <c r="P643" s="13">
        <v>101</v>
      </c>
      <c r="Q643" s="1">
        <v>112.8168981</v>
      </c>
      <c r="AA643" s="13">
        <f t="shared" ref="AA643:AA682" si="41">((Q643/P643)-1)*100</f>
        <v>11.699899108910895</v>
      </c>
      <c r="AC643" s="23"/>
      <c r="AD643" s="23"/>
      <c r="AE643" s="23"/>
      <c r="AF643" s="23"/>
      <c r="AG643" s="23"/>
      <c r="AI643" s="13">
        <v>640</v>
      </c>
      <c r="AJ643" s="13">
        <v>101</v>
      </c>
      <c r="AK643" s="1">
        <v>102.8191441</v>
      </c>
      <c r="AV643" s="13">
        <f t="shared" ref="AV643:AV682" si="42">((AK643/AJ643)-1)*100</f>
        <v>1.8011327722772252</v>
      </c>
      <c r="BD643" s="13">
        <v>640</v>
      </c>
      <c r="BE643" s="13">
        <v>101</v>
      </c>
      <c r="BF643" s="1">
        <v>105.1385279</v>
      </c>
      <c r="BQ643" s="13">
        <f t="shared" si="39"/>
        <v>4.0975523762376342</v>
      </c>
    </row>
    <row r="644" spans="1:69">
      <c r="A644" s="13">
        <v>641</v>
      </c>
      <c r="B644" s="13">
        <v>38</v>
      </c>
      <c r="C644" s="1">
        <v>38.582937459999997</v>
      </c>
      <c r="M644" s="13">
        <f t="shared" si="40"/>
        <v>1.534045947368412</v>
      </c>
      <c r="O644" s="13">
        <v>641</v>
      </c>
      <c r="P644" s="13">
        <v>38</v>
      </c>
      <c r="Q644" s="1">
        <v>36.262556330000002</v>
      </c>
      <c r="AA644" s="13">
        <f t="shared" si="41"/>
        <v>-4.5722201842105186</v>
      </c>
      <c r="AC644" s="23"/>
      <c r="AD644" s="23"/>
      <c r="AE644" s="23"/>
      <c r="AF644" s="23"/>
      <c r="AG644" s="23"/>
      <c r="AI644" s="13">
        <v>641</v>
      </c>
      <c r="AJ644" s="13">
        <v>38</v>
      </c>
      <c r="AK644" s="1">
        <v>38.42458749</v>
      </c>
      <c r="AV644" s="13">
        <f t="shared" si="42"/>
        <v>1.117335499999994</v>
      </c>
      <c r="BD644" s="13">
        <v>641</v>
      </c>
      <c r="BE644" s="13">
        <v>38</v>
      </c>
      <c r="BF644" s="1">
        <v>37.884196869999997</v>
      </c>
      <c r="BQ644" s="13">
        <f t="shared" ref="BQ644:BQ682" si="43">((BF644/BE644)-1)*100</f>
        <v>-0.30474507894737712</v>
      </c>
    </row>
    <row r="645" spans="1:69">
      <c r="A645" s="13">
        <v>642</v>
      </c>
      <c r="B645" s="13">
        <v>213</v>
      </c>
      <c r="C645" s="1">
        <v>212.163613</v>
      </c>
      <c r="M645" s="13">
        <f t="shared" si="40"/>
        <v>-0.39266995305163865</v>
      </c>
      <c r="O645" s="13">
        <v>642</v>
      </c>
      <c r="P645" s="13">
        <v>213</v>
      </c>
      <c r="Q645" s="1">
        <v>206.89277720000001</v>
      </c>
      <c r="AA645" s="13">
        <f t="shared" si="41"/>
        <v>-2.8672407511737052</v>
      </c>
      <c r="AC645" s="23"/>
      <c r="AD645" s="23"/>
      <c r="AE645" s="23"/>
      <c r="AF645" s="23"/>
      <c r="AG645" s="23"/>
      <c r="AI645" s="13">
        <v>642</v>
      </c>
      <c r="AJ645" s="13">
        <v>213</v>
      </c>
      <c r="AK645" s="1">
        <v>212.79072260000001</v>
      </c>
      <c r="AV645" s="13">
        <f t="shared" si="42"/>
        <v>-9.8252300469481302E-2</v>
      </c>
      <c r="BD645" s="13">
        <v>642</v>
      </c>
      <c r="BE645" s="13">
        <v>213</v>
      </c>
      <c r="BF645" s="1">
        <v>212.72260990000001</v>
      </c>
      <c r="BQ645" s="13">
        <f t="shared" si="43"/>
        <v>-0.13023009389671047</v>
      </c>
    </row>
    <row r="646" spans="1:69">
      <c r="A646" s="13">
        <v>643</v>
      </c>
      <c r="B646" s="13">
        <v>74</v>
      </c>
      <c r="C646" s="1">
        <v>73.71129809</v>
      </c>
      <c r="M646" s="13">
        <f t="shared" si="40"/>
        <v>-0.39013771621622118</v>
      </c>
      <c r="O646" s="13">
        <v>643</v>
      </c>
      <c r="P646" s="13">
        <v>74</v>
      </c>
      <c r="Q646" s="1">
        <v>69.589023819999994</v>
      </c>
      <c r="AA646" s="13">
        <f t="shared" si="41"/>
        <v>-5.9607786216216319</v>
      </c>
      <c r="AC646" s="23"/>
      <c r="AD646" s="23"/>
      <c r="AE646" s="23"/>
      <c r="AF646" s="23"/>
      <c r="AG646" s="23"/>
      <c r="AI646" s="13">
        <v>643</v>
      </c>
      <c r="AJ646" s="13">
        <v>74</v>
      </c>
      <c r="AK646" s="1">
        <v>73.89425962</v>
      </c>
      <c r="AV646" s="13">
        <f t="shared" si="42"/>
        <v>-0.14289240540540371</v>
      </c>
      <c r="BD646" s="13">
        <v>643</v>
      </c>
      <c r="BE646" s="13">
        <v>74</v>
      </c>
      <c r="BF646" s="1">
        <v>73.462094859999993</v>
      </c>
      <c r="BQ646" s="13">
        <f t="shared" si="43"/>
        <v>-0.72689883783784159</v>
      </c>
    </row>
    <row r="647" spans="1:69">
      <c r="A647" s="13">
        <v>644</v>
      </c>
      <c r="B647" s="13">
        <v>164</v>
      </c>
      <c r="C647" s="1">
        <v>174.97138760000001</v>
      </c>
      <c r="M647" s="13">
        <f t="shared" si="40"/>
        <v>6.6898704878048942</v>
      </c>
      <c r="O647" s="13">
        <v>644</v>
      </c>
      <c r="P647" s="13">
        <v>164</v>
      </c>
      <c r="Q647" s="1">
        <v>172.17095509999999</v>
      </c>
      <c r="AA647" s="13">
        <f t="shared" si="41"/>
        <v>4.9822896951219331</v>
      </c>
      <c r="AC647" s="23"/>
      <c r="AD647" s="23"/>
      <c r="AE647" s="23"/>
      <c r="AF647" s="23"/>
      <c r="AG647" s="23"/>
      <c r="AI647" s="13">
        <v>644</v>
      </c>
      <c r="AJ647" s="13">
        <v>164</v>
      </c>
      <c r="AK647" s="1">
        <v>166.30027749999999</v>
      </c>
      <c r="AV647" s="13">
        <f t="shared" si="42"/>
        <v>1.402608231707303</v>
      </c>
      <c r="BD647" s="13">
        <v>644</v>
      </c>
      <c r="BE647" s="13">
        <v>164</v>
      </c>
      <c r="BF647" s="1">
        <v>168.18665179999999</v>
      </c>
      <c r="BQ647" s="13">
        <f t="shared" si="43"/>
        <v>2.5528364634146206</v>
      </c>
    </row>
    <row r="648" spans="1:69">
      <c r="A648" s="13">
        <v>645</v>
      </c>
      <c r="B648" s="13">
        <v>191</v>
      </c>
      <c r="C648" s="1">
        <v>159.07406230000001</v>
      </c>
      <c r="M648" s="13">
        <f t="shared" si="40"/>
        <v>-16.715150628272248</v>
      </c>
      <c r="O648" s="13">
        <v>645</v>
      </c>
      <c r="P648" s="13">
        <v>191</v>
      </c>
      <c r="Q648" s="1">
        <v>158.76700779999999</v>
      </c>
      <c r="AA648" s="13">
        <f t="shared" si="41"/>
        <v>-16.87591214659686</v>
      </c>
      <c r="AC648" s="23"/>
      <c r="AD648" s="23"/>
      <c r="AE648" s="23"/>
      <c r="AF648" s="23"/>
      <c r="AG648" s="23"/>
      <c r="AI648" s="13">
        <v>645</v>
      </c>
      <c r="AJ648" s="13">
        <v>191</v>
      </c>
      <c r="AK648" s="1">
        <v>184.60681249999999</v>
      </c>
      <c r="AV648" s="13">
        <f t="shared" si="42"/>
        <v>-3.3472185863874349</v>
      </c>
      <c r="BD648" s="13">
        <v>645</v>
      </c>
      <c r="BE648" s="13">
        <v>191</v>
      </c>
      <c r="BF648" s="1">
        <v>178.6158144</v>
      </c>
      <c r="BQ648" s="13">
        <f t="shared" si="43"/>
        <v>-6.4838668062827232</v>
      </c>
    </row>
    <row r="649" spans="1:69">
      <c r="A649" s="13">
        <v>646</v>
      </c>
      <c r="B649" s="13">
        <v>83</v>
      </c>
      <c r="C649" s="1">
        <v>83.115017460000004</v>
      </c>
      <c r="M649" s="13">
        <f t="shared" si="40"/>
        <v>0.13857525301206319</v>
      </c>
      <c r="O649" s="13">
        <v>646</v>
      </c>
      <c r="P649" s="13">
        <v>83</v>
      </c>
      <c r="Q649" s="1">
        <v>81.957281010000003</v>
      </c>
      <c r="AA649" s="13">
        <f t="shared" si="41"/>
        <v>-1.2562879397590376</v>
      </c>
      <c r="AC649" s="23"/>
      <c r="AD649" s="23"/>
      <c r="AE649" s="23"/>
      <c r="AF649" s="23"/>
      <c r="AG649" s="23"/>
      <c r="AI649" s="13">
        <v>646</v>
      </c>
      <c r="AJ649" s="13">
        <v>83</v>
      </c>
      <c r="AK649" s="1">
        <v>83.223003489999996</v>
      </c>
      <c r="AV649" s="13">
        <f t="shared" si="42"/>
        <v>0.26867890361446101</v>
      </c>
      <c r="BD649" s="13">
        <v>646</v>
      </c>
      <c r="BE649" s="13">
        <v>83</v>
      </c>
      <c r="BF649" s="1">
        <v>83.034050680000007</v>
      </c>
      <c r="BQ649" s="13">
        <f t="shared" si="43"/>
        <v>4.1024915662668526E-2</v>
      </c>
    </row>
    <row r="650" spans="1:69">
      <c r="A650" s="13">
        <v>647</v>
      </c>
      <c r="B650" s="13">
        <v>27</v>
      </c>
      <c r="C650" s="1">
        <v>37.2688955642707</v>
      </c>
      <c r="M650" s="13">
        <f t="shared" si="40"/>
        <v>38.032946534335935</v>
      </c>
      <c r="O650" s="13">
        <v>647</v>
      </c>
      <c r="P650" s="13">
        <v>27</v>
      </c>
      <c r="Q650" s="1">
        <v>32.6828627175625</v>
      </c>
      <c r="AA650" s="13">
        <f t="shared" si="41"/>
        <v>21.047639694675937</v>
      </c>
      <c r="AC650" s="23"/>
      <c r="AD650" s="23"/>
      <c r="AE650" s="23"/>
      <c r="AF650" s="23"/>
      <c r="AG650" s="23"/>
      <c r="AI650" s="13">
        <v>647</v>
      </c>
      <c r="AJ650" s="13">
        <v>27</v>
      </c>
      <c r="AK650" s="1">
        <v>21.262873280000001</v>
      </c>
      <c r="AV650" s="13">
        <f t="shared" si="42"/>
        <v>-21.248617481481482</v>
      </c>
      <c r="BD650" s="13">
        <v>647</v>
      </c>
      <c r="BE650" s="13">
        <v>27</v>
      </c>
      <c r="BF650" s="1">
        <v>24.617236123559501</v>
      </c>
      <c r="BQ650" s="13">
        <f t="shared" si="43"/>
        <v>-8.8250513942240705</v>
      </c>
    </row>
    <row r="651" spans="1:69">
      <c r="A651" s="13">
        <v>648</v>
      </c>
      <c r="B651" s="13">
        <v>89</v>
      </c>
      <c r="C651" s="1">
        <v>100.17647820000001</v>
      </c>
      <c r="M651" s="13">
        <f t="shared" si="40"/>
        <v>12.557840674157305</v>
      </c>
      <c r="O651" s="13">
        <v>648</v>
      </c>
      <c r="P651" s="13">
        <v>89</v>
      </c>
      <c r="Q651" s="1">
        <v>100.10767939999999</v>
      </c>
      <c r="AA651" s="13">
        <f t="shared" si="41"/>
        <v>12.480538651685391</v>
      </c>
      <c r="AC651" s="23"/>
      <c r="AD651" s="23"/>
      <c r="AE651" s="23"/>
      <c r="AF651" s="23"/>
      <c r="AG651" s="23"/>
      <c r="AI651" s="13">
        <v>648</v>
      </c>
      <c r="AJ651" s="13">
        <v>89</v>
      </c>
      <c r="AK651" s="1">
        <v>91.533295640000006</v>
      </c>
      <c r="AV651" s="13">
        <f t="shared" si="42"/>
        <v>2.8463995955056332</v>
      </c>
      <c r="BD651" s="13">
        <v>648</v>
      </c>
      <c r="BE651" s="13">
        <v>89</v>
      </c>
      <c r="BF651" s="1">
        <v>93.290700689999994</v>
      </c>
      <c r="BQ651" s="13">
        <f t="shared" si="43"/>
        <v>4.8210120112359478</v>
      </c>
    </row>
    <row r="652" spans="1:69">
      <c r="A652" s="13">
        <v>649</v>
      </c>
      <c r="B652" s="13">
        <v>43</v>
      </c>
      <c r="C652" s="1">
        <v>42.900588338982303</v>
      </c>
      <c r="M652" s="13">
        <f t="shared" si="40"/>
        <v>-0.23118990934348771</v>
      </c>
      <c r="O652" s="13">
        <v>649</v>
      </c>
      <c r="P652" s="13">
        <v>43</v>
      </c>
      <c r="Q652" s="1">
        <v>41.764498925665698</v>
      </c>
      <c r="AA652" s="13">
        <f t="shared" si="41"/>
        <v>-2.8732583124053579</v>
      </c>
      <c r="AC652" s="23"/>
      <c r="AD652" s="23"/>
      <c r="AE652" s="23"/>
      <c r="AF652" s="23"/>
      <c r="AG652" s="23"/>
      <c r="AI652" s="13">
        <v>649</v>
      </c>
      <c r="AJ652" s="13">
        <v>43</v>
      </c>
      <c r="AK652" s="1">
        <v>37.262813540000003</v>
      </c>
      <c r="AV652" s="13">
        <f t="shared" si="42"/>
        <v>-13.342294093023243</v>
      </c>
      <c r="BD652" s="13">
        <v>649</v>
      </c>
      <c r="BE652" s="13">
        <v>43</v>
      </c>
      <c r="BF652" s="1">
        <v>31.30891059</v>
      </c>
      <c r="BQ652" s="13">
        <f t="shared" si="43"/>
        <v>-27.188580023255817</v>
      </c>
    </row>
    <row r="653" spans="1:69">
      <c r="A653" s="13">
        <v>650</v>
      </c>
      <c r="B653" s="13">
        <v>198</v>
      </c>
      <c r="C653" s="1">
        <v>208.6920035</v>
      </c>
      <c r="M653" s="13">
        <f t="shared" si="40"/>
        <v>5.4000017676767653</v>
      </c>
      <c r="O653" s="13">
        <v>650</v>
      </c>
      <c r="P653" s="13">
        <v>198</v>
      </c>
      <c r="Q653" s="1">
        <v>206.55032650000001</v>
      </c>
      <c r="AA653" s="13">
        <f t="shared" si="41"/>
        <v>4.3183467171717282</v>
      </c>
      <c r="AC653" s="23"/>
      <c r="AD653" s="23"/>
      <c r="AE653" s="23"/>
      <c r="AF653" s="23"/>
      <c r="AG653" s="23"/>
      <c r="AI653" s="13">
        <v>650</v>
      </c>
      <c r="AJ653" s="13">
        <v>198</v>
      </c>
      <c r="AK653" s="1">
        <v>199.90840069999999</v>
      </c>
      <c r="AV653" s="13">
        <f t="shared" si="42"/>
        <v>0.96383873737373449</v>
      </c>
      <c r="BD653" s="13">
        <v>650</v>
      </c>
      <c r="BE653" s="13">
        <v>198</v>
      </c>
      <c r="BF653" s="1">
        <v>201.98330540000001</v>
      </c>
      <c r="BQ653" s="13">
        <f t="shared" si="43"/>
        <v>2.0117704040404139</v>
      </c>
    </row>
    <row r="654" spans="1:69">
      <c r="A654" s="13">
        <v>651</v>
      </c>
      <c r="B654" s="13">
        <v>133</v>
      </c>
      <c r="C654" s="1">
        <v>133.8363023</v>
      </c>
      <c r="M654" s="13">
        <f t="shared" si="40"/>
        <v>0.62879872180450214</v>
      </c>
      <c r="O654" s="13">
        <v>651</v>
      </c>
      <c r="P654" s="13">
        <v>133</v>
      </c>
      <c r="Q654" s="1">
        <v>127.478379</v>
      </c>
      <c r="AA654" s="13">
        <f t="shared" si="41"/>
        <v>-4.1515947368421013</v>
      </c>
      <c r="AC654" s="23"/>
      <c r="AD654" s="23"/>
      <c r="AE654" s="23"/>
      <c r="AF654" s="23"/>
      <c r="AG654" s="23"/>
      <c r="AI654" s="13">
        <v>651</v>
      </c>
      <c r="AJ654" s="13">
        <v>133</v>
      </c>
      <c r="AK654" s="1">
        <v>133.41926050000001</v>
      </c>
      <c r="AV654" s="13">
        <f t="shared" si="42"/>
        <v>0.31523345864661323</v>
      </c>
      <c r="BD654" s="13">
        <v>651</v>
      </c>
      <c r="BE654" s="13">
        <v>133</v>
      </c>
      <c r="BF654" s="1">
        <v>132.724142</v>
      </c>
      <c r="BQ654" s="13">
        <f t="shared" si="43"/>
        <v>-0.2074120300751825</v>
      </c>
    </row>
    <row r="655" spans="1:69">
      <c r="A655" s="13">
        <v>652</v>
      </c>
      <c r="B655" s="13">
        <v>131</v>
      </c>
      <c r="C655" s="1">
        <v>103.20084230000001</v>
      </c>
      <c r="M655" s="13">
        <f t="shared" si="40"/>
        <v>-21.220731068702282</v>
      </c>
      <c r="O655" s="13">
        <v>652</v>
      </c>
      <c r="P655" s="13">
        <v>131</v>
      </c>
      <c r="Q655" s="1">
        <v>105.72634549999999</v>
      </c>
      <c r="AA655" s="13">
        <f t="shared" si="41"/>
        <v>-19.292866030534363</v>
      </c>
      <c r="AC655" s="23"/>
      <c r="AD655" s="23"/>
      <c r="AE655" s="23"/>
      <c r="AF655" s="23"/>
      <c r="AG655" s="23"/>
      <c r="AI655" s="13">
        <v>652</v>
      </c>
      <c r="AJ655" s="13">
        <v>131</v>
      </c>
      <c r="AK655" s="1">
        <v>125.4881685</v>
      </c>
      <c r="AV655" s="13">
        <f t="shared" si="42"/>
        <v>-4.2075049618320648</v>
      </c>
      <c r="BD655" s="13">
        <v>652</v>
      </c>
      <c r="BE655" s="13">
        <v>131</v>
      </c>
      <c r="BF655" s="1">
        <v>119.096469</v>
      </c>
      <c r="BQ655" s="13">
        <f t="shared" si="43"/>
        <v>-9.0866648854961873</v>
      </c>
    </row>
    <row r="656" spans="1:69">
      <c r="A656" s="13">
        <v>653</v>
      </c>
      <c r="B656" s="13">
        <v>30</v>
      </c>
      <c r="C656" s="1">
        <v>41.896709690000002</v>
      </c>
      <c r="M656" s="13">
        <f t="shared" si="40"/>
        <v>39.655698966666677</v>
      </c>
      <c r="O656" s="13">
        <v>653</v>
      </c>
      <c r="P656" s="13">
        <v>30</v>
      </c>
      <c r="Q656" s="1">
        <v>44.9076746</v>
      </c>
      <c r="AA656" s="13">
        <f t="shared" si="41"/>
        <v>49.692248666666657</v>
      </c>
      <c r="AC656" s="23"/>
      <c r="AD656" s="23"/>
      <c r="AE656" s="23"/>
      <c r="AF656" s="23"/>
      <c r="AG656" s="23"/>
      <c r="AI656" s="13">
        <v>653</v>
      </c>
      <c r="AJ656" s="13">
        <v>30</v>
      </c>
      <c r="AK656" s="1">
        <v>32.349341940000002</v>
      </c>
      <c r="AV656" s="13">
        <f t="shared" si="42"/>
        <v>7.8311398000000088</v>
      </c>
      <c r="BD656" s="13">
        <v>653</v>
      </c>
      <c r="BE656" s="13">
        <v>30</v>
      </c>
      <c r="BF656" s="1">
        <v>34.275007049999999</v>
      </c>
      <c r="BQ656" s="13">
        <f t="shared" si="43"/>
        <v>14.250023499999998</v>
      </c>
    </row>
    <row r="657" spans="1:69">
      <c r="A657" s="13">
        <v>654</v>
      </c>
      <c r="B657" s="13">
        <v>37</v>
      </c>
      <c r="C657" s="1">
        <v>38.547731030000001</v>
      </c>
      <c r="M657" s="13">
        <f t="shared" si="40"/>
        <v>4.1830568378378397</v>
      </c>
      <c r="O657" s="13">
        <v>654</v>
      </c>
      <c r="P657" s="13">
        <v>37</v>
      </c>
      <c r="Q657" s="1">
        <v>39.802415740000001</v>
      </c>
      <c r="AA657" s="13">
        <f t="shared" si="41"/>
        <v>7.5740965945946037</v>
      </c>
      <c r="AC657" s="23"/>
      <c r="AD657" s="23"/>
      <c r="AE657" s="23"/>
      <c r="AF657" s="23"/>
      <c r="AG657" s="23"/>
      <c r="AI657" s="13">
        <v>654</v>
      </c>
      <c r="AJ657" s="13">
        <v>37</v>
      </c>
      <c r="AK657" s="1">
        <v>37.59354621</v>
      </c>
      <c r="AV657" s="13">
        <f t="shared" si="42"/>
        <v>1.6041789459459554</v>
      </c>
      <c r="BD657" s="13">
        <v>654</v>
      </c>
      <c r="BE657" s="13">
        <v>37</v>
      </c>
      <c r="BF657" s="1">
        <v>37.232655309999998</v>
      </c>
      <c r="BQ657" s="13">
        <f t="shared" si="43"/>
        <v>0.62879813513512239</v>
      </c>
    </row>
    <row r="658" spans="1:69">
      <c r="A658" s="13">
        <v>655</v>
      </c>
      <c r="B658" s="13">
        <v>48</v>
      </c>
      <c r="C658" s="1">
        <v>37.417851655639197</v>
      </c>
      <c r="M658" s="13">
        <f t="shared" si="40"/>
        <v>-22.046142384085009</v>
      </c>
      <c r="O658" s="13">
        <v>655</v>
      </c>
      <c r="P658" s="13">
        <v>48</v>
      </c>
      <c r="Q658" s="1">
        <v>40.345159352834898</v>
      </c>
      <c r="AA658" s="13">
        <f t="shared" si="41"/>
        <v>-15.947584681593963</v>
      </c>
      <c r="AC658" s="23"/>
      <c r="AD658" s="23"/>
      <c r="AE658" s="23"/>
      <c r="AF658" s="23"/>
      <c r="AG658" s="23"/>
      <c r="AI658" s="13">
        <v>655</v>
      </c>
      <c r="AJ658" s="13">
        <v>48</v>
      </c>
      <c r="AK658" s="1">
        <v>41.695264909999999</v>
      </c>
      <c r="AV658" s="13">
        <f t="shared" si="42"/>
        <v>-13.134864770833332</v>
      </c>
      <c r="BD658" s="13">
        <v>655</v>
      </c>
      <c r="BE658" s="13">
        <v>48</v>
      </c>
      <c r="BF658" s="1">
        <v>35.03697493</v>
      </c>
      <c r="BQ658" s="13">
        <f t="shared" si="43"/>
        <v>-27.006302229166668</v>
      </c>
    </row>
    <row r="659" spans="1:69">
      <c r="A659" s="13">
        <v>656</v>
      </c>
      <c r="B659" s="13">
        <v>230</v>
      </c>
      <c r="C659" s="1">
        <v>199.42043459999999</v>
      </c>
      <c r="M659" s="13">
        <f t="shared" si="40"/>
        <v>-13.295463217391312</v>
      </c>
      <c r="O659" s="13">
        <v>656</v>
      </c>
      <c r="P659" s="13">
        <v>230</v>
      </c>
      <c r="Q659" s="1">
        <v>197.28809699999999</v>
      </c>
      <c r="AA659" s="13">
        <f t="shared" si="41"/>
        <v>-14.222566521739132</v>
      </c>
      <c r="AC659" s="23"/>
      <c r="AD659" s="23"/>
      <c r="AE659" s="23"/>
      <c r="AF659" s="23"/>
      <c r="AG659" s="23"/>
      <c r="AI659" s="13">
        <v>656</v>
      </c>
      <c r="AJ659" s="13">
        <v>230</v>
      </c>
      <c r="AK659" s="1">
        <v>223.88208689999999</v>
      </c>
      <c r="AV659" s="13">
        <f t="shared" si="42"/>
        <v>-2.6599622173913096</v>
      </c>
      <c r="BD659" s="13">
        <v>656</v>
      </c>
      <c r="BE659" s="13">
        <v>230</v>
      </c>
      <c r="BF659" s="1">
        <v>217.84010509999999</v>
      </c>
      <c r="BQ659" s="13">
        <f t="shared" si="43"/>
        <v>-5.2869108260869657</v>
      </c>
    </row>
    <row r="660" spans="1:69">
      <c r="A660" s="13">
        <v>657</v>
      </c>
      <c r="B660" s="13">
        <v>153</v>
      </c>
      <c r="C660" s="1">
        <v>123.0925409</v>
      </c>
      <c r="M660" s="13">
        <f t="shared" si="40"/>
        <v>-19.547358888888887</v>
      </c>
      <c r="O660" s="13">
        <v>657</v>
      </c>
      <c r="P660" s="13">
        <v>153</v>
      </c>
      <c r="Q660" s="1">
        <v>119.8073368</v>
      </c>
      <c r="AA660" s="13">
        <f t="shared" si="41"/>
        <v>-21.694551111111117</v>
      </c>
      <c r="AC660" s="23"/>
      <c r="AD660" s="23"/>
      <c r="AE660" s="23"/>
      <c r="AF660" s="23"/>
      <c r="AG660" s="23"/>
      <c r="AI660" s="13">
        <v>657</v>
      </c>
      <c r="AJ660" s="13">
        <v>153</v>
      </c>
      <c r="AK660" s="1">
        <v>146.65050819999999</v>
      </c>
      <c r="AV660" s="13">
        <f t="shared" si="42"/>
        <v>-4.1499946405228805</v>
      </c>
      <c r="BD660" s="13">
        <v>657</v>
      </c>
      <c r="BE660" s="13">
        <v>153</v>
      </c>
      <c r="BF660" s="1">
        <v>140.88908420000001</v>
      </c>
      <c r="BQ660" s="13">
        <f t="shared" si="43"/>
        <v>-7.9156312418300567</v>
      </c>
    </row>
    <row r="661" spans="1:69">
      <c r="A661" s="13">
        <v>658</v>
      </c>
      <c r="B661" s="13">
        <v>178</v>
      </c>
      <c r="C661" s="1">
        <v>176.64778659999999</v>
      </c>
      <c r="M661" s="13">
        <f t="shared" si="40"/>
        <v>-0.75967044943821005</v>
      </c>
      <c r="O661" s="13">
        <v>658</v>
      </c>
      <c r="P661" s="13">
        <v>178</v>
      </c>
      <c r="Q661" s="1">
        <v>170.4990804</v>
      </c>
      <c r="AA661" s="13">
        <f t="shared" si="41"/>
        <v>-4.2139997752808966</v>
      </c>
      <c r="AC661" s="23"/>
      <c r="AD661" s="23"/>
      <c r="AE661" s="23"/>
      <c r="AF661" s="23"/>
      <c r="AG661" s="23"/>
      <c r="AI661" s="13">
        <v>658</v>
      </c>
      <c r="AJ661" s="13">
        <v>178</v>
      </c>
      <c r="AK661" s="1">
        <v>177.97355730000001</v>
      </c>
      <c r="AV661" s="13">
        <f t="shared" si="42"/>
        <v>-1.4855449438200274E-2</v>
      </c>
      <c r="BD661" s="13">
        <v>658</v>
      </c>
      <c r="BE661" s="13">
        <v>178</v>
      </c>
      <c r="BF661" s="1">
        <v>177.14649159999999</v>
      </c>
      <c r="BQ661" s="13">
        <f t="shared" si="43"/>
        <v>-0.47949910112360383</v>
      </c>
    </row>
    <row r="662" spans="1:69">
      <c r="A662" s="13">
        <v>659</v>
      </c>
      <c r="B662" s="13">
        <v>158</v>
      </c>
      <c r="C662" s="1">
        <v>128.2404808</v>
      </c>
      <c r="M662" s="13">
        <f t="shared" si="40"/>
        <v>-18.835138734177214</v>
      </c>
      <c r="O662" s="13">
        <v>659</v>
      </c>
      <c r="P662" s="13">
        <v>158</v>
      </c>
      <c r="Q662" s="1">
        <v>121.6969051</v>
      </c>
      <c r="AA662" s="13">
        <f t="shared" si="41"/>
        <v>-22.976642341772159</v>
      </c>
      <c r="AC662" s="23"/>
      <c r="AD662" s="23"/>
      <c r="AE662" s="23"/>
      <c r="AF662" s="23"/>
      <c r="AG662" s="23"/>
      <c r="AI662" s="13">
        <v>659</v>
      </c>
      <c r="AJ662" s="13">
        <v>158</v>
      </c>
      <c r="AK662" s="1">
        <v>152.02809619999999</v>
      </c>
      <c r="AV662" s="13">
        <f t="shared" si="42"/>
        <v>-3.7796859493670953</v>
      </c>
      <c r="BD662" s="13">
        <v>659</v>
      </c>
      <c r="BE662" s="13">
        <v>158</v>
      </c>
      <c r="BF662" s="1">
        <v>146.26447390000001</v>
      </c>
      <c r="BQ662" s="13">
        <f t="shared" si="43"/>
        <v>-7.4275481645569519</v>
      </c>
    </row>
    <row r="663" spans="1:69">
      <c r="A663" s="13">
        <v>660</v>
      </c>
      <c r="B663" s="13">
        <v>111</v>
      </c>
      <c r="C663" s="1">
        <v>110.327482</v>
      </c>
      <c r="M663" s="13">
        <f t="shared" si="40"/>
        <v>-0.60587207207206673</v>
      </c>
      <c r="O663" s="13">
        <v>660</v>
      </c>
      <c r="P663" s="13">
        <v>111</v>
      </c>
      <c r="Q663" s="1">
        <v>108.0985927</v>
      </c>
      <c r="AA663" s="13">
        <f t="shared" si="41"/>
        <v>-2.6138804504504565</v>
      </c>
      <c r="AC663" s="23"/>
      <c r="AD663" s="23"/>
      <c r="AE663" s="23"/>
      <c r="AF663" s="23"/>
      <c r="AG663" s="23"/>
      <c r="AI663" s="13">
        <v>660</v>
      </c>
      <c r="AJ663" s="13">
        <v>111</v>
      </c>
      <c r="AK663" s="1">
        <v>110.89749639999999</v>
      </c>
      <c r="AV663" s="13">
        <f t="shared" si="42"/>
        <v>-9.2345585585595913E-2</v>
      </c>
      <c r="BD663" s="13">
        <v>660</v>
      </c>
      <c r="BE663" s="13">
        <v>111</v>
      </c>
      <c r="BF663" s="1">
        <v>110.04613329999999</v>
      </c>
      <c r="BQ663" s="13">
        <f t="shared" si="43"/>
        <v>-0.85933936936937183</v>
      </c>
    </row>
    <row r="664" spans="1:69">
      <c r="A664" s="13">
        <v>661</v>
      </c>
      <c r="B664" s="13">
        <v>47</v>
      </c>
      <c r="C664" s="1">
        <v>58.432366139999999</v>
      </c>
      <c r="M664" s="13">
        <f t="shared" si="40"/>
        <v>24.324183276595733</v>
      </c>
      <c r="O664" s="13">
        <v>661</v>
      </c>
      <c r="P664" s="13">
        <v>47</v>
      </c>
      <c r="Q664" s="1">
        <v>59.07972255</v>
      </c>
      <c r="AA664" s="13">
        <f t="shared" si="41"/>
        <v>25.701537340425528</v>
      </c>
      <c r="AC664" s="23"/>
      <c r="AD664" s="23"/>
      <c r="AE664" s="23"/>
      <c r="AF664" s="23"/>
      <c r="AG664" s="23"/>
      <c r="AI664" s="13">
        <v>661</v>
      </c>
      <c r="AJ664" s="13">
        <v>47</v>
      </c>
      <c r="AK664" s="1">
        <v>49.25847323</v>
      </c>
      <c r="AV664" s="13">
        <f t="shared" si="42"/>
        <v>4.8052621914893567</v>
      </c>
      <c r="BD664" s="13">
        <v>661</v>
      </c>
      <c r="BE664" s="13">
        <v>47</v>
      </c>
      <c r="BF664" s="1">
        <v>50.44088575</v>
      </c>
      <c r="BQ664" s="13">
        <f t="shared" si="43"/>
        <v>7.3210335106382862</v>
      </c>
    </row>
    <row r="665" spans="1:69">
      <c r="A665" s="13">
        <v>662</v>
      </c>
      <c r="B665" s="13">
        <v>163</v>
      </c>
      <c r="C665" s="1">
        <v>162.30568009999999</v>
      </c>
      <c r="M665" s="13">
        <f t="shared" si="40"/>
        <v>-0.42596312883436127</v>
      </c>
      <c r="O665" s="13">
        <v>662</v>
      </c>
      <c r="P665" s="13">
        <v>163</v>
      </c>
      <c r="Q665" s="1">
        <v>156.95181400000001</v>
      </c>
      <c r="AA665" s="13">
        <f t="shared" si="41"/>
        <v>-3.7105435582821977</v>
      </c>
      <c r="AC665" s="23"/>
      <c r="AD665" s="23"/>
      <c r="AE665" s="23"/>
      <c r="AF665" s="23"/>
      <c r="AG665" s="23"/>
      <c r="AI665" s="13">
        <v>662</v>
      </c>
      <c r="AJ665" s="13">
        <v>163</v>
      </c>
      <c r="AK665" s="1">
        <v>162.88313600000001</v>
      </c>
      <c r="AV665" s="13">
        <f t="shared" si="42"/>
        <v>-7.1695705521468422E-2</v>
      </c>
      <c r="BD665" s="13">
        <v>662</v>
      </c>
      <c r="BE665" s="13">
        <v>163</v>
      </c>
      <c r="BF665" s="1">
        <v>161.97395180000001</v>
      </c>
      <c r="BQ665" s="13">
        <f t="shared" si="43"/>
        <v>-0.62947742331287415</v>
      </c>
    </row>
    <row r="666" spans="1:69">
      <c r="A666" s="13">
        <v>663</v>
      </c>
      <c r="B666" s="13">
        <v>8</v>
      </c>
      <c r="C666" s="1">
        <v>10.61349132</v>
      </c>
      <c r="M666" s="13">
        <f t="shared" si="40"/>
        <v>32.668641499999993</v>
      </c>
      <c r="O666" s="13">
        <v>663</v>
      </c>
      <c r="P666" s="13">
        <v>8</v>
      </c>
      <c r="Q666" s="1">
        <v>9.7958977429999994</v>
      </c>
      <c r="AA666" s="13">
        <f t="shared" si="41"/>
        <v>22.448721787499991</v>
      </c>
      <c r="AC666" s="23"/>
      <c r="AD666" s="23"/>
      <c r="AE666" s="23"/>
      <c r="AF666" s="23"/>
      <c r="AG666" s="23"/>
      <c r="AI666" s="13">
        <v>663</v>
      </c>
      <c r="AJ666" s="13">
        <v>8</v>
      </c>
      <c r="AK666" s="1">
        <v>8.5238182640000009</v>
      </c>
      <c r="AV666" s="13">
        <f t="shared" si="42"/>
        <v>6.5477283000000108</v>
      </c>
      <c r="BD666" s="13">
        <v>663</v>
      </c>
      <c r="BE666" s="13">
        <v>8</v>
      </c>
      <c r="BF666" s="1">
        <v>8.4276078450000007</v>
      </c>
      <c r="BQ666" s="13">
        <f t="shared" si="43"/>
        <v>5.3450980625000089</v>
      </c>
    </row>
    <row r="667" spans="1:69">
      <c r="A667" s="13">
        <v>664</v>
      </c>
      <c r="B667" s="13">
        <v>130</v>
      </c>
      <c r="C667" s="1">
        <v>139.54633530000001</v>
      </c>
      <c r="M667" s="13">
        <f t="shared" si="40"/>
        <v>7.3433348461538595</v>
      </c>
      <c r="O667" s="13">
        <v>664</v>
      </c>
      <c r="P667" s="13">
        <v>130</v>
      </c>
      <c r="Q667" s="1">
        <v>131.70964789999999</v>
      </c>
      <c r="AA667" s="13">
        <f t="shared" si="41"/>
        <v>1.3151137692307691</v>
      </c>
      <c r="AC667" s="23"/>
      <c r="AD667" s="23"/>
      <c r="AE667" s="23"/>
      <c r="AF667" s="23"/>
      <c r="AG667" s="23"/>
      <c r="AI667" s="13">
        <v>664</v>
      </c>
      <c r="AJ667" s="13">
        <v>130</v>
      </c>
      <c r="AK667" s="1">
        <v>131.98526709999999</v>
      </c>
      <c r="AV667" s="13">
        <f t="shared" si="42"/>
        <v>1.5271285384615307</v>
      </c>
      <c r="BD667" s="13">
        <v>664</v>
      </c>
      <c r="BE667" s="13">
        <v>130</v>
      </c>
      <c r="BF667" s="1">
        <v>133.6133265</v>
      </c>
      <c r="BQ667" s="13">
        <f t="shared" si="43"/>
        <v>2.7794819230769319</v>
      </c>
    </row>
    <row r="668" spans="1:69">
      <c r="A668" s="13">
        <v>665</v>
      </c>
      <c r="B668" s="13">
        <v>138</v>
      </c>
      <c r="C668" s="1">
        <v>149.45826260000001</v>
      </c>
      <c r="M668" s="13">
        <f t="shared" si="40"/>
        <v>8.3030888405797079</v>
      </c>
      <c r="O668" s="13">
        <v>665</v>
      </c>
      <c r="P668" s="13">
        <v>138</v>
      </c>
      <c r="Q668" s="1">
        <v>150.75298889999999</v>
      </c>
      <c r="AA668" s="13">
        <f t="shared" si="41"/>
        <v>9.2412963043478236</v>
      </c>
      <c r="AC668" s="23"/>
      <c r="AD668" s="23"/>
      <c r="AE668" s="23"/>
      <c r="AF668" s="23"/>
      <c r="AG668" s="23"/>
      <c r="AI668" s="13">
        <v>665</v>
      </c>
      <c r="AJ668" s="13">
        <v>138</v>
      </c>
      <c r="AK668" s="1">
        <v>140.0476525</v>
      </c>
      <c r="AV668" s="13">
        <f t="shared" si="42"/>
        <v>1.4838061594202978</v>
      </c>
      <c r="BD668" s="13">
        <v>665</v>
      </c>
      <c r="BE668" s="13">
        <v>138</v>
      </c>
      <c r="BF668" s="1">
        <v>142.39327969999999</v>
      </c>
      <c r="BQ668" s="13">
        <f t="shared" si="43"/>
        <v>3.1835360144927494</v>
      </c>
    </row>
    <row r="669" spans="1:69">
      <c r="A669" s="13">
        <v>666</v>
      </c>
      <c r="B669" s="13">
        <v>93</v>
      </c>
      <c r="C669" s="1">
        <v>64.298198819999996</v>
      </c>
      <c r="M669" s="13">
        <f t="shared" si="40"/>
        <v>-30.862151806451621</v>
      </c>
      <c r="O669" s="13">
        <v>666</v>
      </c>
      <c r="P669" s="13">
        <v>93</v>
      </c>
      <c r="Q669" s="1">
        <v>64.516452029999996</v>
      </c>
      <c r="AA669" s="13">
        <f t="shared" si="41"/>
        <v>-30.627470935483881</v>
      </c>
      <c r="AC669" s="23"/>
      <c r="AD669" s="23"/>
      <c r="AE669" s="23"/>
      <c r="AF669" s="23"/>
      <c r="AG669" s="23"/>
      <c r="AI669" s="13">
        <v>666</v>
      </c>
      <c r="AJ669" s="13">
        <v>93</v>
      </c>
      <c r="AK669" s="1">
        <v>87.53363976</v>
      </c>
      <c r="AV669" s="13">
        <f t="shared" si="42"/>
        <v>-5.877806709677424</v>
      </c>
      <c r="BD669" s="13">
        <v>666</v>
      </c>
      <c r="BE669" s="13">
        <v>93</v>
      </c>
      <c r="BF669" s="1">
        <v>80.628618630000005</v>
      </c>
      <c r="BQ669" s="13">
        <f t="shared" si="43"/>
        <v>-13.302560612903225</v>
      </c>
    </row>
    <row r="670" spans="1:69">
      <c r="A670" s="13">
        <v>667</v>
      </c>
      <c r="B670" s="13">
        <v>127</v>
      </c>
      <c r="C670" s="1">
        <v>96.88366293</v>
      </c>
      <c r="M670" s="13">
        <f t="shared" si="40"/>
        <v>-23.713651236220468</v>
      </c>
      <c r="O670" s="13">
        <v>667</v>
      </c>
      <c r="P670" s="13">
        <v>127</v>
      </c>
      <c r="Q670" s="1">
        <v>88.436060359999999</v>
      </c>
      <c r="AA670" s="13">
        <f t="shared" si="41"/>
        <v>-30.365306803149604</v>
      </c>
      <c r="AC670" s="23"/>
      <c r="AD670" s="23"/>
      <c r="AE670" s="23"/>
      <c r="AF670" s="23"/>
      <c r="AG670" s="23"/>
      <c r="AI670" s="13">
        <v>667</v>
      </c>
      <c r="AJ670" s="13">
        <v>127</v>
      </c>
      <c r="AK670" s="1">
        <v>120.7527326</v>
      </c>
      <c r="AV670" s="13">
        <f t="shared" si="42"/>
        <v>-4.9191081889763737</v>
      </c>
      <c r="BD670" s="13">
        <v>667</v>
      </c>
      <c r="BE670" s="13">
        <v>127</v>
      </c>
      <c r="BF670" s="1">
        <v>114.3148542</v>
      </c>
      <c r="BQ670" s="13">
        <f t="shared" si="43"/>
        <v>-9.9883037795275627</v>
      </c>
    </row>
    <row r="671" spans="1:69">
      <c r="A671" s="13">
        <v>668</v>
      </c>
      <c r="B671" s="13">
        <v>156</v>
      </c>
      <c r="C671" s="1">
        <v>127.4012274</v>
      </c>
      <c r="M671" s="13">
        <f t="shared" si="40"/>
        <v>-18.332546538461536</v>
      </c>
      <c r="O671" s="13">
        <v>668</v>
      </c>
      <c r="P671" s="13">
        <v>156</v>
      </c>
      <c r="Q671" s="1">
        <v>123.0722523</v>
      </c>
      <c r="AA671" s="13">
        <f t="shared" si="41"/>
        <v>-21.107530576923072</v>
      </c>
      <c r="AC671" s="23"/>
      <c r="AD671" s="23"/>
      <c r="AE671" s="23"/>
      <c r="AF671" s="23"/>
      <c r="AG671" s="23"/>
      <c r="AI671" s="13">
        <v>668</v>
      </c>
      <c r="AJ671" s="13">
        <v>156</v>
      </c>
      <c r="AK671" s="1">
        <v>150.51824550000001</v>
      </c>
      <c r="AV671" s="13">
        <f t="shared" si="42"/>
        <v>-3.5139451923076881</v>
      </c>
      <c r="BD671" s="13">
        <v>668</v>
      </c>
      <c r="BE671" s="13">
        <v>156</v>
      </c>
      <c r="BF671" s="1">
        <v>144.43130160000001</v>
      </c>
      <c r="BQ671" s="13">
        <f t="shared" si="43"/>
        <v>-7.4158323076923054</v>
      </c>
    </row>
    <row r="672" spans="1:69">
      <c r="A672" s="13">
        <v>669</v>
      </c>
      <c r="B672" s="13">
        <v>86</v>
      </c>
      <c r="C672" s="1">
        <v>86.458184079999995</v>
      </c>
      <c r="M672" s="13">
        <f t="shared" si="40"/>
        <v>0.532772186046504</v>
      </c>
      <c r="O672" s="13">
        <v>669</v>
      </c>
      <c r="P672" s="13">
        <v>86</v>
      </c>
      <c r="Q672" s="1">
        <v>85.244151500000001</v>
      </c>
      <c r="AA672" s="13">
        <f t="shared" si="41"/>
        <v>-0.87889360465116528</v>
      </c>
      <c r="AC672" s="23"/>
      <c r="AD672" s="23"/>
      <c r="AE672" s="23"/>
      <c r="AF672" s="23"/>
      <c r="AG672" s="23"/>
      <c r="AI672" s="13">
        <v>669</v>
      </c>
      <c r="AJ672" s="13">
        <v>86</v>
      </c>
      <c r="AK672" s="1">
        <v>86.101636819999996</v>
      </c>
      <c r="AV672" s="13">
        <f t="shared" si="42"/>
        <v>0.11818234883720358</v>
      </c>
      <c r="BD672" s="13">
        <v>669</v>
      </c>
      <c r="BE672" s="13">
        <v>86</v>
      </c>
      <c r="BF672" s="1">
        <v>85.902261210000006</v>
      </c>
      <c r="BQ672" s="13">
        <f t="shared" si="43"/>
        <v>-0.11364975581394932</v>
      </c>
    </row>
    <row r="673" spans="1:69">
      <c r="A673" s="13">
        <v>670</v>
      </c>
      <c r="B673" s="13">
        <v>195</v>
      </c>
      <c r="C673" s="1">
        <v>194.80104900000001</v>
      </c>
      <c r="M673" s="13">
        <f t="shared" si="40"/>
        <v>-0.10202615384614644</v>
      </c>
      <c r="O673" s="13">
        <v>670</v>
      </c>
      <c r="P673" s="13">
        <v>195</v>
      </c>
      <c r="Q673" s="1">
        <v>183.8601735</v>
      </c>
      <c r="AA673" s="13">
        <f t="shared" si="41"/>
        <v>-5.7127315384615347</v>
      </c>
      <c r="AC673" s="23"/>
      <c r="AD673" s="23"/>
      <c r="AE673" s="23"/>
      <c r="AF673" s="23"/>
      <c r="AG673" s="23"/>
      <c r="AI673" s="13">
        <v>670</v>
      </c>
      <c r="AJ673" s="13">
        <v>195</v>
      </c>
      <c r="AK673" s="1">
        <v>195.16620979999999</v>
      </c>
      <c r="AV673" s="13">
        <f t="shared" si="42"/>
        <v>8.5235794871785231E-2</v>
      </c>
      <c r="BD673" s="13">
        <v>670</v>
      </c>
      <c r="BE673" s="13">
        <v>195</v>
      </c>
      <c r="BF673" s="1">
        <v>194.20275670000001</v>
      </c>
      <c r="BQ673" s="13">
        <f t="shared" si="43"/>
        <v>-0.40884271794870974</v>
      </c>
    </row>
    <row r="674" spans="1:69">
      <c r="A674" s="13">
        <v>671</v>
      </c>
      <c r="B674" s="13">
        <v>125</v>
      </c>
      <c r="C674" s="1">
        <v>135.80590040000001</v>
      </c>
      <c r="M674" s="13">
        <f t="shared" si="40"/>
        <v>8.64472032000001</v>
      </c>
      <c r="O674" s="13">
        <v>671</v>
      </c>
      <c r="P674" s="13">
        <v>125</v>
      </c>
      <c r="Q674" s="1">
        <v>133.95479560000001</v>
      </c>
      <c r="AA674" s="13">
        <f t="shared" si="41"/>
        <v>7.1638364800000076</v>
      </c>
      <c r="AC674" s="23"/>
      <c r="AD674" s="23"/>
      <c r="AE674" s="23"/>
      <c r="AF674" s="23"/>
      <c r="AG674" s="23"/>
      <c r="AI674" s="13">
        <v>671</v>
      </c>
      <c r="AJ674" s="13">
        <v>125</v>
      </c>
      <c r="AK674" s="1">
        <v>127.04718010000001</v>
      </c>
      <c r="AV674" s="13">
        <f t="shared" si="42"/>
        <v>1.6377440800000143</v>
      </c>
      <c r="BD674" s="13">
        <v>671</v>
      </c>
      <c r="BE674" s="13">
        <v>125</v>
      </c>
      <c r="BF674" s="1">
        <v>128.7405148</v>
      </c>
      <c r="BQ674" s="13">
        <f t="shared" si="43"/>
        <v>2.9924118400000088</v>
      </c>
    </row>
    <row r="675" spans="1:69">
      <c r="A675" s="13">
        <v>672</v>
      </c>
      <c r="B675" s="13">
        <v>71</v>
      </c>
      <c r="C675" s="1">
        <v>72.753022060000006</v>
      </c>
      <c r="M675" s="13">
        <f t="shared" si="40"/>
        <v>2.4690451549295833</v>
      </c>
      <c r="O675" s="13">
        <v>672</v>
      </c>
      <c r="P675" s="13">
        <v>71</v>
      </c>
      <c r="Q675" s="1">
        <v>77.892423199999996</v>
      </c>
      <c r="AA675" s="13">
        <f t="shared" si="41"/>
        <v>9.7076383098591457</v>
      </c>
      <c r="AC675" s="23"/>
      <c r="AD675" s="23"/>
      <c r="AE675" s="23"/>
      <c r="AF675" s="23"/>
      <c r="AG675" s="23"/>
      <c r="AI675" s="13">
        <v>672</v>
      </c>
      <c r="AJ675" s="13">
        <v>71</v>
      </c>
      <c r="AK675" s="1">
        <v>71.308604410000001</v>
      </c>
      <c r="AV675" s="13">
        <f t="shared" si="42"/>
        <v>0.43465409859155812</v>
      </c>
      <c r="BD675" s="13">
        <v>672</v>
      </c>
      <c r="BE675" s="13">
        <v>71</v>
      </c>
      <c r="BF675" s="1">
        <v>71.145365990000002</v>
      </c>
      <c r="BQ675" s="13">
        <f t="shared" si="43"/>
        <v>0.20474083098591667</v>
      </c>
    </row>
    <row r="676" spans="1:69">
      <c r="A676" s="13">
        <v>673</v>
      </c>
      <c r="B676" s="13">
        <v>6</v>
      </c>
      <c r="C676" s="1">
        <v>8.5078180969999995</v>
      </c>
      <c r="M676" s="13">
        <f t="shared" si="40"/>
        <v>41.796968283333328</v>
      </c>
      <c r="O676" s="13">
        <v>673</v>
      </c>
      <c r="P676" s="13">
        <v>6</v>
      </c>
      <c r="Q676" s="1">
        <v>7.4902878199999998</v>
      </c>
      <c r="AA676" s="13">
        <f t="shared" si="41"/>
        <v>24.838130333333332</v>
      </c>
      <c r="AC676" s="23"/>
      <c r="AD676" s="23"/>
      <c r="AE676" s="23"/>
      <c r="AF676" s="23"/>
      <c r="AG676" s="23"/>
      <c r="AI676" s="13">
        <v>673</v>
      </c>
      <c r="AJ676" s="13">
        <v>6</v>
      </c>
      <c r="AK676" s="1">
        <v>6.5025036189999996</v>
      </c>
      <c r="AV676" s="13">
        <f t="shared" si="42"/>
        <v>8.3750603166666604</v>
      </c>
      <c r="BD676" s="13">
        <v>673</v>
      </c>
      <c r="BE676" s="13">
        <v>6</v>
      </c>
      <c r="BF676" s="1">
        <v>6.4860615819999996</v>
      </c>
      <c r="BQ676" s="13">
        <f t="shared" si="43"/>
        <v>8.1010263666666518</v>
      </c>
    </row>
    <row r="677" spans="1:69">
      <c r="A677" s="13">
        <v>674</v>
      </c>
      <c r="B677" s="13">
        <v>158</v>
      </c>
      <c r="C677" s="1">
        <v>166.98288500000001</v>
      </c>
      <c r="M677" s="13">
        <f t="shared" si="40"/>
        <v>5.6853702531645567</v>
      </c>
      <c r="O677" s="13">
        <v>674</v>
      </c>
      <c r="P677" s="13">
        <v>158</v>
      </c>
      <c r="Q677" s="1">
        <v>164.3226387</v>
      </c>
      <c r="AA677" s="13">
        <f t="shared" si="41"/>
        <v>4.0016700632911295</v>
      </c>
      <c r="AC677" s="23"/>
      <c r="AD677" s="23"/>
      <c r="AE677" s="23"/>
      <c r="AF677" s="23"/>
      <c r="AG677" s="23"/>
      <c r="AI677" s="13">
        <v>674</v>
      </c>
      <c r="AJ677" s="13">
        <v>158</v>
      </c>
      <c r="AK677" s="1">
        <v>159.900577</v>
      </c>
      <c r="AV677" s="13">
        <f t="shared" si="42"/>
        <v>1.2028968354430347</v>
      </c>
      <c r="BD677" s="13">
        <v>674</v>
      </c>
      <c r="BE677" s="13">
        <v>158</v>
      </c>
      <c r="BF677" s="1">
        <v>161.4690114</v>
      </c>
      <c r="BQ677" s="13">
        <f t="shared" si="43"/>
        <v>2.1955768354430472</v>
      </c>
    </row>
    <row r="678" spans="1:69">
      <c r="A678" s="13">
        <v>675</v>
      </c>
      <c r="B678" s="13">
        <v>109</v>
      </c>
      <c r="C678" s="1">
        <v>110.04066400000001</v>
      </c>
      <c r="M678" s="13">
        <f t="shared" ref="M678:M682" si="44">((C678/B678)-1)*100</f>
        <v>0.95473761467890217</v>
      </c>
      <c r="O678" s="13">
        <v>675</v>
      </c>
      <c r="P678" s="13">
        <v>109</v>
      </c>
      <c r="Q678" s="1">
        <v>102.6758787</v>
      </c>
      <c r="AA678" s="13">
        <f t="shared" si="41"/>
        <v>-5.8019461467889943</v>
      </c>
      <c r="AC678" s="23"/>
      <c r="AD678" s="23"/>
      <c r="AE678" s="23"/>
      <c r="AF678" s="23"/>
      <c r="AG678" s="23"/>
      <c r="AI678" s="13">
        <v>675</v>
      </c>
      <c r="AJ678" s="13">
        <v>109</v>
      </c>
      <c r="AK678" s="1">
        <v>109.2561328</v>
      </c>
      <c r="AV678" s="13">
        <f t="shared" si="42"/>
        <v>0.2349842201834873</v>
      </c>
      <c r="BD678" s="13">
        <v>675</v>
      </c>
      <c r="BE678" s="13">
        <v>109</v>
      </c>
      <c r="BF678" s="1">
        <v>108.5812686</v>
      </c>
      <c r="BQ678" s="13">
        <f t="shared" si="43"/>
        <v>-0.38415724770641813</v>
      </c>
    </row>
    <row r="679" spans="1:69">
      <c r="A679" s="13">
        <v>676</v>
      </c>
      <c r="B679" s="13">
        <v>137</v>
      </c>
      <c r="C679" s="1">
        <v>137.89019160000001</v>
      </c>
      <c r="M679" s="13">
        <f t="shared" si="44"/>
        <v>0.64977489051094572</v>
      </c>
      <c r="O679" s="13">
        <v>676</v>
      </c>
      <c r="P679" s="13">
        <v>137</v>
      </c>
      <c r="Q679" s="1">
        <v>135.79008899999999</v>
      </c>
      <c r="AA679" s="13">
        <f t="shared" si="41"/>
        <v>-0.88314671532847555</v>
      </c>
      <c r="AC679" s="23"/>
      <c r="AD679" s="23"/>
      <c r="AE679" s="23"/>
      <c r="AF679" s="23"/>
      <c r="AG679" s="23"/>
      <c r="AI679" s="13">
        <v>676</v>
      </c>
      <c r="AJ679" s="13">
        <v>137</v>
      </c>
      <c r="AK679" s="1">
        <v>136.96203829999999</v>
      </c>
      <c r="AV679" s="13">
        <f t="shared" si="42"/>
        <v>-2.7709270072995285E-2</v>
      </c>
      <c r="BD679" s="13">
        <v>676</v>
      </c>
      <c r="BE679" s="13">
        <v>137</v>
      </c>
      <c r="BF679" s="1">
        <v>137.33442840000001</v>
      </c>
      <c r="BQ679" s="13">
        <f t="shared" si="43"/>
        <v>0.24410832116787962</v>
      </c>
    </row>
    <row r="680" spans="1:69">
      <c r="A680" s="13">
        <v>677</v>
      </c>
      <c r="B680" s="13">
        <v>168</v>
      </c>
      <c r="C680" s="1">
        <v>166.97195060000001</v>
      </c>
      <c r="M680" s="13">
        <f t="shared" si="44"/>
        <v>-0.61193416666666112</v>
      </c>
      <c r="O680" s="13">
        <v>677</v>
      </c>
      <c r="P680" s="13">
        <v>168</v>
      </c>
      <c r="Q680" s="1">
        <v>158.4416737</v>
      </c>
      <c r="AA680" s="13">
        <f t="shared" si="41"/>
        <v>-5.6894799404761942</v>
      </c>
      <c r="AC680" s="23"/>
      <c r="AD680" s="23"/>
      <c r="AE680" s="23"/>
      <c r="AF680" s="23"/>
      <c r="AG680" s="23"/>
      <c r="AI680" s="13">
        <v>677</v>
      </c>
      <c r="AJ680" s="13">
        <v>168</v>
      </c>
      <c r="AK680" s="1">
        <v>167.4883901</v>
      </c>
      <c r="AV680" s="13">
        <f t="shared" si="42"/>
        <v>-0.30452970238095123</v>
      </c>
      <c r="BD680" s="13">
        <v>677</v>
      </c>
      <c r="BE680" s="13">
        <v>168</v>
      </c>
      <c r="BF680" s="1">
        <v>167.26334589999999</v>
      </c>
      <c r="BQ680" s="13">
        <f t="shared" si="43"/>
        <v>-0.43848458333334284</v>
      </c>
    </row>
    <row r="681" spans="1:69">
      <c r="A681" s="13">
        <v>678</v>
      </c>
      <c r="B681" s="13">
        <v>1</v>
      </c>
      <c r="C681" s="1">
        <v>1.12486642519451</v>
      </c>
      <c r="M681" s="13">
        <f t="shared" si="44"/>
        <v>12.486642519450996</v>
      </c>
      <c r="O681" s="13">
        <v>678</v>
      </c>
      <c r="P681" s="13">
        <v>1</v>
      </c>
      <c r="Q681" s="1">
        <v>1.19729663288932</v>
      </c>
      <c r="AA681" s="13">
        <f t="shared" si="41"/>
        <v>19.729663288931999</v>
      </c>
      <c r="AC681" s="23"/>
      <c r="AD681" s="23"/>
      <c r="AE681" s="23"/>
      <c r="AF681" s="23"/>
      <c r="AG681" s="23"/>
      <c r="AI681" s="13">
        <v>678</v>
      </c>
      <c r="AJ681" s="13">
        <v>1</v>
      </c>
      <c r="AK681" s="1">
        <v>0.88213584638311704</v>
      </c>
      <c r="AV681" s="13">
        <f t="shared" si="42"/>
        <v>-11.786415361688295</v>
      </c>
      <c r="BD681" s="13">
        <v>678</v>
      </c>
      <c r="BE681" s="13">
        <v>1</v>
      </c>
      <c r="BF681" s="1">
        <v>0.78281716316709904</v>
      </c>
      <c r="BQ681" s="13">
        <f t="shared" si="43"/>
        <v>-21.718283683290096</v>
      </c>
    </row>
    <row r="682" spans="1:69">
      <c r="A682" s="13">
        <v>679</v>
      </c>
      <c r="B682" s="13">
        <v>110</v>
      </c>
      <c r="C682" s="1">
        <v>81.055601960000004</v>
      </c>
      <c r="M682" s="13">
        <f t="shared" si="44"/>
        <v>-26.313089127272725</v>
      </c>
      <c r="O682" s="13">
        <v>679</v>
      </c>
      <c r="P682" s="13">
        <v>110</v>
      </c>
      <c r="Q682" s="1">
        <v>78.827729629999993</v>
      </c>
      <c r="AA682" s="13">
        <f t="shared" si="41"/>
        <v>-28.33842760909091</v>
      </c>
      <c r="AC682" s="23"/>
      <c r="AD682" s="23"/>
      <c r="AE682" s="23"/>
      <c r="AF682" s="23"/>
      <c r="AG682" s="23"/>
      <c r="AI682" s="13">
        <v>679</v>
      </c>
      <c r="AJ682" s="13">
        <v>110</v>
      </c>
      <c r="AK682" s="1">
        <v>104.5411204</v>
      </c>
      <c r="AV682" s="13">
        <f t="shared" si="42"/>
        <v>-4.9626178181818243</v>
      </c>
      <c r="BD682" s="13">
        <v>679</v>
      </c>
      <c r="BE682" s="13">
        <v>110</v>
      </c>
      <c r="BF682" s="1">
        <v>97.554861239999994</v>
      </c>
      <c r="BQ682" s="13">
        <f t="shared" si="43"/>
        <v>-11.313762509090919</v>
      </c>
    </row>
  </sheetData>
  <mergeCells count="4">
    <mergeCell ref="A1:M1"/>
    <mergeCell ref="O1:AG1"/>
    <mergeCell ref="AI1:BB1"/>
    <mergeCell ref="BD1:BW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zoomScaleNormal="100" workbookViewId="0">
      <selection activeCell="E11" sqref="E11"/>
    </sheetView>
  </sheetViews>
  <sheetFormatPr defaultRowHeight="14.25"/>
  <cols>
    <col min="1" max="1" width="20" style="8" customWidth="1"/>
    <col min="2" max="2" width="71.5" style="8" customWidth="1"/>
    <col min="12" max="12" width="9" style="8" customWidth="1"/>
  </cols>
  <sheetData>
    <row r="1" spans="1:16">
      <c r="A1" s="43" t="s">
        <v>8</v>
      </c>
      <c r="B1" s="43" t="s">
        <v>9</v>
      </c>
      <c r="C1" s="3"/>
      <c r="D1" s="3"/>
      <c r="E1" s="3"/>
      <c r="F1" s="3"/>
      <c r="G1" s="3"/>
      <c r="H1" s="3"/>
      <c r="I1" s="3"/>
    </row>
    <row r="2" spans="1:16">
      <c r="A2" s="44" t="s">
        <v>92</v>
      </c>
      <c r="B2" s="34">
        <v>7</v>
      </c>
      <c r="C2" s="3"/>
      <c r="D2" s="3"/>
      <c r="E2" s="3"/>
      <c r="F2" s="3"/>
      <c r="G2" s="3"/>
      <c r="H2" s="3"/>
      <c r="I2" s="3"/>
    </row>
    <row r="3" spans="1:16">
      <c r="A3" s="44" t="s">
        <v>93</v>
      </c>
      <c r="B3" s="34">
        <v>680</v>
      </c>
      <c r="C3" s="3"/>
      <c r="D3" s="3"/>
      <c r="E3" s="3"/>
      <c r="F3" s="3"/>
      <c r="G3" s="3"/>
      <c r="H3" s="3"/>
      <c r="I3" s="3"/>
    </row>
    <row r="4" spans="1:16">
      <c r="A4" s="44" t="s">
        <v>94</v>
      </c>
      <c r="B4" s="34">
        <v>1</v>
      </c>
      <c r="C4" s="3"/>
      <c r="D4" s="3"/>
      <c r="E4" s="3"/>
      <c r="F4" s="3"/>
      <c r="G4" s="3"/>
      <c r="H4" s="3"/>
      <c r="I4" s="3"/>
    </row>
    <row r="5" spans="1:16">
      <c r="A5" s="44" t="s">
        <v>95</v>
      </c>
      <c r="B5" s="34" t="s">
        <v>96</v>
      </c>
      <c r="C5" s="3"/>
      <c r="D5" s="3"/>
      <c r="E5" s="3"/>
      <c r="F5" s="3"/>
      <c r="G5" s="3"/>
      <c r="H5" s="3"/>
      <c r="I5" s="3"/>
    </row>
    <row r="6" spans="1:16">
      <c r="A6" s="44" t="s">
        <v>10</v>
      </c>
      <c r="B6" s="34" t="s">
        <v>97</v>
      </c>
      <c r="C6" s="3"/>
      <c r="D6" s="3"/>
      <c r="E6" s="3"/>
      <c r="F6" s="3"/>
      <c r="G6" s="3"/>
      <c r="H6" s="3"/>
      <c r="I6" s="3"/>
    </row>
    <row r="7" spans="1:16" ht="28.5">
      <c r="A7" s="44" t="s">
        <v>11</v>
      </c>
      <c r="B7" s="34" t="s">
        <v>98</v>
      </c>
      <c r="C7" s="3"/>
      <c r="D7" s="3"/>
      <c r="E7" s="3"/>
      <c r="F7" s="3"/>
      <c r="G7" s="3"/>
      <c r="H7" s="3"/>
      <c r="I7" s="3"/>
    </row>
    <row r="8" spans="1:16">
      <c r="A8" s="44" t="s">
        <v>99</v>
      </c>
      <c r="B8" s="34" t="s">
        <v>100</v>
      </c>
      <c r="C8" s="3"/>
      <c r="D8" s="3"/>
      <c r="E8" s="3"/>
      <c r="F8" s="3"/>
      <c r="G8" s="3"/>
      <c r="H8" s="3"/>
      <c r="I8" s="3"/>
    </row>
    <row r="9" spans="1:16">
      <c r="A9" s="44" t="s">
        <v>101</v>
      </c>
      <c r="B9" s="34" t="s">
        <v>102</v>
      </c>
      <c r="C9" s="3"/>
      <c r="D9" s="3"/>
      <c r="E9" s="3"/>
      <c r="F9" s="3"/>
      <c r="G9" s="3"/>
      <c r="H9" s="3"/>
      <c r="I9" s="3"/>
    </row>
    <row r="10" spans="1:16" ht="28.5">
      <c r="A10" s="44" t="s">
        <v>103</v>
      </c>
      <c r="B10" s="34" t="s">
        <v>104</v>
      </c>
      <c r="C10" s="3"/>
      <c r="D10" s="3"/>
      <c r="E10" s="3"/>
      <c r="F10" s="3"/>
      <c r="G10" s="3"/>
      <c r="H10" s="3"/>
      <c r="I10" s="3"/>
    </row>
    <row r="11" spans="1:16" ht="28.5">
      <c r="A11" s="44" t="s">
        <v>105</v>
      </c>
      <c r="B11" s="34" t="s">
        <v>106</v>
      </c>
      <c r="C11" s="3"/>
      <c r="D11" s="3"/>
      <c r="E11" s="3"/>
      <c r="F11" s="3"/>
      <c r="G11" s="3"/>
      <c r="H11" s="3"/>
      <c r="I11" s="3"/>
    </row>
    <row r="12" spans="1:16">
      <c r="A12" s="37"/>
      <c r="B12" s="37"/>
      <c r="C12" s="37"/>
      <c r="D12" s="37"/>
      <c r="E12" s="37"/>
      <c r="F12" s="37"/>
      <c r="G12" s="37"/>
      <c r="H12" s="3"/>
      <c r="I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</row>
    <row r="15" spans="1:16" ht="15">
      <c r="A15" s="40" t="s">
        <v>12</v>
      </c>
      <c r="B15" s="46"/>
      <c r="C15" s="46"/>
      <c r="D15" s="46"/>
      <c r="E15" s="46"/>
      <c r="F15" s="46"/>
      <c r="G15" s="46"/>
      <c r="H15" s="46"/>
      <c r="I15" s="37"/>
      <c r="J15" s="37"/>
      <c r="K15" s="37"/>
      <c r="L15" s="37"/>
      <c r="M15" s="37"/>
      <c r="N15" s="37"/>
      <c r="O15" s="37"/>
      <c r="P15" s="37"/>
    </row>
    <row r="16" spans="1:16" ht="15" customHeight="1">
      <c r="A16" s="11" t="s">
        <v>13</v>
      </c>
      <c r="B16" s="11" t="s">
        <v>14</v>
      </c>
      <c r="C16" s="11" t="s">
        <v>15</v>
      </c>
      <c r="D16" s="11" t="s">
        <v>16</v>
      </c>
      <c r="E16" s="11" t="s">
        <v>17</v>
      </c>
      <c r="F16" s="11" t="s">
        <v>18</v>
      </c>
      <c r="G16" s="11" t="s">
        <v>19</v>
      </c>
      <c r="H16" s="11" t="s">
        <v>20</v>
      </c>
      <c r="I16" s="37"/>
      <c r="J16" s="37"/>
      <c r="K16" s="37"/>
      <c r="L16" s="37"/>
      <c r="M16" s="37"/>
      <c r="N16" s="37"/>
      <c r="O16" s="37"/>
      <c r="P16" s="37"/>
    </row>
    <row r="17" spans="1:16">
      <c r="A17" s="12" t="s">
        <v>36</v>
      </c>
      <c r="B17" s="23">
        <v>9.4130000000000003</v>
      </c>
      <c r="C17" s="23">
        <v>65.099999999999994</v>
      </c>
      <c r="D17" s="45">
        <v>1220</v>
      </c>
      <c r="E17" s="23">
        <v>12.8</v>
      </c>
      <c r="F17" s="23">
        <v>0.9</v>
      </c>
      <c r="G17" s="23">
        <v>3</v>
      </c>
      <c r="H17" s="23" t="s">
        <v>21</v>
      </c>
      <c r="I17" s="37"/>
      <c r="J17" s="37"/>
      <c r="K17" s="37"/>
      <c r="L17" s="37"/>
      <c r="M17" s="37"/>
      <c r="N17" s="37"/>
      <c r="O17" s="37"/>
      <c r="P17" s="37"/>
    </row>
    <row r="18" spans="1:16">
      <c r="A18" s="12" t="s">
        <v>23</v>
      </c>
      <c r="B18" s="23">
        <v>12.337</v>
      </c>
      <c r="C18" s="23">
        <v>68.900000000000006</v>
      </c>
      <c r="D18" s="45">
        <v>1410</v>
      </c>
      <c r="E18" s="23">
        <v>14.1</v>
      </c>
      <c r="F18" s="23">
        <v>1</v>
      </c>
      <c r="G18" s="23">
        <v>3</v>
      </c>
      <c r="H18" s="23" t="s">
        <v>22</v>
      </c>
      <c r="I18" s="37"/>
      <c r="J18" s="37"/>
      <c r="K18" s="37"/>
      <c r="L18" s="37"/>
      <c r="M18" s="37"/>
      <c r="N18" s="37"/>
      <c r="O18" s="37"/>
      <c r="P18" s="37"/>
    </row>
    <row r="19" spans="1:16">
      <c r="A19" s="3"/>
      <c r="B19" s="3"/>
      <c r="C19" s="3"/>
      <c r="D19" s="3"/>
      <c r="E19" s="3"/>
      <c r="F19" s="3"/>
      <c r="G19" s="3"/>
      <c r="H19" s="3"/>
      <c r="I19" s="3"/>
    </row>
    <row r="20" spans="1:16" ht="15">
      <c r="A20" s="40" t="s">
        <v>107</v>
      </c>
      <c r="B20" s="46"/>
      <c r="C20" s="46"/>
      <c r="D20" s="46"/>
      <c r="E20" s="46"/>
      <c r="F20" s="46"/>
      <c r="G20" s="46"/>
      <c r="H20" s="46"/>
      <c r="I20" s="37"/>
    </row>
    <row r="21" spans="1:16" ht="15">
      <c r="A21" s="11" t="s">
        <v>13</v>
      </c>
      <c r="B21" s="11" t="s">
        <v>14</v>
      </c>
      <c r="C21" s="11" t="s">
        <v>15</v>
      </c>
      <c r="D21" s="11" t="s">
        <v>16</v>
      </c>
      <c r="E21" s="11" t="s">
        <v>17</v>
      </c>
      <c r="F21" s="11" t="s">
        <v>18</v>
      </c>
      <c r="G21" s="11" t="s">
        <v>19</v>
      </c>
      <c r="H21" s="11" t="s">
        <v>20</v>
      </c>
      <c r="I21" s="22"/>
      <c r="J21" s="22"/>
      <c r="K21" s="22"/>
      <c r="L21" s="22"/>
      <c r="M21" s="22"/>
    </row>
    <row r="22" spans="1:16" ht="15" customHeight="1">
      <c r="A22" s="12" t="s">
        <v>108</v>
      </c>
      <c r="B22" s="47">
        <v>1987.3420000000001</v>
      </c>
      <c r="C22" s="23">
        <v>63.2</v>
      </c>
      <c r="D22" s="45">
        <v>1310</v>
      </c>
      <c r="E22" s="23">
        <v>11.9</v>
      </c>
      <c r="F22" s="23">
        <v>0.8</v>
      </c>
      <c r="G22" s="23">
        <v>4</v>
      </c>
      <c r="H22" s="23" t="s">
        <v>24</v>
      </c>
      <c r="I22" s="23"/>
      <c r="J22" s="23"/>
      <c r="K22" s="23"/>
      <c r="L22" s="23"/>
      <c r="M22" s="23"/>
    </row>
    <row r="23" spans="1:16">
      <c r="A23" s="12" t="s">
        <v>109</v>
      </c>
      <c r="B23" s="47">
        <v>2644.5509999999999</v>
      </c>
      <c r="C23" s="23">
        <v>69.7</v>
      </c>
      <c r="D23" s="45">
        <v>1490</v>
      </c>
      <c r="E23" s="23">
        <v>13.6</v>
      </c>
      <c r="F23" s="23">
        <v>0.9</v>
      </c>
      <c r="G23" s="23">
        <v>4</v>
      </c>
      <c r="H23" s="23" t="s">
        <v>25</v>
      </c>
      <c r="I23" s="23"/>
      <c r="J23" s="23"/>
      <c r="K23" s="23"/>
      <c r="L23" s="23"/>
      <c r="M23" s="23"/>
    </row>
    <row r="24" spans="1:16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spans="1:16" s="37" customFormat="1" ht="15">
      <c r="A25" s="40" t="s">
        <v>112</v>
      </c>
      <c r="B25" s="46"/>
      <c r="C25" s="46"/>
      <c r="D25" s="46"/>
      <c r="E25" s="46"/>
      <c r="F25" s="46"/>
      <c r="G25" s="46"/>
      <c r="H25" s="46"/>
    </row>
    <row r="26" spans="1:16" s="37" customFormat="1">
      <c r="A26" s="11" t="s">
        <v>13</v>
      </c>
      <c r="B26" s="11" t="s">
        <v>14</v>
      </c>
      <c r="C26" s="11" t="s">
        <v>15</v>
      </c>
      <c r="D26" s="11" t="s">
        <v>16</v>
      </c>
      <c r="E26" s="11" t="s">
        <v>17</v>
      </c>
      <c r="F26" s="11" t="s">
        <v>18</v>
      </c>
      <c r="G26" s="11" t="s">
        <v>19</v>
      </c>
      <c r="H26" s="11" t="s">
        <v>20</v>
      </c>
    </row>
    <row r="27" spans="1:16" s="37" customFormat="1">
      <c r="A27" s="12" t="s">
        <v>110</v>
      </c>
      <c r="B27" s="47">
        <v>2154.7840000000001</v>
      </c>
      <c r="C27" s="23">
        <v>61.8</v>
      </c>
      <c r="D27" s="45">
        <v>1280</v>
      </c>
      <c r="E27" s="23">
        <v>11.3</v>
      </c>
      <c r="F27" s="23">
        <v>0.7</v>
      </c>
      <c r="G27" s="23">
        <v>5</v>
      </c>
      <c r="H27" s="23" t="s">
        <v>26</v>
      </c>
    </row>
    <row r="28" spans="1:16" s="37" customFormat="1" ht="15" customHeight="1">
      <c r="A28" s="12" t="s">
        <v>111</v>
      </c>
      <c r="B28" s="47">
        <v>2912.2260000000001</v>
      </c>
      <c r="C28" s="23">
        <v>67.400000000000006</v>
      </c>
      <c r="D28" s="45">
        <v>1470</v>
      </c>
      <c r="E28" s="23">
        <v>12.9</v>
      </c>
      <c r="F28" s="23">
        <v>0.8</v>
      </c>
      <c r="G28" s="23">
        <v>5</v>
      </c>
      <c r="H28" s="23" t="s">
        <v>27</v>
      </c>
    </row>
    <row r="29" spans="1:16" s="37" customFormat="1"/>
    <row r="30" spans="1:16" ht="15">
      <c r="A30" s="40" t="s">
        <v>113</v>
      </c>
      <c r="B30" s="46"/>
      <c r="C30" s="46"/>
      <c r="D30" s="46"/>
      <c r="E30" s="46"/>
      <c r="F30" s="46"/>
      <c r="G30" s="46"/>
      <c r="H30" s="46"/>
      <c r="I30" s="37"/>
    </row>
    <row r="31" spans="1:16" ht="15">
      <c r="A31" s="11" t="s">
        <v>13</v>
      </c>
      <c r="B31" s="11" t="s">
        <v>14</v>
      </c>
      <c r="C31" s="11" t="s">
        <v>15</v>
      </c>
      <c r="D31" s="11" t="s">
        <v>16</v>
      </c>
      <c r="E31" s="11" t="s">
        <v>17</v>
      </c>
      <c r="F31" s="11" t="s">
        <v>18</v>
      </c>
      <c r="G31" s="11" t="s">
        <v>19</v>
      </c>
      <c r="H31" s="11" t="s">
        <v>20</v>
      </c>
      <c r="I31" s="22"/>
      <c r="J31" s="22"/>
      <c r="K31" s="22"/>
      <c r="L31" s="22"/>
      <c r="M31" s="22"/>
    </row>
    <row r="32" spans="1:16" ht="15">
      <c r="A32" s="12" t="s">
        <v>114</v>
      </c>
      <c r="B32" s="47">
        <v>1842.673</v>
      </c>
      <c r="C32" s="23">
        <v>60.5</v>
      </c>
      <c r="D32" s="45">
        <v>1250</v>
      </c>
      <c r="E32" s="23">
        <v>11.1</v>
      </c>
      <c r="F32" s="23">
        <v>0.7</v>
      </c>
      <c r="G32" s="23">
        <v>6</v>
      </c>
      <c r="H32" s="23" t="s">
        <v>115</v>
      </c>
      <c r="I32" s="42"/>
      <c r="J32" s="42"/>
      <c r="K32" s="42"/>
      <c r="L32" s="23"/>
      <c r="M32" s="23"/>
    </row>
    <row r="33" spans="1:13" ht="15">
      <c r="A33" s="12" t="s">
        <v>116</v>
      </c>
      <c r="B33" s="47">
        <v>2667.3879999999999</v>
      </c>
      <c r="C33" s="23">
        <v>66.099999999999994</v>
      </c>
      <c r="D33" s="45">
        <v>1460</v>
      </c>
      <c r="E33" s="23">
        <v>12.7</v>
      </c>
      <c r="F33" s="23">
        <v>0.8</v>
      </c>
      <c r="G33" s="23">
        <v>6</v>
      </c>
      <c r="H33" s="23" t="s">
        <v>117</v>
      </c>
      <c r="I33" s="42"/>
      <c r="J33" s="42"/>
      <c r="K33" s="42"/>
      <c r="L33" s="23"/>
      <c r="M33" s="23"/>
    </row>
  </sheetData>
  <mergeCells count="4">
    <mergeCell ref="A30:H30"/>
    <mergeCell ref="A15:H15"/>
    <mergeCell ref="A20:H20"/>
    <mergeCell ref="A25:H25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2"/>
  <sheetViews>
    <sheetView topLeftCell="A2" workbookViewId="0">
      <selection activeCell="D2" sqref="D2"/>
    </sheetView>
  </sheetViews>
  <sheetFormatPr defaultRowHeight="14.25"/>
  <sheetData>
    <row r="1" spans="1:22" ht="15">
      <c r="A1" s="41" t="s">
        <v>66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10"/>
      <c r="Q1" s="10"/>
      <c r="R1" s="10"/>
      <c r="S1" s="10"/>
      <c r="T1" s="10"/>
      <c r="U1" s="10"/>
      <c r="V1" s="10"/>
    </row>
    <row r="2" spans="1:22" ht="18.75">
      <c r="A2" s="27"/>
      <c r="B2" s="28" t="s">
        <v>67</v>
      </c>
      <c r="C2" s="28">
        <v>1</v>
      </c>
      <c r="D2" s="10">
        <f ca="1">RSQ(B3:INDEX(B:B,COUNTA(B:B)), D3:INDEX(D:D,COUNTA(B:B)))</f>
        <v>0.99735335043335083</v>
      </c>
      <c r="E2" s="29" t="s">
        <v>68</v>
      </c>
      <c r="F2" s="29" t="s">
        <v>69</v>
      </c>
      <c r="G2" s="27"/>
      <c r="H2" s="30" t="s">
        <v>70</v>
      </c>
      <c r="I2" s="30" t="s">
        <v>71</v>
      </c>
      <c r="J2" s="30" t="s">
        <v>72</v>
      </c>
      <c r="K2" s="30" t="s">
        <v>73</v>
      </c>
      <c r="L2" s="30" t="s">
        <v>74</v>
      </c>
      <c r="M2" s="30" t="s">
        <v>75</v>
      </c>
      <c r="N2" s="31" t="s">
        <v>76</v>
      </c>
      <c r="O2" s="30" t="s">
        <v>77</v>
      </c>
      <c r="P2" s="30" t="s">
        <v>30</v>
      </c>
      <c r="Q2" s="30" t="s">
        <v>78</v>
      </c>
      <c r="R2" s="30" t="s">
        <v>42</v>
      </c>
      <c r="S2" s="30" t="s">
        <v>79</v>
      </c>
      <c r="T2" s="30" t="s">
        <v>80</v>
      </c>
      <c r="U2" s="30" t="s">
        <v>81</v>
      </c>
      <c r="V2" s="30" t="s">
        <v>82</v>
      </c>
    </row>
    <row r="3" spans="1:22">
      <c r="A3" s="27">
        <v>1</v>
      </c>
      <c r="B3" s="13">
        <v>1</v>
      </c>
      <c r="C3" s="17">
        <v>-26.558299397497201</v>
      </c>
      <c r="D3" s="32">
        <f t="shared" ref="D3:D66" ca="1" si="0">B3+M3</f>
        <v>-4.5129998794994401</v>
      </c>
      <c r="E3" s="29">
        <f ca="1">RSQ(B3:B682,D3:D682)</f>
        <v>0.99734651283090292</v>
      </c>
      <c r="F3" s="33">
        <f ca="1">RSQ(B367:B459,D367:D459)</f>
        <v>0.99691614003212947</v>
      </c>
      <c r="G3" s="27"/>
      <c r="H3" s="10">
        <f>((C3/B3)-1)*100</f>
        <v>-2755.8299397497203</v>
      </c>
      <c r="I3" s="32">
        <f>C3-B3</f>
        <v>-27.558299397497201</v>
      </c>
      <c r="J3" s="10">
        <f ca="1">IF(B3 &lt; 30, RANDBETWEEN(-100, 100) / 10000, RANDBETWEEN(-100,100) / 100)</f>
        <v>-7.9000000000000008E-3</v>
      </c>
      <c r="K3" s="10">
        <f ca="1">IF(B3 &lt; 30, RANDBETWEEN(-100, 100) / 10000, RANDBETWEEN(-100,100) / 100)</f>
        <v>1.1999999999999999E-3</v>
      </c>
      <c r="L3" s="10">
        <v>0.2</v>
      </c>
      <c r="M3" s="10">
        <f t="shared" ref="M3:M66" ca="1" si="1">(I3+J3+K3)*L3</f>
        <v>-5.5129998794994401</v>
      </c>
      <c r="N3" s="10">
        <f t="shared" ref="N3:N66" ca="1" si="2">((D3/B3)-1)*100</f>
        <v>-551.29998794994401</v>
      </c>
      <c r="O3" s="10">
        <f t="shared" ref="O3:O66" ca="1" si="3">M3^2</f>
        <v>30.393167671360843</v>
      </c>
      <c r="P3" s="10">
        <f ca="1">SQRT(P110/997)</f>
        <v>2.6495188163595302</v>
      </c>
      <c r="Q3" s="10"/>
      <c r="R3" s="10"/>
      <c r="S3" s="10"/>
      <c r="T3" s="10"/>
      <c r="U3" s="10"/>
      <c r="V3" s="10"/>
    </row>
    <row r="4" spans="1:22">
      <c r="A4" s="27">
        <v>2</v>
      </c>
      <c r="B4" s="13">
        <v>231</v>
      </c>
      <c r="C4" s="17">
        <v>199.61076609536201</v>
      </c>
      <c r="D4" s="32">
        <f t="shared" ca="1" si="0"/>
        <v>224.79615321907241</v>
      </c>
      <c r="E4" s="29" t="s">
        <v>83</v>
      </c>
      <c r="F4" s="29" t="s">
        <v>84</v>
      </c>
      <c r="G4" s="27"/>
      <c r="H4" s="10">
        <f t="shared" ref="H4:H67" si="4">((C4/B4)-1)*100</f>
        <v>-13.588412945730733</v>
      </c>
      <c r="I4" s="32">
        <f t="shared" ref="I4:I67" si="5">C4-B4</f>
        <v>-31.38923390463799</v>
      </c>
      <c r="J4" s="10">
        <f t="shared" ref="J4:J67" ca="1" si="6">IF(B4 &lt; 30, RANDBETWEEN(-100, 100) / 10000, RANDBETWEEN(-100,100) / 100)</f>
        <v>0.47</v>
      </c>
      <c r="K4" s="10">
        <f t="shared" ref="K4:K67" ca="1" si="7">IF(B4 &lt; 30, RANDBETWEEN(-100, 100) / 10000, RANDBETWEEN(-100,100) / 100)</f>
        <v>-0.1</v>
      </c>
      <c r="L4" s="10">
        <v>0.2</v>
      </c>
      <c r="M4" s="10">
        <f t="shared" ca="1" si="1"/>
        <v>-6.2038467809275986</v>
      </c>
      <c r="N4" s="10">
        <f t="shared" ca="1" si="2"/>
        <v>-2.6856479571115144</v>
      </c>
      <c r="O4" s="10">
        <f t="shared" ca="1" si="3"/>
        <v>38.487714881225727</v>
      </c>
      <c r="P4" s="10"/>
      <c r="Q4" s="10"/>
      <c r="R4" s="10"/>
      <c r="S4" s="10"/>
      <c r="T4" s="10"/>
      <c r="U4" s="10"/>
      <c r="V4" s="10"/>
    </row>
    <row r="5" spans="1:22">
      <c r="A5" s="27">
        <v>3</v>
      </c>
      <c r="B5" s="13">
        <v>6</v>
      </c>
      <c r="C5" s="17">
        <v>-21.936859072882001</v>
      </c>
      <c r="D5" s="32">
        <f t="shared" ca="1" si="0"/>
        <v>0.41390818542359931</v>
      </c>
      <c r="E5" s="29" t="e">
        <f>SQRT((SUM(#REF!)/169))</f>
        <v>#REF!</v>
      </c>
      <c r="F5" s="29" t="e">
        <f>SQRT((SUM(#REF!)/169))</f>
        <v>#REF!</v>
      </c>
      <c r="G5" s="27"/>
      <c r="H5" s="10">
        <f t="shared" si="4"/>
        <v>-465.61431788136662</v>
      </c>
      <c r="I5" s="32">
        <f t="shared" si="5"/>
        <v>-27.936859072882001</v>
      </c>
      <c r="J5" s="10">
        <f t="shared" ca="1" si="6"/>
        <v>-2.5000000000000001E-3</v>
      </c>
      <c r="K5" s="10">
        <f t="shared" ca="1" si="7"/>
        <v>8.8999999999999999E-3</v>
      </c>
      <c r="L5" s="10">
        <v>0.2</v>
      </c>
      <c r="M5" s="10">
        <f t="shared" ca="1" si="1"/>
        <v>-5.5860918145764007</v>
      </c>
      <c r="N5" s="10">
        <f t="shared" ca="1" si="2"/>
        <v>-93.101530242940015</v>
      </c>
      <c r="O5" s="10">
        <f t="shared" ca="1" si="3"/>
        <v>31.204421760877466</v>
      </c>
      <c r="P5" s="10"/>
      <c r="Q5" s="10"/>
      <c r="R5" s="10"/>
      <c r="S5" s="10"/>
      <c r="T5" s="10"/>
      <c r="U5" s="10"/>
      <c r="V5" s="10"/>
    </row>
    <row r="6" spans="1:22">
      <c r="A6" s="27">
        <v>4</v>
      </c>
      <c r="B6" s="13">
        <v>201</v>
      </c>
      <c r="C6" s="17">
        <v>200.99999999999901</v>
      </c>
      <c r="D6" s="32">
        <f t="shared" ca="1" si="0"/>
        <v>201.0659999999998</v>
      </c>
      <c r="E6" s="27"/>
      <c r="F6" s="27"/>
      <c r="G6" s="27"/>
      <c r="H6" s="10">
        <f t="shared" si="4"/>
        <v>-4.9960036108132044E-13</v>
      </c>
      <c r="I6" s="32">
        <f t="shared" si="5"/>
        <v>-9.9475983006414026E-13</v>
      </c>
      <c r="J6" s="10">
        <f t="shared" ca="1" si="6"/>
        <v>0.53</v>
      </c>
      <c r="K6" s="10">
        <f t="shared" ca="1" si="7"/>
        <v>-0.2</v>
      </c>
      <c r="L6" s="10">
        <v>0.2</v>
      </c>
      <c r="M6" s="10">
        <f t="shared" ca="1" si="1"/>
        <v>6.5999999999801051E-2</v>
      </c>
      <c r="N6" s="10">
        <f t="shared" ca="1" si="2"/>
        <v>3.2835820895416035E-2</v>
      </c>
      <c r="O6" s="10">
        <f t="shared" ca="1" si="3"/>
        <v>4.3559999999737385E-3</v>
      </c>
      <c r="P6" s="10"/>
      <c r="Q6" s="10"/>
      <c r="R6" s="10"/>
      <c r="S6" s="10"/>
      <c r="T6" s="10"/>
      <c r="U6" s="10"/>
      <c r="V6" s="10"/>
    </row>
    <row r="7" spans="1:22">
      <c r="A7" s="27">
        <v>5</v>
      </c>
      <c r="B7" s="13">
        <v>201</v>
      </c>
      <c r="C7" s="17">
        <v>171.00564086835999</v>
      </c>
      <c r="D7" s="32">
        <f t="shared" ca="1" si="0"/>
        <v>194.99512817367199</v>
      </c>
      <c r="E7" s="27">
        <v>2</v>
      </c>
      <c r="F7" s="27"/>
      <c r="G7" s="27"/>
      <c r="H7" s="10">
        <f t="shared" si="4"/>
        <v>-14.922566732159204</v>
      </c>
      <c r="I7" s="32">
        <f t="shared" si="5"/>
        <v>-29.99435913164001</v>
      </c>
      <c r="J7" s="10">
        <f t="shared" ca="1" si="6"/>
        <v>-0.26</v>
      </c>
      <c r="K7" s="10">
        <f t="shared" ca="1" si="7"/>
        <v>0.23</v>
      </c>
      <c r="L7" s="10">
        <v>0.2</v>
      </c>
      <c r="M7" s="10">
        <f t="shared" ca="1" si="1"/>
        <v>-6.004871826328003</v>
      </c>
      <c r="N7" s="10">
        <f t="shared" ca="1" si="2"/>
        <v>-2.9874984210587097</v>
      </c>
      <c r="O7" s="10">
        <f t="shared" ca="1" si="3"/>
        <v>36.058485650627809</v>
      </c>
      <c r="P7" s="10"/>
      <c r="Q7" s="10"/>
      <c r="R7" s="10"/>
      <c r="S7" s="10"/>
      <c r="T7" s="10"/>
      <c r="U7" s="10"/>
      <c r="V7" s="10"/>
    </row>
    <row r="8" spans="1:22">
      <c r="A8" s="27">
        <v>6</v>
      </c>
      <c r="B8" s="13">
        <v>227</v>
      </c>
      <c r="C8" s="17">
        <v>195.07489096727701</v>
      </c>
      <c r="D8" s="32">
        <f t="shared" ca="1" si="0"/>
        <v>220.71697819345539</v>
      </c>
      <c r="E8" s="27"/>
      <c r="F8" s="27">
        <v>2</v>
      </c>
      <c r="G8" s="27"/>
      <c r="H8" s="10">
        <f t="shared" si="4"/>
        <v>-14.063924684018936</v>
      </c>
      <c r="I8" s="32">
        <f t="shared" si="5"/>
        <v>-31.925109032722986</v>
      </c>
      <c r="J8" s="10">
        <f t="shared" ca="1" si="6"/>
        <v>0.93</v>
      </c>
      <c r="K8" s="10">
        <f t="shared" ca="1" si="7"/>
        <v>-0.42</v>
      </c>
      <c r="L8" s="10">
        <v>0.2</v>
      </c>
      <c r="M8" s="10">
        <f t="shared" ca="1" si="1"/>
        <v>-6.283021806544598</v>
      </c>
      <c r="N8" s="10">
        <f t="shared" ca="1" si="2"/>
        <v>-2.7678510160989434</v>
      </c>
      <c r="O8" s="10">
        <f t="shared" ca="1" si="3"/>
        <v>39.476363021514942</v>
      </c>
      <c r="P8" s="10"/>
      <c r="Q8" s="10"/>
      <c r="R8" s="10"/>
      <c r="S8" s="10"/>
      <c r="T8" s="10"/>
      <c r="U8" s="10"/>
      <c r="V8" s="10"/>
    </row>
    <row r="9" spans="1:22">
      <c r="A9" s="27">
        <v>7</v>
      </c>
      <c r="B9" s="13">
        <v>38</v>
      </c>
      <c r="C9" s="17">
        <v>11.234323320213599</v>
      </c>
      <c r="D9" s="32">
        <f t="shared" ca="1" si="0"/>
        <v>32.488864664042723</v>
      </c>
      <c r="E9" s="27"/>
      <c r="F9" s="27">
        <v>1</v>
      </c>
      <c r="G9" s="27">
        <v>1</v>
      </c>
      <c r="H9" s="10">
        <f t="shared" si="4"/>
        <v>-70.435991262595792</v>
      </c>
      <c r="I9" s="32">
        <f t="shared" si="5"/>
        <v>-26.765676679786402</v>
      </c>
      <c r="J9" s="10">
        <f t="shared" ca="1" si="6"/>
        <v>0.13</v>
      </c>
      <c r="K9" s="10">
        <f t="shared" ca="1" si="7"/>
        <v>-0.92</v>
      </c>
      <c r="L9" s="10">
        <v>0.2</v>
      </c>
      <c r="M9" s="10">
        <f t="shared" ca="1" si="1"/>
        <v>-5.511135335957281</v>
      </c>
      <c r="N9" s="10">
        <f t="shared" ca="1" si="2"/>
        <v>-14.502987726203365</v>
      </c>
      <c r="O9" s="10">
        <f t="shared" ca="1" si="3"/>
        <v>30.372612691236974</v>
      </c>
      <c r="P9" s="10"/>
      <c r="Q9" s="10"/>
      <c r="R9" s="10"/>
      <c r="S9" s="10"/>
      <c r="T9" s="10"/>
      <c r="U9" s="10"/>
      <c r="V9" s="10"/>
    </row>
    <row r="10" spans="1:22">
      <c r="A10" s="27">
        <v>8</v>
      </c>
      <c r="B10" s="13">
        <v>158</v>
      </c>
      <c r="C10" s="17">
        <v>158.74683942140601</v>
      </c>
      <c r="D10" s="32">
        <f t="shared" ca="1" si="0"/>
        <v>158.36136788428121</v>
      </c>
      <c r="E10" s="27"/>
      <c r="F10" s="27">
        <v>1</v>
      </c>
      <c r="G10" s="27"/>
      <c r="H10" s="10">
        <f t="shared" si="4"/>
        <v>0.4726831781050711</v>
      </c>
      <c r="I10" s="32">
        <f t="shared" si="5"/>
        <v>0.74683942140600834</v>
      </c>
      <c r="J10" s="10">
        <f t="shared" ca="1" si="6"/>
        <v>0.39</v>
      </c>
      <c r="K10" s="10">
        <f t="shared" ca="1" si="7"/>
        <v>0.67</v>
      </c>
      <c r="L10" s="10">
        <v>0.2</v>
      </c>
      <c r="M10" s="10">
        <f t="shared" ca="1" si="1"/>
        <v>0.3613678842812017</v>
      </c>
      <c r="N10" s="10">
        <f t="shared" ca="1" si="2"/>
        <v>0.22871385081089102</v>
      </c>
      <c r="O10" s="10">
        <f t="shared" ca="1" si="3"/>
        <v>0.13058674778987198</v>
      </c>
      <c r="P10" s="10"/>
      <c r="Q10" s="10"/>
      <c r="R10" s="10"/>
      <c r="S10" s="10"/>
      <c r="T10" s="10"/>
      <c r="U10" s="10"/>
      <c r="V10" s="10"/>
    </row>
    <row r="11" spans="1:22">
      <c r="A11" s="27">
        <v>9</v>
      </c>
      <c r="B11" s="13">
        <v>64</v>
      </c>
      <c r="C11" s="17">
        <v>64.993482826715606</v>
      </c>
      <c r="D11" s="32">
        <f t="shared" ca="1" si="0"/>
        <v>64.136696565343115</v>
      </c>
      <c r="E11" s="27"/>
      <c r="F11" s="27">
        <v>1</v>
      </c>
      <c r="G11" s="27">
        <v>1</v>
      </c>
      <c r="H11" s="10">
        <f t="shared" si="4"/>
        <v>1.552316916743135</v>
      </c>
      <c r="I11" s="32">
        <f t="shared" si="5"/>
        <v>0.99348282671560639</v>
      </c>
      <c r="J11" s="10">
        <f t="shared" ca="1" si="6"/>
        <v>-0.84</v>
      </c>
      <c r="K11" s="10">
        <f t="shared" ca="1" si="7"/>
        <v>0.53</v>
      </c>
      <c r="L11" s="10">
        <v>0.2</v>
      </c>
      <c r="M11" s="10">
        <f t="shared" ca="1" si="1"/>
        <v>0.1366965653431213</v>
      </c>
      <c r="N11" s="10">
        <f t="shared" ca="1" si="2"/>
        <v>0.21358838334861741</v>
      </c>
      <c r="O11" s="10">
        <f t="shared" ca="1" si="3"/>
        <v>1.8685950976606233E-2</v>
      </c>
      <c r="P11" s="10"/>
      <c r="Q11" s="10"/>
      <c r="R11" s="10"/>
      <c r="S11" s="10"/>
      <c r="T11" s="10"/>
      <c r="U11" s="10"/>
      <c r="V11" s="10"/>
    </row>
    <row r="12" spans="1:22">
      <c r="A12" s="27">
        <v>10</v>
      </c>
      <c r="B12" s="13">
        <v>66</v>
      </c>
      <c r="C12" s="17">
        <v>76.195413688244699</v>
      </c>
      <c r="D12" s="32">
        <f t="shared" ca="1" si="0"/>
        <v>68.205082737648937</v>
      </c>
      <c r="E12" s="27"/>
      <c r="F12" s="27">
        <v>1</v>
      </c>
      <c r="G12" s="27">
        <v>1</v>
      </c>
      <c r="H12" s="10">
        <f t="shared" si="4"/>
        <v>15.447596497340443</v>
      </c>
      <c r="I12" s="32">
        <f t="shared" si="5"/>
        <v>10.195413688244699</v>
      </c>
      <c r="J12" s="10">
        <f t="shared" ca="1" si="6"/>
        <v>0.12</v>
      </c>
      <c r="K12" s="10">
        <f t="shared" ca="1" si="7"/>
        <v>0.71</v>
      </c>
      <c r="L12" s="10">
        <v>0.2</v>
      </c>
      <c r="M12" s="10">
        <f t="shared" ca="1" si="1"/>
        <v>2.2050827376489397</v>
      </c>
      <c r="N12" s="10">
        <f t="shared" ca="1" si="2"/>
        <v>3.3410344509832379</v>
      </c>
      <c r="O12" s="10">
        <f t="shared" ca="1" si="3"/>
        <v>4.8623898798773428</v>
      </c>
      <c r="P12" s="10"/>
      <c r="Q12" s="10"/>
      <c r="R12" s="10"/>
      <c r="S12" s="10"/>
      <c r="T12" s="10"/>
      <c r="U12" s="10"/>
      <c r="V12" s="10"/>
    </row>
    <row r="13" spans="1:22">
      <c r="A13" s="27">
        <v>11</v>
      </c>
      <c r="B13" s="13">
        <v>190</v>
      </c>
      <c r="C13" s="17">
        <v>191.04129834646201</v>
      </c>
      <c r="D13" s="32">
        <f t="shared" ca="1" si="0"/>
        <v>189.8502596692924</v>
      </c>
      <c r="E13" s="27"/>
      <c r="F13" s="27">
        <v>2</v>
      </c>
      <c r="G13" s="27"/>
      <c r="H13" s="10">
        <f t="shared" si="4"/>
        <v>0.54805176129579802</v>
      </c>
      <c r="I13" s="32">
        <f t="shared" si="5"/>
        <v>1.041298346462014</v>
      </c>
      <c r="J13" s="10">
        <f t="shared" ca="1" si="6"/>
        <v>-1</v>
      </c>
      <c r="K13" s="10">
        <f t="shared" ca="1" si="7"/>
        <v>-0.79</v>
      </c>
      <c r="L13" s="10">
        <v>0.2</v>
      </c>
      <c r="M13" s="10">
        <f t="shared" ca="1" si="1"/>
        <v>-0.14974033070759721</v>
      </c>
      <c r="N13" s="10">
        <f t="shared" ca="1" si="2"/>
        <v>-7.8810700372422549E-2</v>
      </c>
      <c r="O13" s="10">
        <f t="shared" ca="1" si="3"/>
        <v>2.2422166640420578E-2</v>
      </c>
      <c r="P13" s="10"/>
      <c r="Q13" s="10"/>
      <c r="R13" s="10"/>
      <c r="S13" s="10"/>
      <c r="T13" s="10"/>
      <c r="U13" s="10"/>
      <c r="V13" s="10"/>
    </row>
    <row r="14" spans="1:22">
      <c r="A14" s="27">
        <v>12</v>
      </c>
      <c r="B14" s="13">
        <v>143</v>
      </c>
      <c r="C14" s="17">
        <v>152.65794395633699</v>
      </c>
      <c r="D14" s="32">
        <f t="shared" ca="1" si="0"/>
        <v>144.87958879126739</v>
      </c>
      <c r="E14" s="27"/>
      <c r="F14" s="27"/>
      <c r="G14" s="27"/>
      <c r="H14" s="10">
        <f t="shared" si="4"/>
        <v>6.7538069624734298</v>
      </c>
      <c r="I14" s="32">
        <f t="shared" si="5"/>
        <v>9.6579439563369931</v>
      </c>
      <c r="J14" s="10">
        <f t="shared" ca="1" si="6"/>
        <v>0.63</v>
      </c>
      <c r="K14" s="10">
        <f t="shared" ca="1" si="7"/>
        <v>-0.89</v>
      </c>
      <c r="L14" s="10">
        <v>0.2</v>
      </c>
      <c r="M14" s="10">
        <f t="shared" ca="1" si="1"/>
        <v>1.8795887912673988</v>
      </c>
      <c r="N14" s="10">
        <f t="shared" ca="1" si="2"/>
        <v>1.3143977561310471</v>
      </c>
      <c r="O14" s="10">
        <f t="shared" ca="1" si="3"/>
        <v>3.5328540242580413</v>
      </c>
      <c r="P14" s="10"/>
      <c r="Q14" s="10"/>
      <c r="R14" s="10"/>
      <c r="S14" s="10"/>
      <c r="T14" s="10"/>
      <c r="U14" s="10"/>
      <c r="V14" s="10"/>
    </row>
    <row r="15" spans="1:22">
      <c r="A15" s="27">
        <v>13</v>
      </c>
      <c r="B15" s="13">
        <v>61</v>
      </c>
      <c r="C15" s="17">
        <v>61.869201807648999</v>
      </c>
      <c r="D15" s="32">
        <f t="shared" ca="1" si="0"/>
        <v>61.345840361529802</v>
      </c>
      <c r="E15" s="27"/>
      <c r="F15" s="27"/>
      <c r="G15" s="27"/>
      <c r="H15" s="10">
        <f t="shared" si="4"/>
        <v>1.4249209961459064</v>
      </c>
      <c r="I15" s="32">
        <f t="shared" si="5"/>
        <v>0.86920180764899868</v>
      </c>
      <c r="J15" s="10">
        <f t="shared" ca="1" si="6"/>
        <v>0.21</v>
      </c>
      <c r="K15" s="10">
        <f t="shared" ca="1" si="7"/>
        <v>0.65</v>
      </c>
      <c r="L15" s="10">
        <v>0.2</v>
      </c>
      <c r="M15" s="10">
        <f t="shared" ca="1" si="1"/>
        <v>0.34584036152979974</v>
      </c>
      <c r="N15" s="10">
        <f t="shared" ca="1" si="2"/>
        <v>0.56695141234393009</v>
      </c>
      <c r="O15" s="10">
        <f t="shared" ca="1" si="3"/>
        <v>0.11960555566306259</v>
      </c>
      <c r="P15" s="10"/>
      <c r="Q15" s="10"/>
      <c r="R15" s="10"/>
      <c r="S15" s="10"/>
      <c r="T15" s="10"/>
      <c r="U15" s="10"/>
      <c r="V15" s="10"/>
    </row>
    <row r="16" spans="1:22">
      <c r="A16" s="27">
        <v>14</v>
      </c>
      <c r="B16" s="13">
        <v>167</v>
      </c>
      <c r="C16" s="17">
        <v>138.085986252146</v>
      </c>
      <c r="D16" s="32">
        <f t="shared" ca="1" si="0"/>
        <v>161.32119725042921</v>
      </c>
      <c r="E16" s="27"/>
      <c r="F16" s="27"/>
      <c r="G16" s="27"/>
      <c r="H16" s="10">
        <f t="shared" si="4"/>
        <v>-17.313780687337722</v>
      </c>
      <c r="I16" s="32">
        <f t="shared" si="5"/>
        <v>-28.914013747854</v>
      </c>
      <c r="J16" s="10">
        <f t="shared" ca="1" si="6"/>
        <v>-0.35</v>
      </c>
      <c r="K16" s="10">
        <f t="shared" ca="1" si="7"/>
        <v>0.87</v>
      </c>
      <c r="L16" s="10">
        <v>0.2</v>
      </c>
      <c r="M16" s="10">
        <f t="shared" ca="1" si="1"/>
        <v>-5.6788027495708002</v>
      </c>
      <c r="N16" s="10">
        <f t="shared" ca="1" si="2"/>
        <v>-3.4004806883657479</v>
      </c>
      <c r="O16" s="10">
        <f t="shared" ca="1" si="3"/>
        <v>32.24880066853288</v>
      </c>
      <c r="P16" s="10"/>
      <c r="Q16" s="10"/>
      <c r="R16" s="10"/>
      <c r="S16" s="10"/>
      <c r="T16" s="10"/>
      <c r="U16" s="10"/>
      <c r="V16" s="10"/>
    </row>
    <row r="17" spans="1:22">
      <c r="A17" s="27">
        <v>15</v>
      </c>
      <c r="B17" s="13">
        <v>149</v>
      </c>
      <c r="C17" s="17">
        <v>120.19121345706</v>
      </c>
      <c r="D17" s="32">
        <f t="shared" ca="1" si="0"/>
        <v>143.312242691412</v>
      </c>
      <c r="E17" s="27"/>
      <c r="F17" s="27"/>
      <c r="G17" s="27"/>
      <c r="H17" s="10">
        <f t="shared" si="4"/>
        <v>-19.334756069087245</v>
      </c>
      <c r="I17" s="32">
        <f t="shared" si="5"/>
        <v>-28.808786542939998</v>
      </c>
      <c r="J17" s="10">
        <f t="shared" ca="1" si="6"/>
        <v>0.79</v>
      </c>
      <c r="K17" s="10">
        <f t="shared" ca="1" si="7"/>
        <v>-0.42</v>
      </c>
      <c r="L17" s="10">
        <v>0.2</v>
      </c>
      <c r="M17" s="10">
        <f t="shared" ca="1" si="1"/>
        <v>-5.6877573085880009</v>
      </c>
      <c r="N17" s="10">
        <f t="shared" ca="1" si="2"/>
        <v>-3.8172867842872549</v>
      </c>
      <c r="O17" s="10">
        <f t="shared" ca="1" si="3"/>
        <v>32.350583201396219</v>
      </c>
      <c r="P17" s="10"/>
      <c r="Q17" s="10"/>
      <c r="R17" s="10"/>
      <c r="S17" s="10"/>
      <c r="T17" s="10"/>
      <c r="U17" s="10"/>
      <c r="V17" s="10"/>
    </row>
    <row r="18" spans="1:22">
      <c r="A18" s="27">
        <v>16</v>
      </c>
      <c r="B18" s="13">
        <v>9</v>
      </c>
      <c r="C18" s="17">
        <v>21.3401838222625</v>
      </c>
      <c r="D18" s="32">
        <f t="shared" ca="1" si="0"/>
        <v>11.4698367644525</v>
      </c>
      <c r="E18" s="27"/>
      <c r="F18" s="27"/>
      <c r="G18" s="27"/>
      <c r="H18" s="10">
        <f t="shared" si="4"/>
        <v>137.11315358069442</v>
      </c>
      <c r="I18" s="32">
        <f t="shared" si="5"/>
        <v>12.3401838222625</v>
      </c>
      <c r="J18" s="10">
        <f t="shared" ca="1" si="6"/>
        <v>7.7999999999999996E-3</v>
      </c>
      <c r="K18" s="10">
        <f t="shared" ca="1" si="7"/>
        <v>1.1999999999999999E-3</v>
      </c>
      <c r="L18" s="10">
        <v>0.2</v>
      </c>
      <c r="M18" s="10">
        <f t="shared" ca="1" si="1"/>
        <v>2.4698367644525003</v>
      </c>
      <c r="N18" s="10">
        <f t="shared" ca="1" si="2"/>
        <v>27.442630716138883</v>
      </c>
      <c r="O18" s="10">
        <f t="shared" ca="1" si="3"/>
        <v>6.1000936430411956</v>
      </c>
      <c r="P18" s="10"/>
      <c r="Q18" s="10"/>
      <c r="R18" s="10"/>
      <c r="S18" s="10"/>
      <c r="T18" s="10"/>
      <c r="U18" s="10"/>
      <c r="V18" s="10"/>
    </row>
    <row r="19" spans="1:22">
      <c r="A19" s="27">
        <v>17</v>
      </c>
      <c r="B19" s="13">
        <v>182</v>
      </c>
      <c r="C19" s="17">
        <v>150.70639622231701</v>
      </c>
      <c r="D19" s="32">
        <f t="shared" ca="1" si="0"/>
        <v>175.8392792444634</v>
      </c>
      <c r="E19" s="27"/>
      <c r="F19" s="27"/>
      <c r="G19" s="27"/>
      <c r="H19" s="10">
        <f t="shared" si="4"/>
        <v>-17.194287789935714</v>
      </c>
      <c r="I19" s="32">
        <f t="shared" si="5"/>
        <v>-31.293603777682989</v>
      </c>
      <c r="J19" s="10">
        <f t="shared" ca="1" si="6"/>
        <v>0.69</v>
      </c>
      <c r="K19" s="10">
        <f t="shared" ca="1" si="7"/>
        <v>-0.2</v>
      </c>
      <c r="L19" s="10">
        <v>0.2</v>
      </c>
      <c r="M19" s="10">
        <f t="shared" ca="1" si="1"/>
        <v>-6.1607207555365981</v>
      </c>
      <c r="N19" s="10">
        <f t="shared" ca="1" si="2"/>
        <v>-3.3850114041409918</v>
      </c>
      <c r="O19" s="10">
        <f t="shared" ca="1" si="3"/>
        <v>37.954480227699435</v>
      </c>
      <c r="P19" s="10"/>
      <c r="Q19" s="10"/>
      <c r="R19" s="10"/>
      <c r="S19" s="10"/>
      <c r="T19" s="10"/>
      <c r="U19" s="10"/>
      <c r="V19" s="10"/>
    </row>
    <row r="20" spans="1:22">
      <c r="A20" s="27">
        <v>18</v>
      </c>
      <c r="B20" s="13">
        <v>74</v>
      </c>
      <c r="C20" s="17">
        <v>85.495699404625398</v>
      </c>
      <c r="D20" s="32">
        <f t="shared" ca="1" si="0"/>
        <v>76.303139880925073</v>
      </c>
      <c r="E20" s="27"/>
      <c r="F20" s="27"/>
      <c r="G20" s="27"/>
      <c r="H20" s="10">
        <f t="shared" si="4"/>
        <v>15.53472892516945</v>
      </c>
      <c r="I20" s="32">
        <f t="shared" si="5"/>
        <v>11.495699404625398</v>
      </c>
      <c r="J20" s="10">
        <f t="shared" ca="1" si="6"/>
        <v>0.13</v>
      </c>
      <c r="K20" s="10">
        <f t="shared" ca="1" si="7"/>
        <v>-0.11</v>
      </c>
      <c r="L20" s="10">
        <v>0.2</v>
      </c>
      <c r="M20" s="10">
        <f t="shared" ca="1" si="1"/>
        <v>2.3031398809250798</v>
      </c>
      <c r="N20" s="10">
        <f t="shared" ca="1" si="2"/>
        <v>3.1123511904392887</v>
      </c>
      <c r="O20" s="10">
        <f t="shared" ca="1" si="3"/>
        <v>5.3044533111075909</v>
      </c>
      <c r="P20" s="10"/>
      <c r="Q20" s="10"/>
      <c r="R20" s="10"/>
      <c r="S20" s="10"/>
      <c r="T20" s="10"/>
      <c r="U20" s="10"/>
      <c r="V20" s="10"/>
    </row>
    <row r="21" spans="1:22">
      <c r="A21" s="27">
        <v>19</v>
      </c>
      <c r="B21" s="13">
        <v>135</v>
      </c>
      <c r="C21" s="17">
        <v>105.834504423778</v>
      </c>
      <c r="D21" s="32">
        <f t="shared" ca="1" si="0"/>
        <v>129.37490088475559</v>
      </c>
      <c r="E21" s="27"/>
      <c r="F21" s="27"/>
      <c r="G21" s="27"/>
      <c r="H21" s="10">
        <f t="shared" si="4"/>
        <v>-21.60407079720148</v>
      </c>
      <c r="I21" s="32">
        <f t="shared" si="5"/>
        <v>-29.165495576222</v>
      </c>
      <c r="J21" s="10">
        <f t="shared" ca="1" si="6"/>
        <v>0.99</v>
      </c>
      <c r="K21" s="10">
        <f t="shared" ca="1" si="7"/>
        <v>0.05</v>
      </c>
      <c r="L21" s="10">
        <v>0.2</v>
      </c>
      <c r="M21" s="10">
        <f t="shared" ca="1" si="1"/>
        <v>-5.6250991152444003</v>
      </c>
      <c r="N21" s="10">
        <f t="shared" ca="1" si="2"/>
        <v>-4.1667400853662269</v>
      </c>
      <c r="O21" s="10">
        <f t="shared" ca="1" si="3"/>
        <v>31.641740056323336</v>
      </c>
      <c r="P21" s="10"/>
      <c r="Q21" s="10"/>
      <c r="R21" s="10"/>
      <c r="S21" s="10"/>
      <c r="T21" s="10"/>
      <c r="U21" s="10"/>
      <c r="V21" s="10"/>
    </row>
    <row r="22" spans="1:22">
      <c r="A22" s="27">
        <v>20</v>
      </c>
      <c r="B22" s="13">
        <v>36</v>
      </c>
      <c r="C22" s="17">
        <v>6.8129104664750999</v>
      </c>
      <c r="D22" s="32">
        <f t="shared" ca="1" si="0"/>
        <v>30.318582093295021</v>
      </c>
      <c r="E22" s="27"/>
      <c r="F22" s="27"/>
      <c r="G22" s="27"/>
      <c r="H22" s="10">
        <f t="shared" si="4"/>
        <v>-81.075248704235833</v>
      </c>
      <c r="I22" s="32">
        <f t="shared" si="5"/>
        <v>-29.187089533524901</v>
      </c>
      <c r="J22" s="10">
        <f t="shared" ca="1" si="6"/>
        <v>0.57999999999999996</v>
      </c>
      <c r="K22" s="10">
        <f t="shared" ca="1" si="7"/>
        <v>0.2</v>
      </c>
      <c r="L22" s="10">
        <v>0.2</v>
      </c>
      <c r="M22" s="10">
        <f t="shared" ca="1" si="1"/>
        <v>-5.681417906704981</v>
      </c>
      <c r="N22" s="10">
        <f t="shared" ca="1" si="2"/>
        <v>-15.781716407513835</v>
      </c>
      <c r="O22" s="10">
        <f t="shared" ca="1" si="3"/>
        <v>32.278509430628006</v>
      </c>
      <c r="P22" s="10"/>
      <c r="Q22" s="10"/>
      <c r="R22" s="10"/>
      <c r="S22" s="10"/>
      <c r="T22" s="10"/>
      <c r="U22" s="10"/>
      <c r="V22" s="10"/>
    </row>
    <row r="23" spans="1:22">
      <c r="A23" s="27">
        <v>21</v>
      </c>
      <c r="B23" s="13">
        <v>4</v>
      </c>
      <c r="C23" s="17">
        <v>5.3122510058903396</v>
      </c>
      <c r="D23" s="32">
        <f t="shared" ca="1" si="0"/>
        <v>4.2618102011780676</v>
      </c>
      <c r="E23" s="27"/>
      <c r="F23" s="27"/>
      <c r="G23" s="27"/>
      <c r="H23" s="10">
        <f t="shared" si="4"/>
        <v>32.806275147258489</v>
      </c>
      <c r="I23" s="32">
        <f t="shared" si="5"/>
        <v>1.3122510058903396</v>
      </c>
      <c r="J23" s="10">
        <f t="shared" ca="1" si="6"/>
        <v>-9.7999999999999997E-3</v>
      </c>
      <c r="K23" s="10">
        <f t="shared" ca="1" si="7"/>
        <v>6.6E-3</v>
      </c>
      <c r="L23" s="10">
        <v>0.2</v>
      </c>
      <c r="M23" s="10">
        <f t="shared" ca="1" si="1"/>
        <v>0.26181020117806791</v>
      </c>
      <c r="N23" s="10">
        <f t="shared" ca="1" si="2"/>
        <v>6.5452550294516909</v>
      </c>
      <c r="O23" s="10">
        <f t="shared" ca="1" si="3"/>
        <v>6.8544581440900393E-2</v>
      </c>
      <c r="P23" s="10"/>
      <c r="Q23" s="10"/>
      <c r="R23" s="10"/>
      <c r="S23" s="10"/>
      <c r="T23" s="10"/>
      <c r="U23" s="10"/>
      <c r="V23" s="10"/>
    </row>
    <row r="24" spans="1:22">
      <c r="A24" s="27">
        <v>22</v>
      </c>
      <c r="B24" s="13">
        <v>115</v>
      </c>
      <c r="C24" s="17">
        <v>124.182743170424</v>
      </c>
      <c r="D24" s="32">
        <f t="shared" ca="1" si="0"/>
        <v>116.7665486340848</v>
      </c>
      <c r="E24" s="27"/>
      <c r="F24" s="27"/>
      <c r="G24" s="27"/>
      <c r="H24" s="10">
        <f t="shared" si="4"/>
        <v>7.9849940612382708</v>
      </c>
      <c r="I24" s="32">
        <f t="shared" si="5"/>
        <v>9.1827431704240041</v>
      </c>
      <c r="J24" s="10">
        <f t="shared" ca="1" si="6"/>
        <v>-0.41</v>
      </c>
      <c r="K24" s="10">
        <f t="shared" ca="1" si="7"/>
        <v>0.06</v>
      </c>
      <c r="L24" s="10">
        <v>0.2</v>
      </c>
      <c r="M24" s="10">
        <f t="shared" ca="1" si="1"/>
        <v>1.7665486340848009</v>
      </c>
      <c r="N24" s="10">
        <f t="shared" ca="1" si="2"/>
        <v>1.5361292470302601</v>
      </c>
      <c r="O24" s="10">
        <f t="shared" ca="1" si="3"/>
        <v>3.1206940765868758</v>
      </c>
      <c r="P24" s="10"/>
      <c r="Q24" s="10"/>
      <c r="R24" s="10"/>
      <c r="S24" s="10"/>
      <c r="T24" s="10"/>
      <c r="U24" s="10"/>
      <c r="V24" s="10"/>
    </row>
    <row r="25" spans="1:22">
      <c r="A25" s="27">
        <v>23</v>
      </c>
      <c r="B25" s="13">
        <v>80</v>
      </c>
      <c r="C25" s="17">
        <v>90.787538404457493</v>
      </c>
      <c r="D25" s="32">
        <f t="shared" ca="1" si="0"/>
        <v>81.907507680891499</v>
      </c>
      <c r="E25" s="27"/>
      <c r="F25" s="27"/>
      <c r="G25" s="27"/>
      <c r="H25" s="10">
        <f t="shared" si="4"/>
        <v>13.484423005571866</v>
      </c>
      <c r="I25" s="32">
        <f t="shared" si="5"/>
        <v>10.787538404457493</v>
      </c>
      <c r="J25" s="10">
        <f t="shared" ca="1" si="6"/>
        <v>-0.48</v>
      </c>
      <c r="K25" s="10">
        <f t="shared" ca="1" si="7"/>
        <v>-0.77</v>
      </c>
      <c r="L25" s="10">
        <v>0.2</v>
      </c>
      <c r="M25" s="10">
        <f t="shared" ca="1" si="1"/>
        <v>1.9075076808914986</v>
      </c>
      <c r="N25" s="10">
        <f t="shared" ca="1" si="2"/>
        <v>2.3843846011143643</v>
      </c>
      <c r="O25" s="10">
        <f t="shared" ca="1" si="3"/>
        <v>3.638585552660063</v>
      </c>
      <c r="P25" s="10"/>
      <c r="Q25" s="10"/>
      <c r="R25" s="10"/>
      <c r="S25" s="10"/>
      <c r="T25" s="10"/>
      <c r="U25" s="10"/>
      <c r="V25" s="10"/>
    </row>
    <row r="26" spans="1:22">
      <c r="A26" s="27">
        <v>24</v>
      </c>
      <c r="B26" s="13">
        <v>15</v>
      </c>
      <c r="C26" s="17">
        <v>14.8390976664907</v>
      </c>
      <c r="D26" s="32">
        <f t="shared" ca="1" si="0"/>
        <v>14.968079533298139</v>
      </c>
      <c r="E26" s="27"/>
      <c r="F26" s="27"/>
      <c r="G26" s="27"/>
      <c r="H26" s="10">
        <f t="shared" si="4"/>
        <v>-1.0726822233953381</v>
      </c>
      <c r="I26" s="32">
        <f t="shared" si="5"/>
        <v>-0.16090233350930028</v>
      </c>
      <c r="J26" s="10">
        <f t="shared" ca="1" si="6"/>
        <v>6.4999999999999997E-3</v>
      </c>
      <c r="K26" s="10">
        <f t="shared" ca="1" si="7"/>
        <v>-5.1999999999999998E-3</v>
      </c>
      <c r="L26" s="10">
        <v>0.2</v>
      </c>
      <c r="M26" s="10">
        <f t="shared" ca="1" si="1"/>
        <v>-3.1920466701860058E-2</v>
      </c>
      <c r="N26" s="10">
        <f t="shared" ca="1" si="2"/>
        <v>-0.21280311134573848</v>
      </c>
      <c r="O26" s="10">
        <f t="shared" ca="1" si="3"/>
        <v>1.0189161944645568E-3</v>
      </c>
      <c r="P26" s="10"/>
      <c r="Q26" s="10"/>
      <c r="R26" s="10"/>
      <c r="S26" s="10"/>
      <c r="T26" s="10"/>
      <c r="U26" s="10"/>
      <c r="V26" s="10"/>
    </row>
    <row r="27" spans="1:22">
      <c r="A27" s="27">
        <v>25</v>
      </c>
      <c r="B27" s="13">
        <v>233</v>
      </c>
      <c r="C27" s="17">
        <v>201.95414813757</v>
      </c>
      <c r="D27" s="32">
        <f t="shared" ca="1" si="0"/>
        <v>226.850829627514</v>
      </c>
      <c r="E27" s="27"/>
      <c r="F27" s="27"/>
      <c r="G27" s="27"/>
      <c r="H27" s="10">
        <f t="shared" si="4"/>
        <v>-13.324399940957077</v>
      </c>
      <c r="I27" s="32">
        <f t="shared" si="5"/>
        <v>-31.045851862429998</v>
      </c>
      <c r="J27" s="10">
        <f t="shared" ca="1" si="6"/>
        <v>0.98</v>
      </c>
      <c r="K27" s="10">
        <f t="shared" ca="1" si="7"/>
        <v>-0.68</v>
      </c>
      <c r="L27" s="10">
        <v>0.2</v>
      </c>
      <c r="M27" s="10">
        <f t="shared" ca="1" si="1"/>
        <v>-6.1491703724860001</v>
      </c>
      <c r="N27" s="10">
        <f t="shared" ca="1" si="2"/>
        <v>-2.6391289152300379</v>
      </c>
      <c r="O27" s="10">
        <f t="shared" ca="1" si="3"/>
        <v>37.812296269859615</v>
      </c>
      <c r="P27" s="10"/>
      <c r="Q27" s="10"/>
      <c r="R27" s="10"/>
      <c r="S27" s="10"/>
      <c r="T27" s="10"/>
      <c r="U27" s="10"/>
      <c r="V27" s="10"/>
    </row>
    <row r="28" spans="1:22">
      <c r="A28" s="27">
        <v>26</v>
      </c>
      <c r="B28" s="13">
        <v>1</v>
      </c>
      <c r="C28" s="17">
        <v>3.7186882945050801</v>
      </c>
      <c r="D28" s="32">
        <f t="shared" ca="1" si="0"/>
        <v>1.543717658901016</v>
      </c>
      <c r="E28" s="27"/>
      <c r="F28" s="27"/>
      <c r="G28" s="27"/>
      <c r="H28" s="10">
        <f t="shared" si="4"/>
        <v>271.86882945050803</v>
      </c>
      <c r="I28" s="32">
        <f t="shared" si="5"/>
        <v>2.7186882945050801</v>
      </c>
      <c r="J28" s="10">
        <f t="shared" ca="1" si="6"/>
        <v>5.7000000000000002E-3</v>
      </c>
      <c r="K28" s="10">
        <f t="shared" ca="1" si="7"/>
        <v>-5.7999999999999996E-3</v>
      </c>
      <c r="L28" s="10">
        <v>0.2</v>
      </c>
      <c r="M28" s="10">
        <f t="shared" ca="1" si="1"/>
        <v>0.54371765890101609</v>
      </c>
      <c r="N28" s="10">
        <f t="shared" ca="1" si="2"/>
        <v>54.371765890101599</v>
      </c>
      <c r="O28" s="10">
        <f t="shared" ca="1" si="3"/>
        <v>0.29562889260080166</v>
      </c>
      <c r="P28" s="10"/>
      <c r="Q28" s="10"/>
      <c r="R28" s="10"/>
      <c r="S28" s="10"/>
      <c r="T28" s="10"/>
      <c r="U28" s="10"/>
      <c r="V28" s="10"/>
    </row>
    <row r="29" spans="1:22">
      <c r="A29" s="27">
        <v>27</v>
      </c>
      <c r="B29" s="13">
        <v>42</v>
      </c>
      <c r="C29" s="17">
        <v>13.479886893379501</v>
      </c>
      <c r="D29" s="32">
        <f t="shared" ca="1" si="0"/>
        <v>36.247977378675898</v>
      </c>
      <c r="E29" s="27"/>
      <c r="F29" s="27"/>
      <c r="G29" s="27"/>
      <c r="H29" s="10">
        <f t="shared" si="4"/>
        <v>-67.905031206239286</v>
      </c>
      <c r="I29" s="32">
        <f t="shared" si="5"/>
        <v>-28.520113106620499</v>
      </c>
      <c r="J29" s="10">
        <f t="shared" ca="1" si="6"/>
        <v>-0.21</v>
      </c>
      <c r="K29" s="10">
        <f t="shared" ca="1" si="7"/>
        <v>-0.03</v>
      </c>
      <c r="L29" s="10">
        <v>0.2</v>
      </c>
      <c r="M29" s="10">
        <f t="shared" ca="1" si="1"/>
        <v>-5.7520226213241008</v>
      </c>
      <c r="N29" s="10">
        <f t="shared" ca="1" si="2"/>
        <v>-13.695291955533573</v>
      </c>
      <c r="O29" s="10">
        <f t="shared" ca="1" si="3"/>
        <v>33.085764236224179</v>
      </c>
      <c r="P29" s="10"/>
      <c r="Q29" s="10"/>
      <c r="R29" s="10"/>
      <c r="S29" s="10"/>
      <c r="T29" s="10"/>
      <c r="U29" s="10"/>
      <c r="V29" s="10"/>
    </row>
    <row r="30" spans="1:22">
      <c r="A30" s="27">
        <v>28</v>
      </c>
      <c r="B30" s="13">
        <v>56</v>
      </c>
      <c r="C30" s="17">
        <v>57.844508949675202</v>
      </c>
      <c r="D30" s="32">
        <f t="shared" ca="1" si="0"/>
        <v>56.250901789935043</v>
      </c>
      <c r="E30" s="27"/>
      <c r="F30" s="27"/>
      <c r="G30" s="27"/>
      <c r="H30" s="10">
        <f t="shared" si="4"/>
        <v>3.2937659815628573</v>
      </c>
      <c r="I30" s="32">
        <f t="shared" si="5"/>
        <v>1.8445089496752018</v>
      </c>
      <c r="J30" s="10">
        <f t="shared" ca="1" si="6"/>
        <v>-0.17</v>
      </c>
      <c r="K30" s="10">
        <f t="shared" ca="1" si="7"/>
        <v>-0.42</v>
      </c>
      <c r="L30" s="10">
        <v>0.2</v>
      </c>
      <c r="M30" s="10">
        <f t="shared" ca="1" si="1"/>
        <v>0.25090178993504042</v>
      </c>
      <c r="N30" s="10">
        <f t="shared" ca="1" si="2"/>
        <v>0.44803891059828072</v>
      </c>
      <c r="O30" s="10">
        <f t="shared" ca="1" si="3"/>
        <v>6.2951708192607148E-2</v>
      </c>
      <c r="P30" s="10"/>
      <c r="Q30" s="10"/>
      <c r="R30" s="10"/>
      <c r="S30" s="10"/>
      <c r="T30" s="10"/>
      <c r="U30" s="10"/>
      <c r="V30" s="10"/>
    </row>
    <row r="31" spans="1:22">
      <c r="A31" s="27">
        <v>29</v>
      </c>
      <c r="B31" s="13">
        <v>54</v>
      </c>
      <c r="C31" s="17">
        <v>63.762227959737203</v>
      </c>
      <c r="D31" s="32">
        <f t="shared" ca="1" si="0"/>
        <v>55.926445591947441</v>
      </c>
      <c r="E31" s="27"/>
      <c r="F31" s="27"/>
      <c r="G31" s="27"/>
      <c r="H31" s="10">
        <f t="shared" si="4"/>
        <v>18.078199925439264</v>
      </c>
      <c r="I31" s="32">
        <f t="shared" si="5"/>
        <v>9.7622279597372028</v>
      </c>
      <c r="J31" s="10">
        <f t="shared" ca="1" si="6"/>
        <v>-0.25</v>
      </c>
      <c r="K31" s="10">
        <f t="shared" ca="1" si="7"/>
        <v>0.12</v>
      </c>
      <c r="L31" s="10">
        <v>0.2</v>
      </c>
      <c r="M31" s="10">
        <f t="shared" ca="1" si="1"/>
        <v>1.9264455919474406</v>
      </c>
      <c r="N31" s="10">
        <f t="shared" ca="1" si="2"/>
        <v>3.5674918369396957</v>
      </c>
      <c r="O31" s="10">
        <f t="shared" ca="1" si="3"/>
        <v>3.7111926187337247</v>
      </c>
      <c r="P31" s="10"/>
      <c r="Q31" s="10"/>
      <c r="R31" s="10"/>
      <c r="S31" s="10"/>
      <c r="T31" s="10"/>
      <c r="U31" s="10"/>
      <c r="V31" s="10"/>
    </row>
    <row r="32" spans="1:22">
      <c r="A32" s="27">
        <v>30</v>
      </c>
      <c r="B32" s="13">
        <v>85</v>
      </c>
      <c r="C32" s="17">
        <v>56.534169409551197</v>
      </c>
      <c r="D32" s="32">
        <f t="shared" ca="1" si="0"/>
        <v>79.434833881910237</v>
      </c>
      <c r="E32" s="27"/>
      <c r="F32" s="27"/>
      <c r="G32" s="27"/>
      <c r="H32" s="10">
        <f t="shared" si="4"/>
        <v>-33.489212459351535</v>
      </c>
      <c r="I32" s="32">
        <f t="shared" si="5"/>
        <v>-28.465830590448803</v>
      </c>
      <c r="J32" s="10">
        <f t="shared" ca="1" si="6"/>
        <v>0.72</v>
      </c>
      <c r="K32" s="10">
        <f t="shared" ca="1" si="7"/>
        <v>-0.08</v>
      </c>
      <c r="L32" s="10">
        <v>0.2</v>
      </c>
      <c r="M32" s="10">
        <f t="shared" ca="1" si="1"/>
        <v>-5.5651661180897607</v>
      </c>
      <c r="N32" s="10">
        <f t="shared" ca="1" si="2"/>
        <v>-6.5472542565761955</v>
      </c>
      <c r="O32" s="10">
        <f t="shared" ca="1" si="3"/>
        <v>30.971073921934256</v>
      </c>
      <c r="P32" s="10"/>
      <c r="Q32" s="10"/>
      <c r="R32" s="10"/>
      <c r="S32" s="10"/>
      <c r="T32" s="10"/>
      <c r="U32" s="10"/>
      <c r="V32" s="10"/>
    </row>
    <row r="33" spans="1:22">
      <c r="A33" s="27">
        <v>31</v>
      </c>
      <c r="B33" s="13">
        <v>8</v>
      </c>
      <c r="C33" s="17">
        <v>19.0483862868339</v>
      </c>
      <c r="D33" s="32">
        <f t="shared" ca="1" si="0"/>
        <v>10.20863725736678</v>
      </c>
      <c r="E33" s="27"/>
      <c r="F33" s="27"/>
      <c r="G33" s="27"/>
      <c r="H33" s="10">
        <f t="shared" si="4"/>
        <v>138.10482858542375</v>
      </c>
      <c r="I33" s="32">
        <f t="shared" si="5"/>
        <v>11.0483862868339</v>
      </c>
      <c r="J33" s="10">
        <f t="shared" ca="1" si="6"/>
        <v>-6.1999999999999998E-3</v>
      </c>
      <c r="K33" s="10">
        <f t="shared" ca="1" si="7"/>
        <v>1E-3</v>
      </c>
      <c r="L33" s="10">
        <v>0.2</v>
      </c>
      <c r="M33" s="10">
        <f t="shared" ca="1" si="1"/>
        <v>2.2086372573667798</v>
      </c>
      <c r="N33" s="10">
        <f t="shared" ca="1" si="2"/>
        <v>27.607965717084749</v>
      </c>
      <c r="O33" s="10">
        <f t="shared" ca="1" si="3"/>
        <v>4.878078534628651</v>
      </c>
      <c r="P33" s="10"/>
      <c r="Q33" s="10"/>
      <c r="R33" s="10"/>
      <c r="S33" s="10"/>
      <c r="T33" s="10"/>
      <c r="U33" s="10"/>
      <c r="V33" s="10"/>
    </row>
    <row r="34" spans="1:22">
      <c r="A34" s="27">
        <v>32</v>
      </c>
      <c r="B34" s="13">
        <v>97</v>
      </c>
      <c r="C34" s="17">
        <v>106.802288956008</v>
      </c>
      <c r="D34" s="32">
        <f t="shared" ca="1" si="0"/>
        <v>98.858457791201602</v>
      </c>
      <c r="E34" s="27"/>
      <c r="F34" s="27"/>
      <c r="G34" s="27"/>
      <c r="H34" s="10">
        <f t="shared" si="4"/>
        <v>10.105452531967018</v>
      </c>
      <c r="I34" s="32">
        <f t="shared" si="5"/>
        <v>9.8022889560079989</v>
      </c>
      <c r="J34" s="10">
        <f t="shared" ca="1" si="6"/>
        <v>-0.41</v>
      </c>
      <c r="K34" s="10">
        <f t="shared" ca="1" si="7"/>
        <v>-0.1</v>
      </c>
      <c r="L34" s="10">
        <v>0.2</v>
      </c>
      <c r="M34" s="10">
        <f t="shared" ca="1" si="1"/>
        <v>1.8584577912015998</v>
      </c>
      <c r="N34" s="10">
        <f t="shared" ca="1" si="2"/>
        <v>1.9159358672181437</v>
      </c>
      <c r="O34" s="10">
        <f t="shared" ca="1" si="3"/>
        <v>3.4538653616779293</v>
      </c>
      <c r="P34" s="10"/>
      <c r="Q34" s="10"/>
      <c r="R34" s="10"/>
      <c r="S34" s="10"/>
      <c r="T34" s="10"/>
      <c r="U34" s="10"/>
      <c r="V34" s="10"/>
    </row>
    <row r="35" spans="1:22">
      <c r="A35" s="27">
        <v>33</v>
      </c>
      <c r="B35" s="13">
        <v>98</v>
      </c>
      <c r="C35" s="17">
        <v>69.3877224815879</v>
      </c>
      <c r="D35" s="32">
        <f t="shared" ca="1" si="0"/>
        <v>92.393544496317574</v>
      </c>
      <c r="E35" s="27"/>
      <c r="F35" s="27"/>
      <c r="G35" s="27"/>
      <c r="H35" s="10">
        <f t="shared" si="4"/>
        <v>-29.196201549400101</v>
      </c>
      <c r="I35" s="32">
        <f t="shared" si="5"/>
        <v>-28.6122775184121</v>
      </c>
      <c r="J35" s="10">
        <f t="shared" ca="1" si="6"/>
        <v>0.23</v>
      </c>
      <c r="K35" s="10">
        <f t="shared" ca="1" si="7"/>
        <v>0.35</v>
      </c>
      <c r="L35" s="10">
        <v>0.2</v>
      </c>
      <c r="M35" s="10">
        <f t="shared" ca="1" si="1"/>
        <v>-5.6064555036824197</v>
      </c>
      <c r="N35" s="10">
        <f t="shared" ca="1" si="2"/>
        <v>-5.7208729629412485</v>
      </c>
      <c r="O35" s="10">
        <f t="shared" ca="1" si="3"/>
        <v>31.432343314770893</v>
      </c>
      <c r="P35" s="10"/>
      <c r="Q35" s="10"/>
      <c r="R35" s="10"/>
      <c r="S35" s="10"/>
      <c r="T35" s="10"/>
      <c r="U35" s="10"/>
      <c r="V35" s="10"/>
    </row>
    <row r="36" spans="1:22">
      <c r="A36" s="27">
        <v>34</v>
      </c>
      <c r="B36" s="13">
        <v>36</v>
      </c>
      <c r="C36" s="17">
        <v>46.941251387206499</v>
      </c>
      <c r="D36" s="32">
        <f t="shared" ca="1" si="0"/>
        <v>38.0962502774413</v>
      </c>
      <c r="E36" s="27"/>
      <c r="F36" s="27"/>
      <c r="G36" s="27"/>
      <c r="H36" s="10">
        <f t="shared" si="4"/>
        <v>30.392364964462494</v>
      </c>
      <c r="I36" s="32">
        <f t="shared" si="5"/>
        <v>10.941251387206499</v>
      </c>
      <c r="J36" s="10">
        <f t="shared" ca="1" si="6"/>
        <v>0.08</v>
      </c>
      <c r="K36" s="10">
        <f t="shared" ca="1" si="7"/>
        <v>-0.54</v>
      </c>
      <c r="L36" s="10">
        <v>0.2</v>
      </c>
      <c r="M36" s="10">
        <f t="shared" ca="1" si="1"/>
        <v>2.0962502774412997</v>
      </c>
      <c r="N36" s="10">
        <f t="shared" ca="1" si="2"/>
        <v>5.8229174373369386</v>
      </c>
      <c r="O36" s="10">
        <f t="shared" ca="1" si="3"/>
        <v>4.3942652256727257</v>
      </c>
      <c r="P36" s="10"/>
      <c r="Q36" s="10"/>
      <c r="R36" s="10"/>
      <c r="S36" s="10"/>
      <c r="T36" s="10"/>
      <c r="U36" s="10"/>
      <c r="V36" s="10"/>
    </row>
    <row r="37" spans="1:22">
      <c r="A37" s="27">
        <v>35</v>
      </c>
      <c r="B37" s="13">
        <v>115</v>
      </c>
      <c r="C37" s="17">
        <v>115.032836597404</v>
      </c>
      <c r="D37" s="32">
        <f t="shared" ca="1" si="0"/>
        <v>115.0385673194808</v>
      </c>
      <c r="E37" s="27"/>
      <c r="F37" s="27"/>
      <c r="G37" s="27"/>
      <c r="H37" s="10">
        <f t="shared" si="4"/>
        <v>2.8553562960009771E-2</v>
      </c>
      <c r="I37" s="32">
        <f t="shared" si="5"/>
        <v>3.283659740399969E-2</v>
      </c>
      <c r="J37" s="10">
        <f t="shared" ca="1" si="6"/>
        <v>-0.35</v>
      </c>
      <c r="K37" s="10">
        <f t="shared" ca="1" si="7"/>
        <v>0.51</v>
      </c>
      <c r="L37" s="10">
        <v>0.2</v>
      </c>
      <c r="M37" s="10">
        <f t="shared" ca="1" si="1"/>
        <v>3.8567319480799944E-2</v>
      </c>
      <c r="N37" s="10">
        <f t="shared" ca="1" si="2"/>
        <v>3.353679954851696E-2</v>
      </c>
      <c r="O37" s="10">
        <f t="shared" ca="1" si="3"/>
        <v>1.4874381319340908E-3</v>
      </c>
      <c r="P37" s="10"/>
      <c r="Q37" s="10"/>
      <c r="R37" s="10"/>
      <c r="S37" s="10"/>
      <c r="T37" s="10"/>
      <c r="U37" s="10"/>
      <c r="V37" s="10"/>
    </row>
    <row r="38" spans="1:22">
      <c r="A38" s="27">
        <v>36</v>
      </c>
      <c r="B38" s="13">
        <v>105</v>
      </c>
      <c r="C38" s="17">
        <v>104.656120712686</v>
      </c>
      <c r="D38" s="32">
        <f t="shared" ca="1" si="0"/>
        <v>104.7852241425372</v>
      </c>
      <c r="E38" s="27"/>
      <c r="F38" s="27"/>
      <c r="G38" s="27"/>
      <c r="H38" s="10">
        <f t="shared" si="4"/>
        <v>-0.32750408315618262</v>
      </c>
      <c r="I38" s="32">
        <f t="shared" si="5"/>
        <v>-0.34387928731399597</v>
      </c>
      <c r="J38" s="10">
        <f t="shared" ca="1" si="6"/>
        <v>-0.73</v>
      </c>
      <c r="K38" s="10">
        <f t="shared" ca="1" si="7"/>
        <v>0</v>
      </c>
      <c r="L38" s="10">
        <v>0.2</v>
      </c>
      <c r="M38" s="10">
        <f t="shared" ca="1" si="1"/>
        <v>-0.2147758574627992</v>
      </c>
      <c r="N38" s="10">
        <f t="shared" ca="1" si="2"/>
        <v>-0.20454843567885295</v>
      </c>
      <c r="O38" s="10">
        <f t="shared" ca="1" si="3"/>
        <v>4.6128668948880638E-2</v>
      </c>
      <c r="P38" s="10"/>
      <c r="Q38" s="10"/>
      <c r="R38" s="10"/>
      <c r="S38" s="10"/>
      <c r="T38" s="10"/>
      <c r="U38" s="10"/>
      <c r="V38" s="10"/>
    </row>
    <row r="39" spans="1:22">
      <c r="A39" s="27">
        <v>37</v>
      </c>
      <c r="B39" s="13">
        <v>70</v>
      </c>
      <c r="C39" s="17">
        <v>42.383706434479599</v>
      </c>
      <c r="D39" s="32">
        <f t="shared" ca="1" si="0"/>
        <v>64.542741286895918</v>
      </c>
      <c r="E39" s="27"/>
      <c r="F39" s="27"/>
      <c r="G39" s="27"/>
      <c r="H39" s="10">
        <f t="shared" si="4"/>
        <v>-39.451847950743435</v>
      </c>
      <c r="I39" s="32">
        <f t="shared" si="5"/>
        <v>-27.616293565520401</v>
      </c>
      <c r="J39" s="10">
        <f t="shared" ca="1" si="6"/>
        <v>-0.2</v>
      </c>
      <c r="K39" s="10">
        <f t="shared" ca="1" si="7"/>
        <v>0.53</v>
      </c>
      <c r="L39" s="10">
        <v>0.2</v>
      </c>
      <c r="M39" s="10">
        <f t="shared" ca="1" si="1"/>
        <v>-5.4572587131040802</v>
      </c>
      <c r="N39" s="10">
        <f t="shared" ca="1" si="2"/>
        <v>-7.7960838758629691</v>
      </c>
      <c r="O39" s="10">
        <f t="shared" ca="1" si="3"/>
        <v>29.781672661750402</v>
      </c>
      <c r="P39" s="10"/>
      <c r="Q39" s="10"/>
      <c r="R39" s="10"/>
      <c r="S39" s="10"/>
      <c r="T39" s="10"/>
      <c r="U39" s="10"/>
      <c r="V39" s="10"/>
    </row>
    <row r="40" spans="1:22">
      <c r="A40" s="27">
        <v>38</v>
      </c>
      <c r="B40" s="13">
        <v>94</v>
      </c>
      <c r="C40" s="17">
        <v>64.181031447913398</v>
      </c>
      <c r="D40" s="32">
        <f t="shared" ca="1" si="0"/>
        <v>87.706206289582681</v>
      </c>
      <c r="E40" s="27"/>
      <c r="F40" s="27"/>
      <c r="G40" s="27"/>
      <c r="H40" s="10">
        <f t="shared" si="4"/>
        <v>-31.722306970304892</v>
      </c>
      <c r="I40" s="32">
        <f t="shared" si="5"/>
        <v>-29.818968552086602</v>
      </c>
      <c r="J40" s="10">
        <f t="shared" ca="1" si="6"/>
        <v>-0.67</v>
      </c>
      <c r="K40" s="10">
        <f t="shared" ca="1" si="7"/>
        <v>-0.98</v>
      </c>
      <c r="L40" s="10">
        <v>0.2</v>
      </c>
      <c r="M40" s="10">
        <f t="shared" ca="1" si="1"/>
        <v>-6.2937937104173214</v>
      </c>
      <c r="N40" s="10">
        <f t="shared" ca="1" si="2"/>
        <v>-6.6955252238482093</v>
      </c>
      <c r="O40" s="10">
        <f t="shared" ca="1" si="3"/>
        <v>39.61183926928863</v>
      </c>
      <c r="P40" s="10"/>
      <c r="Q40" s="10"/>
      <c r="R40" s="10"/>
      <c r="S40" s="10"/>
      <c r="T40" s="10"/>
      <c r="U40" s="10"/>
      <c r="V40" s="10"/>
    </row>
    <row r="41" spans="1:22">
      <c r="A41" s="27">
        <v>39</v>
      </c>
      <c r="B41" s="13">
        <v>179</v>
      </c>
      <c r="C41" s="17">
        <v>189.27248481980001</v>
      </c>
      <c r="D41" s="32">
        <f t="shared" ca="1" si="0"/>
        <v>181.35849696395999</v>
      </c>
      <c r="E41" s="27"/>
      <c r="F41" s="27"/>
      <c r="G41" s="27"/>
      <c r="H41" s="10">
        <f t="shared" si="4"/>
        <v>5.7388183350838062</v>
      </c>
      <c r="I41" s="32">
        <f t="shared" si="5"/>
        <v>10.272484819800013</v>
      </c>
      <c r="J41" s="10">
        <f t="shared" ca="1" si="6"/>
        <v>0.83</v>
      </c>
      <c r="K41" s="10">
        <f t="shared" ca="1" si="7"/>
        <v>0.69</v>
      </c>
      <c r="L41" s="10">
        <v>0.2</v>
      </c>
      <c r="M41" s="10">
        <f t="shared" ca="1" si="1"/>
        <v>2.3584969639600026</v>
      </c>
      <c r="N41" s="10">
        <f t="shared" ca="1" si="2"/>
        <v>1.3175960692513922</v>
      </c>
      <c r="O41" s="10">
        <f t="shared" ca="1" si="3"/>
        <v>5.5625079290085502</v>
      </c>
      <c r="P41" s="10"/>
      <c r="Q41" s="10"/>
      <c r="R41" s="10"/>
      <c r="S41" s="10"/>
      <c r="T41" s="10"/>
      <c r="U41" s="10"/>
      <c r="V41" s="10"/>
    </row>
    <row r="42" spans="1:22">
      <c r="A42" s="27">
        <v>40</v>
      </c>
      <c r="B42" s="13">
        <v>185</v>
      </c>
      <c r="C42" s="17">
        <v>155.08500611681299</v>
      </c>
      <c r="D42" s="32">
        <f t="shared" ca="1" si="0"/>
        <v>179.3150012233626</v>
      </c>
      <c r="E42" s="27"/>
      <c r="F42" s="27"/>
      <c r="G42" s="27"/>
      <c r="H42" s="10">
        <f t="shared" si="4"/>
        <v>-16.17026696388487</v>
      </c>
      <c r="I42" s="32">
        <f t="shared" si="5"/>
        <v>-29.914993883187009</v>
      </c>
      <c r="J42" s="10">
        <f t="shared" ca="1" si="6"/>
        <v>0.73</v>
      </c>
      <c r="K42" s="10">
        <f t="shared" ca="1" si="7"/>
        <v>0.76</v>
      </c>
      <c r="L42" s="10">
        <v>0.2</v>
      </c>
      <c r="M42" s="10">
        <f t="shared" ca="1" si="1"/>
        <v>-5.6849987766374017</v>
      </c>
      <c r="N42" s="10">
        <f t="shared" ca="1" si="2"/>
        <v>-3.0729723116958874</v>
      </c>
      <c r="O42" s="10">
        <f t="shared" ca="1" si="3"/>
        <v>32.319211090368754</v>
      </c>
      <c r="P42" s="10"/>
      <c r="Q42" s="10"/>
      <c r="R42" s="10"/>
      <c r="S42" s="10"/>
      <c r="T42" s="10"/>
      <c r="U42" s="10"/>
      <c r="V42" s="10"/>
    </row>
    <row r="43" spans="1:22">
      <c r="A43" s="27">
        <v>41</v>
      </c>
      <c r="B43" s="13">
        <v>212</v>
      </c>
      <c r="C43" s="17">
        <v>210.803169356848</v>
      </c>
      <c r="D43" s="32">
        <f t="shared" ca="1" si="0"/>
        <v>211.60663387136961</v>
      </c>
      <c r="E43" s="27"/>
      <c r="F43" s="27"/>
      <c r="G43" s="27"/>
      <c r="H43" s="10">
        <f t="shared" si="4"/>
        <v>-0.56454275620376748</v>
      </c>
      <c r="I43" s="32">
        <f t="shared" si="5"/>
        <v>-1.1968306431519977</v>
      </c>
      <c r="J43" s="10">
        <f t="shared" ca="1" si="6"/>
        <v>7.0000000000000007E-2</v>
      </c>
      <c r="K43" s="10">
        <f t="shared" ca="1" si="7"/>
        <v>-0.84</v>
      </c>
      <c r="L43" s="10">
        <v>0.2</v>
      </c>
      <c r="M43" s="10">
        <f t="shared" ca="1" si="1"/>
        <v>-0.39336612863039955</v>
      </c>
      <c r="N43" s="10">
        <f t="shared" ca="1" si="2"/>
        <v>-0.18555006067471069</v>
      </c>
      <c r="O43" s="10">
        <f t="shared" ca="1" si="3"/>
        <v>0.15473691115366806</v>
      </c>
      <c r="P43" s="10"/>
      <c r="Q43" s="10"/>
      <c r="R43" s="10"/>
      <c r="S43" s="10"/>
      <c r="T43" s="10"/>
      <c r="U43" s="10"/>
      <c r="V43" s="10"/>
    </row>
    <row r="44" spans="1:22">
      <c r="A44" s="27">
        <v>42</v>
      </c>
      <c r="B44" s="13">
        <v>130</v>
      </c>
      <c r="C44" s="17">
        <v>130.03089250502401</v>
      </c>
      <c r="D44" s="32">
        <f t="shared" ca="1" si="0"/>
        <v>130.28417850100479</v>
      </c>
      <c r="E44" s="27"/>
      <c r="F44" s="27"/>
      <c r="G44" s="27"/>
      <c r="H44" s="10">
        <f t="shared" si="4"/>
        <v>2.3763465403092709E-2</v>
      </c>
      <c r="I44" s="32">
        <f t="shared" si="5"/>
        <v>3.0892505024013417E-2</v>
      </c>
      <c r="J44" s="10">
        <f t="shared" ca="1" si="6"/>
        <v>0.96</v>
      </c>
      <c r="K44" s="10">
        <f t="shared" ca="1" si="7"/>
        <v>0.43</v>
      </c>
      <c r="L44" s="10">
        <v>0.2</v>
      </c>
      <c r="M44" s="10">
        <f t="shared" ca="1" si="1"/>
        <v>0.28417850100480269</v>
      </c>
      <c r="N44" s="10">
        <f t="shared" ca="1" si="2"/>
        <v>0.21859884692676523</v>
      </c>
      <c r="O44" s="10">
        <f t="shared" ca="1" si="3"/>
        <v>8.0757420433336641E-2</v>
      </c>
      <c r="P44" s="10"/>
      <c r="Q44" s="10"/>
      <c r="R44" s="10"/>
      <c r="S44" s="10"/>
      <c r="T44" s="10"/>
      <c r="U44" s="10"/>
      <c r="V44" s="10"/>
    </row>
    <row r="45" spans="1:22">
      <c r="A45" s="27">
        <v>43</v>
      </c>
      <c r="B45" s="13">
        <v>163</v>
      </c>
      <c r="C45" s="17">
        <v>133.24058428150099</v>
      </c>
      <c r="D45" s="32">
        <f t="shared" ca="1" si="0"/>
        <v>156.7501168563002</v>
      </c>
      <c r="E45" s="27"/>
      <c r="F45" s="27"/>
      <c r="G45" s="27"/>
      <c r="H45" s="10">
        <f t="shared" si="4"/>
        <v>-18.257310256747861</v>
      </c>
      <c r="I45" s="32">
        <f t="shared" si="5"/>
        <v>-29.759415718499014</v>
      </c>
      <c r="J45" s="10">
        <f t="shared" ca="1" si="6"/>
        <v>-0.9</v>
      </c>
      <c r="K45" s="10">
        <f t="shared" ca="1" si="7"/>
        <v>-0.59</v>
      </c>
      <c r="L45" s="10">
        <v>0.2</v>
      </c>
      <c r="M45" s="10">
        <f t="shared" ca="1" si="1"/>
        <v>-6.2498831436998028</v>
      </c>
      <c r="N45" s="10">
        <f t="shared" ca="1" si="2"/>
        <v>-3.8342841372391412</v>
      </c>
      <c r="O45" s="10">
        <f t="shared" ca="1" si="3"/>
        <v>39.061039309902931</v>
      </c>
      <c r="P45" s="10"/>
      <c r="Q45" s="10"/>
      <c r="R45" s="10"/>
      <c r="S45" s="10"/>
      <c r="T45" s="10"/>
      <c r="U45" s="10"/>
      <c r="V45" s="10"/>
    </row>
    <row r="46" spans="1:22">
      <c r="A46" s="27">
        <v>44</v>
      </c>
      <c r="B46" s="13">
        <v>189</v>
      </c>
      <c r="C46" s="17">
        <v>158.89333274005901</v>
      </c>
      <c r="D46" s="32">
        <f t="shared" ca="1" si="0"/>
        <v>183.07666654801181</v>
      </c>
      <c r="E46" s="27"/>
      <c r="F46" s="27"/>
      <c r="G46" s="27"/>
      <c r="H46" s="10">
        <f t="shared" si="4"/>
        <v>-15.929453576688356</v>
      </c>
      <c r="I46" s="32">
        <f t="shared" si="5"/>
        <v>-30.106667259940991</v>
      </c>
      <c r="J46" s="10">
        <f t="shared" ca="1" si="6"/>
        <v>-0.19</v>
      </c>
      <c r="K46" s="10">
        <f t="shared" ca="1" si="7"/>
        <v>0.68</v>
      </c>
      <c r="L46" s="10">
        <v>0.2</v>
      </c>
      <c r="M46" s="10">
        <f t="shared" ca="1" si="1"/>
        <v>-5.9233334519881993</v>
      </c>
      <c r="N46" s="10">
        <f t="shared" ca="1" si="2"/>
        <v>-3.1340388634858107</v>
      </c>
      <c r="O46" s="10">
        <f t="shared" ca="1" si="3"/>
        <v>35.085879183442437</v>
      </c>
      <c r="P46" s="10"/>
      <c r="Q46" s="10"/>
      <c r="R46" s="10"/>
      <c r="S46" s="10"/>
      <c r="T46" s="10"/>
      <c r="U46" s="10"/>
      <c r="V46" s="10"/>
    </row>
    <row r="47" spans="1:22">
      <c r="A47" s="27">
        <v>45</v>
      </c>
      <c r="B47" s="13">
        <v>57</v>
      </c>
      <c r="C47" s="17">
        <v>27.623546515237901</v>
      </c>
      <c r="D47" s="32">
        <f t="shared" ca="1" si="0"/>
        <v>50.904709303047582</v>
      </c>
      <c r="E47" s="27"/>
      <c r="F47" s="27"/>
      <c r="G47" s="27"/>
      <c r="H47" s="10">
        <f t="shared" si="4"/>
        <v>-51.537637692565085</v>
      </c>
      <c r="I47" s="32">
        <f t="shared" si="5"/>
        <v>-29.376453484762099</v>
      </c>
      <c r="J47" s="10">
        <f t="shared" ca="1" si="6"/>
        <v>-0.45</v>
      </c>
      <c r="K47" s="10">
        <f t="shared" ca="1" si="7"/>
        <v>-0.65</v>
      </c>
      <c r="L47" s="10">
        <v>0.2</v>
      </c>
      <c r="M47" s="10">
        <f t="shared" ca="1" si="1"/>
        <v>-6.0952906969524197</v>
      </c>
      <c r="N47" s="10">
        <f t="shared" ca="1" si="2"/>
        <v>-10.693492450793718</v>
      </c>
      <c r="O47" s="10">
        <f t="shared" ca="1" si="3"/>
        <v>37.152568680354712</v>
      </c>
      <c r="P47" s="10"/>
      <c r="Q47" s="10"/>
      <c r="R47" s="10"/>
      <c r="S47" s="10"/>
      <c r="T47" s="10"/>
      <c r="U47" s="10"/>
      <c r="V47" s="10"/>
    </row>
    <row r="48" spans="1:22">
      <c r="A48" s="27">
        <v>46</v>
      </c>
      <c r="B48" s="13">
        <v>11</v>
      </c>
      <c r="C48" s="17">
        <v>-16.454586017053099</v>
      </c>
      <c r="D48" s="32">
        <f t="shared" ca="1" si="0"/>
        <v>5.5104227965893804</v>
      </c>
      <c r="E48" s="27"/>
      <c r="F48" s="27"/>
      <c r="G48" s="27"/>
      <c r="H48" s="10">
        <f t="shared" si="4"/>
        <v>-249.58714560957364</v>
      </c>
      <c r="I48" s="32">
        <f t="shared" si="5"/>
        <v>-27.454586017053099</v>
      </c>
      <c r="J48" s="10">
        <f t="shared" ca="1" si="6"/>
        <v>-3.3E-3</v>
      </c>
      <c r="K48" s="10">
        <f t="shared" ca="1" si="7"/>
        <v>0.01</v>
      </c>
      <c r="L48" s="10">
        <v>0.2</v>
      </c>
      <c r="M48" s="10">
        <f t="shared" ca="1" si="1"/>
        <v>-5.4895772034106196</v>
      </c>
      <c r="N48" s="10">
        <f t="shared" ca="1" si="2"/>
        <v>-49.905247303732899</v>
      </c>
      <c r="O48" s="10">
        <f t="shared" ca="1" si="3"/>
        <v>30.13545787220556</v>
      </c>
      <c r="P48" s="10"/>
      <c r="Q48" s="10"/>
      <c r="R48" s="10"/>
      <c r="S48" s="10"/>
      <c r="T48" s="10"/>
      <c r="U48" s="10"/>
      <c r="V48" s="10"/>
    </row>
    <row r="49" spans="1:22">
      <c r="A49" s="27">
        <v>47</v>
      </c>
      <c r="B49" s="13">
        <v>79</v>
      </c>
      <c r="C49" s="17">
        <v>89.006110691732403</v>
      </c>
      <c r="D49" s="32">
        <f t="shared" ca="1" si="0"/>
        <v>80.987222138346482</v>
      </c>
      <c r="E49" s="27"/>
      <c r="F49" s="27"/>
      <c r="G49" s="27"/>
      <c r="H49" s="10">
        <f t="shared" si="4"/>
        <v>12.665962900927097</v>
      </c>
      <c r="I49" s="32">
        <f t="shared" si="5"/>
        <v>10.006110691732403</v>
      </c>
      <c r="J49" s="10">
        <f t="shared" ca="1" si="6"/>
        <v>0.32</v>
      </c>
      <c r="K49" s="10">
        <f t="shared" ca="1" si="7"/>
        <v>-0.39</v>
      </c>
      <c r="L49" s="10">
        <v>0.2</v>
      </c>
      <c r="M49" s="10">
        <f t="shared" ca="1" si="1"/>
        <v>1.9872221383464805</v>
      </c>
      <c r="N49" s="10">
        <f t="shared" ca="1" si="2"/>
        <v>2.5154710611980713</v>
      </c>
      <c r="O49" s="10">
        <f t="shared" ca="1" si="3"/>
        <v>3.9490518271343586</v>
      </c>
      <c r="P49" s="10"/>
      <c r="Q49" s="10"/>
      <c r="R49" s="10"/>
      <c r="S49" s="10"/>
      <c r="T49" s="10"/>
      <c r="U49" s="10"/>
      <c r="V49" s="10"/>
    </row>
    <row r="50" spans="1:22">
      <c r="A50" s="27">
        <v>48</v>
      </c>
      <c r="B50" s="13">
        <v>69</v>
      </c>
      <c r="C50" s="17">
        <v>40.055465311053503</v>
      </c>
      <c r="D50" s="32">
        <f t="shared" ca="1" si="0"/>
        <v>63.463093062210703</v>
      </c>
      <c r="E50" s="27"/>
      <c r="F50" s="27"/>
      <c r="G50" s="27"/>
      <c r="H50" s="10">
        <f t="shared" si="4"/>
        <v>-41.948600998473182</v>
      </c>
      <c r="I50" s="32">
        <f t="shared" si="5"/>
        <v>-28.944534688946497</v>
      </c>
      <c r="J50" s="10">
        <f t="shared" ca="1" si="6"/>
        <v>0.48</v>
      </c>
      <c r="K50" s="10">
        <f t="shared" ca="1" si="7"/>
        <v>0.78</v>
      </c>
      <c r="L50" s="10">
        <v>0.2</v>
      </c>
      <c r="M50" s="10">
        <f t="shared" ca="1" si="1"/>
        <v>-5.5369069377892997</v>
      </c>
      <c r="N50" s="10">
        <f t="shared" ca="1" si="2"/>
        <v>-8.0245028083902881</v>
      </c>
      <c r="O50" s="10">
        <f t="shared" ca="1" si="3"/>
        <v>30.657338437739281</v>
      </c>
      <c r="P50" s="10"/>
      <c r="Q50" s="10"/>
      <c r="R50" s="10"/>
      <c r="S50" s="10"/>
      <c r="T50" s="10"/>
      <c r="U50" s="10"/>
      <c r="V50" s="10"/>
    </row>
    <row r="51" spans="1:22">
      <c r="A51" s="27">
        <v>49</v>
      </c>
      <c r="B51" s="13">
        <v>79</v>
      </c>
      <c r="C51" s="17">
        <v>81.061184105587103</v>
      </c>
      <c r="D51" s="32">
        <f t="shared" ca="1" si="0"/>
        <v>79.22223682111742</v>
      </c>
      <c r="E51" s="27"/>
      <c r="F51" s="27"/>
      <c r="G51" s="27"/>
      <c r="H51" s="10">
        <f t="shared" si="4"/>
        <v>2.6090938045406409</v>
      </c>
      <c r="I51" s="32">
        <f t="shared" si="5"/>
        <v>2.0611841055871025</v>
      </c>
      <c r="J51" s="10">
        <f t="shared" ca="1" si="6"/>
        <v>0.05</v>
      </c>
      <c r="K51" s="10">
        <f t="shared" ca="1" si="7"/>
        <v>-1</v>
      </c>
      <c r="L51" s="10">
        <v>0.2</v>
      </c>
      <c r="M51" s="10">
        <f t="shared" ca="1" si="1"/>
        <v>0.22223682111742049</v>
      </c>
      <c r="N51" s="10">
        <f t="shared" ca="1" si="2"/>
        <v>0.28131243179421173</v>
      </c>
      <c r="O51" s="10">
        <f t="shared" ca="1" si="3"/>
        <v>4.9389204660376357E-2</v>
      </c>
      <c r="P51" s="10"/>
      <c r="Q51" s="10"/>
      <c r="R51" s="10"/>
      <c r="S51" s="10"/>
      <c r="T51" s="10"/>
      <c r="U51" s="10"/>
      <c r="V51" s="10"/>
    </row>
    <row r="52" spans="1:22">
      <c r="A52" s="27">
        <v>50</v>
      </c>
      <c r="B52" s="13">
        <v>185</v>
      </c>
      <c r="C52" s="17">
        <v>192.79896818646299</v>
      </c>
      <c r="D52" s="32">
        <f t="shared" ca="1" si="0"/>
        <v>186.56579363729259</v>
      </c>
      <c r="E52" s="27"/>
      <c r="F52" s="27"/>
      <c r="G52" s="27"/>
      <c r="H52" s="10">
        <f t="shared" si="4"/>
        <v>4.215658479169182</v>
      </c>
      <c r="I52" s="32">
        <f t="shared" si="5"/>
        <v>7.7989681864629858</v>
      </c>
      <c r="J52" s="10">
        <f t="shared" ca="1" si="6"/>
        <v>0.05</v>
      </c>
      <c r="K52" s="10">
        <f t="shared" ca="1" si="7"/>
        <v>-0.02</v>
      </c>
      <c r="L52" s="10">
        <v>0.2</v>
      </c>
      <c r="M52" s="10">
        <f t="shared" ca="1" si="1"/>
        <v>1.5657936372925974</v>
      </c>
      <c r="N52" s="10">
        <f t="shared" ca="1" si="2"/>
        <v>0.84637493907706585</v>
      </c>
      <c r="O52" s="10">
        <f t="shared" ca="1" si="3"/>
        <v>2.4517097145859821</v>
      </c>
      <c r="P52" s="10"/>
      <c r="Q52" s="10"/>
      <c r="R52" s="10"/>
      <c r="S52" s="10"/>
      <c r="T52" s="10"/>
      <c r="U52" s="10"/>
      <c r="V52" s="10"/>
    </row>
    <row r="53" spans="1:22">
      <c r="A53" s="27">
        <v>51</v>
      </c>
      <c r="B53" s="13">
        <v>176</v>
      </c>
      <c r="C53" s="17">
        <v>174.18831226545899</v>
      </c>
      <c r="D53" s="32">
        <f t="shared" ca="1" si="0"/>
        <v>175.63166245309179</v>
      </c>
      <c r="E53" s="27"/>
      <c r="F53" s="27"/>
      <c r="G53" s="27"/>
      <c r="H53" s="10">
        <f t="shared" si="4"/>
        <v>-1.0293680309892084</v>
      </c>
      <c r="I53" s="32">
        <f t="shared" si="5"/>
        <v>-1.8116877345410103</v>
      </c>
      <c r="J53" s="10">
        <f t="shared" ca="1" si="6"/>
        <v>-0.47</v>
      </c>
      <c r="K53" s="10">
        <f t="shared" ca="1" si="7"/>
        <v>0.44</v>
      </c>
      <c r="L53" s="10">
        <v>0.2</v>
      </c>
      <c r="M53" s="10">
        <f t="shared" ca="1" si="1"/>
        <v>-0.36833754690820203</v>
      </c>
      <c r="N53" s="10">
        <f t="shared" ca="1" si="2"/>
        <v>-0.20928269710693836</v>
      </c>
      <c r="O53" s="10">
        <f t="shared" ca="1" si="3"/>
        <v>0.13567254846235194</v>
      </c>
      <c r="P53" s="10"/>
      <c r="Q53" s="10"/>
      <c r="R53" s="10"/>
      <c r="S53" s="10"/>
      <c r="T53" s="10"/>
      <c r="U53" s="10"/>
      <c r="V53" s="10"/>
    </row>
    <row r="54" spans="1:22">
      <c r="A54" s="27">
        <v>52</v>
      </c>
      <c r="B54" s="13">
        <v>177</v>
      </c>
      <c r="C54" s="17">
        <v>174.46390542406499</v>
      </c>
      <c r="D54" s="32">
        <f t="shared" ca="1" si="0"/>
        <v>176.270781084813</v>
      </c>
      <c r="E54" s="27"/>
      <c r="F54" s="27"/>
      <c r="G54" s="27"/>
      <c r="H54" s="10">
        <f t="shared" si="4"/>
        <v>-1.4328217943135657</v>
      </c>
      <c r="I54" s="32">
        <f t="shared" si="5"/>
        <v>-2.5360945759350102</v>
      </c>
      <c r="J54" s="10">
        <f t="shared" ca="1" si="6"/>
        <v>-0.57999999999999996</v>
      </c>
      <c r="K54" s="10">
        <f t="shared" ca="1" si="7"/>
        <v>-0.53</v>
      </c>
      <c r="L54" s="10">
        <v>0.2</v>
      </c>
      <c r="M54" s="10">
        <f t="shared" ca="1" si="1"/>
        <v>-0.7292189151870021</v>
      </c>
      <c r="N54" s="10">
        <f t="shared" ca="1" si="2"/>
        <v>-0.41198808767627382</v>
      </c>
      <c r="O54" s="10">
        <f t="shared" ca="1" si="3"/>
        <v>0.53176022626650821</v>
      </c>
      <c r="P54" s="10"/>
      <c r="Q54" s="10"/>
      <c r="R54" s="10"/>
      <c r="S54" s="10"/>
      <c r="T54" s="10"/>
      <c r="U54" s="10"/>
      <c r="V54" s="10"/>
    </row>
    <row r="55" spans="1:22">
      <c r="A55" s="27">
        <v>53</v>
      </c>
      <c r="B55" s="13">
        <v>146</v>
      </c>
      <c r="C55" s="17">
        <v>146.554127757966</v>
      </c>
      <c r="D55" s="32">
        <f t="shared" ca="1" si="0"/>
        <v>145.9028255515932</v>
      </c>
      <c r="E55" s="27"/>
      <c r="F55" s="27"/>
      <c r="G55" s="27"/>
      <c r="H55" s="10">
        <f t="shared" si="4"/>
        <v>0.37953956025067459</v>
      </c>
      <c r="I55" s="32">
        <f t="shared" si="5"/>
        <v>0.55412775796600044</v>
      </c>
      <c r="J55" s="10">
        <f t="shared" ca="1" si="6"/>
        <v>-0.64</v>
      </c>
      <c r="K55" s="10">
        <f t="shared" ca="1" si="7"/>
        <v>-0.4</v>
      </c>
      <c r="L55" s="10">
        <v>0.2</v>
      </c>
      <c r="M55" s="10">
        <f t="shared" ca="1" si="1"/>
        <v>-9.7174448406799924E-2</v>
      </c>
      <c r="N55" s="10">
        <f t="shared" ca="1" si="2"/>
        <v>-6.6557841374526028E-2</v>
      </c>
      <c r="O55" s="10">
        <f t="shared" ca="1" si="3"/>
        <v>9.442873423165821E-3</v>
      </c>
      <c r="P55" s="10"/>
      <c r="Q55" s="10"/>
      <c r="R55" s="10"/>
      <c r="S55" s="10"/>
      <c r="T55" s="10"/>
      <c r="U55" s="10"/>
      <c r="V55" s="10"/>
    </row>
    <row r="56" spans="1:22">
      <c r="A56" s="27">
        <v>54</v>
      </c>
      <c r="B56" s="13">
        <v>52</v>
      </c>
      <c r="C56" s="17">
        <v>52.5150780187316</v>
      </c>
      <c r="D56" s="32">
        <f t="shared" ca="1" si="0"/>
        <v>52.229015603746319</v>
      </c>
      <c r="E56" s="27"/>
      <c r="F56" s="27"/>
      <c r="G56" s="27"/>
      <c r="H56" s="10">
        <f t="shared" si="4"/>
        <v>0.99053465140692687</v>
      </c>
      <c r="I56" s="32">
        <f t="shared" si="5"/>
        <v>0.5150780187316002</v>
      </c>
      <c r="J56" s="10">
        <f t="shared" ca="1" si="6"/>
        <v>0.54</v>
      </c>
      <c r="K56" s="10">
        <f t="shared" ca="1" si="7"/>
        <v>0.09</v>
      </c>
      <c r="L56" s="10">
        <v>0.2</v>
      </c>
      <c r="M56" s="10">
        <f t="shared" ca="1" si="1"/>
        <v>0.22901560374632007</v>
      </c>
      <c r="N56" s="10">
        <f t="shared" ca="1" si="2"/>
        <v>0.44041462258908037</v>
      </c>
      <c r="O56" s="10">
        <f t="shared" ca="1" si="3"/>
        <v>5.2448146759291492E-2</v>
      </c>
      <c r="P56" s="10"/>
      <c r="Q56" s="10"/>
      <c r="R56" s="10"/>
      <c r="S56" s="10"/>
      <c r="T56" s="10"/>
      <c r="U56" s="10"/>
      <c r="V56" s="10"/>
    </row>
    <row r="57" spans="1:22">
      <c r="A57" s="27">
        <v>55</v>
      </c>
      <c r="B57" s="13">
        <v>214</v>
      </c>
      <c r="C57" s="17">
        <v>183.419104770172</v>
      </c>
      <c r="D57" s="32">
        <f t="shared" ca="1" si="0"/>
        <v>207.7938209540344</v>
      </c>
      <c r="E57" s="27"/>
      <c r="F57" s="27"/>
      <c r="G57" s="27"/>
      <c r="H57" s="10">
        <f t="shared" si="4"/>
        <v>-14.290137957863546</v>
      </c>
      <c r="I57" s="32">
        <f t="shared" si="5"/>
        <v>-30.580895229828002</v>
      </c>
      <c r="J57" s="10">
        <f t="shared" ca="1" si="6"/>
        <v>-1</v>
      </c>
      <c r="K57" s="10">
        <f t="shared" ca="1" si="7"/>
        <v>0.55000000000000004</v>
      </c>
      <c r="L57" s="10">
        <v>0.2</v>
      </c>
      <c r="M57" s="10">
        <f t="shared" ca="1" si="1"/>
        <v>-6.2061790459656008</v>
      </c>
      <c r="N57" s="10">
        <f t="shared" ca="1" si="2"/>
        <v>-2.9000836663390595</v>
      </c>
      <c r="O57" s="10">
        <f t="shared" ca="1" si="3"/>
        <v>38.516658350582496</v>
      </c>
      <c r="P57" s="10"/>
      <c r="Q57" s="10"/>
      <c r="R57" s="10"/>
      <c r="S57" s="10"/>
      <c r="T57" s="10"/>
      <c r="U57" s="10"/>
      <c r="V57" s="10"/>
    </row>
    <row r="58" spans="1:22">
      <c r="A58" s="27">
        <v>56</v>
      </c>
      <c r="B58" s="13">
        <v>87</v>
      </c>
      <c r="C58" s="17">
        <v>57.6908016904896</v>
      </c>
      <c r="D58" s="32">
        <f t="shared" ca="1" si="0"/>
        <v>81.394160338097919</v>
      </c>
      <c r="E58" s="27"/>
      <c r="F58" s="27"/>
      <c r="G58" s="27"/>
      <c r="H58" s="10">
        <f t="shared" si="4"/>
        <v>-33.688733689092409</v>
      </c>
      <c r="I58" s="32">
        <f t="shared" si="5"/>
        <v>-29.3091983095104</v>
      </c>
      <c r="J58" s="10">
        <f t="shared" ca="1" si="6"/>
        <v>0.71</v>
      </c>
      <c r="K58" s="10">
        <f t="shared" ca="1" si="7"/>
        <v>0.56999999999999995</v>
      </c>
      <c r="L58" s="10">
        <v>0.2</v>
      </c>
      <c r="M58" s="10">
        <f t="shared" ca="1" si="1"/>
        <v>-5.6058396619020803</v>
      </c>
      <c r="N58" s="10">
        <f t="shared" ca="1" si="2"/>
        <v>-6.4434938642552675</v>
      </c>
      <c r="O58" s="10">
        <f t="shared" ca="1" si="3"/>
        <v>31.42543831495443</v>
      </c>
      <c r="P58" s="10"/>
      <c r="Q58" s="10"/>
      <c r="R58" s="10"/>
      <c r="S58" s="10"/>
      <c r="T58" s="10"/>
      <c r="U58" s="10"/>
      <c r="V58" s="10"/>
    </row>
    <row r="59" spans="1:22">
      <c r="A59" s="27">
        <v>57</v>
      </c>
      <c r="B59" s="13">
        <v>153</v>
      </c>
      <c r="C59" s="17">
        <v>153.18025091918599</v>
      </c>
      <c r="D59" s="32">
        <f t="shared" ca="1" si="0"/>
        <v>153.2920501838372</v>
      </c>
      <c r="E59" s="27"/>
      <c r="F59" s="27"/>
      <c r="G59" s="27"/>
      <c r="H59" s="10">
        <f t="shared" si="4"/>
        <v>0.11781105829149485</v>
      </c>
      <c r="I59" s="32">
        <f t="shared" si="5"/>
        <v>0.18025091918599401</v>
      </c>
      <c r="J59" s="10">
        <f t="shared" ca="1" si="6"/>
        <v>0.6</v>
      </c>
      <c r="K59" s="10">
        <f t="shared" ca="1" si="7"/>
        <v>0.68</v>
      </c>
      <c r="L59" s="10">
        <v>0.2</v>
      </c>
      <c r="M59" s="10">
        <f t="shared" ca="1" si="1"/>
        <v>0.29205018383719883</v>
      </c>
      <c r="N59" s="10">
        <f t="shared" ca="1" si="2"/>
        <v>0.19088247309622108</v>
      </c>
      <c r="O59" s="10">
        <f t="shared" ca="1" si="3"/>
        <v>8.5293309879341639E-2</v>
      </c>
      <c r="P59" s="10"/>
      <c r="Q59" s="10"/>
      <c r="R59" s="10"/>
      <c r="S59" s="10"/>
      <c r="T59" s="10"/>
      <c r="U59" s="10"/>
      <c r="V59" s="10"/>
    </row>
    <row r="60" spans="1:22">
      <c r="A60" s="27">
        <v>58</v>
      </c>
      <c r="B60" s="13">
        <v>208</v>
      </c>
      <c r="C60" s="17">
        <v>208.27204330813601</v>
      </c>
      <c r="D60" s="32">
        <f t="shared" ca="1" si="0"/>
        <v>208.2444086616272</v>
      </c>
      <c r="E60" s="27"/>
      <c r="F60" s="27"/>
      <c r="G60" s="27"/>
      <c r="H60" s="10">
        <f t="shared" si="4"/>
        <v>0.13079005198846083</v>
      </c>
      <c r="I60" s="32">
        <f t="shared" si="5"/>
        <v>0.27204330813600563</v>
      </c>
      <c r="J60" s="10">
        <f t="shared" ca="1" si="6"/>
        <v>0.32</v>
      </c>
      <c r="K60" s="10">
        <f t="shared" ca="1" si="7"/>
        <v>0.63</v>
      </c>
      <c r="L60" s="10">
        <v>0.2</v>
      </c>
      <c r="M60" s="10">
        <f t="shared" ca="1" si="1"/>
        <v>0.24440866162720118</v>
      </c>
      <c r="N60" s="10">
        <f t="shared" ca="1" si="2"/>
        <v>0.11750416424385346</v>
      </c>
      <c r="O60" s="10">
        <f t="shared" ca="1" si="3"/>
        <v>5.9735593878399725E-2</v>
      </c>
      <c r="P60" s="10"/>
      <c r="Q60" s="10"/>
      <c r="R60" s="10"/>
      <c r="S60" s="10"/>
      <c r="T60" s="10"/>
      <c r="U60" s="10"/>
      <c r="V60" s="10"/>
    </row>
    <row r="61" spans="1:22">
      <c r="A61" s="27">
        <v>59</v>
      </c>
      <c r="B61" s="13">
        <v>143</v>
      </c>
      <c r="C61" s="17">
        <v>112.50146092233</v>
      </c>
      <c r="D61" s="32">
        <f t="shared" ca="1" si="0"/>
        <v>137.03029218446599</v>
      </c>
      <c r="E61" s="27"/>
      <c r="F61" s="27"/>
      <c r="G61" s="27"/>
      <c r="H61" s="10">
        <f t="shared" si="4"/>
        <v>-21.327649704664342</v>
      </c>
      <c r="I61" s="32">
        <f t="shared" si="5"/>
        <v>-30.498539077670003</v>
      </c>
      <c r="J61" s="10">
        <f t="shared" ca="1" si="6"/>
        <v>-0.02</v>
      </c>
      <c r="K61" s="10">
        <f t="shared" ca="1" si="7"/>
        <v>0.67</v>
      </c>
      <c r="L61" s="10">
        <v>0.2</v>
      </c>
      <c r="M61" s="10">
        <f t="shared" ca="1" si="1"/>
        <v>-5.9697078155340009</v>
      </c>
      <c r="N61" s="10">
        <f t="shared" ca="1" si="2"/>
        <v>-4.1746208500237802</v>
      </c>
      <c r="O61" s="10">
        <f t="shared" ca="1" si="3"/>
        <v>35.637411402847732</v>
      </c>
      <c r="P61" s="10"/>
      <c r="Q61" s="10"/>
      <c r="R61" s="10"/>
      <c r="S61" s="10"/>
      <c r="T61" s="10"/>
      <c r="U61" s="10"/>
      <c r="V61" s="10"/>
    </row>
    <row r="62" spans="1:22">
      <c r="A62" s="27">
        <v>60</v>
      </c>
      <c r="B62" s="13">
        <v>30</v>
      </c>
      <c r="C62" s="17">
        <v>2.87004998853208</v>
      </c>
      <c r="D62" s="32">
        <f t="shared" ca="1" si="0"/>
        <v>24.482009997706417</v>
      </c>
      <c r="E62" s="27"/>
      <c r="F62" s="27"/>
      <c r="G62" s="27"/>
      <c r="H62" s="10">
        <f t="shared" si="4"/>
        <v>-90.433166704893068</v>
      </c>
      <c r="I62" s="32">
        <f t="shared" si="5"/>
        <v>-27.129950011467919</v>
      </c>
      <c r="J62" s="10">
        <f t="shared" ca="1" si="6"/>
        <v>-0.7</v>
      </c>
      <c r="K62" s="10">
        <f t="shared" ca="1" si="7"/>
        <v>0.24</v>
      </c>
      <c r="L62" s="10">
        <v>0.2</v>
      </c>
      <c r="M62" s="10">
        <f t="shared" ca="1" si="1"/>
        <v>-5.5179900022935842</v>
      </c>
      <c r="N62" s="10">
        <f t="shared" ca="1" si="2"/>
        <v>-18.393300007645273</v>
      </c>
      <c r="O62" s="10">
        <f t="shared" ca="1" si="3"/>
        <v>30.448213665411949</v>
      </c>
      <c r="P62" s="10"/>
      <c r="Q62" s="10"/>
      <c r="R62" s="10"/>
      <c r="S62" s="10"/>
      <c r="T62" s="10"/>
      <c r="U62" s="10"/>
      <c r="V62" s="10"/>
    </row>
    <row r="63" spans="1:22">
      <c r="A63" s="27">
        <v>61</v>
      </c>
      <c r="B63" s="13">
        <v>181</v>
      </c>
      <c r="C63" s="17">
        <v>188.84135199375399</v>
      </c>
      <c r="D63" s="32">
        <f t="shared" ca="1" si="0"/>
        <v>182.37027039875079</v>
      </c>
      <c r="E63" s="27"/>
      <c r="F63" s="27"/>
      <c r="G63" s="27"/>
      <c r="H63" s="10">
        <f t="shared" si="4"/>
        <v>4.3322386705823224</v>
      </c>
      <c r="I63" s="32">
        <f t="shared" si="5"/>
        <v>7.8413519937539888</v>
      </c>
      <c r="J63" s="10">
        <f t="shared" ca="1" si="6"/>
        <v>-0.05</v>
      </c>
      <c r="K63" s="10">
        <f t="shared" ca="1" si="7"/>
        <v>-0.94</v>
      </c>
      <c r="L63" s="10">
        <v>0.2</v>
      </c>
      <c r="M63" s="10">
        <f t="shared" ca="1" si="1"/>
        <v>1.3702703987507978</v>
      </c>
      <c r="N63" s="10">
        <f t="shared" ca="1" si="2"/>
        <v>0.75705546892308462</v>
      </c>
      <c r="O63" s="10">
        <f t="shared" ca="1" si="3"/>
        <v>1.8776409656926705</v>
      </c>
      <c r="P63" s="10"/>
      <c r="Q63" s="10"/>
      <c r="R63" s="10"/>
      <c r="S63" s="10"/>
      <c r="T63" s="10"/>
      <c r="U63" s="10"/>
      <c r="V63" s="10"/>
    </row>
    <row r="64" spans="1:22">
      <c r="A64" s="27">
        <v>62</v>
      </c>
      <c r="B64" s="13">
        <v>67</v>
      </c>
      <c r="C64" s="17">
        <v>38.459300247510399</v>
      </c>
      <c r="D64" s="32">
        <f t="shared" ca="1" si="0"/>
        <v>61.19586004950208</v>
      </c>
      <c r="E64" s="27"/>
      <c r="F64" s="27"/>
      <c r="G64" s="27"/>
      <c r="H64" s="10">
        <f t="shared" si="4"/>
        <v>-42.598059332074037</v>
      </c>
      <c r="I64" s="32">
        <f t="shared" si="5"/>
        <v>-28.540699752489601</v>
      </c>
      <c r="J64" s="10">
        <f t="shared" ca="1" si="6"/>
        <v>-0.6</v>
      </c>
      <c r="K64" s="10">
        <f t="shared" ca="1" si="7"/>
        <v>0.12</v>
      </c>
      <c r="L64" s="10">
        <v>0.2</v>
      </c>
      <c r="M64" s="10">
        <f t="shared" ca="1" si="1"/>
        <v>-5.8041399504979205</v>
      </c>
      <c r="N64" s="10">
        <f t="shared" ca="1" si="2"/>
        <v>-8.6628954485043597</v>
      </c>
      <c r="O64" s="10">
        <f t="shared" ca="1" si="3"/>
        <v>33.688040564966002</v>
      </c>
      <c r="P64" s="10"/>
      <c r="Q64" s="10"/>
      <c r="R64" s="10"/>
      <c r="S64" s="10"/>
      <c r="T64" s="10"/>
      <c r="U64" s="10"/>
      <c r="V64" s="10"/>
    </row>
    <row r="65" spans="1:22">
      <c r="A65" s="27">
        <v>63</v>
      </c>
      <c r="B65" s="13">
        <v>85</v>
      </c>
      <c r="C65" s="17">
        <v>95.770078447044497</v>
      </c>
      <c r="D65" s="32">
        <f t="shared" ca="1" si="0"/>
        <v>86.900015689408903</v>
      </c>
      <c r="E65" s="27"/>
      <c r="F65" s="27"/>
      <c r="G65" s="27"/>
      <c r="H65" s="10">
        <f t="shared" si="4"/>
        <v>12.670680525934696</v>
      </c>
      <c r="I65" s="32">
        <f t="shared" si="5"/>
        <v>10.770078447044497</v>
      </c>
      <c r="J65" s="10">
        <f t="shared" ca="1" si="6"/>
        <v>-0.33</v>
      </c>
      <c r="K65" s="10">
        <f t="shared" ca="1" si="7"/>
        <v>-0.94</v>
      </c>
      <c r="L65" s="10">
        <v>0.2</v>
      </c>
      <c r="M65" s="10">
        <f t="shared" ca="1" si="1"/>
        <v>1.9000156894088995</v>
      </c>
      <c r="N65" s="10">
        <f t="shared" ca="1" si="2"/>
        <v>2.2353125757751835</v>
      </c>
      <c r="O65" s="10">
        <f t="shared" ca="1" si="3"/>
        <v>3.6100596199999759</v>
      </c>
      <c r="P65" s="10"/>
      <c r="Q65" s="10"/>
      <c r="R65" s="10"/>
      <c r="S65" s="10"/>
      <c r="T65" s="10"/>
      <c r="U65" s="10"/>
      <c r="V65" s="10"/>
    </row>
    <row r="66" spans="1:22">
      <c r="A66" s="27">
        <v>64</v>
      </c>
      <c r="B66" s="13">
        <v>202</v>
      </c>
      <c r="C66" s="17">
        <v>210.96687231763099</v>
      </c>
      <c r="D66" s="32">
        <f t="shared" ca="1" si="0"/>
        <v>203.92737446352621</v>
      </c>
      <c r="E66" s="27"/>
      <c r="F66" s="27"/>
      <c r="G66" s="27"/>
      <c r="H66" s="10">
        <f t="shared" si="4"/>
        <v>4.4390457017975171</v>
      </c>
      <c r="I66" s="32">
        <f t="shared" si="5"/>
        <v>8.9668723176309868</v>
      </c>
      <c r="J66" s="10">
        <f t="shared" ca="1" si="6"/>
        <v>0.62</v>
      </c>
      <c r="K66" s="10">
        <f t="shared" ca="1" si="7"/>
        <v>0.05</v>
      </c>
      <c r="L66" s="10">
        <v>0.2</v>
      </c>
      <c r="M66" s="10">
        <f t="shared" ca="1" si="1"/>
        <v>1.9273744635261973</v>
      </c>
      <c r="N66" s="10">
        <f t="shared" ca="1" si="2"/>
        <v>0.95414577402288536</v>
      </c>
      <c r="O66" s="10">
        <f t="shared" ca="1" si="3"/>
        <v>3.7147723226528968</v>
      </c>
      <c r="P66" s="10"/>
      <c r="Q66" s="10"/>
      <c r="R66" s="10"/>
      <c r="S66" s="10"/>
      <c r="T66" s="10"/>
      <c r="U66" s="10"/>
      <c r="V66" s="10"/>
    </row>
    <row r="67" spans="1:22">
      <c r="A67" s="27">
        <v>65</v>
      </c>
      <c r="B67" s="13">
        <v>148</v>
      </c>
      <c r="C67" s="17">
        <v>157.58475861964899</v>
      </c>
      <c r="D67" s="32">
        <f t="shared" ref="D67:D130" ca="1" si="8">B67+M67</f>
        <v>149.85295172392981</v>
      </c>
      <c r="E67" s="27"/>
      <c r="F67" s="27"/>
      <c r="G67" s="27"/>
      <c r="H67" s="10">
        <f t="shared" si="4"/>
        <v>6.4761882565195883</v>
      </c>
      <c r="I67" s="32">
        <f t="shared" si="5"/>
        <v>9.5847586196489942</v>
      </c>
      <c r="J67" s="10">
        <f t="shared" ca="1" si="6"/>
        <v>0.17</v>
      </c>
      <c r="K67" s="10">
        <f t="shared" ca="1" si="7"/>
        <v>-0.49</v>
      </c>
      <c r="L67" s="10">
        <v>0.2</v>
      </c>
      <c r="M67" s="10">
        <f t="shared" ref="M67:M130" ca="1" si="9">(I67+J67+K67)*L67</f>
        <v>1.8529517239297988</v>
      </c>
      <c r="N67" s="10">
        <f t="shared" ref="N67:N130" ca="1" si="10">((D67/B67)-1)*100</f>
        <v>1.2519944080606749</v>
      </c>
      <c r="O67" s="10">
        <f t="shared" ref="O67:O130" ca="1" si="11">M67^2</f>
        <v>3.4334300912144133</v>
      </c>
      <c r="P67" s="10"/>
      <c r="Q67" s="10"/>
      <c r="R67" s="10"/>
      <c r="S67" s="10"/>
      <c r="T67" s="10"/>
      <c r="U67" s="10"/>
      <c r="V67" s="10"/>
    </row>
    <row r="68" spans="1:22">
      <c r="A68" s="27">
        <v>66</v>
      </c>
      <c r="B68" s="13">
        <v>25</v>
      </c>
      <c r="C68" s="17">
        <v>36.531508725846798</v>
      </c>
      <c r="D68" s="32">
        <f t="shared" ca="1" si="8"/>
        <v>27.303361745169362</v>
      </c>
      <c r="E68" s="27"/>
      <c r="F68" s="27"/>
      <c r="G68" s="27"/>
      <c r="H68" s="10">
        <f t="shared" ref="H68:H131" si="12">((C68/B68)-1)*100</f>
        <v>46.1260349033872</v>
      </c>
      <c r="I68" s="32">
        <f t="shared" ref="I68:I131" si="13">C68-B68</f>
        <v>11.531508725846798</v>
      </c>
      <c r="J68" s="10">
        <f t="shared" ref="J68:J131" ca="1" si="14">IF(B68 &lt; 30, RANDBETWEEN(-100, 100) / 10000, RANDBETWEEN(-100,100) / 100)</f>
        <v>-7.1999999999999998E-3</v>
      </c>
      <c r="K68" s="10">
        <f t="shared" ref="K68:K131" ca="1" si="15">IF(B68 &lt; 30, RANDBETWEEN(-100, 100) / 10000, RANDBETWEEN(-100,100) / 100)</f>
        <v>-7.4999999999999997E-3</v>
      </c>
      <c r="L68" s="10">
        <v>0.2</v>
      </c>
      <c r="M68" s="10">
        <f t="shared" ca="1" si="9"/>
        <v>2.3033617451693598</v>
      </c>
      <c r="N68" s="10">
        <f t="shared" ca="1" si="10"/>
        <v>9.2134469806774533</v>
      </c>
      <c r="O68" s="10">
        <f t="shared" ca="1" si="11"/>
        <v>5.3054753291096386</v>
      </c>
      <c r="P68" s="10"/>
      <c r="Q68" s="10"/>
      <c r="R68" s="10"/>
      <c r="S68" s="10"/>
      <c r="T68" s="10"/>
      <c r="U68" s="10"/>
      <c r="V68" s="10"/>
    </row>
    <row r="69" spans="1:22">
      <c r="A69" s="27">
        <v>67</v>
      </c>
      <c r="B69" s="13">
        <v>42</v>
      </c>
      <c r="C69" s="17">
        <v>42.6628857845715</v>
      </c>
      <c r="D69" s="32">
        <f t="shared" ca="1" si="8"/>
        <v>42.246577156914299</v>
      </c>
      <c r="E69" s="27"/>
      <c r="F69" s="27"/>
      <c r="G69" s="27"/>
      <c r="H69" s="10">
        <f t="shared" si="12"/>
        <v>1.5782994870749967</v>
      </c>
      <c r="I69" s="32">
        <f t="shared" si="13"/>
        <v>0.66288578457150038</v>
      </c>
      <c r="J69" s="10">
        <f t="shared" ca="1" si="14"/>
        <v>-0.1</v>
      </c>
      <c r="K69" s="10">
        <f t="shared" ca="1" si="15"/>
        <v>0.67</v>
      </c>
      <c r="L69" s="10">
        <v>0.2</v>
      </c>
      <c r="M69" s="10">
        <f t="shared" ca="1" si="9"/>
        <v>0.2465771569143001</v>
      </c>
      <c r="N69" s="10">
        <f t="shared" ca="1" si="10"/>
        <v>0.58708846884356625</v>
      </c>
      <c r="O69" s="10">
        <f t="shared" ca="1" si="11"/>
        <v>6.0800294311939375E-2</v>
      </c>
      <c r="P69" s="10"/>
      <c r="Q69" s="10"/>
      <c r="R69" s="10"/>
      <c r="S69" s="10"/>
      <c r="T69" s="10"/>
      <c r="U69" s="10"/>
      <c r="V69" s="10"/>
    </row>
    <row r="70" spans="1:22">
      <c r="A70" s="27">
        <v>68</v>
      </c>
      <c r="B70" s="13">
        <v>180</v>
      </c>
      <c r="C70" s="17">
        <v>147.865613041377</v>
      </c>
      <c r="D70" s="32">
        <f t="shared" ca="1" si="8"/>
        <v>173.42312260827541</v>
      </c>
      <c r="E70" s="27"/>
      <c r="F70" s="27"/>
      <c r="G70" s="27"/>
      <c r="H70" s="10">
        <f t="shared" si="12"/>
        <v>-17.852437199234995</v>
      </c>
      <c r="I70" s="32">
        <f t="shared" si="13"/>
        <v>-32.134386958622997</v>
      </c>
      <c r="J70" s="10">
        <f t="shared" ca="1" si="14"/>
        <v>0.08</v>
      </c>
      <c r="K70" s="10">
        <f t="shared" ca="1" si="15"/>
        <v>-0.83</v>
      </c>
      <c r="L70" s="10">
        <v>0.2</v>
      </c>
      <c r="M70" s="10">
        <f t="shared" ca="1" si="9"/>
        <v>-6.5768773917246</v>
      </c>
      <c r="N70" s="10">
        <f t="shared" ca="1" si="10"/>
        <v>-3.6538207731803274</v>
      </c>
      <c r="O70" s="10">
        <f t="shared" ca="1" si="11"/>
        <v>43.255316225778174</v>
      </c>
      <c r="P70" s="10"/>
      <c r="Q70" s="10"/>
      <c r="R70" s="10"/>
      <c r="S70" s="10"/>
      <c r="T70" s="10"/>
      <c r="U70" s="10"/>
      <c r="V70" s="10"/>
    </row>
    <row r="71" spans="1:22">
      <c r="A71" s="27">
        <v>69</v>
      </c>
      <c r="B71" s="13">
        <v>56</v>
      </c>
      <c r="C71" s="17">
        <v>27.633832773482599</v>
      </c>
      <c r="D71" s="32">
        <f t="shared" ca="1" si="8"/>
        <v>50.140766554696519</v>
      </c>
      <c r="E71" s="27"/>
      <c r="F71" s="27"/>
      <c r="G71" s="27"/>
      <c r="H71" s="10">
        <f t="shared" si="12"/>
        <v>-50.653870047352498</v>
      </c>
      <c r="I71" s="32">
        <f t="shared" si="13"/>
        <v>-28.366167226517401</v>
      </c>
      <c r="J71" s="10">
        <f t="shared" ca="1" si="14"/>
        <v>-0.89</v>
      </c>
      <c r="K71" s="10">
        <f t="shared" ca="1" si="15"/>
        <v>-0.04</v>
      </c>
      <c r="L71" s="10">
        <v>0.2</v>
      </c>
      <c r="M71" s="10">
        <f t="shared" ca="1" si="9"/>
        <v>-5.8592334453034809</v>
      </c>
      <c r="N71" s="10">
        <f t="shared" ca="1" si="10"/>
        <v>-10.462916866613359</v>
      </c>
      <c r="O71" s="10">
        <f t="shared" ca="1" si="11"/>
        <v>34.330616566562895</v>
      </c>
      <c r="P71" s="10"/>
      <c r="Q71" s="10"/>
      <c r="R71" s="10"/>
      <c r="S71" s="10"/>
      <c r="T71" s="10"/>
      <c r="U71" s="10"/>
      <c r="V71" s="10"/>
    </row>
    <row r="72" spans="1:22">
      <c r="A72" s="27">
        <v>70</v>
      </c>
      <c r="B72" s="13">
        <v>136</v>
      </c>
      <c r="C72" s="17">
        <v>135.604440055574</v>
      </c>
      <c r="D72" s="32">
        <f t="shared" ca="1" si="8"/>
        <v>136.12888801111481</v>
      </c>
      <c r="E72" s="27"/>
      <c r="F72" s="27"/>
      <c r="G72" s="27"/>
      <c r="H72" s="10">
        <f t="shared" si="12"/>
        <v>-0.29085290031323208</v>
      </c>
      <c r="I72" s="32">
        <f t="shared" si="13"/>
        <v>-0.3955599444259974</v>
      </c>
      <c r="J72" s="10">
        <f t="shared" ca="1" si="14"/>
        <v>0.76</v>
      </c>
      <c r="K72" s="10">
        <f t="shared" ca="1" si="15"/>
        <v>0.28000000000000003</v>
      </c>
      <c r="L72" s="10">
        <v>0.2</v>
      </c>
      <c r="M72" s="10">
        <f t="shared" ca="1" si="9"/>
        <v>0.12888801111480053</v>
      </c>
      <c r="N72" s="10">
        <f t="shared" ca="1" si="10"/>
        <v>9.4770596407944829E-2</v>
      </c>
      <c r="O72" s="10">
        <f t="shared" ca="1" si="11"/>
        <v>1.6612119409128944E-2</v>
      </c>
      <c r="P72" s="10"/>
      <c r="Q72" s="10"/>
      <c r="R72" s="10"/>
      <c r="S72" s="10"/>
      <c r="T72" s="10"/>
      <c r="U72" s="10"/>
      <c r="V72" s="10"/>
    </row>
    <row r="73" spans="1:22">
      <c r="A73" s="27">
        <v>71</v>
      </c>
      <c r="B73" s="13">
        <v>243</v>
      </c>
      <c r="C73" s="17">
        <v>212.61205966407999</v>
      </c>
      <c r="D73" s="32">
        <f t="shared" ca="1" si="8"/>
        <v>236.64641193281599</v>
      </c>
      <c r="E73" s="27"/>
      <c r="F73" s="27"/>
      <c r="G73" s="27"/>
      <c r="H73" s="10">
        <f t="shared" si="12"/>
        <v>-12.505325241119348</v>
      </c>
      <c r="I73" s="32">
        <f t="shared" si="13"/>
        <v>-30.387940335920007</v>
      </c>
      <c r="J73" s="10">
        <f t="shared" ca="1" si="14"/>
        <v>-0.8</v>
      </c>
      <c r="K73" s="10">
        <f t="shared" ca="1" si="15"/>
        <v>-0.57999999999999996</v>
      </c>
      <c r="L73" s="10">
        <v>0.2</v>
      </c>
      <c r="M73" s="10">
        <f t="shared" ca="1" si="9"/>
        <v>-6.3535880671840017</v>
      </c>
      <c r="N73" s="10">
        <f t="shared" ca="1" si="10"/>
        <v>-2.6146452951374521</v>
      </c>
      <c r="O73" s="10">
        <f t="shared" ca="1" si="11"/>
        <v>40.368081327462939</v>
      </c>
      <c r="P73" s="10"/>
      <c r="Q73" s="10"/>
      <c r="R73" s="10"/>
      <c r="S73" s="10"/>
      <c r="T73" s="10"/>
      <c r="U73" s="10"/>
      <c r="V73" s="10"/>
    </row>
    <row r="74" spans="1:22">
      <c r="A74" s="27">
        <v>72</v>
      </c>
      <c r="B74" s="13">
        <v>88</v>
      </c>
      <c r="C74" s="17">
        <v>98.297136314947593</v>
      </c>
      <c r="D74" s="32">
        <f t="shared" ca="1" si="8"/>
        <v>90.137427262989519</v>
      </c>
      <c r="E74" s="27"/>
      <c r="F74" s="27"/>
      <c r="G74" s="27"/>
      <c r="H74" s="10">
        <f t="shared" si="12"/>
        <v>11.701291266985891</v>
      </c>
      <c r="I74" s="32">
        <f t="shared" si="13"/>
        <v>10.297136314947593</v>
      </c>
      <c r="J74" s="10">
        <f t="shared" ca="1" si="14"/>
        <v>0.49</v>
      </c>
      <c r="K74" s="10">
        <f t="shared" ca="1" si="15"/>
        <v>-0.1</v>
      </c>
      <c r="L74" s="10">
        <v>0.2</v>
      </c>
      <c r="M74" s="10">
        <f t="shared" ca="1" si="9"/>
        <v>2.1374272629895188</v>
      </c>
      <c r="N74" s="10">
        <f t="shared" ca="1" si="10"/>
        <v>2.4288946170335501</v>
      </c>
      <c r="O74" s="10">
        <f t="shared" ca="1" si="11"/>
        <v>4.5685953045708656</v>
      </c>
      <c r="P74" s="10"/>
      <c r="Q74" s="10"/>
      <c r="R74" s="10"/>
      <c r="S74" s="10"/>
      <c r="T74" s="10"/>
      <c r="U74" s="10"/>
      <c r="V74" s="10"/>
    </row>
    <row r="75" spans="1:22">
      <c r="A75" s="27">
        <v>73</v>
      </c>
      <c r="B75" s="13">
        <v>206</v>
      </c>
      <c r="C75" s="17">
        <v>174.07591045368699</v>
      </c>
      <c r="D75" s="32">
        <f t="shared" ca="1" si="8"/>
        <v>199.38318209073739</v>
      </c>
      <c r="E75" s="27"/>
      <c r="F75" s="27"/>
      <c r="G75" s="27"/>
      <c r="H75" s="10">
        <f t="shared" si="12"/>
        <v>-15.49713084772476</v>
      </c>
      <c r="I75" s="32">
        <f t="shared" si="13"/>
        <v>-31.924089546313013</v>
      </c>
      <c r="J75" s="10">
        <f t="shared" ca="1" si="14"/>
        <v>-0.69</v>
      </c>
      <c r="K75" s="10">
        <f t="shared" ca="1" si="15"/>
        <v>-0.47</v>
      </c>
      <c r="L75" s="10">
        <v>0.2</v>
      </c>
      <c r="M75" s="10">
        <f t="shared" ca="1" si="9"/>
        <v>-6.6168179092626023</v>
      </c>
      <c r="N75" s="10">
        <f t="shared" ca="1" si="10"/>
        <v>-3.2120475287682582</v>
      </c>
      <c r="O75" s="10">
        <f t="shared" ca="1" si="11"/>
        <v>43.782279244338312</v>
      </c>
      <c r="P75" s="10"/>
      <c r="Q75" s="10"/>
      <c r="R75" s="10"/>
      <c r="S75" s="10"/>
      <c r="T75" s="10"/>
      <c r="U75" s="10"/>
      <c r="V75" s="10"/>
    </row>
    <row r="76" spans="1:22">
      <c r="A76" s="27">
        <v>74</v>
      </c>
      <c r="B76" s="13">
        <v>140</v>
      </c>
      <c r="C76" s="17">
        <v>139.98011365100299</v>
      </c>
      <c r="D76" s="32">
        <f t="shared" ca="1" si="8"/>
        <v>139.92802273020061</v>
      </c>
      <c r="E76" s="27"/>
      <c r="F76" s="27"/>
      <c r="G76" s="27"/>
      <c r="H76" s="10">
        <f t="shared" si="12"/>
        <v>-1.4204534997863671E-2</v>
      </c>
      <c r="I76" s="32">
        <f t="shared" si="13"/>
        <v>-1.9886348997005143E-2</v>
      </c>
      <c r="J76" s="10">
        <f t="shared" ca="1" si="14"/>
        <v>0.45</v>
      </c>
      <c r="K76" s="10">
        <f t="shared" ca="1" si="15"/>
        <v>-0.79</v>
      </c>
      <c r="L76" s="10">
        <v>0.2</v>
      </c>
      <c r="M76" s="10">
        <f t="shared" ca="1" si="9"/>
        <v>-7.1977269799401042E-2</v>
      </c>
      <c r="N76" s="10">
        <f t="shared" ca="1" si="10"/>
        <v>-5.1412335570988343E-2</v>
      </c>
      <c r="O76" s="10">
        <f t="shared" ca="1" si="11"/>
        <v>5.1807273677757695E-3</v>
      </c>
      <c r="P76" s="10"/>
      <c r="Q76" s="10"/>
      <c r="R76" s="10"/>
      <c r="S76" s="10"/>
      <c r="T76" s="10"/>
      <c r="U76" s="10"/>
      <c r="V76" s="10"/>
    </row>
    <row r="77" spans="1:22">
      <c r="A77" s="27">
        <v>75</v>
      </c>
      <c r="B77" s="13">
        <v>196</v>
      </c>
      <c r="C77" s="17">
        <v>196.04480576838</v>
      </c>
      <c r="D77" s="32">
        <f t="shared" ca="1" si="8"/>
        <v>196.23696115367599</v>
      </c>
      <c r="E77" s="27"/>
      <c r="F77" s="27"/>
      <c r="G77" s="27"/>
      <c r="H77" s="10">
        <f t="shared" si="12"/>
        <v>2.286008590817179E-2</v>
      </c>
      <c r="I77" s="32">
        <f t="shared" si="13"/>
        <v>4.4805768380001609E-2</v>
      </c>
      <c r="J77" s="10">
        <f t="shared" ca="1" si="14"/>
        <v>1</v>
      </c>
      <c r="K77" s="10">
        <f t="shared" ca="1" si="15"/>
        <v>0.14000000000000001</v>
      </c>
      <c r="L77" s="10">
        <v>0.2</v>
      </c>
      <c r="M77" s="10">
        <f t="shared" ca="1" si="9"/>
        <v>0.23696115367600035</v>
      </c>
      <c r="N77" s="10">
        <f t="shared" ca="1" si="10"/>
        <v>0.12089854779386844</v>
      </c>
      <c r="O77" s="10">
        <f t="shared" ca="1" si="11"/>
        <v>5.6150588351461056E-2</v>
      </c>
      <c r="P77" s="10"/>
      <c r="Q77" s="10"/>
      <c r="R77" s="10"/>
      <c r="S77" s="10"/>
      <c r="T77" s="10"/>
      <c r="U77" s="10"/>
      <c r="V77" s="10"/>
    </row>
    <row r="78" spans="1:22">
      <c r="A78" s="27">
        <v>76</v>
      </c>
      <c r="B78" s="13">
        <v>204</v>
      </c>
      <c r="C78" s="17">
        <v>203.77034439733799</v>
      </c>
      <c r="D78" s="32">
        <f t="shared" ca="1" si="8"/>
        <v>203.96806887946761</v>
      </c>
      <c r="E78" s="27"/>
      <c r="F78" s="27"/>
      <c r="G78" s="27"/>
      <c r="H78" s="10">
        <f t="shared" si="12"/>
        <v>-0.11257627581471308</v>
      </c>
      <c r="I78" s="32">
        <f t="shared" si="13"/>
        <v>-0.22965560266200669</v>
      </c>
      <c r="J78" s="10">
        <f t="shared" ca="1" si="14"/>
        <v>-0.85</v>
      </c>
      <c r="K78" s="10">
        <f t="shared" ca="1" si="15"/>
        <v>0.92</v>
      </c>
      <c r="L78" s="10">
        <v>0.2</v>
      </c>
      <c r="M78" s="10">
        <f t="shared" ca="1" si="9"/>
        <v>-3.1931120532401346E-2</v>
      </c>
      <c r="N78" s="10">
        <f t="shared" ca="1" si="10"/>
        <v>-1.565251006490076E-2</v>
      </c>
      <c r="O78" s="10">
        <f t="shared" ca="1" si="11"/>
        <v>1.0195964584547427E-3</v>
      </c>
      <c r="P78" s="10"/>
      <c r="Q78" s="10"/>
      <c r="R78" s="10"/>
      <c r="S78" s="10"/>
      <c r="T78" s="10"/>
      <c r="U78" s="10"/>
      <c r="V78" s="10"/>
    </row>
    <row r="79" spans="1:22">
      <c r="A79" s="27">
        <v>77</v>
      </c>
      <c r="B79" s="13">
        <v>62</v>
      </c>
      <c r="C79" s="17">
        <v>73.783603553025202</v>
      </c>
      <c r="D79" s="32">
        <f t="shared" ca="1" si="8"/>
        <v>64.586720710605036</v>
      </c>
      <c r="E79" s="27"/>
      <c r="F79" s="27"/>
      <c r="G79" s="27"/>
      <c r="H79" s="10">
        <f t="shared" si="12"/>
        <v>19.005812182298708</v>
      </c>
      <c r="I79" s="32">
        <f t="shared" si="13"/>
        <v>11.783603553025202</v>
      </c>
      <c r="J79" s="10">
        <f t="shared" ca="1" si="14"/>
        <v>0.99</v>
      </c>
      <c r="K79" s="10">
        <f t="shared" ca="1" si="15"/>
        <v>0.16</v>
      </c>
      <c r="L79" s="10">
        <v>0.2</v>
      </c>
      <c r="M79" s="10">
        <f t="shared" ca="1" si="9"/>
        <v>2.5867207106050407</v>
      </c>
      <c r="N79" s="10">
        <f t="shared" ca="1" si="10"/>
        <v>4.1721301783952169</v>
      </c>
      <c r="O79" s="10">
        <f t="shared" ca="1" si="11"/>
        <v>6.6911240346730469</v>
      </c>
      <c r="P79" s="10"/>
      <c r="Q79" s="10"/>
      <c r="R79" s="10"/>
      <c r="S79" s="10"/>
      <c r="T79" s="10"/>
      <c r="U79" s="10"/>
      <c r="V79" s="10"/>
    </row>
    <row r="80" spans="1:22">
      <c r="A80" s="27">
        <v>78</v>
      </c>
      <c r="B80" s="13">
        <v>91</v>
      </c>
      <c r="C80" s="17">
        <v>100.19011956151201</v>
      </c>
      <c r="D80" s="32">
        <f t="shared" ca="1" si="8"/>
        <v>92.558023912302403</v>
      </c>
      <c r="E80" s="27"/>
      <c r="F80" s="27"/>
      <c r="G80" s="27"/>
      <c r="H80" s="10">
        <f t="shared" si="12"/>
        <v>10.099032485178029</v>
      </c>
      <c r="I80" s="32">
        <f t="shared" si="13"/>
        <v>9.1901195615120059</v>
      </c>
      <c r="J80" s="10">
        <f t="shared" ca="1" si="14"/>
        <v>-0.64</v>
      </c>
      <c r="K80" s="10">
        <f t="shared" ca="1" si="15"/>
        <v>-0.76</v>
      </c>
      <c r="L80" s="10">
        <v>0.2</v>
      </c>
      <c r="M80" s="10">
        <f t="shared" ca="1" si="9"/>
        <v>1.5580239123024011</v>
      </c>
      <c r="N80" s="10">
        <f t="shared" ca="1" si="10"/>
        <v>1.7121141893432945</v>
      </c>
      <c r="O80" s="10">
        <f t="shared" ca="1" si="11"/>
        <v>2.4274385113060801</v>
      </c>
      <c r="P80" s="10"/>
      <c r="Q80" s="10"/>
      <c r="R80" s="10"/>
      <c r="S80" s="10"/>
      <c r="T80" s="10"/>
      <c r="U80" s="10"/>
      <c r="V80" s="10"/>
    </row>
    <row r="81" spans="1:22">
      <c r="A81" s="27">
        <v>79</v>
      </c>
      <c r="B81" s="13">
        <v>223</v>
      </c>
      <c r="C81" s="17">
        <v>192.83377653903801</v>
      </c>
      <c r="D81" s="32">
        <f t="shared" ca="1" si="8"/>
        <v>217.0727553078076</v>
      </c>
      <c r="E81" s="27"/>
      <c r="F81" s="27"/>
      <c r="G81" s="27"/>
      <c r="H81" s="10">
        <f t="shared" si="12"/>
        <v>-13.527454466799094</v>
      </c>
      <c r="I81" s="32">
        <f t="shared" si="13"/>
        <v>-30.166223460961987</v>
      </c>
      <c r="J81" s="10">
        <f t="shared" ca="1" si="14"/>
        <v>0.43</v>
      </c>
      <c r="K81" s="10">
        <f t="shared" ca="1" si="15"/>
        <v>0.1</v>
      </c>
      <c r="L81" s="10">
        <v>0.2</v>
      </c>
      <c r="M81" s="10">
        <f t="shared" ca="1" si="9"/>
        <v>-5.9272446921923976</v>
      </c>
      <c r="N81" s="10">
        <f t="shared" ca="1" si="10"/>
        <v>-2.6579572610728297</v>
      </c>
      <c r="O81" s="10">
        <f t="shared" ca="1" si="11"/>
        <v>35.132229641122947</v>
      </c>
      <c r="P81" s="10"/>
      <c r="Q81" s="10"/>
      <c r="R81" s="10"/>
      <c r="S81" s="10"/>
      <c r="T81" s="10"/>
      <c r="U81" s="10"/>
      <c r="V81" s="10"/>
    </row>
    <row r="82" spans="1:22">
      <c r="A82" s="27">
        <v>80</v>
      </c>
      <c r="B82" s="13">
        <v>165</v>
      </c>
      <c r="C82" s="17">
        <v>175.03660545027699</v>
      </c>
      <c r="D82" s="32">
        <f t="shared" ca="1" si="8"/>
        <v>167.06332109005541</v>
      </c>
      <c r="E82" s="27"/>
      <c r="F82" s="27"/>
      <c r="G82" s="27"/>
      <c r="H82" s="10">
        <f t="shared" si="12"/>
        <v>6.082791181986047</v>
      </c>
      <c r="I82" s="32">
        <f t="shared" si="13"/>
        <v>10.036605450276994</v>
      </c>
      <c r="J82" s="10">
        <f t="shared" ca="1" si="14"/>
        <v>0.81</v>
      </c>
      <c r="K82" s="10">
        <f t="shared" ca="1" si="15"/>
        <v>-0.53</v>
      </c>
      <c r="L82" s="10">
        <v>0.2</v>
      </c>
      <c r="M82" s="10">
        <f t="shared" ca="1" si="9"/>
        <v>2.0633210900553993</v>
      </c>
      <c r="N82" s="10">
        <f t="shared" ca="1" si="10"/>
        <v>1.2504976303366222</v>
      </c>
      <c r="O82" s="10">
        <f t="shared" ca="1" si="11"/>
        <v>4.2572939206674016</v>
      </c>
      <c r="P82" s="10"/>
      <c r="Q82" s="10"/>
      <c r="R82" s="10"/>
      <c r="S82" s="10"/>
      <c r="T82" s="10"/>
      <c r="U82" s="10"/>
      <c r="V82" s="10"/>
    </row>
    <row r="83" spans="1:22">
      <c r="A83" s="27">
        <v>81</v>
      </c>
      <c r="B83" s="13">
        <v>60</v>
      </c>
      <c r="C83" s="17">
        <v>71.348652551708597</v>
      </c>
      <c r="D83" s="32">
        <f t="shared" ca="1" si="8"/>
        <v>62.529730510341722</v>
      </c>
      <c r="E83" s="27"/>
      <c r="F83" s="27"/>
      <c r="G83" s="27"/>
      <c r="H83" s="10">
        <f t="shared" si="12"/>
        <v>18.91442091951432</v>
      </c>
      <c r="I83" s="32">
        <f t="shared" si="13"/>
        <v>11.348652551708597</v>
      </c>
      <c r="J83" s="10">
        <f t="shared" ca="1" si="14"/>
        <v>0.97</v>
      </c>
      <c r="K83" s="10">
        <f t="shared" ca="1" si="15"/>
        <v>0.33</v>
      </c>
      <c r="L83" s="10">
        <v>0.2</v>
      </c>
      <c r="M83" s="10">
        <f t="shared" ca="1" si="9"/>
        <v>2.5297305103417198</v>
      </c>
      <c r="N83" s="10">
        <f t="shared" ca="1" si="10"/>
        <v>4.2162175172361982</v>
      </c>
      <c r="O83" s="10">
        <f t="shared" ca="1" si="11"/>
        <v>6.3995364549537781</v>
      </c>
      <c r="P83" s="10"/>
      <c r="Q83" s="10"/>
      <c r="R83" s="10"/>
      <c r="S83" s="10"/>
      <c r="T83" s="10"/>
      <c r="U83" s="10"/>
      <c r="V83" s="10"/>
    </row>
    <row r="84" spans="1:22">
      <c r="A84" s="27">
        <v>82</v>
      </c>
      <c r="B84" s="13">
        <v>151</v>
      </c>
      <c r="C84" s="17">
        <v>160.519250599879</v>
      </c>
      <c r="D84" s="32">
        <f t="shared" ca="1" si="8"/>
        <v>152.69185011997581</v>
      </c>
      <c r="E84" s="27"/>
      <c r="F84" s="27"/>
      <c r="G84" s="27"/>
      <c r="H84" s="10">
        <f t="shared" si="12"/>
        <v>6.3041394701185416</v>
      </c>
      <c r="I84" s="32">
        <f t="shared" si="13"/>
        <v>9.5192505998790011</v>
      </c>
      <c r="J84" s="10">
        <f t="shared" ca="1" si="14"/>
        <v>-0.9</v>
      </c>
      <c r="K84" s="10">
        <f t="shared" ca="1" si="15"/>
        <v>-0.16</v>
      </c>
      <c r="L84" s="10">
        <v>0.2</v>
      </c>
      <c r="M84" s="10">
        <f t="shared" ca="1" si="9"/>
        <v>1.6918501199758003</v>
      </c>
      <c r="N84" s="10">
        <f t="shared" ca="1" si="10"/>
        <v>1.1204305430303485</v>
      </c>
      <c r="O84" s="10">
        <f t="shared" ca="1" si="11"/>
        <v>2.8623568284621297</v>
      </c>
      <c r="P84" s="10"/>
      <c r="Q84" s="10"/>
      <c r="R84" s="10"/>
      <c r="S84" s="10"/>
      <c r="T84" s="10"/>
      <c r="U84" s="10"/>
      <c r="V84" s="10"/>
    </row>
    <row r="85" spans="1:22">
      <c r="A85" s="27">
        <v>83</v>
      </c>
      <c r="B85" s="13">
        <v>82</v>
      </c>
      <c r="C85" s="17">
        <v>81.570455366913805</v>
      </c>
      <c r="D85" s="32">
        <f t="shared" ca="1" si="8"/>
        <v>81.948091073382756</v>
      </c>
      <c r="E85" s="27"/>
      <c r="F85" s="27"/>
      <c r="G85" s="27"/>
      <c r="H85" s="10">
        <f t="shared" si="12"/>
        <v>-0.52383491839780305</v>
      </c>
      <c r="I85" s="32">
        <f t="shared" si="13"/>
        <v>-0.42954463308619495</v>
      </c>
      <c r="J85" s="10">
        <f t="shared" ca="1" si="14"/>
        <v>0.55000000000000004</v>
      </c>
      <c r="K85" s="10">
        <f t="shared" ca="1" si="15"/>
        <v>-0.38</v>
      </c>
      <c r="L85" s="10">
        <v>0.2</v>
      </c>
      <c r="M85" s="10">
        <f t="shared" ca="1" si="9"/>
        <v>-5.1908926617238983E-2</v>
      </c>
      <c r="N85" s="10">
        <f t="shared" ca="1" si="10"/>
        <v>-6.3303569045425334E-2</v>
      </c>
      <c r="O85" s="10">
        <f t="shared" ca="1" si="11"/>
        <v>2.6945366625539019E-3</v>
      </c>
      <c r="P85" s="10"/>
      <c r="Q85" s="10"/>
      <c r="R85" s="10"/>
      <c r="S85" s="10"/>
      <c r="T85" s="10"/>
      <c r="U85" s="10"/>
      <c r="V85" s="10"/>
    </row>
    <row r="86" spans="1:22">
      <c r="A86" s="27">
        <v>84</v>
      </c>
      <c r="B86" s="13">
        <v>228</v>
      </c>
      <c r="C86" s="17">
        <v>197.58898308208501</v>
      </c>
      <c r="D86" s="32">
        <f t="shared" ca="1" si="8"/>
        <v>221.70379661641701</v>
      </c>
      <c r="E86" s="27"/>
      <c r="F86" s="27"/>
      <c r="G86" s="27"/>
      <c r="H86" s="10">
        <f t="shared" si="12"/>
        <v>-13.338165314874995</v>
      </c>
      <c r="I86" s="32">
        <f t="shared" si="13"/>
        <v>-30.411016917914992</v>
      </c>
      <c r="J86" s="10">
        <f t="shared" ca="1" si="14"/>
        <v>-0.45</v>
      </c>
      <c r="K86" s="10">
        <f t="shared" ca="1" si="15"/>
        <v>-0.62</v>
      </c>
      <c r="L86" s="10">
        <v>0.2</v>
      </c>
      <c r="M86" s="10">
        <f t="shared" ca="1" si="9"/>
        <v>-6.2962033835829985</v>
      </c>
      <c r="N86" s="10">
        <f t="shared" ca="1" si="10"/>
        <v>-2.7614927120978017</v>
      </c>
      <c r="O86" s="10">
        <f t="shared" ca="1" si="11"/>
        <v>39.642177047441997</v>
      </c>
      <c r="P86" s="10"/>
      <c r="Q86" s="10"/>
      <c r="R86" s="10"/>
      <c r="S86" s="10"/>
      <c r="T86" s="10"/>
      <c r="U86" s="10"/>
      <c r="V86" s="10"/>
    </row>
    <row r="87" spans="1:22">
      <c r="A87" s="27">
        <v>85</v>
      </c>
      <c r="B87" s="13">
        <v>186</v>
      </c>
      <c r="C87" s="17">
        <v>184.911277239817</v>
      </c>
      <c r="D87" s="32">
        <f t="shared" ca="1" si="8"/>
        <v>185.8262554479634</v>
      </c>
      <c r="E87" s="27"/>
      <c r="F87" s="27"/>
      <c r="G87" s="27"/>
      <c r="H87" s="10">
        <f t="shared" si="12"/>
        <v>-0.58533481730268511</v>
      </c>
      <c r="I87" s="32">
        <f t="shared" si="13"/>
        <v>-1.0887227601830034</v>
      </c>
      <c r="J87" s="10">
        <f t="shared" ca="1" si="14"/>
        <v>0.78</v>
      </c>
      <c r="K87" s="10">
        <f t="shared" ca="1" si="15"/>
        <v>-0.56000000000000005</v>
      </c>
      <c r="L87" s="10">
        <v>0.2</v>
      </c>
      <c r="M87" s="10">
        <f t="shared" ca="1" si="9"/>
        <v>-0.17374455203660069</v>
      </c>
      <c r="N87" s="10">
        <f t="shared" ca="1" si="10"/>
        <v>-9.3411049482039488E-2</v>
      </c>
      <c r="O87" s="10">
        <f t="shared" ca="1" si="11"/>
        <v>3.0187169362399045E-2</v>
      </c>
      <c r="P87" s="10"/>
      <c r="Q87" s="10"/>
      <c r="R87" s="10"/>
      <c r="S87" s="10"/>
      <c r="T87" s="10"/>
      <c r="U87" s="10"/>
      <c r="V87" s="10"/>
    </row>
    <row r="88" spans="1:22">
      <c r="A88" s="27">
        <v>86</v>
      </c>
      <c r="B88" s="13">
        <v>182</v>
      </c>
      <c r="C88" s="17">
        <v>190.57294398102101</v>
      </c>
      <c r="D88" s="32">
        <f t="shared" ca="1" si="8"/>
        <v>183.55658879620421</v>
      </c>
      <c r="E88" s="27"/>
      <c r="F88" s="27"/>
      <c r="G88" s="27"/>
      <c r="H88" s="10">
        <f t="shared" si="12"/>
        <v>4.7104087807807726</v>
      </c>
      <c r="I88" s="32">
        <f t="shared" si="13"/>
        <v>8.5729439810210124</v>
      </c>
      <c r="J88" s="10">
        <f t="shared" ca="1" si="14"/>
        <v>-0.21</v>
      </c>
      <c r="K88" s="10">
        <f t="shared" ca="1" si="15"/>
        <v>-0.57999999999999996</v>
      </c>
      <c r="L88" s="10">
        <v>0.2</v>
      </c>
      <c r="M88" s="10">
        <f t="shared" ca="1" si="9"/>
        <v>1.5565887962042024</v>
      </c>
      <c r="N88" s="10">
        <f t="shared" ca="1" si="10"/>
        <v>0.85526856934297069</v>
      </c>
      <c r="O88" s="10">
        <f t="shared" ca="1" si="11"/>
        <v>2.4229686804684478</v>
      </c>
      <c r="P88" s="10"/>
      <c r="Q88" s="10"/>
      <c r="R88" s="10"/>
      <c r="S88" s="10"/>
      <c r="T88" s="10"/>
      <c r="U88" s="10"/>
      <c r="V88" s="10"/>
    </row>
    <row r="89" spans="1:22">
      <c r="A89" s="27">
        <v>87</v>
      </c>
      <c r="B89" s="13">
        <v>49</v>
      </c>
      <c r="C89" s="17">
        <v>20.345104854446401</v>
      </c>
      <c r="D89" s="32">
        <f t="shared" ca="1" si="8"/>
        <v>43.243020970889276</v>
      </c>
      <c r="E89" s="27"/>
      <c r="F89" s="27"/>
      <c r="G89" s="27"/>
      <c r="H89" s="10">
        <f t="shared" si="12"/>
        <v>-58.479377848068573</v>
      </c>
      <c r="I89" s="32">
        <f t="shared" si="13"/>
        <v>-28.654895145553599</v>
      </c>
      <c r="J89" s="10">
        <f t="shared" ca="1" si="14"/>
        <v>-0.6</v>
      </c>
      <c r="K89" s="10">
        <f t="shared" ca="1" si="15"/>
        <v>0.47</v>
      </c>
      <c r="L89" s="10">
        <v>0.2</v>
      </c>
      <c r="M89" s="10">
        <f t="shared" ca="1" si="9"/>
        <v>-5.7569790291107203</v>
      </c>
      <c r="N89" s="10">
        <f t="shared" ca="1" si="10"/>
        <v>-11.748936794103514</v>
      </c>
      <c r="O89" s="10">
        <f t="shared" ca="1" si="11"/>
        <v>33.142807541620613</v>
      </c>
      <c r="P89" s="10"/>
      <c r="Q89" s="10"/>
      <c r="R89" s="10"/>
      <c r="S89" s="10"/>
      <c r="T89" s="10"/>
      <c r="U89" s="10"/>
      <c r="V89" s="10"/>
    </row>
    <row r="90" spans="1:22">
      <c r="A90" s="27">
        <v>88</v>
      </c>
      <c r="B90" s="13">
        <v>210</v>
      </c>
      <c r="C90" s="17">
        <v>209.27538232466301</v>
      </c>
      <c r="D90" s="32">
        <f t="shared" ca="1" si="8"/>
        <v>209.72707646493259</v>
      </c>
      <c r="E90" s="27"/>
      <c r="F90" s="27"/>
      <c r="G90" s="27"/>
      <c r="H90" s="10">
        <f t="shared" si="12"/>
        <v>-0.34505603587475786</v>
      </c>
      <c r="I90" s="32">
        <f t="shared" si="13"/>
        <v>-0.72461767533698662</v>
      </c>
      <c r="J90" s="10">
        <f t="shared" ca="1" si="14"/>
        <v>0.08</v>
      </c>
      <c r="K90" s="10">
        <f t="shared" ca="1" si="15"/>
        <v>-0.72</v>
      </c>
      <c r="L90" s="10">
        <v>0.2</v>
      </c>
      <c r="M90" s="10">
        <f t="shared" ca="1" si="9"/>
        <v>-0.27292353506739736</v>
      </c>
      <c r="N90" s="10">
        <f t="shared" ca="1" si="10"/>
        <v>-0.12996358812733533</v>
      </c>
      <c r="O90" s="10">
        <f t="shared" ca="1" si="11"/>
        <v>7.4487255993684873E-2</v>
      </c>
      <c r="P90" s="10"/>
      <c r="Q90" s="10"/>
      <c r="R90" s="10"/>
      <c r="S90" s="10"/>
      <c r="T90" s="10"/>
      <c r="U90" s="10"/>
      <c r="V90" s="10"/>
    </row>
    <row r="91" spans="1:22">
      <c r="A91" s="27">
        <v>89</v>
      </c>
      <c r="B91" s="13">
        <v>197</v>
      </c>
      <c r="C91" s="17">
        <v>196.406639794245</v>
      </c>
      <c r="D91" s="32">
        <f t="shared" ca="1" si="8"/>
        <v>196.857327958849</v>
      </c>
      <c r="E91" s="27"/>
      <c r="F91" s="27"/>
      <c r="G91" s="27"/>
      <c r="H91" s="10">
        <f t="shared" si="12"/>
        <v>-0.30119807398730769</v>
      </c>
      <c r="I91" s="32">
        <f t="shared" si="13"/>
        <v>-0.5933602057550047</v>
      </c>
      <c r="J91" s="10">
        <f t="shared" ca="1" si="14"/>
        <v>-0.88</v>
      </c>
      <c r="K91" s="10">
        <f t="shared" ca="1" si="15"/>
        <v>0.76</v>
      </c>
      <c r="L91" s="10">
        <v>0.2</v>
      </c>
      <c r="M91" s="10">
        <f t="shared" ca="1" si="9"/>
        <v>-0.14267204115100093</v>
      </c>
      <c r="N91" s="10">
        <f t="shared" ca="1" si="10"/>
        <v>-7.2422355914214531E-2</v>
      </c>
      <c r="O91" s="10">
        <f t="shared" ca="1" si="11"/>
        <v>2.0355311326192903E-2</v>
      </c>
      <c r="P91" s="10"/>
      <c r="Q91" s="10"/>
      <c r="R91" s="10"/>
      <c r="S91" s="10"/>
      <c r="T91" s="10"/>
      <c r="U91" s="10"/>
      <c r="V91" s="10"/>
    </row>
    <row r="92" spans="1:22">
      <c r="A92" s="27">
        <v>90</v>
      </c>
      <c r="B92" s="13">
        <v>186</v>
      </c>
      <c r="C92" s="17">
        <v>155.92091532801399</v>
      </c>
      <c r="D92" s="32">
        <f t="shared" ca="1" si="8"/>
        <v>179.73818306560281</v>
      </c>
      <c r="E92" s="27"/>
      <c r="F92" s="27"/>
      <c r="G92" s="27"/>
      <c r="H92" s="10">
        <f t="shared" si="12"/>
        <v>-16.171550898917207</v>
      </c>
      <c r="I92" s="32">
        <f t="shared" si="13"/>
        <v>-30.07908467198601</v>
      </c>
      <c r="J92" s="10">
        <f t="shared" ca="1" si="14"/>
        <v>-0.67</v>
      </c>
      <c r="K92" s="10">
        <f t="shared" ca="1" si="15"/>
        <v>-0.56000000000000005</v>
      </c>
      <c r="L92" s="10">
        <v>0.2</v>
      </c>
      <c r="M92" s="10">
        <f t="shared" ca="1" si="9"/>
        <v>-6.2618169343972028</v>
      </c>
      <c r="N92" s="10">
        <f t="shared" ca="1" si="10"/>
        <v>-3.3665682442995615</v>
      </c>
      <c r="O92" s="10">
        <f t="shared" ca="1" si="11"/>
        <v>39.21035131990358</v>
      </c>
      <c r="P92" s="10"/>
      <c r="Q92" s="10"/>
      <c r="R92" s="10"/>
      <c r="S92" s="10"/>
      <c r="T92" s="10"/>
      <c r="U92" s="10"/>
      <c r="V92" s="10"/>
    </row>
    <row r="93" spans="1:22">
      <c r="A93" s="27">
        <v>91</v>
      </c>
      <c r="B93" s="13">
        <v>208</v>
      </c>
      <c r="C93" s="17">
        <v>214.793240937706</v>
      </c>
      <c r="D93" s="32">
        <f t="shared" ca="1" si="8"/>
        <v>209.71264818754119</v>
      </c>
      <c r="E93" s="27"/>
      <c r="F93" s="27"/>
      <c r="G93" s="27"/>
      <c r="H93" s="10">
        <f t="shared" si="12"/>
        <v>3.265981220050973</v>
      </c>
      <c r="I93" s="32">
        <f t="shared" si="13"/>
        <v>6.7932409377060026</v>
      </c>
      <c r="J93" s="10">
        <f t="shared" ca="1" si="14"/>
        <v>0.83</v>
      </c>
      <c r="K93" s="10">
        <f t="shared" ca="1" si="15"/>
        <v>0.94</v>
      </c>
      <c r="L93" s="10">
        <v>0.2</v>
      </c>
      <c r="M93" s="10">
        <f t="shared" ca="1" si="9"/>
        <v>1.7126481875412005</v>
      </c>
      <c r="N93" s="10">
        <f t="shared" ca="1" si="10"/>
        <v>0.82338855170249747</v>
      </c>
      <c r="O93" s="10">
        <f t="shared" ca="1" si="11"/>
        <v>2.9331638142881591</v>
      </c>
      <c r="P93" s="10"/>
      <c r="Q93" s="10"/>
      <c r="R93" s="10"/>
      <c r="S93" s="10"/>
      <c r="T93" s="10"/>
      <c r="U93" s="10"/>
      <c r="V93" s="10"/>
    </row>
    <row r="94" spans="1:22">
      <c r="A94" s="27">
        <v>92</v>
      </c>
      <c r="B94" s="13">
        <v>39</v>
      </c>
      <c r="C94" s="17">
        <v>49.9316151068358</v>
      </c>
      <c r="D94" s="32">
        <f t="shared" ca="1" si="8"/>
        <v>41.214323021367157</v>
      </c>
      <c r="E94" s="27"/>
      <c r="F94" s="27"/>
      <c r="G94" s="27"/>
      <c r="H94" s="10">
        <f t="shared" si="12"/>
        <v>28.029782325219998</v>
      </c>
      <c r="I94" s="32">
        <f t="shared" si="13"/>
        <v>10.9316151068358</v>
      </c>
      <c r="J94" s="10">
        <f t="shared" ca="1" si="14"/>
        <v>-0.1</v>
      </c>
      <c r="K94" s="10">
        <f t="shared" ca="1" si="15"/>
        <v>0.24</v>
      </c>
      <c r="L94" s="10">
        <v>0.2</v>
      </c>
      <c r="M94" s="10">
        <f t="shared" ca="1" si="9"/>
        <v>2.2143230213671603</v>
      </c>
      <c r="N94" s="10">
        <f t="shared" ca="1" si="10"/>
        <v>5.6777513368388544</v>
      </c>
      <c r="O94" s="10">
        <f t="shared" ca="1" si="11"/>
        <v>4.9032264429565897</v>
      </c>
      <c r="P94" s="10"/>
      <c r="Q94" s="10"/>
      <c r="R94" s="10"/>
      <c r="S94" s="10"/>
      <c r="T94" s="10"/>
      <c r="U94" s="10"/>
      <c r="V94" s="10"/>
    </row>
    <row r="95" spans="1:22">
      <c r="A95" s="27">
        <v>93</v>
      </c>
      <c r="B95" s="13">
        <v>14</v>
      </c>
      <c r="C95" s="17">
        <v>-14.9705610599149</v>
      </c>
      <c r="D95" s="32">
        <f t="shared" ca="1" si="8"/>
        <v>8.2033877880170198</v>
      </c>
      <c r="E95" s="27"/>
      <c r="F95" s="27"/>
      <c r="G95" s="27"/>
      <c r="H95" s="10">
        <f t="shared" si="12"/>
        <v>-206.93257899939215</v>
      </c>
      <c r="I95" s="32">
        <f t="shared" si="13"/>
        <v>-28.9705610599149</v>
      </c>
      <c r="J95" s="10">
        <f t="shared" ca="1" si="14"/>
        <v>-5.1000000000000004E-3</v>
      </c>
      <c r="K95" s="10">
        <f t="shared" ca="1" si="15"/>
        <v>-7.4000000000000003E-3</v>
      </c>
      <c r="L95" s="10">
        <v>0.2</v>
      </c>
      <c r="M95" s="10">
        <f t="shared" ca="1" si="9"/>
        <v>-5.7966122119829802</v>
      </c>
      <c r="N95" s="10">
        <f t="shared" ca="1" si="10"/>
        <v>-41.40437294273557</v>
      </c>
      <c r="O95" s="10">
        <f t="shared" ca="1" si="11"/>
        <v>33.600713136110215</v>
      </c>
      <c r="P95" s="10"/>
      <c r="Q95" s="10"/>
      <c r="R95" s="10"/>
      <c r="S95" s="10"/>
      <c r="T95" s="10"/>
      <c r="U95" s="10"/>
      <c r="V95" s="10"/>
    </row>
    <row r="96" spans="1:22">
      <c r="A96" s="27">
        <v>94</v>
      </c>
      <c r="B96" s="13">
        <v>94</v>
      </c>
      <c r="C96" s="17">
        <v>104.320772046502</v>
      </c>
      <c r="D96" s="32">
        <f t="shared" ca="1" si="8"/>
        <v>96.452154409300405</v>
      </c>
      <c r="E96" s="27"/>
      <c r="F96" s="27"/>
      <c r="G96" s="27"/>
      <c r="H96" s="10">
        <f t="shared" si="12"/>
        <v>10.979544730321278</v>
      </c>
      <c r="I96" s="32">
        <f t="shared" si="13"/>
        <v>10.320772046502</v>
      </c>
      <c r="J96" s="10">
        <f t="shared" ca="1" si="14"/>
        <v>0.99</v>
      </c>
      <c r="K96" s="10">
        <f t="shared" ca="1" si="15"/>
        <v>0.95</v>
      </c>
      <c r="L96" s="10">
        <v>0.2</v>
      </c>
      <c r="M96" s="10">
        <f t="shared" ca="1" si="9"/>
        <v>2.4521544093004</v>
      </c>
      <c r="N96" s="10">
        <f t="shared" ca="1" si="10"/>
        <v>2.6086749035110657</v>
      </c>
      <c r="O96" s="10">
        <f t="shared" ca="1" si="11"/>
        <v>6.0130612470513931</v>
      </c>
      <c r="P96" s="10"/>
      <c r="Q96" s="10"/>
      <c r="R96" s="10"/>
      <c r="S96" s="10"/>
      <c r="T96" s="10"/>
      <c r="U96" s="10"/>
      <c r="V96" s="10"/>
    </row>
    <row r="97" spans="1:22">
      <c r="A97" s="27">
        <v>95</v>
      </c>
      <c r="B97" s="13">
        <v>135</v>
      </c>
      <c r="C97" s="17">
        <v>134.769852971625</v>
      </c>
      <c r="D97" s="32">
        <f t="shared" ca="1" si="8"/>
        <v>134.98597059432501</v>
      </c>
      <c r="E97" s="27"/>
      <c r="F97" s="27"/>
      <c r="G97" s="27"/>
      <c r="H97" s="10">
        <f t="shared" si="12"/>
        <v>-0.17047928027777992</v>
      </c>
      <c r="I97" s="32">
        <f t="shared" si="13"/>
        <v>-0.23014702837500067</v>
      </c>
      <c r="J97" s="10">
        <f t="shared" ca="1" si="14"/>
        <v>0.1</v>
      </c>
      <c r="K97" s="10">
        <f t="shared" ca="1" si="15"/>
        <v>0.06</v>
      </c>
      <c r="L97" s="10">
        <v>0.2</v>
      </c>
      <c r="M97" s="10">
        <f t="shared" ca="1" si="9"/>
        <v>-1.4029405675000134E-2</v>
      </c>
      <c r="N97" s="10">
        <f t="shared" ca="1" si="10"/>
        <v>-1.0392152351845763E-2</v>
      </c>
      <c r="O97" s="10">
        <f t="shared" ca="1" si="11"/>
        <v>1.9682422359372596E-4</v>
      </c>
      <c r="P97" s="10"/>
      <c r="Q97" s="10"/>
      <c r="R97" s="10"/>
      <c r="S97" s="10"/>
      <c r="T97" s="10"/>
      <c r="U97" s="10"/>
      <c r="V97" s="10"/>
    </row>
    <row r="98" spans="1:22">
      <c r="A98" s="27">
        <v>96</v>
      </c>
      <c r="B98" s="13">
        <v>179</v>
      </c>
      <c r="C98" s="17">
        <v>148.323831075843</v>
      </c>
      <c r="D98" s="32">
        <f t="shared" ca="1" si="8"/>
        <v>173.09276621516861</v>
      </c>
      <c r="E98" s="27"/>
      <c r="F98" s="27"/>
      <c r="G98" s="27"/>
      <c r="H98" s="10">
        <f t="shared" si="12"/>
        <v>-17.137524538635198</v>
      </c>
      <c r="I98" s="32">
        <f t="shared" si="13"/>
        <v>-30.676168924156997</v>
      </c>
      <c r="J98" s="10">
        <f t="shared" ca="1" si="14"/>
        <v>0.74</v>
      </c>
      <c r="K98" s="10">
        <f t="shared" ca="1" si="15"/>
        <v>0.4</v>
      </c>
      <c r="L98" s="10">
        <v>0.2</v>
      </c>
      <c r="M98" s="10">
        <f t="shared" ca="1" si="9"/>
        <v>-5.9072337848314005</v>
      </c>
      <c r="N98" s="10">
        <f t="shared" ca="1" si="10"/>
        <v>-3.3001306060510549</v>
      </c>
      <c r="O98" s="10">
        <f t="shared" ca="1" si="11"/>
        <v>34.895410988653509</v>
      </c>
      <c r="P98" s="10"/>
      <c r="Q98" s="10"/>
      <c r="R98" s="10"/>
      <c r="S98" s="10"/>
      <c r="T98" s="10"/>
      <c r="U98" s="10"/>
      <c r="V98" s="10"/>
    </row>
    <row r="99" spans="1:22">
      <c r="A99" s="27">
        <v>97</v>
      </c>
      <c r="B99" s="13">
        <v>151</v>
      </c>
      <c r="C99" s="17">
        <v>122.14375230383401</v>
      </c>
      <c r="D99" s="32">
        <f t="shared" ca="1" si="8"/>
        <v>145.0367504607668</v>
      </c>
      <c r="E99" s="27"/>
      <c r="F99" s="27"/>
      <c r="G99" s="27"/>
      <c r="H99" s="10">
        <f t="shared" si="12"/>
        <v>-19.110097812030457</v>
      </c>
      <c r="I99" s="32">
        <f t="shared" si="13"/>
        <v>-28.856247696165994</v>
      </c>
      <c r="J99" s="10">
        <f t="shared" ca="1" si="14"/>
        <v>-0.15</v>
      </c>
      <c r="K99" s="10">
        <f t="shared" ca="1" si="15"/>
        <v>-0.81</v>
      </c>
      <c r="L99" s="10">
        <v>0.2</v>
      </c>
      <c r="M99" s="10">
        <f t="shared" ca="1" si="9"/>
        <v>-5.9632495392331988</v>
      </c>
      <c r="N99" s="10">
        <f t="shared" ca="1" si="10"/>
        <v>-3.9491718802868947</v>
      </c>
      <c r="O99" s="10">
        <f t="shared" ca="1" si="11"/>
        <v>35.56034506716496</v>
      </c>
      <c r="P99" s="10"/>
      <c r="Q99" s="10"/>
      <c r="R99" s="10"/>
      <c r="S99" s="10"/>
      <c r="T99" s="10"/>
      <c r="U99" s="10"/>
      <c r="V99" s="10"/>
    </row>
    <row r="100" spans="1:22">
      <c r="A100" s="27">
        <v>98</v>
      </c>
      <c r="B100" s="13">
        <v>136</v>
      </c>
      <c r="C100" s="17">
        <v>104.994127651253</v>
      </c>
      <c r="D100" s="32">
        <f t="shared" ca="1" si="8"/>
        <v>130.11082553025059</v>
      </c>
      <c r="E100" s="27"/>
      <c r="F100" s="27"/>
      <c r="G100" s="27"/>
      <c r="H100" s="10">
        <f t="shared" si="12"/>
        <v>-22.798435550549268</v>
      </c>
      <c r="I100" s="32">
        <f t="shared" si="13"/>
        <v>-31.005872348747005</v>
      </c>
      <c r="J100" s="10">
        <f t="shared" ca="1" si="14"/>
        <v>0.57999999999999996</v>
      </c>
      <c r="K100" s="10">
        <f t="shared" ca="1" si="15"/>
        <v>0.98</v>
      </c>
      <c r="L100" s="10">
        <v>0.2</v>
      </c>
      <c r="M100" s="10">
        <f t="shared" ca="1" si="9"/>
        <v>-5.8891744697494017</v>
      </c>
      <c r="N100" s="10">
        <f t="shared" ca="1" si="10"/>
        <v>-4.3302753454039777</v>
      </c>
      <c r="O100" s="10">
        <f t="shared" ca="1" si="11"/>
        <v>34.682375935148144</v>
      </c>
      <c r="P100" s="10"/>
      <c r="Q100" s="10"/>
      <c r="R100" s="10"/>
      <c r="S100" s="10"/>
      <c r="T100" s="10"/>
      <c r="U100" s="10"/>
      <c r="V100" s="10"/>
    </row>
    <row r="101" spans="1:22">
      <c r="A101" s="27">
        <v>99</v>
      </c>
      <c r="B101" s="13">
        <v>180</v>
      </c>
      <c r="C101" s="17">
        <v>188.59239954039501</v>
      </c>
      <c r="D101" s="32">
        <f t="shared" ca="1" si="8"/>
        <v>181.64647990807902</v>
      </c>
      <c r="E101" s="27"/>
      <c r="F101" s="27"/>
      <c r="G101" s="27"/>
      <c r="H101" s="10">
        <f t="shared" si="12"/>
        <v>4.7735553002194564</v>
      </c>
      <c r="I101" s="32">
        <f t="shared" si="13"/>
        <v>8.5923995403950073</v>
      </c>
      <c r="J101" s="10">
        <f t="shared" ca="1" si="14"/>
        <v>-0.34</v>
      </c>
      <c r="K101" s="10">
        <f t="shared" ca="1" si="15"/>
        <v>-0.02</v>
      </c>
      <c r="L101" s="10">
        <v>0.2</v>
      </c>
      <c r="M101" s="10">
        <f t="shared" ca="1" si="9"/>
        <v>1.6464799080790016</v>
      </c>
      <c r="N101" s="10">
        <f t="shared" ca="1" si="10"/>
        <v>0.91471106004390457</v>
      </c>
      <c r="O101" s="10">
        <f t="shared" ca="1" si="11"/>
        <v>2.7108960877078374</v>
      </c>
      <c r="P101" s="10"/>
      <c r="Q101" s="10"/>
      <c r="R101" s="10"/>
      <c r="S101" s="10"/>
      <c r="T101" s="10"/>
      <c r="U101" s="10"/>
      <c r="V101" s="10"/>
    </row>
    <row r="102" spans="1:22">
      <c r="A102" s="27">
        <v>100</v>
      </c>
      <c r="B102" s="13">
        <v>16</v>
      </c>
      <c r="C102" s="17">
        <v>17.143267074735999</v>
      </c>
      <c r="D102" s="32">
        <f t="shared" ca="1" si="8"/>
        <v>16.226413414947199</v>
      </c>
      <c r="E102" s="27"/>
      <c r="F102" s="27"/>
      <c r="G102" s="27"/>
      <c r="H102" s="10">
        <f t="shared" si="12"/>
        <v>7.1454192170999908</v>
      </c>
      <c r="I102" s="32">
        <f t="shared" si="13"/>
        <v>1.1432670747359985</v>
      </c>
      <c r="J102" s="10">
        <f t="shared" ca="1" si="14"/>
        <v>-3.8E-3</v>
      </c>
      <c r="K102" s="10">
        <f t="shared" ca="1" si="15"/>
        <v>-7.4000000000000003E-3</v>
      </c>
      <c r="L102" s="10">
        <v>0.2</v>
      </c>
      <c r="M102" s="10">
        <f t="shared" ca="1" si="9"/>
        <v>0.22641341494719969</v>
      </c>
      <c r="N102" s="10">
        <f t="shared" ca="1" si="10"/>
        <v>1.4150838434199953</v>
      </c>
      <c r="O102" s="10">
        <f t="shared" ca="1" si="11"/>
        <v>5.1263034468052825E-2</v>
      </c>
      <c r="P102" s="10"/>
      <c r="Q102" s="10"/>
      <c r="R102" s="10"/>
      <c r="S102" s="10"/>
      <c r="T102" s="10"/>
      <c r="U102" s="10"/>
      <c r="V102" s="10"/>
    </row>
    <row r="103" spans="1:22">
      <c r="A103" s="27">
        <v>101</v>
      </c>
      <c r="B103" s="13">
        <v>23</v>
      </c>
      <c r="C103" s="17">
        <v>24.907062609222901</v>
      </c>
      <c r="D103" s="32">
        <f t="shared" ca="1" si="8"/>
        <v>23.38415252184458</v>
      </c>
      <c r="E103" s="27"/>
      <c r="F103" s="27"/>
      <c r="G103" s="27"/>
      <c r="H103" s="10">
        <f t="shared" si="12"/>
        <v>8.2915765618386992</v>
      </c>
      <c r="I103" s="32">
        <f t="shared" si="13"/>
        <v>1.9070626092229013</v>
      </c>
      <c r="J103" s="10">
        <f t="shared" ca="1" si="14"/>
        <v>6.4000000000000003E-3</v>
      </c>
      <c r="K103" s="10">
        <f t="shared" ca="1" si="15"/>
        <v>7.3000000000000001E-3</v>
      </c>
      <c r="L103" s="10">
        <v>0.2</v>
      </c>
      <c r="M103" s="10">
        <f t="shared" ca="1" si="9"/>
        <v>0.38415252184458026</v>
      </c>
      <c r="N103" s="10">
        <f t="shared" ca="1" si="10"/>
        <v>1.670228355846004</v>
      </c>
      <c r="O103" s="10">
        <f t="shared" ca="1" si="11"/>
        <v>0.1475731600395507</v>
      </c>
      <c r="P103" s="10"/>
      <c r="Q103" s="10"/>
      <c r="R103" s="10"/>
      <c r="S103" s="10"/>
      <c r="T103" s="10"/>
      <c r="U103" s="10"/>
      <c r="V103" s="10"/>
    </row>
    <row r="104" spans="1:22">
      <c r="A104" s="27">
        <v>102</v>
      </c>
      <c r="B104" s="13">
        <v>77</v>
      </c>
      <c r="C104" s="17">
        <v>87.571623446497895</v>
      </c>
      <c r="D104" s="32">
        <f t="shared" ca="1" si="8"/>
        <v>79.136324689299585</v>
      </c>
      <c r="E104" s="27"/>
      <c r="F104" s="27"/>
      <c r="G104" s="27"/>
      <c r="H104" s="10">
        <f t="shared" si="12"/>
        <v>13.729381099347915</v>
      </c>
      <c r="I104" s="32">
        <f t="shared" si="13"/>
        <v>10.571623446497895</v>
      </c>
      <c r="J104" s="10">
        <f t="shared" ca="1" si="14"/>
        <v>0.24</v>
      </c>
      <c r="K104" s="10">
        <f t="shared" ca="1" si="15"/>
        <v>-0.13</v>
      </c>
      <c r="L104" s="10">
        <v>0.2</v>
      </c>
      <c r="M104" s="10">
        <f t="shared" ca="1" si="9"/>
        <v>2.1363246892995789</v>
      </c>
      <c r="N104" s="10">
        <f t="shared" ca="1" si="10"/>
        <v>2.7744476484410141</v>
      </c>
      <c r="O104" s="10">
        <f t="shared" ca="1" si="11"/>
        <v>4.5638831781109426</v>
      </c>
      <c r="P104" s="10"/>
      <c r="Q104" s="10"/>
      <c r="R104" s="10"/>
      <c r="S104" s="10"/>
      <c r="T104" s="10"/>
      <c r="U104" s="10"/>
      <c r="V104" s="10"/>
    </row>
    <row r="105" spans="1:22">
      <c r="A105" s="27">
        <v>103</v>
      </c>
      <c r="B105" s="13">
        <v>160</v>
      </c>
      <c r="C105" s="17">
        <v>129.70513636042401</v>
      </c>
      <c r="D105" s="32">
        <f t="shared" ca="1" si="8"/>
        <v>153.87502727208479</v>
      </c>
      <c r="E105" s="27"/>
      <c r="F105" s="27"/>
      <c r="G105" s="27"/>
      <c r="H105" s="10">
        <f t="shared" si="12"/>
        <v>-18.934289774734992</v>
      </c>
      <c r="I105" s="32">
        <f t="shared" si="13"/>
        <v>-30.294863639575993</v>
      </c>
      <c r="J105" s="10">
        <f t="shared" ca="1" si="14"/>
        <v>-0.3</v>
      </c>
      <c r="K105" s="10">
        <f t="shared" ca="1" si="15"/>
        <v>-0.03</v>
      </c>
      <c r="L105" s="10">
        <v>0.2</v>
      </c>
      <c r="M105" s="10">
        <f t="shared" ca="1" si="9"/>
        <v>-6.1249727279151998</v>
      </c>
      <c r="N105" s="10">
        <f t="shared" ca="1" si="10"/>
        <v>-3.8281079549470021</v>
      </c>
      <c r="O105" s="10">
        <f t="shared" ca="1" si="11"/>
        <v>37.515290917704966</v>
      </c>
      <c r="P105" s="10"/>
      <c r="Q105" s="10"/>
      <c r="R105" s="10"/>
      <c r="S105" s="10"/>
      <c r="T105" s="10"/>
      <c r="U105" s="10"/>
      <c r="V105" s="10"/>
    </row>
    <row r="106" spans="1:22">
      <c r="A106" s="27">
        <v>104</v>
      </c>
      <c r="B106" s="13">
        <v>126</v>
      </c>
      <c r="C106" s="17">
        <v>124.80426415633001</v>
      </c>
      <c r="D106" s="32">
        <f t="shared" ca="1" si="8"/>
        <v>125.75485283126601</v>
      </c>
      <c r="E106" s="27"/>
      <c r="F106" s="27"/>
      <c r="G106" s="27"/>
      <c r="H106" s="10">
        <f t="shared" si="12"/>
        <v>-0.9489967013253886</v>
      </c>
      <c r="I106" s="32">
        <f t="shared" si="13"/>
        <v>-1.1957358436699934</v>
      </c>
      <c r="J106" s="10">
        <f t="shared" ca="1" si="14"/>
        <v>-0.43</v>
      </c>
      <c r="K106" s="10">
        <f t="shared" ca="1" si="15"/>
        <v>0.4</v>
      </c>
      <c r="L106" s="10">
        <v>0.2</v>
      </c>
      <c r="M106" s="10">
        <f t="shared" ca="1" si="9"/>
        <v>-0.24514716873399867</v>
      </c>
      <c r="N106" s="10">
        <f t="shared" ca="1" si="10"/>
        <v>-0.19456124502698069</v>
      </c>
      <c r="O106" s="10">
        <f t="shared" ca="1" si="11"/>
        <v>6.009713433829561E-2</v>
      </c>
      <c r="P106" s="10"/>
      <c r="Q106" s="10"/>
      <c r="R106" s="10"/>
      <c r="S106" s="10"/>
      <c r="T106" s="10"/>
      <c r="U106" s="10"/>
      <c r="V106" s="10"/>
    </row>
    <row r="107" spans="1:22">
      <c r="A107" s="27">
        <v>105</v>
      </c>
      <c r="B107" s="13">
        <v>145</v>
      </c>
      <c r="C107" s="17">
        <v>155.516609469966</v>
      </c>
      <c r="D107" s="32">
        <f t="shared" ca="1" si="8"/>
        <v>147.14132189399319</v>
      </c>
      <c r="E107" s="27"/>
      <c r="F107" s="27"/>
      <c r="G107" s="27"/>
      <c r="H107" s="10">
        <f t="shared" si="12"/>
        <v>7.2528341172179323</v>
      </c>
      <c r="I107" s="32">
        <f t="shared" si="13"/>
        <v>10.516609469965999</v>
      </c>
      <c r="J107" s="10">
        <f t="shared" ca="1" si="14"/>
        <v>0.99</v>
      </c>
      <c r="K107" s="10">
        <f t="shared" ca="1" si="15"/>
        <v>-0.8</v>
      </c>
      <c r="L107" s="10">
        <v>0.2</v>
      </c>
      <c r="M107" s="10">
        <f t="shared" ca="1" si="9"/>
        <v>2.1413218939931999</v>
      </c>
      <c r="N107" s="10">
        <f t="shared" ca="1" si="10"/>
        <v>1.4767737199953057</v>
      </c>
      <c r="O107" s="10">
        <f t="shared" ca="1" si="11"/>
        <v>4.5852594536946247</v>
      </c>
      <c r="P107" s="10"/>
      <c r="Q107" s="10"/>
      <c r="R107" s="10"/>
      <c r="S107" s="10"/>
      <c r="T107" s="10"/>
      <c r="U107" s="10"/>
      <c r="V107" s="10"/>
    </row>
    <row r="108" spans="1:22">
      <c r="A108" s="27">
        <v>106</v>
      </c>
      <c r="B108" s="13">
        <v>173</v>
      </c>
      <c r="C108" s="17">
        <v>183.85146128514501</v>
      </c>
      <c r="D108" s="32">
        <f t="shared" ca="1" si="8"/>
        <v>175.21229225702899</v>
      </c>
      <c r="E108" s="27"/>
      <c r="F108" s="27"/>
      <c r="G108" s="27"/>
      <c r="H108" s="10">
        <f t="shared" si="12"/>
        <v>6.2725209740722487</v>
      </c>
      <c r="I108" s="32">
        <f t="shared" si="13"/>
        <v>10.851461285145007</v>
      </c>
      <c r="J108" s="10">
        <f t="shared" ca="1" si="14"/>
        <v>-0.71</v>
      </c>
      <c r="K108" s="10">
        <f t="shared" ca="1" si="15"/>
        <v>0.92</v>
      </c>
      <c r="L108" s="10">
        <v>0.2</v>
      </c>
      <c r="M108" s="10">
        <f t="shared" ca="1" si="9"/>
        <v>2.2122922570290013</v>
      </c>
      <c r="N108" s="10">
        <f t="shared" ca="1" si="10"/>
        <v>1.2787816514618466</v>
      </c>
      <c r="O108" s="10">
        <f t="shared" ca="1" si="11"/>
        <v>4.8942370305104728</v>
      </c>
      <c r="P108" s="10"/>
      <c r="Q108" s="10"/>
      <c r="R108" s="10"/>
      <c r="S108" s="10"/>
      <c r="T108" s="10"/>
      <c r="U108" s="10"/>
      <c r="V108" s="10"/>
    </row>
    <row r="109" spans="1:22">
      <c r="A109" s="27">
        <v>107</v>
      </c>
      <c r="B109" s="13">
        <v>68</v>
      </c>
      <c r="C109" s="17">
        <v>79.486049101530597</v>
      </c>
      <c r="D109" s="32">
        <f t="shared" ca="1" si="8"/>
        <v>70.605209820306115</v>
      </c>
      <c r="E109" s="27"/>
      <c r="F109" s="27"/>
      <c r="G109" s="27"/>
      <c r="H109" s="10">
        <f t="shared" si="12"/>
        <v>16.891248678721471</v>
      </c>
      <c r="I109" s="32">
        <f t="shared" si="13"/>
        <v>11.486049101530597</v>
      </c>
      <c r="J109" s="10">
        <f t="shared" ca="1" si="14"/>
        <v>0.61</v>
      </c>
      <c r="K109" s="10">
        <f t="shared" ca="1" si="15"/>
        <v>0.93</v>
      </c>
      <c r="L109" s="10">
        <v>0.2</v>
      </c>
      <c r="M109" s="10">
        <f t="shared" ca="1" si="9"/>
        <v>2.6052098203061194</v>
      </c>
      <c r="N109" s="10">
        <f t="shared" ca="1" si="10"/>
        <v>3.8311909122148657</v>
      </c>
      <c r="O109" s="10">
        <f t="shared" ca="1" si="11"/>
        <v>6.787118207819443</v>
      </c>
      <c r="P109" s="10"/>
      <c r="Q109" s="10"/>
      <c r="R109" s="10"/>
      <c r="S109" s="10"/>
      <c r="T109" s="10"/>
      <c r="U109" s="10"/>
      <c r="V109" s="10"/>
    </row>
    <row r="110" spans="1:22">
      <c r="A110" s="27">
        <v>108</v>
      </c>
      <c r="B110" s="13">
        <v>59</v>
      </c>
      <c r="C110" s="17">
        <v>29.8655756688213</v>
      </c>
      <c r="D110" s="32">
        <f t="shared" ca="1" si="8"/>
        <v>53.023115133764257</v>
      </c>
      <c r="E110" s="27"/>
      <c r="F110" s="27"/>
      <c r="G110" s="27"/>
      <c r="H110" s="10">
        <f t="shared" si="12"/>
        <v>-49.380380222336782</v>
      </c>
      <c r="I110" s="32">
        <f t="shared" si="13"/>
        <v>-29.1344243311787</v>
      </c>
      <c r="J110" s="10">
        <f t="shared" ca="1" si="14"/>
        <v>-0.27</v>
      </c>
      <c r="K110" s="10">
        <f t="shared" ca="1" si="15"/>
        <v>-0.48</v>
      </c>
      <c r="L110" s="10">
        <v>0.2</v>
      </c>
      <c r="M110" s="10">
        <f t="shared" ca="1" si="9"/>
        <v>-5.9768848662357401</v>
      </c>
      <c r="N110" s="10">
        <f t="shared" ca="1" si="10"/>
        <v>-10.130313332602958</v>
      </c>
      <c r="O110" s="10">
        <f t="shared" ca="1" si="11"/>
        <v>35.723152704237819</v>
      </c>
      <c r="P110" s="10">
        <f ca="1">SUM(O3:O459)</f>
        <v>6998.8901083684777</v>
      </c>
      <c r="Q110" s="10"/>
      <c r="R110" s="10"/>
      <c r="S110" s="10"/>
      <c r="T110" s="10"/>
      <c r="U110" s="10"/>
      <c r="V110" s="10"/>
    </row>
    <row r="111" spans="1:22">
      <c r="A111" s="27">
        <v>109</v>
      </c>
      <c r="B111" s="13">
        <v>191</v>
      </c>
      <c r="C111" s="17">
        <v>190.77135795858101</v>
      </c>
      <c r="D111" s="32">
        <f t="shared" ca="1" si="8"/>
        <v>191.05827159171619</v>
      </c>
      <c r="E111" s="27"/>
      <c r="F111" s="27"/>
      <c r="G111" s="27"/>
      <c r="H111" s="10">
        <f t="shared" si="12"/>
        <v>-0.11970787508848169</v>
      </c>
      <c r="I111" s="32">
        <f t="shared" si="13"/>
        <v>-0.22864204141899336</v>
      </c>
      <c r="J111" s="10">
        <f t="shared" ca="1" si="14"/>
        <v>0.39</v>
      </c>
      <c r="K111" s="10">
        <f t="shared" ca="1" si="15"/>
        <v>0.13</v>
      </c>
      <c r="L111" s="10">
        <v>0.2</v>
      </c>
      <c r="M111" s="10">
        <f t="shared" ca="1" si="9"/>
        <v>5.8271591716201332E-2</v>
      </c>
      <c r="N111" s="10">
        <f t="shared" ca="1" si="10"/>
        <v>3.0508686762398263E-2</v>
      </c>
      <c r="O111" s="10">
        <f t="shared" ca="1" si="11"/>
        <v>3.3955784011396638E-3</v>
      </c>
      <c r="P111" s="10"/>
      <c r="Q111" s="10"/>
      <c r="R111" s="10"/>
      <c r="S111" s="10"/>
      <c r="T111" s="10"/>
      <c r="U111" s="10"/>
      <c r="V111" s="10"/>
    </row>
    <row r="112" spans="1:22">
      <c r="A112" s="27">
        <v>110</v>
      </c>
      <c r="B112" s="13">
        <v>35</v>
      </c>
      <c r="C112" s="17">
        <v>35.505867984364599</v>
      </c>
      <c r="D112" s="32">
        <f t="shared" ca="1" si="8"/>
        <v>35.081173596872922</v>
      </c>
      <c r="E112" s="27"/>
      <c r="F112" s="27"/>
      <c r="G112" s="27"/>
      <c r="H112" s="10">
        <f t="shared" si="12"/>
        <v>1.4453370981845737</v>
      </c>
      <c r="I112" s="32">
        <f t="shared" si="13"/>
        <v>0.50586798436459901</v>
      </c>
      <c r="J112" s="10">
        <f t="shared" ca="1" si="14"/>
        <v>0.21</v>
      </c>
      <c r="K112" s="10">
        <f t="shared" ca="1" si="15"/>
        <v>-0.31</v>
      </c>
      <c r="L112" s="10">
        <v>0.2</v>
      </c>
      <c r="M112" s="10">
        <f t="shared" ca="1" si="9"/>
        <v>8.1173596872919807E-2</v>
      </c>
      <c r="N112" s="10">
        <f t="shared" ca="1" si="10"/>
        <v>0.23192456249405691</v>
      </c>
      <c r="O112" s="10">
        <f t="shared" ca="1" si="11"/>
        <v>6.589152829287296E-3</v>
      </c>
      <c r="P112" s="10"/>
      <c r="Q112" s="10"/>
      <c r="R112" s="10"/>
      <c r="S112" s="10"/>
      <c r="T112" s="10"/>
      <c r="U112" s="10"/>
      <c r="V112" s="10"/>
    </row>
    <row r="113" spans="1:22">
      <c r="A113" s="27">
        <v>111</v>
      </c>
      <c r="B113" s="13">
        <v>132</v>
      </c>
      <c r="C113" s="17">
        <v>102.31061416275899</v>
      </c>
      <c r="D113" s="32">
        <f t="shared" ca="1" si="8"/>
        <v>126.22012283255179</v>
      </c>
      <c r="E113" s="27"/>
      <c r="F113" s="27"/>
      <c r="G113" s="27"/>
      <c r="H113" s="10">
        <f t="shared" si="12"/>
        <v>-22.491958967606816</v>
      </c>
      <c r="I113" s="32">
        <f t="shared" si="13"/>
        <v>-29.689385837241005</v>
      </c>
      <c r="J113" s="10">
        <f t="shared" ca="1" si="14"/>
        <v>0.11</v>
      </c>
      <c r="K113" s="10">
        <f t="shared" ca="1" si="15"/>
        <v>0.68</v>
      </c>
      <c r="L113" s="10">
        <v>0.2</v>
      </c>
      <c r="M113" s="10">
        <f t="shared" ca="1" si="9"/>
        <v>-5.7798771674482019</v>
      </c>
      <c r="N113" s="10">
        <f t="shared" ca="1" si="10"/>
        <v>-4.3786948238244028</v>
      </c>
      <c r="O113" s="10">
        <f t="shared" ca="1" si="11"/>
        <v>33.406980070789047</v>
      </c>
      <c r="P113" s="10"/>
      <c r="Q113" s="10"/>
      <c r="R113" s="10"/>
      <c r="S113" s="10"/>
      <c r="T113" s="10"/>
      <c r="U113" s="10"/>
      <c r="V113" s="10"/>
    </row>
    <row r="114" spans="1:22">
      <c r="A114" s="27">
        <v>112</v>
      </c>
      <c r="B114" s="13">
        <v>102</v>
      </c>
      <c r="C114" s="17">
        <v>113.80880553582099</v>
      </c>
      <c r="D114" s="32">
        <f t="shared" ca="1" si="8"/>
        <v>104.27976110716421</v>
      </c>
      <c r="E114" s="27"/>
      <c r="F114" s="27"/>
      <c r="G114" s="27"/>
      <c r="H114" s="10">
        <f t="shared" si="12"/>
        <v>11.577260329236271</v>
      </c>
      <c r="I114" s="32">
        <f t="shared" si="13"/>
        <v>11.808805535820994</v>
      </c>
      <c r="J114" s="10">
        <f t="shared" ca="1" si="14"/>
        <v>0.47</v>
      </c>
      <c r="K114" s="10">
        <f t="shared" ca="1" si="15"/>
        <v>-0.88</v>
      </c>
      <c r="L114" s="10">
        <v>0.2</v>
      </c>
      <c r="M114" s="10">
        <f t="shared" ca="1" si="9"/>
        <v>2.279761107164199</v>
      </c>
      <c r="N114" s="10">
        <f t="shared" ca="1" si="10"/>
        <v>2.2350599089845158</v>
      </c>
      <c r="O114" s="10">
        <f t="shared" ca="1" si="11"/>
        <v>5.1973107057385342</v>
      </c>
      <c r="P114" s="10"/>
      <c r="Q114" s="10"/>
      <c r="R114" s="10"/>
      <c r="S114" s="10"/>
      <c r="T114" s="10"/>
      <c r="U114" s="10"/>
      <c r="V114" s="10"/>
    </row>
    <row r="115" spans="1:22">
      <c r="A115" s="27">
        <v>113</v>
      </c>
      <c r="B115" s="13">
        <v>41</v>
      </c>
      <c r="C115" s="17">
        <v>42.587570810081502</v>
      </c>
      <c r="D115" s="32">
        <f t="shared" ca="1" si="8"/>
        <v>41.359514162016303</v>
      </c>
      <c r="E115" s="27"/>
      <c r="F115" s="27"/>
      <c r="G115" s="27"/>
      <c r="H115" s="10">
        <f t="shared" si="12"/>
        <v>3.8721239270280483</v>
      </c>
      <c r="I115" s="32">
        <f t="shared" si="13"/>
        <v>1.5875708100815018</v>
      </c>
      <c r="J115" s="10">
        <f t="shared" ca="1" si="14"/>
        <v>0.03</v>
      </c>
      <c r="K115" s="10">
        <f t="shared" ca="1" si="15"/>
        <v>0.18</v>
      </c>
      <c r="L115" s="10">
        <v>0.2</v>
      </c>
      <c r="M115" s="10">
        <f t="shared" ca="1" si="9"/>
        <v>0.35951416201630038</v>
      </c>
      <c r="N115" s="10">
        <f t="shared" ca="1" si="10"/>
        <v>0.8768638097958581</v>
      </c>
      <c r="O115" s="10">
        <f t="shared" ca="1" si="11"/>
        <v>0.12925043269028266</v>
      </c>
      <c r="P115" s="10"/>
      <c r="Q115" s="10"/>
      <c r="R115" s="10"/>
      <c r="S115" s="10"/>
      <c r="T115" s="10"/>
      <c r="U115" s="10"/>
      <c r="V115" s="10"/>
    </row>
    <row r="116" spans="1:22">
      <c r="A116" s="27">
        <v>114</v>
      </c>
      <c r="B116" s="13">
        <v>13</v>
      </c>
      <c r="C116" s="17">
        <v>-15.3688786425163</v>
      </c>
      <c r="D116" s="32">
        <f t="shared" ca="1" si="8"/>
        <v>7.3262842714967391</v>
      </c>
      <c r="E116" s="27"/>
      <c r="F116" s="27"/>
      <c r="G116" s="27"/>
      <c r="H116" s="10">
        <f t="shared" si="12"/>
        <v>-218.22214340397156</v>
      </c>
      <c r="I116" s="32">
        <f t="shared" si="13"/>
        <v>-28.3688786425163</v>
      </c>
      <c r="J116" s="10">
        <f t="shared" ca="1" si="14"/>
        <v>-2.8999999999999998E-3</v>
      </c>
      <c r="K116" s="10">
        <f t="shared" ca="1" si="15"/>
        <v>3.2000000000000002E-3</v>
      </c>
      <c r="L116" s="10">
        <v>0.2</v>
      </c>
      <c r="M116" s="10">
        <f t="shared" ca="1" si="9"/>
        <v>-5.6737157285032609</v>
      </c>
      <c r="N116" s="10">
        <f t="shared" ca="1" si="10"/>
        <v>-43.643967142332777</v>
      </c>
      <c r="O116" s="10">
        <f t="shared" ca="1" si="11"/>
        <v>32.191050167865285</v>
      </c>
      <c r="P116" s="10"/>
      <c r="Q116" s="10"/>
      <c r="R116" s="10"/>
      <c r="S116" s="10"/>
      <c r="T116" s="10"/>
      <c r="U116" s="10"/>
      <c r="V116" s="10"/>
    </row>
    <row r="117" spans="1:22">
      <c r="A117" s="27">
        <v>115</v>
      </c>
      <c r="B117" s="13">
        <v>66</v>
      </c>
      <c r="C117" s="17">
        <v>66.893749262476405</v>
      </c>
      <c r="D117" s="32">
        <f t="shared" ca="1" si="8"/>
        <v>66.158749852495276</v>
      </c>
      <c r="E117" s="27"/>
      <c r="F117" s="27"/>
      <c r="G117" s="27"/>
      <c r="H117" s="10">
        <f t="shared" si="12"/>
        <v>1.3541655492066651</v>
      </c>
      <c r="I117" s="32">
        <f t="shared" si="13"/>
        <v>0.89374926247640474</v>
      </c>
      <c r="J117" s="10">
        <f t="shared" ca="1" si="14"/>
        <v>-0.85</v>
      </c>
      <c r="K117" s="10">
        <f t="shared" ca="1" si="15"/>
        <v>0.75</v>
      </c>
      <c r="L117" s="10">
        <v>0.2</v>
      </c>
      <c r="M117" s="10">
        <f t="shared" ca="1" si="9"/>
        <v>0.15874985249528095</v>
      </c>
      <c r="N117" s="10">
        <f t="shared" ca="1" si="10"/>
        <v>0.24053007953830363</v>
      </c>
      <c r="O117" s="10">
        <f t="shared" ca="1" si="11"/>
        <v>2.5201515667273459E-2</v>
      </c>
      <c r="P117" s="10"/>
      <c r="Q117" s="10"/>
      <c r="R117" s="10"/>
      <c r="S117" s="10"/>
      <c r="T117" s="10"/>
      <c r="U117" s="10"/>
      <c r="V117" s="10"/>
    </row>
    <row r="118" spans="1:22">
      <c r="A118" s="27">
        <v>116</v>
      </c>
      <c r="B118" s="13">
        <v>144</v>
      </c>
      <c r="C118" s="17">
        <v>143.71338555759701</v>
      </c>
      <c r="D118" s="32">
        <f t="shared" ca="1" si="8"/>
        <v>144.15267711151941</v>
      </c>
      <c r="E118" s="27"/>
      <c r="F118" s="27"/>
      <c r="G118" s="27"/>
      <c r="H118" s="10">
        <f t="shared" si="12"/>
        <v>-0.19903780722430042</v>
      </c>
      <c r="I118" s="32">
        <f t="shared" si="13"/>
        <v>-0.28661444240299261</v>
      </c>
      <c r="J118" s="10">
        <f t="shared" ca="1" si="14"/>
        <v>0.99</v>
      </c>
      <c r="K118" s="10">
        <f t="shared" ca="1" si="15"/>
        <v>0.06</v>
      </c>
      <c r="L118" s="10">
        <v>0.2</v>
      </c>
      <c r="M118" s="10">
        <f t="shared" ca="1" si="9"/>
        <v>0.1526771115194015</v>
      </c>
      <c r="N118" s="10">
        <f t="shared" ca="1" si="10"/>
        <v>0.10602577188847384</v>
      </c>
      <c r="O118" s="10">
        <f t="shared" ca="1" si="11"/>
        <v>2.3310300381907761E-2</v>
      </c>
      <c r="P118" s="10"/>
      <c r="Q118" s="10"/>
      <c r="R118" s="10"/>
      <c r="S118" s="10"/>
      <c r="T118" s="10"/>
      <c r="U118" s="10"/>
      <c r="V118" s="10"/>
    </row>
    <row r="119" spans="1:22">
      <c r="A119" s="27">
        <v>117</v>
      </c>
      <c r="B119" s="13">
        <v>116</v>
      </c>
      <c r="C119" s="17">
        <v>86.652983498328695</v>
      </c>
      <c r="D119" s="32">
        <f t="shared" ca="1" si="8"/>
        <v>110.23059669966574</v>
      </c>
      <c r="E119" s="27"/>
      <c r="F119" s="27"/>
      <c r="G119" s="27"/>
      <c r="H119" s="10">
        <f t="shared" si="12"/>
        <v>-25.299152156613193</v>
      </c>
      <c r="I119" s="32">
        <f t="shared" si="13"/>
        <v>-29.347016501671305</v>
      </c>
      <c r="J119" s="10">
        <f t="shared" ca="1" si="14"/>
        <v>0.3</v>
      </c>
      <c r="K119" s="10">
        <f t="shared" ca="1" si="15"/>
        <v>0.2</v>
      </c>
      <c r="L119" s="10">
        <v>0.2</v>
      </c>
      <c r="M119" s="10">
        <f t="shared" ca="1" si="9"/>
        <v>-5.7694033003342611</v>
      </c>
      <c r="N119" s="10">
        <f t="shared" ca="1" si="10"/>
        <v>-4.9736235347709101</v>
      </c>
      <c r="O119" s="10">
        <f t="shared" ca="1" si="11"/>
        <v>33.286014441907867</v>
      </c>
      <c r="P119" s="10"/>
      <c r="Q119" s="10"/>
      <c r="R119" s="10"/>
      <c r="S119" s="10"/>
      <c r="T119" s="10"/>
      <c r="U119" s="10"/>
      <c r="V119" s="10"/>
    </row>
    <row r="120" spans="1:22">
      <c r="A120" s="27">
        <v>118</v>
      </c>
      <c r="B120" s="13">
        <v>109</v>
      </c>
      <c r="C120" s="17">
        <v>118.93945751464901</v>
      </c>
      <c r="D120" s="32">
        <f t="shared" ca="1" si="8"/>
        <v>111.1898915029298</v>
      </c>
      <c r="E120" s="27"/>
      <c r="F120" s="27"/>
      <c r="G120" s="27"/>
      <c r="H120" s="10">
        <f t="shared" si="12"/>
        <v>9.118768362063312</v>
      </c>
      <c r="I120" s="32">
        <f t="shared" si="13"/>
        <v>9.939457514649007</v>
      </c>
      <c r="J120" s="10">
        <f t="shared" ca="1" si="14"/>
        <v>0.6</v>
      </c>
      <c r="K120" s="10">
        <f t="shared" ca="1" si="15"/>
        <v>0.41</v>
      </c>
      <c r="L120" s="10">
        <v>0.2</v>
      </c>
      <c r="M120" s="10">
        <f t="shared" ca="1" si="9"/>
        <v>2.1898915029298016</v>
      </c>
      <c r="N120" s="10">
        <f t="shared" ca="1" si="10"/>
        <v>2.0090747733300995</v>
      </c>
      <c r="O120" s="10">
        <f t="shared" ca="1" si="11"/>
        <v>4.7956247946041453</v>
      </c>
      <c r="P120" s="10"/>
      <c r="Q120" s="10"/>
      <c r="R120" s="10"/>
      <c r="S120" s="10"/>
      <c r="T120" s="10"/>
      <c r="U120" s="10"/>
      <c r="V120" s="10"/>
    </row>
    <row r="121" spans="1:22">
      <c r="A121" s="27">
        <v>119</v>
      </c>
      <c r="B121" s="13">
        <v>127</v>
      </c>
      <c r="C121" s="17">
        <v>127.444630608776</v>
      </c>
      <c r="D121" s="32">
        <f t="shared" ca="1" si="8"/>
        <v>126.95492612175519</v>
      </c>
      <c r="E121" s="27"/>
      <c r="F121" s="27"/>
      <c r="G121" s="27"/>
      <c r="H121" s="10">
        <f t="shared" si="12"/>
        <v>0.35010284155589932</v>
      </c>
      <c r="I121" s="32">
        <f t="shared" si="13"/>
        <v>0.44463060877599503</v>
      </c>
      <c r="J121" s="10">
        <f t="shared" ca="1" si="14"/>
        <v>-0.47</v>
      </c>
      <c r="K121" s="10">
        <f t="shared" ca="1" si="15"/>
        <v>-0.2</v>
      </c>
      <c r="L121" s="10">
        <v>0.2</v>
      </c>
      <c r="M121" s="10">
        <f t="shared" ca="1" si="9"/>
        <v>-4.5073878244800997E-2</v>
      </c>
      <c r="N121" s="10">
        <f t="shared" ca="1" si="10"/>
        <v>-3.5491242712448745E-2</v>
      </c>
      <c r="O121" s="10">
        <f t="shared" ca="1" si="11"/>
        <v>2.0316545000271446E-3</v>
      </c>
      <c r="P121" s="10"/>
      <c r="Q121" s="10"/>
      <c r="R121" s="10"/>
      <c r="S121" s="10"/>
      <c r="T121" s="10"/>
      <c r="U121" s="10"/>
      <c r="V121" s="10"/>
    </row>
    <row r="122" spans="1:22">
      <c r="A122" s="27">
        <v>120</v>
      </c>
      <c r="B122" s="13">
        <v>161</v>
      </c>
      <c r="C122" s="17">
        <v>130.51125425684299</v>
      </c>
      <c r="D122" s="32">
        <f t="shared" ca="1" si="8"/>
        <v>155.01425085136859</v>
      </c>
      <c r="E122" s="27"/>
      <c r="F122" s="27"/>
      <c r="G122" s="27"/>
      <c r="H122" s="10">
        <f t="shared" si="12"/>
        <v>-18.937109157240386</v>
      </c>
      <c r="I122" s="32">
        <f t="shared" si="13"/>
        <v>-30.488745743157011</v>
      </c>
      <c r="J122" s="10">
        <f t="shared" ca="1" si="14"/>
        <v>-0.26</v>
      </c>
      <c r="K122" s="10">
        <f t="shared" ca="1" si="15"/>
        <v>0.82</v>
      </c>
      <c r="L122" s="10">
        <v>0.2</v>
      </c>
      <c r="M122" s="10">
        <f t="shared" ca="1" si="9"/>
        <v>-5.9857491486314025</v>
      </c>
      <c r="N122" s="10">
        <f t="shared" ca="1" si="10"/>
        <v>-3.7178566140567804</v>
      </c>
      <c r="O122" s="10">
        <f t="shared" ca="1" si="11"/>
        <v>35.829192870341558</v>
      </c>
      <c r="P122" s="10"/>
      <c r="Q122" s="10"/>
      <c r="R122" s="10"/>
      <c r="S122" s="10"/>
      <c r="T122" s="10"/>
      <c r="U122" s="10"/>
      <c r="V122" s="10"/>
    </row>
    <row r="123" spans="1:22">
      <c r="A123" s="27">
        <v>121</v>
      </c>
      <c r="B123" s="13">
        <v>151</v>
      </c>
      <c r="C123" s="17">
        <v>151</v>
      </c>
      <c r="D123" s="32">
        <f t="shared" ca="1" si="8"/>
        <v>150.79599999999999</v>
      </c>
      <c r="E123" s="27"/>
      <c r="F123" s="27"/>
      <c r="G123" s="27"/>
      <c r="H123" s="10">
        <f t="shared" si="12"/>
        <v>0</v>
      </c>
      <c r="I123" s="32">
        <f t="shared" si="13"/>
        <v>0</v>
      </c>
      <c r="J123" s="10">
        <f t="shared" ca="1" si="14"/>
        <v>-0.25</v>
      </c>
      <c r="K123" s="10">
        <f t="shared" ca="1" si="15"/>
        <v>-0.77</v>
      </c>
      <c r="L123" s="10">
        <v>0.2</v>
      </c>
      <c r="M123" s="10">
        <f t="shared" ca="1" si="9"/>
        <v>-0.20400000000000001</v>
      </c>
      <c r="N123" s="10">
        <f t="shared" ca="1" si="10"/>
        <v>-0.13509933774834559</v>
      </c>
      <c r="O123" s="10">
        <f t="shared" ca="1" si="11"/>
        <v>4.1616000000000007E-2</v>
      </c>
      <c r="P123" s="10"/>
      <c r="Q123" s="10"/>
      <c r="R123" s="10"/>
      <c r="S123" s="10"/>
      <c r="T123" s="10"/>
      <c r="U123" s="10"/>
      <c r="V123" s="10"/>
    </row>
    <row r="124" spans="1:22">
      <c r="A124" s="27">
        <v>122</v>
      </c>
      <c r="B124" s="13">
        <v>21</v>
      </c>
      <c r="C124" s="17">
        <v>32.128040308409702</v>
      </c>
      <c r="D124" s="32">
        <f t="shared" ca="1" si="8"/>
        <v>23.22604806168194</v>
      </c>
      <c r="E124" s="27"/>
      <c r="F124" s="27"/>
      <c r="G124" s="27"/>
      <c r="H124" s="10">
        <f t="shared" si="12"/>
        <v>52.990668135284302</v>
      </c>
      <c r="I124" s="32">
        <f t="shared" si="13"/>
        <v>11.128040308409702</v>
      </c>
      <c r="J124" s="10">
        <f t="shared" ca="1" si="14"/>
        <v>-1.1000000000000001E-3</v>
      </c>
      <c r="K124" s="10">
        <f t="shared" ca="1" si="15"/>
        <v>3.3E-3</v>
      </c>
      <c r="L124" s="10">
        <v>0.2</v>
      </c>
      <c r="M124" s="10">
        <f t="shared" ca="1" si="9"/>
        <v>2.2260480616819405</v>
      </c>
      <c r="N124" s="10">
        <f t="shared" ca="1" si="10"/>
        <v>10.600228865152106</v>
      </c>
      <c r="O124" s="10">
        <f t="shared" ca="1" si="11"/>
        <v>4.9552899729179245</v>
      </c>
      <c r="P124" s="10"/>
      <c r="Q124" s="10"/>
      <c r="R124" s="10"/>
      <c r="S124" s="10"/>
      <c r="T124" s="10"/>
      <c r="U124" s="10"/>
      <c r="V124" s="10"/>
    </row>
    <row r="125" spans="1:22">
      <c r="A125" s="27">
        <v>123</v>
      </c>
      <c r="B125" s="13">
        <v>31</v>
      </c>
      <c r="C125" s="17">
        <v>33.245365188624604</v>
      </c>
      <c r="D125" s="32">
        <f t="shared" ca="1" si="8"/>
        <v>31.627073037724919</v>
      </c>
      <c r="E125" s="27"/>
      <c r="F125" s="27"/>
      <c r="G125" s="27"/>
      <c r="H125" s="10">
        <f t="shared" si="12"/>
        <v>7.2431135116922674</v>
      </c>
      <c r="I125" s="32">
        <f t="shared" si="13"/>
        <v>2.2453651886246035</v>
      </c>
      <c r="J125" s="10">
        <f t="shared" ca="1" si="14"/>
        <v>0.51</v>
      </c>
      <c r="K125" s="10">
        <f t="shared" ca="1" si="15"/>
        <v>0.38</v>
      </c>
      <c r="L125" s="10">
        <v>0.2</v>
      </c>
      <c r="M125" s="10">
        <f t="shared" ca="1" si="9"/>
        <v>0.62707303772492073</v>
      </c>
      <c r="N125" s="10">
        <f t="shared" ca="1" si="10"/>
        <v>2.0228162507255565</v>
      </c>
      <c r="O125" s="10">
        <f t="shared" ca="1" si="11"/>
        <v>0.39322059464155984</v>
      </c>
      <c r="P125" s="10"/>
      <c r="Q125" s="10"/>
      <c r="R125" s="10"/>
      <c r="S125" s="10"/>
      <c r="T125" s="10"/>
      <c r="U125" s="10"/>
      <c r="V125" s="10"/>
    </row>
    <row r="126" spans="1:22">
      <c r="A126" s="27">
        <v>124</v>
      </c>
      <c r="B126" s="13">
        <v>193</v>
      </c>
      <c r="C126" s="17">
        <v>202.690297084447</v>
      </c>
      <c r="D126" s="32">
        <f t="shared" ca="1" si="8"/>
        <v>194.68805941688939</v>
      </c>
      <c r="E126" s="27"/>
      <c r="F126" s="27"/>
      <c r="G126" s="27"/>
      <c r="H126" s="10">
        <f t="shared" si="12"/>
        <v>5.0208793183663225</v>
      </c>
      <c r="I126" s="32">
        <f t="shared" si="13"/>
        <v>9.6902970844469962</v>
      </c>
      <c r="J126" s="10">
        <f t="shared" ca="1" si="14"/>
        <v>-0.34</v>
      </c>
      <c r="K126" s="10">
        <f t="shared" ca="1" si="15"/>
        <v>-0.91</v>
      </c>
      <c r="L126" s="10">
        <v>0.2</v>
      </c>
      <c r="M126" s="10">
        <f t="shared" ca="1" si="9"/>
        <v>1.6880594168893994</v>
      </c>
      <c r="N126" s="10">
        <f t="shared" ca="1" si="10"/>
        <v>0.87464218491677403</v>
      </c>
      <c r="O126" s="10">
        <f t="shared" ca="1" si="11"/>
        <v>2.8495445949489793</v>
      </c>
      <c r="P126" s="10"/>
      <c r="Q126" s="10"/>
      <c r="R126" s="10"/>
      <c r="S126" s="10"/>
      <c r="T126" s="10"/>
      <c r="U126" s="10"/>
      <c r="V126" s="10"/>
    </row>
    <row r="127" spans="1:22">
      <c r="A127" s="27">
        <v>125</v>
      </c>
      <c r="B127" s="13">
        <v>131</v>
      </c>
      <c r="C127" s="17">
        <v>131.80461341253999</v>
      </c>
      <c r="D127" s="32">
        <f t="shared" ca="1" si="8"/>
        <v>131.23892268250799</v>
      </c>
      <c r="E127" s="27"/>
      <c r="F127" s="27"/>
      <c r="G127" s="27"/>
      <c r="H127" s="10">
        <f t="shared" si="12"/>
        <v>0.61420871186259607</v>
      </c>
      <c r="I127" s="32">
        <f t="shared" si="13"/>
        <v>0.80461341253999308</v>
      </c>
      <c r="J127" s="10">
        <f t="shared" ca="1" si="14"/>
        <v>0.98</v>
      </c>
      <c r="K127" s="10">
        <f t="shared" ca="1" si="15"/>
        <v>-0.59</v>
      </c>
      <c r="L127" s="10">
        <v>0.2</v>
      </c>
      <c r="M127" s="10">
        <f t="shared" ca="1" si="9"/>
        <v>0.23892268250799864</v>
      </c>
      <c r="N127" s="10">
        <f t="shared" ca="1" si="10"/>
        <v>0.18238372710532857</v>
      </c>
      <c r="O127" s="10">
        <f t="shared" ca="1" si="11"/>
        <v>5.7084048216817916E-2</v>
      </c>
      <c r="P127" s="10"/>
      <c r="Q127" s="10"/>
      <c r="R127" s="10"/>
      <c r="S127" s="10"/>
      <c r="T127" s="10"/>
      <c r="U127" s="10"/>
      <c r="V127" s="10"/>
    </row>
    <row r="128" spans="1:22">
      <c r="A128" s="27">
        <v>126</v>
      </c>
      <c r="B128" s="13">
        <v>106</v>
      </c>
      <c r="C128" s="17">
        <v>76.616210688309806</v>
      </c>
      <c r="D128" s="32">
        <f t="shared" ca="1" si="8"/>
        <v>100.35524213766196</v>
      </c>
      <c r="E128" s="27"/>
      <c r="F128" s="27"/>
      <c r="G128" s="27"/>
      <c r="H128" s="10">
        <f t="shared" si="12"/>
        <v>-27.720555954424707</v>
      </c>
      <c r="I128" s="32">
        <f t="shared" si="13"/>
        <v>-29.383789311690194</v>
      </c>
      <c r="J128" s="10">
        <f t="shared" ca="1" si="14"/>
        <v>0.98</v>
      </c>
      <c r="K128" s="10">
        <f t="shared" ca="1" si="15"/>
        <v>0.18</v>
      </c>
      <c r="L128" s="10">
        <v>0.2</v>
      </c>
      <c r="M128" s="10">
        <f t="shared" ca="1" si="9"/>
        <v>-5.6447578623380394</v>
      </c>
      <c r="N128" s="10">
        <f t="shared" ca="1" si="10"/>
        <v>-5.3252432663566385</v>
      </c>
      <c r="O128" s="10">
        <f t="shared" ca="1" si="11"/>
        <v>31.863291324427113</v>
      </c>
      <c r="P128" s="10"/>
      <c r="Q128" s="10"/>
      <c r="R128" s="10"/>
      <c r="S128" s="10"/>
      <c r="T128" s="10"/>
      <c r="U128" s="10"/>
      <c r="V128" s="10"/>
    </row>
    <row r="129" spans="1:22">
      <c r="A129" s="27">
        <v>127</v>
      </c>
      <c r="B129" s="13">
        <v>102</v>
      </c>
      <c r="C129" s="17">
        <v>102.21605829288001</v>
      </c>
      <c r="D129" s="32">
        <f t="shared" ca="1" si="8"/>
        <v>102.315211658576</v>
      </c>
      <c r="E129" s="27"/>
      <c r="F129" s="27"/>
      <c r="G129" s="27"/>
      <c r="H129" s="10">
        <f t="shared" si="12"/>
        <v>0.21182185576471557</v>
      </c>
      <c r="I129" s="32">
        <f t="shared" si="13"/>
        <v>0.21605829288000677</v>
      </c>
      <c r="J129" s="10">
        <f t="shared" ca="1" si="14"/>
        <v>0.65</v>
      </c>
      <c r="K129" s="10">
        <f t="shared" ca="1" si="15"/>
        <v>0.71</v>
      </c>
      <c r="L129" s="10">
        <v>0.2</v>
      </c>
      <c r="M129" s="10">
        <f t="shared" ca="1" si="9"/>
        <v>0.31521165857600136</v>
      </c>
      <c r="N129" s="10">
        <f t="shared" ca="1" si="10"/>
        <v>0.30903103781960706</v>
      </c>
      <c r="O129" s="10">
        <f t="shared" ca="1" si="11"/>
        <v>9.9358389702233652E-2</v>
      </c>
      <c r="P129" s="10"/>
      <c r="Q129" s="10"/>
      <c r="R129" s="10"/>
      <c r="S129" s="10"/>
      <c r="T129" s="10"/>
      <c r="U129" s="10"/>
      <c r="V129" s="10"/>
    </row>
    <row r="130" spans="1:22">
      <c r="A130" s="27">
        <v>128</v>
      </c>
      <c r="B130" s="13">
        <v>88</v>
      </c>
      <c r="C130" s="17">
        <v>60.126765418901101</v>
      </c>
      <c r="D130" s="32">
        <f t="shared" ca="1" si="8"/>
        <v>82.331353083780215</v>
      </c>
      <c r="E130" s="27"/>
      <c r="F130" s="27"/>
      <c r="G130" s="27"/>
      <c r="H130" s="10">
        <f t="shared" si="12"/>
        <v>-31.674130205794203</v>
      </c>
      <c r="I130" s="32">
        <f t="shared" si="13"/>
        <v>-27.873234581098899</v>
      </c>
      <c r="J130" s="10">
        <f t="shared" ca="1" si="14"/>
        <v>-0.6</v>
      </c>
      <c r="K130" s="10">
        <f t="shared" ca="1" si="15"/>
        <v>0.13</v>
      </c>
      <c r="L130" s="10">
        <v>0.2</v>
      </c>
      <c r="M130" s="10">
        <f t="shared" ca="1" si="9"/>
        <v>-5.6686469162197808</v>
      </c>
      <c r="N130" s="10">
        <f t="shared" ca="1" si="10"/>
        <v>-6.4416442229770272</v>
      </c>
      <c r="O130" s="10">
        <f t="shared" ca="1" si="11"/>
        <v>32.133557860768029</v>
      </c>
      <c r="P130" s="10"/>
      <c r="Q130" s="10"/>
      <c r="R130" s="10"/>
      <c r="S130" s="10"/>
      <c r="T130" s="10"/>
      <c r="U130" s="10"/>
      <c r="V130" s="10"/>
    </row>
    <row r="131" spans="1:22">
      <c r="A131" s="27">
        <v>129</v>
      </c>
      <c r="B131" s="13">
        <v>122</v>
      </c>
      <c r="C131" s="17">
        <v>92.075270483095196</v>
      </c>
      <c r="D131" s="32">
        <f t="shared" ref="D131:D194" ca="1" si="16">B131+M131</f>
        <v>116.13505409661904</v>
      </c>
      <c r="E131" s="27"/>
      <c r="F131" s="27"/>
      <c r="G131" s="27"/>
      <c r="H131" s="10">
        <f t="shared" si="12"/>
        <v>-24.528466817135087</v>
      </c>
      <c r="I131" s="32">
        <f t="shared" si="13"/>
        <v>-29.924729516904804</v>
      </c>
      <c r="J131" s="10">
        <f t="shared" ca="1" si="14"/>
        <v>0.63</v>
      </c>
      <c r="K131" s="10">
        <f t="shared" ca="1" si="15"/>
        <v>-0.03</v>
      </c>
      <c r="L131" s="10">
        <v>0.2</v>
      </c>
      <c r="M131" s="10">
        <f t="shared" ref="M131:M194" ca="1" si="17">(I131+J131+K131)*L131</f>
        <v>-5.8649459033809617</v>
      </c>
      <c r="N131" s="10">
        <f t="shared" ref="N131:N194" ca="1" si="18">((D131/B131)-1)*100</f>
        <v>-4.8073327076893051</v>
      </c>
      <c r="O131" s="10">
        <f t="shared" ref="O131:O194" ca="1" si="19">M131^2</f>
        <v>34.397590449585124</v>
      </c>
      <c r="P131" s="10"/>
      <c r="Q131" s="10"/>
      <c r="R131" s="10"/>
      <c r="S131" s="10"/>
      <c r="T131" s="10"/>
      <c r="U131" s="10"/>
      <c r="V131" s="10"/>
    </row>
    <row r="132" spans="1:22">
      <c r="A132" s="27">
        <v>130</v>
      </c>
      <c r="B132" s="13">
        <v>191</v>
      </c>
      <c r="C132" s="17">
        <v>201.43935427219799</v>
      </c>
      <c r="D132" s="32">
        <f t="shared" ca="1" si="16"/>
        <v>193.0378708544396</v>
      </c>
      <c r="E132" s="27"/>
      <c r="F132" s="27"/>
      <c r="G132" s="27"/>
      <c r="H132" s="10">
        <f t="shared" ref="H132:H195" si="20">((C132/B132)-1)*100</f>
        <v>5.4656305090041934</v>
      </c>
      <c r="I132" s="32">
        <f t="shared" ref="I132:I195" si="21">C132-B132</f>
        <v>10.439354272197988</v>
      </c>
      <c r="J132" s="10">
        <f t="shared" ref="J132:J195" ca="1" si="22">IF(B132 &lt; 30, RANDBETWEEN(-100, 100) / 10000, RANDBETWEEN(-100,100) / 100)</f>
        <v>0.74</v>
      </c>
      <c r="K132" s="10">
        <f t="shared" ref="K132:K195" ca="1" si="23">IF(B132 &lt; 30, RANDBETWEEN(-100, 100) / 10000, RANDBETWEEN(-100,100) / 100)</f>
        <v>-0.99</v>
      </c>
      <c r="L132" s="10">
        <v>0.2</v>
      </c>
      <c r="M132" s="10">
        <f t="shared" ca="1" si="17"/>
        <v>2.0378708544395976</v>
      </c>
      <c r="N132" s="10">
        <f t="shared" ca="1" si="18"/>
        <v>1.0669480913296336</v>
      </c>
      <c r="O132" s="10">
        <f t="shared" ca="1" si="19"/>
        <v>4.1529176193743753</v>
      </c>
      <c r="P132" s="10"/>
      <c r="Q132" s="10"/>
      <c r="R132" s="10"/>
      <c r="S132" s="10"/>
      <c r="T132" s="10"/>
      <c r="U132" s="10"/>
      <c r="V132" s="10"/>
    </row>
    <row r="133" spans="1:22">
      <c r="A133" s="27">
        <v>131</v>
      </c>
      <c r="B133" s="13">
        <v>219</v>
      </c>
      <c r="C133" s="17">
        <v>216.22868087070501</v>
      </c>
      <c r="D133" s="32">
        <f t="shared" ca="1" si="16"/>
        <v>218.751736174141</v>
      </c>
      <c r="E133" s="27"/>
      <c r="F133" s="27"/>
      <c r="G133" s="27"/>
      <c r="H133" s="10">
        <f t="shared" si="20"/>
        <v>-1.2654425247922374</v>
      </c>
      <c r="I133" s="32">
        <f t="shared" si="21"/>
        <v>-2.7713191292949944</v>
      </c>
      <c r="J133" s="10">
        <f t="shared" ca="1" si="22"/>
        <v>0.99</v>
      </c>
      <c r="K133" s="10">
        <f t="shared" ca="1" si="23"/>
        <v>0.54</v>
      </c>
      <c r="L133" s="10">
        <v>0.2</v>
      </c>
      <c r="M133" s="10">
        <f t="shared" ca="1" si="17"/>
        <v>-0.24826382585899887</v>
      </c>
      <c r="N133" s="10">
        <f t="shared" ca="1" si="18"/>
        <v>-0.11336247756118523</v>
      </c>
      <c r="O133" s="10">
        <f t="shared" ca="1" si="19"/>
        <v>6.1634927230147317E-2</v>
      </c>
      <c r="P133" s="10"/>
      <c r="Q133" s="10"/>
      <c r="R133" s="10"/>
      <c r="S133" s="10"/>
      <c r="T133" s="10"/>
      <c r="U133" s="10"/>
      <c r="V133" s="10"/>
    </row>
    <row r="134" spans="1:22">
      <c r="A134" s="27">
        <v>132</v>
      </c>
      <c r="B134" s="13">
        <v>7</v>
      </c>
      <c r="C134" s="17">
        <v>-20.731624937399602</v>
      </c>
      <c r="D134" s="32">
        <f t="shared" ca="1" si="16"/>
        <v>1.4553950125200794</v>
      </c>
      <c r="E134" s="27"/>
      <c r="F134" s="27"/>
      <c r="G134" s="27"/>
      <c r="H134" s="10">
        <f t="shared" si="20"/>
        <v>-396.16607053428004</v>
      </c>
      <c r="I134" s="32">
        <f t="shared" si="21"/>
        <v>-27.731624937399602</v>
      </c>
      <c r="J134" s="10">
        <f t="shared" ca="1" si="22"/>
        <v>5.5999999999999999E-3</v>
      </c>
      <c r="K134" s="10">
        <f t="shared" ca="1" si="23"/>
        <v>3.0000000000000001E-3</v>
      </c>
      <c r="L134" s="10">
        <v>0.2</v>
      </c>
      <c r="M134" s="10">
        <f t="shared" ca="1" si="17"/>
        <v>-5.5446049874799206</v>
      </c>
      <c r="N134" s="10">
        <f t="shared" ca="1" si="18"/>
        <v>-79.208642678284576</v>
      </c>
      <c r="O134" s="10">
        <f t="shared" ca="1" si="19"/>
        <v>30.742644467187212</v>
      </c>
      <c r="P134" s="10"/>
      <c r="Q134" s="10"/>
      <c r="R134" s="10"/>
      <c r="S134" s="10"/>
      <c r="T134" s="10"/>
      <c r="U134" s="10"/>
      <c r="V134" s="10"/>
    </row>
    <row r="135" spans="1:22">
      <c r="A135" s="27">
        <v>133</v>
      </c>
      <c r="B135" s="13">
        <v>44</v>
      </c>
      <c r="C135" s="17">
        <v>14.907781652453499</v>
      </c>
      <c r="D135" s="32">
        <f t="shared" ca="1" si="16"/>
        <v>38.2395563304907</v>
      </c>
      <c r="E135" s="27"/>
      <c r="F135" s="27"/>
      <c r="G135" s="27"/>
      <c r="H135" s="10">
        <f t="shared" si="20"/>
        <v>-66.118678062605682</v>
      </c>
      <c r="I135" s="32">
        <f t="shared" si="21"/>
        <v>-29.092218347546499</v>
      </c>
      <c r="J135" s="10">
        <f t="shared" ca="1" si="22"/>
        <v>-0.31</v>
      </c>
      <c r="K135" s="10">
        <f t="shared" ca="1" si="23"/>
        <v>0.6</v>
      </c>
      <c r="L135" s="10">
        <v>0.2</v>
      </c>
      <c r="M135" s="10">
        <f t="shared" ca="1" si="17"/>
        <v>-5.7604436695093</v>
      </c>
      <c r="N135" s="10">
        <f t="shared" ca="1" si="18"/>
        <v>-13.09191743070296</v>
      </c>
      <c r="O135" s="10">
        <f t="shared" ca="1" si="19"/>
        <v>33.182711269589767</v>
      </c>
      <c r="P135" s="10"/>
      <c r="Q135" s="10"/>
      <c r="R135" s="10"/>
      <c r="S135" s="10"/>
      <c r="T135" s="10"/>
      <c r="U135" s="10"/>
      <c r="V135" s="10"/>
    </row>
    <row r="136" spans="1:22">
      <c r="A136" s="27">
        <v>134</v>
      </c>
      <c r="B136" s="13">
        <v>222</v>
      </c>
      <c r="C136" s="17">
        <v>189.754655479413</v>
      </c>
      <c r="D136" s="32">
        <f t="shared" ca="1" si="16"/>
        <v>215.2549310958826</v>
      </c>
      <c r="E136" s="27"/>
      <c r="F136" s="27"/>
      <c r="G136" s="27"/>
      <c r="H136" s="10">
        <f t="shared" si="20"/>
        <v>-14.524929964228372</v>
      </c>
      <c r="I136" s="32">
        <f t="shared" si="21"/>
        <v>-32.245344520586997</v>
      </c>
      <c r="J136" s="10">
        <f t="shared" ca="1" si="22"/>
        <v>-0.65</v>
      </c>
      <c r="K136" s="10">
        <f t="shared" ca="1" si="23"/>
        <v>-0.83</v>
      </c>
      <c r="L136" s="10">
        <v>0.2</v>
      </c>
      <c r="M136" s="10">
        <f t="shared" ca="1" si="17"/>
        <v>-6.7450689041173995</v>
      </c>
      <c r="N136" s="10">
        <f t="shared" ca="1" si="18"/>
        <v>-3.0383193261790065</v>
      </c>
      <c r="O136" s="10">
        <f t="shared" ca="1" si="19"/>
        <v>45.495954521291495</v>
      </c>
      <c r="P136" s="10"/>
      <c r="Q136" s="10"/>
      <c r="R136" s="10"/>
      <c r="S136" s="10"/>
      <c r="T136" s="10"/>
      <c r="U136" s="10"/>
      <c r="V136" s="10"/>
    </row>
    <row r="137" spans="1:22">
      <c r="A137" s="27">
        <v>135</v>
      </c>
      <c r="B137" s="13">
        <v>100</v>
      </c>
      <c r="C137" s="17">
        <v>108.16223886849799</v>
      </c>
      <c r="D137" s="32">
        <f t="shared" ca="1" si="16"/>
        <v>101.5044477736996</v>
      </c>
      <c r="E137" s="27"/>
      <c r="F137" s="27"/>
      <c r="G137" s="27"/>
      <c r="H137" s="10">
        <f t="shared" si="20"/>
        <v>8.1622388684979832</v>
      </c>
      <c r="I137" s="32">
        <f t="shared" si="21"/>
        <v>8.1622388684979938</v>
      </c>
      <c r="J137" s="10">
        <f t="shared" ca="1" si="22"/>
        <v>-0.08</v>
      </c>
      <c r="K137" s="10">
        <f t="shared" ca="1" si="23"/>
        <v>-0.56000000000000005</v>
      </c>
      <c r="L137" s="10">
        <v>0.2</v>
      </c>
      <c r="M137" s="10">
        <f t="shared" ca="1" si="17"/>
        <v>1.5044477736995987</v>
      </c>
      <c r="N137" s="10">
        <f t="shared" ca="1" si="18"/>
        <v>1.504447773699602</v>
      </c>
      <c r="O137" s="10">
        <f t="shared" ca="1" si="19"/>
        <v>2.2633631037896791</v>
      </c>
      <c r="P137" s="10"/>
      <c r="Q137" s="10"/>
      <c r="R137" s="10"/>
      <c r="S137" s="10"/>
      <c r="T137" s="10"/>
      <c r="U137" s="10"/>
      <c r="V137" s="10"/>
    </row>
    <row r="138" spans="1:22">
      <c r="A138" s="27">
        <v>136</v>
      </c>
      <c r="B138" s="13">
        <v>103</v>
      </c>
      <c r="C138" s="17">
        <v>104.314176297109</v>
      </c>
      <c r="D138" s="32">
        <f t="shared" ca="1" si="16"/>
        <v>103.2888352594218</v>
      </c>
      <c r="E138" s="27"/>
      <c r="F138" s="27"/>
      <c r="G138" s="27"/>
      <c r="H138" s="10">
        <f t="shared" si="20"/>
        <v>1.2758993175815636</v>
      </c>
      <c r="I138" s="32">
        <f t="shared" si="21"/>
        <v>1.3141762971090003</v>
      </c>
      <c r="J138" s="10">
        <f t="shared" ca="1" si="22"/>
        <v>-0.83</v>
      </c>
      <c r="K138" s="10">
        <f t="shared" ca="1" si="23"/>
        <v>0.96</v>
      </c>
      <c r="L138" s="10">
        <v>0.2</v>
      </c>
      <c r="M138" s="10">
        <f t="shared" ca="1" si="17"/>
        <v>0.28883525942180005</v>
      </c>
      <c r="N138" s="10">
        <f t="shared" ca="1" si="18"/>
        <v>0.28042258196292469</v>
      </c>
      <c r="O138" s="10">
        <f t="shared" ca="1" si="19"/>
        <v>8.3425807085258541E-2</v>
      </c>
      <c r="P138" s="10"/>
      <c r="Q138" s="10"/>
      <c r="R138" s="10"/>
      <c r="S138" s="10"/>
      <c r="T138" s="10"/>
      <c r="U138" s="10"/>
      <c r="V138" s="10"/>
    </row>
    <row r="139" spans="1:22">
      <c r="A139" s="27">
        <v>137</v>
      </c>
      <c r="B139" s="13">
        <v>201</v>
      </c>
      <c r="C139" s="17">
        <v>209.12292798129201</v>
      </c>
      <c r="D139" s="32">
        <f t="shared" ca="1" si="16"/>
        <v>202.61458559625839</v>
      </c>
      <c r="E139" s="27"/>
      <c r="F139" s="27"/>
      <c r="G139" s="27"/>
      <c r="H139" s="10">
        <f t="shared" si="20"/>
        <v>4.0412577021353258</v>
      </c>
      <c r="I139" s="32">
        <f t="shared" si="21"/>
        <v>8.1229279812920083</v>
      </c>
      <c r="J139" s="10">
        <f t="shared" ca="1" si="22"/>
        <v>0.31</v>
      </c>
      <c r="K139" s="10">
        <f t="shared" ca="1" si="23"/>
        <v>-0.36</v>
      </c>
      <c r="L139" s="10">
        <v>0.2</v>
      </c>
      <c r="M139" s="10">
        <f t="shared" ca="1" si="17"/>
        <v>1.6145855962584019</v>
      </c>
      <c r="N139" s="10">
        <f t="shared" ca="1" si="18"/>
        <v>0.80327641604895916</v>
      </c>
      <c r="O139" s="10">
        <f t="shared" ca="1" si="19"/>
        <v>2.6068866476450991</v>
      </c>
      <c r="P139" s="10"/>
      <c r="Q139" s="10"/>
      <c r="R139" s="10"/>
      <c r="S139" s="10"/>
      <c r="T139" s="10"/>
      <c r="U139" s="10"/>
      <c r="V139" s="10"/>
    </row>
    <row r="140" spans="1:22">
      <c r="A140" s="27">
        <v>138</v>
      </c>
      <c r="B140" s="13">
        <v>200</v>
      </c>
      <c r="C140" s="17">
        <v>167.30851415583399</v>
      </c>
      <c r="D140" s="32">
        <f t="shared" ca="1" si="16"/>
        <v>193.3657028311668</v>
      </c>
      <c r="E140" s="27"/>
      <c r="F140" s="27"/>
      <c r="G140" s="27"/>
      <c r="H140" s="10">
        <f t="shared" si="20"/>
        <v>-16.345742922083005</v>
      </c>
      <c r="I140" s="32">
        <f t="shared" si="21"/>
        <v>-32.69148584416601</v>
      </c>
      <c r="J140" s="10">
        <f t="shared" ca="1" si="22"/>
        <v>-0.53</v>
      </c>
      <c r="K140" s="10">
        <f t="shared" ca="1" si="23"/>
        <v>0.05</v>
      </c>
      <c r="L140" s="10">
        <v>0.2</v>
      </c>
      <c r="M140" s="10">
        <f t="shared" ca="1" si="17"/>
        <v>-6.6342971688332035</v>
      </c>
      <c r="N140" s="10">
        <f t="shared" ca="1" si="18"/>
        <v>-3.317148584416596</v>
      </c>
      <c r="O140" s="10">
        <f t="shared" ca="1" si="19"/>
        <v>44.013898924388258</v>
      </c>
      <c r="P140" s="10"/>
      <c r="Q140" s="10"/>
      <c r="R140" s="10"/>
      <c r="S140" s="10"/>
      <c r="T140" s="10"/>
      <c r="U140" s="10"/>
      <c r="V140" s="10"/>
    </row>
    <row r="141" spans="1:22">
      <c r="A141" s="27">
        <v>139</v>
      </c>
      <c r="B141" s="13">
        <v>17</v>
      </c>
      <c r="C141" s="17">
        <v>-11.381943728834599</v>
      </c>
      <c r="D141" s="32">
        <f t="shared" ca="1" si="16"/>
        <v>11.325491254233079</v>
      </c>
      <c r="E141" s="27"/>
      <c r="F141" s="27"/>
      <c r="G141" s="27"/>
      <c r="H141" s="10">
        <f t="shared" si="20"/>
        <v>-166.9526101696153</v>
      </c>
      <c r="I141" s="32">
        <f t="shared" si="21"/>
        <v>-28.381943728834599</v>
      </c>
      <c r="J141" s="10">
        <f t="shared" ca="1" si="22"/>
        <v>8.2000000000000007E-3</v>
      </c>
      <c r="K141" s="10">
        <f t="shared" ca="1" si="23"/>
        <v>1.1999999999999999E-3</v>
      </c>
      <c r="L141" s="10">
        <v>0.2</v>
      </c>
      <c r="M141" s="10">
        <f t="shared" ca="1" si="17"/>
        <v>-5.6745087457669205</v>
      </c>
      <c r="N141" s="10">
        <f t="shared" ca="1" si="18"/>
        <v>-33.379463210393659</v>
      </c>
      <c r="O141" s="10">
        <f t="shared" ca="1" si="19"/>
        <v>32.200049505785273</v>
      </c>
      <c r="P141" s="10"/>
      <c r="Q141" s="10"/>
      <c r="R141" s="10"/>
      <c r="S141" s="10"/>
      <c r="T141" s="10"/>
      <c r="U141" s="10"/>
      <c r="V141" s="10"/>
    </row>
    <row r="142" spans="1:22">
      <c r="A142" s="27">
        <v>140</v>
      </c>
      <c r="B142" s="13">
        <v>155</v>
      </c>
      <c r="C142" s="17">
        <v>164.06990895811299</v>
      </c>
      <c r="D142" s="32">
        <f t="shared" ca="1" si="16"/>
        <v>156.7219817916226</v>
      </c>
      <c r="E142" s="27"/>
      <c r="F142" s="27"/>
      <c r="G142" s="27"/>
      <c r="H142" s="10">
        <f t="shared" si="20"/>
        <v>5.8515541665245197</v>
      </c>
      <c r="I142" s="32">
        <f t="shared" si="21"/>
        <v>9.0699089581129897</v>
      </c>
      <c r="J142" s="10">
        <f t="shared" ca="1" si="22"/>
        <v>-0.31</v>
      </c>
      <c r="K142" s="10">
        <f t="shared" ca="1" si="23"/>
        <v>-0.15</v>
      </c>
      <c r="L142" s="10">
        <v>0.2</v>
      </c>
      <c r="M142" s="10">
        <f t="shared" ca="1" si="17"/>
        <v>1.7219817916225979</v>
      </c>
      <c r="N142" s="10">
        <f t="shared" ca="1" si="18"/>
        <v>1.1109559945952308</v>
      </c>
      <c r="O142" s="10">
        <f t="shared" ca="1" si="19"/>
        <v>2.9652212906797724</v>
      </c>
      <c r="P142" s="10"/>
      <c r="Q142" s="10"/>
      <c r="R142" s="10"/>
      <c r="S142" s="10"/>
      <c r="T142" s="10"/>
      <c r="U142" s="10"/>
      <c r="V142" s="10"/>
    </row>
    <row r="143" spans="1:22">
      <c r="A143" s="27">
        <v>141</v>
      </c>
      <c r="B143" s="13">
        <v>4</v>
      </c>
      <c r="C143" s="17">
        <v>14.6428181723506</v>
      </c>
      <c r="D143" s="32">
        <f t="shared" ca="1" si="16"/>
        <v>6.1254236344701205</v>
      </c>
      <c r="E143" s="27"/>
      <c r="F143" s="27"/>
      <c r="G143" s="27"/>
      <c r="H143" s="10">
        <f t="shared" si="20"/>
        <v>266.07045430876497</v>
      </c>
      <c r="I143" s="32">
        <f t="shared" si="21"/>
        <v>10.6428181723506</v>
      </c>
      <c r="J143" s="10">
        <f t="shared" ca="1" si="22"/>
        <v>-7.3000000000000001E-3</v>
      </c>
      <c r="K143" s="10">
        <f t="shared" ca="1" si="23"/>
        <v>-8.3999999999999995E-3</v>
      </c>
      <c r="L143" s="10">
        <v>0.2</v>
      </c>
      <c r="M143" s="10">
        <f t="shared" ca="1" si="17"/>
        <v>2.1254236344701201</v>
      </c>
      <c r="N143" s="10">
        <f t="shared" ca="1" si="18"/>
        <v>53.135590861753016</v>
      </c>
      <c r="O143" s="10">
        <f t="shared" ca="1" si="19"/>
        <v>4.517425625964175</v>
      </c>
      <c r="P143" s="10"/>
      <c r="Q143" s="10"/>
      <c r="R143" s="10"/>
      <c r="S143" s="10"/>
      <c r="T143" s="10"/>
      <c r="U143" s="10"/>
      <c r="V143" s="10"/>
    </row>
    <row r="144" spans="1:22">
      <c r="A144" s="27">
        <v>142</v>
      </c>
      <c r="B144" s="13">
        <v>75</v>
      </c>
      <c r="C144" s="17">
        <v>76.269467515050707</v>
      </c>
      <c r="D144" s="32">
        <f t="shared" ca="1" si="16"/>
        <v>75.349893503010136</v>
      </c>
      <c r="E144" s="27"/>
      <c r="F144" s="27"/>
      <c r="G144" s="27"/>
      <c r="H144" s="10">
        <f t="shared" si="20"/>
        <v>1.6926233534009461</v>
      </c>
      <c r="I144" s="32">
        <f t="shared" si="21"/>
        <v>1.2694675150507067</v>
      </c>
      <c r="J144" s="10">
        <f t="shared" ca="1" si="22"/>
        <v>-0.15</v>
      </c>
      <c r="K144" s="10">
        <f t="shared" ca="1" si="23"/>
        <v>0.63</v>
      </c>
      <c r="L144" s="10">
        <v>0.2</v>
      </c>
      <c r="M144" s="10">
        <f t="shared" ca="1" si="17"/>
        <v>0.34989350301014133</v>
      </c>
      <c r="N144" s="10">
        <f t="shared" ca="1" si="18"/>
        <v>0.46652467068017955</v>
      </c>
      <c r="O144" s="10">
        <f t="shared" ca="1" si="19"/>
        <v>0.12242546344870778</v>
      </c>
      <c r="P144" s="10"/>
      <c r="Q144" s="10"/>
      <c r="R144" s="10"/>
      <c r="S144" s="10"/>
      <c r="T144" s="10"/>
      <c r="U144" s="10"/>
      <c r="V144" s="10"/>
    </row>
    <row r="145" spans="1:22">
      <c r="A145" s="27">
        <v>143</v>
      </c>
      <c r="B145" s="13">
        <v>236</v>
      </c>
      <c r="C145" s="17">
        <v>205.571188331065</v>
      </c>
      <c r="D145" s="32">
        <f t="shared" ca="1" si="16"/>
        <v>229.84223766621301</v>
      </c>
      <c r="E145" s="27"/>
      <c r="F145" s="27"/>
      <c r="G145" s="27"/>
      <c r="H145" s="10">
        <f t="shared" si="20"/>
        <v>-12.893564266497881</v>
      </c>
      <c r="I145" s="32">
        <f t="shared" si="21"/>
        <v>-30.428811668934998</v>
      </c>
      <c r="J145" s="10">
        <f t="shared" ca="1" si="22"/>
        <v>-0.94</v>
      </c>
      <c r="K145" s="10">
        <f t="shared" ca="1" si="23"/>
        <v>0.57999999999999996</v>
      </c>
      <c r="L145" s="10">
        <v>0.2</v>
      </c>
      <c r="M145" s="10">
        <f t="shared" ca="1" si="17"/>
        <v>-6.1577623337870007</v>
      </c>
      <c r="N145" s="10">
        <f t="shared" ca="1" si="18"/>
        <v>-2.6092213278758436</v>
      </c>
      <c r="O145" s="10">
        <f t="shared" ca="1" si="19"/>
        <v>37.918036959405931</v>
      </c>
      <c r="P145" s="10"/>
      <c r="Q145" s="10"/>
      <c r="R145" s="10"/>
      <c r="S145" s="10"/>
      <c r="T145" s="10"/>
      <c r="U145" s="10"/>
      <c r="V145" s="10"/>
    </row>
    <row r="146" spans="1:22">
      <c r="A146" s="27">
        <v>144</v>
      </c>
      <c r="B146" s="13">
        <v>69</v>
      </c>
      <c r="C146" s="17">
        <v>80.367271630065304</v>
      </c>
      <c r="D146" s="32">
        <f t="shared" ca="1" si="16"/>
        <v>71.087454326013059</v>
      </c>
      <c r="E146" s="27"/>
      <c r="F146" s="27"/>
      <c r="G146" s="27"/>
      <c r="H146" s="10">
        <f t="shared" si="20"/>
        <v>16.474306710239574</v>
      </c>
      <c r="I146" s="32">
        <f t="shared" si="21"/>
        <v>11.367271630065304</v>
      </c>
      <c r="J146" s="10">
        <f t="shared" ca="1" si="22"/>
        <v>-0.59</v>
      </c>
      <c r="K146" s="10">
        <f t="shared" ca="1" si="23"/>
        <v>-0.34</v>
      </c>
      <c r="L146" s="10">
        <v>0.2</v>
      </c>
      <c r="M146" s="10">
        <f t="shared" ca="1" si="17"/>
        <v>2.0874543260130607</v>
      </c>
      <c r="N146" s="10">
        <f t="shared" ca="1" si="18"/>
        <v>3.0252961246566068</v>
      </c>
      <c r="O146" s="10">
        <f t="shared" ca="1" si="19"/>
        <v>4.3574655631906412</v>
      </c>
      <c r="P146" s="10"/>
      <c r="Q146" s="10"/>
      <c r="R146" s="10"/>
      <c r="S146" s="10"/>
      <c r="T146" s="10"/>
      <c r="U146" s="10"/>
      <c r="V146" s="10"/>
    </row>
    <row r="147" spans="1:22">
      <c r="A147" s="27">
        <v>145</v>
      </c>
      <c r="B147" s="13">
        <v>66</v>
      </c>
      <c r="C147" s="17">
        <v>37.010944604445797</v>
      </c>
      <c r="D147" s="32">
        <f t="shared" ca="1" si="16"/>
        <v>60.43218892088916</v>
      </c>
      <c r="E147" s="27"/>
      <c r="F147" s="27"/>
      <c r="G147" s="27"/>
      <c r="H147" s="10">
        <f t="shared" si="20"/>
        <v>-43.922811205385159</v>
      </c>
      <c r="I147" s="32">
        <f t="shared" si="21"/>
        <v>-28.989055395554203</v>
      </c>
      <c r="J147" s="10">
        <f t="shared" ca="1" si="22"/>
        <v>0.45</v>
      </c>
      <c r="K147" s="10">
        <f t="shared" ca="1" si="23"/>
        <v>0.7</v>
      </c>
      <c r="L147" s="10">
        <v>0.2</v>
      </c>
      <c r="M147" s="10">
        <f t="shared" ca="1" si="17"/>
        <v>-5.5678110791108413</v>
      </c>
      <c r="N147" s="10">
        <f t="shared" ca="1" si="18"/>
        <v>-8.4360773925921784</v>
      </c>
      <c r="O147" s="10">
        <f t="shared" ca="1" si="19"/>
        <v>31.000520212669432</v>
      </c>
      <c r="P147" s="10"/>
      <c r="Q147" s="10"/>
      <c r="R147" s="10"/>
      <c r="S147" s="10"/>
      <c r="T147" s="10"/>
      <c r="U147" s="10"/>
      <c r="V147" s="10"/>
    </row>
    <row r="148" spans="1:22">
      <c r="A148" s="27">
        <v>146</v>
      </c>
      <c r="B148" s="13">
        <v>198</v>
      </c>
      <c r="C148" s="17">
        <v>164.21190699086</v>
      </c>
      <c r="D148" s="32">
        <f t="shared" ca="1" si="16"/>
        <v>190.96438139817201</v>
      </c>
      <c r="E148" s="27"/>
      <c r="F148" s="27"/>
      <c r="G148" s="27"/>
      <c r="H148" s="10">
        <f t="shared" si="20"/>
        <v>-17.064693438959601</v>
      </c>
      <c r="I148" s="32">
        <f t="shared" si="21"/>
        <v>-33.788093009139999</v>
      </c>
      <c r="J148" s="10">
        <f t="shared" ca="1" si="22"/>
        <v>-0.93</v>
      </c>
      <c r="K148" s="10">
        <f t="shared" ca="1" si="23"/>
        <v>-0.46</v>
      </c>
      <c r="L148" s="10">
        <v>0.2</v>
      </c>
      <c r="M148" s="10">
        <f t="shared" ca="1" si="17"/>
        <v>-7.0356186018280003</v>
      </c>
      <c r="N148" s="10">
        <f t="shared" ca="1" si="18"/>
        <v>-3.5533427281959518</v>
      </c>
      <c r="O148" s="10">
        <f t="shared" ca="1" si="19"/>
        <v>49.499929110388187</v>
      </c>
      <c r="P148" s="10"/>
      <c r="Q148" s="10"/>
      <c r="R148" s="10"/>
      <c r="S148" s="10"/>
      <c r="T148" s="10"/>
      <c r="U148" s="10"/>
      <c r="V148" s="10"/>
    </row>
    <row r="149" spans="1:22">
      <c r="A149" s="27">
        <v>147</v>
      </c>
      <c r="B149" s="13">
        <v>161</v>
      </c>
      <c r="C149" s="17">
        <v>170.53991084266599</v>
      </c>
      <c r="D149" s="32">
        <f t="shared" ca="1" si="16"/>
        <v>163.1379821685332</v>
      </c>
      <c r="E149" s="27"/>
      <c r="F149" s="27"/>
      <c r="G149" s="27"/>
      <c r="H149" s="10">
        <f t="shared" si="20"/>
        <v>5.9254104612832315</v>
      </c>
      <c r="I149" s="32">
        <f t="shared" si="21"/>
        <v>9.5399108426659893</v>
      </c>
      <c r="J149" s="10">
        <f t="shared" ca="1" si="22"/>
        <v>0.4</v>
      </c>
      <c r="K149" s="10">
        <f t="shared" ca="1" si="23"/>
        <v>0.75</v>
      </c>
      <c r="L149" s="10">
        <v>0.2</v>
      </c>
      <c r="M149" s="10">
        <f t="shared" ca="1" si="17"/>
        <v>2.1379821685331981</v>
      </c>
      <c r="N149" s="10">
        <f t="shared" ca="1" si="18"/>
        <v>1.3279392351137842</v>
      </c>
      <c r="O149" s="10">
        <f t="shared" ca="1" si="19"/>
        <v>4.5709677529659167</v>
      </c>
      <c r="P149" s="10"/>
      <c r="Q149" s="10"/>
      <c r="R149" s="10"/>
      <c r="S149" s="10"/>
      <c r="T149" s="10"/>
      <c r="U149" s="10"/>
      <c r="V149" s="10"/>
    </row>
    <row r="150" spans="1:22">
      <c r="A150" s="27">
        <v>148</v>
      </c>
      <c r="B150" s="13">
        <v>232</v>
      </c>
      <c r="C150" s="17">
        <v>201.52682948079701</v>
      </c>
      <c r="D150" s="32">
        <f t="shared" ca="1" si="16"/>
        <v>225.77936589615939</v>
      </c>
      <c r="E150" s="27"/>
      <c r="F150" s="27"/>
      <c r="G150" s="27"/>
      <c r="H150" s="10">
        <f t="shared" si="20"/>
        <v>-13.134987292759915</v>
      </c>
      <c r="I150" s="32">
        <f t="shared" si="21"/>
        <v>-30.473170519202995</v>
      </c>
      <c r="J150" s="10">
        <f t="shared" ca="1" si="22"/>
        <v>-0.05</v>
      </c>
      <c r="K150" s="10">
        <f t="shared" ca="1" si="23"/>
        <v>-0.57999999999999996</v>
      </c>
      <c r="L150" s="10">
        <v>0.2</v>
      </c>
      <c r="M150" s="10">
        <f t="shared" ca="1" si="17"/>
        <v>-6.2206341038405988</v>
      </c>
      <c r="N150" s="10">
        <f t="shared" ca="1" si="18"/>
        <v>-2.6813078033795734</v>
      </c>
      <c r="O150" s="10">
        <f t="shared" ca="1" si="19"/>
        <v>38.696288653864727</v>
      </c>
      <c r="P150" s="10"/>
      <c r="Q150" s="10"/>
      <c r="R150" s="10"/>
      <c r="S150" s="10"/>
      <c r="T150" s="10"/>
      <c r="U150" s="10"/>
      <c r="V150" s="10"/>
    </row>
    <row r="151" spans="1:22">
      <c r="A151" s="27">
        <v>149</v>
      </c>
      <c r="B151" s="13">
        <v>173</v>
      </c>
      <c r="C151" s="17">
        <v>172.349649493371</v>
      </c>
      <c r="D151" s="32">
        <f t="shared" ca="1" si="16"/>
        <v>173.03992989867419</v>
      </c>
      <c r="E151" s="27"/>
      <c r="F151" s="27"/>
      <c r="G151" s="27"/>
      <c r="H151" s="10">
        <f t="shared" si="20"/>
        <v>-0.37592514834046131</v>
      </c>
      <c r="I151" s="32">
        <f t="shared" si="21"/>
        <v>-0.65035050662899607</v>
      </c>
      <c r="J151" s="10">
        <f t="shared" ca="1" si="22"/>
        <v>0.34</v>
      </c>
      <c r="K151" s="10">
        <f t="shared" ca="1" si="23"/>
        <v>0.51</v>
      </c>
      <c r="L151" s="10">
        <v>0.2</v>
      </c>
      <c r="M151" s="10">
        <f t="shared" ca="1" si="17"/>
        <v>3.9929898674200798E-2</v>
      </c>
      <c r="N151" s="10">
        <f t="shared" ca="1" si="18"/>
        <v>2.3080866285662971E-2</v>
      </c>
      <c r="O151" s="10">
        <f t="shared" ca="1" si="19"/>
        <v>1.5943968081319425E-3</v>
      </c>
      <c r="P151" s="10"/>
      <c r="Q151" s="10"/>
      <c r="R151" s="10"/>
      <c r="S151" s="10"/>
      <c r="T151" s="10"/>
      <c r="U151" s="10"/>
      <c r="V151" s="10"/>
    </row>
    <row r="152" spans="1:22">
      <c r="A152" s="27">
        <v>150</v>
      </c>
      <c r="B152" s="13">
        <v>168</v>
      </c>
      <c r="C152" s="17">
        <v>177.29401739490299</v>
      </c>
      <c r="D152" s="32">
        <f t="shared" ca="1" si="16"/>
        <v>169.64480347898061</v>
      </c>
      <c r="E152" s="27"/>
      <c r="F152" s="27"/>
      <c r="G152" s="27"/>
      <c r="H152" s="10">
        <f t="shared" si="20"/>
        <v>5.5321532112517779</v>
      </c>
      <c r="I152" s="32">
        <f t="shared" si="21"/>
        <v>9.2940173949029941</v>
      </c>
      <c r="J152" s="10">
        <f t="shared" ca="1" si="22"/>
        <v>-0.81</v>
      </c>
      <c r="K152" s="10">
        <f t="shared" ca="1" si="23"/>
        <v>-0.26</v>
      </c>
      <c r="L152" s="10">
        <v>0.2</v>
      </c>
      <c r="M152" s="10">
        <f t="shared" ca="1" si="17"/>
        <v>1.6448034789805988</v>
      </c>
      <c r="N152" s="10">
        <f t="shared" ca="1" si="18"/>
        <v>0.97904968986941565</v>
      </c>
      <c r="O152" s="10">
        <f t="shared" ca="1" si="19"/>
        <v>2.7053784844666811</v>
      </c>
      <c r="P152" s="10"/>
      <c r="Q152" s="10"/>
      <c r="R152" s="10"/>
      <c r="S152" s="10"/>
      <c r="T152" s="10"/>
      <c r="U152" s="10"/>
      <c r="V152" s="10"/>
    </row>
    <row r="153" spans="1:22">
      <c r="A153" s="27">
        <v>151</v>
      </c>
      <c r="B153" s="13">
        <v>24</v>
      </c>
      <c r="C153" s="17">
        <v>25.100739338794899</v>
      </c>
      <c r="D153" s="32">
        <f t="shared" ca="1" si="16"/>
        <v>24.220227867758979</v>
      </c>
      <c r="E153" s="27"/>
      <c r="F153" s="27"/>
      <c r="G153" s="27"/>
      <c r="H153" s="10">
        <f t="shared" si="20"/>
        <v>4.5864139116454039</v>
      </c>
      <c r="I153" s="32">
        <f t="shared" si="21"/>
        <v>1.1007393387948987</v>
      </c>
      <c r="J153" s="10">
        <f t="shared" ca="1" si="22"/>
        <v>9.1999999999999998E-3</v>
      </c>
      <c r="K153" s="10">
        <f t="shared" ca="1" si="23"/>
        <v>-8.8000000000000005E-3</v>
      </c>
      <c r="L153" s="10">
        <v>0.2</v>
      </c>
      <c r="M153" s="10">
        <f t="shared" ca="1" si="17"/>
        <v>0.22022786775897979</v>
      </c>
      <c r="N153" s="10">
        <f t="shared" ca="1" si="18"/>
        <v>0.91761611566241186</v>
      </c>
      <c r="O153" s="10">
        <f t="shared" ca="1" si="19"/>
        <v>4.8500313737666688E-2</v>
      </c>
      <c r="P153" s="10"/>
      <c r="Q153" s="10"/>
      <c r="R153" s="10"/>
      <c r="S153" s="10"/>
      <c r="T153" s="10"/>
      <c r="U153" s="10"/>
      <c r="V153" s="10"/>
    </row>
    <row r="154" spans="1:22">
      <c r="A154" s="27">
        <v>152</v>
      </c>
      <c r="B154" s="13">
        <v>0</v>
      </c>
      <c r="C154" s="17">
        <v>-27.9335063755953</v>
      </c>
      <c r="D154" s="32">
        <f t="shared" ca="1" si="16"/>
        <v>-5.5879412751190607</v>
      </c>
      <c r="E154" s="27"/>
      <c r="F154" s="27"/>
      <c r="G154" s="27"/>
      <c r="H154" s="10" t="e">
        <f t="shared" si="20"/>
        <v>#DIV/0!</v>
      </c>
      <c r="I154" s="32">
        <f t="shared" si="21"/>
        <v>-27.9335063755953</v>
      </c>
      <c r="J154" s="10">
        <f t="shared" ca="1" si="22"/>
        <v>1.6000000000000001E-3</v>
      </c>
      <c r="K154" s="10">
        <f t="shared" ca="1" si="23"/>
        <v>-7.7999999999999996E-3</v>
      </c>
      <c r="L154" s="10">
        <v>0.2</v>
      </c>
      <c r="M154" s="10">
        <f t="shared" ca="1" si="17"/>
        <v>-5.5879412751190607</v>
      </c>
      <c r="N154" s="10" t="e">
        <f t="shared" ca="1" si="18"/>
        <v>#DIV/0!</v>
      </c>
      <c r="O154" s="10">
        <f t="shared" ca="1" si="19"/>
        <v>31.225087694179233</v>
      </c>
      <c r="P154" s="10"/>
      <c r="Q154" s="10"/>
      <c r="R154" s="10"/>
      <c r="S154" s="10"/>
      <c r="T154" s="10"/>
      <c r="U154" s="10"/>
      <c r="V154" s="10"/>
    </row>
    <row r="155" spans="1:22">
      <c r="A155" s="27">
        <v>153</v>
      </c>
      <c r="B155" s="13">
        <v>112</v>
      </c>
      <c r="C155" s="17">
        <v>84.450097052590493</v>
      </c>
      <c r="D155" s="32">
        <f t="shared" ca="1" si="16"/>
        <v>106.5080194105181</v>
      </c>
      <c r="E155" s="27"/>
      <c r="F155" s="27"/>
      <c r="G155" s="27"/>
      <c r="H155" s="10">
        <f t="shared" si="20"/>
        <v>-24.598127631615629</v>
      </c>
      <c r="I155" s="32">
        <f t="shared" si="21"/>
        <v>-27.549902947409507</v>
      </c>
      <c r="J155" s="10">
        <f t="shared" ca="1" si="22"/>
        <v>0.21</v>
      </c>
      <c r="K155" s="10">
        <f t="shared" ca="1" si="23"/>
        <v>-0.12</v>
      </c>
      <c r="L155" s="10">
        <v>0.2</v>
      </c>
      <c r="M155" s="10">
        <f t="shared" ca="1" si="17"/>
        <v>-5.4919805894819014</v>
      </c>
      <c r="N155" s="10">
        <f t="shared" ca="1" si="18"/>
        <v>-4.9035540977516945</v>
      </c>
      <c r="O155" s="10">
        <f t="shared" ca="1" si="19"/>
        <v>30.161850795245972</v>
      </c>
      <c r="P155" s="10"/>
      <c r="Q155" s="10"/>
      <c r="R155" s="10"/>
      <c r="S155" s="10"/>
      <c r="T155" s="10"/>
      <c r="U155" s="10"/>
      <c r="V155" s="10"/>
    </row>
    <row r="156" spans="1:22">
      <c r="A156" s="27">
        <v>154</v>
      </c>
      <c r="B156" s="13">
        <v>112</v>
      </c>
      <c r="C156" s="17">
        <v>112.69051498217399</v>
      </c>
      <c r="D156" s="32">
        <f t="shared" ca="1" si="16"/>
        <v>112.1201029964348</v>
      </c>
      <c r="E156" s="27"/>
      <c r="F156" s="27"/>
      <c r="G156" s="27"/>
      <c r="H156" s="10">
        <f t="shared" si="20"/>
        <v>0.61653123408391686</v>
      </c>
      <c r="I156" s="32">
        <f t="shared" si="21"/>
        <v>0.69051498217399399</v>
      </c>
      <c r="J156" s="10">
        <f t="shared" ca="1" si="22"/>
        <v>-0.2</v>
      </c>
      <c r="K156" s="10">
        <f t="shared" ca="1" si="23"/>
        <v>0.11</v>
      </c>
      <c r="L156" s="10">
        <v>0.2</v>
      </c>
      <c r="M156" s="10">
        <f t="shared" ca="1" si="17"/>
        <v>0.12010299643479881</v>
      </c>
      <c r="N156" s="10">
        <f t="shared" ca="1" si="18"/>
        <v>0.10723481824534975</v>
      </c>
      <c r="O156" s="10">
        <f t="shared" ca="1" si="19"/>
        <v>1.4424729752617296E-2</v>
      </c>
      <c r="P156" s="10"/>
      <c r="Q156" s="10"/>
      <c r="R156" s="10"/>
      <c r="S156" s="10"/>
      <c r="T156" s="10"/>
      <c r="U156" s="10"/>
      <c r="V156" s="10"/>
    </row>
    <row r="157" spans="1:22">
      <c r="A157" s="27">
        <v>155</v>
      </c>
      <c r="B157" s="13">
        <v>235</v>
      </c>
      <c r="C157" s="17">
        <v>206.75315900716001</v>
      </c>
      <c r="D157" s="32">
        <f t="shared" ca="1" si="16"/>
        <v>229.05063180143199</v>
      </c>
      <c r="E157" s="27"/>
      <c r="F157" s="27"/>
      <c r="G157" s="27"/>
      <c r="H157" s="10">
        <f t="shared" si="20"/>
        <v>-12.019932337378725</v>
      </c>
      <c r="I157" s="32">
        <f t="shared" si="21"/>
        <v>-28.246840992839992</v>
      </c>
      <c r="J157" s="10">
        <f t="shared" ca="1" si="22"/>
        <v>-0.99</v>
      </c>
      <c r="K157" s="10">
        <f t="shared" ca="1" si="23"/>
        <v>-0.51</v>
      </c>
      <c r="L157" s="10">
        <v>0.2</v>
      </c>
      <c r="M157" s="10">
        <f t="shared" ca="1" si="17"/>
        <v>-5.9493681985679991</v>
      </c>
      <c r="N157" s="10">
        <f t="shared" ca="1" si="18"/>
        <v>-2.5316460419438358</v>
      </c>
      <c r="O157" s="10">
        <f t="shared" ca="1" si="19"/>
        <v>35.394981962132242</v>
      </c>
      <c r="P157" s="10"/>
      <c r="Q157" s="10"/>
      <c r="R157" s="10"/>
      <c r="S157" s="10"/>
      <c r="T157" s="10"/>
      <c r="U157" s="10"/>
      <c r="V157" s="10"/>
    </row>
    <row r="158" spans="1:22">
      <c r="A158" s="27">
        <v>156</v>
      </c>
      <c r="B158" s="13">
        <v>172</v>
      </c>
      <c r="C158" s="17">
        <v>140.75895307915701</v>
      </c>
      <c r="D158" s="32">
        <f t="shared" ca="1" si="16"/>
        <v>165.64379061583139</v>
      </c>
      <c r="E158" s="27"/>
      <c r="F158" s="27"/>
      <c r="G158" s="27"/>
      <c r="H158" s="10">
        <f t="shared" si="20"/>
        <v>-18.163399372583132</v>
      </c>
      <c r="I158" s="32">
        <f t="shared" si="21"/>
        <v>-31.24104692084299</v>
      </c>
      <c r="J158" s="10">
        <f t="shared" ca="1" si="22"/>
        <v>-0.03</v>
      </c>
      <c r="K158" s="10">
        <f t="shared" ca="1" si="23"/>
        <v>-0.51</v>
      </c>
      <c r="L158" s="10">
        <v>0.2</v>
      </c>
      <c r="M158" s="10">
        <f t="shared" ca="1" si="17"/>
        <v>-6.3562093841685989</v>
      </c>
      <c r="N158" s="10">
        <f t="shared" ca="1" si="18"/>
        <v>-3.6954705721910508</v>
      </c>
      <c r="O158" s="10">
        <f t="shared" ca="1" si="19"/>
        <v>40.401397735392962</v>
      </c>
      <c r="P158" s="10"/>
      <c r="Q158" s="10"/>
      <c r="R158" s="10"/>
      <c r="S158" s="10"/>
      <c r="T158" s="10"/>
      <c r="U158" s="10"/>
      <c r="V158" s="10"/>
    </row>
    <row r="159" spans="1:22">
      <c r="A159" s="27">
        <v>157</v>
      </c>
      <c r="B159" s="13">
        <v>118</v>
      </c>
      <c r="C159" s="17">
        <v>128.67349474400899</v>
      </c>
      <c r="D159" s="32">
        <f t="shared" ca="1" si="16"/>
        <v>119.97269894880179</v>
      </c>
      <c r="E159" s="27"/>
      <c r="F159" s="27"/>
      <c r="G159" s="27"/>
      <c r="H159" s="10">
        <f t="shared" si="20"/>
        <v>9.0453345288211686</v>
      </c>
      <c r="I159" s="32">
        <f t="shared" si="21"/>
        <v>10.673494744008991</v>
      </c>
      <c r="J159" s="10">
        <f t="shared" ca="1" si="22"/>
        <v>0.15</v>
      </c>
      <c r="K159" s="10">
        <f t="shared" ca="1" si="23"/>
        <v>-0.96</v>
      </c>
      <c r="L159" s="10">
        <v>0.2</v>
      </c>
      <c r="M159" s="10">
        <f t="shared" ca="1" si="17"/>
        <v>1.9726989488017985</v>
      </c>
      <c r="N159" s="10">
        <f t="shared" ca="1" si="18"/>
        <v>1.6717787701710174</v>
      </c>
      <c r="O159" s="10">
        <f t="shared" ca="1" si="19"/>
        <v>3.891541142603721</v>
      </c>
      <c r="P159" s="10"/>
      <c r="Q159" s="10"/>
      <c r="R159" s="10"/>
      <c r="S159" s="10"/>
      <c r="T159" s="10"/>
      <c r="U159" s="10"/>
      <c r="V159" s="10"/>
    </row>
    <row r="160" spans="1:22">
      <c r="A160" s="27">
        <v>158</v>
      </c>
      <c r="B160" s="13">
        <v>119</v>
      </c>
      <c r="C160" s="17">
        <v>120.763377109427</v>
      </c>
      <c r="D160" s="32">
        <f t="shared" ca="1" si="16"/>
        <v>119.6606754218854</v>
      </c>
      <c r="E160" s="27"/>
      <c r="F160" s="27"/>
      <c r="G160" s="27"/>
      <c r="H160" s="10">
        <f t="shared" si="20"/>
        <v>1.4818295037201556</v>
      </c>
      <c r="I160" s="32">
        <f t="shared" si="21"/>
        <v>1.7633771094269974</v>
      </c>
      <c r="J160" s="10">
        <f t="shared" ca="1" si="22"/>
        <v>0.82</v>
      </c>
      <c r="K160" s="10">
        <f t="shared" ca="1" si="23"/>
        <v>0.72</v>
      </c>
      <c r="L160" s="10">
        <v>0.2</v>
      </c>
      <c r="M160" s="10">
        <f t="shared" ca="1" si="17"/>
        <v>0.66067542188539952</v>
      </c>
      <c r="N160" s="10">
        <f t="shared" ca="1" si="18"/>
        <v>0.55518943015580025</v>
      </c>
      <c r="O160" s="10">
        <f t="shared" ca="1" si="19"/>
        <v>0.43649201308345065</v>
      </c>
      <c r="P160" s="10"/>
      <c r="Q160" s="10"/>
      <c r="R160" s="10"/>
      <c r="S160" s="10"/>
      <c r="T160" s="10"/>
      <c r="U160" s="10"/>
      <c r="V160" s="10"/>
    </row>
    <row r="161" spans="1:22">
      <c r="A161" s="27">
        <v>159</v>
      </c>
      <c r="B161" s="13">
        <v>217</v>
      </c>
      <c r="C161" s="17">
        <v>186.965940979782</v>
      </c>
      <c r="D161" s="32">
        <f t="shared" ca="1" si="16"/>
        <v>211.1951881959564</v>
      </c>
      <c r="E161" s="27"/>
      <c r="F161" s="27"/>
      <c r="G161" s="27"/>
      <c r="H161" s="10">
        <f t="shared" si="20"/>
        <v>-13.840580193648844</v>
      </c>
      <c r="I161" s="32">
        <f t="shared" si="21"/>
        <v>-30.034059020217995</v>
      </c>
      <c r="J161" s="10">
        <f t="shared" ca="1" si="22"/>
        <v>0.14000000000000001</v>
      </c>
      <c r="K161" s="10">
        <f t="shared" ca="1" si="23"/>
        <v>0.87</v>
      </c>
      <c r="L161" s="10">
        <v>0.2</v>
      </c>
      <c r="M161" s="10">
        <f t="shared" ca="1" si="17"/>
        <v>-5.8048118040435988</v>
      </c>
      <c r="N161" s="10">
        <f t="shared" ca="1" si="18"/>
        <v>-2.6750284811260849</v>
      </c>
      <c r="O161" s="10">
        <f t="shared" ca="1" si="19"/>
        <v>33.695840080363901</v>
      </c>
      <c r="P161" s="10"/>
      <c r="Q161" s="10"/>
      <c r="R161" s="10"/>
      <c r="S161" s="10"/>
      <c r="T161" s="10"/>
      <c r="U161" s="10"/>
      <c r="V161" s="10"/>
    </row>
    <row r="162" spans="1:22">
      <c r="A162" s="27">
        <v>160</v>
      </c>
      <c r="B162" s="13">
        <v>73</v>
      </c>
      <c r="C162" s="17">
        <v>44.0179593753316</v>
      </c>
      <c r="D162" s="32">
        <f t="shared" ca="1" si="16"/>
        <v>67.129591875066325</v>
      </c>
      <c r="E162" s="27"/>
      <c r="F162" s="27"/>
      <c r="G162" s="27"/>
      <c r="H162" s="10">
        <f t="shared" si="20"/>
        <v>-39.701425513244381</v>
      </c>
      <c r="I162" s="32">
        <f t="shared" si="21"/>
        <v>-28.9820406246684</v>
      </c>
      <c r="J162" s="10">
        <f t="shared" ca="1" si="22"/>
        <v>0.53</v>
      </c>
      <c r="K162" s="10">
        <f t="shared" ca="1" si="23"/>
        <v>-0.9</v>
      </c>
      <c r="L162" s="10">
        <v>0.2</v>
      </c>
      <c r="M162" s="10">
        <f t="shared" ca="1" si="17"/>
        <v>-5.8704081249336797</v>
      </c>
      <c r="N162" s="10">
        <f t="shared" ca="1" si="18"/>
        <v>-8.0416549656625698</v>
      </c>
      <c r="O162" s="10">
        <f t="shared" ca="1" si="19"/>
        <v>34.461691553287359</v>
      </c>
      <c r="P162" s="10"/>
      <c r="Q162" s="10"/>
      <c r="R162" s="10"/>
      <c r="S162" s="10"/>
      <c r="T162" s="10"/>
      <c r="U162" s="10"/>
      <c r="V162" s="10"/>
    </row>
    <row r="163" spans="1:22">
      <c r="A163" s="27">
        <v>161</v>
      </c>
      <c r="B163" s="13">
        <v>108</v>
      </c>
      <c r="C163" s="17">
        <v>117.557143835294</v>
      </c>
      <c r="D163" s="32">
        <f t="shared" ca="1" si="16"/>
        <v>109.6174287670588</v>
      </c>
      <c r="E163" s="27"/>
      <c r="F163" s="27"/>
      <c r="G163" s="27"/>
      <c r="H163" s="10">
        <f t="shared" si="20"/>
        <v>8.8492072549018594</v>
      </c>
      <c r="I163" s="32">
        <f t="shared" si="21"/>
        <v>9.5571438352939992</v>
      </c>
      <c r="J163" s="10">
        <f t="shared" ca="1" si="22"/>
        <v>-0.56000000000000005</v>
      </c>
      <c r="K163" s="10">
        <f t="shared" ca="1" si="23"/>
        <v>-0.91</v>
      </c>
      <c r="L163" s="10">
        <v>0.2</v>
      </c>
      <c r="M163" s="10">
        <f t="shared" ca="1" si="17"/>
        <v>1.6174287670587999</v>
      </c>
      <c r="N163" s="10">
        <f t="shared" ca="1" si="18"/>
        <v>1.4976192287581513</v>
      </c>
      <c r="O163" s="10">
        <f t="shared" ca="1" si="19"/>
        <v>2.6160758165093494</v>
      </c>
      <c r="P163" s="10"/>
      <c r="Q163" s="10"/>
      <c r="R163" s="10"/>
      <c r="S163" s="10"/>
      <c r="T163" s="10"/>
      <c r="U163" s="10"/>
      <c r="V163" s="10"/>
    </row>
    <row r="164" spans="1:22">
      <c r="A164" s="27">
        <v>162</v>
      </c>
      <c r="B164" s="13">
        <v>40</v>
      </c>
      <c r="C164" s="17">
        <v>41.289345848379902</v>
      </c>
      <c r="D164" s="32">
        <f t="shared" ca="1" si="16"/>
        <v>40.261869169675983</v>
      </c>
      <c r="E164" s="27"/>
      <c r="F164" s="27"/>
      <c r="G164" s="27"/>
      <c r="H164" s="10">
        <f t="shared" si="20"/>
        <v>3.2233646209497646</v>
      </c>
      <c r="I164" s="32">
        <f t="shared" si="21"/>
        <v>1.2893458483799023</v>
      </c>
      <c r="J164" s="10">
        <f t="shared" ca="1" si="22"/>
        <v>-0.22</v>
      </c>
      <c r="K164" s="10">
        <f t="shared" ca="1" si="23"/>
        <v>0.24</v>
      </c>
      <c r="L164" s="10">
        <v>0.2</v>
      </c>
      <c r="M164" s="10">
        <f t="shared" ca="1" si="17"/>
        <v>0.26186916967598045</v>
      </c>
      <c r="N164" s="10">
        <f t="shared" ca="1" si="18"/>
        <v>0.65467292418994738</v>
      </c>
      <c r="O164" s="10">
        <f t="shared" ca="1" si="19"/>
        <v>6.8575462026787437E-2</v>
      </c>
      <c r="P164" s="10"/>
      <c r="Q164" s="10"/>
      <c r="R164" s="10"/>
      <c r="S164" s="10"/>
      <c r="T164" s="10"/>
      <c r="U164" s="10"/>
      <c r="V164" s="10"/>
    </row>
    <row r="165" spans="1:22">
      <c r="A165" s="27">
        <v>163</v>
      </c>
      <c r="B165" s="13">
        <v>93</v>
      </c>
      <c r="C165" s="17">
        <v>102.19240896231901</v>
      </c>
      <c r="D165" s="32">
        <f t="shared" ca="1" si="16"/>
        <v>94.776481792463798</v>
      </c>
      <c r="E165" s="27"/>
      <c r="F165" s="27"/>
      <c r="G165" s="27"/>
      <c r="H165" s="10">
        <f t="shared" si="20"/>
        <v>9.8843107121709739</v>
      </c>
      <c r="I165" s="32">
        <f t="shared" si="21"/>
        <v>9.1924089623190071</v>
      </c>
      <c r="J165" s="10">
        <f t="shared" ca="1" si="22"/>
        <v>0.03</v>
      </c>
      <c r="K165" s="10">
        <f t="shared" ca="1" si="23"/>
        <v>-0.34</v>
      </c>
      <c r="L165" s="10">
        <v>0.2</v>
      </c>
      <c r="M165" s="10">
        <f t="shared" ca="1" si="17"/>
        <v>1.7764817924638014</v>
      </c>
      <c r="N165" s="10">
        <f t="shared" ca="1" si="18"/>
        <v>1.9101954757675177</v>
      </c>
      <c r="O165" s="10">
        <f t="shared" ca="1" si="19"/>
        <v>3.155887558955401</v>
      </c>
      <c r="P165" s="10"/>
      <c r="Q165" s="10"/>
      <c r="R165" s="10"/>
      <c r="S165" s="10"/>
      <c r="T165" s="10"/>
      <c r="U165" s="10"/>
      <c r="V165" s="10"/>
    </row>
    <row r="166" spans="1:22">
      <c r="A166" s="27">
        <v>164</v>
      </c>
      <c r="B166" s="13">
        <v>70</v>
      </c>
      <c r="C166" s="17">
        <v>72.207951501830493</v>
      </c>
      <c r="D166" s="32">
        <f t="shared" ca="1" si="16"/>
        <v>70.337590300366102</v>
      </c>
      <c r="E166" s="27"/>
      <c r="F166" s="27"/>
      <c r="G166" s="27"/>
      <c r="H166" s="10">
        <f t="shared" si="20"/>
        <v>3.1542164311864296</v>
      </c>
      <c r="I166" s="32">
        <f t="shared" si="21"/>
        <v>2.2079515018304932</v>
      </c>
      <c r="J166" s="10">
        <f t="shared" ca="1" si="22"/>
        <v>-0.12</v>
      </c>
      <c r="K166" s="10">
        <f t="shared" ca="1" si="23"/>
        <v>-0.4</v>
      </c>
      <c r="L166" s="10">
        <v>0.2</v>
      </c>
      <c r="M166" s="10">
        <f t="shared" ca="1" si="17"/>
        <v>0.33759030036609866</v>
      </c>
      <c r="N166" s="10">
        <f t="shared" ca="1" si="18"/>
        <v>0.48227185766585023</v>
      </c>
      <c r="O166" s="10">
        <f t="shared" ca="1" si="19"/>
        <v>0.11396721090127271</v>
      </c>
      <c r="P166" s="10"/>
      <c r="Q166" s="10"/>
      <c r="R166" s="10"/>
      <c r="S166" s="10"/>
      <c r="T166" s="10"/>
      <c r="U166" s="10"/>
      <c r="V166" s="10"/>
    </row>
    <row r="167" spans="1:22">
      <c r="A167" s="27">
        <v>165</v>
      </c>
      <c r="B167" s="13">
        <v>95</v>
      </c>
      <c r="C167" s="17">
        <v>95.827878069630799</v>
      </c>
      <c r="D167" s="32">
        <f t="shared" ca="1" si="16"/>
        <v>95.097575613926153</v>
      </c>
      <c r="E167" s="27"/>
      <c r="F167" s="27"/>
      <c r="G167" s="27"/>
      <c r="H167" s="10">
        <f t="shared" si="20"/>
        <v>0.8714505996113564</v>
      </c>
      <c r="I167" s="32">
        <f t="shared" si="21"/>
        <v>0.82787806963079902</v>
      </c>
      <c r="J167" s="10">
        <f t="shared" ca="1" si="22"/>
        <v>-0.05</v>
      </c>
      <c r="K167" s="10">
        <f t="shared" ca="1" si="23"/>
        <v>-0.28999999999999998</v>
      </c>
      <c r="L167" s="10">
        <v>0.2</v>
      </c>
      <c r="M167" s="10">
        <f t="shared" ca="1" si="17"/>
        <v>9.7575613926159807E-2</v>
      </c>
      <c r="N167" s="10">
        <f t="shared" ca="1" si="18"/>
        <v>0.10271117255384876</v>
      </c>
      <c r="O167" s="10">
        <f t="shared" ca="1" si="19"/>
        <v>9.5210004330669919E-3</v>
      </c>
      <c r="P167" s="10"/>
      <c r="Q167" s="10"/>
      <c r="R167" s="10"/>
      <c r="S167" s="10"/>
      <c r="T167" s="10"/>
      <c r="U167" s="10"/>
      <c r="V167" s="10"/>
    </row>
    <row r="168" spans="1:22">
      <c r="A168" s="27">
        <v>166</v>
      </c>
      <c r="B168" s="13">
        <v>140</v>
      </c>
      <c r="C168" s="17">
        <v>111.550909937491</v>
      </c>
      <c r="D168" s="32">
        <f t="shared" ca="1" si="16"/>
        <v>134.30818198749819</v>
      </c>
      <c r="E168" s="27"/>
      <c r="F168" s="27"/>
      <c r="G168" s="27"/>
      <c r="H168" s="10">
        <f t="shared" si="20"/>
        <v>-20.32077861607786</v>
      </c>
      <c r="I168" s="32">
        <f t="shared" si="21"/>
        <v>-28.449090062509001</v>
      </c>
      <c r="J168" s="10">
        <f t="shared" ca="1" si="22"/>
        <v>-0.14000000000000001</v>
      </c>
      <c r="K168" s="10">
        <f t="shared" ca="1" si="23"/>
        <v>0.13</v>
      </c>
      <c r="L168" s="10">
        <v>0.2</v>
      </c>
      <c r="M168" s="10">
        <f t="shared" ca="1" si="17"/>
        <v>-5.691818012501801</v>
      </c>
      <c r="N168" s="10">
        <f t="shared" ca="1" si="18"/>
        <v>-4.0655842946441538</v>
      </c>
      <c r="O168" s="10">
        <f t="shared" ca="1" si="19"/>
        <v>32.396792287439951</v>
      </c>
      <c r="P168" s="10"/>
      <c r="Q168" s="10"/>
      <c r="R168" s="10"/>
      <c r="S168" s="10"/>
      <c r="T168" s="10"/>
      <c r="U168" s="10"/>
      <c r="V168" s="10"/>
    </row>
    <row r="169" spans="1:22">
      <c r="A169" s="27">
        <v>167</v>
      </c>
      <c r="B169" s="13">
        <v>92</v>
      </c>
      <c r="C169" s="17">
        <v>61.543333322702601</v>
      </c>
      <c r="D169" s="32">
        <f t="shared" ca="1" si="16"/>
        <v>85.788666664540514</v>
      </c>
      <c r="E169" s="27"/>
      <c r="F169" s="27"/>
      <c r="G169" s="27"/>
      <c r="H169" s="10">
        <f t="shared" si="20"/>
        <v>-33.105072475323261</v>
      </c>
      <c r="I169" s="32">
        <f t="shared" si="21"/>
        <v>-30.456666677297399</v>
      </c>
      <c r="J169" s="10">
        <f t="shared" ca="1" si="22"/>
        <v>-0.24</v>
      </c>
      <c r="K169" s="10">
        <f t="shared" ca="1" si="23"/>
        <v>-0.36</v>
      </c>
      <c r="L169" s="10">
        <v>0.2</v>
      </c>
      <c r="M169" s="10">
        <f t="shared" ca="1" si="17"/>
        <v>-6.2113333354594795</v>
      </c>
      <c r="N169" s="10">
        <f t="shared" ca="1" si="18"/>
        <v>-6.7514492776733492</v>
      </c>
      <c r="O169" s="10">
        <f t="shared" ca="1" si="19"/>
        <v>38.580661804190186</v>
      </c>
      <c r="P169" s="10"/>
      <c r="Q169" s="10"/>
      <c r="R169" s="10"/>
      <c r="S169" s="10"/>
      <c r="T169" s="10"/>
      <c r="U169" s="10"/>
      <c r="V169" s="10"/>
    </row>
    <row r="170" spans="1:22">
      <c r="A170" s="27">
        <v>168</v>
      </c>
      <c r="B170" s="13">
        <v>34</v>
      </c>
      <c r="C170" s="17">
        <v>36.505008426559101</v>
      </c>
      <c r="D170" s="32">
        <f t="shared" ca="1" si="16"/>
        <v>34.719001685311824</v>
      </c>
      <c r="E170" s="27"/>
      <c r="F170" s="27"/>
      <c r="G170" s="27"/>
      <c r="H170" s="10">
        <f t="shared" si="20"/>
        <v>7.3676718428208776</v>
      </c>
      <c r="I170" s="32">
        <f t="shared" si="21"/>
        <v>2.5050084265591011</v>
      </c>
      <c r="J170" s="10">
        <f t="shared" ca="1" si="22"/>
        <v>0.48</v>
      </c>
      <c r="K170" s="10">
        <f t="shared" ca="1" si="23"/>
        <v>0.61</v>
      </c>
      <c r="L170" s="10">
        <v>0.2</v>
      </c>
      <c r="M170" s="10">
        <f t="shared" ca="1" si="17"/>
        <v>0.71900168531182018</v>
      </c>
      <c r="N170" s="10">
        <f t="shared" ca="1" si="18"/>
        <v>2.1147108391524227</v>
      </c>
      <c r="O170" s="10">
        <f t="shared" ca="1" si="19"/>
        <v>0.51696342348123769</v>
      </c>
      <c r="P170" s="10"/>
      <c r="Q170" s="10"/>
      <c r="R170" s="10"/>
      <c r="S170" s="10"/>
      <c r="T170" s="10"/>
      <c r="U170" s="10"/>
      <c r="V170" s="10"/>
    </row>
    <row r="171" spans="1:22">
      <c r="A171" s="27">
        <v>169</v>
      </c>
      <c r="B171" s="13">
        <v>17</v>
      </c>
      <c r="C171" s="17">
        <v>28.5534522965084</v>
      </c>
      <c r="D171" s="32">
        <f t="shared" ca="1" si="16"/>
        <v>19.312610459301681</v>
      </c>
      <c r="E171" s="27"/>
      <c r="F171" s="27"/>
      <c r="G171" s="27"/>
      <c r="H171" s="10">
        <f t="shared" si="20"/>
        <v>67.961484097108226</v>
      </c>
      <c r="I171" s="32">
        <f t="shared" si="21"/>
        <v>11.5534522965084</v>
      </c>
      <c r="J171" s="10">
        <f t="shared" ca="1" si="22"/>
        <v>5.1999999999999998E-3</v>
      </c>
      <c r="K171" s="10">
        <f t="shared" ca="1" si="23"/>
        <v>4.4000000000000003E-3</v>
      </c>
      <c r="L171" s="10">
        <v>0.2</v>
      </c>
      <c r="M171" s="10">
        <f t="shared" ca="1" si="17"/>
        <v>2.3126104593016801</v>
      </c>
      <c r="N171" s="10">
        <f t="shared" ca="1" si="18"/>
        <v>13.603590937068709</v>
      </c>
      <c r="O171" s="10">
        <f t="shared" ca="1" si="19"/>
        <v>5.3481671364715275</v>
      </c>
      <c r="P171" s="10"/>
      <c r="Q171" s="10"/>
      <c r="R171" s="10"/>
      <c r="S171" s="10"/>
      <c r="T171" s="10"/>
      <c r="U171" s="10"/>
      <c r="V171" s="10"/>
    </row>
    <row r="172" spans="1:22">
      <c r="A172" s="27">
        <v>170</v>
      </c>
      <c r="B172" s="13">
        <v>49</v>
      </c>
      <c r="C172" s="17">
        <v>60.745565733905202</v>
      </c>
      <c r="D172" s="32">
        <f t="shared" ca="1" si="16"/>
        <v>51.13111314678104</v>
      </c>
      <c r="E172" s="27"/>
      <c r="F172" s="27"/>
      <c r="G172" s="27"/>
      <c r="H172" s="10">
        <f t="shared" si="20"/>
        <v>23.970542314092256</v>
      </c>
      <c r="I172" s="32">
        <f t="shared" si="21"/>
        <v>11.745565733905202</v>
      </c>
      <c r="J172" s="10">
        <f t="shared" ca="1" si="22"/>
        <v>-0.38</v>
      </c>
      <c r="K172" s="10">
        <f t="shared" ca="1" si="23"/>
        <v>-0.71</v>
      </c>
      <c r="L172" s="10">
        <v>0.2</v>
      </c>
      <c r="M172" s="10">
        <f t="shared" ca="1" si="17"/>
        <v>2.1311131467810407</v>
      </c>
      <c r="N172" s="10">
        <f t="shared" ca="1" si="18"/>
        <v>4.3492105036347706</v>
      </c>
      <c r="O172" s="10">
        <f t="shared" ca="1" si="19"/>
        <v>4.5416432443829891</v>
      </c>
      <c r="P172" s="10"/>
      <c r="Q172" s="10"/>
      <c r="R172" s="10"/>
      <c r="S172" s="10"/>
      <c r="T172" s="10"/>
      <c r="U172" s="10"/>
      <c r="V172" s="10"/>
    </row>
    <row r="173" spans="1:22">
      <c r="A173" s="27">
        <v>171</v>
      </c>
      <c r="B173" s="13">
        <v>9</v>
      </c>
      <c r="C173" s="17">
        <v>-19.836998742173499</v>
      </c>
      <c r="D173" s="32">
        <f t="shared" ca="1" si="16"/>
        <v>3.2330002515653007</v>
      </c>
      <c r="E173" s="27"/>
      <c r="F173" s="27"/>
      <c r="G173" s="27"/>
      <c r="H173" s="10">
        <f t="shared" si="20"/>
        <v>-320.41109713526106</v>
      </c>
      <c r="I173" s="32">
        <f t="shared" si="21"/>
        <v>-28.836998742173499</v>
      </c>
      <c r="J173" s="10">
        <f t="shared" ca="1" si="22"/>
        <v>-2.0999999999999999E-3</v>
      </c>
      <c r="K173" s="10">
        <f t="shared" ca="1" si="23"/>
        <v>4.1000000000000003E-3</v>
      </c>
      <c r="L173" s="10">
        <v>0.2</v>
      </c>
      <c r="M173" s="10">
        <f t="shared" ca="1" si="17"/>
        <v>-5.7669997484346993</v>
      </c>
      <c r="N173" s="10">
        <f t="shared" ca="1" si="18"/>
        <v>-64.077774982607778</v>
      </c>
      <c r="O173" s="10">
        <f t="shared" ca="1" si="19"/>
        <v>33.258286098445886</v>
      </c>
      <c r="P173" s="10"/>
      <c r="Q173" s="10"/>
      <c r="R173" s="10"/>
      <c r="S173" s="10"/>
      <c r="T173" s="10"/>
      <c r="U173" s="10"/>
      <c r="V173" s="10"/>
    </row>
    <row r="174" spans="1:22">
      <c r="A174" s="27">
        <v>172</v>
      </c>
      <c r="B174" s="13">
        <v>98</v>
      </c>
      <c r="C174" s="17">
        <v>107.26060587204201</v>
      </c>
      <c r="D174" s="32">
        <f t="shared" ca="1" si="16"/>
        <v>99.660121174408403</v>
      </c>
      <c r="E174" s="27"/>
      <c r="F174" s="27"/>
      <c r="G174" s="27"/>
      <c r="H174" s="10">
        <f t="shared" si="20"/>
        <v>9.4495978286142979</v>
      </c>
      <c r="I174" s="32">
        <f t="shared" si="21"/>
        <v>9.2606058720420066</v>
      </c>
      <c r="J174" s="10">
        <f t="shared" ca="1" si="22"/>
        <v>-0.3</v>
      </c>
      <c r="K174" s="10">
        <f t="shared" ca="1" si="23"/>
        <v>-0.66</v>
      </c>
      <c r="L174" s="10">
        <v>0.2</v>
      </c>
      <c r="M174" s="10">
        <f t="shared" ca="1" si="17"/>
        <v>1.6601211744084012</v>
      </c>
      <c r="N174" s="10">
        <f t="shared" ca="1" si="18"/>
        <v>1.6940011983759273</v>
      </c>
      <c r="O174" s="10">
        <f t="shared" ca="1" si="19"/>
        <v>2.7560023137191294</v>
      </c>
      <c r="P174" s="10"/>
      <c r="Q174" s="10"/>
      <c r="R174" s="10"/>
      <c r="S174" s="10"/>
      <c r="T174" s="10"/>
      <c r="U174" s="10"/>
      <c r="V174" s="10"/>
    </row>
    <row r="175" spans="1:22">
      <c r="A175" s="27">
        <v>173</v>
      </c>
      <c r="B175" s="13">
        <v>53</v>
      </c>
      <c r="C175" s="17">
        <v>23.462506895999901</v>
      </c>
      <c r="D175" s="32">
        <f t="shared" ca="1" si="16"/>
        <v>47.066501379199977</v>
      </c>
      <c r="E175" s="27"/>
      <c r="F175" s="27"/>
      <c r="G175" s="27"/>
      <c r="H175" s="10">
        <f t="shared" si="20"/>
        <v>-55.731119064151137</v>
      </c>
      <c r="I175" s="32">
        <f t="shared" si="21"/>
        <v>-29.537493104000099</v>
      </c>
      <c r="J175" s="10">
        <f t="shared" ca="1" si="22"/>
        <v>0.87</v>
      </c>
      <c r="K175" s="10">
        <f t="shared" ca="1" si="23"/>
        <v>-1</v>
      </c>
      <c r="L175" s="10">
        <v>0.2</v>
      </c>
      <c r="M175" s="10">
        <f t="shared" ca="1" si="17"/>
        <v>-5.9334986208000196</v>
      </c>
      <c r="N175" s="10">
        <f t="shared" ca="1" si="18"/>
        <v>-11.195280416603815</v>
      </c>
      <c r="O175" s="10">
        <f t="shared" ca="1" si="19"/>
        <v>35.206405883035735</v>
      </c>
      <c r="P175" s="10"/>
      <c r="Q175" s="10"/>
      <c r="R175" s="10"/>
      <c r="S175" s="10"/>
      <c r="T175" s="10"/>
      <c r="U175" s="10"/>
      <c r="V175" s="10"/>
    </row>
    <row r="176" spans="1:22">
      <c r="A176" s="27">
        <v>174</v>
      </c>
      <c r="B176" s="13">
        <v>77</v>
      </c>
      <c r="C176" s="17">
        <v>77.880666747173706</v>
      </c>
      <c r="D176" s="32">
        <f t="shared" ca="1" si="16"/>
        <v>77.17413334943474</v>
      </c>
      <c r="E176" s="27"/>
      <c r="F176" s="27"/>
      <c r="G176" s="27"/>
      <c r="H176" s="10">
        <f t="shared" si="20"/>
        <v>1.1437230482775451</v>
      </c>
      <c r="I176" s="32">
        <f t="shared" si="21"/>
        <v>0.88066674717370574</v>
      </c>
      <c r="J176" s="10">
        <f t="shared" ca="1" si="22"/>
        <v>-0.83</v>
      </c>
      <c r="K176" s="10">
        <f t="shared" ca="1" si="23"/>
        <v>0.82</v>
      </c>
      <c r="L176" s="10">
        <v>0.2</v>
      </c>
      <c r="M176" s="10">
        <f t="shared" ca="1" si="17"/>
        <v>0.17413334943474115</v>
      </c>
      <c r="N176" s="10">
        <f t="shared" ca="1" si="18"/>
        <v>0.22614720705811386</v>
      </c>
      <c r="O176" s="10">
        <f t="shared" ca="1" si="19"/>
        <v>3.0322423385361667E-2</v>
      </c>
      <c r="P176" s="10"/>
      <c r="Q176" s="10"/>
      <c r="R176" s="10"/>
      <c r="S176" s="10"/>
      <c r="T176" s="10"/>
      <c r="U176" s="10"/>
      <c r="V176" s="10"/>
    </row>
    <row r="177" spans="1:22">
      <c r="A177" s="27">
        <v>175</v>
      </c>
      <c r="B177" s="13">
        <v>78</v>
      </c>
      <c r="C177" s="17">
        <v>78.129015445697405</v>
      </c>
      <c r="D177" s="32">
        <f t="shared" ca="1" si="16"/>
        <v>77.925803089139478</v>
      </c>
      <c r="E177" s="27"/>
      <c r="F177" s="27"/>
      <c r="G177" s="27"/>
      <c r="H177" s="10">
        <f t="shared" si="20"/>
        <v>0.16540441756076607</v>
      </c>
      <c r="I177" s="32">
        <f t="shared" si="21"/>
        <v>0.12901544569740508</v>
      </c>
      <c r="J177" s="10">
        <f t="shared" ca="1" si="22"/>
        <v>-0.35</v>
      </c>
      <c r="K177" s="10">
        <f t="shared" ca="1" si="23"/>
        <v>-0.15</v>
      </c>
      <c r="L177" s="10">
        <v>0.2</v>
      </c>
      <c r="M177" s="10">
        <f t="shared" ca="1" si="17"/>
        <v>-7.419691086051898E-2</v>
      </c>
      <c r="N177" s="10">
        <f t="shared" ca="1" si="18"/>
        <v>-9.5124244692978976E-2</v>
      </c>
      <c r="O177" s="10">
        <f t="shared" ca="1" si="19"/>
        <v>5.5051815812437992E-3</v>
      </c>
      <c r="P177" s="10"/>
      <c r="Q177" s="10"/>
      <c r="R177" s="10"/>
      <c r="S177" s="10"/>
      <c r="T177" s="10"/>
      <c r="U177" s="10"/>
      <c r="V177" s="10"/>
    </row>
    <row r="178" spans="1:22">
      <c r="A178" s="27">
        <v>176</v>
      </c>
      <c r="B178" s="13">
        <v>82</v>
      </c>
      <c r="C178" s="17">
        <v>53.221045038566601</v>
      </c>
      <c r="D178" s="32">
        <f t="shared" ca="1" si="16"/>
        <v>76.122209007713323</v>
      </c>
      <c r="E178" s="27"/>
      <c r="F178" s="27"/>
      <c r="G178" s="27"/>
      <c r="H178" s="10">
        <f t="shared" si="20"/>
        <v>-35.096286538333409</v>
      </c>
      <c r="I178" s="32">
        <f t="shared" si="21"/>
        <v>-28.778954961433399</v>
      </c>
      <c r="J178" s="10">
        <f t="shared" ca="1" si="22"/>
        <v>0.02</v>
      </c>
      <c r="K178" s="10">
        <f t="shared" ca="1" si="23"/>
        <v>-0.63</v>
      </c>
      <c r="L178" s="10">
        <v>0.2</v>
      </c>
      <c r="M178" s="10">
        <f t="shared" ca="1" si="17"/>
        <v>-5.8777909922866804</v>
      </c>
      <c r="N178" s="10">
        <f t="shared" ca="1" si="18"/>
        <v>-7.1680377954715606</v>
      </c>
      <c r="O178" s="10">
        <f t="shared" ca="1" si="19"/>
        <v>34.548426949006441</v>
      </c>
      <c r="P178" s="10"/>
      <c r="Q178" s="10"/>
      <c r="R178" s="10"/>
      <c r="S178" s="10"/>
      <c r="T178" s="10"/>
      <c r="U178" s="10"/>
      <c r="V178" s="10"/>
    </row>
    <row r="179" spans="1:22">
      <c r="A179" s="27">
        <v>177</v>
      </c>
      <c r="B179" s="13">
        <v>200</v>
      </c>
      <c r="C179" s="17">
        <v>199.215890533558</v>
      </c>
      <c r="D179" s="32">
        <f t="shared" ca="1" si="16"/>
        <v>199.67917810671159</v>
      </c>
      <c r="E179" s="27"/>
      <c r="F179" s="27"/>
      <c r="G179" s="27"/>
      <c r="H179" s="10">
        <f t="shared" si="20"/>
        <v>-0.39205473322100337</v>
      </c>
      <c r="I179" s="32">
        <f t="shared" si="21"/>
        <v>-0.78410946644200408</v>
      </c>
      <c r="J179" s="10">
        <f t="shared" ca="1" si="22"/>
        <v>-0.05</v>
      </c>
      <c r="K179" s="10">
        <f t="shared" ca="1" si="23"/>
        <v>-0.77</v>
      </c>
      <c r="L179" s="10">
        <v>0.2</v>
      </c>
      <c r="M179" s="10">
        <f t="shared" ca="1" si="17"/>
        <v>-0.32082189328840083</v>
      </c>
      <c r="N179" s="10">
        <f t="shared" ca="1" si="18"/>
        <v>-0.16041094664420719</v>
      </c>
      <c r="O179" s="10">
        <f t="shared" ca="1" si="19"/>
        <v>0.10292668721315405</v>
      </c>
      <c r="P179" s="10"/>
      <c r="Q179" s="10"/>
      <c r="R179" s="10"/>
      <c r="S179" s="10"/>
      <c r="T179" s="10"/>
      <c r="U179" s="10"/>
      <c r="V179" s="10"/>
    </row>
    <row r="180" spans="1:22">
      <c r="A180" s="27">
        <v>178</v>
      </c>
      <c r="B180" s="13">
        <v>47</v>
      </c>
      <c r="C180" s="17">
        <v>47.697330300595603</v>
      </c>
      <c r="D180" s="32">
        <f t="shared" ca="1" si="16"/>
        <v>46.84946606011912</v>
      </c>
      <c r="E180" s="27"/>
      <c r="F180" s="27"/>
      <c r="G180" s="27"/>
      <c r="H180" s="10">
        <f t="shared" si="20"/>
        <v>1.4836814906289408</v>
      </c>
      <c r="I180" s="32">
        <f t="shared" si="21"/>
        <v>0.69733030059560264</v>
      </c>
      <c r="J180" s="10">
        <f t="shared" ca="1" si="22"/>
        <v>-0.74</v>
      </c>
      <c r="K180" s="10">
        <f t="shared" ca="1" si="23"/>
        <v>-0.71</v>
      </c>
      <c r="L180" s="10">
        <v>0.2</v>
      </c>
      <c r="M180" s="10">
        <f t="shared" ca="1" si="17"/>
        <v>-0.15053393988087949</v>
      </c>
      <c r="N180" s="10">
        <f t="shared" ca="1" si="18"/>
        <v>-0.32028497846995352</v>
      </c>
      <c r="O180" s="10">
        <f t="shared" ca="1" si="19"/>
        <v>2.266046705606024E-2</v>
      </c>
      <c r="P180" s="10"/>
      <c r="Q180" s="10"/>
      <c r="R180" s="10"/>
      <c r="S180" s="10"/>
      <c r="T180" s="10"/>
      <c r="U180" s="10"/>
      <c r="V180" s="10"/>
    </row>
    <row r="181" spans="1:22">
      <c r="A181" s="27">
        <v>179</v>
      </c>
      <c r="B181" s="13">
        <v>128</v>
      </c>
      <c r="C181" s="17">
        <v>97.754923796966494</v>
      </c>
      <c r="D181" s="32">
        <f t="shared" ca="1" si="16"/>
        <v>121.7669847593933</v>
      </c>
      <c r="E181" s="27"/>
      <c r="F181" s="27"/>
      <c r="G181" s="27"/>
      <c r="H181" s="10">
        <f t="shared" si="20"/>
        <v>-23.628965783619925</v>
      </c>
      <c r="I181" s="32">
        <f t="shared" si="21"/>
        <v>-30.245076203033506</v>
      </c>
      <c r="J181" s="10">
        <f t="shared" ca="1" si="22"/>
        <v>0.02</v>
      </c>
      <c r="K181" s="10">
        <f t="shared" ca="1" si="23"/>
        <v>-0.94</v>
      </c>
      <c r="L181" s="10">
        <v>0.2</v>
      </c>
      <c r="M181" s="10">
        <f t="shared" ca="1" si="17"/>
        <v>-6.2330152406067016</v>
      </c>
      <c r="N181" s="10">
        <f t="shared" ca="1" si="18"/>
        <v>-4.8695431567239877</v>
      </c>
      <c r="O181" s="10">
        <f t="shared" ca="1" si="19"/>
        <v>38.85047898963542</v>
      </c>
      <c r="P181" s="10"/>
      <c r="Q181" s="10"/>
      <c r="R181" s="10"/>
      <c r="S181" s="10"/>
      <c r="T181" s="10"/>
      <c r="U181" s="10"/>
      <c r="V181" s="10"/>
    </row>
    <row r="182" spans="1:22">
      <c r="A182" s="27">
        <v>180</v>
      </c>
      <c r="B182" s="13">
        <v>117</v>
      </c>
      <c r="C182" s="17">
        <v>125.983900623021</v>
      </c>
      <c r="D182" s="32">
        <f t="shared" ca="1" si="16"/>
        <v>119.02478012460421</v>
      </c>
      <c r="E182" s="27"/>
      <c r="F182" s="27"/>
      <c r="G182" s="27"/>
      <c r="H182" s="10">
        <f t="shared" si="20"/>
        <v>7.678547541043601</v>
      </c>
      <c r="I182" s="32">
        <f t="shared" si="21"/>
        <v>8.9839006230210003</v>
      </c>
      <c r="J182" s="10">
        <f t="shared" ca="1" si="22"/>
        <v>0.42</v>
      </c>
      <c r="K182" s="10">
        <f t="shared" ca="1" si="23"/>
        <v>0.72</v>
      </c>
      <c r="L182" s="10">
        <v>0.2</v>
      </c>
      <c r="M182" s="10">
        <f t="shared" ca="1" si="17"/>
        <v>2.0247801246042001</v>
      </c>
      <c r="N182" s="10">
        <f t="shared" ca="1" si="18"/>
        <v>1.730581303080525</v>
      </c>
      <c r="O182" s="10">
        <f t="shared" ca="1" si="19"/>
        <v>4.0997345529922002</v>
      </c>
      <c r="P182" s="10"/>
      <c r="Q182" s="10"/>
      <c r="R182" s="10"/>
      <c r="S182" s="10"/>
      <c r="T182" s="10"/>
      <c r="U182" s="10"/>
      <c r="V182" s="10"/>
    </row>
    <row r="183" spans="1:22">
      <c r="A183" s="27">
        <v>181</v>
      </c>
      <c r="B183" s="13">
        <v>47</v>
      </c>
      <c r="C183" s="17">
        <v>16.389901259097201</v>
      </c>
      <c r="D183" s="32">
        <f t="shared" ca="1" si="16"/>
        <v>40.723980251819441</v>
      </c>
      <c r="E183" s="27"/>
      <c r="F183" s="27"/>
      <c r="G183" s="27"/>
      <c r="H183" s="10">
        <f t="shared" si="20"/>
        <v>-65.127869661495325</v>
      </c>
      <c r="I183" s="32">
        <f t="shared" si="21"/>
        <v>-30.610098740902799</v>
      </c>
      <c r="J183" s="10">
        <f t="shared" ca="1" si="22"/>
        <v>-0.13</v>
      </c>
      <c r="K183" s="10">
        <f t="shared" ca="1" si="23"/>
        <v>-0.64</v>
      </c>
      <c r="L183" s="10">
        <v>0.2</v>
      </c>
      <c r="M183" s="10">
        <f t="shared" ca="1" si="17"/>
        <v>-6.27601974818056</v>
      </c>
      <c r="N183" s="10">
        <f t="shared" ca="1" si="18"/>
        <v>-13.353233506767149</v>
      </c>
      <c r="O183" s="10">
        <f t="shared" ca="1" si="19"/>
        <v>39.388423879552377</v>
      </c>
      <c r="P183" s="10"/>
      <c r="Q183" s="10"/>
      <c r="R183" s="10"/>
      <c r="S183" s="10"/>
      <c r="T183" s="10"/>
      <c r="U183" s="10"/>
      <c r="V183" s="10"/>
    </row>
    <row r="184" spans="1:22">
      <c r="A184" s="27">
        <v>182</v>
      </c>
      <c r="B184" s="13">
        <v>207</v>
      </c>
      <c r="C184" s="17">
        <v>206.744389770764</v>
      </c>
      <c r="D184" s="32">
        <f t="shared" ca="1" si="16"/>
        <v>206.74687795415281</v>
      </c>
      <c r="E184" s="27"/>
      <c r="F184" s="27"/>
      <c r="G184" s="27"/>
      <c r="H184" s="10">
        <f t="shared" si="20"/>
        <v>-0.12348320252947298</v>
      </c>
      <c r="I184" s="32">
        <f t="shared" si="21"/>
        <v>-0.25561022923599808</v>
      </c>
      <c r="J184" s="10">
        <f t="shared" ca="1" si="22"/>
        <v>-0.27</v>
      </c>
      <c r="K184" s="10">
        <f t="shared" ca="1" si="23"/>
        <v>-0.74</v>
      </c>
      <c r="L184" s="10">
        <v>0.2</v>
      </c>
      <c r="M184" s="10">
        <f t="shared" ca="1" si="17"/>
        <v>-0.25312204584719961</v>
      </c>
      <c r="N184" s="10">
        <f t="shared" ca="1" si="18"/>
        <v>-0.12228118156869527</v>
      </c>
      <c r="O184" s="10">
        <f t="shared" ca="1" si="19"/>
        <v>6.4070770093871826E-2</v>
      </c>
      <c r="P184" s="10"/>
      <c r="Q184" s="10"/>
      <c r="R184" s="10"/>
      <c r="S184" s="10"/>
      <c r="T184" s="10"/>
      <c r="U184" s="10"/>
      <c r="V184" s="10"/>
    </row>
    <row r="185" spans="1:22">
      <c r="A185" s="27">
        <v>183</v>
      </c>
      <c r="B185" s="13">
        <v>124</v>
      </c>
      <c r="C185" s="17">
        <v>133.13517940144101</v>
      </c>
      <c r="D185" s="32">
        <f t="shared" ca="1" si="16"/>
        <v>125.6550358802882</v>
      </c>
      <c r="E185" s="27"/>
      <c r="F185" s="27"/>
      <c r="G185" s="27"/>
      <c r="H185" s="10">
        <f t="shared" si="20"/>
        <v>7.3670801624524218</v>
      </c>
      <c r="I185" s="32">
        <f t="shared" si="21"/>
        <v>9.1351794014410075</v>
      </c>
      <c r="J185" s="10">
        <f t="shared" ca="1" si="22"/>
        <v>-0.89</v>
      </c>
      <c r="K185" s="10">
        <f t="shared" ca="1" si="23"/>
        <v>0.03</v>
      </c>
      <c r="L185" s="10">
        <v>0.2</v>
      </c>
      <c r="M185" s="10">
        <f t="shared" ca="1" si="17"/>
        <v>1.6550358802882013</v>
      </c>
      <c r="N185" s="10">
        <f t="shared" ca="1" si="18"/>
        <v>1.3347063550711358</v>
      </c>
      <c r="O185" s="10">
        <f t="shared" ca="1" si="19"/>
        <v>2.7391437650413413</v>
      </c>
      <c r="P185" s="10"/>
      <c r="Q185" s="10"/>
      <c r="R185" s="10"/>
      <c r="S185" s="10"/>
      <c r="T185" s="10"/>
      <c r="U185" s="10"/>
      <c r="V185" s="10"/>
    </row>
    <row r="186" spans="1:22">
      <c r="A186" s="27">
        <v>184</v>
      </c>
      <c r="B186" s="13">
        <v>194</v>
      </c>
      <c r="C186" s="17">
        <v>193.071790989394</v>
      </c>
      <c r="D186" s="32">
        <f t="shared" ca="1" si="16"/>
        <v>194.02235819787879</v>
      </c>
      <c r="E186" s="27"/>
      <c r="F186" s="27"/>
      <c r="G186" s="27"/>
      <c r="H186" s="10">
        <f t="shared" si="20"/>
        <v>-0.47845825288969079</v>
      </c>
      <c r="I186" s="32">
        <f t="shared" si="21"/>
        <v>-0.92820901060599681</v>
      </c>
      <c r="J186" s="10">
        <f t="shared" ca="1" si="22"/>
        <v>0.41</v>
      </c>
      <c r="K186" s="10">
        <f t="shared" ca="1" si="23"/>
        <v>0.63</v>
      </c>
      <c r="L186" s="10">
        <v>0.2</v>
      </c>
      <c r="M186" s="10">
        <f t="shared" ca="1" si="17"/>
        <v>2.2358197878800626E-2</v>
      </c>
      <c r="N186" s="10">
        <f t="shared" ca="1" si="18"/>
        <v>1.152484426740763E-2</v>
      </c>
      <c r="O186" s="10">
        <f t="shared" ca="1" si="19"/>
        <v>4.9988901238760483E-4</v>
      </c>
      <c r="P186" s="10"/>
      <c r="Q186" s="10"/>
      <c r="R186" s="10"/>
      <c r="S186" s="10"/>
      <c r="T186" s="10"/>
      <c r="U186" s="10"/>
      <c r="V186" s="10"/>
    </row>
    <row r="187" spans="1:22">
      <c r="A187" s="27">
        <v>185</v>
      </c>
      <c r="B187" s="13">
        <v>178</v>
      </c>
      <c r="C187" s="17">
        <v>146.73283719389099</v>
      </c>
      <c r="D187" s="32">
        <f t="shared" ca="1" si="16"/>
        <v>171.77656743877819</v>
      </c>
      <c r="E187" s="27"/>
      <c r="F187" s="27"/>
      <c r="G187" s="27"/>
      <c r="H187" s="10">
        <f t="shared" si="20"/>
        <v>-17.565821801184846</v>
      </c>
      <c r="I187" s="32">
        <f t="shared" si="21"/>
        <v>-31.267162806109013</v>
      </c>
      <c r="J187" s="10">
        <f t="shared" ca="1" si="22"/>
        <v>-0.43</v>
      </c>
      <c r="K187" s="10">
        <f t="shared" ca="1" si="23"/>
        <v>0.57999999999999996</v>
      </c>
      <c r="L187" s="10">
        <v>0.2</v>
      </c>
      <c r="M187" s="10">
        <f t="shared" ca="1" si="17"/>
        <v>-6.2234325612218031</v>
      </c>
      <c r="N187" s="10">
        <f t="shared" ca="1" si="18"/>
        <v>-3.4963104276527046</v>
      </c>
      <c r="O187" s="10">
        <f t="shared" ca="1" si="19"/>
        <v>38.731112844075774</v>
      </c>
      <c r="P187" s="10"/>
      <c r="Q187" s="10"/>
      <c r="R187" s="10"/>
      <c r="S187" s="10"/>
      <c r="T187" s="10"/>
      <c r="U187" s="10"/>
      <c r="V187" s="10"/>
    </row>
    <row r="188" spans="1:22">
      <c r="A188" s="27">
        <v>186</v>
      </c>
      <c r="B188" s="13">
        <v>50</v>
      </c>
      <c r="C188" s="17">
        <v>49.436556856431899</v>
      </c>
      <c r="D188" s="32">
        <f t="shared" ca="1" si="16"/>
        <v>49.909311371286378</v>
      </c>
      <c r="E188" s="27"/>
      <c r="F188" s="27"/>
      <c r="G188" s="27"/>
      <c r="H188" s="10">
        <f t="shared" si="20"/>
        <v>-1.1268862871361973</v>
      </c>
      <c r="I188" s="32">
        <f t="shared" si="21"/>
        <v>-0.56344314356810088</v>
      </c>
      <c r="J188" s="10">
        <f t="shared" ca="1" si="22"/>
        <v>0.57999999999999996</v>
      </c>
      <c r="K188" s="10">
        <f t="shared" ca="1" si="23"/>
        <v>-0.47</v>
      </c>
      <c r="L188" s="10">
        <v>0.2</v>
      </c>
      <c r="M188" s="10">
        <f t="shared" ca="1" si="17"/>
        <v>-9.0688628713620184E-2</v>
      </c>
      <c r="N188" s="10">
        <f t="shared" ca="1" si="18"/>
        <v>-0.18137725742723987</v>
      </c>
      <c r="O188" s="10">
        <f t="shared" ca="1" si="19"/>
        <v>8.2244273779568545E-3</v>
      </c>
      <c r="P188" s="10"/>
      <c r="Q188" s="10"/>
      <c r="R188" s="10"/>
      <c r="S188" s="10"/>
      <c r="T188" s="10"/>
      <c r="U188" s="10"/>
      <c r="V188" s="10"/>
    </row>
    <row r="189" spans="1:22">
      <c r="A189" s="27">
        <v>187</v>
      </c>
      <c r="B189" s="13">
        <v>120</v>
      </c>
      <c r="C189" s="17">
        <v>91.469154182350906</v>
      </c>
      <c r="D189" s="32">
        <f t="shared" ca="1" si="16"/>
        <v>114.43183083647018</v>
      </c>
      <c r="E189" s="27"/>
      <c r="F189" s="27"/>
      <c r="G189" s="27"/>
      <c r="H189" s="10">
        <f t="shared" si="20"/>
        <v>-23.775704848040913</v>
      </c>
      <c r="I189" s="32">
        <f t="shared" si="21"/>
        <v>-28.530845817649094</v>
      </c>
      <c r="J189" s="10">
        <f t="shared" ca="1" si="22"/>
        <v>0.17</v>
      </c>
      <c r="K189" s="10">
        <f t="shared" ca="1" si="23"/>
        <v>0.52</v>
      </c>
      <c r="L189" s="10">
        <v>0.2</v>
      </c>
      <c r="M189" s="10">
        <f t="shared" ca="1" si="17"/>
        <v>-5.5681691635298192</v>
      </c>
      <c r="N189" s="10">
        <f t="shared" ca="1" si="18"/>
        <v>-4.6401409696081757</v>
      </c>
      <c r="O189" s="10">
        <f t="shared" ca="1" si="19"/>
        <v>31.004507833684364</v>
      </c>
      <c r="P189" s="10"/>
      <c r="Q189" s="10"/>
      <c r="R189" s="10"/>
      <c r="S189" s="10"/>
      <c r="T189" s="10"/>
      <c r="U189" s="10"/>
      <c r="V189" s="10"/>
    </row>
    <row r="190" spans="1:22">
      <c r="A190" s="27">
        <v>188</v>
      </c>
      <c r="B190" s="13">
        <v>64</v>
      </c>
      <c r="C190" s="17">
        <v>34.982360084486601</v>
      </c>
      <c r="D190" s="32">
        <f t="shared" ca="1" si="16"/>
        <v>57.874472016897322</v>
      </c>
      <c r="E190" s="27"/>
      <c r="F190" s="27"/>
      <c r="G190" s="27"/>
      <c r="H190" s="10">
        <f t="shared" si="20"/>
        <v>-45.340062367989688</v>
      </c>
      <c r="I190" s="32">
        <f t="shared" si="21"/>
        <v>-29.017639915513399</v>
      </c>
      <c r="J190" s="10">
        <f t="shared" ca="1" si="22"/>
        <v>-0.77</v>
      </c>
      <c r="K190" s="10">
        <f t="shared" ca="1" si="23"/>
        <v>-0.84</v>
      </c>
      <c r="L190" s="10">
        <v>0.2</v>
      </c>
      <c r="M190" s="10">
        <f t="shared" ca="1" si="17"/>
        <v>-6.1255279831026801</v>
      </c>
      <c r="N190" s="10">
        <f t="shared" ca="1" si="18"/>
        <v>-9.5711374735979344</v>
      </c>
      <c r="O190" s="10">
        <f t="shared" ca="1" si="19"/>
        <v>37.522093071773988</v>
      </c>
      <c r="P190" s="10"/>
      <c r="Q190" s="10"/>
      <c r="R190" s="10"/>
      <c r="S190" s="10"/>
      <c r="T190" s="10"/>
      <c r="U190" s="10"/>
      <c r="V190" s="10"/>
    </row>
    <row r="191" spans="1:22">
      <c r="A191" s="27">
        <v>189</v>
      </c>
      <c r="B191" s="13">
        <v>184</v>
      </c>
      <c r="C191" s="17">
        <v>193.11884304645301</v>
      </c>
      <c r="D191" s="32">
        <f t="shared" ca="1" si="16"/>
        <v>185.64176860929061</v>
      </c>
      <c r="E191" s="27"/>
      <c r="F191" s="27"/>
      <c r="G191" s="27"/>
      <c r="H191" s="10">
        <f t="shared" si="20"/>
        <v>4.9558929600288071</v>
      </c>
      <c r="I191" s="32">
        <f t="shared" si="21"/>
        <v>9.1188430464530086</v>
      </c>
      <c r="J191" s="10">
        <f t="shared" ca="1" si="22"/>
        <v>-0.21</v>
      </c>
      <c r="K191" s="10">
        <f t="shared" ca="1" si="23"/>
        <v>-0.7</v>
      </c>
      <c r="L191" s="10">
        <v>0.2</v>
      </c>
      <c r="M191" s="10">
        <f t="shared" ca="1" si="17"/>
        <v>1.6417686092906019</v>
      </c>
      <c r="N191" s="10">
        <f t="shared" ca="1" si="18"/>
        <v>0.89226554852750439</v>
      </c>
      <c r="O191" s="10">
        <f t="shared" ca="1" si="19"/>
        <v>2.695404166451997</v>
      </c>
      <c r="P191" s="10"/>
      <c r="Q191" s="10"/>
      <c r="R191" s="10"/>
      <c r="S191" s="10"/>
      <c r="T191" s="10"/>
      <c r="U191" s="10"/>
      <c r="V191" s="10"/>
    </row>
    <row r="192" spans="1:22">
      <c r="A192" s="27">
        <v>190</v>
      </c>
      <c r="B192" s="13">
        <v>131</v>
      </c>
      <c r="C192" s="17">
        <v>140.64295847286999</v>
      </c>
      <c r="D192" s="32">
        <f t="shared" ca="1" si="16"/>
        <v>132.82059169457401</v>
      </c>
      <c r="E192" s="27"/>
      <c r="F192" s="27"/>
      <c r="G192" s="27"/>
      <c r="H192" s="10">
        <f t="shared" si="20"/>
        <v>7.36103700219084</v>
      </c>
      <c r="I192" s="32">
        <f t="shared" si="21"/>
        <v>9.6429584728699922</v>
      </c>
      <c r="J192" s="10">
        <f t="shared" ca="1" si="22"/>
        <v>-0.31</v>
      </c>
      <c r="K192" s="10">
        <f t="shared" ca="1" si="23"/>
        <v>-0.23</v>
      </c>
      <c r="L192" s="10">
        <v>0.2</v>
      </c>
      <c r="M192" s="10">
        <f t="shared" ca="1" si="17"/>
        <v>1.8205916945739984</v>
      </c>
      <c r="N192" s="10">
        <f t="shared" ca="1" si="18"/>
        <v>1.3897646523465701</v>
      </c>
      <c r="O192" s="10">
        <f t="shared" ca="1" si="19"/>
        <v>3.3145541183518232</v>
      </c>
      <c r="P192" s="10"/>
      <c r="Q192" s="10"/>
      <c r="R192" s="10"/>
      <c r="S192" s="10"/>
      <c r="T192" s="10"/>
      <c r="U192" s="10"/>
      <c r="V192" s="10"/>
    </row>
    <row r="193" spans="1:22">
      <c r="A193" s="27">
        <v>191</v>
      </c>
      <c r="B193" s="13">
        <v>96</v>
      </c>
      <c r="C193" s="17">
        <v>66.319099462416503</v>
      </c>
      <c r="D193" s="32">
        <f t="shared" ca="1" si="16"/>
        <v>90.151819892483303</v>
      </c>
      <c r="E193" s="27"/>
      <c r="F193" s="27"/>
      <c r="G193" s="27"/>
      <c r="H193" s="10">
        <f t="shared" si="20"/>
        <v>-30.917604726649472</v>
      </c>
      <c r="I193" s="32">
        <f t="shared" si="21"/>
        <v>-29.680900537583497</v>
      </c>
      <c r="J193" s="10">
        <f t="shared" ca="1" si="22"/>
        <v>-0.23</v>
      </c>
      <c r="K193" s="10">
        <f t="shared" ca="1" si="23"/>
        <v>0.67</v>
      </c>
      <c r="L193" s="10">
        <v>0.2</v>
      </c>
      <c r="M193" s="10">
        <f t="shared" ca="1" si="17"/>
        <v>-5.8481801075166997</v>
      </c>
      <c r="N193" s="10">
        <f t="shared" ca="1" si="18"/>
        <v>-6.0918542786632219</v>
      </c>
      <c r="O193" s="10">
        <f t="shared" ca="1" si="19"/>
        <v>34.201210569954036</v>
      </c>
      <c r="P193" s="10"/>
      <c r="Q193" s="10"/>
      <c r="R193" s="10"/>
      <c r="S193" s="10"/>
      <c r="T193" s="10"/>
      <c r="U193" s="10"/>
      <c r="V193" s="10"/>
    </row>
    <row r="194" spans="1:22">
      <c r="A194" s="27">
        <v>192</v>
      </c>
      <c r="B194" s="13">
        <v>157</v>
      </c>
      <c r="C194" s="17">
        <v>166.03684174324499</v>
      </c>
      <c r="D194" s="32">
        <f t="shared" ca="1" si="16"/>
        <v>158.90736834864899</v>
      </c>
      <c r="E194" s="27"/>
      <c r="F194" s="27"/>
      <c r="G194" s="27"/>
      <c r="H194" s="10">
        <f t="shared" si="20"/>
        <v>5.7559501549331094</v>
      </c>
      <c r="I194" s="32">
        <f t="shared" si="21"/>
        <v>9.0368417432449917</v>
      </c>
      <c r="J194" s="10">
        <f t="shared" ca="1" si="22"/>
        <v>-0.35</v>
      </c>
      <c r="K194" s="10">
        <f t="shared" ca="1" si="23"/>
        <v>0.85</v>
      </c>
      <c r="L194" s="10">
        <v>0.2</v>
      </c>
      <c r="M194" s="10">
        <f t="shared" ca="1" si="17"/>
        <v>1.9073683486489985</v>
      </c>
      <c r="N194" s="10">
        <f t="shared" ca="1" si="18"/>
        <v>1.2148842985025388</v>
      </c>
      <c r="O194" s="10">
        <f t="shared" ca="1" si="19"/>
        <v>3.6380540174280074</v>
      </c>
      <c r="P194" s="10"/>
      <c r="Q194" s="10"/>
      <c r="R194" s="10"/>
      <c r="S194" s="10"/>
      <c r="T194" s="10"/>
      <c r="U194" s="10"/>
      <c r="V194" s="10"/>
    </row>
    <row r="195" spans="1:22">
      <c r="A195" s="27">
        <v>193</v>
      </c>
      <c r="B195" s="13">
        <v>65</v>
      </c>
      <c r="C195" s="17">
        <v>67.015022262317899</v>
      </c>
      <c r="D195" s="32">
        <f t="shared" ref="D195:D209" ca="1" si="24">B195+M195</f>
        <v>65.199004452463583</v>
      </c>
      <c r="E195" s="27"/>
      <c r="F195" s="27"/>
      <c r="G195" s="27"/>
      <c r="H195" s="10">
        <f t="shared" si="20"/>
        <v>3.1000342497198519</v>
      </c>
      <c r="I195" s="32">
        <f t="shared" si="21"/>
        <v>2.015022262317899</v>
      </c>
      <c r="J195" s="10">
        <f t="shared" ca="1" si="22"/>
        <v>-0.47</v>
      </c>
      <c r="K195" s="10">
        <f t="shared" ca="1" si="23"/>
        <v>-0.55000000000000004</v>
      </c>
      <c r="L195" s="10">
        <v>0.2</v>
      </c>
      <c r="M195" s="10">
        <f t="shared" ref="M195:M209" ca="1" si="25">(I195+J195+K195)*L195</f>
        <v>0.19900445246357981</v>
      </c>
      <c r="N195" s="10">
        <f t="shared" ref="N195:N209" ca="1" si="26">((D195/B195)-1)*100</f>
        <v>0.30616069609781249</v>
      </c>
      <c r="O195" s="10">
        <f t="shared" ref="O195:O209" ca="1" si="27">M195^2</f>
        <v>3.9602772100329198E-2</v>
      </c>
      <c r="P195" s="10"/>
      <c r="Q195" s="10"/>
      <c r="R195" s="10"/>
      <c r="S195" s="10"/>
      <c r="T195" s="10"/>
      <c r="U195" s="10"/>
      <c r="V195" s="10"/>
    </row>
    <row r="196" spans="1:22">
      <c r="A196" s="27">
        <v>194</v>
      </c>
      <c r="B196" s="13">
        <v>93</v>
      </c>
      <c r="C196" s="17">
        <v>92.528263788243194</v>
      </c>
      <c r="D196" s="32">
        <f t="shared" ca="1" si="24"/>
        <v>92.933652757648645</v>
      </c>
      <c r="E196" s="27"/>
      <c r="F196" s="27"/>
      <c r="G196" s="27"/>
      <c r="H196" s="10">
        <f t="shared" ref="H196:H209" si="28">((C196/B196)-1)*100</f>
        <v>-0.50724323844817398</v>
      </c>
      <c r="I196" s="32">
        <f t="shared" ref="I196:I209" si="29">C196-B196</f>
        <v>-0.4717362117568058</v>
      </c>
      <c r="J196" s="10">
        <f t="shared" ref="J196:J209" ca="1" si="30">IF(B196 &lt; 30, RANDBETWEEN(-100, 100) / 10000, RANDBETWEEN(-100,100) / 100)</f>
        <v>-0.67</v>
      </c>
      <c r="K196" s="10">
        <f t="shared" ref="K196:K209" ca="1" si="31">IF(B196 &lt; 30, RANDBETWEEN(-100, 100) / 10000, RANDBETWEEN(-100,100) / 100)</f>
        <v>0.81</v>
      </c>
      <c r="L196" s="10">
        <v>0.2</v>
      </c>
      <c r="M196" s="10">
        <f t="shared" ca="1" si="25"/>
        <v>-6.6347242351361135E-2</v>
      </c>
      <c r="N196" s="10">
        <f t="shared" ca="1" si="26"/>
        <v>-7.1341120807910663E-2</v>
      </c>
      <c r="O196" s="10">
        <f t="shared" ca="1" si="27"/>
        <v>4.4019565676302486E-3</v>
      </c>
      <c r="P196" s="10"/>
      <c r="Q196" s="10"/>
      <c r="R196" s="10"/>
      <c r="S196" s="10"/>
      <c r="T196" s="10"/>
      <c r="U196" s="10"/>
      <c r="V196" s="10"/>
    </row>
    <row r="197" spans="1:22">
      <c r="A197" s="27">
        <v>195</v>
      </c>
      <c r="B197" s="13">
        <v>226</v>
      </c>
      <c r="C197" s="17">
        <v>195.93539451069699</v>
      </c>
      <c r="D197" s="32">
        <f t="shared" ca="1" si="24"/>
        <v>220.17307890213939</v>
      </c>
      <c r="E197" s="27"/>
      <c r="F197" s="27"/>
      <c r="G197" s="27"/>
      <c r="H197" s="10">
        <f t="shared" si="28"/>
        <v>-13.302922782877435</v>
      </c>
      <c r="I197" s="32">
        <f t="shared" si="29"/>
        <v>-30.064605489303005</v>
      </c>
      <c r="J197" s="10">
        <f t="shared" ca="1" si="30"/>
        <v>0.13</v>
      </c>
      <c r="K197" s="10">
        <f t="shared" ca="1" si="31"/>
        <v>0.8</v>
      </c>
      <c r="L197" s="10">
        <v>0.2</v>
      </c>
      <c r="M197" s="10">
        <f t="shared" ca="1" si="25"/>
        <v>-5.8269210978606019</v>
      </c>
      <c r="N197" s="10">
        <f t="shared" ca="1" si="26"/>
        <v>-2.578283671619741</v>
      </c>
      <c r="O197" s="10">
        <f t="shared" ca="1" si="27"/>
        <v>33.953009480693005</v>
      </c>
      <c r="P197" s="10"/>
      <c r="Q197" s="10"/>
      <c r="R197" s="10"/>
      <c r="S197" s="10"/>
      <c r="T197" s="10"/>
      <c r="U197" s="10"/>
      <c r="V197" s="10"/>
    </row>
    <row r="198" spans="1:22">
      <c r="A198" s="27">
        <v>196</v>
      </c>
      <c r="B198" s="13">
        <v>142</v>
      </c>
      <c r="C198" s="17">
        <v>151.36260795840499</v>
      </c>
      <c r="D198" s="32">
        <f t="shared" ca="1" si="24"/>
        <v>143.862521591681</v>
      </c>
      <c r="E198" s="27"/>
      <c r="F198" s="27"/>
      <c r="G198" s="27"/>
      <c r="H198" s="10">
        <f t="shared" si="28"/>
        <v>6.5933858862007089</v>
      </c>
      <c r="I198" s="32">
        <f t="shared" si="29"/>
        <v>9.3626079584049933</v>
      </c>
      <c r="J198" s="10">
        <f t="shared" ca="1" si="30"/>
        <v>-0.66</v>
      </c>
      <c r="K198" s="10">
        <f t="shared" ca="1" si="31"/>
        <v>0.61</v>
      </c>
      <c r="L198" s="10">
        <v>0.2</v>
      </c>
      <c r="M198" s="10">
        <f t="shared" ca="1" si="25"/>
        <v>1.8625215916809985</v>
      </c>
      <c r="N198" s="10">
        <f t="shared" ca="1" si="26"/>
        <v>1.3116349237190184</v>
      </c>
      <c r="O198" s="10">
        <f t="shared" ca="1" si="27"/>
        <v>3.4689866794779203</v>
      </c>
      <c r="P198" s="10"/>
      <c r="Q198" s="10"/>
      <c r="R198" s="10"/>
      <c r="S198" s="10"/>
      <c r="T198" s="10"/>
      <c r="U198" s="10"/>
      <c r="V198" s="10"/>
    </row>
    <row r="199" spans="1:22">
      <c r="A199" s="27">
        <v>197</v>
      </c>
      <c r="B199" s="13">
        <v>106</v>
      </c>
      <c r="C199" s="17">
        <v>106.43485331358799</v>
      </c>
      <c r="D199" s="32">
        <f t="shared" ca="1" si="24"/>
        <v>106.15297066271759</v>
      </c>
      <c r="E199" s="27"/>
      <c r="F199" s="27"/>
      <c r="G199" s="27"/>
      <c r="H199" s="10">
        <f t="shared" si="28"/>
        <v>0.41023897508301044</v>
      </c>
      <c r="I199" s="32">
        <f t="shared" si="29"/>
        <v>0.43485331358799328</v>
      </c>
      <c r="J199" s="10">
        <f t="shared" ca="1" si="30"/>
        <v>0.22</v>
      </c>
      <c r="K199" s="10">
        <f t="shared" ca="1" si="31"/>
        <v>0.11</v>
      </c>
      <c r="L199" s="10">
        <v>0.2</v>
      </c>
      <c r="M199" s="10">
        <f t="shared" ca="1" si="25"/>
        <v>0.15297066271759865</v>
      </c>
      <c r="N199" s="10">
        <f t="shared" ca="1" si="26"/>
        <v>0.14431194595998509</v>
      </c>
      <c r="O199" s="10">
        <f t="shared" ca="1" si="27"/>
        <v>2.3400023652261327E-2</v>
      </c>
      <c r="P199" s="10"/>
      <c r="Q199" s="10"/>
      <c r="R199" s="10"/>
      <c r="S199" s="10"/>
      <c r="T199" s="10"/>
      <c r="U199" s="10"/>
      <c r="V199" s="10"/>
    </row>
    <row r="200" spans="1:22">
      <c r="A200" s="27">
        <v>198</v>
      </c>
      <c r="B200" s="13">
        <v>75</v>
      </c>
      <c r="C200" s="17">
        <v>85.321518228871597</v>
      </c>
      <c r="D200" s="32">
        <f t="shared" ca="1" si="24"/>
        <v>76.968303645774313</v>
      </c>
      <c r="E200" s="27"/>
      <c r="F200" s="27"/>
      <c r="G200" s="27"/>
      <c r="H200" s="10">
        <f t="shared" si="28"/>
        <v>13.762024305162136</v>
      </c>
      <c r="I200" s="32">
        <f t="shared" si="29"/>
        <v>10.321518228871597</v>
      </c>
      <c r="J200" s="10">
        <f t="shared" ca="1" si="30"/>
        <v>0.43</v>
      </c>
      <c r="K200" s="10">
        <f t="shared" ca="1" si="31"/>
        <v>-0.91</v>
      </c>
      <c r="L200" s="10">
        <v>0.2</v>
      </c>
      <c r="M200" s="10">
        <f t="shared" ca="1" si="25"/>
        <v>1.9683036457743193</v>
      </c>
      <c r="N200" s="10">
        <f t="shared" ca="1" si="26"/>
        <v>2.6244048610324144</v>
      </c>
      <c r="O200" s="10">
        <f t="shared" ca="1" si="27"/>
        <v>3.8742192419684769</v>
      </c>
      <c r="P200" s="10"/>
      <c r="Q200" s="10"/>
      <c r="R200" s="10"/>
      <c r="S200" s="10"/>
      <c r="T200" s="10"/>
      <c r="U200" s="10"/>
      <c r="V200" s="10"/>
    </row>
    <row r="201" spans="1:22">
      <c r="A201" s="27">
        <v>199</v>
      </c>
      <c r="B201" s="13">
        <v>46</v>
      </c>
      <c r="C201" s="17">
        <v>47.7133506121924</v>
      </c>
      <c r="D201" s="32">
        <f t="shared" ca="1" si="24"/>
        <v>46.216670122438479</v>
      </c>
      <c r="E201" s="27"/>
      <c r="F201" s="27"/>
      <c r="G201" s="27"/>
      <c r="H201" s="10">
        <f t="shared" si="28"/>
        <v>3.7246752438965247</v>
      </c>
      <c r="I201" s="32">
        <f t="shared" si="29"/>
        <v>1.7133506121924</v>
      </c>
      <c r="J201" s="10">
        <f t="shared" ca="1" si="30"/>
        <v>-0.46</v>
      </c>
      <c r="K201" s="10">
        <f t="shared" ca="1" si="31"/>
        <v>-0.17</v>
      </c>
      <c r="L201" s="10">
        <v>0.2</v>
      </c>
      <c r="M201" s="10">
        <f t="shared" ca="1" si="25"/>
        <v>0.21667012243848005</v>
      </c>
      <c r="N201" s="10">
        <f t="shared" ca="1" si="26"/>
        <v>0.47102200530104721</v>
      </c>
      <c r="O201" s="10">
        <f t="shared" ca="1" si="27"/>
        <v>4.6945941957505934E-2</v>
      </c>
      <c r="P201" s="10"/>
      <c r="Q201" s="10"/>
      <c r="R201" s="10"/>
      <c r="S201" s="10"/>
      <c r="T201" s="10"/>
      <c r="U201" s="10"/>
      <c r="V201" s="10"/>
    </row>
    <row r="202" spans="1:22">
      <c r="A202" s="27">
        <v>200</v>
      </c>
      <c r="B202" s="13">
        <v>87</v>
      </c>
      <c r="C202" s="17">
        <v>97.979181907682005</v>
      </c>
      <c r="D202" s="32">
        <f t="shared" ca="1" si="24"/>
        <v>89.5598363815364</v>
      </c>
      <c r="E202" s="27"/>
      <c r="F202" s="27"/>
      <c r="G202" s="27"/>
      <c r="H202" s="10">
        <f t="shared" si="28"/>
        <v>12.619749319174712</v>
      </c>
      <c r="I202" s="32">
        <f t="shared" si="29"/>
        <v>10.979181907682005</v>
      </c>
      <c r="J202" s="10">
        <f t="shared" ca="1" si="30"/>
        <v>0.84</v>
      </c>
      <c r="K202" s="10">
        <f t="shared" ca="1" si="31"/>
        <v>0.98</v>
      </c>
      <c r="L202" s="10">
        <v>0.2</v>
      </c>
      <c r="M202" s="10">
        <f t="shared" ca="1" si="25"/>
        <v>2.5598363815364014</v>
      </c>
      <c r="N202" s="10">
        <f t="shared" ca="1" si="26"/>
        <v>2.9423406684326414</v>
      </c>
      <c r="O202" s="10">
        <f t="shared" ca="1" si="27"/>
        <v>6.5527623002373767</v>
      </c>
      <c r="P202" s="10"/>
      <c r="Q202" s="10"/>
      <c r="R202" s="10"/>
      <c r="S202" s="10"/>
      <c r="T202" s="10"/>
      <c r="U202" s="10"/>
      <c r="V202" s="10"/>
    </row>
    <row r="203" spans="1:22">
      <c r="A203" s="27">
        <v>201</v>
      </c>
      <c r="B203" s="13">
        <v>162</v>
      </c>
      <c r="C203" s="17">
        <v>160.62587508108001</v>
      </c>
      <c r="D203" s="32">
        <f t="shared" ca="1" si="24"/>
        <v>162.04717501621602</v>
      </c>
      <c r="E203" s="27"/>
      <c r="F203" s="27"/>
      <c r="G203" s="27"/>
      <c r="H203" s="10">
        <f t="shared" si="28"/>
        <v>-0.84822525859258313</v>
      </c>
      <c r="I203" s="32">
        <f t="shared" si="29"/>
        <v>-1.3741249189199891</v>
      </c>
      <c r="J203" s="10">
        <f t="shared" ca="1" si="30"/>
        <v>0.62</v>
      </c>
      <c r="K203" s="10">
        <f t="shared" ca="1" si="31"/>
        <v>0.99</v>
      </c>
      <c r="L203" s="10">
        <v>0.2</v>
      </c>
      <c r="M203" s="10">
        <f t="shared" ca="1" si="25"/>
        <v>4.7175016216002175E-2</v>
      </c>
      <c r="N203" s="10">
        <f t="shared" ca="1" si="26"/>
        <v>2.9120380380254218E-2</v>
      </c>
      <c r="O203" s="10">
        <f t="shared" ca="1" si="27"/>
        <v>2.2254821549800683E-3</v>
      </c>
      <c r="P203" s="10"/>
      <c r="Q203" s="10"/>
      <c r="R203" s="10"/>
      <c r="S203" s="10"/>
      <c r="T203" s="10"/>
      <c r="U203" s="10"/>
      <c r="V203" s="10"/>
    </row>
    <row r="204" spans="1:22">
      <c r="A204" s="27">
        <v>202</v>
      </c>
      <c r="B204" s="13">
        <v>3</v>
      </c>
      <c r="C204" s="17">
        <v>13.570476818483201</v>
      </c>
      <c r="D204" s="32">
        <f t="shared" ca="1" si="24"/>
        <v>5.1119153636966406</v>
      </c>
      <c r="E204" s="27"/>
      <c r="F204" s="27"/>
      <c r="G204" s="27"/>
      <c r="H204" s="10">
        <f t="shared" si="28"/>
        <v>352.34922728277337</v>
      </c>
      <c r="I204" s="32">
        <f t="shared" si="29"/>
        <v>10.570476818483201</v>
      </c>
      <c r="J204" s="10">
        <f t="shared" ca="1" si="30"/>
        <v>-1.5E-3</v>
      </c>
      <c r="K204" s="10">
        <f t="shared" ca="1" si="31"/>
        <v>-9.4000000000000004E-3</v>
      </c>
      <c r="L204" s="10">
        <v>0.2</v>
      </c>
      <c r="M204" s="10">
        <f t="shared" ca="1" si="25"/>
        <v>2.1119153636966401</v>
      </c>
      <c r="N204" s="10">
        <f t="shared" ca="1" si="26"/>
        <v>70.397178789888031</v>
      </c>
      <c r="O204" s="10">
        <f t="shared" ca="1" si="27"/>
        <v>4.460186503417912</v>
      </c>
      <c r="P204" s="10"/>
      <c r="Q204" s="10"/>
      <c r="R204" s="10"/>
      <c r="S204" s="10"/>
      <c r="T204" s="10"/>
      <c r="U204" s="10"/>
      <c r="V204" s="10"/>
    </row>
    <row r="205" spans="1:22">
      <c r="A205" s="27">
        <v>203</v>
      </c>
      <c r="B205" s="13">
        <v>207</v>
      </c>
      <c r="C205" s="17">
        <v>216.54895360725899</v>
      </c>
      <c r="D205" s="32">
        <f t="shared" ca="1" si="24"/>
        <v>209.0237907214518</v>
      </c>
      <c r="E205" s="27"/>
      <c r="F205" s="27"/>
      <c r="G205" s="27"/>
      <c r="H205" s="10">
        <f t="shared" si="28"/>
        <v>4.6130210663086979</v>
      </c>
      <c r="I205" s="32">
        <f t="shared" si="29"/>
        <v>9.5489536072589942</v>
      </c>
      <c r="J205" s="10">
        <f t="shared" ca="1" si="30"/>
        <v>-0.09</v>
      </c>
      <c r="K205" s="10">
        <f t="shared" ca="1" si="31"/>
        <v>0.66</v>
      </c>
      <c r="L205" s="10">
        <v>0.2</v>
      </c>
      <c r="M205" s="10">
        <f t="shared" ca="1" si="25"/>
        <v>2.0237907214517992</v>
      </c>
      <c r="N205" s="10">
        <f t="shared" ca="1" si="26"/>
        <v>0.9776766770298595</v>
      </c>
      <c r="O205" s="10">
        <f t="shared" ca="1" si="27"/>
        <v>4.0957288842343935</v>
      </c>
      <c r="P205" s="10"/>
      <c r="Q205" s="10"/>
      <c r="R205" s="10"/>
      <c r="S205" s="10"/>
      <c r="T205" s="10"/>
      <c r="U205" s="10"/>
      <c r="V205" s="10"/>
    </row>
    <row r="206" spans="1:22">
      <c r="A206" s="27">
        <v>204</v>
      </c>
      <c r="B206" s="13">
        <v>149</v>
      </c>
      <c r="C206" s="17">
        <v>156.21188101726901</v>
      </c>
      <c r="D206" s="32">
        <f t="shared" ca="1" si="24"/>
        <v>150.2963762034538</v>
      </c>
      <c r="E206" s="27"/>
      <c r="F206" s="27"/>
      <c r="G206" s="27"/>
      <c r="H206" s="10">
        <f t="shared" si="28"/>
        <v>4.8401886021939733</v>
      </c>
      <c r="I206" s="32">
        <f t="shared" si="29"/>
        <v>7.2118810172690075</v>
      </c>
      <c r="J206" s="10">
        <f t="shared" ca="1" si="30"/>
        <v>-0.17</v>
      </c>
      <c r="K206" s="10">
        <f t="shared" ca="1" si="31"/>
        <v>-0.56000000000000005</v>
      </c>
      <c r="L206" s="10">
        <v>0.2</v>
      </c>
      <c r="M206" s="10">
        <f t="shared" ca="1" si="25"/>
        <v>1.2963762034538016</v>
      </c>
      <c r="N206" s="10">
        <f t="shared" ca="1" si="26"/>
        <v>0.87005114325757749</v>
      </c>
      <c r="O206" s="10">
        <f t="shared" ca="1" si="27"/>
        <v>1.6805912608812923</v>
      </c>
      <c r="P206" s="10"/>
      <c r="Q206" s="10"/>
      <c r="R206" s="10"/>
      <c r="S206" s="10"/>
      <c r="T206" s="10"/>
      <c r="U206" s="10"/>
      <c r="V206" s="10"/>
    </row>
    <row r="207" spans="1:22">
      <c r="A207" s="27">
        <v>205</v>
      </c>
      <c r="B207" s="13">
        <v>202</v>
      </c>
      <c r="C207" s="17">
        <v>201.59571713219199</v>
      </c>
      <c r="D207" s="32">
        <f t="shared" ca="1" si="24"/>
        <v>201.64114342643839</v>
      </c>
      <c r="E207" s="27"/>
      <c r="F207" s="27"/>
      <c r="G207" s="27"/>
      <c r="H207" s="10">
        <f t="shared" si="28"/>
        <v>-0.200140033568319</v>
      </c>
      <c r="I207" s="32">
        <f t="shared" si="29"/>
        <v>-0.40428286780800704</v>
      </c>
      <c r="J207" s="10">
        <f t="shared" ca="1" si="30"/>
        <v>-0.57999999999999996</v>
      </c>
      <c r="K207" s="10">
        <f t="shared" ca="1" si="31"/>
        <v>-0.81</v>
      </c>
      <c r="L207" s="10">
        <v>0.2</v>
      </c>
      <c r="M207" s="10">
        <f t="shared" ca="1" si="25"/>
        <v>-0.35885657356160144</v>
      </c>
      <c r="N207" s="10">
        <f t="shared" ca="1" si="26"/>
        <v>-0.17765176908990377</v>
      </c>
      <c r="O207" s="10">
        <f t="shared" ca="1" si="27"/>
        <v>0.12877804038837307</v>
      </c>
      <c r="P207" s="10"/>
      <c r="Q207" s="10"/>
      <c r="R207" s="10"/>
      <c r="S207" s="10"/>
      <c r="T207" s="10"/>
      <c r="U207" s="10"/>
      <c r="V207" s="10"/>
    </row>
    <row r="208" spans="1:22">
      <c r="A208" s="27">
        <v>206</v>
      </c>
      <c r="B208" s="13">
        <v>193</v>
      </c>
      <c r="C208" s="17">
        <v>162.79272700879901</v>
      </c>
      <c r="D208" s="32">
        <f t="shared" ca="1" si="24"/>
        <v>187.03854540175979</v>
      </c>
      <c r="E208" s="27"/>
      <c r="F208" s="27"/>
      <c r="G208" s="27"/>
      <c r="H208" s="10">
        <f t="shared" si="28"/>
        <v>-15.651436783005702</v>
      </c>
      <c r="I208" s="32">
        <f t="shared" si="29"/>
        <v>-30.207272991200995</v>
      </c>
      <c r="J208" s="10">
        <f t="shared" ca="1" si="30"/>
        <v>0.88</v>
      </c>
      <c r="K208" s="10">
        <f t="shared" ca="1" si="31"/>
        <v>-0.48</v>
      </c>
      <c r="L208" s="10">
        <v>0.2</v>
      </c>
      <c r="M208" s="10">
        <f t="shared" ca="1" si="25"/>
        <v>-5.9614545982401994</v>
      </c>
      <c r="N208" s="10">
        <f t="shared" ca="1" si="26"/>
        <v>-3.088836579399068</v>
      </c>
      <c r="O208" s="10">
        <f t="shared" ca="1" si="27"/>
        <v>35.538940926879221</v>
      </c>
      <c r="P208" s="10"/>
      <c r="Q208" s="10"/>
      <c r="R208" s="10"/>
      <c r="S208" s="10"/>
      <c r="T208" s="10"/>
      <c r="U208" s="10"/>
      <c r="V208" s="10"/>
    </row>
    <row r="209" spans="1:22">
      <c r="A209" s="27">
        <v>207</v>
      </c>
      <c r="B209" s="13">
        <v>107</v>
      </c>
      <c r="C209" s="17">
        <v>117.385671833467</v>
      </c>
      <c r="D209" s="32">
        <f t="shared" ca="1" si="24"/>
        <v>109.2851343666934</v>
      </c>
      <c r="E209" s="27"/>
      <c r="F209" s="27"/>
      <c r="G209" s="27"/>
      <c r="H209" s="10">
        <f t="shared" si="28"/>
        <v>9.7062353583803773</v>
      </c>
      <c r="I209" s="32">
        <f t="shared" si="29"/>
        <v>10.385671833467001</v>
      </c>
      <c r="J209" s="10">
        <f t="shared" ca="1" si="30"/>
        <v>7.0000000000000007E-2</v>
      </c>
      <c r="K209" s="10">
        <f t="shared" ca="1" si="31"/>
        <v>0.97</v>
      </c>
      <c r="L209" s="10">
        <v>0.2</v>
      </c>
      <c r="M209" s="10">
        <f t="shared" ca="1" si="25"/>
        <v>2.2851343666934003</v>
      </c>
      <c r="N209" s="10">
        <f t="shared" ca="1" si="26"/>
        <v>2.1356395950405505</v>
      </c>
      <c r="O209" s="10">
        <f t="shared" ca="1" si="27"/>
        <v>5.2218390738432481</v>
      </c>
      <c r="P209" s="10"/>
      <c r="Q209" s="10"/>
      <c r="R209" s="10"/>
      <c r="S209" s="10"/>
      <c r="T209" s="10"/>
      <c r="U209" s="10"/>
      <c r="V209" s="10"/>
    </row>
    <row r="210" spans="1:22">
      <c r="B210" s="13">
        <v>174</v>
      </c>
      <c r="C210" s="17">
        <v>183.698733926796</v>
      </c>
      <c r="D210" s="32">
        <f t="shared" ref="D210:D273" ca="1" si="32">B210+M210</f>
        <v>176.0157467853592</v>
      </c>
      <c r="E210" s="27"/>
      <c r="F210" s="27"/>
      <c r="G210" s="27"/>
      <c r="H210" s="10">
        <f t="shared" ref="H210:H273" si="33">((C210/B210)-1)*100</f>
        <v>5.573985015400007</v>
      </c>
      <c r="I210" s="32">
        <f t="shared" ref="I210:I273" si="34">C210-B210</f>
        <v>9.6987339267959953</v>
      </c>
      <c r="J210" s="10">
        <f t="shared" ref="J210:J273" ca="1" si="35">IF(B210 &lt; 30, RANDBETWEEN(-100, 100) / 10000, RANDBETWEEN(-100,100) / 100)</f>
        <v>1</v>
      </c>
      <c r="K210" s="10">
        <f t="shared" ref="K210:K273" ca="1" si="36">IF(B210 &lt; 30, RANDBETWEEN(-100, 100) / 10000, RANDBETWEEN(-100,100) / 100)</f>
        <v>-0.62</v>
      </c>
      <c r="L210" s="10">
        <v>0.2</v>
      </c>
      <c r="M210" s="10">
        <f t="shared" ref="M210:M273" ca="1" si="37">(I210+J210+K210)*L210</f>
        <v>2.0157467853591995</v>
      </c>
      <c r="N210" s="10">
        <f t="shared" ref="N210:N273" ca="1" si="38">((D210/B210)-1)*100</f>
        <v>1.1584751639995394</v>
      </c>
      <c r="O210" s="10">
        <f t="shared" ref="O210:O273" ca="1" si="39">M210^2</f>
        <v>4.0632351026859466</v>
      </c>
    </row>
    <row r="211" spans="1:22">
      <c r="B211" s="13">
        <v>148</v>
      </c>
      <c r="C211" s="17">
        <v>120.33072690367</v>
      </c>
      <c r="D211" s="32">
        <f t="shared" ca="1" si="32"/>
        <v>142.640145380734</v>
      </c>
      <c r="E211" s="27"/>
      <c r="F211" s="27"/>
      <c r="G211" s="27"/>
      <c r="H211" s="10">
        <f t="shared" si="33"/>
        <v>-18.695454794817568</v>
      </c>
      <c r="I211" s="32">
        <f t="shared" si="34"/>
        <v>-27.669273096330002</v>
      </c>
      <c r="J211" s="10">
        <f t="shared" ca="1" si="35"/>
        <v>0.55000000000000004</v>
      </c>
      <c r="K211" s="10">
        <f t="shared" ca="1" si="36"/>
        <v>0.32</v>
      </c>
      <c r="L211" s="10">
        <v>0.2</v>
      </c>
      <c r="M211" s="10">
        <f t="shared" ca="1" si="37"/>
        <v>-5.3598546192660006</v>
      </c>
      <c r="N211" s="10">
        <f t="shared" ca="1" si="38"/>
        <v>-3.6215233913959421</v>
      </c>
      <c r="O211" s="10">
        <f t="shared" ca="1" si="39"/>
        <v>28.728041539667085</v>
      </c>
    </row>
    <row r="212" spans="1:22">
      <c r="B212" s="13">
        <v>29</v>
      </c>
      <c r="C212" s="17">
        <v>-0.76187423678271604</v>
      </c>
      <c r="D212" s="32">
        <f t="shared" ca="1" si="32"/>
        <v>23.046665152643456</v>
      </c>
      <c r="E212" s="27"/>
      <c r="F212" s="27"/>
      <c r="G212" s="27"/>
      <c r="H212" s="10">
        <f t="shared" si="33"/>
        <v>-102.62715254063006</v>
      </c>
      <c r="I212" s="32">
        <f t="shared" si="34"/>
        <v>-29.761874236782717</v>
      </c>
      <c r="J212" s="10">
        <f t="shared" ca="1" si="35"/>
        <v>-1.2999999999999999E-3</v>
      </c>
      <c r="K212" s="10">
        <f t="shared" ca="1" si="36"/>
        <v>-3.5000000000000001E-3</v>
      </c>
      <c r="L212" s="10">
        <v>0.2</v>
      </c>
      <c r="M212" s="10">
        <f t="shared" ca="1" si="37"/>
        <v>-5.9533348473565439</v>
      </c>
      <c r="N212" s="10">
        <f t="shared" ca="1" si="38"/>
        <v>-20.528740852953597</v>
      </c>
      <c r="O212" s="10">
        <f t="shared" ca="1" si="39"/>
        <v>35.442195804749765</v>
      </c>
    </row>
    <row r="213" spans="1:22">
      <c r="B213" s="13">
        <v>29</v>
      </c>
      <c r="C213" s="17">
        <v>28.639915546740799</v>
      </c>
      <c r="D213" s="32">
        <f t="shared" ca="1" si="32"/>
        <v>28.924583109348159</v>
      </c>
      <c r="E213" s="27"/>
      <c r="F213" s="27"/>
      <c r="G213" s="27"/>
      <c r="H213" s="10">
        <f t="shared" si="33"/>
        <v>-1.24167052848001</v>
      </c>
      <c r="I213" s="32">
        <f t="shared" si="34"/>
        <v>-0.36008445325920135</v>
      </c>
      <c r="J213" s="10">
        <f t="shared" ca="1" si="35"/>
        <v>-8.6999999999999994E-3</v>
      </c>
      <c r="K213" s="10">
        <f t="shared" ca="1" si="36"/>
        <v>-8.3000000000000001E-3</v>
      </c>
      <c r="L213" s="10">
        <v>0.2</v>
      </c>
      <c r="M213" s="10">
        <f t="shared" ca="1" si="37"/>
        <v>-7.5416890651840263E-2</v>
      </c>
      <c r="N213" s="10">
        <f t="shared" ca="1" si="38"/>
        <v>-0.26005824362703711</v>
      </c>
      <c r="O213" s="10">
        <f t="shared" ca="1" si="39"/>
        <v>5.6877073955916308E-3</v>
      </c>
    </row>
    <row r="214" spans="1:22">
      <c r="B214" s="13">
        <v>7</v>
      </c>
      <c r="C214" s="17">
        <v>20.673606107235301</v>
      </c>
      <c r="D214" s="32">
        <f t="shared" ca="1" si="32"/>
        <v>9.732541221447061</v>
      </c>
      <c r="E214" s="27"/>
      <c r="F214" s="27"/>
      <c r="G214" s="27"/>
      <c r="H214" s="10">
        <f t="shared" si="33"/>
        <v>195.33723010336143</v>
      </c>
      <c r="I214" s="32">
        <f t="shared" si="34"/>
        <v>13.673606107235301</v>
      </c>
      <c r="J214" s="10">
        <f t="shared" ca="1" si="35"/>
        <v>-6.8999999999999999E-3</v>
      </c>
      <c r="K214" s="10">
        <f t="shared" ca="1" si="36"/>
        <v>-4.0000000000000001E-3</v>
      </c>
      <c r="L214" s="10">
        <v>0.2</v>
      </c>
      <c r="M214" s="10">
        <f t="shared" ca="1" si="37"/>
        <v>2.7325412214470606</v>
      </c>
      <c r="N214" s="10">
        <f t="shared" ca="1" si="38"/>
        <v>39.036303163529439</v>
      </c>
      <c r="O214" s="10">
        <f t="shared" ca="1" si="39"/>
        <v>7.4667815269073934</v>
      </c>
    </row>
    <row r="215" spans="1:22">
      <c r="B215" s="13">
        <v>81</v>
      </c>
      <c r="C215" s="17">
        <v>50.889514854235898</v>
      </c>
      <c r="D215" s="32">
        <f t="shared" ca="1" si="32"/>
        <v>74.993902970847174</v>
      </c>
      <c r="E215" s="27"/>
      <c r="F215" s="27"/>
      <c r="G215" s="27"/>
      <c r="H215" s="10">
        <f t="shared" si="33"/>
        <v>-37.173438451560614</v>
      </c>
      <c r="I215" s="32">
        <f t="shared" si="34"/>
        <v>-30.110485145764102</v>
      </c>
      <c r="J215" s="10">
        <f t="shared" ca="1" si="35"/>
        <v>-0.44</v>
      </c>
      <c r="K215" s="10">
        <f t="shared" ca="1" si="36"/>
        <v>0.52</v>
      </c>
      <c r="L215" s="10">
        <v>0.2</v>
      </c>
      <c r="M215" s="10">
        <f t="shared" ca="1" si="37"/>
        <v>-6.0060970291528211</v>
      </c>
      <c r="N215" s="10">
        <f t="shared" ca="1" si="38"/>
        <v>-7.4149346038923758</v>
      </c>
      <c r="O215" s="10">
        <f t="shared" ca="1" si="39"/>
        <v>36.073201523598343</v>
      </c>
    </row>
    <row r="216" spans="1:22">
      <c r="B216" s="13">
        <v>72</v>
      </c>
      <c r="C216" s="17">
        <v>83.959864821802597</v>
      </c>
      <c r="D216" s="32">
        <f t="shared" ca="1" si="32"/>
        <v>74.119972964360514</v>
      </c>
      <c r="E216" s="27"/>
      <c r="F216" s="27"/>
      <c r="G216" s="27"/>
      <c r="H216" s="10">
        <f t="shared" si="33"/>
        <v>16.610923363614717</v>
      </c>
      <c r="I216" s="32">
        <f t="shared" si="34"/>
        <v>11.959864821802597</v>
      </c>
      <c r="J216" s="10">
        <f t="shared" ca="1" si="35"/>
        <v>-1</v>
      </c>
      <c r="K216" s="10">
        <f t="shared" ca="1" si="36"/>
        <v>-0.36</v>
      </c>
      <c r="L216" s="10">
        <v>0.2</v>
      </c>
      <c r="M216" s="10">
        <f t="shared" ca="1" si="37"/>
        <v>2.1199729643605196</v>
      </c>
      <c r="N216" s="10">
        <f t="shared" ca="1" si="38"/>
        <v>2.9444068949451507</v>
      </c>
      <c r="O216" s="10">
        <f t="shared" ca="1" si="39"/>
        <v>4.4942853696195293</v>
      </c>
    </row>
    <row r="217" spans="1:22">
      <c r="B217" s="13">
        <v>125</v>
      </c>
      <c r="C217" s="17">
        <v>124.602301970146</v>
      </c>
      <c r="D217" s="32">
        <f t="shared" ca="1" si="32"/>
        <v>124.5824603940292</v>
      </c>
      <c r="E217" s="27"/>
      <c r="F217" s="27"/>
      <c r="G217" s="27"/>
      <c r="H217" s="10">
        <f t="shared" si="33"/>
        <v>-0.31815842388319693</v>
      </c>
      <c r="I217" s="32">
        <f t="shared" si="34"/>
        <v>-0.39769802985399849</v>
      </c>
      <c r="J217" s="10">
        <f t="shared" ca="1" si="35"/>
        <v>-0.86</v>
      </c>
      <c r="K217" s="10">
        <f t="shared" ca="1" si="36"/>
        <v>-0.83</v>
      </c>
      <c r="L217" s="10">
        <v>0.2</v>
      </c>
      <c r="M217" s="10">
        <f t="shared" ca="1" si="37"/>
        <v>-0.4175396059707997</v>
      </c>
      <c r="N217" s="10">
        <f t="shared" ca="1" si="38"/>
        <v>-0.33403168477663669</v>
      </c>
      <c r="O217" s="10">
        <f t="shared" ca="1" si="39"/>
        <v>0.17433932255425066</v>
      </c>
    </row>
    <row r="218" spans="1:22">
      <c r="B218" s="13">
        <v>39</v>
      </c>
      <c r="C218" s="17">
        <v>39.608977978360002</v>
      </c>
      <c r="D218" s="32">
        <f t="shared" ca="1" si="32"/>
        <v>39.069795595671998</v>
      </c>
      <c r="E218" s="27"/>
      <c r="F218" s="27"/>
      <c r="G218" s="27"/>
      <c r="H218" s="10">
        <f t="shared" si="33"/>
        <v>1.5614819957948667</v>
      </c>
      <c r="I218" s="32">
        <f t="shared" si="34"/>
        <v>0.60897797836000223</v>
      </c>
      <c r="J218" s="10">
        <f t="shared" ca="1" si="35"/>
        <v>-0.04</v>
      </c>
      <c r="K218" s="10">
        <f t="shared" ca="1" si="36"/>
        <v>-0.22</v>
      </c>
      <c r="L218" s="10">
        <v>0.2</v>
      </c>
      <c r="M218" s="10">
        <f t="shared" ca="1" si="37"/>
        <v>6.9795595672000443E-2</v>
      </c>
      <c r="N218" s="10">
        <f t="shared" ca="1" si="38"/>
        <v>0.17896306582563248</v>
      </c>
      <c r="O218" s="10">
        <f t="shared" ca="1" si="39"/>
        <v>4.8714251752093674E-3</v>
      </c>
    </row>
    <row r="219" spans="1:22">
      <c r="B219" s="13">
        <v>128</v>
      </c>
      <c r="C219" s="17">
        <v>138.260217432335</v>
      </c>
      <c r="D219" s="32">
        <f t="shared" ca="1" si="32"/>
        <v>130.02404348646701</v>
      </c>
      <c r="E219" s="27"/>
      <c r="F219" s="27"/>
      <c r="G219" s="27"/>
      <c r="H219" s="10">
        <f t="shared" si="33"/>
        <v>8.0157948690117173</v>
      </c>
      <c r="I219" s="32">
        <f t="shared" si="34"/>
        <v>10.260217432334997</v>
      </c>
      <c r="J219" s="10">
        <f t="shared" ca="1" si="35"/>
        <v>0.48</v>
      </c>
      <c r="K219" s="10">
        <f t="shared" ca="1" si="36"/>
        <v>-0.62</v>
      </c>
      <c r="L219" s="10">
        <v>0.2</v>
      </c>
      <c r="M219" s="10">
        <f t="shared" ca="1" si="37"/>
        <v>2.0240434864669998</v>
      </c>
      <c r="N219" s="10">
        <f t="shared" ca="1" si="38"/>
        <v>1.5812839738023499</v>
      </c>
      <c r="O219" s="10">
        <f t="shared" ca="1" si="39"/>
        <v>4.0967520351094882</v>
      </c>
    </row>
    <row r="220" spans="1:22">
      <c r="B220" s="13">
        <v>18</v>
      </c>
      <c r="C220" s="17">
        <v>27.652679009781</v>
      </c>
      <c r="D220" s="32">
        <f t="shared" ca="1" si="32"/>
        <v>19.930195801956199</v>
      </c>
      <c r="E220" s="27"/>
      <c r="F220" s="27"/>
      <c r="G220" s="27"/>
      <c r="H220" s="10">
        <f t="shared" si="33"/>
        <v>53.625994498783335</v>
      </c>
      <c r="I220" s="32">
        <f t="shared" si="34"/>
        <v>9.652679009781</v>
      </c>
      <c r="J220" s="10">
        <f t="shared" ca="1" si="35"/>
        <v>1.5E-3</v>
      </c>
      <c r="K220" s="10">
        <f t="shared" ca="1" si="36"/>
        <v>-3.2000000000000002E-3</v>
      </c>
      <c r="L220" s="10">
        <v>0.2</v>
      </c>
      <c r="M220" s="10">
        <f t="shared" ca="1" si="37"/>
        <v>1.9301958019562002</v>
      </c>
      <c r="N220" s="10">
        <f t="shared" ca="1" si="38"/>
        <v>10.72331001086777</v>
      </c>
      <c r="O220" s="10">
        <f t="shared" ca="1" si="39"/>
        <v>3.7256558338893391</v>
      </c>
    </row>
    <row r="221" spans="1:22">
      <c r="B221" s="13">
        <v>83</v>
      </c>
      <c r="C221" s="17">
        <v>53.945135035349999</v>
      </c>
      <c r="D221" s="32">
        <f t="shared" ca="1" si="32"/>
        <v>77.199027007070001</v>
      </c>
      <c r="E221" s="27"/>
      <c r="F221" s="27"/>
      <c r="G221" s="27"/>
      <c r="H221" s="10">
        <f t="shared" si="33"/>
        <v>-35.005861403192775</v>
      </c>
      <c r="I221" s="32">
        <f t="shared" si="34"/>
        <v>-29.054864964650001</v>
      </c>
      <c r="J221" s="10">
        <f t="shared" ca="1" si="35"/>
        <v>-0.62</v>
      </c>
      <c r="K221" s="10">
        <f t="shared" ca="1" si="36"/>
        <v>0.67</v>
      </c>
      <c r="L221" s="10">
        <v>0.2</v>
      </c>
      <c r="M221" s="10">
        <f t="shared" ca="1" si="37"/>
        <v>-5.8009729929300002</v>
      </c>
      <c r="N221" s="10">
        <f t="shared" ca="1" si="38"/>
        <v>-6.989124087867471</v>
      </c>
      <c r="O221" s="10">
        <f t="shared" ca="1" si="39"/>
        <v>33.651287664703247</v>
      </c>
    </row>
    <row r="222" spans="1:22">
      <c r="B222" s="13">
        <v>242</v>
      </c>
      <c r="C222" s="17">
        <v>209.93824443843599</v>
      </c>
      <c r="D222" s="32">
        <f t="shared" ca="1" si="32"/>
        <v>235.53964888768721</v>
      </c>
      <c r="E222" s="27"/>
      <c r="F222" s="27"/>
      <c r="G222" s="27"/>
      <c r="H222" s="10">
        <f t="shared" si="33"/>
        <v>-13.248659322960332</v>
      </c>
      <c r="I222" s="32">
        <f t="shared" si="34"/>
        <v>-32.061755561564013</v>
      </c>
      <c r="J222" s="10">
        <f t="shared" ca="1" si="35"/>
        <v>-0.03</v>
      </c>
      <c r="K222" s="10">
        <f t="shared" ca="1" si="36"/>
        <v>-0.21</v>
      </c>
      <c r="L222" s="10">
        <v>0.2</v>
      </c>
      <c r="M222" s="10">
        <f t="shared" ca="1" si="37"/>
        <v>-6.4603511123128037</v>
      </c>
      <c r="N222" s="10">
        <f t="shared" ca="1" si="38"/>
        <v>-2.6695665753358688</v>
      </c>
      <c r="O222" s="10">
        <f t="shared" ca="1" si="39"/>
        <v>41.736136494361283</v>
      </c>
    </row>
    <row r="223" spans="1:22">
      <c r="B223" s="13">
        <v>245</v>
      </c>
      <c r="C223" s="17">
        <v>214.81615149677</v>
      </c>
      <c r="D223" s="32">
        <f t="shared" ca="1" si="32"/>
        <v>239.125230299354</v>
      </c>
      <c r="E223" s="27"/>
      <c r="F223" s="27"/>
      <c r="G223" s="27"/>
      <c r="H223" s="10">
        <f t="shared" si="33"/>
        <v>-12.319938164583677</v>
      </c>
      <c r="I223" s="32">
        <f t="shared" si="34"/>
        <v>-30.183848503229996</v>
      </c>
      <c r="J223" s="10">
        <f t="shared" ca="1" si="35"/>
        <v>0.09</v>
      </c>
      <c r="K223" s="10">
        <f t="shared" ca="1" si="36"/>
        <v>0.72</v>
      </c>
      <c r="L223" s="10">
        <v>0.2</v>
      </c>
      <c r="M223" s="10">
        <f t="shared" ca="1" si="37"/>
        <v>-5.8747697006459996</v>
      </c>
      <c r="N223" s="10">
        <f t="shared" ca="1" si="38"/>
        <v>-2.3978651839371423</v>
      </c>
      <c r="O223" s="10">
        <f t="shared" ca="1" si="39"/>
        <v>34.512919035628286</v>
      </c>
    </row>
    <row r="224" spans="1:22">
      <c r="B224" s="13">
        <v>21</v>
      </c>
      <c r="C224" s="17">
        <v>-7.7421083678136897</v>
      </c>
      <c r="D224" s="32">
        <f t="shared" ca="1" si="32"/>
        <v>15.254558326437262</v>
      </c>
      <c r="E224" s="27"/>
      <c r="F224" s="27"/>
      <c r="G224" s="27"/>
      <c r="H224" s="10">
        <f t="shared" si="33"/>
        <v>-136.86718270387473</v>
      </c>
      <c r="I224" s="32">
        <f t="shared" si="34"/>
        <v>-28.742108367813689</v>
      </c>
      <c r="J224" s="10">
        <f t="shared" ca="1" si="35"/>
        <v>6.7000000000000002E-3</v>
      </c>
      <c r="K224" s="10">
        <f t="shared" ca="1" si="36"/>
        <v>8.2000000000000007E-3</v>
      </c>
      <c r="L224" s="10">
        <v>0.2</v>
      </c>
      <c r="M224" s="10">
        <f t="shared" ca="1" si="37"/>
        <v>-5.7454416735627385</v>
      </c>
      <c r="N224" s="10">
        <f t="shared" ca="1" si="38"/>
        <v>-27.359246064584465</v>
      </c>
      <c r="O224" s="10">
        <f t="shared" ca="1" si="39"/>
        <v>33.010100024311399</v>
      </c>
    </row>
    <row r="225" spans="2:15">
      <c r="B225" s="13">
        <v>214</v>
      </c>
      <c r="C225" s="17">
        <v>214.14775689114001</v>
      </c>
      <c r="D225" s="32">
        <f t="shared" ca="1" si="32"/>
        <v>214.03755137822799</v>
      </c>
      <c r="E225" s="27"/>
      <c r="F225" s="27"/>
      <c r="G225" s="27"/>
      <c r="H225" s="10">
        <f t="shared" si="33"/>
        <v>6.9045276233636876E-2</v>
      </c>
      <c r="I225" s="32">
        <f t="shared" si="34"/>
        <v>0.14775689114000556</v>
      </c>
      <c r="J225" s="10">
        <f t="shared" ca="1" si="35"/>
        <v>-0.6</v>
      </c>
      <c r="K225" s="10">
        <f t="shared" ca="1" si="36"/>
        <v>0.64</v>
      </c>
      <c r="L225" s="10">
        <v>0.2</v>
      </c>
      <c r="M225" s="10">
        <f t="shared" ca="1" si="37"/>
        <v>3.7551378228001121E-2</v>
      </c>
      <c r="N225" s="10">
        <f t="shared" ca="1" si="38"/>
        <v>1.7547373003723443E-2</v>
      </c>
      <c r="O225" s="10">
        <f t="shared" ca="1" si="39"/>
        <v>1.4101060068223965E-3</v>
      </c>
    </row>
    <row r="226" spans="2:15">
      <c r="B226" s="13">
        <v>174</v>
      </c>
      <c r="C226" s="17">
        <v>172.52459395452601</v>
      </c>
      <c r="D226" s="32">
        <f t="shared" ca="1" si="32"/>
        <v>173.68291879090521</v>
      </c>
      <c r="E226" s="27"/>
      <c r="F226" s="27"/>
      <c r="G226" s="27"/>
      <c r="H226" s="10">
        <f t="shared" si="33"/>
        <v>-0.84793450889310007</v>
      </c>
      <c r="I226" s="32">
        <f t="shared" si="34"/>
        <v>-1.4754060454739886</v>
      </c>
      <c r="J226" s="10">
        <f t="shared" ca="1" si="35"/>
        <v>0.39</v>
      </c>
      <c r="K226" s="10">
        <f t="shared" ca="1" si="36"/>
        <v>-0.5</v>
      </c>
      <c r="L226" s="10">
        <v>0.2</v>
      </c>
      <c r="M226" s="10">
        <f t="shared" ca="1" si="37"/>
        <v>-0.3170812090947977</v>
      </c>
      <c r="N226" s="10">
        <f t="shared" ca="1" si="38"/>
        <v>-0.18223057993953518</v>
      </c>
      <c r="O226" s="10">
        <f t="shared" ca="1" si="39"/>
        <v>0.10054049316101882</v>
      </c>
    </row>
    <row r="227" spans="2:15">
      <c r="B227" s="13">
        <v>157</v>
      </c>
      <c r="C227" s="17">
        <v>125.64303316643399</v>
      </c>
      <c r="D227" s="32">
        <f t="shared" ca="1" si="32"/>
        <v>150.92060663328681</v>
      </c>
      <c r="E227" s="27"/>
      <c r="F227" s="27"/>
      <c r="G227" s="27"/>
      <c r="H227" s="10">
        <f t="shared" si="33"/>
        <v>-19.97259033985096</v>
      </c>
      <c r="I227" s="32">
        <f t="shared" si="34"/>
        <v>-31.356966833566005</v>
      </c>
      <c r="J227" s="10">
        <f t="shared" ca="1" si="35"/>
        <v>0.93</v>
      </c>
      <c r="K227" s="10">
        <f t="shared" ca="1" si="36"/>
        <v>0.03</v>
      </c>
      <c r="L227" s="10">
        <v>0.2</v>
      </c>
      <c r="M227" s="10">
        <f t="shared" ca="1" si="37"/>
        <v>-6.0793933667132016</v>
      </c>
      <c r="N227" s="10">
        <f t="shared" ca="1" si="38"/>
        <v>-3.8722250743396081</v>
      </c>
      <c r="O227" s="10">
        <f t="shared" ca="1" si="39"/>
        <v>36.959023707236476</v>
      </c>
    </row>
    <row r="228" spans="2:15">
      <c r="B228" s="13">
        <v>166</v>
      </c>
      <c r="C228" s="17">
        <v>136.00821522895501</v>
      </c>
      <c r="D228" s="32">
        <f t="shared" ca="1" si="32"/>
        <v>159.92564304579099</v>
      </c>
      <c r="E228" s="27"/>
      <c r="F228" s="27"/>
      <c r="G228" s="27"/>
      <c r="H228" s="10">
        <f t="shared" si="33"/>
        <v>-18.067340223521079</v>
      </c>
      <c r="I228" s="32">
        <f t="shared" si="34"/>
        <v>-29.991784771044991</v>
      </c>
      <c r="J228" s="10">
        <f t="shared" ca="1" si="35"/>
        <v>-0.21</v>
      </c>
      <c r="K228" s="10">
        <f t="shared" ca="1" si="36"/>
        <v>-0.17</v>
      </c>
      <c r="L228" s="10">
        <v>0.2</v>
      </c>
      <c r="M228" s="10">
        <f t="shared" ca="1" si="37"/>
        <v>-6.0743569542089988</v>
      </c>
      <c r="N228" s="10">
        <f t="shared" ca="1" si="38"/>
        <v>-3.6592511772343461</v>
      </c>
      <c r="O228" s="10">
        <f t="shared" ca="1" si="39"/>
        <v>36.897812407147228</v>
      </c>
    </row>
    <row r="229" spans="2:15">
      <c r="B229" s="13">
        <v>173</v>
      </c>
      <c r="C229" s="17">
        <v>141.890277320037</v>
      </c>
      <c r="D229" s="32">
        <f t="shared" ca="1" si="32"/>
        <v>167.1240554640074</v>
      </c>
      <c r="E229" s="27"/>
      <c r="F229" s="27"/>
      <c r="G229" s="27"/>
      <c r="H229" s="10">
        <f t="shared" si="33"/>
        <v>-17.982498658938152</v>
      </c>
      <c r="I229" s="32">
        <f t="shared" si="34"/>
        <v>-31.109722679962999</v>
      </c>
      <c r="J229" s="10">
        <f t="shared" ca="1" si="35"/>
        <v>0.98</v>
      </c>
      <c r="K229" s="10">
        <f t="shared" ca="1" si="36"/>
        <v>0.75</v>
      </c>
      <c r="L229" s="10">
        <v>0.2</v>
      </c>
      <c r="M229" s="10">
        <f t="shared" ca="1" si="37"/>
        <v>-5.8759445359926001</v>
      </c>
      <c r="N229" s="10">
        <f t="shared" ca="1" si="38"/>
        <v>-3.3964997317876278</v>
      </c>
      <c r="O229" s="10">
        <f t="shared" ca="1" si="39"/>
        <v>34.526724190061294</v>
      </c>
    </row>
    <row r="230" spans="2:15">
      <c r="B230" s="13">
        <v>203</v>
      </c>
      <c r="C230" s="17">
        <v>202.534256750022</v>
      </c>
      <c r="D230" s="32">
        <f t="shared" ca="1" si="32"/>
        <v>202.88685135000441</v>
      </c>
      <c r="E230" s="27"/>
      <c r="F230" s="27"/>
      <c r="G230" s="27"/>
      <c r="H230" s="10">
        <f t="shared" si="33"/>
        <v>-0.22943017240295571</v>
      </c>
      <c r="I230" s="32">
        <f t="shared" si="34"/>
        <v>-0.46574324997800431</v>
      </c>
      <c r="J230" s="10">
        <f t="shared" ca="1" si="35"/>
        <v>-0.34</v>
      </c>
      <c r="K230" s="10">
        <f t="shared" ca="1" si="36"/>
        <v>0.24</v>
      </c>
      <c r="L230" s="10">
        <v>0.2</v>
      </c>
      <c r="M230" s="10">
        <f t="shared" ca="1" si="37"/>
        <v>-0.11314864999560088</v>
      </c>
      <c r="N230" s="10">
        <f t="shared" ca="1" si="38"/>
        <v>-5.5738251229353608E-2</v>
      </c>
      <c r="O230" s="10">
        <f t="shared" ca="1" si="39"/>
        <v>1.2802616995826991E-2</v>
      </c>
    </row>
    <row r="231" spans="2:15">
      <c r="B231" s="13">
        <v>171</v>
      </c>
      <c r="C231" s="17">
        <v>171.622064932911</v>
      </c>
      <c r="D231" s="32">
        <f t="shared" ca="1" si="32"/>
        <v>171.01441298658219</v>
      </c>
      <c r="E231" s="27"/>
      <c r="F231" s="27"/>
      <c r="G231" s="27"/>
      <c r="H231" s="10">
        <f t="shared" si="33"/>
        <v>0.36378066252105157</v>
      </c>
      <c r="I231" s="32">
        <f t="shared" si="34"/>
        <v>0.62206493291100173</v>
      </c>
      <c r="J231" s="10">
        <f t="shared" ca="1" si="35"/>
        <v>-0.66</v>
      </c>
      <c r="K231" s="10">
        <f t="shared" ca="1" si="36"/>
        <v>0.11</v>
      </c>
      <c r="L231" s="10">
        <v>0.2</v>
      </c>
      <c r="M231" s="10">
        <f t="shared" ca="1" si="37"/>
        <v>1.4412986582200341E-2</v>
      </c>
      <c r="N231" s="10">
        <f t="shared" ca="1" si="38"/>
        <v>8.4286471240924143E-3</v>
      </c>
      <c r="O231" s="10">
        <f t="shared" ca="1" si="39"/>
        <v>2.0773418221868705E-4</v>
      </c>
    </row>
    <row r="232" spans="2:15">
      <c r="B232" s="13">
        <v>23</v>
      </c>
      <c r="C232" s="17">
        <v>-5.1520764341943499</v>
      </c>
      <c r="D232" s="32">
        <f t="shared" ca="1" si="32"/>
        <v>17.36634471316113</v>
      </c>
      <c r="E232" s="27"/>
      <c r="F232" s="27"/>
      <c r="G232" s="27"/>
      <c r="H232" s="10">
        <f t="shared" si="33"/>
        <v>-122.40033232258413</v>
      </c>
      <c r="I232" s="32">
        <f t="shared" si="34"/>
        <v>-28.152076434194349</v>
      </c>
      <c r="J232" s="10">
        <f t="shared" ca="1" si="35"/>
        <v>-7.7999999999999996E-3</v>
      </c>
      <c r="K232" s="10">
        <f t="shared" ca="1" si="36"/>
        <v>-8.3999999999999995E-3</v>
      </c>
      <c r="L232" s="10">
        <v>0.2</v>
      </c>
      <c r="M232" s="10">
        <f t="shared" ca="1" si="37"/>
        <v>-5.6336552868388701</v>
      </c>
      <c r="N232" s="10">
        <f t="shared" ca="1" si="38"/>
        <v>-24.494153421038568</v>
      </c>
      <c r="O232" s="10">
        <f t="shared" ca="1" si="39"/>
        <v>31.73807189092755</v>
      </c>
    </row>
    <row r="233" spans="2:15">
      <c r="B233" s="13">
        <v>58</v>
      </c>
      <c r="C233" s="17">
        <v>28.673884539823501</v>
      </c>
      <c r="D233" s="32">
        <f t="shared" ca="1" si="32"/>
        <v>51.978776907964701</v>
      </c>
      <c r="E233" s="27"/>
      <c r="F233" s="27"/>
      <c r="G233" s="27"/>
      <c r="H233" s="10">
        <f t="shared" si="33"/>
        <v>-50.562268034787074</v>
      </c>
      <c r="I233" s="32">
        <f t="shared" si="34"/>
        <v>-29.326115460176499</v>
      </c>
      <c r="J233" s="10">
        <f t="shared" ca="1" si="35"/>
        <v>-0.93</v>
      </c>
      <c r="K233" s="10">
        <f t="shared" ca="1" si="36"/>
        <v>0.15</v>
      </c>
      <c r="L233" s="10">
        <v>0.2</v>
      </c>
      <c r="M233" s="10">
        <f t="shared" ca="1" si="37"/>
        <v>-6.0212230920353003</v>
      </c>
      <c r="N233" s="10">
        <f t="shared" ca="1" si="38"/>
        <v>-10.381419124198787</v>
      </c>
      <c r="O233" s="10">
        <f t="shared" ca="1" si="39"/>
        <v>36.255127524059141</v>
      </c>
    </row>
    <row r="234" spans="2:15">
      <c r="B234" s="13">
        <v>216</v>
      </c>
      <c r="C234" s="17">
        <v>212.92839199653099</v>
      </c>
      <c r="D234" s="32">
        <f t="shared" ca="1" si="32"/>
        <v>215.4176783993062</v>
      </c>
      <c r="E234" s="27"/>
      <c r="F234" s="27"/>
      <c r="G234" s="27"/>
      <c r="H234" s="10">
        <f t="shared" si="33"/>
        <v>-1.422040742346764</v>
      </c>
      <c r="I234" s="32">
        <f t="shared" si="34"/>
        <v>-3.0716080034690094</v>
      </c>
      <c r="J234" s="10">
        <f t="shared" ca="1" si="35"/>
        <v>0.46</v>
      </c>
      <c r="K234" s="10">
        <f t="shared" ca="1" si="36"/>
        <v>-0.3</v>
      </c>
      <c r="L234" s="10">
        <v>0.2</v>
      </c>
      <c r="M234" s="10">
        <f t="shared" ca="1" si="37"/>
        <v>-0.5823216006938019</v>
      </c>
      <c r="N234" s="10">
        <f t="shared" ca="1" si="38"/>
        <v>-0.26959333365453864</v>
      </c>
      <c r="O234" s="10">
        <f t="shared" ca="1" si="39"/>
        <v>0.33909844663459165</v>
      </c>
    </row>
    <row r="235" spans="2:15">
      <c r="B235" s="13">
        <v>247</v>
      </c>
      <c r="C235" s="17">
        <v>215.44613948078401</v>
      </c>
      <c r="D235" s="32">
        <f t="shared" ca="1" si="32"/>
        <v>240.70722789615681</v>
      </c>
      <c r="E235" s="27"/>
      <c r="F235" s="27"/>
      <c r="G235" s="27"/>
      <c r="H235" s="10">
        <f t="shared" si="33"/>
        <v>-12.774842315472057</v>
      </c>
      <c r="I235" s="32">
        <f t="shared" si="34"/>
        <v>-31.553860519215988</v>
      </c>
      <c r="J235" s="10">
        <f t="shared" ca="1" si="35"/>
        <v>0.14000000000000001</v>
      </c>
      <c r="K235" s="10">
        <f t="shared" ca="1" si="36"/>
        <v>-0.05</v>
      </c>
      <c r="L235" s="10">
        <v>0.2</v>
      </c>
      <c r="M235" s="10">
        <f t="shared" ca="1" si="37"/>
        <v>-6.2927721038431983</v>
      </c>
      <c r="N235" s="10">
        <f t="shared" ca="1" si="38"/>
        <v>-2.547681013701697</v>
      </c>
      <c r="O235" s="10">
        <f t="shared" ca="1" si="39"/>
        <v>39.598980750907153</v>
      </c>
    </row>
    <row r="236" spans="2:15">
      <c r="B236" s="13">
        <v>33</v>
      </c>
      <c r="C236" s="17">
        <v>44.013456914215404</v>
      </c>
      <c r="D236" s="32">
        <f t="shared" ca="1" si="32"/>
        <v>35.44869138284308</v>
      </c>
      <c r="E236" s="27"/>
      <c r="F236" s="27"/>
      <c r="G236" s="27"/>
      <c r="H236" s="10">
        <f t="shared" si="33"/>
        <v>33.374111861258804</v>
      </c>
      <c r="I236" s="32">
        <f t="shared" si="34"/>
        <v>11.013456914215404</v>
      </c>
      <c r="J236" s="10">
        <f t="shared" ca="1" si="35"/>
        <v>0.95</v>
      </c>
      <c r="K236" s="10">
        <f t="shared" ca="1" si="36"/>
        <v>0.28000000000000003</v>
      </c>
      <c r="L236" s="10">
        <v>0.2</v>
      </c>
      <c r="M236" s="10">
        <f t="shared" ca="1" si="37"/>
        <v>2.4486913828430805</v>
      </c>
      <c r="N236" s="10">
        <f t="shared" ca="1" si="38"/>
        <v>7.4202769177063033</v>
      </c>
      <c r="O236" s="10">
        <f t="shared" ca="1" si="39"/>
        <v>5.9960894884099583</v>
      </c>
    </row>
    <row r="237" spans="2:15">
      <c r="B237" s="13">
        <v>113</v>
      </c>
      <c r="C237" s="17">
        <v>123.611914825696</v>
      </c>
      <c r="D237" s="32">
        <f t="shared" ca="1" si="32"/>
        <v>115.2343829651392</v>
      </c>
      <c r="E237" s="27"/>
      <c r="F237" s="27"/>
      <c r="G237" s="27"/>
      <c r="H237" s="10">
        <f t="shared" si="33"/>
        <v>9.3910750669876197</v>
      </c>
      <c r="I237" s="32">
        <f t="shared" si="34"/>
        <v>10.611914825696005</v>
      </c>
      <c r="J237" s="10">
        <f t="shared" ca="1" si="35"/>
        <v>0.64</v>
      </c>
      <c r="K237" s="10">
        <f t="shared" ca="1" si="36"/>
        <v>-0.08</v>
      </c>
      <c r="L237" s="10">
        <v>0.2</v>
      </c>
      <c r="M237" s="10">
        <f t="shared" ca="1" si="37"/>
        <v>2.2343829651392011</v>
      </c>
      <c r="N237" s="10">
        <f t="shared" ca="1" si="38"/>
        <v>1.9773300576453101</v>
      </c>
      <c r="O237" s="10">
        <f t="shared" ca="1" si="39"/>
        <v>4.9924672349042485</v>
      </c>
    </row>
    <row r="238" spans="2:15">
      <c r="B238" s="13">
        <v>54</v>
      </c>
      <c r="C238" s="17">
        <v>23.549454596548799</v>
      </c>
      <c r="D238" s="32">
        <f t="shared" ca="1" si="32"/>
        <v>48.11389091930976</v>
      </c>
      <c r="E238" s="27"/>
      <c r="F238" s="27"/>
      <c r="G238" s="27"/>
      <c r="H238" s="10">
        <f t="shared" si="33"/>
        <v>-56.389898895280012</v>
      </c>
      <c r="I238" s="32">
        <f t="shared" si="34"/>
        <v>-30.450545403451201</v>
      </c>
      <c r="J238" s="10">
        <f t="shared" ca="1" si="35"/>
        <v>0.28999999999999998</v>
      </c>
      <c r="K238" s="10">
        <f t="shared" ca="1" si="36"/>
        <v>0.73</v>
      </c>
      <c r="L238" s="10">
        <v>0.2</v>
      </c>
      <c r="M238" s="10">
        <f t="shared" ca="1" si="37"/>
        <v>-5.8861090806902405</v>
      </c>
      <c r="N238" s="10">
        <f t="shared" ca="1" si="38"/>
        <v>-10.900202001278226</v>
      </c>
      <c r="O238" s="10">
        <f t="shared" ca="1" si="39"/>
        <v>34.646280109784108</v>
      </c>
    </row>
    <row r="239" spans="2:15">
      <c r="B239" s="13">
        <v>146</v>
      </c>
      <c r="C239" s="17">
        <v>158.119335983833</v>
      </c>
      <c r="D239" s="32">
        <f t="shared" ca="1" si="32"/>
        <v>148.30386719676659</v>
      </c>
      <c r="E239" s="27"/>
      <c r="F239" s="27"/>
      <c r="G239" s="27"/>
      <c r="H239" s="10">
        <f t="shared" si="33"/>
        <v>8.3009150574198554</v>
      </c>
      <c r="I239" s="32">
        <f t="shared" si="34"/>
        <v>12.119335983832997</v>
      </c>
      <c r="J239" s="10">
        <f t="shared" ca="1" si="35"/>
        <v>-0.54</v>
      </c>
      <c r="K239" s="10">
        <f t="shared" ca="1" si="36"/>
        <v>-0.06</v>
      </c>
      <c r="L239" s="10">
        <v>0.2</v>
      </c>
      <c r="M239" s="10">
        <f t="shared" ca="1" si="37"/>
        <v>2.3038671967665993</v>
      </c>
      <c r="N239" s="10">
        <f t="shared" ca="1" si="38"/>
        <v>1.5779912306620458</v>
      </c>
      <c r="O239" s="10">
        <f t="shared" ca="1" si="39"/>
        <v>5.3078040603371885</v>
      </c>
    </row>
    <row r="240" spans="2:15">
      <c r="B240" s="13">
        <v>196</v>
      </c>
      <c r="C240" s="17">
        <v>165.10467363438801</v>
      </c>
      <c r="D240" s="32">
        <f t="shared" ca="1" si="32"/>
        <v>190.00893472687761</v>
      </c>
      <c r="E240" s="27"/>
      <c r="F240" s="27"/>
      <c r="G240" s="27"/>
      <c r="H240" s="10">
        <f t="shared" si="33"/>
        <v>-15.76292161510816</v>
      </c>
      <c r="I240" s="32">
        <f t="shared" si="34"/>
        <v>-30.895326365611993</v>
      </c>
      <c r="J240" s="10">
        <f t="shared" ca="1" si="35"/>
        <v>0.65</v>
      </c>
      <c r="K240" s="10">
        <f t="shared" ca="1" si="36"/>
        <v>0.28999999999999998</v>
      </c>
      <c r="L240" s="10">
        <v>0.2</v>
      </c>
      <c r="M240" s="10">
        <f t="shared" ca="1" si="37"/>
        <v>-5.9910652731223992</v>
      </c>
      <c r="N240" s="10">
        <f t="shared" ca="1" si="38"/>
        <v>-3.0566659556746867</v>
      </c>
      <c r="O240" s="10">
        <f t="shared" ca="1" si="39"/>
        <v>35.892863106813166</v>
      </c>
    </row>
    <row r="241" spans="2:15">
      <c r="B241" s="13">
        <v>144</v>
      </c>
      <c r="C241" s="17">
        <v>154.14101191551501</v>
      </c>
      <c r="D241" s="32">
        <f t="shared" ca="1" si="32"/>
        <v>145.76820238310299</v>
      </c>
      <c r="E241" s="27"/>
      <c r="F241" s="27"/>
      <c r="G241" s="27"/>
      <c r="H241" s="10">
        <f t="shared" si="33"/>
        <v>7.0423693857743164</v>
      </c>
      <c r="I241" s="32">
        <f t="shared" si="34"/>
        <v>10.141011915515008</v>
      </c>
      <c r="J241" s="10">
        <f t="shared" ca="1" si="35"/>
        <v>-0.3</v>
      </c>
      <c r="K241" s="10">
        <f t="shared" ca="1" si="36"/>
        <v>-1</v>
      </c>
      <c r="L241" s="10">
        <v>0.2</v>
      </c>
      <c r="M241" s="10">
        <f t="shared" ca="1" si="37"/>
        <v>1.7682023831030016</v>
      </c>
      <c r="N241" s="10">
        <f t="shared" ca="1" si="38"/>
        <v>1.2279183215992973</v>
      </c>
      <c r="O241" s="10">
        <f t="shared" ca="1" si="39"/>
        <v>3.1265396676111341</v>
      </c>
    </row>
    <row r="242" spans="2:15">
      <c r="B242" s="13">
        <v>31</v>
      </c>
      <c r="C242" s="17">
        <v>42.843768676178001</v>
      </c>
      <c r="D242" s="32">
        <f t="shared" ca="1" si="32"/>
        <v>33.330753735235604</v>
      </c>
      <c r="E242" s="27"/>
      <c r="F242" s="27"/>
      <c r="G242" s="27"/>
      <c r="H242" s="10">
        <f t="shared" si="33"/>
        <v>38.205705407025818</v>
      </c>
      <c r="I242" s="32">
        <f t="shared" si="34"/>
        <v>11.843768676178001</v>
      </c>
      <c r="J242" s="10">
        <f t="shared" ca="1" si="35"/>
        <v>0.06</v>
      </c>
      <c r="K242" s="10">
        <f t="shared" ca="1" si="36"/>
        <v>-0.25</v>
      </c>
      <c r="L242" s="10">
        <v>0.2</v>
      </c>
      <c r="M242" s="10">
        <f t="shared" ca="1" si="37"/>
        <v>2.3307537352356005</v>
      </c>
      <c r="N242" s="10">
        <f t="shared" ca="1" si="38"/>
        <v>7.5185604362438818</v>
      </c>
      <c r="O242" s="10">
        <f t="shared" ca="1" si="39"/>
        <v>5.4324129743147038</v>
      </c>
    </row>
    <row r="243" spans="2:15">
      <c r="B243" s="13">
        <v>204</v>
      </c>
      <c r="C243" s="17">
        <v>212.838975431177</v>
      </c>
      <c r="D243" s="32">
        <f t="shared" ca="1" si="32"/>
        <v>205.8877950862354</v>
      </c>
      <c r="E243" s="27"/>
      <c r="F243" s="27"/>
      <c r="G243" s="27"/>
      <c r="H243" s="10">
        <f t="shared" si="33"/>
        <v>4.3328310937142289</v>
      </c>
      <c r="I243" s="32">
        <f t="shared" si="34"/>
        <v>8.8389754311770048</v>
      </c>
      <c r="J243" s="10">
        <f t="shared" ca="1" si="35"/>
        <v>0.4</v>
      </c>
      <c r="K243" s="10">
        <f t="shared" ca="1" si="36"/>
        <v>0.2</v>
      </c>
      <c r="L243" s="10">
        <v>0.2</v>
      </c>
      <c r="M243" s="10">
        <f t="shared" ca="1" si="37"/>
        <v>1.8877950862354009</v>
      </c>
      <c r="N243" s="10">
        <f t="shared" ca="1" si="38"/>
        <v>0.92538974815461472</v>
      </c>
      <c r="O243" s="10">
        <f t="shared" ca="1" si="39"/>
        <v>3.563770287614525</v>
      </c>
    </row>
    <row r="244" spans="2:15">
      <c r="B244" s="13">
        <v>193</v>
      </c>
      <c r="C244" s="17">
        <v>193.54259127442799</v>
      </c>
      <c r="D244" s="32">
        <f t="shared" ca="1" si="32"/>
        <v>193.1485182548856</v>
      </c>
      <c r="E244" s="27"/>
      <c r="F244" s="27"/>
      <c r="G244" s="27"/>
      <c r="H244" s="10">
        <f t="shared" si="33"/>
        <v>0.28113537535128241</v>
      </c>
      <c r="I244" s="32">
        <f t="shared" si="34"/>
        <v>0.54259127442799127</v>
      </c>
      <c r="J244" s="10">
        <f t="shared" ca="1" si="35"/>
        <v>-0.43</v>
      </c>
      <c r="K244" s="10">
        <f t="shared" ca="1" si="36"/>
        <v>0.63</v>
      </c>
      <c r="L244" s="10">
        <v>0.2</v>
      </c>
      <c r="M244" s="10">
        <f t="shared" ca="1" si="37"/>
        <v>0.14851825488559825</v>
      </c>
      <c r="N244" s="10">
        <f t="shared" ca="1" si="38"/>
        <v>7.6952463671298155E-2</v>
      </c>
      <c r="O244" s="10">
        <f t="shared" ca="1" si="39"/>
        <v>2.205767203426353E-2</v>
      </c>
    </row>
    <row r="245" spans="2:15">
      <c r="B245" s="13">
        <v>144</v>
      </c>
      <c r="C245" s="17">
        <v>114.40263297205399</v>
      </c>
      <c r="D245" s="32">
        <f t="shared" ca="1" si="32"/>
        <v>137.8605265944108</v>
      </c>
      <c r="E245" s="27"/>
      <c r="F245" s="27"/>
      <c r="G245" s="27"/>
      <c r="H245" s="10">
        <f t="shared" si="33"/>
        <v>-20.553727102740282</v>
      </c>
      <c r="I245" s="32">
        <f t="shared" si="34"/>
        <v>-29.597367027946007</v>
      </c>
      <c r="J245" s="10">
        <f t="shared" ca="1" si="35"/>
        <v>-0.6</v>
      </c>
      <c r="K245" s="10">
        <f t="shared" ca="1" si="36"/>
        <v>-0.5</v>
      </c>
      <c r="L245" s="10">
        <v>0.2</v>
      </c>
      <c r="M245" s="10">
        <f t="shared" ca="1" si="37"/>
        <v>-6.139473405589202</v>
      </c>
      <c r="N245" s="10">
        <f t="shared" ca="1" si="38"/>
        <v>-4.2635231983258359</v>
      </c>
      <c r="O245" s="10">
        <f t="shared" ca="1" si="39"/>
        <v>37.693133697937071</v>
      </c>
    </row>
    <row r="246" spans="2:15">
      <c r="B246" s="13">
        <v>166</v>
      </c>
      <c r="C246" s="17">
        <v>175.044755919632</v>
      </c>
      <c r="D246" s="32">
        <f t="shared" ca="1" si="32"/>
        <v>167.56095118392639</v>
      </c>
      <c r="E246" s="27"/>
      <c r="F246" s="27"/>
      <c r="G246" s="27"/>
      <c r="H246" s="10">
        <f t="shared" si="33"/>
        <v>5.4486481443566159</v>
      </c>
      <c r="I246" s="32">
        <f t="shared" si="34"/>
        <v>9.0447559196319958</v>
      </c>
      <c r="J246" s="10">
        <f t="shared" ca="1" si="35"/>
        <v>-0.81</v>
      </c>
      <c r="K246" s="10">
        <f t="shared" ca="1" si="36"/>
        <v>-0.43</v>
      </c>
      <c r="L246" s="10">
        <v>0.2</v>
      </c>
      <c r="M246" s="10">
        <f t="shared" ca="1" si="37"/>
        <v>1.5609511839263992</v>
      </c>
      <c r="N246" s="10">
        <f t="shared" ca="1" si="38"/>
        <v>0.94033203850987235</v>
      </c>
      <c r="O246" s="10">
        <f t="shared" ca="1" si="39"/>
        <v>2.4365685986012275</v>
      </c>
    </row>
    <row r="247" spans="2:15">
      <c r="B247" s="13">
        <v>169</v>
      </c>
      <c r="C247" s="17">
        <v>167.474419552489</v>
      </c>
      <c r="D247" s="32">
        <f t="shared" ca="1" si="32"/>
        <v>168.6608839104978</v>
      </c>
      <c r="E247" s="27"/>
      <c r="F247" s="27"/>
      <c r="G247" s="27"/>
      <c r="H247" s="10">
        <f t="shared" si="33"/>
        <v>-0.90271032397101214</v>
      </c>
      <c r="I247" s="32">
        <f t="shared" si="34"/>
        <v>-1.525580447511004</v>
      </c>
      <c r="J247" s="10">
        <f t="shared" ca="1" si="35"/>
        <v>-0.15</v>
      </c>
      <c r="K247" s="10">
        <f t="shared" ca="1" si="36"/>
        <v>-0.02</v>
      </c>
      <c r="L247" s="10">
        <v>0.2</v>
      </c>
      <c r="M247" s="10">
        <f t="shared" ca="1" si="37"/>
        <v>-0.33911608950220079</v>
      </c>
      <c r="N247" s="10">
        <f t="shared" ca="1" si="38"/>
        <v>-0.20066040798946139</v>
      </c>
      <c r="O247" s="10">
        <f t="shared" ca="1" si="39"/>
        <v>0.11499972215926466</v>
      </c>
    </row>
    <row r="248" spans="2:15">
      <c r="B248" s="13">
        <v>65</v>
      </c>
      <c r="C248" s="17">
        <v>75.436271649450305</v>
      </c>
      <c r="D248" s="32">
        <f t="shared" ca="1" si="32"/>
        <v>66.893254329890055</v>
      </c>
      <c r="E248" s="27"/>
      <c r="F248" s="27"/>
      <c r="G248" s="27"/>
      <c r="H248" s="10">
        <f t="shared" si="33"/>
        <v>16.055802537615847</v>
      </c>
      <c r="I248" s="32">
        <f t="shared" si="34"/>
        <v>10.436271649450305</v>
      </c>
      <c r="J248" s="10">
        <f t="shared" ca="1" si="35"/>
        <v>-0.95</v>
      </c>
      <c r="K248" s="10">
        <f t="shared" ca="1" si="36"/>
        <v>-0.02</v>
      </c>
      <c r="L248" s="10">
        <v>0.2</v>
      </c>
      <c r="M248" s="10">
        <f t="shared" ca="1" si="37"/>
        <v>1.8932543298900613</v>
      </c>
      <c r="N248" s="10">
        <f t="shared" ca="1" si="38"/>
        <v>2.9126989690616334</v>
      </c>
      <c r="O248" s="10">
        <f t="shared" ca="1" si="39"/>
        <v>3.5844119576474651</v>
      </c>
    </row>
    <row r="249" spans="2:15">
      <c r="B249" s="13">
        <v>200</v>
      </c>
      <c r="C249" s="17">
        <v>209.085397318952</v>
      </c>
      <c r="D249" s="32">
        <f t="shared" ca="1" si="32"/>
        <v>201.54307946379041</v>
      </c>
      <c r="E249" s="27"/>
      <c r="F249" s="27"/>
      <c r="G249" s="27"/>
      <c r="H249" s="10">
        <f t="shared" si="33"/>
        <v>4.5426986594760077</v>
      </c>
      <c r="I249" s="32">
        <f t="shared" si="34"/>
        <v>9.0853973189520048</v>
      </c>
      <c r="J249" s="10">
        <f t="shared" ca="1" si="35"/>
        <v>-0.9</v>
      </c>
      <c r="K249" s="10">
        <f t="shared" ca="1" si="36"/>
        <v>-0.47</v>
      </c>
      <c r="L249" s="10">
        <v>0.2</v>
      </c>
      <c r="M249" s="10">
        <f t="shared" ca="1" si="37"/>
        <v>1.5430794637904011</v>
      </c>
      <c r="N249" s="10">
        <f t="shared" ca="1" si="38"/>
        <v>0.77153973189520997</v>
      </c>
      <c r="O249" s="10">
        <f t="shared" ca="1" si="39"/>
        <v>2.3810942315716717</v>
      </c>
    </row>
    <row r="250" spans="2:15">
      <c r="B250" s="13">
        <v>182</v>
      </c>
      <c r="C250" s="17">
        <v>181.53985207474301</v>
      </c>
      <c r="D250" s="32">
        <f t="shared" ca="1" si="32"/>
        <v>181.8119704149486</v>
      </c>
      <c r="E250" s="27"/>
      <c r="F250" s="27"/>
      <c r="G250" s="27"/>
      <c r="H250" s="10">
        <f t="shared" si="33"/>
        <v>-0.2528285303609823</v>
      </c>
      <c r="I250" s="32">
        <f t="shared" si="34"/>
        <v>-0.46014792525699022</v>
      </c>
      <c r="J250" s="10">
        <f t="shared" ca="1" si="35"/>
        <v>-0.21</v>
      </c>
      <c r="K250" s="10">
        <f t="shared" ca="1" si="36"/>
        <v>-0.27</v>
      </c>
      <c r="L250" s="10">
        <v>0.2</v>
      </c>
      <c r="M250" s="10">
        <f t="shared" ca="1" si="37"/>
        <v>-0.18802958505139805</v>
      </c>
      <c r="N250" s="10">
        <f t="shared" ca="1" si="38"/>
        <v>-0.10331295881944591</v>
      </c>
      <c r="O250" s="10">
        <f t="shared" ca="1" si="39"/>
        <v>3.5355124854600933E-2</v>
      </c>
    </row>
    <row r="251" spans="2:15">
      <c r="B251" s="13">
        <v>62</v>
      </c>
      <c r="C251" s="17">
        <v>62.161786274219303</v>
      </c>
      <c r="D251" s="32">
        <f t="shared" ca="1" si="32"/>
        <v>62.034357254843862</v>
      </c>
      <c r="E251" s="27"/>
      <c r="F251" s="27"/>
      <c r="G251" s="27"/>
      <c r="H251" s="10">
        <f t="shared" si="33"/>
        <v>0.26094560357952101</v>
      </c>
      <c r="I251" s="32">
        <f t="shared" si="34"/>
        <v>0.16178627421930258</v>
      </c>
      <c r="J251" s="10">
        <f t="shared" ca="1" si="35"/>
        <v>0.28000000000000003</v>
      </c>
      <c r="K251" s="10">
        <f t="shared" ca="1" si="36"/>
        <v>-0.27</v>
      </c>
      <c r="L251" s="10">
        <v>0.2</v>
      </c>
      <c r="M251" s="10">
        <f t="shared" ca="1" si="37"/>
        <v>3.435725484386052E-2</v>
      </c>
      <c r="N251" s="10">
        <f t="shared" ca="1" si="38"/>
        <v>5.5414927167518613E-2</v>
      </c>
      <c r="O251" s="10">
        <f t="shared" ca="1" si="39"/>
        <v>1.1804209604059771E-3</v>
      </c>
    </row>
    <row r="252" spans="2:15">
      <c r="B252" s="13">
        <v>192</v>
      </c>
      <c r="C252" s="17">
        <v>201.24741013095999</v>
      </c>
      <c r="D252" s="32">
        <f t="shared" ca="1" si="32"/>
        <v>193.695482026192</v>
      </c>
      <c r="E252" s="27"/>
      <c r="F252" s="27"/>
      <c r="G252" s="27"/>
      <c r="H252" s="10">
        <f t="shared" si="33"/>
        <v>4.816359443208329</v>
      </c>
      <c r="I252" s="32">
        <f t="shared" si="34"/>
        <v>9.2474101309599916</v>
      </c>
      <c r="J252" s="10">
        <f t="shared" ca="1" si="35"/>
        <v>-0.32</v>
      </c>
      <c r="K252" s="10">
        <f t="shared" ca="1" si="36"/>
        <v>-0.45</v>
      </c>
      <c r="L252" s="10">
        <v>0.2</v>
      </c>
      <c r="M252" s="10">
        <f t="shared" ca="1" si="37"/>
        <v>1.6954820261919985</v>
      </c>
      <c r="N252" s="10">
        <f t="shared" ca="1" si="38"/>
        <v>0.8830635553083388</v>
      </c>
      <c r="O252" s="10">
        <f t="shared" ca="1" si="39"/>
        <v>2.8746593011401247</v>
      </c>
    </row>
    <row r="253" spans="2:15">
      <c r="B253" s="13">
        <v>28</v>
      </c>
      <c r="C253" s="17">
        <v>0.85858282682107701</v>
      </c>
      <c r="D253" s="32">
        <f t="shared" ca="1" si="32"/>
        <v>22.574056565364216</v>
      </c>
      <c r="E253" s="27"/>
      <c r="F253" s="27"/>
      <c r="G253" s="27"/>
      <c r="H253" s="10">
        <f t="shared" si="33"/>
        <v>-96.933632761353294</v>
      </c>
      <c r="I253" s="32">
        <f t="shared" si="34"/>
        <v>-27.141417173178922</v>
      </c>
      <c r="J253" s="10">
        <f t="shared" ca="1" si="35"/>
        <v>8.6E-3</v>
      </c>
      <c r="K253" s="10">
        <f t="shared" ca="1" si="36"/>
        <v>3.0999999999999999E-3</v>
      </c>
      <c r="L253" s="10">
        <v>0.2</v>
      </c>
      <c r="M253" s="10">
        <f t="shared" ca="1" si="37"/>
        <v>-5.4259434346357844</v>
      </c>
      <c r="N253" s="10">
        <f t="shared" ca="1" si="38"/>
        <v>-19.378369409413509</v>
      </c>
      <c r="O253" s="10">
        <f t="shared" ca="1" si="39"/>
        <v>29.440862155867173</v>
      </c>
    </row>
    <row r="254" spans="2:15">
      <c r="B254" s="13">
        <v>55</v>
      </c>
      <c r="C254" s="17">
        <v>67.006318043946607</v>
      </c>
      <c r="D254" s="32">
        <f t="shared" ca="1" si="32"/>
        <v>57.303263608789322</v>
      </c>
      <c r="E254" s="27"/>
      <c r="F254" s="27"/>
      <c r="G254" s="27"/>
      <c r="H254" s="10">
        <f t="shared" si="33"/>
        <v>21.829669170812018</v>
      </c>
      <c r="I254" s="32">
        <f t="shared" si="34"/>
        <v>12.006318043946607</v>
      </c>
      <c r="J254" s="10">
        <f t="shared" ca="1" si="35"/>
        <v>0.28999999999999998</v>
      </c>
      <c r="K254" s="10">
        <f t="shared" ca="1" si="36"/>
        <v>-0.78</v>
      </c>
      <c r="L254" s="10">
        <v>0.2</v>
      </c>
      <c r="M254" s="10">
        <f t="shared" ca="1" si="37"/>
        <v>2.3032636087893215</v>
      </c>
      <c r="N254" s="10">
        <f t="shared" ca="1" si="38"/>
        <v>4.1877520159805837</v>
      </c>
      <c r="O254" s="10">
        <f t="shared" ca="1" si="39"/>
        <v>5.3050232515732088</v>
      </c>
    </row>
    <row r="255" spans="2:15">
      <c r="B255" s="13">
        <v>59</v>
      </c>
      <c r="C255" s="17">
        <v>70.369845444237399</v>
      </c>
      <c r="D255" s="32">
        <f t="shared" ca="1" si="32"/>
        <v>61.153969088847482</v>
      </c>
      <c r="E255" s="27"/>
      <c r="F255" s="27"/>
      <c r="G255" s="27"/>
      <c r="H255" s="10">
        <f t="shared" si="33"/>
        <v>19.270924481758311</v>
      </c>
      <c r="I255" s="32">
        <f t="shared" si="34"/>
        <v>11.369845444237399</v>
      </c>
      <c r="J255" s="10">
        <f t="shared" ca="1" si="35"/>
        <v>-0.56999999999999995</v>
      </c>
      <c r="K255" s="10">
        <f t="shared" ca="1" si="36"/>
        <v>-0.03</v>
      </c>
      <c r="L255" s="10">
        <v>0.2</v>
      </c>
      <c r="M255" s="10">
        <f t="shared" ca="1" si="37"/>
        <v>2.1539690888474801</v>
      </c>
      <c r="N255" s="10">
        <f t="shared" ca="1" si="38"/>
        <v>3.650795065843182</v>
      </c>
      <c r="O255" s="10">
        <f t="shared" ca="1" si="39"/>
        <v>4.6395828357104438</v>
      </c>
    </row>
    <row r="256" spans="2:15">
      <c r="B256" s="13">
        <v>44</v>
      </c>
      <c r="C256" s="17">
        <v>46.367223438376598</v>
      </c>
      <c r="D256" s="32">
        <f t="shared" ca="1" si="32"/>
        <v>44.669444687675323</v>
      </c>
      <c r="E256" s="27"/>
      <c r="F256" s="27"/>
      <c r="G256" s="27"/>
      <c r="H256" s="10">
        <f t="shared" si="33"/>
        <v>5.3800532690377212</v>
      </c>
      <c r="I256" s="32">
        <f t="shared" si="34"/>
        <v>2.3672234383765982</v>
      </c>
      <c r="J256" s="10">
        <f t="shared" ca="1" si="35"/>
        <v>0.1</v>
      </c>
      <c r="K256" s="10">
        <f t="shared" ca="1" si="36"/>
        <v>0.88</v>
      </c>
      <c r="L256" s="10">
        <v>0.2</v>
      </c>
      <c r="M256" s="10">
        <f t="shared" ca="1" si="37"/>
        <v>0.66944468767531973</v>
      </c>
      <c r="N256" s="10">
        <f t="shared" ca="1" si="38"/>
        <v>1.5214651992621064</v>
      </c>
      <c r="O256" s="10">
        <f t="shared" ca="1" si="39"/>
        <v>0.44815618985670636</v>
      </c>
    </row>
    <row r="257" spans="2:15">
      <c r="B257" s="13">
        <v>105</v>
      </c>
      <c r="C257" s="17">
        <v>74.918492492977293</v>
      </c>
      <c r="D257" s="32">
        <f t="shared" ca="1" si="32"/>
        <v>98.843698498595458</v>
      </c>
      <c r="E257" s="27"/>
      <c r="F257" s="27"/>
      <c r="G257" s="27"/>
      <c r="H257" s="10">
        <f t="shared" si="33"/>
        <v>-28.649054768593054</v>
      </c>
      <c r="I257" s="32">
        <f t="shared" si="34"/>
        <v>-30.081507507022707</v>
      </c>
      <c r="J257" s="10">
        <f t="shared" ca="1" si="35"/>
        <v>-0.32</v>
      </c>
      <c r="K257" s="10">
        <f t="shared" ca="1" si="36"/>
        <v>-0.38</v>
      </c>
      <c r="L257" s="10">
        <v>0.2</v>
      </c>
      <c r="M257" s="10">
        <f t="shared" ca="1" si="37"/>
        <v>-6.1563015014045419</v>
      </c>
      <c r="N257" s="10">
        <f t="shared" ca="1" si="38"/>
        <v>-5.8631442870519468</v>
      </c>
      <c r="O257" s="10">
        <f t="shared" ca="1" si="39"/>
        <v>37.900048176195817</v>
      </c>
    </row>
    <row r="258" spans="2:15">
      <c r="B258" s="13">
        <v>111</v>
      </c>
      <c r="C258" s="17">
        <v>80.831095809003699</v>
      </c>
      <c r="D258" s="32">
        <f t="shared" ca="1" si="32"/>
        <v>105.22821916180074</v>
      </c>
      <c r="E258" s="27"/>
      <c r="F258" s="27"/>
      <c r="G258" s="27"/>
      <c r="H258" s="10">
        <f t="shared" si="33"/>
        <v>-27.179192964861532</v>
      </c>
      <c r="I258" s="32">
        <f t="shared" si="34"/>
        <v>-30.168904190996301</v>
      </c>
      <c r="J258" s="10">
        <f t="shared" ca="1" si="35"/>
        <v>0.37</v>
      </c>
      <c r="K258" s="10">
        <f t="shared" ca="1" si="36"/>
        <v>0.94</v>
      </c>
      <c r="L258" s="10">
        <v>0.2</v>
      </c>
      <c r="M258" s="10">
        <f t="shared" ca="1" si="37"/>
        <v>-5.7717808381992599</v>
      </c>
      <c r="N258" s="10">
        <f t="shared" ca="1" si="38"/>
        <v>-5.1998025569362731</v>
      </c>
      <c r="O258" s="10">
        <f t="shared" ca="1" si="39"/>
        <v>33.31345404420415</v>
      </c>
    </row>
    <row r="259" spans="2:15">
      <c r="B259" s="13">
        <v>25</v>
      </c>
      <c r="C259" s="17">
        <v>26.735362015532299</v>
      </c>
      <c r="D259" s="32">
        <f t="shared" ca="1" si="32"/>
        <v>25.345512403106461</v>
      </c>
      <c r="E259" s="27"/>
      <c r="F259" s="27"/>
      <c r="G259" s="27"/>
      <c r="H259" s="10">
        <f t="shared" si="33"/>
        <v>6.9414480621291963</v>
      </c>
      <c r="I259" s="32">
        <f t="shared" si="34"/>
        <v>1.7353620155322993</v>
      </c>
      <c r="J259" s="10">
        <f t="shared" ca="1" si="35"/>
        <v>1E-3</v>
      </c>
      <c r="K259" s="10">
        <f t="shared" ca="1" si="36"/>
        <v>-8.8000000000000005E-3</v>
      </c>
      <c r="L259" s="10">
        <v>0.2</v>
      </c>
      <c r="M259" s="10">
        <f t="shared" ca="1" si="37"/>
        <v>0.34551240310645986</v>
      </c>
      <c r="N259" s="10">
        <f t="shared" ca="1" si="38"/>
        <v>1.3820496124258508</v>
      </c>
      <c r="O259" s="10">
        <f t="shared" ca="1" si="39"/>
        <v>0.11937882070040082</v>
      </c>
    </row>
    <row r="260" spans="2:15">
      <c r="B260" s="13">
        <v>103</v>
      </c>
      <c r="C260" s="17">
        <v>74.208934900515104</v>
      </c>
      <c r="D260" s="32">
        <f t="shared" ca="1" si="32"/>
        <v>96.883786980103025</v>
      </c>
      <c r="E260" s="27"/>
      <c r="F260" s="27"/>
      <c r="G260" s="27"/>
      <c r="H260" s="10">
        <f t="shared" si="33"/>
        <v>-27.952490387849416</v>
      </c>
      <c r="I260" s="32">
        <f t="shared" si="34"/>
        <v>-28.791065099484896</v>
      </c>
      <c r="J260" s="10">
        <f t="shared" ca="1" si="35"/>
        <v>-0.83</v>
      </c>
      <c r="K260" s="10">
        <f t="shared" ca="1" si="36"/>
        <v>-0.96</v>
      </c>
      <c r="L260" s="10">
        <v>0.2</v>
      </c>
      <c r="M260" s="10">
        <f t="shared" ca="1" si="37"/>
        <v>-6.1162130198969793</v>
      </c>
      <c r="N260" s="10">
        <f t="shared" ca="1" si="38"/>
        <v>-5.9380708931038644</v>
      </c>
      <c r="O260" s="10">
        <f t="shared" ca="1" si="39"/>
        <v>37.40806170475733</v>
      </c>
    </row>
    <row r="261" spans="2:15">
      <c r="B261" s="13">
        <v>95</v>
      </c>
      <c r="C261" s="17">
        <v>66.482794623673897</v>
      </c>
      <c r="D261" s="32">
        <f t="shared" ca="1" si="32"/>
        <v>89.172558924734773</v>
      </c>
      <c r="E261" s="27"/>
      <c r="F261" s="27"/>
      <c r="G261" s="27"/>
      <c r="H261" s="10">
        <f t="shared" si="33"/>
        <v>-30.018110922448528</v>
      </c>
      <c r="I261" s="32">
        <f t="shared" si="34"/>
        <v>-28.517205376326103</v>
      </c>
      <c r="J261" s="10">
        <f t="shared" ca="1" si="35"/>
        <v>-0.89</v>
      </c>
      <c r="K261" s="10">
        <f t="shared" ca="1" si="36"/>
        <v>0.27</v>
      </c>
      <c r="L261" s="10">
        <v>0.2</v>
      </c>
      <c r="M261" s="10">
        <f t="shared" ca="1" si="37"/>
        <v>-5.827441075265221</v>
      </c>
      <c r="N261" s="10">
        <f t="shared" ca="1" si="38"/>
        <v>-6.1341485002791902</v>
      </c>
      <c r="O261" s="10">
        <f t="shared" ca="1" si="39"/>
        <v>33.959069485688275</v>
      </c>
    </row>
    <row r="262" spans="2:15">
      <c r="B262" s="13">
        <v>20</v>
      </c>
      <c r="C262" s="17">
        <v>30.738286302968302</v>
      </c>
      <c r="D262" s="32">
        <f t="shared" ca="1" si="32"/>
        <v>22.146037260593658</v>
      </c>
      <c r="E262" s="27"/>
      <c r="F262" s="27"/>
      <c r="G262" s="27"/>
      <c r="H262" s="10">
        <f t="shared" si="33"/>
        <v>53.691431514841504</v>
      </c>
      <c r="I262" s="32">
        <f t="shared" si="34"/>
        <v>10.738286302968302</v>
      </c>
      <c r="J262" s="10">
        <f t="shared" ca="1" si="35"/>
        <v>-8.0999999999999996E-3</v>
      </c>
      <c r="K262" s="10">
        <f t="shared" ca="1" si="36"/>
        <v>0</v>
      </c>
      <c r="L262" s="10">
        <v>0.2</v>
      </c>
      <c r="M262" s="10">
        <f t="shared" ca="1" si="37"/>
        <v>2.1460372605936602</v>
      </c>
      <c r="N262" s="10">
        <f t="shared" ca="1" si="38"/>
        <v>10.730186302968292</v>
      </c>
      <c r="O262" s="10">
        <f t="shared" ca="1" si="39"/>
        <v>4.605475923856341</v>
      </c>
    </row>
    <row r="263" spans="2:15">
      <c r="B263" s="13">
        <v>248</v>
      </c>
      <c r="C263" s="17">
        <v>216.774534553634</v>
      </c>
      <c r="D263" s="32">
        <f t="shared" ca="1" si="32"/>
        <v>241.91690691072679</v>
      </c>
      <c r="E263" s="27"/>
      <c r="F263" s="27"/>
      <c r="G263" s="27"/>
      <c r="H263" s="10">
        <f t="shared" si="33"/>
        <v>-12.590913486437906</v>
      </c>
      <c r="I263" s="32">
        <f t="shared" si="34"/>
        <v>-31.225465446366002</v>
      </c>
      <c r="J263" s="10">
        <f t="shared" ca="1" si="35"/>
        <v>0.94</v>
      </c>
      <c r="K263" s="10">
        <f t="shared" ca="1" si="36"/>
        <v>-0.13</v>
      </c>
      <c r="L263" s="10">
        <v>0.2</v>
      </c>
      <c r="M263" s="10">
        <f t="shared" ca="1" si="37"/>
        <v>-6.0830930892732002</v>
      </c>
      <c r="N263" s="10">
        <f t="shared" ca="1" si="38"/>
        <v>-2.4528601166424191</v>
      </c>
      <c r="O263" s="10">
        <f t="shared" ca="1" si="39"/>
        <v>37.004021532763367</v>
      </c>
    </row>
    <row r="264" spans="2:15">
      <c r="B264" s="13">
        <v>24</v>
      </c>
      <c r="C264" s="17">
        <v>-3.8623889263678501</v>
      </c>
      <c r="D264" s="32">
        <f t="shared" ca="1" si="32"/>
        <v>18.42940221472643</v>
      </c>
      <c r="E264" s="27"/>
      <c r="F264" s="27"/>
      <c r="G264" s="27"/>
      <c r="H264" s="10">
        <f t="shared" si="33"/>
        <v>-116.09328719319937</v>
      </c>
      <c r="I264" s="32">
        <f t="shared" si="34"/>
        <v>-27.862388926367849</v>
      </c>
      <c r="J264" s="10">
        <f t="shared" ca="1" si="35"/>
        <v>5.0000000000000001E-3</v>
      </c>
      <c r="K264" s="10">
        <f t="shared" ca="1" si="36"/>
        <v>4.4000000000000003E-3</v>
      </c>
      <c r="L264" s="10">
        <v>0.2</v>
      </c>
      <c r="M264" s="10">
        <f t="shared" ca="1" si="37"/>
        <v>-5.57059778527357</v>
      </c>
      <c r="N264" s="10">
        <f t="shared" ca="1" si="38"/>
        <v>-23.210824105306539</v>
      </c>
      <c r="O264" s="10">
        <f t="shared" ca="1" si="39"/>
        <v>31.031559685294802</v>
      </c>
    </row>
    <row r="265" spans="2:15">
      <c r="B265" s="13">
        <v>51</v>
      </c>
      <c r="C265" s="17">
        <v>20.1928762130586</v>
      </c>
      <c r="D265" s="32">
        <f t="shared" ca="1" si="32"/>
        <v>44.798575242611719</v>
      </c>
      <c r="E265" s="27"/>
      <c r="F265" s="27"/>
      <c r="G265" s="27"/>
      <c r="H265" s="10">
        <f t="shared" si="33"/>
        <v>-60.406125072434122</v>
      </c>
      <c r="I265" s="32">
        <f t="shared" si="34"/>
        <v>-30.8071237869414</v>
      </c>
      <c r="J265" s="10">
        <f t="shared" ca="1" si="35"/>
        <v>-0.01</v>
      </c>
      <c r="K265" s="10">
        <f t="shared" ca="1" si="36"/>
        <v>-0.19</v>
      </c>
      <c r="L265" s="10">
        <v>0.2</v>
      </c>
      <c r="M265" s="10">
        <f t="shared" ca="1" si="37"/>
        <v>-6.2014247573882813</v>
      </c>
      <c r="N265" s="10">
        <f t="shared" ca="1" si="38"/>
        <v>-12.159656387035845</v>
      </c>
      <c r="O265" s="10">
        <f t="shared" ca="1" si="39"/>
        <v>38.457669021548305</v>
      </c>
    </row>
    <row r="266" spans="2:15">
      <c r="B266" s="13">
        <v>97</v>
      </c>
      <c r="C266" s="17">
        <v>67.196744029030597</v>
      </c>
      <c r="D266" s="32">
        <f t="shared" ca="1" si="32"/>
        <v>90.865348805806121</v>
      </c>
      <c r="E266" s="27"/>
      <c r="F266" s="27"/>
      <c r="G266" s="27"/>
      <c r="H266" s="10">
        <f t="shared" si="33"/>
        <v>-30.725006155638557</v>
      </c>
      <c r="I266" s="32">
        <f t="shared" si="34"/>
        <v>-29.803255970969403</v>
      </c>
      <c r="J266" s="10">
        <f t="shared" ca="1" si="35"/>
        <v>-0.26</v>
      </c>
      <c r="K266" s="10">
        <f t="shared" ca="1" si="36"/>
        <v>-0.61</v>
      </c>
      <c r="L266" s="10">
        <v>0.2</v>
      </c>
      <c r="M266" s="10">
        <f t="shared" ca="1" si="37"/>
        <v>-6.1346511941938813</v>
      </c>
      <c r="N266" s="10">
        <f t="shared" ca="1" si="38"/>
        <v>-6.3243826744266762</v>
      </c>
      <c r="O266" s="10">
        <f t="shared" ca="1" si="39"/>
        <v>37.633945274424413</v>
      </c>
    </row>
    <row r="267" spans="2:15">
      <c r="B267" s="13">
        <v>152</v>
      </c>
      <c r="C267" s="17">
        <v>152.51757096948401</v>
      </c>
      <c r="D267" s="32">
        <f t="shared" ca="1" si="32"/>
        <v>151.75151419389681</v>
      </c>
      <c r="E267" s="27"/>
      <c r="F267" s="27"/>
      <c r="G267" s="27"/>
      <c r="H267" s="10">
        <f t="shared" si="33"/>
        <v>0.34050721676579521</v>
      </c>
      <c r="I267" s="32">
        <f t="shared" si="34"/>
        <v>0.51757096948401227</v>
      </c>
      <c r="J267" s="10">
        <f t="shared" ca="1" si="35"/>
        <v>-0.99</v>
      </c>
      <c r="K267" s="10">
        <f t="shared" ca="1" si="36"/>
        <v>-0.77</v>
      </c>
      <c r="L267" s="10">
        <v>0.2</v>
      </c>
      <c r="M267" s="10">
        <f t="shared" ca="1" si="37"/>
        <v>-0.24848580610319757</v>
      </c>
      <c r="N267" s="10">
        <f t="shared" ca="1" si="38"/>
        <v>-0.16347750401525252</v>
      </c>
      <c r="O267" s="10">
        <f t="shared" ca="1" si="39"/>
        <v>6.1745195834755899E-2</v>
      </c>
    </row>
    <row r="268" spans="2:15">
      <c r="B268" s="13">
        <v>5</v>
      </c>
      <c r="C268" s="17">
        <v>15.2351054748741</v>
      </c>
      <c r="D268" s="32">
        <f t="shared" ca="1" si="32"/>
        <v>7.0438410949748196</v>
      </c>
      <c r="E268" s="27"/>
      <c r="F268" s="27"/>
      <c r="G268" s="27"/>
      <c r="H268" s="10">
        <f t="shared" si="33"/>
        <v>204.70210949748201</v>
      </c>
      <c r="I268" s="32">
        <f t="shared" si="34"/>
        <v>10.2351054748741</v>
      </c>
      <c r="J268" s="10">
        <f t="shared" ca="1" si="35"/>
        <v>-6.1999999999999998E-3</v>
      </c>
      <c r="K268" s="10">
        <f t="shared" ca="1" si="36"/>
        <v>-9.7000000000000003E-3</v>
      </c>
      <c r="L268" s="10">
        <v>0.2</v>
      </c>
      <c r="M268" s="10">
        <f t="shared" ca="1" si="37"/>
        <v>2.04384109497482</v>
      </c>
      <c r="N268" s="10">
        <f t="shared" ca="1" si="38"/>
        <v>40.876821899496399</v>
      </c>
      <c r="O268" s="10">
        <f t="shared" ca="1" si="39"/>
        <v>4.1772864215078709</v>
      </c>
    </row>
    <row r="269" spans="2:15">
      <c r="B269" s="13">
        <v>51</v>
      </c>
      <c r="C269" s="17">
        <v>53.000153586659401</v>
      </c>
      <c r="D269" s="32">
        <f t="shared" ca="1" si="32"/>
        <v>51.396030717331882</v>
      </c>
      <c r="E269" s="27"/>
      <c r="F269" s="27"/>
      <c r="G269" s="27"/>
      <c r="H269" s="10">
        <f t="shared" si="33"/>
        <v>3.9218697777635425</v>
      </c>
      <c r="I269" s="32">
        <f t="shared" si="34"/>
        <v>2.0001535866594011</v>
      </c>
      <c r="J269" s="10">
        <f t="shared" ca="1" si="35"/>
        <v>-0.53</v>
      </c>
      <c r="K269" s="10">
        <f t="shared" ca="1" si="36"/>
        <v>0.51</v>
      </c>
      <c r="L269" s="10">
        <v>0.2</v>
      </c>
      <c r="M269" s="10">
        <f t="shared" ca="1" si="37"/>
        <v>0.39603071733188022</v>
      </c>
      <c r="N269" s="10">
        <f t="shared" ca="1" si="38"/>
        <v>0.77653081829780479</v>
      </c>
      <c r="O269" s="10">
        <f t="shared" ca="1" si="39"/>
        <v>0.1568403290704036</v>
      </c>
    </row>
    <row r="270" spans="2:15">
      <c r="B270" s="13">
        <v>249</v>
      </c>
      <c r="C270" s="17">
        <v>217.22390595986101</v>
      </c>
      <c r="D270" s="32">
        <f t="shared" ca="1" si="32"/>
        <v>242.49678119197219</v>
      </c>
      <c r="E270" s="27"/>
      <c r="F270" s="27"/>
      <c r="G270" s="27"/>
      <c r="H270" s="10">
        <f t="shared" si="33"/>
        <v>-12.761483550256624</v>
      </c>
      <c r="I270" s="32">
        <f t="shared" si="34"/>
        <v>-31.776094040138986</v>
      </c>
      <c r="J270" s="10">
        <f t="shared" ca="1" si="35"/>
        <v>-0.68</v>
      </c>
      <c r="K270" s="10">
        <f t="shared" ca="1" si="36"/>
        <v>-0.06</v>
      </c>
      <c r="L270" s="10">
        <v>0.2</v>
      </c>
      <c r="M270" s="10">
        <f t="shared" ca="1" si="37"/>
        <v>-6.5032188080277979</v>
      </c>
      <c r="N270" s="10">
        <f t="shared" ca="1" si="38"/>
        <v>-2.6117344610553483</v>
      </c>
      <c r="O270" s="10">
        <f t="shared" ca="1" si="39"/>
        <v>42.291854865086492</v>
      </c>
    </row>
    <row r="271" spans="2:15">
      <c r="B271" s="13">
        <v>57</v>
      </c>
      <c r="C271" s="17">
        <v>57.940147285775303</v>
      </c>
      <c r="D271" s="32">
        <f t="shared" ca="1" si="32"/>
        <v>56.842029457155064</v>
      </c>
      <c r="E271" s="27"/>
      <c r="F271" s="27"/>
      <c r="G271" s="27"/>
      <c r="H271" s="10">
        <f t="shared" si="33"/>
        <v>1.6493812031145749</v>
      </c>
      <c r="I271" s="32">
        <f t="shared" si="34"/>
        <v>0.94014728577530349</v>
      </c>
      <c r="J271" s="10">
        <f t="shared" ca="1" si="35"/>
        <v>-0.89</v>
      </c>
      <c r="K271" s="10">
        <f t="shared" ca="1" si="36"/>
        <v>-0.84</v>
      </c>
      <c r="L271" s="10">
        <v>0.2</v>
      </c>
      <c r="M271" s="10">
        <f t="shared" ca="1" si="37"/>
        <v>-0.1579705428449393</v>
      </c>
      <c r="N271" s="10">
        <f t="shared" ca="1" si="38"/>
        <v>-0.27714130323672759</v>
      </c>
      <c r="O271" s="10">
        <f t="shared" ca="1" si="39"/>
        <v>2.4954692406724804E-2</v>
      </c>
    </row>
    <row r="272" spans="2:15">
      <c r="B272" s="13">
        <v>120</v>
      </c>
      <c r="C272" s="17">
        <v>130.48572543671099</v>
      </c>
      <c r="D272" s="32">
        <f t="shared" ca="1" si="32"/>
        <v>121.9671450873422</v>
      </c>
      <c r="E272" s="27"/>
      <c r="F272" s="27"/>
      <c r="G272" s="27"/>
      <c r="H272" s="10">
        <f t="shared" si="33"/>
        <v>8.7381045305924943</v>
      </c>
      <c r="I272" s="32">
        <f t="shared" si="34"/>
        <v>10.485725436710993</v>
      </c>
      <c r="J272" s="10">
        <f t="shared" ca="1" si="35"/>
        <v>-0.98</v>
      </c>
      <c r="K272" s="10">
        <f t="shared" ca="1" si="36"/>
        <v>0.33</v>
      </c>
      <c r="L272" s="10">
        <v>0.2</v>
      </c>
      <c r="M272" s="10">
        <f t="shared" ca="1" si="37"/>
        <v>1.9671450873421987</v>
      </c>
      <c r="N272" s="10">
        <f t="shared" ca="1" si="38"/>
        <v>1.6392875727851752</v>
      </c>
      <c r="O272" s="10">
        <f t="shared" ca="1" si="39"/>
        <v>3.8696597946545466</v>
      </c>
    </row>
    <row r="273" spans="2:15">
      <c r="B273" s="13">
        <v>26</v>
      </c>
      <c r="C273" s="17">
        <v>27.907203570149701</v>
      </c>
      <c r="D273" s="32">
        <f t="shared" ca="1" si="32"/>
        <v>26.37934071402994</v>
      </c>
      <c r="E273" s="27"/>
      <c r="F273" s="27"/>
      <c r="G273" s="27"/>
      <c r="H273" s="10">
        <f t="shared" si="33"/>
        <v>7.3353983467296269</v>
      </c>
      <c r="I273" s="32">
        <f t="shared" si="34"/>
        <v>1.9072035701497008</v>
      </c>
      <c r="J273" s="10">
        <f t="shared" ca="1" si="35"/>
        <v>-2.8999999999999998E-3</v>
      </c>
      <c r="K273" s="10">
        <f t="shared" ca="1" si="36"/>
        <v>-7.6E-3</v>
      </c>
      <c r="L273" s="10">
        <v>0.2</v>
      </c>
      <c r="M273" s="10">
        <f t="shared" ca="1" si="37"/>
        <v>0.37934071402994018</v>
      </c>
      <c r="N273" s="10">
        <f t="shared" ca="1" si="38"/>
        <v>1.4590027462690003</v>
      </c>
      <c r="O273" s="10">
        <f t="shared" ca="1" si="39"/>
        <v>0.14389937732074487</v>
      </c>
    </row>
    <row r="274" spans="2:15">
      <c r="B274" s="13">
        <v>26</v>
      </c>
      <c r="C274" s="17">
        <v>-1.23997218527171</v>
      </c>
      <c r="D274" s="32">
        <f t="shared" ref="D274:D337" ca="1" si="40">B274+M274</f>
        <v>20.550905562945658</v>
      </c>
      <c r="E274" s="27"/>
      <c r="F274" s="27"/>
      <c r="G274" s="27"/>
      <c r="H274" s="10">
        <f t="shared" ref="H274:H337" si="41">((C274/B274)-1)*100</f>
        <v>-104.76912378950658</v>
      </c>
      <c r="I274" s="32">
        <f t="shared" ref="I274:I337" si="42">C274-B274</f>
        <v>-27.239972185271711</v>
      </c>
      <c r="J274" s="10">
        <f t="shared" ref="J274:J337" ca="1" si="43">IF(B274 &lt; 30, RANDBETWEEN(-100, 100) / 10000, RANDBETWEEN(-100,100) / 100)</f>
        <v>4.3E-3</v>
      </c>
      <c r="K274" s="10">
        <f t="shared" ref="K274:K337" ca="1" si="44">IF(B274 &lt; 30, RANDBETWEEN(-100, 100) / 10000, RANDBETWEEN(-100,100) / 100)</f>
        <v>-9.7999999999999997E-3</v>
      </c>
      <c r="L274" s="10">
        <v>0.2</v>
      </c>
      <c r="M274" s="10">
        <f t="shared" ref="M274:M337" ca="1" si="45">(I274+J274+K274)*L274</f>
        <v>-5.4490944370543417</v>
      </c>
      <c r="N274" s="10">
        <f t="shared" ref="N274:N337" ca="1" si="46">((D274/B274)-1)*100</f>
        <v>-20.958055527132082</v>
      </c>
      <c r="O274" s="10">
        <f t="shared" ref="O274:O337" ca="1" si="47">M274^2</f>
        <v>29.692630183936572</v>
      </c>
    </row>
    <row r="275" spans="2:15">
      <c r="B275" s="13">
        <v>64</v>
      </c>
      <c r="C275" s="17">
        <v>75.098237575929602</v>
      </c>
      <c r="D275" s="32">
        <f t="shared" ca="1" si="40"/>
        <v>66.105647515185922</v>
      </c>
      <c r="E275" s="27"/>
      <c r="F275" s="27"/>
      <c r="G275" s="27"/>
      <c r="H275" s="10">
        <f t="shared" si="41"/>
        <v>17.340996212390003</v>
      </c>
      <c r="I275" s="32">
        <f t="shared" si="42"/>
        <v>11.098237575929602</v>
      </c>
      <c r="J275" s="10">
        <f t="shared" ca="1" si="43"/>
        <v>-0.09</v>
      </c>
      <c r="K275" s="10">
        <f t="shared" ca="1" si="44"/>
        <v>-0.48</v>
      </c>
      <c r="L275" s="10">
        <v>0.2</v>
      </c>
      <c r="M275" s="10">
        <f t="shared" ca="1" si="45"/>
        <v>2.1056475151859204</v>
      </c>
      <c r="N275" s="10">
        <f t="shared" ca="1" si="46"/>
        <v>3.2900742424780027</v>
      </c>
      <c r="O275" s="10">
        <f t="shared" ca="1" si="47"/>
        <v>4.4337514582086408</v>
      </c>
    </row>
    <row r="276" spans="2:15">
      <c r="B276" s="13">
        <v>46</v>
      </c>
      <c r="C276" s="17">
        <v>56.960660768675801</v>
      </c>
      <c r="D276" s="32">
        <f t="shared" ca="1" si="40"/>
        <v>48.302132153735158</v>
      </c>
      <c r="E276" s="27"/>
      <c r="F276" s="27"/>
      <c r="G276" s="27"/>
      <c r="H276" s="10">
        <f t="shared" si="41"/>
        <v>23.827523410164787</v>
      </c>
      <c r="I276" s="32">
        <f t="shared" si="42"/>
        <v>10.960660768675801</v>
      </c>
      <c r="J276" s="10">
        <f t="shared" ca="1" si="43"/>
        <v>-0.02</v>
      </c>
      <c r="K276" s="10">
        <f t="shared" ca="1" si="44"/>
        <v>0.56999999999999995</v>
      </c>
      <c r="L276" s="10">
        <v>0.2</v>
      </c>
      <c r="M276" s="10">
        <f t="shared" ca="1" si="45"/>
        <v>2.3021321537351604</v>
      </c>
      <c r="N276" s="10">
        <f t="shared" ca="1" si="46"/>
        <v>5.0046351168155701</v>
      </c>
      <c r="O276" s="10">
        <f t="shared" ca="1" si="47"/>
        <v>5.2998124532612882</v>
      </c>
    </row>
    <row r="277" spans="2:15">
      <c r="B277" s="13">
        <v>68</v>
      </c>
      <c r="C277" s="17">
        <v>37.444766843692399</v>
      </c>
      <c r="D277" s="32">
        <f t="shared" ca="1" si="40"/>
        <v>61.662953368738478</v>
      </c>
      <c r="E277" s="27"/>
      <c r="F277" s="27"/>
      <c r="G277" s="27"/>
      <c r="H277" s="10">
        <f t="shared" si="41"/>
        <v>-44.934166406334711</v>
      </c>
      <c r="I277" s="32">
        <f t="shared" si="42"/>
        <v>-30.555233156307601</v>
      </c>
      <c r="J277" s="10">
        <f t="shared" ca="1" si="43"/>
        <v>-0.32</v>
      </c>
      <c r="K277" s="10">
        <f t="shared" ca="1" si="44"/>
        <v>-0.81</v>
      </c>
      <c r="L277" s="10">
        <v>0.2</v>
      </c>
      <c r="M277" s="10">
        <f t="shared" ca="1" si="45"/>
        <v>-6.3370466312615203</v>
      </c>
      <c r="N277" s="10">
        <f t="shared" ca="1" si="46"/>
        <v>-9.3191862224434097</v>
      </c>
      <c r="O277" s="10">
        <f t="shared" ca="1" si="47"/>
        <v>40.158160006782985</v>
      </c>
    </row>
    <row r="278" spans="2:15">
      <c r="B278" s="13">
        <v>202</v>
      </c>
      <c r="C278" s="17">
        <v>172.32580474680501</v>
      </c>
      <c r="D278" s="32">
        <f t="shared" ca="1" si="40"/>
        <v>196.24516094936101</v>
      </c>
      <c r="E278" s="27"/>
      <c r="F278" s="27"/>
      <c r="G278" s="27"/>
      <c r="H278" s="10">
        <f t="shared" si="41"/>
        <v>-14.690195669898509</v>
      </c>
      <c r="I278" s="32">
        <f t="shared" si="42"/>
        <v>-29.674195253194995</v>
      </c>
      <c r="J278" s="10">
        <f t="shared" ca="1" si="43"/>
        <v>0.52</v>
      </c>
      <c r="K278" s="10">
        <f t="shared" ca="1" si="44"/>
        <v>0.38</v>
      </c>
      <c r="L278" s="10">
        <v>0.2</v>
      </c>
      <c r="M278" s="10">
        <f t="shared" ca="1" si="45"/>
        <v>-5.7548390506389993</v>
      </c>
      <c r="N278" s="10">
        <f t="shared" ca="1" si="46"/>
        <v>-2.8489302230886082</v>
      </c>
      <c r="O278" s="10">
        <f t="shared" ca="1" si="47"/>
        <v>33.118172498759577</v>
      </c>
    </row>
    <row r="279" spans="2:15">
      <c r="B279" s="13">
        <v>67</v>
      </c>
      <c r="C279" s="17">
        <v>67.295855495438303</v>
      </c>
      <c r="D279" s="32">
        <f t="shared" ca="1" si="40"/>
        <v>66.823171099087659</v>
      </c>
      <c r="E279" s="27"/>
      <c r="F279" s="27"/>
      <c r="G279" s="27"/>
      <c r="H279" s="10">
        <f t="shared" si="41"/>
        <v>0.44157536632583039</v>
      </c>
      <c r="I279" s="32">
        <f t="shared" si="42"/>
        <v>0.29585549543830325</v>
      </c>
      <c r="J279" s="10">
        <f t="shared" ca="1" si="43"/>
        <v>-0.36</v>
      </c>
      <c r="K279" s="10">
        <f t="shared" ca="1" si="44"/>
        <v>-0.82</v>
      </c>
      <c r="L279" s="10">
        <v>0.2</v>
      </c>
      <c r="M279" s="10">
        <f t="shared" ca="1" si="45"/>
        <v>-0.17682890091233935</v>
      </c>
      <c r="N279" s="10">
        <f t="shared" ca="1" si="46"/>
        <v>-0.26392373270498481</v>
      </c>
      <c r="O279" s="10">
        <f t="shared" ca="1" si="47"/>
        <v>3.126846019786593E-2</v>
      </c>
    </row>
    <row r="280" spans="2:15">
      <c r="B280" s="13">
        <v>55</v>
      </c>
      <c r="C280" s="17">
        <v>26.855085819372</v>
      </c>
      <c r="D280" s="32">
        <f t="shared" ca="1" si="40"/>
        <v>49.417017163874398</v>
      </c>
      <c r="E280" s="27"/>
      <c r="F280" s="27"/>
      <c r="G280" s="27"/>
      <c r="H280" s="10">
        <f t="shared" si="41"/>
        <v>-51.172571237505451</v>
      </c>
      <c r="I280" s="32">
        <f t="shared" si="42"/>
        <v>-28.144914180628</v>
      </c>
      <c r="J280" s="10">
        <f t="shared" ca="1" si="43"/>
        <v>0.65</v>
      </c>
      <c r="K280" s="10">
        <f t="shared" ca="1" si="44"/>
        <v>-0.42</v>
      </c>
      <c r="L280" s="10">
        <v>0.2</v>
      </c>
      <c r="M280" s="10">
        <f t="shared" ca="1" si="45"/>
        <v>-5.5829828361256011</v>
      </c>
      <c r="N280" s="10">
        <f t="shared" ca="1" si="46"/>
        <v>-10.150877883864728</v>
      </c>
      <c r="O280" s="10">
        <f t="shared" ca="1" si="47"/>
        <v>31.169697348473061</v>
      </c>
    </row>
    <row r="281" spans="2:15">
      <c r="B281" s="13">
        <v>234</v>
      </c>
      <c r="C281" s="17">
        <v>201.68364384584601</v>
      </c>
      <c r="D281" s="32">
        <f t="shared" ca="1" si="40"/>
        <v>227.53872876916921</v>
      </c>
      <c r="E281" s="27"/>
      <c r="F281" s="27"/>
      <c r="G281" s="27"/>
      <c r="H281" s="10">
        <f t="shared" si="41"/>
        <v>-13.810408612886327</v>
      </c>
      <c r="I281" s="32">
        <f t="shared" si="42"/>
        <v>-32.316356154153993</v>
      </c>
      <c r="J281" s="10">
        <f t="shared" ca="1" si="43"/>
        <v>-0.55000000000000004</v>
      </c>
      <c r="K281" s="10">
        <f t="shared" ca="1" si="44"/>
        <v>0.56000000000000005</v>
      </c>
      <c r="L281" s="10">
        <v>0.2</v>
      </c>
      <c r="M281" s="10">
        <f t="shared" ca="1" si="45"/>
        <v>-6.461271230830798</v>
      </c>
      <c r="N281" s="10">
        <f t="shared" ca="1" si="46"/>
        <v>-2.7612270217225565</v>
      </c>
      <c r="O281" s="10">
        <f t="shared" ca="1" si="47"/>
        <v>41.748025918361733</v>
      </c>
    </row>
    <row r="282" spans="2:15">
      <c r="B282" s="13">
        <v>203</v>
      </c>
      <c r="C282" s="17">
        <v>212.46448790810399</v>
      </c>
      <c r="D282" s="32">
        <f t="shared" ca="1" si="40"/>
        <v>205.08889758162078</v>
      </c>
      <c r="E282" s="27"/>
      <c r="F282" s="27"/>
      <c r="G282" s="27"/>
      <c r="H282" s="10">
        <f t="shared" si="41"/>
        <v>4.6623093143369321</v>
      </c>
      <c r="I282" s="32">
        <f t="shared" si="42"/>
        <v>9.4644879081039903</v>
      </c>
      <c r="J282" s="10">
        <f t="shared" ca="1" si="43"/>
        <v>0.92</v>
      </c>
      <c r="K282" s="10">
        <f t="shared" ca="1" si="44"/>
        <v>0.06</v>
      </c>
      <c r="L282" s="10">
        <v>0.2</v>
      </c>
      <c r="M282" s="10">
        <f t="shared" ca="1" si="45"/>
        <v>2.0888975816207984</v>
      </c>
      <c r="N282" s="10">
        <f t="shared" ca="1" si="46"/>
        <v>1.0290135870053119</v>
      </c>
      <c r="O282" s="10">
        <f t="shared" ca="1" si="47"/>
        <v>4.3634931065012204</v>
      </c>
    </row>
    <row r="283" spans="2:15">
      <c r="B283" s="13">
        <v>240</v>
      </c>
      <c r="C283" s="17">
        <v>208.749155785011</v>
      </c>
      <c r="D283" s="32">
        <f t="shared" ca="1" si="40"/>
        <v>233.73383115700221</v>
      </c>
      <c r="E283" s="27"/>
      <c r="F283" s="27"/>
      <c r="G283" s="27"/>
      <c r="H283" s="10">
        <f t="shared" si="41"/>
        <v>-13.021185089578747</v>
      </c>
      <c r="I283" s="32">
        <f t="shared" si="42"/>
        <v>-31.250844214989002</v>
      </c>
      <c r="J283" s="10">
        <f t="shared" ca="1" si="43"/>
        <v>-0.54</v>
      </c>
      <c r="K283" s="10">
        <f t="shared" ca="1" si="44"/>
        <v>0.46</v>
      </c>
      <c r="L283" s="10">
        <v>0.2</v>
      </c>
      <c r="M283" s="10">
        <f t="shared" ca="1" si="45"/>
        <v>-6.2661688429978</v>
      </c>
      <c r="N283" s="10">
        <f t="shared" ca="1" si="46"/>
        <v>-2.6109036845824107</v>
      </c>
      <c r="O283" s="10">
        <f t="shared" ca="1" si="47"/>
        <v>39.264871968956385</v>
      </c>
    </row>
    <row r="284" spans="2:15">
      <c r="B284" s="13">
        <v>134</v>
      </c>
      <c r="C284" s="17">
        <v>105.973300338827</v>
      </c>
      <c r="D284" s="32">
        <f t="shared" ca="1" si="40"/>
        <v>128.3746600677654</v>
      </c>
      <c r="E284" s="27"/>
      <c r="F284" s="27"/>
      <c r="G284" s="27"/>
      <c r="H284" s="10">
        <f t="shared" si="41"/>
        <v>-20.915447508338058</v>
      </c>
      <c r="I284" s="32">
        <f t="shared" si="42"/>
        <v>-28.026699661172998</v>
      </c>
      <c r="J284" s="10">
        <f t="shared" ca="1" si="43"/>
        <v>0.62</v>
      </c>
      <c r="K284" s="10">
        <f t="shared" ca="1" si="44"/>
        <v>-0.72</v>
      </c>
      <c r="L284" s="10">
        <v>0.2</v>
      </c>
      <c r="M284" s="10">
        <f t="shared" ca="1" si="45"/>
        <v>-5.6253399322345992</v>
      </c>
      <c r="N284" s="10">
        <f t="shared" ca="1" si="46"/>
        <v>-4.1980148748019364</v>
      </c>
      <c r="O284" s="10">
        <f t="shared" ca="1" si="47"/>
        <v>31.644449353193163</v>
      </c>
    </row>
    <row r="285" spans="2:15">
      <c r="B285" s="13">
        <v>116</v>
      </c>
      <c r="C285" s="17">
        <v>114.486265366547</v>
      </c>
      <c r="D285" s="32">
        <f t="shared" ca="1" si="40"/>
        <v>115.9172530733094</v>
      </c>
      <c r="E285" s="27"/>
      <c r="F285" s="27"/>
      <c r="G285" s="27"/>
      <c r="H285" s="10">
        <f t="shared" si="41"/>
        <v>-1.304943649528445</v>
      </c>
      <c r="I285" s="32">
        <f t="shared" si="42"/>
        <v>-1.513734633452998</v>
      </c>
      <c r="J285" s="10">
        <f t="shared" ca="1" si="43"/>
        <v>0.62</v>
      </c>
      <c r="K285" s="10">
        <f t="shared" ca="1" si="44"/>
        <v>0.48</v>
      </c>
      <c r="L285" s="10">
        <v>0.2</v>
      </c>
      <c r="M285" s="10">
        <f t="shared" ca="1" si="45"/>
        <v>-8.2746926690599604E-2</v>
      </c>
      <c r="N285" s="10">
        <f t="shared" ca="1" si="46"/>
        <v>-7.1333557491903843E-2</v>
      </c>
      <c r="O285" s="10">
        <f t="shared" ca="1" si="47"/>
        <v>6.8470538767394654E-3</v>
      </c>
    </row>
    <row r="286" spans="2:15">
      <c r="B286" s="13">
        <v>138</v>
      </c>
      <c r="C286" s="17">
        <v>107.163176990129</v>
      </c>
      <c r="D286" s="32">
        <f t="shared" ca="1" si="40"/>
        <v>131.8706353980258</v>
      </c>
      <c r="E286" s="27"/>
      <c r="F286" s="27"/>
      <c r="G286" s="27"/>
      <c r="H286" s="10">
        <f t="shared" si="41"/>
        <v>-22.345523920196374</v>
      </c>
      <c r="I286" s="32">
        <f t="shared" si="42"/>
        <v>-30.836823009870997</v>
      </c>
      <c r="J286" s="10">
        <f t="shared" ca="1" si="43"/>
        <v>0.52</v>
      </c>
      <c r="K286" s="10">
        <f t="shared" ca="1" si="44"/>
        <v>-0.33</v>
      </c>
      <c r="L286" s="10">
        <v>0.2</v>
      </c>
      <c r="M286" s="10">
        <f t="shared" ca="1" si="45"/>
        <v>-6.1293646019741992</v>
      </c>
      <c r="N286" s="10">
        <f t="shared" ca="1" si="46"/>
        <v>-4.4415685521552177</v>
      </c>
      <c r="O286" s="10">
        <f t="shared" ca="1" si="47"/>
        <v>37.569110423934333</v>
      </c>
    </row>
    <row r="287" spans="2:15">
      <c r="B287" s="13">
        <v>164</v>
      </c>
      <c r="C287" s="17">
        <v>133.82906056432799</v>
      </c>
      <c r="D287" s="32">
        <f t="shared" ca="1" si="40"/>
        <v>157.8658121128656</v>
      </c>
      <c r="E287" s="27"/>
      <c r="F287" s="27"/>
      <c r="G287" s="27"/>
      <c r="H287" s="10">
        <f t="shared" si="41"/>
        <v>-18.39691429004391</v>
      </c>
      <c r="I287" s="32">
        <f t="shared" si="42"/>
        <v>-30.170939435672011</v>
      </c>
      <c r="J287" s="10">
        <f t="shared" ca="1" si="43"/>
        <v>-0.9</v>
      </c>
      <c r="K287" s="10">
        <f t="shared" ca="1" si="44"/>
        <v>0.4</v>
      </c>
      <c r="L287" s="10">
        <v>0.2</v>
      </c>
      <c r="M287" s="10">
        <f t="shared" ca="1" si="45"/>
        <v>-6.1341878871344022</v>
      </c>
      <c r="N287" s="10">
        <f t="shared" ca="1" si="46"/>
        <v>-3.7403584677648816</v>
      </c>
      <c r="O287" s="10">
        <f t="shared" ca="1" si="47"/>
        <v>37.628261034666423</v>
      </c>
    </row>
    <row r="288" spans="2:15">
      <c r="B288" s="13">
        <v>145</v>
      </c>
      <c r="C288" s="17">
        <v>145.67321596159101</v>
      </c>
      <c r="D288" s="32">
        <f t="shared" ca="1" si="40"/>
        <v>145.2106431923182</v>
      </c>
      <c r="E288" s="27"/>
      <c r="F288" s="27"/>
      <c r="G288" s="27"/>
      <c r="H288" s="10">
        <f t="shared" si="41"/>
        <v>0.46428687006276892</v>
      </c>
      <c r="I288" s="32">
        <f t="shared" si="42"/>
        <v>0.67321596159101205</v>
      </c>
      <c r="J288" s="10">
        <f t="shared" ca="1" si="43"/>
        <v>0.43</v>
      </c>
      <c r="K288" s="10">
        <f t="shared" ca="1" si="44"/>
        <v>-0.05</v>
      </c>
      <c r="L288" s="10">
        <v>0.2</v>
      </c>
      <c r="M288" s="10">
        <f t="shared" ca="1" si="45"/>
        <v>0.21064319231820239</v>
      </c>
      <c r="N288" s="10">
        <f t="shared" ca="1" si="46"/>
        <v>0.14527116711600119</v>
      </c>
      <c r="O288" s="10">
        <f t="shared" ca="1" si="47"/>
        <v>4.4370554470003196E-2</v>
      </c>
    </row>
    <row r="289" spans="2:15">
      <c r="B289" s="13">
        <v>104</v>
      </c>
      <c r="C289" s="17">
        <v>104.832001527928</v>
      </c>
      <c r="D289" s="32">
        <f t="shared" ca="1" si="40"/>
        <v>104.1944003055856</v>
      </c>
      <c r="E289" s="27"/>
      <c r="F289" s="27"/>
      <c r="G289" s="27"/>
      <c r="H289" s="10">
        <f t="shared" si="41"/>
        <v>0.80000146916154868</v>
      </c>
      <c r="I289" s="32">
        <f t="shared" si="42"/>
        <v>0.83200152792799997</v>
      </c>
      <c r="J289" s="10">
        <f t="shared" ca="1" si="43"/>
        <v>0.68</v>
      </c>
      <c r="K289" s="10">
        <f t="shared" ca="1" si="44"/>
        <v>-0.54</v>
      </c>
      <c r="L289" s="10">
        <v>0.2</v>
      </c>
      <c r="M289" s="10">
        <f t="shared" ca="1" si="45"/>
        <v>0.19440030558560004</v>
      </c>
      <c r="N289" s="10">
        <f t="shared" ca="1" si="46"/>
        <v>0.18692337075538745</v>
      </c>
      <c r="O289" s="10">
        <f t="shared" ca="1" si="47"/>
        <v>3.7791478811774679E-2</v>
      </c>
    </row>
    <row r="290" spans="2:15">
      <c r="B290" s="13">
        <v>22</v>
      </c>
      <c r="C290" s="17">
        <v>33.4735897907794</v>
      </c>
      <c r="D290" s="32">
        <f t="shared" ca="1" si="40"/>
        <v>24.292737958155879</v>
      </c>
      <c r="E290" s="27"/>
      <c r="F290" s="27"/>
      <c r="G290" s="27"/>
      <c r="H290" s="10">
        <f t="shared" si="41"/>
        <v>52.152680867179079</v>
      </c>
      <c r="I290" s="32">
        <f t="shared" si="42"/>
        <v>11.4735897907794</v>
      </c>
      <c r="J290" s="10">
        <f t="shared" ca="1" si="43"/>
        <v>-2.3999999999999998E-3</v>
      </c>
      <c r="K290" s="10">
        <f t="shared" ca="1" si="44"/>
        <v>-7.4999999999999997E-3</v>
      </c>
      <c r="L290" s="10">
        <v>0.2</v>
      </c>
      <c r="M290" s="10">
        <f t="shared" ca="1" si="45"/>
        <v>2.2927379581558802</v>
      </c>
      <c r="N290" s="10">
        <f t="shared" ca="1" si="46"/>
        <v>10.421536173435818</v>
      </c>
      <c r="O290" s="10">
        <f t="shared" ca="1" si="47"/>
        <v>5.2566473447687949</v>
      </c>
    </row>
    <row r="291" spans="2:15">
      <c r="B291" s="13">
        <v>25</v>
      </c>
      <c r="C291" s="17">
        <v>-3.9310570979959598</v>
      </c>
      <c r="D291" s="32">
        <f t="shared" ca="1" si="40"/>
        <v>19.211948580400808</v>
      </c>
      <c r="E291" s="27"/>
      <c r="F291" s="27"/>
      <c r="G291" s="27"/>
      <c r="H291" s="10">
        <f t="shared" si="41"/>
        <v>-115.72422839198384</v>
      </c>
      <c r="I291" s="32">
        <f t="shared" si="42"/>
        <v>-28.931057097995961</v>
      </c>
      <c r="J291" s="10">
        <f t="shared" ca="1" si="43"/>
        <v>-7.7999999999999996E-3</v>
      </c>
      <c r="K291" s="10">
        <f t="shared" ca="1" si="44"/>
        <v>-1.4E-3</v>
      </c>
      <c r="L291" s="10">
        <v>0.2</v>
      </c>
      <c r="M291" s="10">
        <f t="shared" ca="1" si="45"/>
        <v>-5.7880514195991921</v>
      </c>
      <c r="N291" s="10">
        <f t="shared" ca="1" si="46"/>
        <v>-23.152205678396765</v>
      </c>
      <c r="O291" s="10">
        <f t="shared" ca="1" si="47"/>
        <v>33.50153923592422</v>
      </c>
    </row>
    <row r="292" spans="2:15">
      <c r="B292" s="13">
        <v>100</v>
      </c>
      <c r="C292" s="17">
        <v>101.161581103305</v>
      </c>
      <c r="D292" s="32">
        <f t="shared" ca="1" si="40"/>
        <v>100.534316220661</v>
      </c>
      <c r="E292" s="27"/>
      <c r="F292" s="27"/>
      <c r="G292" s="27"/>
      <c r="H292" s="10">
        <f t="shared" si="41"/>
        <v>1.1615811033049983</v>
      </c>
      <c r="I292" s="32">
        <f t="shared" si="42"/>
        <v>1.1615811033049965</v>
      </c>
      <c r="J292" s="10">
        <f t="shared" ca="1" si="43"/>
        <v>0.9</v>
      </c>
      <c r="K292" s="10">
        <f t="shared" ca="1" si="44"/>
        <v>0.61</v>
      </c>
      <c r="L292" s="10">
        <v>0.2</v>
      </c>
      <c r="M292" s="10">
        <f t="shared" ca="1" si="45"/>
        <v>0.53431622066099926</v>
      </c>
      <c r="N292" s="10">
        <f t="shared" ca="1" si="46"/>
        <v>0.53431622066100193</v>
      </c>
      <c r="O292" s="10">
        <f t="shared" ca="1" si="47"/>
        <v>0.28549382366145365</v>
      </c>
    </row>
    <row r="293" spans="2:15">
      <c r="B293" s="13">
        <v>166</v>
      </c>
      <c r="C293" s="17">
        <v>166.25509483667699</v>
      </c>
      <c r="D293" s="32">
        <f t="shared" ca="1" si="40"/>
        <v>165.79101896733539</v>
      </c>
      <c r="E293" s="27"/>
      <c r="F293" s="27"/>
      <c r="G293" s="27"/>
      <c r="H293" s="10">
        <f t="shared" si="41"/>
        <v>0.15367158835963846</v>
      </c>
      <c r="I293" s="32">
        <f t="shared" si="42"/>
        <v>0.25509483667698873</v>
      </c>
      <c r="J293" s="10">
        <f t="shared" ca="1" si="43"/>
        <v>-0.79</v>
      </c>
      <c r="K293" s="10">
        <f t="shared" ca="1" si="44"/>
        <v>-0.51</v>
      </c>
      <c r="L293" s="10">
        <v>0.2</v>
      </c>
      <c r="M293" s="10">
        <f t="shared" ca="1" si="45"/>
        <v>-0.20898103266460227</v>
      </c>
      <c r="N293" s="10">
        <f t="shared" ca="1" si="46"/>
        <v>-0.12589218835217242</v>
      </c>
      <c r="O293" s="10">
        <f t="shared" ca="1" si="47"/>
        <v>4.367307201356356E-2</v>
      </c>
    </row>
    <row r="294" spans="2:15">
      <c r="B294" s="13">
        <v>68</v>
      </c>
      <c r="C294" s="17">
        <v>70.342149957351296</v>
      </c>
      <c r="D294" s="32">
        <f t="shared" ca="1" si="40"/>
        <v>68.556429991470253</v>
      </c>
      <c r="E294" s="27"/>
      <c r="F294" s="27"/>
      <c r="G294" s="27"/>
      <c r="H294" s="10">
        <f t="shared" si="41"/>
        <v>3.4443381725754341</v>
      </c>
      <c r="I294" s="32">
        <f t="shared" si="42"/>
        <v>2.3421499573512961</v>
      </c>
      <c r="J294" s="10">
        <f t="shared" ca="1" si="43"/>
        <v>0.78</v>
      </c>
      <c r="K294" s="10">
        <f t="shared" ca="1" si="44"/>
        <v>-0.34</v>
      </c>
      <c r="L294" s="10">
        <v>0.2</v>
      </c>
      <c r="M294" s="10">
        <f t="shared" ca="1" si="45"/>
        <v>0.55642999147025929</v>
      </c>
      <c r="N294" s="10">
        <f t="shared" ca="1" si="46"/>
        <v>0.81827939922096693</v>
      </c>
      <c r="O294" s="10">
        <f t="shared" ca="1" si="47"/>
        <v>0.30961433540759281</v>
      </c>
    </row>
    <row r="295" spans="2:15">
      <c r="B295" s="13">
        <v>26</v>
      </c>
      <c r="C295" s="17">
        <v>37.118118172041498</v>
      </c>
      <c r="D295" s="32">
        <f t="shared" ca="1" si="40"/>
        <v>28.221763634408301</v>
      </c>
      <c r="E295" s="27"/>
      <c r="F295" s="27"/>
      <c r="G295" s="27"/>
      <c r="H295" s="10">
        <f t="shared" si="41"/>
        <v>42.761992969390384</v>
      </c>
      <c r="I295" s="32">
        <f t="shared" si="42"/>
        <v>11.118118172041498</v>
      </c>
      <c r="J295" s="10">
        <f t="shared" ca="1" si="43"/>
        <v>-5.5999999999999999E-3</v>
      </c>
      <c r="K295" s="10">
        <f t="shared" ca="1" si="44"/>
        <v>-3.7000000000000002E-3</v>
      </c>
      <c r="L295" s="10">
        <v>0.2</v>
      </c>
      <c r="M295" s="10">
        <f t="shared" ca="1" si="45"/>
        <v>2.2217636344082998</v>
      </c>
      <c r="N295" s="10">
        <f t="shared" ca="1" si="46"/>
        <v>8.5452447477242455</v>
      </c>
      <c r="O295" s="10">
        <f t="shared" ca="1" si="47"/>
        <v>4.9362336471791775</v>
      </c>
    </row>
    <row r="296" spans="2:15">
      <c r="B296" s="13">
        <v>40</v>
      </c>
      <c r="C296" s="17">
        <v>12.6703769007856</v>
      </c>
      <c r="D296" s="32">
        <f t="shared" ca="1" si="40"/>
        <v>34.454075380157121</v>
      </c>
      <c r="E296" s="27"/>
      <c r="F296" s="27"/>
      <c r="G296" s="27"/>
      <c r="H296" s="10">
        <f t="shared" si="41"/>
        <v>-68.324057748036012</v>
      </c>
      <c r="I296" s="32">
        <f t="shared" si="42"/>
        <v>-27.329623099214402</v>
      </c>
      <c r="J296" s="10">
        <f t="shared" ca="1" si="43"/>
        <v>-0.81</v>
      </c>
      <c r="K296" s="10">
        <f t="shared" ca="1" si="44"/>
        <v>0.41</v>
      </c>
      <c r="L296" s="10">
        <v>0.2</v>
      </c>
      <c r="M296" s="10">
        <f t="shared" ca="1" si="45"/>
        <v>-5.5459246198428804</v>
      </c>
      <c r="N296" s="10">
        <f t="shared" ca="1" si="46"/>
        <v>-13.864811549607193</v>
      </c>
      <c r="O296" s="10">
        <f t="shared" ca="1" si="47"/>
        <v>30.757279888979397</v>
      </c>
    </row>
    <row r="297" spans="2:15">
      <c r="B297" s="13">
        <v>12</v>
      </c>
      <c r="C297" s="17">
        <v>12.412683400085299</v>
      </c>
      <c r="D297" s="32">
        <f t="shared" ca="1" si="40"/>
        <v>12.079756680017059</v>
      </c>
      <c r="E297" s="27"/>
      <c r="F297" s="27"/>
      <c r="G297" s="27"/>
      <c r="H297" s="10">
        <f t="shared" si="41"/>
        <v>3.4390283340441696</v>
      </c>
      <c r="I297" s="32">
        <f t="shared" si="42"/>
        <v>0.41268340008529947</v>
      </c>
      <c r="J297" s="10">
        <f t="shared" ca="1" si="43"/>
        <v>-9.7999999999999997E-3</v>
      </c>
      <c r="K297" s="10">
        <f t="shared" ca="1" si="44"/>
        <v>-4.1000000000000003E-3</v>
      </c>
      <c r="L297" s="10">
        <v>0.2</v>
      </c>
      <c r="M297" s="10">
        <f t="shared" ca="1" si="45"/>
        <v>7.9756680017059906E-2</v>
      </c>
      <c r="N297" s="10">
        <f t="shared" ca="1" si="46"/>
        <v>0.66463900014215316</v>
      </c>
      <c r="O297" s="10">
        <f t="shared" ca="1" si="47"/>
        <v>6.3611280073436827E-3</v>
      </c>
    </row>
    <row r="298" spans="2:15">
      <c r="B298" s="13">
        <v>147</v>
      </c>
      <c r="C298" s="17">
        <v>117.889492570795</v>
      </c>
      <c r="D298" s="32">
        <f t="shared" ca="1" si="40"/>
        <v>141.139898514159</v>
      </c>
      <c r="E298" s="27"/>
      <c r="F298" s="27"/>
      <c r="G298" s="27"/>
      <c r="H298" s="10">
        <f t="shared" si="41"/>
        <v>-19.80306627837075</v>
      </c>
      <c r="I298" s="32">
        <f t="shared" si="42"/>
        <v>-29.110507429205001</v>
      </c>
      <c r="J298" s="10">
        <f t="shared" ca="1" si="43"/>
        <v>0.27</v>
      </c>
      <c r="K298" s="10">
        <f t="shared" ca="1" si="44"/>
        <v>-0.46</v>
      </c>
      <c r="L298" s="10">
        <v>0.2</v>
      </c>
      <c r="M298" s="10">
        <f t="shared" ca="1" si="45"/>
        <v>-5.8601014858410005</v>
      </c>
      <c r="N298" s="10">
        <f t="shared" ca="1" si="46"/>
        <v>-3.9864635958102079</v>
      </c>
      <c r="O298" s="10">
        <f t="shared" ca="1" si="47"/>
        <v>34.340789424355904</v>
      </c>
    </row>
    <row r="299" spans="2:15">
      <c r="B299" s="13">
        <v>211</v>
      </c>
      <c r="C299" s="17">
        <v>180.43629219274001</v>
      </c>
      <c r="D299" s="32">
        <f t="shared" ca="1" si="40"/>
        <v>204.881258438548</v>
      </c>
      <c r="E299" s="27"/>
      <c r="F299" s="27"/>
      <c r="G299" s="27"/>
      <c r="H299" s="10">
        <f t="shared" si="41"/>
        <v>-14.48516957690047</v>
      </c>
      <c r="I299" s="32">
        <f t="shared" si="42"/>
        <v>-30.563707807259988</v>
      </c>
      <c r="J299" s="10">
        <f t="shared" ca="1" si="43"/>
        <v>-0.67</v>
      </c>
      <c r="K299" s="10">
        <f t="shared" ca="1" si="44"/>
        <v>0.64</v>
      </c>
      <c r="L299" s="10">
        <v>0.2</v>
      </c>
      <c r="M299" s="10">
        <f t="shared" ca="1" si="45"/>
        <v>-6.1187415614519978</v>
      </c>
      <c r="N299" s="10">
        <f t="shared" ca="1" si="46"/>
        <v>-2.8998775172758284</v>
      </c>
      <c r="O299" s="10">
        <f t="shared" ca="1" si="47"/>
        <v>37.43899829584003</v>
      </c>
    </row>
    <row r="300" spans="2:15">
      <c r="B300" s="13">
        <v>192</v>
      </c>
      <c r="C300" s="17">
        <v>162.141953233637</v>
      </c>
      <c r="D300" s="32">
        <f t="shared" ca="1" si="40"/>
        <v>185.7503906467274</v>
      </c>
      <c r="E300" s="27"/>
      <c r="F300" s="27"/>
      <c r="G300" s="27"/>
      <c r="H300" s="10">
        <f t="shared" si="41"/>
        <v>-15.551066024147397</v>
      </c>
      <c r="I300" s="32">
        <f t="shared" si="42"/>
        <v>-29.858046766363003</v>
      </c>
      <c r="J300" s="10">
        <f t="shared" ca="1" si="43"/>
        <v>-0.68</v>
      </c>
      <c r="K300" s="10">
        <f t="shared" ca="1" si="44"/>
        <v>-0.71</v>
      </c>
      <c r="L300" s="10">
        <v>0.2</v>
      </c>
      <c r="M300" s="10">
        <f t="shared" ca="1" si="45"/>
        <v>-6.2496093532726009</v>
      </c>
      <c r="N300" s="10">
        <f t="shared" ca="1" si="46"/>
        <v>-3.2550048714961477</v>
      </c>
      <c r="O300" s="10">
        <f t="shared" ca="1" si="47"/>
        <v>39.057617068512378</v>
      </c>
    </row>
    <row r="301" spans="2:15">
      <c r="B301" s="13">
        <v>154</v>
      </c>
      <c r="C301" s="17">
        <v>125.17016042671401</v>
      </c>
      <c r="D301" s="32">
        <f t="shared" ca="1" si="40"/>
        <v>148.25603208534281</v>
      </c>
      <c r="E301" s="27"/>
      <c r="F301" s="27"/>
      <c r="G301" s="27"/>
      <c r="H301" s="10">
        <f t="shared" si="41"/>
        <v>-18.720675047588308</v>
      </c>
      <c r="I301" s="32">
        <f t="shared" si="42"/>
        <v>-28.829839573285994</v>
      </c>
      <c r="J301" s="10">
        <f t="shared" ca="1" si="43"/>
        <v>-7.0000000000000007E-2</v>
      </c>
      <c r="K301" s="10">
        <f t="shared" ca="1" si="44"/>
        <v>0.18</v>
      </c>
      <c r="L301" s="10">
        <v>0.2</v>
      </c>
      <c r="M301" s="10">
        <f t="shared" ca="1" si="45"/>
        <v>-5.7439679146571994</v>
      </c>
      <c r="N301" s="10">
        <f t="shared" ca="1" si="46"/>
        <v>-3.7298492952319462</v>
      </c>
      <c r="O301" s="10">
        <f t="shared" ca="1" si="47"/>
        <v>32.993167404611377</v>
      </c>
    </row>
    <row r="302" spans="2:15">
      <c r="B302" s="13">
        <v>211</v>
      </c>
      <c r="C302" s="17">
        <v>210.604583704867</v>
      </c>
      <c r="D302" s="32">
        <f t="shared" ca="1" si="40"/>
        <v>211.05891674097339</v>
      </c>
      <c r="E302" s="27"/>
      <c r="F302" s="27"/>
      <c r="G302" s="27"/>
      <c r="H302" s="10">
        <f t="shared" si="41"/>
        <v>-0.18740108774075726</v>
      </c>
      <c r="I302" s="32">
        <f t="shared" si="42"/>
        <v>-0.39541629513300336</v>
      </c>
      <c r="J302" s="10">
        <f t="shared" ca="1" si="43"/>
        <v>0.39</v>
      </c>
      <c r="K302" s="10">
        <f t="shared" ca="1" si="44"/>
        <v>0.3</v>
      </c>
      <c r="L302" s="10">
        <v>0.2</v>
      </c>
      <c r="M302" s="10">
        <f t="shared" ca="1" si="45"/>
        <v>5.8916740973399329E-2</v>
      </c>
      <c r="N302" s="10">
        <f t="shared" ca="1" si="46"/>
        <v>2.7922626053733524E-2</v>
      </c>
      <c r="O302" s="10">
        <f t="shared" ca="1" si="47"/>
        <v>3.4711823669266312E-3</v>
      </c>
    </row>
    <row r="303" spans="2:15">
      <c r="B303" s="13">
        <v>39</v>
      </c>
      <c r="C303" s="17">
        <v>7.4266432461578198</v>
      </c>
      <c r="D303" s="32">
        <f t="shared" ca="1" si="40"/>
        <v>32.657328649231566</v>
      </c>
      <c r="E303" s="27"/>
      <c r="F303" s="27"/>
      <c r="G303" s="27"/>
      <c r="H303" s="10">
        <f t="shared" si="41"/>
        <v>-80.957325009851743</v>
      </c>
      <c r="I303" s="32">
        <f t="shared" si="42"/>
        <v>-31.57335675384218</v>
      </c>
      <c r="J303" s="10">
        <f t="shared" ca="1" si="43"/>
        <v>0.71</v>
      </c>
      <c r="K303" s="10">
        <f t="shared" ca="1" si="44"/>
        <v>-0.85</v>
      </c>
      <c r="L303" s="10">
        <v>0.2</v>
      </c>
      <c r="M303" s="10">
        <f t="shared" ca="1" si="45"/>
        <v>-6.3426713507684367</v>
      </c>
      <c r="N303" s="10">
        <f t="shared" ca="1" si="46"/>
        <v>-16.263259873765211</v>
      </c>
      <c r="O303" s="10">
        <f t="shared" ca="1" si="47"/>
        <v>40.229479863858707</v>
      </c>
    </row>
    <row r="304" spans="2:15">
      <c r="B304" s="13">
        <v>183</v>
      </c>
      <c r="C304" s="17">
        <v>181.55510907698499</v>
      </c>
      <c r="D304" s="32">
        <f t="shared" ca="1" si="40"/>
        <v>182.54502181539701</v>
      </c>
      <c r="E304" s="27"/>
      <c r="F304" s="27"/>
      <c r="G304" s="27"/>
      <c r="H304" s="10">
        <f t="shared" si="41"/>
        <v>-0.78955788142897054</v>
      </c>
      <c r="I304" s="32">
        <f t="shared" si="42"/>
        <v>-1.4448909230150093</v>
      </c>
      <c r="J304" s="10">
        <f t="shared" ca="1" si="43"/>
        <v>-0.54</v>
      </c>
      <c r="K304" s="10">
        <f t="shared" ca="1" si="44"/>
        <v>-0.28999999999999998</v>
      </c>
      <c r="L304" s="10">
        <v>0.2</v>
      </c>
      <c r="M304" s="10">
        <f t="shared" ca="1" si="45"/>
        <v>-0.45497818460300188</v>
      </c>
      <c r="N304" s="10">
        <f t="shared" ca="1" si="46"/>
        <v>-0.24862195879944426</v>
      </c>
      <c r="O304" s="10">
        <f t="shared" ca="1" si="47"/>
        <v>0.20700514846464327</v>
      </c>
    </row>
    <row r="305" spans="2:15">
      <c r="B305" s="13">
        <v>80</v>
      </c>
      <c r="C305" s="17">
        <v>80.473311844077898</v>
      </c>
      <c r="D305" s="32">
        <f t="shared" ca="1" si="40"/>
        <v>79.92866236881558</v>
      </c>
      <c r="E305" s="27"/>
      <c r="F305" s="27"/>
      <c r="G305" s="27"/>
      <c r="H305" s="10">
        <f t="shared" si="41"/>
        <v>0.59163980509737701</v>
      </c>
      <c r="I305" s="32">
        <f t="shared" si="42"/>
        <v>0.47331184407789806</v>
      </c>
      <c r="J305" s="10">
        <f t="shared" ca="1" si="43"/>
        <v>-0.18</v>
      </c>
      <c r="K305" s="10">
        <f t="shared" ca="1" si="44"/>
        <v>-0.65</v>
      </c>
      <c r="L305" s="10">
        <v>0.2</v>
      </c>
      <c r="M305" s="10">
        <f t="shared" ca="1" si="45"/>
        <v>-7.1337631184420394E-2</v>
      </c>
      <c r="N305" s="10">
        <f t="shared" ca="1" si="46"/>
        <v>-8.9172038980522839E-2</v>
      </c>
      <c r="O305" s="10">
        <f t="shared" ca="1" si="47"/>
        <v>5.0890576230043895E-3</v>
      </c>
    </row>
    <row r="306" spans="2:15">
      <c r="B306" s="13">
        <v>176</v>
      </c>
      <c r="C306" s="17">
        <v>185.22735623086299</v>
      </c>
      <c r="D306" s="32">
        <f t="shared" ca="1" si="40"/>
        <v>177.7574712461726</v>
      </c>
      <c r="E306" s="27"/>
      <c r="F306" s="27"/>
      <c r="G306" s="27"/>
      <c r="H306" s="10">
        <f t="shared" si="41"/>
        <v>5.2428160402630652</v>
      </c>
      <c r="I306" s="32">
        <f t="shared" si="42"/>
        <v>9.2273562308629948</v>
      </c>
      <c r="J306" s="10">
        <f t="shared" ca="1" si="43"/>
        <v>-0.98</v>
      </c>
      <c r="K306" s="10">
        <f t="shared" ca="1" si="44"/>
        <v>0.54</v>
      </c>
      <c r="L306" s="10">
        <v>0.2</v>
      </c>
      <c r="M306" s="10">
        <f t="shared" ca="1" si="45"/>
        <v>1.7574712461725988</v>
      </c>
      <c r="N306" s="10">
        <f t="shared" ca="1" si="46"/>
        <v>0.99856320805260523</v>
      </c>
      <c r="O306" s="10">
        <f t="shared" ca="1" si="47"/>
        <v>3.0887051811234674</v>
      </c>
    </row>
    <row r="307" spans="2:15">
      <c r="B307" s="13">
        <v>126</v>
      </c>
      <c r="C307" s="17">
        <v>136.457654574521</v>
      </c>
      <c r="D307" s="32">
        <f t="shared" ca="1" si="40"/>
        <v>127.98353091490419</v>
      </c>
      <c r="E307" s="27"/>
      <c r="F307" s="27"/>
      <c r="G307" s="27"/>
      <c r="H307" s="10">
        <f t="shared" si="41"/>
        <v>8.2997258527944382</v>
      </c>
      <c r="I307" s="32">
        <f t="shared" si="42"/>
        <v>10.457654574521001</v>
      </c>
      <c r="J307" s="10">
        <f t="shared" ca="1" si="43"/>
        <v>-0.82</v>
      </c>
      <c r="K307" s="10">
        <f t="shared" ca="1" si="44"/>
        <v>0.28000000000000003</v>
      </c>
      <c r="L307" s="10">
        <v>0.2</v>
      </c>
      <c r="M307" s="10">
        <f t="shared" ca="1" si="45"/>
        <v>1.9835309149042002</v>
      </c>
      <c r="N307" s="10">
        <f t="shared" ca="1" si="46"/>
        <v>1.5742308848446074</v>
      </c>
      <c r="O307" s="10">
        <f t="shared" ca="1" si="47"/>
        <v>3.9343948903806933</v>
      </c>
    </row>
    <row r="308" spans="2:15">
      <c r="B308" s="13">
        <v>168</v>
      </c>
      <c r="C308" s="17">
        <v>139.04876411008101</v>
      </c>
      <c r="D308" s="32">
        <f t="shared" ca="1" si="40"/>
        <v>162.4637528220162</v>
      </c>
      <c r="E308" s="27"/>
      <c r="F308" s="27"/>
      <c r="G308" s="27"/>
      <c r="H308" s="10">
        <f t="shared" si="41"/>
        <v>-17.232878505904161</v>
      </c>
      <c r="I308" s="32">
        <f t="shared" si="42"/>
        <v>-28.951235889918991</v>
      </c>
      <c r="J308" s="10">
        <f t="shared" ca="1" si="43"/>
        <v>0.72</v>
      </c>
      <c r="K308" s="10">
        <f t="shared" ca="1" si="44"/>
        <v>0.55000000000000004</v>
      </c>
      <c r="L308" s="10">
        <v>0.2</v>
      </c>
      <c r="M308" s="10">
        <f t="shared" ca="1" si="45"/>
        <v>-5.5362471779837987</v>
      </c>
      <c r="N308" s="10">
        <f t="shared" ca="1" si="46"/>
        <v>-3.2953852249903548</v>
      </c>
      <c r="O308" s="10">
        <f t="shared" ca="1" si="47"/>
        <v>30.650032815733574</v>
      </c>
    </row>
    <row r="309" spans="2:15">
      <c r="B309" s="13">
        <v>165</v>
      </c>
      <c r="C309" s="17">
        <v>134.01482441742499</v>
      </c>
      <c r="D309" s="32">
        <f t="shared" ca="1" si="40"/>
        <v>158.94296488348499</v>
      </c>
      <c r="E309" s="27"/>
      <c r="F309" s="27"/>
      <c r="G309" s="27"/>
      <c r="H309" s="10">
        <f t="shared" si="41"/>
        <v>-18.778894292469705</v>
      </c>
      <c r="I309" s="32">
        <f t="shared" si="42"/>
        <v>-30.98517558257501</v>
      </c>
      <c r="J309" s="10">
        <f t="shared" ca="1" si="43"/>
        <v>0.43</v>
      </c>
      <c r="K309" s="10">
        <f t="shared" ca="1" si="44"/>
        <v>0.27</v>
      </c>
      <c r="L309" s="10">
        <v>0.2</v>
      </c>
      <c r="M309" s="10">
        <f t="shared" ca="1" si="45"/>
        <v>-6.0570351165150029</v>
      </c>
      <c r="N309" s="10">
        <f t="shared" ca="1" si="46"/>
        <v>-3.6709303736454646</v>
      </c>
      <c r="O309" s="10">
        <f t="shared" ca="1" si="47"/>
        <v>36.687674402695912</v>
      </c>
    </row>
    <row r="310" spans="2:15">
      <c r="B310" s="13">
        <v>61</v>
      </c>
      <c r="C310" s="17">
        <v>72.092143547650295</v>
      </c>
      <c r="D310" s="32">
        <f t="shared" ca="1" si="40"/>
        <v>63.076428709530056</v>
      </c>
      <c r="E310" s="27"/>
      <c r="F310" s="27"/>
      <c r="G310" s="27"/>
      <c r="H310" s="10">
        <f t="shared" si="41"/>
        <v>18.183841881393924</v>
      </c>
      <c r="I310" s="32">
        <f t="shared" si="42"/>
        <v>11.092143547650295</v>
      </c>
      <c r="J310" s="10">
        <f t="shared" ca="1" si="43"/>
        <v>-0.61</v>
      </c>
      <c r="K310" s="10">
        <f t="shared" ca="1" si="44"/>
        <v>-0.1</v>
      </c>
      <c r="L310" s="10">
        <v>0.2</v>
      </c>
      <c r="M310" s="10">
        <f t="shared" ca="1" si="45"/>
        <v>2.0764287095300591</v>
      </c>
      <c r="N310" s="10">
        <f t="shared" ca="1" si="46"/>
        <v>3.4039814910328703</v>
      </c>
      <c r="O310" s="10">
        <f t="shared" ca="1" si="47"/>
        <v>4.3115561857606668</v>
      </c>
    </row>
    <row r="311" spans="2:15">
      <c r="B311" s="13">
        <v>160</v>
      </c>
      <c r="C311" s="17">
        <v>161.54177239992299</v>
      </c>
      <c r="D311" s="32">
        <f t="shared" ca="1" si="40"/>
        <v>160.37835447998461</v>
      </c>
      <c r="E311" s="27"/>
      <c r="F311" s="27"/>
      <c r="G311" s="27"/>
      <c r="H311" s="10">
        <f t="shared" si="41"/>
        <v>0.96360774995187803</v>
      </c>
      <c r="I311" s="32">
        <f t="shared" si="42"/>
        <v>1.5417723999229906</v>
      </c>
      <c r="J311" s="10">
        <f t="shared" ca="1" si="43"/>
        <v>-0.34</v>
      </c>
      <c r="K311" s="10">
        <f t="shared" ca="1" si="44"/>
        <v>0.69</v>
      </c>
      <c r="L311" s="10">
        <v>0.2</v>
      </c>
      <c r="M311" s="10">
        <f t="shared" ca="1" si="45"/>
        <v>0.37835447998459815</v>
      </c>
      <c r="N311" s="10">
        <f t="shared" ca="1" si="46"/>
        <v>0.23647154999038023</v>
      </c>
      <c r="O311" s="10">
        <f t="shared" ca="1" si="47"/>
        <v>0.14315211252441568</v>
      </c>
    </row>
    <row r="312" spans="2:15">
      <c r="B312" s="13">
        <v>108</v>
      </c>
      <c r="C312" s="17">
        <v>106.318531260592</v>
      </c>
      <c r="D312" s="32">
        <f t="shared" ca="1" si="40"/>
        <v>107.58170625211839</v>
      </c>
      <c r="E312" s="27"/>
      <c r="F312" s="27"/>
      <c r="G312" s="27"/>
      <c r="H312" s="10">
        <f t="shared" si="41"/>
        <v>-1.5569154994518608</v>
      </c>
      <c r="I312" s="32">
        <f t="shared" si="42"/>
        <v>-1.6814687394080039</v>
      </c>
      <c r="J312" s="10">
        <f t="shared" ca="1" si="43"/>
        <v>-0.32</v>
      </c>
      <c r="K312" s="10">
        <f t="shared" ca="1" si="44"/>
        <v>-0.09</v>
      </c>
      <c r="L312" s="10">
        <v>0.2</v>
      </c>
      <c r="M312" s="10">
        <f t="shared" ca="1" si="45"/>
        <v>-0.41829374788160073</v>
      </c>
      <c r="N312" s="10">
        <f t="shared" ca="1" si="46"/>
        <v>-0.387309025816307</v>
      </c>
      <c r="O312" s="10">
        <f t="shared" ca="1" si="47"/>
        <v>0.17496965951683616</v>
      </c>
    </row>
    <row r="313" spans="2:15">
      <c r="B313" s="13">
        <v>209</v>
      </c>
      <c r="C313" s="17">
        <v>178.708740852571</v>
      </c>
      <c r="D313" s="32">
        <f t="shared" ca="1" si="40"/>
        <v>202.84574817051418</v>
      </c>
      <c r="E313" s="27"/>
      <c r="F313" s="27"/>
      <c r="G313" s="27"/>
      <c r="H313" s="10">
        <f t="shared" si="41"/>
        <v>-14.49342542939187</v>
      </c>
      <c r="I313" s="32">
        <f t="shared" si="42"/>
        <v>-30.291259147429002</v>
      </c>
      <c r="J313" s="10">
        <f t="shared" ca="1" si="43"/>
        <v>-0.92</v>
      </c>
      <c r="K313" s="10">
        <f t="shared" ca="1" si="44"/>
        <v>0.44</v>
      </c>
      <c r="L313" s="10">
        <v>0.2</v>
      </c>
      <c r="M313" s="10">
        <f t="shared" ca="1" si="45"/>
        <v>-6.1542518294858013</v>
      </c>
      <c r="N313" s="10">
        <f t="shared" ca="1" si="46"/>
        <v>-2.9446181002324434</v>
      </c>
      <c r="O313" s="10">
        <f t="shared" ca="1" si="47"/>
        <v>37.874815580729333</v>
      </c>
    </row>
    <row r="314" spans="2:15">
      <c r="B314" s="13">
        <v>123</v>
      </c>
      <c r="C314" s="17">
        <v>92.803447448758405</v>
      </c>
      <c r="D314" s="32">
        <f t="shared" ca="1" si="40"/>
        <v>116.97868948975167</v>
      </c>
      <c r="E314" s="27"/>
      <c r="F314" s="27"/>
      <c r="G314" s="27"/>
      <c r="H314" s="10">
        <f t="shared" si="41"/>
        <v>-24.550042724586664</v>
      </c>
      <c r="I314" s="32">
        <f t="shared" si="42"/>
        <v>-30.196552551241595</v>
      </c>
      <c r="J314" s="10">
        <f t="shared" ca="1" si="43"/>
        <v>-0.73</v>
      </c>
      <c r="K314" s="10">
        <f t="shared" ca="1" si="44"/>
        <v>0.82</v>
      </c>
      <c r="L314" s="10">
        <v>0.2</v>
      </c>
      <c r="M314" s="10">
        <f t="shared" ca="1" si="45"/>
        <v>-6.0213105102483198</v>
      </c>
      <c r="N314" s="10">
        <f t="shared" ca="1" si="46"/>
        <v>-4.8953743985758802</v>
      </c>
      <c r="O314" s="10">
        <f t="shared" ca="1" si="47"/>
        <v>36.256180260826881</v>
      </c>
    </row>
    <row r="315" spans="2:15">
      <c r="B315" s="13">
        <v>31</v>
      </c>
      <c r="C315" s="17">
        <v>1.6334877972997699</v>
      </c>
      <c r="D315" s="32">
        <f t="shared" ca="1" si="40"/>
        <v>25.340697559459954</v>
      </c>
      <c r="E315" s="27"/>
      <c r="F315" s="27"/>
      <c r="G315" s="27"/>
      <c r="H315" s="10">
        <f t="shared" si="41"/>
        <v>-94.730684524839447</v>
      </c>
      <c r="I315" s="32">
        <f t="shared" si="42"/>
        <v>-29.366512202700228</v>
      </c>
      <c r="J315" s="10">
        <f t="shared" ca="1" si="43"/>
        <v>0.61</v>
      </c>
      <c r="K315" s="10">
        <f t="shared" ca="1" si="44"/>
        <v>0.46</v>
      </c>
      <c r="L315" s="10">
        <v>0.2</v>
      </c>
      <c r="M315" s="10">
        <f t="shared" ca="1" si="45"/>
        <v>-5.6593024405400456</v>
      </c>
      <c r="N315" s="10">
        <f t="shared" ca="1" si="46"/>
        <v>-18.255814324322728</v>
      </c>
      <c r="O315" s="10">
        <f t="shared" ca="1" si="47"/>
        <v>32.027704113502516</v>
      </c>
    </row>
    <row r="316" spans="2:15">
      <c r="B316" s="13">
        <v>167</v>
      </c>
      <c r="C316" s="17">
        <v>176.924582895801</v>
      </c>
      <c r="D316" s="32">
        <f t="shared" ca="1" si="40"/>
        <v>168.74491657916019</v>
      </c>
      <c r="E316" s="27"/>
      <c r="F316" s="27"/>
      <c r="G316" s="27"/>
      <c r="H316" s="10">
        <f t="shared" si="41"/>
        <v>5.942864009461668</v>
      </c>
      <c r="I316" s="32">
        <f t="shared" si="42"/>
        <v>9.9245828958009952</v>
      </c>
      <c r="J316" s="10">
        <f t="shared" ca="1" si="43"/>
        <v>-0.73</v>
      </c>
      <c r="K316" s="10">
        <f t="shared" ca="1" si="44"/>
        <v>-0.47</v>
      </c>
      <c r="L316" s="10">
        <v>0.2</v>
      </c>
      <c r="M316" s="10">
        <f t="shared" ca="1" si="45"/>
        <v>1.7449165791601988</v>
      </c>
      <c r="N316" s="10">
        <f t="shared" ca="1" si="46"/>
        <v>1.0448602270420215</v>
      </c>
      <c r="O316" s="10">
        <f t="shared" ca="1" si="47"/>
        <v>3.0447338682281302</v>
      </c>
    </row>
    <row r="317" spans="2:15">
      <c r="B317" s="13">
        <v>109</v>
      </c>
      <c r="C317" s="17">
        <v>82.042574795789406</v>
      </c>
      <c r="D317" s="32">
        <f t="shared" ca="1" si="40"/>
        <v>103.78051495915788</v>
      </c>
      <c r="E317" s="27"/>
      <c r="F317" s="27"/>
      <c r="G317" s="27"/>
      <c r="H317" s="10">
        <f t="shared" si="41"/>
        <v>-24.731582756156513</v>
      </c>
      <c r="I317" s="32">
        <f t="shared" si="42"/>
        <v>-26.957425204210594</v>
      </c>
      <c r="J317" s="10">
        <f t="shared" ca="1" si="43"/>
        <v>0.41</v>
      </c>
      <c r="K317" s="10">
        <f t="shared" ca="1" si="44"/>
        <v>0.45</v>
      </c>
      <c r="L317" s="10">
        <v>0.2</v>
      </c>
      <c r="M317" s="10">
        <f t="shared" ca="1" si="45"/>
        <v>-5.2194850408421196</v>
      </c>
      <c r="N317" s="10">
        <f t="shared" ca="1" si="46"/>
        <v>-4.7885183860936875</v>
      </c>
      <c r="O317" s="10">
        <f t="shared" ca="1" si="47"/>
        <v>27.243024091574664</v>
      </c>
    </row>
    <row r="318" spans="2:15">
      <c r="B318" s="13">
        <v>132</v>
      </c>
      <c r="C318" s="17">
        <v>142.637646852469</v>
      </c>
      <c r="D318" s="32">
        <f t="shared" ca="1" si="40"/>
        <v>134.2555293704938</v>
      </c>
      <c r="E318" s="27"/>
      <c r="F318" s="27"/>
      <c r="G318" s="27"/>
      <c r="H318" s="10">
        <f t="shared" si="41"/>
        <v>8.0588233730825678</v>
      </c>
      <c r="I318" s="32">
        <f t="shared" si="42"/>
        <v>10.637646852469004</v>
      </c>
      <c r="J318" s="10">
        <f t="shared" ca="1" si="43"/>
        <v>-0.02</v>
      </c>
      <c r="K318" s="10">
        <f t="shared" ca="1" si="44"/>
        <v>0.66</v>
      </c>
      <c r="L318" s="10">
        <v>0.2</v>
      </c>
      <c r="M318" s="10">
        <f t="shared" ca="1" si="45"/>
        <v>2.2555293704938011</v>
      </c>
      <c r="N318" s="10">
        <f t="shared" ca="1" si="46"/>
        <v>1.7087343715862069</v>
      </c>
      <c r="O318" s="10">
        <f t="shared" ca="1" si="47"/>
        <v>5.0874127411601622</v>
      </c>
    </row>
    <row r="319" spans="2:15">
      <c r="B319" s="13">
        <v>15</v>
      </c>
      <c r="C319" s="17">
        <v>26.728003134926698</v>
      </c>
      <c r="D319" s="32">
        <f t="shared" ca="1" si="40"/>
        <v>17.348280626985339</v>
      </c>
      <c r="E319" s="27"/>
      <c r="F319" s="27"/>
      <c r="G319" s="27"/>
      <c r="H319" s="10">
        <f t="shared" si="41"/>
        <v>78.186687566177994</v>
      </c>
      <c r="I319" s="32">
        <f t="shared" si="42"/>
        <v>11.728003134926698</v>
      </c>
      <c r="J319" s="10">
        <f t="shared" ca="1" si="43"/>
        <v>8.8000000000000005E-3</v>
      </c>
      <c r="K319" s="10">
        <f t="shared" ca="1" si="44"/>
        <v>4.5999999999999999E-3</v>
      </c>
      <c r="L319" s="10">
        <v>0.2</v>
      </c>
      <c r="M319" s="10">
        <f t="shared" ca="1" si="45"/>
        <v>2.34828062698534</v>
      </c>
      <c r="N319" s="10">
        <f t="shared" ca="1" si="46"/>
        <v>15.65520417990227</v>
      </c>
      <c r="O319" s="10">
        <f t="shared" ca="1" si="47"/>
        <v>5.5144219030746617</v>
      </c>
    </row>
    <row r="320" spans="2:15">
      <c r="B320" s="13">
        <v>69</v>
      </c>
      <c r="C320" s="17">
        <v>69.100293544575806</v>
      </c>
      <c r="D320" s="32">
        <f t="shared" ca="1" si="40"/>
        <v>69.138058708915167</v>
      </c>
      <c r="E320" s="27"/>
      <c r="F320" s="27"/>
      <c r="G320" s="27"/>
      <c r="H320" s="10">
        <f t="shared" si="41"/>
        <v>0.14535296315334456</v>
      </c>
      <c r="I320" s="32">
        <f t="shared" si="42"/>
        <v>0.10029354457580553</v>
      </c>
      <c r="J320" s="10">
        <f t="shared" ca="1" si="43"/>
        <v>0.23</v>
      </c>
      <c r="K320" s="10">
        <f t="shared" ca="1" si="44"/>
        <v>0.36</v>
      </c>
      <c r="L320" s="10">
        <v>0.2</v>
      </c>
      <c r="M320" s="10">
        <f t="shared" ca="1" si="45"/>
        <v>0.13805870891516112</v>
      </c>
      <c r="N320" s="10">
        <f t="shared" ca="1" si="46"/>
        <v>0.20008508538429393</v>
      </c>
      <c r="O320" s="10">
        <f t="shared" ca="1" si="47"/>
        <v>1.9060207107321186E-2</v>
      </c>
    </row>
    <row r="321" spans="2:15">
      <c r="B321" s="13">
        <v>246</v>
      </c>
      <c r="C321" s="17">
        <v>214.71145846330899</v>
      </c>
      <c r="D321" s="32">
        <f t="shared" ca="1" si="40"/>
        <v>240.0682916926618</v>
      </c>
      <c r="E321" s="27"/>
      <c r="F321" s="27"/>
      <c r="G321" s="27"/>
      <c r="H321" s="10">
        <f t="shared" si="41"/>
        <v>-12.718919323858135</v>
      </c>
      <c r="I321" s="32">
        <f t="shared" si="42"/>
        <v>-31.288541536691014</v>
      </c>
      <c r="J321" s="10">
        <f t="shared" ca="1" si="43"/>
        <v>0.74</v>
      </c>
      <c r="K321" s="10">
        <f t="shared" ca="1" si="44"/>
        <v>0.89</v>
      </c>
      <c r="L321" s="10">
        <v>0.2</v>
      </c>
      <c r="M321" s="10">
        <f t="shared" ca="1" si="45"/>
        <v>-5.9317083073382033</v>
      </c>
      <c r="N321" s="10">
        <f t="shared" ca="1" si="46"/>
        <v>-2.4112635395683757</v>
      </c>
      <c r="O321" s="10">
        <f t="shared" ca="1" si="47"/>
        <v>35.185163443345054</v>
      </c>
    </row>
    <row r="322" spans="2:15">
      <c r="B322" s="13">
        <v>239</v>
      </c>
      <c r="C322" s="17">
        <v>208.17510094120701</v>
      </c>
      <c r="D322" s="32">
        <f t="shared" ca="1" si="40"/>
        <v>232.7570201882414</v>
      </c>
      <c r="E322" s="27"/>
      <c r="F322" s="27"/>
      <c r="G322" s="27"/>
      <c r="H322" s="10">
        <f t="shared" si="41"/>
        <v>-12.897447304934307</v>
      </c>
      <c r="I322" s="32">
        <f t="shared" si="42"/>
        <v>-30.824899058792994</v>
      </c>
      <c r="J322" s="10">
        <f t="shared" ca="1" si="43"/>
        <v>-0.72</v>
      </c>
      <c r="K322" s="10">
        <f t="shared" ca="1" si="44"/>
        <v>0.33</v>
      </c>
      <c r="L322" s="10">
        <v>0.2</v>
      </c>
      <c r="M322" s="10">
        <f t="shared" ca="1" si="45"/>
        <v>-6.2429798117585991</v>
      </c>
      <c r="N322" s="10">
        <f t="shared" ca="1" si="46"/>
        <v>-2.6121254442504571</v>
      </c>
      <c r="O322" s="10">
        <f t="shared" ca="1" si="47"/>
        <v>38.974796930025434</v>
      </c>
    </row>
    <row r="323" spans="2:15">
      <c r="B323" s="13">
        <v>163</v>
      </c>
      <c r="C323" s="17">
        <v>173.94738464534501</v>
      </c>
      <c r="D323" s="32">
        <f t="shared" ca="1" si="40"/>
        <v>165.43547692906901</v>
      </c>
      <c r="E323" s="27"/>
      <c r="F323" s="27"/>
      <c r="G323" s="27"/>
      <c r="H323" s="10">
        <f t="shared" si="41"/>
        <v>6.7161868989846774</v>
      </c>
      <c r="I323" s="32">
        <f t="shared" si="42"/>
        <v>10.947384645345011</v>
      </c>
      <c r="J323" s="10">
        <f t="shared" ca="1" si="43"/>
        <v>0.43</v>
      </c>
      <c r="K323" s="10">
        <f t="shared" ca="1" si="44"/>
        <v>0.8</v>
      </c>
      <c r="L323" s="10">
        <v>0.2</v>
      </c>
      <c r="M323" s="10">
        <f t="shared" ca="1" si="45"/>
        <v>2.4354769290690026</v>
      </c>
      <c r="N323" s="10">
        <f t="shared" ca="1" si="46"/>
        <v>1.4941576251957134</v>
      </c>
      <c r="O323" s="10">
        <f t="shared" ca="1" si="47"/>
        <v>5.9315478720273793</v>
      </c>
    </row>
    <row r="324" spans="2:15">
      <c r="B324" s="13">
        <v>90</v>
      </c>
      <c r="C324" s="17">
        <v>59.352179518429701</v>
      </c>
      <c r="D324" s="32">
        <f t="shared" ca="1" si="40"/>
        <v>83.898435903685936</v>
      </c>
      <c r="E324" s="27"/>
      <c r="F324" s="27"/>
      <c r="G324" s="27"/>
      <c r="H324" s="10">
        <f t="shared" si="41"/>
        <v>-34.053133868411443</v>
      </c>
      <c r="I324" s="32">
        <f t="shared" si="42"/>
        <v>-30.647820481570299</v>
      </c>
      <c r="J324" s="10">
        <f t="shared" ca="1" si="43"/>
        <v>0.1</v>
      </c>
      <c r="K324" s="10">
        <f t="shared" ca="1" si="44"/>
        <v>0.04</v>
      </c>
      <c r="L324" s="10">
        <v>0.2</v>
      </c>
      <c r="M324" s="10">
        <f t="shared" ca="1" si="45"/>
        <v>-6.1015640963140605</v>
      </c>
      <c r="N324" s="10">
        <f t="shared" ca="1" si="46"/>
        <v>-6.7795156625711783</v>
      </c>
      <c r="O324" s="10">
        <f t="shared" ca="1" si="47"/>
        <v>37.229084421428816</v>
      </c>
    </row>
    <row r="325" spans="2:15">
      <c r="B325" s="13">
        <v>70</v>
      </c>
      <c r="C325" s="17">
        <v>79.154756493345602</v>
      </c>
      <c r="D325" s="32">
        <f t="shared" ca="1" si="40"/>
        <v>71.93495129866912</v>
      </c>
      <c r="E325" s="27"/>
      <c r="F325" s="27"/>
      <c r="G325" s="27"/>
      <c r="H325" s="10">
        <f t="shared" si="41"/>
        <v>13.078223561922297</v>
      </c>
      <c r="I325" s="32">
        <f t="shared" si="42"/>
        <v>9.1547564933456016</v>
      </c>
      <c r="J325" s="10">
        <f t="shared" ca="1" si="43"/>
        <v>0.21</v>
      </c>
      <c r="K325" s="10">
        <f t="shared" ca="1" si="44"/>
        <v>0.31</v>
      </c>
      <c r="L325" s="10">
        <v>0.2</v>
      </c>
      <c r="M325" s="10">
        <f t="shared" ca="1" si="45"/>
        <v>1.9349512986691206</v>
      </c>
      <c r="N325" s="10">
        <f t="shared" ca="1" si="46"/>
        <v>2.7642161409558774</v>
      </c>
      <c r="O325" s="10">
        <f t="shared" ca="1" si="47"/>
        <v>3.7440365282213164</v>
      </c>
    </row>
    <row r="326" spans="2:15">
      <c r="B326" s="13">
        <v>78</v>
      </c>
      <c r="C326" s="17">
        <v>49.8787417767238</v>
      </c>
      <c r="D326" s="32">
        <f t="shared" ca="1" si="40"/>
        <v>72.071748355344766</v>
      </c>
      <c r="E326" s="27"/>
      <c r="F326" s="27"/>
      <c r="G326" s="27"/>
      <c r="H326" s="10">
        <f t="shared" si="41"/>
        <v>-36.052895158046404</v>
      </c>
      <c r="I326" s="32">
        <f t="shared" si="42"/>
        <v>-28.1212582232762</v>
      </c>
      <c r="J326" s="10">
        <f t="shared" ca="1" si="43"/>
        <v>-0.61</v>
      </c>
      <c r="K326" s="10">
        <f t="shared" ca="1" si="44"/>
        <v>-0.91</v>
      </c>
      <c r="L326" s="10">
        <v>0.2</v>
      </c>
      <c r="M326" s="10">
        <f t="shared" ca="1" si="45"/>
        <v>-5.9282516446552407</v>
      </c>
      <c r="N326" s="10">
        <f t="shared" ca="1" si="46"/>
        <v>-7.6003226213528619</v>
      </c>
      <c r="O326" s="10">
        <f t="shared" ca="1" si="47"/>
        <v>35.144167562357566</v>
      </c>
    </row>
    <row r="327" spans="2:15">
      <c r="B327" s="13">
        <v>181</v>
      </c>
      <c r="C327" s="17">
        <v>181.33785023461701</v>
      </c>
      <c r="D327" s="32">
        <f t="shared" ca="1" si="40"/>
        <v>181.21757004692341</v>
      </c>
      <c r="E327" s="27"/>
      <c r="F327" s="27"/>
      <c r="G327" s="27"/>
      <c r="H327" s="10">
        <f t="shared" si="41"/>
        <v>0.18665758818618983</v>
      </c>
      <c r="I327" s="32">
        <f t="shared" si="42"/>
        <v>0.33785023461700803</v>
      </c>
      <c r="J327" s="10">
        <f t="shared" ca="1" si="43"/>
        <v>0.62</v>
      </c>
      <c r="K327" s="10">
        <f t="shared" ca="1" si="44"/>
        <v>0.13</v>
      </c>
      <c r="L327" s="10">
        <v>0.2</v>
      </c>
      <c r="M327" s="10">
        <f t="shared" ca="1" si="45"/>
        <v>0.21757004692340162</v>
      </c>
      <c r="N327" s="10">
        <f t="shared" ca="1" si="46"/>
        <v>0.12020444581404277</v>
      </c>
      <c r="O327" s="10">
        <f t="shared" ca="1" si="47"/>
        <v>4.7336725318251185E-2</v>
      </c>
    </row>
    <row r="328" spans="2:15">
      <c r="B328" s="13">
        <v>92</v>
      </c>
      <c r="C328" s="17">
        <v>92.221905244760094</v>
      </c>
      <c r="D328" s="32">
        <f t="shared" ca="1" si="40"/>
        <v>92.060381048952024</v>
      </c>
      <c r="E328" s="27"/>
      <c r="F328" s="27"/>
      <c r="G328" s="27"/>
      <c r="H328" s="10">
        <f t="shared" si="41"/>
        <v>0.24120135300009782</v>
      </c>
      <c r="I328" s="32">
        <f t="shared" si="42"/>
        <v>0.22190524476009443</v>
      </c>
      <c r="J328" s="10">
        <f t="shared" ca="1" si="43"/>
        <v>-0.39</v>
      </c>
      <c r="K328" s="10">
        <f t="shared" ca="1" si="44"/>
        <v>0.47</v>
      </c>
      <c r="L328" s="10">
        <v>0.2</v>
      </c>
      <c r="M328" s="10">
        <f t="shared" ca="1" si="45"/>
        <v>6.038104895201888E-2</v>
      </c>
      <c r="N328" s="10">
        <f t="shared" ca="1" si="46"/>
        <v>6.563157494785532E-2</v>
      </c>
      <c r="O328" s="10">
        <f t="shared" ca="1" si="47"/>
        <v>3.6458710725461004E-3</v>
      </c>
    </row>
    <row r="329" spans="2:15">
      <c r="B329" s="13">
        <v>6</v>
      </c>
      <c r="C329" s="17">
        <v>18.848934374796801</v>
      </c>
      <c r="D329" s="32">
        <f t="shared" ca="1" si="40"/>
        <v>8.5722668749593609</v>
      </c>
      <c r="E329" s="27"/>
      <c r="F329" s="27"/>
      <c r="G329" s="27"/>
      <c r="H329" s="10">
        <f t="shared" si="41"/>
        <v>214.14890624661336</v>
      </c>
      <c r="I329" s="32">
        <f t="shared" si="42"/>
        <v>12.848934374796801</v>
      </c>
      <c r="J329" s="10">
        <f t="shared" ca="1" si="43"/>
        <v>8.6999999999999994E-3</v>
      </c>
      <c r="K329" s="10">
        <f t="shared" ca="1" si="44"/>
        <v>3.7000000000000002E-3</v>
      </c>
      <c r="L329" s="10">
        <v>0.2</v>
      </c>
      <c r="M329" s="10">
        <f t="shared" ca="1" si="45"/>
        <v>2.5722668749593605</v>
      </c>
      <c r="N329" s="10">
        <f t="shared" ca="1" si="46"/>
        <v>42.87111458265602</v>
      </c>
      <c r="O329" s="10">
        <f t="shared" ca="1" si="47"/>
        <v>6.6165568760131945</v>
      </c>
    </row>
    <row r="330" spans="2:15">
      <c r="B330" s="13">
        <v>13</v>
      </c>
      <c r="C330" s="17">
        <v>24.333720521887798</v>
      </c>
      <c r="D330" s="32">
        <f t="shared" ca="1" si="40"/>
        <v>15.266544104377559</v>
      </c>
      <c r="E330" s="27"/>
      <c r="F330" s="27"/>
      <c r="G330" s="27"/>
      <c r="H330" s="10">
        <f t="shared" si="41"/>
        <v>87.182465552983061</v>
      </c>
      <c r="I330" s="32">
        <f t="shared" si="42"/>
        <v>11.333720521887798</v>
      </c>
      <c r="J330" s="10">
        <f t="shared" ca="1" si="43"/>
        <v>1E-3</v>
      </c>
      <c r="K330" s="10">
        <f t="shared" ca="1" si="44"/>
        <v>-2E-3</v>
      </c>
      <c r="L330" s="10">
        <v>0.2</v>
      </c>
      <c r="M330" s="10">
        <f t="shared" ca="1" si="45"/>
        <v>2.2665441043775596</v>
      </c>
      <c r="N330" s="10">
        <f t="shared" ca="1" si="46"/>
        <v>17.434954649058156</v>
      </c>
      <c r="O330" s="10">
        <f t="shared" ca="1" si="47"/>
        <v>5.1372221770886739</v>
      </c>
    </row>
    <row r="331" spans="2:15">
      <c r="B331" s="13">
        <v>122</v>
      </c>
      <c r="C331" s="17">
        <v>130.68738664563301</v>
      </c>
      <c r="D331" s="32">
        <f t="shared" ca="1" si="40"/>
        <v>123.48147732912661</v>
      </c>
      <c r="E331" s="27"/>
      <c r="F331" s="27"/>
      <c r="G331" s="27"/>
      <c r="H331" s="10">
        <f t="shared" si="41"/>
        <v>7.1208087259287067</v>
      </c>
      <c r="I331" s="32">
        <f t="shared" si="42"/>
        <v>8.687386645633012</v>
      </c>
      <c r="J331" s="10">
        <f t="shared" ca="1" si="43"/>
        <v>-0.51</v>
      </c>
      <c r="K331" s="10">
        <f t="shared" ca="1" si="44"/>
        <v>-0.77</v>
      </c>
      <c r="L331" s="10">
        <v>0.2</v>
      </c>
      <c r="M331" s="10">
        <f t="shared" ca="1" si="45"/>
        <v>1.4814773291266026</v>
      </c>
      <c r="N331" s="10">
        <f t="shared" ca="1" si="46"/>
        <v>1.2143256796119717</v>
      </c>
      <c r="O331" s="10">
        <f t="shared" ca="1" si="47"/>
        <v>2.1947750767160921</v>
      </c>
    </row>
    <row r="332" spans="2:15">
      <c r="B332" s="13">
        <v>21</v>
      </c>
      <c r="C332" s="17">
        <v>23.622126333708099</v>
      </c>
      <c r="D332" s="32">
        <f t="shared" ca="1" si="40"/>
        <v>21.525965266741618</v>
      </c>
      <c r="E332" s="27"/>
      <c r="F332" s="27"/>
      <c r="G332" s="27"/>
      <c r="H332" s="10">
        <f t="shared" si="41"/>
        <v>12.486315874800468</v>
      </c>
      <c r="I332" s="32">
        <f t="shared" si="42"/>
        <v>2.6221263337080991</v>
      </c>
      <c r="J332" s="10">
        <f t="shared" ca="1" si="43"/>
        <v>6.8999999999999999E-3</v>
      </c>
      <c r="K332" s="10">
        <f t="shared" ca="1" si="44"/>
        <v>8.0000000000000004E-4</v>
      </c>
      <c r="L332" s="10">
        <v>0.2</v>
      </c>
      <c r="M332" s="10">
        <f t="shared" ca="1" si="45"/>
        <v>0.52596526674161981</v>
      </c>
      <c r="N332" s="10">
        <f t="shared" ca="1" si="46"/>
        <v>2.5045965082934218</v>
      </c>
      <c r="O332" s="10">
        <f t="shared" ca="1" si="47"/>
        <v>0.27663946181858329</v>
      </c>
    </row>
    <row r="333" spans="2:15">
      <c r="B333" s="13">
        <v>78</v>
      </c>
      <c r="C333" s="17">
        <v>88.693389494106</v>
      </c>
      <c r="D333" s="32">
        <f t="shared" ca="1" si="40"/>
        <v>79.770677898821205</v>
      </c>
      <c r="E333" s="27"/>
      <c r="F333" s="27"/>
      <c r="G333" s="27"/>
      <c r="H333" s="10">
        <f t="shared" si="41"/>
        <v>13.709473710392306</v>
      </c>
      <c r="I333" s="32">
        <f t="shared" si="42"/>
        <v>10.693389494106</v>
      </c>
      <c r="J333" s="10">
        <f t="shared" ca="1" si="43"/>
        <v>-0.93</v>
      </c>
      <c r="K333" s="10">
        <f t="shared" ca="1" si="44"/>
        <v>-0.91</v>
      </c>
      <c r="L333" s="10">
        <v>0.2</v>
      </c>
      <c r="M333" s="10">
        <f t="shared" ca="1" si="45"/>
        <v>1.7706778988212002</v>
      </c>
      <c r="N333" s="10">
        <f t="shared" ca="1" si="46"/>
        <v>2.2700998702835928</v>
      </c>
      <c r="O333" s="10">
        <f t="shared" ca="1" si="47"/>
        <v>3.1353002213738606</v>
      </c>
    </row>
    <row r="334" spans="2:15">
      <c r="B334" s="13">
        <v>34</v>
      </c>
      <c r="C334" s="17">
        <v>6.2150329739527299</v>
      </c>
      <c r="D334" s="32">
        <f t="shared" ca="1" si="40"/>
        <v>28.585006594790546</v>
      </c>
      <c r="E334" s="27"/>
      <c r="F334" s="27"/>
      <c r="G334" s="27"/>
      <c r="H334" s="10">
        <f t="shared" si="41"/>
        <v>-81.720491253080212</v>
      </c>
      <c r="I334" s="32">
        <f t="shared" si="42"/>
        <v>-27.784967026047269</v>
      </c>
      <c r="J334" s="10">
        <f t="shared" ca="1" si="43"/>
        <v>-0.2</v>
      </c>
      <c r="K334" s="10">
        <f t="shared" ca="1" si="44"/>
        <v>0.91</v>
      </c>
      <c r="L334" s="10">
        <v>0.2</v>
      </c>
      <c r="M334" s="10">
        <f t="shared" ca="1" si="45"/>
        <v>-5.4149934052094544</v>
      </c>
      <c r="N334" s="10">
        <f t="shared" ca="1" si="46"/>
        <v>-15.926451191792513</v>
      </c>
      <c r="O334" s="10">
        <f t="shared" ca="1" si="47"/>
        <v>29.322153578461883</v>
      </c>
    </row>
    <row r="335" spans="2:15">
      <c r="B335" s="13">
        <v>73</v>
      </c>
      <c r="C335" s="17">
        <v>73.031161974493898</v>
      </c>
      <c r="D335" s="32">
        <f t="shared" ca="1" si="40"/>
        <v>73.276232394898784</v>
      </c>
      <c r="E335" s="27"/>
      <c r="F335" s="27"/>
      <c r="G335" s="27"/>
      <c r="H335" s="10">
        <f t="shared" si="41"/>
        <v>4.2687636293003983E-2</v>
      </c>
      <c r="I335" s="32">
        <f t="shared" si="42"/>
        <v>3.1161974493898015E-2</v>
      </c>
      <c r="J335" s="10">
        <f t="shared" ca="1" si="43"/>
        <v>0.86</v>
      </c>
      <c r="K335" s="10">
        <f t="shared" ca="1" si="44"/>
        <v>0.49</v>
      </c>
      <c r="L335" s="10">
        <v>0.2</v>
      </c>
      <c r="M335" s="10">
        <f t="shared" ca="1" si="45"/>
        <v>0.27623239489877965</v>
      </c>
      <c r="N335" s="10">
        <f t="shared" ca="1" si="46"/>
        <v>0.37840054095723552</v>
      </c>
      <c r="O335" s="10">
        <f t="shared" ca="1" si="47"/>
        <v>7.6304335991515343E-2</v>
      </c>
    </row>
    <row r="336" spans="2:15">
      <c r="B336" s="13">
        <v>229</v>
      </c>
      <c r="C336" s="17">
        <v>198.17160660211701</v>
      </c>
      <c r="D336" s="32">
        <f t="shared" ca="1" si="40"/>
        <v>223.1043213204234</v>
      </c>
      <c r="E336" s="27"/>
      <c r="F336" s="27"/>
      <c r="G336" s="27"/>
      <c r="H336" s="10">
        <f t="shared" si="41"/>
        <v>-13.462180523093004</v>
      </c>
      <c r="I336" s="32">
        <f t="shared" si="42"/>
        <v>-30.828393397882991</v>
      </c>
      <c r="J336" s="10">
        <f t="shared" ca="1" si="43"/>
        <v>0.57999999999999996</v>
      </c>
      <c r="K336" s="10">
        <f t="shared" ca="1" si="44"/>
        <v>0.77</v>
      </c>
      <c r="L336" s="10">
        <v>0.2</v>
      </c>
      <c r="M336" s="10">
        <f t="shared" ca="1" si="45"/>
        <v>-5.8956786795765987</v>
      </c>
      <c r="N336" s="10">
        <f t="shared" ca="1" si="46"/>
        <v>-2.5745321744875982</v>
      </c>
      <c r="O336" s="10">
        <f t="shared" ca="1" si="47"/>
        <v>34.759027092814065</v>
      </c>
    </row>
    <row r="337" spans="2:15">
      <c r="B337" s="13">
        <v>50</v>
      </c>
      <c r="C337" s="17">
        <v>21.828935608645601</v>
      </c>
      <c r="D337" s="32">
        <f t="shared" ca="1" si="40"/>
        <v>44.415787121729117</v>
      </c>
      <c r="E337" s="27"/>
      <c r="F337" s="27"/>
      <c r="G337" s="27"/>
      <c r="H337" s="10">
        <f t="shared" si="41"/>
        <v>-56.342128782708798</v>
      </c>
      <c r="I337" s="32">
        <f t="shared" si="42"/>
        <v>-28.171064391354399</v>
      </c>
      <c r="J337" s="10">
        <f t="shared" ca="1" si="43"/>
        <v>-0.2</v>
      </c>
      <c r="K337" s="10">
        <f t="shared" ca="1" si="44"/>
        <v>0.45</v>
      </c>
      <c r="L337" s="10">
        <v>0.2</v>
      </c>
      <c r="M337" s="10">
        <f t="shared" ca="1" si="45"/>
        <v>-5.58421287827088</v>
      </c>
      <c r="N337" s="10">
        <f t="shared" ca="1" si="46"/>
        <v>-11.168425756541767</v>
      </c>
      <c r="O337" s="10">
        <f t="shared" ca="1" si="47"/>
        <v>31.183433469846346</v>
      </c>
    </row>
    <row r="338" spans="2:15">
      <c r="B338" s="13">
        <v>33</v>
      </c>
      <c r="C338" s="17">
        <v>4.0491481314559197</v>
      </c>
      <c r="D338" s="32">
        <f t="shared" ref="D338:D401" ca="1" si="48">B338+M338</f>
        <v>27.117829626291183</v>
      </c>
      <c r="E338" s="27"/>
      <c r="F338" s="27"/>
      <c r="G338" s="27"/>
      <c r="H338" s="10">
        <f t="shared" ref="H338:H401" si="49">((C338/B338)-1)*100</f>
        <v>-87.729854147103268</v>
      </c>
      <c r="I338" s="32">
        <f t="shared" ref="I338:I401" si="50">C338-B338</f>
        <v>-28.950851868544081</v>
      </c>
      <c r="J338" s="10">
        <f t="shared" ref="J338:J401" ca="1" si="51">IF(B338 &lt; 30, RANDBETWEEN(-100, 100) / 10000, RANDBETWEEN(-100,100) / 100)</f>
        <v>0.23</v>
      </c>
      <c r="K338" s="10">
        <f t="shared" ref="K338:K401" ca="1" si="52">IF(B338 &lt; 30, RANDBETWEEN(-100, 100) / 10000, RANDBETWEEN(-100,100) / 100)</f>
        <v>-0.69</v>
      </c>
      <c r="L338" s="10">
        <v>0.2</v>
      </c>
      <c r="M338" s="10">
        <f t="shared" ref="M338:M401" ca="1" si="53">(I338+J338+K338)*L338</f>
        <v>-5.8821703737088171</v>
      </c>
      <c r="N338" s="10">
        <f t="shared" ref="N338:N401" ca="1" si="54">((D338/B338)-1)*100</f>
        <v>-17.824758708208531</v>
      </c>
      <c r="O338" s="10">
        <f t="shared" ref="O338:O401" ca="1" si="55">M338^2</f>
        <v>34.599928305337727</v>
      </c>
    </row>
    <row r="339" spans="2:15">
      <c r="B339" s="13">
        <v>10</v>
      </c>
      <c r="C339" s="17">
        <v>19.6767975809706</v>
      </c>
      <c r="D339" s="32">
        <f t="shared" ca="1" si="48"/>
        <v>11.932059516194119</v>
      </c>
      <c r="E339" s="27"/>
      <c r="F339" s="27"/>
      <c r="G339" s="27"/>
      <c r="H339" s="10">
        <f t="shared" si="49"/>
        <v>96.767975809706002</v>
      </c>
      <c r="I339" s="32">
        <f t="shared" si="50"/>
        <v>9.6767975809706002</v>
      </c>
      <c r="J339" s="10">
        <f t="shared" ca="1" si="51"/>
        <v>-9.1000000000000004E-3</v>
      </c>
      <c r="K339" s="10">
        <f t="shared" ca="1" si="52"/>
        <v>-7.4000000000000003E-3</v>
      </c>
      <c r="L339" s="10">
        <v>0.2</v>
      </c>
      <c r="M339" s="10">
        <f t="shared" ca="1" si="53"/>
        <v>1.9320595161941201</v>
      </c>
      <c r="N339" s="10">
        <f t="shared" ca="1" si="54"/>
        <v>19.320595161941199</v>
      </c>
      <c r="O339" s="10">
        <f t="shared" ca="1" si="55"/>
        <v>3.7328539741162574</v>
      </c>
    </row>
    <row r="340" spans="2:15">
      <c r="B340" s="13">
        <v>237</v>
      </c>
      <c r="C340" s="17">
        <v>207.17550876416499</v>
      </c>
      <c r="D340" s="32">
        <f t="shared" ca="1" si="48"/>
        <v>230.83910175283299</v>
      </c>
      <c r="E340" s="27"/>
      <c r="F340" s="27"/>
      <c r="G340" s="27"/>
      <c r="H340" s="10">
        <f t="shared" si="49"/>
        <v>-12.584173517229956</v>
      </c>
      <c r="I340" s="32">
        <f t="shared" si="50"/>
        <v>-29.824491235835012</v>
      </c>
      <c r="J340" s="10">
        <f t="shared" ca="1" si="51"/>
        <v>-0.55000000000000004</v>
      </c>
      <c r="K340" s="10">
        <f t="shared" ca="1" si="52"/>
        <v>-0.43</v>
      </c>
      <c r="L340" s="10">
        <v>0.2</v>
      </c>
      <c r="M340" s="10">
        <f t="shared" ca="1" si="53"/>
        <v>-6.1608982471670029</v>
      </c>
      <c r="N340" s="10">
        <f t="shared" ca="1" si="54"/>
        <v>-2.5995351253869203</v>
      </c>
      <c r="O340" s="10">
        <f t="shared" ca="1" si="55"/>
        <v>37.956667211945451</v>
      </c>
    </row>
    <row r="341" spans="2:15">
      <c r="B341" s="13">
        <v>76</v>
      </c>
      <c r="C341" s="17">
        <v>47.047938800071499</v>
      </c>
      <c r="D341" s="32">
        <f t="shared" ca="1" si="48"/>
        <v>70.087587760014301</v>
      </c>
      <c r="E341" s="27"/>
      <c r="F341" s="27"/>
      <c r="G341" s="27"/>
      <c r="H341" s="10">
        <f t="shared" si="49"/>
        <v>-38.094817368326972</v>
      </c>
      <c r="I341" s="32">
        <f t="shared" si="50"/>
        <v>-28.952061199928501</v>
      </c>
      <c r="J341" s="10">
        <f t="shared" ca="1" si="51"/>
        <v>-0.76</v>
      </c>
      <c r="K341" s="10">
        <f t="shared" ca="1" si="52"/>
        <v>0.15</v>
      </c>
      <c r="L341" s="10">
        <v>0.2</v>
      </c>
      <c r="M341" s="10">
        <f t="shared" ca="1" si="53"/>
        <v>-5.9124122399857013</v>
      </c>
      <c r="N341" s="10">
        <f t="shared" ca="1" si="54"/>
        <v>-7.7794897894548631</v>
      </c>
      <c r="O341" s="10">
        <f t="shared" ca="1" si="55"/>
        <v>34.956618495532737</v>
      </c>
    </row>
    <row r="342" spans="2:15">
      <c r="B342" s="13">
        <v>72</v>
      </c>
      <c r="C342" s="17">
        <v>70.136119353185407</v>
      </c>
      <c r="D342" s="32">
        <f t="shared" ca="1" si="48"/>
        <v>71.58522387063708</v>
      </c>
      <c r="E342" s="27"/>
      <c r="F342" s="27"/>
      <c r="G342" s="27"/>
      <c r="H342" s="10">
        <f t="shared" si="49"/>
        <v>-2.5887231205758199</v>
      </c>
      <c r="I342" s="32">
        <f t="shared" si="50"/>
        <v>-1.863880646814593</v>
      </c>
      <c r="J342" s="10">
        <f t="shared" ca="1" si="51"/>
        <v>0.28000000000000003</v>
      </c>
      <c r="K342" s="10">
        <f t="shared" ca="1" si="52"/>
        <v>-0.49</v>
      </c>
      <c r="L342" s="10">
        <v>0.2</v>
      </c>
      <c r="M342" s="10">
        <f t="shared" ca="1" si="53"/>
        <v>-0.41477612936291863</v>
      </c>
      <c r="N342" s="10">
        <f t="shared" ca="1" si="54"/>
        <v>-0.57607795744849533</v>
      </c>
      <c r="O342" s="10">
        <f t="shared" ca="1" si="55"/>
        <v>0.17203923748928462</v>
      </c>
    </row>
    <row r="343" spans="2:15">
      <c r="B343" s="13">
        <v>145</v>
      </c>
      <c r="C343" s="17">
        <v>115.01802884273501</v>
      </c>
      <c r="D343" s="32">
        <f t="shared" ca="1" si="48"/>
        <v>139.05760576854701</v>
      </c>
      <c r="E343" s="27"/>
      <c r="F343" s="27"/>
      <c r="G343" s="27"/>
      <c r="H343" s="10">
        <f t="shared" si="49"/>
        <v>-20.677221487768961</v>
      </c>
      <c r="I343" s="32">
        <f t="shared" si="50"/>
        <v>-29.981971157264994</v>
      </c>
      <c r="J343" s="10">
        <f t="shared" ca="1" si="51"/>
        <v>0.94</v>
      </c>
      <c r="K343" s="10">
        <f t="shared" ca="1" si="52"/>
        <v>-0.67</v>
      </c>
      <c r="L343" s="10">
        <v>0.2</v>
      </c>
      <c r="M343" s="10">
        <f t="shared" ca="1" si="53"/>
        <v>-5.9423942314529992</v>
      </c>
      <c r="N343" s="10">
        <f t="shared" ca="1" si="54"/>
        <v>-4.0982029182434427</v>
      </c>
      <c r="O343" s="10">
        <f t="shared" ca="1" si="55"/>
        <v>35.31204920200588</v>
      </c>
    </row>
    <row r="344" spans="2:15">
      <c r="B344" s="13">
        <v>81</v>
      </c>
      <c r="C344" s="17">
        <v>90.717096834440397</v>
      </c>
      <c r="D344" s="32">
        <f t="shared" ca="1" si="48"/>
        <v>83.063419366888084</v>
      </c>
      <c r="E344" s="27"/>
      <c r="F344" s="27"/>
      <c r="G344" s="27"/>
      <c r="H344" s="10">
        <f t="shared" si="49"/>
        <v>11.996415844988139</v>
      </c>
      <c r="I344" s="32">
        <f t="shared" si="50"/>
        <v>9.7170968344403974</v>
      </c>
      <c r="J344" s="10">
        <f t="shared" ca="1" si="51"/>
        <v>0.35</v>
      </c>
      <c r="K344" s="10">
        <f t="shared" ca="1" si="52"/>
        <v>0.25</v>
      </c>
      <c r="L344" s="10">
        <v>0.2</v>
      </c>
      <c r="M344" s="10">
        <f t="shared" ca="1" si="53"/>
        <v>2.0634193668880796</v>
      </c>
      <c r="N344" s="10">
        <f t="shared" ca="1" si="54"/>
        <v>2.5474313171457874</v>
      </c>
      <c r="O344" s="10">
        <f t="shared" ca="1" si="55"/>
        <v>4.2576994836488034</v>
      </c>
    </row>
    <row r="345" spans="2:15">
      <c r="B345" s="13">
        <v>216</v>
      </c>
      <c r="C345" s="17">
        <v>184.79285678961199</v>
      </c>
      <c r="D345" s="32">
        <f t="shared" ca="1" si="48"/>
        <v>209.41857135792239</v>
      </c>
      <c r="E345" s="27"/>
      <c r="F345" s="27"/>
      <c r="G345" s="27"/>
      <c r="H345" s="10">
        <f t="shared" si="49"/>
        <v>-14.44775148629075</v>
      </c>
      <c r="I345" s="32">
        <f t="shared" si="50"/>
        <v>-31.207143210388011</v>
      </c>
      <c r="J345" s="10">
        <f t="shared" ca="1" si="51"/>
        <v>-0.73</v>
      </c>
      <c r="K345" s="10">
        <f t="shared" ca="1" si="52"/>
        <v>-0.97</v>
      </c>
      <c r="L345" s="10">
        <v>0.2</v>
      </c>
      <c r="M345" s="10">
        <f t="shared" ca="1" si="53"/>
        <v>-6.5814286420776034</v>
      </c>
      <c r="N345" s="10">
        <f t="shared" ca="1" si="54"/>
        <v>-3.0469577046655649</v>
      </c>
      <c r="O345" s="10">
        <f t="shared" ca="1" si="55"/>
        <v>43.315202970759444</v>
      </c>
    </row>
    <row r="346" spans="2:15">
      <c r="B346" s="13">
        <v>104</v>
      </c>
      <c r="C346" s="17">
        <v>113.42774293526401</v>
      </c>
      <c r="D346" s="32">
        <f t="shared" ca="1" si="48"/>
        <v>105.5775485870528</v>
      </c>
      <c r="E346" s="27"/>
      <c r="F346" s="27"/>
      <c r="G346" s="27"/>
      <c r="H346" s="10">
        <f t="shared" si="49"/>
        <v>9.0651374377538563</v>
      </c>
      <c r="I346" s="32">
        <f t="shared" si="50"/>
        <v>9.427742935264007</v>
      </c>
      <c r="J346" s="10">
        <f t="shared" ca="1" si="51"/>
        <v>-0.61</v>
      </c>
      <c r="K346" s="10">
        <f t="shared" ca="1" si="52"/>
        <v>-0.93</v>
      </c>
      <c r="L346" s="10">
        <v>0.2</v>
      </c>
      <c r="M346" s="10">
        <f t="shared" ca="1" si="53"/>
        <v>1.5775485870528017</v>
      </c>
      <c r="N346" s="10">
        <f t="shared" ca="1" si="54"/>
        <v>1.5168736413969208</v>
      </c>
      <c r="O346" s="10">
        <f t="shared" ca="1" si="55"/>
        <v>2.488659544512291</v>
      </c>
    </row>
    <row r="347" spans="2:15">
      <c r="B347" s="13">
        <v>33</v>
      </c>
      <c r="C347" s="17">
        <v>35.4687795520666</v>
      </c>
      <c r="D347" s="32">
        <f t="shared" ca="1" si="48"/>
        <v>33.717755910413317</v>
      </c>
      <c r="E347" s="27"/>
      <c r="F347" s="27"/>
      <c r="G347" s="27"/>
      <c r="H347" s="10">
        <f t="shared" si="49"/>
        <v>7.4811501577775719</v>
      </c>
      <c r="I347" s="32">
        <f t="shared" si="50"/>
        <v>2.4687795520666</v>
      </c>
      <c r="J347" s="10">
        <f t="shared" ca="1" si="51"/>
        <v>0.66</v>
      </c>
      <c r="K347" s="10">
        <f t="shared" ca="1" si="52"/>
        <v>0.46</v>
      </c>
      <c r="L347" s="10">
        <v>0.2</v>
      </c>
      <c r="M347" s="10">
        <f t="shared" ca="1" si="53"/>
        <v>0.7177559104133201</v>
      </c>
      <c r="N347" s="10">
        <f t="shared" ca="1" si="54"/>
        <v>2.1750179103433798</v>
      </c>
      <c r="O347" s="10">
        <f t="shared" ca="1" si="55"/>
        <v>0.51517354693325401</v>
      </c>
    </row>
    <row r="348" spans="2:15">
      <c r="B348" s="13">
        <v>96</v>
      </c>
      <c r="C348" s="17">
        <v>96.137718936729897</v>
      </c>
      <c r="D348" s="32">
        <f t="shared" ca="1" si="48"/>
        <v>96.207543787345983</v>
      </c>
      <c r="E348" s="27"/>
      <c r="F348" s="27"/>
      <c r="G348" s="27"/>
      <c r="H348" s="10">
        <f t="shared" si="49"/>
        <v>0.14345722576030173</v>
      </c>
      <c r="I348" s="32">
        <f t="shared" si="50"/>
        <v>0.13771893672989677</v>
      </c>
      <c r="J348" s="10">
        <f t="shared" ca="1" si="51"/>
        <v>0.02</v>
      </c>
      <c r="K348" s="10">
        <f t="shared" ca="1" si="52"/>
        <v>0.88</v>
      </c>
      <c r="L348" s="10">
        <v>0.2</v>
      </c>
      <c r="M348" s="10">
        <f t="shared" ca="1" si="53"/>
        <v>0.20754378734597934</v>
      </c>
      <c r="N348" s="10">
        <f t="shared" ca="1" si="54"/>
        <v>0.21619144515205857</v>
      </c>
      <c r="O348" s="10">
        <f t="shared" ca="1" si="55"/>
        <v>4.3074423665913089E-2</v>
      </c>
    </row>
    <row r="349" spans="2:15">
      <c r="B349" s="13">
        <v>104</v>
      </c>
      <c r="C349" s="17">
        <v>73.194677327188998</v>
      </c>
      <c r="D349" s="32">
        <f t="shared" ca="1" si="48"/>
        <v>97.860935465437805</v>
      </c>
      <c r="E349" s="27"/>
      <c r="F349" s="27"/>
      <c r="G349" s="27"/>
      <c r="H349" s="10">
        <f t="shared" si="49"/>
        <v>-29.620502570010576</v>
      </c>
      <c r="I349" s="32">
        <f t="shared" si="50"/>
        <v>-30.805322672811002</v>
      </c>
      <c r="J349" s="10">
        <f t="shared" ca="1" si="51"/>
        <v>-0.89</v>
      </c>
      <c r="K349" s="10">
        <f t="shared" ca="1" si="52"/>
        <v>1</v>
      </c>
      <c r="L349" s="10">
        <v>0.2</v>
      </c>
      <c r="M349" s="10">
        <f t="shared" ca="1" si="53"/>
        <v>-6.139064534562201</v>
      </c>
      <c r="N349" s="10">
        <f t="shared" ca="1" si="54"/>
        <v>-5.9029466678482638</v>
      </c>
      <c r="O349" s="10">
        <f t="shared" ca="1" si="55"/>
        <v>37.688113359519413</v>
      </c>
    </row>
    <row r="350" spans="2:15">
      <c r="B350" s="13">
        <v>123</v>
      </c>
      <c r="C350" s="17">
        <v>122.969091341973</v>
      </c>
      <c r="D350" s="32">
        <f t="shared" ca="1" si="48"/>
        <v>122.99981826839461</v>
      </c>
      <c r="E350" s="27"/>
      <c r="F350" s="27"/>
      <c r="G350" s="27"/>
      <c r="H350" s="10">
        <f t="shared" si="49"/>
        <v>-2.5128990265854689E-2</v>
      </c>
      <c r="I350" s="32">
        <f t="shared" si="50"/>
        <v>-3.0908658027001934E-2</v>
      </c>
      <c r="J350" s="10">
        <f t="shared" ca="1" si="51"/>
        <v>0.74</v>
      </c>
      <c r="K350" s="10">
        <f t="shared" ca="1" si="52"/>
        <v>-0.71</v>
      </c>
      <c r="L350" s="10">
        <v>0.2</v>
      </c>
      <c r="M350" s="10">
        <f t="shared" ca="1" si="53"/>
        <v>-1.8173160540038149E-4</v>
      </c>
      <c r="N350" s="10">
        <f t="shared" ca="1" si="54"/>
        <v>-1.4774927268312865E-4</v>
      </c>
      <c r="O350" s="10">
        <f t="shared" ca="1" si="55"/>
        <v>3.3026376401399968E-8</v>
      </c>
    </row>
    <row r="351" spans="2:15">
      <c r="B351" s="13">
        <v>76</v>
      </c>
      <c r="C351" s="17">
        <v>78.264651078766803</v>
      </c>
      <c r="D351" s="32">
        <f t="shared" ca="1" si="48"/>
        <v>76.530930215753358</v>
      </c>
      <c r="E351" s="27"/>
      <c r="F351" s="27"/>
      <c r="G351" s="27"/>
      <c r="H351" s="10">
        <f t="shared" si="49"/>
        <v>2.9798040510089496</v>
      </c>
      <c r="I351" s="32">
        <f t="shared" si="50"/>
        <v>2.2646510787668035</v>
      </c>
      <c r="J351" s="10">
        <f t="shared" ca="1" si="51"/>
        <v>0.81</v>
      </c>
      <c r="K351" s="10">
        <f t="shared" ca="1" si="52"/>
        <v>-0.42</v>
      </c>
      <c r="L351" s="10">
        <v>0.2</v>
      </c>
      <c r="M351" s="10">
        <f t="shared" ca="1" si="53"/>
        <v>0.53093021575336075</v>
      </c>
      <c r="N351" s="10">
        <f t="shared" ca="1" si="54"/>
        <v>0.69859238914915522</v>
      </c>
      <c r="O351" s="10">
        <f t="shared" ca="1" si="55"/>
        <v>0.28188689399991018</v>
      </c>
    </row>
    <row r="352" spans="2:15">
      <c r="B352" s="13">
        <v>190</v>
      </c>
      <c r="C352" s="17">
        <v>198.35540691051</v>
      </c>
      <c r="D352" s="32">
        <f t="shared" ca="1" si="48"/>
        <v>191.823081382102</v>
      </c>
      <c r="E352" s="27"/>
      <c r="F352" s="27"/>
      <c r="G352" s="27"/>
      <c r="H352" s="10">
        <f t="shared" si="49"/>
        <v>4.397582584478954</v>
      </c>
      <c r="I352" s="32">
        <f t="shared" si="50"/>
        <v>8.3554069105099984</v>
      </c>
      <c r="J352" s="10">
        <f t="shared" ca="1" si="51"/>
        <v>-0.21</v>
      </c>
      <c r="K352" s="10">
        <f t="shared" ca="1" si="52"/>
        <v>0.97</v>
      </c>
      <c r="L352" s="10">
        <v>0.2</v>
      </c>
      <c r="M352" s="10">
        <f t="shared" ca="1" si="53"/>
        <v>1.8230813821019998</v>
      </c>
      <c r="N352" s="10">
        <f t="shared" ca="1" si="54"/>
        <v>0.95951651689578643</v>
      </c>
      <c r="O352" s="10">
        <f t="shared" ca="1" si="55"/>
        <v>3.3236257257669375</v>
      </c>
    </row>
    <row r="353" spans="2:15">
      <c r="B353" s="13">
        <v>35</v>
      </c>
      <c r="C353" s="17">
        <v>46.765527089640599</v>
      </c>
      <c r="D353" s="32">
        <f t="shared" ca="1" si="48"/>
        <v>37.379105417928116</v>
      </c>
      <c r="E353" s="27"/>
      <c r="F353" s="27"/>
      <c r="G353" s="27"/>
      <c r="H353" s="10">
        <f t="shared" si="49"/>
        <v>33.615791684687423</v>
      </c>
      <c r="I353" s="32">
        <f t="shared" si="50"/>
        <v>11.765527089640599</v>
      </c>
      <c r="J353" s="10">
        <f t="shared" ca="1" si="51"/>
        <v>0.18</v>
      </c>
      <c r="K353" s="10">
        <f t="shared" ca="1" si="52"/>
        <v>-0.05</v>
      </c>
      <c r="L353" s="10">
        <v>0.2</v>
      </c>
      <c r="M353" s="10">
        <f t="shared" ca="1" si="53"/>
        <v>2.3791054179281197</v>
      </c>
      <c r="N353" s="10">
        <f t="shared" ca="1" si="54"/>
        <v>6.7974440512231782</v>
      </c>
      <c r="O353" s="10">
        <f t="shared" ca="1" si="55"/>
        <v>5.6601425896149333</v>
      </c>
    </row>
    <row r="354" spans="2:15">
      <c r="B354" s="13">
        <v>210</v>
      </c>
      <c r="C354" s="17">
        <v>179.531917680634</v>
      </c>
      <c r="D354" s="32">
        <f t="shared" ca="1" si="48"/>
        <v>203.70438353612678</v>
      </c>
      <c r="E354" s="27"/>
      <c r="F354" s="27"/>
      <c r="G354" s="27"/>
      <c r="H354" s="10">
        <f t="shared" si="49"/>
        <v>-14.508610628269524</v>
      </c>
      <c r="I354" s="32">
        <f t="shared" si="50"/>
        <v>-30.468082319366005</v>
      </c>
      <c r="J354" s="10">
        <f t="shared" ca="1" si="51"/>
        <v>-0.84</v>
      </c>
      <c r="K354" s="10">
        <f t="shared" ca="1" si="52"/>
        <v>-0.17</v>
      </c>
      <c r="L354" s="10">
        <v>0.2</v>
      </c>
      <c r="M354" s="10">
        <f t="shared" ca="1" si="53"/>
        <v>-6.295616463873202</v>
      </c>
      <c r="N354" s="10">
        <f t="shared" ca="1" si="54"/>
        <v>-2.997912601844388</v>
      </c>
      <c r="O354" s="10">
        <f t="shared" ca="1" si="55"/>
        <v>39.634786660191317</v>
      </c>
    </row>
    <row r="355" spans="2:15">
      <c r="B355" s="13">
        <v>176</v>
      </c>
      <c r="C355" s="17">
        <v>147.15074254372399</v>
      </c>
      <c r="D355" s="32">
        <f t="shared" ca="1" si="48"/>
        <v>170.11214850874481</v>
      </c>
      <c r="E355" s="27"/>
      <c r="F355" s="27"/>
      <c r="G355" s="27"/>
      <c r="H355" s="10">
        <f t="shared" si="49"/>
        <v>-16.391623554702271</v>
      </c>
      <c r="I355" s="32">
        <f t="shared" si="50"/>
        <v>-28.849257456276007</v>
      </c>
      <c r="J355" s="10">
        <f t="shared" ca="1" si="51"/>
        <v>0.18</v>
      </c>
      <c r="K355" s="10">
        <f t="shared" ca="1" si="52"/>
        <v>-0.77</v>
      </c>
      <c r="L355" s="10">
        <v>0.2</v>
      </c>
      <c r="M355" s="10">
        <f t="shared" ca="1" si="53"/>
        <v>-5.8878514912552014</v>
      </c>
      <c r="N355" s="10">
        <f t="shared" ca="1" si="54"/>
        <v>-3.3453701654859058</v>
      </c>
      <c r="O355" s="10">
        <f t="shared" ca="1" si="55"/>
        <v>34.666795183076097</v>
      </c>
    </row>
    <row r="356" spans="2:15">
      <c r="B356" s="13">
        <v>122</v>
      </c>
      <c r="C356" s="17">
        <v>121.969513810338</v>
      </c>
      <c r="D356" s="32">
        <f t="shared" ca="1" si="48"/>
        <v>121.92590276206759</v>
      </c>
      <c r="E356" s="27"/>
      <c r="F356" s="27"/>
      <c r="G356" s="27"/>
      <c r="H356" s="10">
        <f t="shared" si="49"/>
        <v>-2.4988680050819223E-2</v>
      </c>
      <c r="I356" s="32">
        <f t="shared" si="50"/>
        <v>-3.0486189661999674E-2</v>
      </c>
      <c r="J356" s="10">
        <f t="shared" ca="1" si="51"/>
        <v>-0.21</v>
      </c>
      <c r="K356" s="10">
        <f t="shared" ca="1" si="52"/>
        <v>-0.13</v>
      </c>
      <c r="L356" s="10">
        <v>0.2</v>
      </c>
      <c r="M356" s="10">
        <f t="shared" ca="1" si="53"/>
        <v>-7.4097237932399931E-2</v>
      </c>
      <c r="N356" s="10">
        <f t="shared" ca="1" si="54"/>
        <v>-6.0735440928205708E-2</v>
      </c>
      <c r="O356" s="10">
        <f t="shared" ca="1" si="55"/>
        <v>5.4904006692106872E-3</v>
      </c>
    </row>
    <row r="357" spans="2:15">
      <c r="B357" s="13">
        <v>58</v>
      </c>
      <c r="C357" s="17">
        <v>70.371462399223205</v>
      </c>
      <c r="D357" s="32">
        <f t="shared" ca="1" si="48"/>
        <v>60.452292479844644</v>
      </c>
      <c r="E357" s="27"/>
      <c r="F357" s="27"/>
      <c r="G357" s="27"/>
      <c r="H357" s="10">
        <f t="shared" si="49"/>
        <v>21.330107584867598</v>
      </c>
      <c r="I357" s="32">
        <f t="shared" si="50"/>
        <v>12.371462399223205</v>
      </c>
      <c r="J357" s="10">
        <f t="shared" ca="1" si="51"/>
        <v>0.53</v>
      </c>
      <c r="K357" s="10">
        <f t="shared" ca="1" si="52"/>
        <v>-0.64</v>
      </c>
      <c r="L357" s="10">
        <v>0.2</v>
      </c>
      <c r="M357" s="10">
        <f t="shared" ca="1" si="53"/>
        <v>2.4522924798446408</v>
      </c>
      <c r="N357" s="10">
        <f t="shared" ca="1" si="54"/>
        <v>4.2280904824907761</v>
      </c>
      <c r="O357" s="10">
        <f t="shared" ca="1" si="55"/>
        <v>6.0137384067025783</v>
      </c>
    </row>
    <row r="358" spans="2:15">
      <c r="B358" s="13">
        <v>105</v>
      </c>
      <c r="C358" s="17">
        <v>114.294783965036</v>
      </c>
      <c r="D358" s="32">
        <f t="shared" ca="1" si="48"/>
        <v>107.0229567930072</v>
      </c>
      <c r="E358" s="27"/>
      <c r="F358" s="27"/>
      <c r="G358" s="27"/>
      <c r="H358" s="10">
        <f t="shared" si="49"/>
        <v>8.8521752047961968</v>
      </c>
      <c r="I358" s="32">
        <f t="shared" si="50"/>
        <v>9.2947839650360038</v>
      </c>
      <c r="J358" s="10">
        <f t="shared" ca="1" si="51"/>
        <v>0.43</v>
      </c>
      <c r="K358" s="10">
        <f t="shared" ca="1" si="52"/>
        <v>0.39</v>
      </c>
      <c r="L358" s="10">
        <v>0.2</v>
      </c>
      <c r="M358" s="10">
        <f t="shared" ca="1" si="53"/>
        <v>2.022956793007201</v>
      </c>
      <c r="N358" s="10">
        <f t="shared" ca="1" si="54"/>
        <v>1.9266255171497049</v>
      </c>
      <c r="O358" s="10">
        <f t="shared" ca="1" si="55"/>
        <v>4.0923541863739796</v>
      </c>
    </row>
    <row r="359" spans="2:15">
      <c r="B359" s="13">
        <v>150</v>
      </c>
      <c r="C359" s="17">
        <v>160.064426297149</v>
      </c>
      <c r="D359" s="32">
        <f t="shared" ca="1" si="48"/>
        <v>152.12488525942979</v>
      </c>
      <c r="E359" s="27"/>
      <c r="F359" s="27"/>
      <c r="G359" s="27"/>
      <c r="H359" s="10">
        <f t="shared" si="49"/>
        <v>6.7096175314326656</v>
      </c>
      <c r="I359" s="32">
        <f t="shared" si="50"/>
        <v>10.064426297148998</v>
      </c>
      <c r="J359" s="10">
        <f t="shared" ca="1" si="51"/>
        <v>0.15</v>
      </c>
      <c r="K359" s="10">
        <f t="shared" ca="1" si="52"/>
        <v>0.41</v>
      </c>
      <c r="L359" s="10">
        <v>0.2</v>
      </c>
      <c r="M359" s="10">
        <f t="shared" ca="1" si="53"/>
        <v>2.1248852594297998</v>
      </c>
      <c r="N359" s="10">
        <f t="shared" ca="1" si="54"/>
        <v>1.4165901729531916</v>
      </c>
      <c r="O359" s="10">
        <f t="shared" ca="1" si="55"/>
        <v>4.5151373657420475</v>
      </c>
    </row>
    <row r="360" spans="2:15">
      <c r="B360" s="13">
        <v>136</v>
      </c>
      <c r="C360" s="17">
        <v>146.068833779806</v>
      </c>
      <c r="D360" s="32">
        <f t="shared" ca="1" si="48"/>
        <v>138.1857667559612</v>
      </c>
      <c r="E360" s="27"/>
      <c r="F360" s="27"/>
      <c r="G360" s="27"/>
      <c r="H360" s="10">
        <f t="shared" si="49"/>
        <v>7.403554249857347</v>
      </c>
      <c r="I360" s="32">
        <f t="shared" si="50"/>
        <v>10.068833779805999</v>
      </c>
      <c r="J360" s="10">
        <f t="shared" ca="1" si="51"/>
        <v>0.56999999999999995</v>
      </c>
      <c r="K360" s="10">
        <f t="shared" ca="1" si="52"/>
        <v>0.28999999999999998</v>
      </c>
      <c r="L360" s="10">
        <v>0.2</v>
      </c>
      <c r="M360" s="10">
        <f t="shared" ca="1" si="53"/>
        <v>2.1857667559612</v>
      </c>
      <c r="N360" s="10">
        <f t="shared" ca="1" si="54"/>
        <v>1.6071814382067728</v>
      </c>
      <c r="O360" s="10">
        <f t="shared" ca="1" si="55"/>
        <v>4.7775763114651477</v>
      </c>
    </row>
    <row r="361" spans="2:15">
      <c r="B361" s="13">
        <v>175</v>
      </c>
      <c r="C361" s="17">
        <v>183.27755397984501</v>
      </c>
      <c r="D361" s="32">
        <f t="shared" ca="1" si="48"/>
        <v>176.635510795969</v>
      </c>
      <c r="E361" s="27"/>
      <c r="F361" s="27"/>
      <c r="G361" s="27"/>
      <c r="H361" s="10">
        <f t="shared" si="49"/>
        <v>4.7300308456257101</v>
      </c>
      <c r="I361" s="32">
        <f t="shared" si="50"/>
        <v>8.2775539798450097</v>
      </c>
      <c r="J361" s="10">
        <f t="shared" ca="1" si="51"/>
        <v>-0.24</v>
      </c>
      <c r="K361" s="10">
        <f t="shared" ca="1" si="52"/>
        <v>0.14000000000000001</v>
      </c>
      <c r="L361" s="10">
        <v>0.2</v>
      </c>
      <c r="M361" s="10">
        <f t="shared" ca="1" si="53"/>
        <v>1.6355107959690021</v>
      </c>
      <c r="N361" s="10">
        <f t="shared" ca="1" si="54"/>
        <v>0.93457759769657311</v>
      </c>
      <c r="O361" s="10">
        <f t="shared" ca="1" si="55"/>
        <v>2.6748955637311589</v>
      </c>
    </row>
    <row r="362" spans="2:15">
      <c r="B362" s="13">
        <v>29</v>
      </c>
      <c r="C362" s="17">
        <v>39.626950057813701</v>
      </c>
      <c r="D362" s="32">
        <f t="shared" ca="1" si="48"/>
        <v>31.124930011562739</v>
      </c>
      <c r="E362" s="27"/>
      <c r="F362" s="27"/>
      <c r="G362" s="27"/>
      <c r="H362" s="10">
        <f t="shared" si="49"/>
        <v>36.644655371771371</v>
      </c>
      <c r="I362" s="32">
        <f t="shared" si="50"/>
        <v>10.626950057813701</v>
      </c>
      <c r="J362" s="10">
        <f t="shared" ca="1" si="51"/>
        <v>3.0999999999999999E-3</v>
      </c>
      <c r="K362" s="10">
        <f t="shared" ca="1" si="52"/>
        <v>-5.4000000000000003E-3</v>
      </c>
      <c r="L362" s="10">
        <v>0.2</v>
      </c>
      <c r="M362" s="10">
        <f t="shared" ca="1" si="53"/>
        <v>2.1249300115627405</v>
      </c>
      <c r="N362" s="10">
        <f t="shared" ca="1" si="54"/>
        <v>7.3273448674577191</v>
      </c>
      <c r="O362" s="10">
        <f t="shared" ca="1" si="55"/>
        <v>4.5153275540400282</v>
      </c>
    </row>
    <row r="363" spans="2:15">
      <c r="B363" s="13">
        <v>97</v>
      </c>
      <c r="C363" s="17">
        <v>96.217081299827797</v>
      </c>
      <c r="D363" s="32">
        <f t="shared" ca="1" si="48"/>
        <v>96.869416259965561</v>
      </c>
      <c r="E363" s="27"/>
      <c r="F363" s="27"/>
      <c r="G363" s="27"/>
      <c r="H363" s="10">
        <f t="shared" si="49"/>
        <v>-0.80713268058989485</v>
      </c>
      <c r="I363" s="32">
        <f t="shared" si="50"/>
        <v>-0.78291870017220333</v>
      </c>
      <c r="J363" s="10">
        <f t="shared" ca="1" si="51"/>
        <v>0.48</v>
      </c>
      <c r="K363" s="10">
        <f t="shared" ca="1" si="52"/>
        <v>-0.35</v>
      </c>
      <c r="L363" s="10">
        <v>0.2</v>
      </c>
      <c r="M363" s="10">
        <f t="shared" ca="1" si="53"/>
        <v>-0.13058374003444068</v>
      </c>
      <c r="N363" s="10">
        <f t="shared" ca="1" si="54"/>
        <v>-0.13462241240663753</v>
      </c>
      <c r="O363" s="10">
        <f t="shared" ca="1" si="55"/>
        <v>1.7052113161382384E-2</v>
      </c>
    </row>
    <row r="364" spans="2:15">
      <c r="B364" s="13">
        <v>36</v>
      </c>
      <c r="C364" s="17">
        <v>36.3848073082059</v>
      </c>
      <c r="D364" s="32">
        <f t="shared" ca="1" si="48"/>
        <v>36.034961461641181</v>
      </c>
      <c r="E364" s="27"/>
      <c r="F364" s="27"/>
      <c r="G364" s="27"/>
      <c r="H364" s="10">
        <f t="shared" si="49"/>
        <v>1.0689091894608316</v>
      </c>
      <c r="I364" s="32">
        <f t="shared" si="50"/>
        <v>0.38480730820590026</v>
      </c>
      <c r="J364" s="10">
        <f t="shared" ca="1" si="51"/>
        <v>-0.78</v>
      </c>
      <c r="K364" s="10">
        <f t="shared" ca="1" si="52"/>
        <v>0.56999999999999995</v>
      </c>
      <c r="L364" s="10">
        <v>0.2</v>
      </c>
      <c r="M364" s="10">
        <f t="shared" ca="1" si="53"/>
        <v>3.4961461641180039E-2</v>
      </c>
      <c r="N364" s="10">
        <f t="shared" ca="1" si="54"/>
        <v>9.7115171225503616E-2</v>
      </c>
      <c r="O364" s="10">
        <f t="shared" ca="1" si="55"/>
        <v>1.2223038000877032E-3</v>
      </c>
    </row>
    <row r="365" spans="2:15">
      <c r="B365" s="13">
        <v>17</v>
      </c>
      <c r="C365" s="17">
        <v>17.092315908201101</v>
      </c>
      <c r="D365" s="32">
        <f t="shared" ca="1" si="48"/>
        <v>17.016603181640221</v>
      </c>
      <c r="E365" s="27"/>
      <c r="F365" s="27"/>
      <c r="G365" s="27"/>
      <c r="H365" s="10">
        <f t="shared" si="49"/>
        <v>0.5430347541241165</v>
      </c>
      <c r="I365" s="32">
        <f t="shared" si="50"/>
        <v>9.2315908201101138E-2</v>
      </c>
      <c r="J365" s="10">
        <f t="shared" ca="1" si="51"/>
        <v>-9.1000000000000004E-3</v>
      </c>
      <c r="K365" s="10">
        <f t="shared" ca="1" si="52"/>
        <v>-2.0000000000000001E-4</v>
      </c>
      <c r="L365" s="10">
        <v>0.2</v>
      </c>
      <c r="M365" s="10">
        <f t="shared" ca="1" si="53"/>
        <v>1.6603181640220229E-2</v>
      </c>
      <c r="N365" s="10">
        <f t="shared" ca="1" si="54"/>
        <v>9.7665774354238621E-2</v>
      </c>
      <c r="O365" s="10">
        <f t="shared" ca="1" si="55"/>
        <v>2.7566564057814611E-4</v>
      </c>
    </row>
    <row r="366" spans="2:15">
      <c r="B366" s="13">
        <v>241</v>
      </c>
      <c r="C366" s="17">
        <v>211.877726889884</v>
      </c>
      <c r="D366" s="32">
        <f t="shared" ca="1" si="48"/>
        <v>235.16354537797679</v>
      </c>
      <c r="E366" s="27"/>
      <c r="F366" s="27"/>
      <c r="G366" s="27"/>
      <c r="H366" s="10">
        <f t="shared" si="49"/>
        <v>-12.083930751085481</v>
      </c>
      <c r="I366" s="32">
        <f t="shared" si="50"/>
        <v>-29.122273110115998</v>
      </c>
      <c r="J366" s="10">
        <f t="shared" ca="1" si="51"/>
        <v>-0.36</v>
      </c>
      <c r="K366" s="10">
        <f t="shared" ca="1" si="52"/>
        <v>0.3</v>
      </c>
      <c r="L366" s="10">
        <v>0.2</v>
      </c>
      <c r="M366" s="10">
        <f t="shared" ca="1" si="53"/>
        <v>-5.8364546220231999</v>
      </c>
      <c r="N366" s="10">
        <f t="shared" ca="1" si="54"/>
        <v>-2.4217654033291347</v>
      </c>
      <c r="O366" s="10">
        <f t="shared" ca="1" si="55"/>
        <v>34.064202554935974</v>
      </c>
    </row>
    <row r="367" spans="2:15">
      <c r="B367" s="13">
        <v>106</v>
      </c>
      <c r="C367" s="17">
        <v>116.03615110358599</v>
      </c>
      <c r="D367" s="32">
        <f t="shared" ca="1" si="48"/>
        <v>107.8812302207172</v>
      </c>
      <c r="E367" s="27"/>
      <c r="F367" s="27"/>
      <c r="G367" s="27"/>
      <c r="H367" s="10">
        <f t="shared" si="49"/>
        <v>9.4680670788547019</v>
      </c>
      <c r="I367" s="32">
        <f t="shared" si="50"/>
        <v>10.036151103585993</v>
      </c>
      <c r="J367" s="10">
        <f t="shared" ca="1" si="51"/>
        <v>-0.28999999999999998</v>
      </c>
      <c r="K367" s="10">
        <f t="shared" ca="1" si="52"/>
        <v>-0.34</v>
      </c>
      <c r="L367" s="10">
        <v>0.2</v>
      </c>
      <c r="M367" s="10">
        <f t="shared" ca="1" si="53"/>
        <v>1.8812302207171989</v>
      </c>
      <c r="N367" s="10">
        <f t="shared" ca="1" si="54"/>
        <v>1.7747454912426353</v>
      </c>
      <c r="O367" s="10">
        <f t="shared" ca="1" si="55"/>
        <v>3.5390271433396809</v>
      </c>
    </row>
    <row r="368" spans="2:15">
      <c r="B368" s="13">
        <v>183</v>
      </c>
      <c r="C368" s="17">
        <v>191.16290985730399</v>
      </c>
      <c r="D368" s="32">
        <f t="shared" ca="1" si="48"/>
        <v>184.5885819714608</v>
      </c>
      <c r="E368" s="27"/>
      <c r="F368" s="27"/>
      <c r="G368" s="27"/>
      <c r="H368" s="10">
        <f t="shared" si="49"/>
        <v>4.4606064794010747</v>
      </c>
      <c r="I368" s="32">
        <f t="shared" si="50"/>
        <v>8.1629098573039869</v>
      </c>
      <c r="J368" s="10">
        <f t="shared" ca="1" si="51"/>
        <v>0.36</v>
      </c>
      <c r="K368" s="10">
        <f t="shared" ca="1" si="52"/>
        <v>-0.57999999999999996</v>
      </c>
      <c r="L368" s="10">
        <v>0.2</v>
      </c>
      <c r="M368" s="10">
        <f t="shared" ca="1" si="53"/>
        <v>1.5885819714607974</v>
      </c>
      <c r="N368" s="10">
        <f t="shared" ca="1" si="54"/>
        <v>0.86807758003322189</v>
      </c>
      <c r="O368" s="10">
        <f t="shared" ca="1" si="55"/>
        <v>2.5235926800502737</v>
      </c>
    </row>
    <row r="369" spans="2:15">
      <c r="B369" s="13">
        <v>14</v>
      </c>
      <c r="C369" s="17">
        <v>26.5106143052429</v>
      </c>
      <c r="D369" s="32">
        <f t="shared" ca="1" si="48"/>
        <v>16.499842861048581</v>
      </c>
      <c r="E369" s="27"/>
      <c r="F369" s="27"/>
      <c r="G369" s="27"/>
      <c r="H369" s="10">
        <f t="shared" si="49"/>
        <v>89.361530751735003</v>
      </c>
      <c r="I369" s="32">
        <f t="shared" si="50"/>
        <v>12.5106143052429</v>
      </c>
      <c r="J369" s="10">
        <f t="shared" ca="1" si="51"/>
        <v>-9.1999999999999998E-3</v>
      </c>
      <c r="K369" s="10">
        <f t="shared" ca="1" si="52"/>
        <v>-2.2000000000000001E-3</v>
      </c>
      <c r="L369" s="10">
        <v>0.2</v>
      </c>
      <c r="M369" s="10">
        <f t="shared" ca="1" si="53"/>
        <v>2.4998428610485801</v>
      </c>
      <c r="N369" s="10">
        <f t="shared" ca="1" si="54"/>
        <v>17.856020436061293</v>
      </c>
      <c r="O369" s="10">
        <f t="shared" ca="1" si="55"/>
        <v>6.2492143299355503</v>
      </c>
    </row>
    <row r="370" spans="2:15">
      <c r="B370" s="13">
        <v>22</v>
      </c>
      <c r="C370" s="17">
        <v>24.281927076480098</v>
      </c>
      <c r="D370" s="32">
        <f t="shared" ca="1" si="48"/>
        <v>22.456145415296021</v>
      </c>
      <c r="E370" s="27"/>
      <c r="F370" s="27"/>
      <c r="G370" s="27"/>
      <c r="H370" s="10">
        <f t="shared" si="49"/>
        <v>10.372395802182254</v>
      </c>
      <c r="I370" s="32">
        <f t="shared" si="50"/>
        <v>2.2819270764800983</v>
      </c>
      <c r="J370" s="10">
        <f t="shared" ca="1" si="51"/>
        <v>-7.6E-3</v>
      </c>
      <c r="K370" s="10">
        <f t="shared" ca="1" si="52"/>
        <v>6.4000000000000003E-3</v>
      </c>
      <c r="L370" s="10">
        <v>0.2</v>
      </c>
      <c r="M370" s="10">
        <f t="shared" ca="1" si="53"/>
        <v>0.45614541529601971</v>
      </c>
      <c r="N370" s="10">
        <f t="shared" ca="1" si="54"/>
        <v>2.0733882513455537</v>
      </c>
      <c r="O370" s="10">
        <f t="shared" ca="1" si="55"/>
        <v>0.20806863989557828</v>
      </c>
    </row>
    <row r="371" spans="2:15">
      <c r="B371" s="13">
        <v>130</v>
      </c>
      <c r="C371" s="17">
        <v>100.455852967722</v>
      </c>
      <c r="D371" s="32">
        <f t="shared" ca="1" si="48"/>
        <v>123.8551705935444</v>
      </c>
      <c r="E371" s="27"/>
      <c r="F371" s="27"/>
      <c r="G371" s="27"/>
      <c r="H371" s="10">
        <f t="shared" si="49"/>
        <v>-22.726266947906161</v>
      </c>
      <c r="I371" s="32">
        <f t="shared" si="50"/>
        <v>-29.544147032278005</v>
      </c>
      <c r="J371" s="10">
        <f t="shared" ca="1" si="51"/>
        <v>-0.79</v>
      </c>
      <c r="K371" s="10">
        <f t="shared" ca="1" si="52"/>
        <v>-0.39</v>
      </c>
      <c r="L371" s="10">
        <v>0.2</v>
      </c>
      <c r="M371" s="10">
        <f t="shared" ca="1" si="53"/>
        <v>-6.1448294064556013</v>
      </c>
      <c r="N371" s="10">
        <f t="shared" ca="1" si="54"/>
        <v>-4.7267918511196942</v>
      </c>
      <c r="O371" s="10">
        <f t="shared" ca="1" si="55"/>
        <v>37.758928434441493</v>
      </c>
    </row>
    <row r="372" spans="2:15">
      <c r="B372" s="13">
        <v>37</v>
      </c>
      <c r="C372" s="17">
        <v>7.4785552668502602</v>
      </c>
      <c r="D372" s="32">
        <f t="shared" ca="1" si="48"/>
        <v>31.181711053370051</v>
      </c>
      <c r="E372" s="27"/>
      <c r="F372" s="27"/>
      <c r="G372" s="27"/>
      <c r="H372" s="10">
        <f t="shared" si="49"/>
        <v>-79.787688467972274</v>
      </c>
      <c r="I372" s="32">
        <f t="shared" si="50"/>
        <v>-29.521444733149739</v>
      </c>
      <c r="J372" s="10">
        <f t="shared" ca="1" si="51"/>
        <v>0.73</v>
      </c>
      <c r="K372" s="10">
        <f t="shared" ca="1" si="52"/>
        <v>-0.3</v>
      </c>
      <c r="L372" s="10">
        <v>0.2</v>
      </c>
      <c r="M372" s="10">
        <f t="shared" ca="1" si="53"/>
        <v>-5.8182889466299486</v>
      </c>
      <c r="N372" s="10">
        <f t="shared" ca="1" si="54"/>
        <v>-15.725105261162021</v>
      </c>
      <c r="O372" s="10">
        <f t="shared" ca="1" si="55"/>
        <v>33.852486266476234</v>
      </c>
    </row>
    <row r="373" spans="2:15">
      <c r="B373" s="13">
        <v>48</v>
      </c>
      <c r="C373" s="17">
        <v>47.847833939999802</v>
      </c>
      <c r="D373" s="32">
        <f t="shared" ca="1" si="48"/>
        <v>48.137566787999958</v>
      </c>
      <c r="E373" s="27"/>
      <c r="F373" s="27"/>
      <c r="G373" s="27"/>
      <c r="H373" s="10">
        <f t="shared" si="49"/>
        <v>-0.31701262500041238</v>
      </c>
      <c r="I373" s="32">
        <f t="shared" si="50"/>
        <v>-0.15216606000019794</v>
      </c>
      <c r="J373" s="10">
        <f t="shared" ca="1" si="51"/>
        <v>0.48</v>
      </c>
      <c r="K373" s="10">
        <f t="shared" ca="1" si="52"/>
        <v>0.36</v>
      </c>
      <c r="L373" s="10">
        <v>0.2</v>
      </c>
      <c r="M373" s="10">
        <f t="shared" ca="1" si="53"/>
        <v>0.13756678799996042</v>
      </c>
      <c r="N373" s="10">
        <f t="shared" ca="1" si="54"/>
        <v>0.28659747499990562</v>
      </c>
      <c r="O373" s="10">
        <f t="shared" ca="1" si="55"/>
        <v>1.8924621160626053E-2</v>
      </c>
    </row>
    <row r="374" spans="2:15">
      <c r="B374" s="13">
        <v>46</v>
      </c>
      <c r="C374" s="17">
        <v>18.382466986614102</v>
      </c>
      <c r="D374" s="32">
        <f t="shared" ca="1" si="48"/>
        <v>40.398493397322824</v>
      </c>
      <c r="E374" s="27"/>
      <c r="F374" s="27"/>
      <c r="G374" s="27"/>
      <c r="H374" s="10">
        <f t="shared" si="49"/>
        <v>-60.038115246491088</v>
      </c>
      <c r="I374" s="32">
        <f t="shared" si="50"/>
        <v>-27.617533013385898</v>
      </c>
      <c r="J374" s="10">
        <f t="shared" ca="1" si="51"/>
        <v>-0.81</v>
      </c>
      <c r="K374" s="10">
        <f t="shared" ca="1" si="52"/>
        <v>0.42</v>
      </c>
      <c r="L374" s="10">
        <v>0.2</v>
      </c>
      <c r="M374" s="10">
        <f t="shared" ca="1" si="53"/>
        <v>-5.6015066026771798</v>
      </c>
      <c r="N374" s="10">
        <f t="shared" ca="1" si="54"/>
        <v>-12.177188266689509</v>
      </c>
      <c r="O374" s="10">
        <f t="shared" ca="1" si="55"/>
        <v>31.376876219836042</v>
      </c>
    </row>
    <row r="375" spans="2:15">
      <c r="B375" s="13">
        <v>90</v>
      </c>
      <c r="C375" s="17">
        <v>91.571540733742097</v>
      </c>
      <c r="D375" s="32">
        <f t="shared" ca="1" si="48"/>
        <v>90.278308146748415</v>
      </c>
      <c r="E375" s="27"/>
      <c r="F375" s="27"/>
      <c r="G375" s="27"/>
      <c r="H375" s="10">
        <f t="shared" si="49"/>
        <v>1.7461563708245587</v>
      </c>
      <c r="I375" s="32">
        <f t="shared" si="50"/>
        <v>1.571540733742097</v>
      </c>
      <c r="J375" s="10">
        <f t="shared" ca="1" si="51"/>
        <v>-0.41</v>
      </c>
      <c r="K375" s="10">
        <f t="shared" ca="1" si="52"/>
        <v>0.23</v>
      </c>
      <c r="L375" s="10">
        <v>0.2</v>
      </c>
      <c r="M375" s="10">
        <f t="shared" ca="1" si="53"/>
        <v>0.27830814674841942</v>
      </c>
      <c r="N375" s="10">
        <f t="shared" ca="1" si="54"/>
        <v>0.3092312741649117</v>
      </c>
      <c r="O375" s="10">
        <f t="shared" ca="1" si="55"/>
        <v>7.7455424546539753E-2</v>
      </c>
    </row>
    <row r="376" spans="2:15">
      <c r="B376" s="13">
        <v>94</v>
      </c>
      <c r="C376" s="17">
        <v>94.044956391056999</v>
      </c>
      <c r="D376" s="32">
        <f t="shared" ca="1" si="48"/>
        <v>93.9529912782114</v>
      </c>
      <c r="E376" s="27"/>
      <c r="F376" s="27"/>
      <c r="G376" s="27"/>
      <c r="H376" s="10">
        <f t="shared" si="49"/>
        <v>4.7825947932977897E-2</v>
      </c>
      <c r="I376" s="32">
        <f t="shared" si="50"/>
        <v>4.4956391056999223E-2</v>
      </c>
      <c r="J376" s="10">
        <f t="shared" ca="1" si="51"/>
        <v>0.25</v>
      </c>
      <c r="K376" s="10">
        <f t="shared" ca="1" si="52"/>
        <v>-0.53</v>
      </c>
      <c r="L376" s="10">
        <v>0.2</v>
      </c>
      <c r="M376" s="10">
        <f t="shared" ca="1" si="53"/>
        <v>-4.7008721788600161E-2</v>
      </c>
      <c r="N376" s="10">
        <f t="shared" ca="1" si="54"/>
        <v>-5.0009278498508447E-2</v>
      </c>
      <c r="O376" s="10">
        <f t="shared" ca="1" si="55"/>
        <v>2.2098199241980115E-3</v>
      </c>
    </row>
    <row r="377" spans="2:15">
      <c r="B377" s="13">
        <v>27</v>
      </c>
      <c r="C377" s="17">
        <v>37.857262627577498</v>
      </c>
      <c r="D377" s="32">
        <f t="shared" ca="1" si="48"/>
        <v>29.1683125255155</v>
      </c>
      <c r="E377" s="27"/>
      <c r="F377" s="27"/>
      <c r="G377" s="27"/>
      <c r="H377" s="10">
        <f t="shared" si="49"/>
        <v>40.212083805842582</v>
      </c>
      <c r="I377" s="32">
        <f t="shared" si="50"/>
        <v>10.857262627577498</v>
      </c>
      <c r="J377" s="10">
        <f t="shared" ca="1" si="51"/>
        <v>-7.1999999999999998E-3</v>
      </c>
      <c r="K377" s="10">
        <f t="shared" ca="1" si="52"/>
        <v>-8.5000000000000006E-3</v>
      </c>
      <c r="L377" s="10">
        <v>0.2</v>
      </c>
      <c r="M377" s="10">
        <f t="shared" ca="1" si="53"/>
        <v>2.1683125255154998</v>
      </c>
      <c r="N377" s="10">
        <f t="shared" ca="1" si="54"/>
        <v>8.0307871315388866</v>
      </c>
      <c r="O377" s="10">
        <f t="shared" ca="1" si="55"/>
        <v>4.7015792083074048</v>
      </c>
    </row>
    <row r="378" spans="2:15">
      <c r="B378" s="13">
        <v>142</v>
      </c>
      <c r="C378" s="17">
        <v>111.945060126138</v>
      </c>
      <c r="D378" s="32">
        <f t="shared" ca="1" si="48"/>
        <v>135.99901202522761</v>
      </c>
      <c r="E378" s="27"/>
      <c r="F378" s="27"/>
      <c r="G378" s="27"/>
      <c r="H378" s="10">
        <f t="shared" si="49"/>
        <v>-21.165450615395777</v>
      </c>
      <c r="I378" s="32">
        <f t="shared" si="50"/>
        <v>-30.054939873861997</v>
      </c>
      <c r="J378" s="10">
        <f t="shared" ca="1" si="51"/>
        <v>0.49</v>
      </c>
      <c r="K378" s="10">
        <f t="shared" ca="1" si="52"/>
        <v>-0.44</v>
      </c>
      <c r="L378" s="10">
        <v>0.2</v>
      </c>
      <c r="M378" s="10">
        <f t="shared" ca="1" si="53"/>
        <v>-6.0009879747724</v>
      </c>
      <c r="N378" s="10">
        <f t="shared" ca="1" si="54"/>
        <v>-4.2260478695580144</v>
      </c>
      <c r="O378" s="10">
        <f t="shared" ca="1" si="55"/>
        <v>36.011856673362949</v>
      </c>
    </row>
    <row r="379" spans="2:15">
      <c r="B379" s="13">
        <v>150</v>
      </c>
      <c r="C379" s="17">
        <v>120.94738996853</v>
      </c>
      <c r="D379" s="32">
        <f t="shared" ca="1" si="48"/>
        <v>144.17547799370601</v>
      </c>
      <c r="E379" s="27"/>
      <c r="F379" s="27"/>
      <c r="G379" s="27"/>
      <c r="H379" s="10">
        <f t="shared" si="49"/>
        <v>-19.368406687646665</v>
      </c>
      <c r="I379" s="32">
        <f t="shared" si="50"/>
        <v>-29.052610031469996</v>
      </c>
      <c r="J379" s="10">
        <f t="shared" ca="1" si="51"/>
        <v>-0.01</v>
      </c>
      <c r="K379" s="10">
        <f t="shared" ca="1" si="52"/>
        <v>-0.06</v>
      </c>
      <c r="L379" s="10">
        <v>0.2</v>
      </c>
      <c r="M379" s="10">
        <f t="shared" ca="1" si="53"/>
        <v>-5.824522006294</v>
      </c>
      <c r="N379" s="10">
        <f t="shared" ca="1" si="54"/>
        <v>-3.8830146708626612</v>
      </c>
      <c r="O379" s="10">
        <f t="shared" ca="1" si="55"/>
        <v>33.925056601803085</v>
      </c>
    </row>
    <row r="380" spans="2:15">
      <c r="B380" s="13">
        <v>0</v>
      </c>
      <c r="C380" s="17">
        <v>1.1937085730610799</v>
      </c>
      <c r="D380" s="32">
        <f t="shared" ca="1" si="48"/>
        <v>0.24032171461221599</v>
      </c>
      <c r="E380" s="27"/>
      <c r="F380" s="27"/>
      <c r="G380" s="27"/>
      <c r="H380" s="10" t="e">
        <f t="shared" si="49"/>
        <v>#DIV/0!</v>
      </c>
      <c r="I380" s="32">
        <f t="shared" si="50"/>
        <v>1.1937085730610799</v>
      </c>
      <c r="J380" s="10">
        <f t="shared" ca="1" si="51"/>
        <v>7.4000000000000003E-3</v>
      </c>
      <c r="K380" s="10">
        <f t="shared" ca="1" si="52"/>
        <v>5.0000000000000001E-4</v>
      </c>
      <c r="L380" s="10">
        <v>0.2</v>
      </c>
      <c r="M380" s="10">
        <f t="shared" ca="1" si="53"/>
        <v>0.24032171461221599</v>
      </c>
      <c r="N380" s="10" t="e">
        <f t="shared" ca="1" si="54"/>
        <v>#DIV/0!</v>
      </c>
      <c r="O380" s="10">
        <f t="shared" ca="1" si="55"/>
        <v>5.7754526514155392E-2</v>
      </c>
    </row>
    <row r="381" spans="2:15">
      <c r="B381" s="13">
        <v>63</v>
      </c>
      <c r="C381" s="17">
        <v>34.675349693526798</v>
      </c>
      <c r="D381" s="32">
        <f t="shared" ca="1" si="48"/>
        <v>57.369069938705358</v>
      </c>
      <c r="E381" s="27"/>
      <c r="F381" s="27"/>
      <c r="G381" s="27"/>
      <c r="H381" s="10">
        <f t="shared" si="49"/>
        <v>-44.959762391227308</v>
      </c>
      <c r="I381" s="32">
        <f t="shared" si="50"/>
        <v>-28.324650306473202</v>
      </c>
      <c r="J381" s="10">
        <f t="shared" ca="1" si="51"/>
        <v>-0.5</v>
      </c>
      <c r="K381" s="10">
        <f t="shared" ca="1" si="52"/>
        <v>0.67</v>
      </c>
      <c r="L381" s="10">
        <v>0.2</v>
      </c>
      <c r="M381" s="10">
        <f t="shared" ca="1" si="53"/>
        <v>-5.6309300612946407</v>
      </c>
      <c r="N381" s="10">
        <f t="shared" ca="1" si="54"/>
        <v>-8.9379842242772067</v>
      </c>
      <c r="O381" s="10">
        <f t="shared" ca="1" si="55"/>
        <v>31.707373355191667</v>
      </c>
    </row>
    <row r="382" spans="2:15">
      <c r="B382" s="13">
        <v>162</v>
      </c>
      <c r="C382" s="17">
        <v>130.57443740898199</v>
      </c>
      <c r="D382" s="32">
        <f t="shared" ca="1" si="48"/>
        <v>155.42888748179641</v>
      </c>
      <c r="E382" s="27"/>
      <c r="F382" s="27"/>
      <c r="G382" s="27"/>
      <c r="H382" s="10">
        <f t="shared" si="49"/>
        <v>-19.39849542655433</v>
      </c>
      <c r="I382" s="32">
        <f t="shared" si="50"/>
        <v>-31.425562591018007</v>
      </c>
      <c r="J382" s="10">
        <f t="shared" ca="1" si="51"/>
        <v>-0.51</v>
      </c>
      <c r="K382" s="10">
        <f t="shared" ca="1" si="52"/>
        <v>-0.92</v>
      </c>
      <c r="L382" s="10">
        <v>0.2</v>
      </c>
      <c r="M382" s="10">
        <f t="shared" ca="1" si="53"/>
        <v>-6.5711125182036021</v>
      </c>
      <c r="N382" s="10">
        <f t="shared" ca="1" si="54"/>
        <v>-4.0562422951874062</v>
      </c>
      <c r="O382" s="10">
        <f t="shared" ca="1" si="55"/>
        <v>43.179519726892082</v>
      </c>
    </row>
    <row r="383" spans="2:15">
      <c r="B383" s="13">
        <v>60</v>
      </c>
      <c r="C383" s="17">
        <v>29.051213428756</v>
      </c>
      <c r="D383" s="32">
        <f t="shared" ca="1" si="48"/>
        <v>53.836242685751202</v>
      </c>
      <c r="E383" s="27"/>
      <c r="F383" s="27"/>
      <c r="G383" s="27"/>
      <c r="H383" s="10">
        <f t="shared" si="49"/>
        <v>-51.581310952073331</v>
      </c>
      <c r="I383" s="32">
        <f t="shared" si="50"/>
        <v>-30.948786571244</v>
      </c>
      <c r="J383" s="10">
        <f t="shared" ca="1" si="51"/>
        <v>0.48</v>
      </c>
      <c r="K383" s="10">
        <f t="shared" ca="1" si="52"/>
        <v>-0.35</v>
      </c>
      <c r="L383" s="10">
        <v>0.2</v>
      </c>
      <c r="M383" s="10">
        <f t="shared" ca="1" si="53"/>
        <v>-6.1637573142488007</v>
      </c>
      <c r="N383" s="10">
        <f t="shared" ca="1" si="54"/>
        <v>-10.272928857081332</v>
      </c>
      <c r="O383" s="10">
        <f t="shared" ca="1" si="55"/>
        <v>37.99190422895559</v>
      </c>
    </row>
    <row r="384" spans="2:15">
      <c r="B384" s="13">
        <v>129</v>
      </c>
      <c r="C384" s="17">
        <v>100.290368883254</v>
      </c>
      <c r="D384" s="32">
        <f t="shared" ca="1" si="48"/>
        <v>123.4960737766508</v>
      </c>
      <c r="E384" s="27"/>
      <c r="F384" s="27"/>
      <c r="G384" s="27"/>
      <c r="H384" s="10">
        <f t="shared" si="49"/>
        <v>-22.255527997477522</v>
      </c>
      <c r="I384" s="32">
        <f t="shared" si="50"/>
        <v>-28.709631116745996</v>
      </c>
      <c r="J384" s="10">
        <f t="shared" ca="1" si="51"/>
        <v>0.54</v>
      </c>
      <c r="K384" s="10">
        <f t="shared" ca="1" si="52"/>
        <v>0.65</v>
      </c>
      <c r="L384" s="10">
        <v>0.2</v>
      </c>
      <c r="M384" s="10">
        <f t="shared" ca="1" si="53"/>
        <v>-5.5039262233492003</v>
      </c>
      <c r="N384" s="10">
        <f t="shared" ca="1" si="54"/>
        <v>-4.266609475464489</v>
      </c>
      <c r="O384" s="10">
        <f t="shared" ca="1" si="55"/>
        <v>30.293203872070993</v>
      </c>
    </row>
    <row r="385" spans="2:15">
      <c r="B385" s="13">
        <v>43</v>
      </c>
      <c r="C385" s="17">
        <v>56.222004505194199</v>
      </c>
      <c r="D385" s="32">
        <f t="shared" ca="1" si="48"/>
        <v>45.806400901038842</v>
      </c>
      <c r="E385" s="27"/>
      <c r="F385" s="27"/>
      <c r="G385" s="27"/>
      <c r="H385" s="10">
        <f t="shared" si="49"/>
        <v>30.748847686498149</v>
      </c>
      <c r="I385" s="32">
        <f t="shared" si="50"/>
        <v>13.222004505194199</v>
      </c>
      <c r="J385" s="10">
        <f t="shared" ca="1" si="51"/>
        <v>0.66</v>
      </c>
      <c r="K385" s="10">
        <f t="shared" ca="1" si="52"/>
        <v>0.15</v>
      </c>
      <c r="L385" s="10">
        <v>0.2</v>
      </c>
      <c r="M385" s="10">
        <f t="shared" ca="1" si="53"/>
        <v>2.80640090103884</v>
      </c>
      <c r="N385" s="10">
        <f t="shared" ca="1" si="54"/>
        <v>6.526513723346139</v>
      </c>
      <c r="O385" s="10">
        <f t="shared" ca="1" si="55"/>
        <v>7.875886017351613</v>
      </c>
    </row>
    <row r="386" spans="2:15">
      <c r="B386" s="13">
        <v>22</v>
      </c>
      <c r="C386" s="17">
        <v>-7.6070321130402698</v>
      </c>
      <c r="D386" s="32">
        <f t="shared" ca="1" si="48"/>
        <v>16.078373577391947</v>
      </c>
      <c r="E386" s="27"/>
      <c r="F386" s="27"/>
      <c r="G386" s="27"/>
      <c r="H386" s="10">
        <f t="shared" si="49"/>
        <v>-134.57741869563759</v>
      </c>
      <c r="I386" s="32">
        <f t="shared" si="50"/>
        <v>-29.607032113040269</v>
      </c>
      <c r="J386" s="10">
        <f t="shared" ca="1" si="51"/>
        <v>-6.6E-3</v>
      </c>
      <c r="K386" s="10">
        <f t="shared" ca="1" si="52"/>
        <v>5.4999999999999997E-3</v>
      </c>
      <c r="L386" s="10">
        <v>0.2</v>
      </c>
      <c r="M386" s="10">
        <f t="shared" ca="1" si="53"/>
        <v>-5.9216264226080533</v>
      </c>
      <c r="N386" s="10">
        <f t="shared" ca="1" si="54"/>
        <v>-26.916483739127518</v>
      </c>
      <c r="O386" s="10">
        <f t="shared" ca="1" si="55"/>
        <v>35.065659488929853</v>
      </c>
    </row>
    <row r="387" spans="2:15">
      <c r="B387" s="13">
        <v>170</v>
      </c>
      <c r="C387" s="17">
        <v>140.32345356464501</v>
      </c>
      <c r="D387" s="32">
        <f t="shared" ca="1" si="48"/>
        <v>164.236690712929</v>
      </c>
      <c r="E387" s="27"/>
      <c r="F387" s="27"/>
      <c r="G387" s="27"/>
      <c r="H387" s="10">
        <f t="shared" si="49"/>
        <v>-17.456792020797053</v>
      </c>
      <c r="I387" s="32">
        <f t="shared" si="50"/>
        <v>-29.676546435354993</v>
      </c>
      <c r="J387" s="10">
        <f t="shared" ca="1" si="51"/>
        <v>0.38</v>
      </c>
      <c r="K387" s="10">
        <f t="shared" ca="1" si="52"/>
        <v>0.48</v>
      </c>
      <c r="L387" s="10">
        <v>0.2</v>
      </c>
      <c r="M387" s="10">
        <f t="shared" ca="1" si="53"/>
        <v>-5.7633092870709994</v>
      </c>
      <c r="N387" s="10">
        <f t="shared" ca="1" si="54"/>
        <v>-3.3901819335711791</v>
      </c>
      <c r="O387" s="10">
        <f t="shared" ca="1" si="55"/>
        <v>33.215733938438831</v>
      </c>
    </row>
    <row r="388" spans="2:15">
      <c r="B388" s="13">
        <v>162</v>
      </c>
      <c r="C388" s="17">
        <v>172.245411016182</v>
      </c>
      <c r="D388" s="32">
        <f t="shared" ca="1" si="48"/>
        <v>163.7410822032364</v>
      </c>
      <c r="E388" s="27"/>
      <c r="F388" s="27"/>
      <c r="G388" s="27"/>
      <c r="H388" s="10">
        <f t="shared" si="49"/>
        <v>6.3243277877666593</v>
      </c>
      <c r="I388" s="32">
        <f t="shared" si="50"/>
        <v>10.245411016182004</v>
      </c>
      <c r="J388" s="10">
        <f t="shared" ca="1" si="51"/>
        <v>-0.78</v>
      </c>
      <c r="K388" s="10">
        <f t="shared" ca="1" si="52"/>
        <v>-0.76</v>
      </c>
      <c r="L388" s="10">
        <v>0.2</v>
      </c>
      <c r="M388" s="10">
        <f t="shared" ca="1" si="53"/>
        <v>1.7410822032364011</v>
      </c>
      <c r="N388" s="10">
        <f t="shared" ca="1" si="54"/>
        <v>1.0747421007632152</v>
      </c>
      <c r="O388" s="10">
        <f t="shared" ca="1" si="55"/>
        <v>3.0313672384265207</v>
      </c>
    </row>
    <row r="389" spans="2:15">
      <c r="B389" s="13">
        <v>238</v>
      </c>
      <c r="C389" s="17">
        <v>208.526739784326</v>
      </c>
      <c r="D389" s="32">
        <f t="shared" ca="1" si="48"/>
        <v>231.9893479568652</v>
      </c>
      <c r="E389" s="27"/>
      <c r="F389" s="27"/>
      <c r="G389" s="27"/>
      <c r="H389" s="10">
        <f t="shared" si="49"/>
        <v>-12.383722779694962</v>
      </c>
      <c r="I389" s="32">
        <f t="shared" si="50"/>
        <v>-29.473260215674003</v>
      </c>
      <c r="J389" s="10">
        <f t="shared" ca="1" si="51"/>
        <v>-0.06</v>
      </c>
      <c r="K389" s="10">
        <f t="shared" ca="1" si="52"/>
        <v>-0.52</v>
      </c>
      <c r="L389" s="10">
        <v>0.2</v>
      </c>
      <c r="M389" s="10">
        <f t="shared" ca="1" si="53"/>
        <v>-6.0106520431348009</v>
      </c>
      <c r="N389" s="10">
        <f t="shared" ca="1" si="54"/>
        <v>-2.5254840517373145</v>
      </c>
      <c r="O389" s="10">
        <f t="shared" ca="1" si="55"/>
        <v>36.127937983640557</v>
      </c>
    </row>
    <row r="390" spans="2:15">
      <c r="B390" s="13">
        <v>183</v>
      </c>
      <c r="C390" s="17">
        <v>153.483699928487</v>
      </c>
      <c r="D390" s="32">
        <f t="shared" ca="1" si="48"/>
        <v>176.88873998569741</v>
      </c>
      <c r="E390" s="27"/>
      <c r="F390" s="27"/>
      <c r="G390" s="27"/>
      <c r="H390" s="10">
        <f t="shared" si="49"/>
        <v>-16.129125722138248</v>
      </c>
      <c r="I390" s="32">
        <f t="shared" si="50"/>
        <v>-29.516300071513001</v>
      </c>
      <c r="J390" s="10">
        <f t="shared" ca="1" si="51"/>
        <v>-0.8</v>
      </c>
      <c r="K390" s="10">
        <f t="shared" ca="1" si="52"/>
        <v>-0.24</v>
      </c>
      <c r="L390" s="10">
        <v>0.2</v>
      </c>
      <c r="M390" s="10">
        <f t="shared" ca="1" si="53"/>
        <v>-6.1112600143026006</v>
      </c>
      <c r="N390" s="10">
        <f t="shared" ca="1" si="54"/>
        <v>-3.3394863466134406</v>
      </c>
      <c r="O390" s="10">
        <f t="shared" ca="1" si="55"/>
        <v>37.347498962413823</v>
      </c>
    </row>
    <row r="391" spans="2:15">
      <c r="B391" s="13">
        <v>107</v>
      </c>
      <c r="C391" s="17">
        <v>108.381901804368</v>
      </c>
      <c r="D391" s="32">
        <f t="shared" ca="1" si="48"/>
        <v>107.2183803608736</v>
      </c>
      <c r="E391" s="27"/>
      <c r="F391" s="27"/>
      <c r="G391" s="27"/>
      <c r="H391" s="10">
        <f t="shared" si="49"/>
        <v>1.2914970134280335</v>
      </c>
      <c r="I391" s="32">
        <f t="shared" si="50"/>
        <v>1.3819018043679989</v>
      </c>
      <c r="J391" s="10">
        <f t="shared" ca="1" si="51"/>
        <v>-0.33</v>
      </c>
      <c r="K391" s="10">
        <f t="shared" ca="1" si="52"/>
        <v>0.04</v>
      </c>
      <c r="L391" s="10">
        <v>0.2</v>
      </c>
      <c r="M391" s="10">
        <f t="shared" ca="1" si="53"/>
        <v>0.2183803608735998</v>
      </c>
      <c r="N391" s="10">
        <f t="shared" ca="1" si="54"/>
        <v>0.20409379520895943</v>
      </c>
      <c r="O391" s="10">
        <f t="shared" ca="1" si="55"/>
        <v>4.7689982015283676E-2</v>
      </c>
    </row>
    <row r="392" spans="2:15">
      <c r="B392" s="13">
        <v>197</v>
      </c>
      <c r="C392" s="17">
        <v>206.881994127903</v>
      </c>
      <c r="D392" s="32">
        <f t="shared" ca="1" si="48"/>
        <v>198.86839882558061</v>
      </c>
      <c r="E392" s="27"/>
      <c r="F392" s="27"/>
      <c r="G392" s="27"/>
      <c r="H392" s="10">
        <f t="shared" si="49"/>
        <v>5.0162406740624332</v>
      </c>
      <c r="I392" s="32">
        <f t="shared" si="50"/>
        <v>9.881994127902999</v>
      </c>
      <c r="J392" s="10">
        <f t="shared" ca="1" si="51"/>
        <v>-0.43</v>
      </c>
      <c r="K392" s="10">
        <f t="shared" ca="1" si="52"/>
        <v>-0.11</v>
      </c>
      <c r="L392" s="10">
        <v>0.2</v>
      </c>
      <c r="M392" s="10">
        <f t="shared" ca="1" si="53"/>
        <v>1.8683988255806001</v>
      </c>
      <c r="N392" s="10">
        <f t="shared" ca="1" si="54"/>
        <v>0.9484257997871115</v>
      </c>
      <c r="O392" s="10">
        <f t="shared" ca="1" si="55"/>
        <v>3.4909141714309659</v>
      </c>
    </row>
    <row r="393" spans="2:15">
      <c r="B393" s="13">
        <v>91</v>
      </c>
      <c r="C393" s="17">
        <v>62.048332629513503</v>
      </c>
      <c r="D393" s="32">
        <f t="shared" ca="1" si="48"/>
        <v>85.151666525902698</v>
      </c>
      <c r="E393" s="27"/>
      <c r="F393" s="27"/>
      <c r="G393" s="27"/>
      <c r="H393" s="10">
        <f t="shared" si="49"/>
        <v>-31.815019088446704</v>
      </c>
      <c r="I393" s="32">
        <f t="shared" si="50"/>
        <v>-28.951667370486497</v>
      </c>
      <c r="J393" s="10">
        <f t="shared" ca="1" si="51"/>
        <v>-0.12</v>
      </c>
      <c r="K393" s="10">
        <f t="shared" ca="1" si="52"/>
        <v>-0.17</v>
      </c>
      <c r="L393" s="10">
        <v>0.2</v>
      </c>
      <c r="M393" s="10">
        <f t="shared" ca="1" si="53"/>
        <v>-5.8483334740973003</v>
      </c>
      <c r="N393" s="10">
        <f t="shared" ca="1" si="54"/>
        <v>-6.4267400814256082</v>
      </c>
      <c r="O393" s="10">
        <f t="shared" ca="1" si="55"/>
        <v>34.203004424246998</v>
      </c>
    </row>
    <row r="394" spans="2:15">
      <c r="B394" s="13">
        <v>56</v>
      </c>
      <c r="C394" s="17">
        <v>65.583673915016007</v>
      </c>
      <c r="D394" s="32">
        <f t="shared" ca="1" si="48"/>
        <v>57.804734783003198</v>
      </c>
      <c r="E394" s="27"/>
      <c r="F394" s="27"/>
      <c r="G394" s="27"/>
      <c r="H394" s="10">
        <f t="shared" si="49"/>
        <v>17.113703419671445</v>
      </c>
      <c r="I394" s="32">
        <f t="shared" si="50"/>
        <v>9.5836739150160071</v>
      </c>
      <c r="J394" s="10">
        <f t="shared" ca="1" si="51"/>
        <v>-7.0000000000000007E-2</v>
      </c>
      <c r="K394" s="10">
        <f t="shared" ca="1" si="52"/>
        <v>-0.49</v>
      </c>
      <c r="L394" s="10">
        <v>0.2</v>
      </c>
      <c r="M394" s="10">
        <f t="shared" ca="1" si="53"/>
        <v>1.8047347830032014</v>
      </c>
      <c r="N394" s="10">
        <f t="shared" ca="1" si="54"/>
        <v>3.2227406839342887</v>
      </c>
      <c r="O394" s="10">
        <f t="shared" ca="1" si="55"/>
        <v>3.2570676369816125</v>
      </c>
    </row>
    <row r="395" spans="2:15">
      <c r="B395" s="13">
        <v>196</v>
      </c>
      <c r="C395" s="17">
        <v>204.267981406563</v>
      </c>
      <c r="D395" s="32">
        <f t="shared" ca="1" si="48"/>
        <v>197.8535962813126</v>
      </c>
      <c r="E395" s="27"/>
      <c r="F395" s="27"/>
      <c r="G395" s="27"/>
      <c r="H395" s="10">
        <f t="shared" si="49"/>
        <v>4.2183578604913174</v>
      </c>
      <c r="I395" s="32">
        <f t="shared" si="50"/>
        <v>8.2679814065629955</v>
      </c>
      <c r="J395" s="10">
        <f t="shared" ca="1" si="51"/>
        <v>0.36</v>
      </c>
      <c r="K395" s="10">
        <f t="shared" ca="1" si="52"/>
        <v>0.64</v>
      </c>
      <c r="L395" s="10">
        <v>0.2</v>
      </c>
      <c r="M395" s="10">
        <f t="shared" ca="1" si="53"/>
        <v>1.8535962813125992</v>
      </c>
      <c r="N395" s="10">
        <f t="shared" ca="1" si="54"/>
        <v>0.94571238842480199</v>
      </c>
      <c r="O395" s="10">
        <f t="shared" ca="1" si="55"/>
        <v>3.4358191740958963</v>
      </c>
    </row>
    <row r="396" spans="2:15">
      <c r="B396" s="13">
        <v>141</v>
      </c>
      <c r="C396" s="17">
        <v>112.770796295656</v>
      </c>
      <c r="D396" s="32">
        <f t="shared" ca="1" si="48"/>
        <v>135.5761592591312</v>
      </c>
      <c r="E396" s="27"/>
      <c r="F396" s="27"/>
      <c r="G396" s="27"/>
      <c r="H396" s="10">
        <f t="shared" si="49"/>
        <v>-20.020711847052485</v>
      </c>
      <c r="I396" s="32">
        <f t="shared" si="50"/>
        <v>-28.229203704344002</v>
      </c>
      <c r="J396" s="10">
        <f t="shared" ca="1" si="51"/>
        <v>0.77</v>
      </c>
      <c r="K396" s="10">
        <f t="shared" ca="1" si="52"/>
        <v>0.34</v>
      </c>
      <c r="L396" s="10">
        <v>0.2</v>
      </c>
      <c r="M396" s="10">
        <f t="shared" ca="1" si="53"/>
        <v>-5.4238407408688012</v>
      </c>
      <c r="N396" s="10">
        <f t="shared" ca="1" si="54"/>
        <v>-3.8466955608998599</v>
      </c>
      <c r="O396" s="10">
        <f t="shared" ca="1" si="55"/>
        <v>29.418048382308225</v>
      </c>
    </row>
    <row r="397" spans="2:15">
      <c r="B397" s="13">
        <v>112</v>
      </c>
      <c r="C397" s="17">
        <v>122.225262617271</v>
      </c>
      <c r="D397" s="32">
        <f t="shared" ca="1" si="48"/>
        <v>114.3190525234542</v>
      </c>
      <c r="E397" s="27"/>
      <c r="F397" s="27"/>
      <c r="G397" s="27"/>
      <c r="H397" s="10">
        <f t="shared" si="49"/>
        <v>9.1296987654205353</v>
      </c>
      <c r="I397" s="32">
        <f t="shared" si="50"/>
        <v>10.225262617270999</v>
      </c>
      <c r="J397" s="10">
        <f t="shared" ca="1" si="51"/>
        <v>0.37</v>
      </c>
      <c r="K397" s="10">
        <f t="shared" ca="1" si="52"/>
        <v>1</v>
      </c>
      <c r="L397" s="10">
        <v>0.2</v>
      </c>
      <c r="M397" s="10">
        <f t="shared" ca="1" si="53"/>
        <v>2.3190525234541997</v>
      </c>
      <c r="N397" s="10">
        <f t="shared" ca="1" si="54"/>
        <v>2.0705826102269675</v>
      </c>
      <c r="O397" s="10">
        <f t="shared" ca="1" si="55"/>
        <v>5.3780046065392915</v>
      </c>
    </row>
    <row r="398" spans="2:15">
      <c r="B398" s="13">
        <v>19</v>
      </c>
      <c r="C398" s="17">
        <v>30.4491622462781</v>
      </c>
      <c r="D398" s="32">
        <f t="shared" ca="1" si="48"/>
        <v>21.292532449255621</v>
      </c>
      <c r="E398" s="27"/>
      <c r="F398" s="27"/>
      <c r="G398" s="27"/>
      <c r="H398" s="10">
        <f t="shared" si="49"/>
        <v>60.258748664621578</v>
      </c>
      <c r="I398" s="32">
        <f t="shared" si="50"/>
        <v>11.4491622462781</v>
      </c>
      <c r="J398" s="10">
        <f t="shared" ca="1" si="51"/>
        <v>9.7000000000000003E-3</v>
      </c>
      <c r="K398" s="10">
        <f t="shared" ca="1" si="52"/>
        <v>3.8E-3</v>
      </c>
      <c r="L398" s="10">
        <v>0.2</v>
      </c>
      <c r="M398" s="10">
        <f t="shared" ca="1" si="53"/>
        <v>2.2925324492556203</v>
      </c>
      <c r="N398" s="10">
        <f t="shared" ca="1" si="54"/>
        <v>12.065960259240116</v>
      </c>
      <c r="O398" s="10">
        <f t="shared" ca="1" si="55"/>
        <v>5.2557050308899731</v>
      </c>
    </row>
    <row r="399" spans="2:15">
      <c r="B399" s="13">
        <v>74</v>
      </c>
      <c r="C399" s="17">
        <v>44.476676186930902</v>
      </c>
      <c r="D399" s="32">
        <f t="shared" ca="1" si="48"/>
        <v>68.373335237386186</v>
      </c>
      <c r="E399" s="27"/>
      <c r="F399" s="27"/>
      <c r="G399" s="27"/>
      <c r="H399" s="10">
        <f t="shared" si="49"/>
        <v>-39.896383531174465</v>
      </c>
      <c r="I399" s="32">
        <f t="shared" si="50"/>
        <v>-29.523323813069098</v>
      </c>
      <c r="J399" s="10">
        <f t="shared" ca="1" si="51"/>
        <v>0.68</v>
      </c>
      <c r="K399" s="10">
        <f t="shared" ca="1" si="52"/>
        <v>0.71</v>
      </c>
      <c r="L399" s="10">
        <v>0.2</v>
      </c>
      <c r="M399" s="10">
        <f t="shared" ca="1" si="53"/>
        <v>-5.62666476261382</v>
      </c>
      <c r="N399" s="10">
        <f t="shared" ca="1" si="54"/>
        <v>-7.6036010305592043</v>
      </c>
      <c r="O399" s="10">
        <f t="shared" ca="1" si="55"/>
        <v>31.659356350840035</v>
      </c>
    </row>
    <row r="400" spans="2:15">
      <c r="B400" s="13">
        <v>71</v>
      </c>
      <c r="C400" s="17">
        <v>81.4183137773786</v>
      </c>
      <c r="D400" s="32">
        <f t="shared" ca="1" si="48"/>
        <v>73.109662755475725</v>
      </c>
      <c r="E400" s="27"/>
      <c r="F400" s="27"/>
      <c r="G400" s="27"/>
      <c r="H400" s="10">
        <f t="shared" si="49"/>
        <v>14.673681376589576</v>
      </c>
      <c r="I400" s="32">
        <f t="shared" si="50"/>
        <v>10.4183137773786</v>
      </c>
      <c r="J400" s="10">
        <f t="shared" ca="1" si="51"/>
        <v>0.84</v>
      </c>
      <c r="K400" s="10">
        <f t="shared" ca="1" si="52"/>
        <v>-0.71</v>
      </c>
      <c r="L400" s="10">
        <v>0.2</v>
      </c>
      <c r="M400" s="10">
        <f t="shared" ca="1" si="53"/>
        <v>2.1096627554757199</v>
      </c>
      <c r="N400" s="10">
        <f t="shared" ca="1" si="54"/>
        <v>2.9713559936277889</v>
      </c>
      <c r="O400" s="10">
        <f t="shared" ca="1" si="55"/>
        <v>4.4506769418414072</v>
      </c>
    </row>
    <row r="401" spans="2:15">
      <c r="B401" s="13">
        <v>171</v>
      </c>
      <c r="C401" s="17">
        <v>181.391073649014</v>
      </c>
      <c r="D401" s="32">
        <f t="shared" ca="1" si="48"/>
        <v>172.91621472980279</v>
      </c>
      <c r="E401" s="27"/>
      <c r="F401" s="27"/>
      <c r="G401" s="27"/>
      <c r="H401" s="10">
        <f t="shared" si="49"/>
        <v>6.0766512567333342</v>
      </c>
      <c r="I401" s="32">
        <f t="shared" si="50"/>
        <v>10.391073649014004</v>
      </c>
      <c r="J401" s="10">
        <f t="shared" ca="1" si="51"/>
        <v>-0.91</v>
      </c>
      <c r="K401" s="10">
        <f t="shared" ca="1" si="52"/>
        <v>0.1</v>
      </c>
      <c r="L401" s="10">
        <v>0.2</v>
      </c>
      <c r="M401" s="10">
        <f t="shared" ca="1" si="53"/>
        <v>1.9162147298028007</v>
      </c>
      <c r="N401" s="10">
        <f t="shared" ca="1" si="54"/>
        <v>1.1205934092413994</v>
      </c>
      <c r="O401" s="10">
        <f t="shared" ca="1" si="55"/>
        <v>3.6718788907132205</v>
      </c>
    </row>
    <row r="402" spans="2:15">
      <c r="B402" s="13">
        <v>147</v>
      </c>
      <c r="C402" s="17">
        <v>156.16159952445</v>
      </c>
      <c r="D402" s="32">
        <f t="shared" ref="D402:D465" ca="1" si="56">B402+M402</f>
        <v>148.69431990488999</v>
      </c>
      <c r="E402" s="27"/>
      <c r="F402" s="27"/>
      <c r="G402" s="27"/>
      <c r="H402" s="10">
        <f t="shared" ref="H402:H465" si="57">((C402/B402)-1)*100</f>
        <v>6.232380628877543</v>
      </c>
      <c r="I402" s="32">
        <f t="shared" ref="I402:I465" si="58">C402-B402</f>
        <v>9.161599524449997</v>
      </c>
      <c r="J402" s="10">
        <f t="shared" ref="J402:J465" ca="1" si="59">IF(B402 &lt; 30, RANDBETWEEN(-100, 100) / 10000, RANDBETWEEN(-100,100) / 100)</f>
        <v>-0.02</v>
      </c>
      <c r="K402" s="10">
        <f t="shared" ref="K402:K465" ca="1" si="60">IF(B402 &lt; 30, RANDBETWEEN(-100, 100) / 10000, RANDBETWEEN(-100,100) / 100)</f>
        <v>-0.67</v>
      </c>
      <c r="L402" s="10">
        <v>0.2</v>
      </c>
      <c r="M402" s="10">
        <f t="shared" ref="M402:M465" ca="1" si="61">(I402+J402+K402)*L402</f>
        <v>1.6943199048899995</v>
      </c>
      <c r="N402" s="10">
        <f t="shared" ref="N402:N465" ca="1" si="62">((D402/B402)-1)*100</f>
        <v>1.1525985747550926</v>
      </c>
      <c r="O402" s="10">
        <f t="shared" ref="O402:O465" ca="1" si="63">M402^2</f>
        <v>2.8707199401064569</v>
      </c>
    </row>
    <row r="403" spans="2:15">
      <c r="B403" s="13">
        <v>53</v>
      </c>
      <c r="C403" s="17">
        <v>63.555260244323897</v>
      </c>
      <c r="D403" s="32">
        <f t="shared" ca="1" si="56"/>
        <v>55.105052048864778</v>
      </c>
      <c r="E403" s="27"/>
      <c r="F403" s="27"/>
      <c r="G403" s="27"/>
      <c r="H403" s="10">
        <f t="shared" si="57"/>
        <v>19.915585366648859</v>
      </c>
      <c r="I403" s="32">
        <f t="shared" si="58"/>
        <v>10.555260244323897</v>
      </c>
      <c r="J403" s="10">
        <f t="shared" ca="1" si="59"/>
        <v>-0.59</v>
      </c>
      <c r="K403" s="10">
        <f t="shared" ca="1" si="60"/>
        <v>0.56000000000000005</v>
      </c>
      <c r="L403" s="10">
        <v>0.2</v>
      </c>
      <c r="M403" s="10">
        <f t="shared" ca="1" si="61"/>
        <v>2.1050520488647795</v>
      </c>
      <c r="N403" s="10">
        <f t="shared" ca="1" si="62"/>
        <v>3.9717963186127969</v>
      </c>
      <c r="O403" s="10">
        <f t="shared" ca="1" si="63"/>
        <v>4.4312441284298059</v>
      </c>
    </row>
    <row r="404" spans="2:15">
      <c r="B404" s="13">
        <v>45</v>
      </c>
      <c r="C404" s="17">
        <v>54.722330786446101</v>
      </c>
      <c r="D404" s="32">
        <f t="shared" ca="1" si="56"/>
        <v>47.170466157289219</v>
      </c>
      <c r="E404" s="27"/>
      <c r="F404" s="27"/>
      <c r="G404" s="27"/>
      <c r="H404" s="10">
        <f t="shared" si="57"/>
        <v>21.605179525435769</v>
      </c>
      <c r="I404" s="32">
        <f t="shared" si="58"/>
        <v>9.7223307864461006</v>
      </c>
      <c r="J404" s="10">
        <f t="shared" ca="1" si="59"/>
        <v>0.13</v>
      </c>
      <c r="K404" s="10">
        <f t="shared" ca="1" si="60"/>
        <v>1</v>
      </c>
      <c r="L404" s="10">
        <v>0.2</v>
      </c>
      <c r="M404" s="10">
        <f t="shared" ca="1" si="61"/>
        <v>2.1704661572892205</v>
      </c>
      <c r="N404" s="10">
        <f t="shared" ca="1" si="62"/>
        <v>4.8232581273093711</v>
      </c>
      <c r="O404" s="10">
        <f t="shared" ca="1" si="63"/>
        <v>4.7109233399378354</v>
      </c>
    </row>
    <row r="405" spans="2:15">
      <c r="B405" s="13">
        <v>205</v>
      </c>
      <c r="C405" s="17">
        <v>214.318935483795</v>
      </c>
      <c r="D405" s="32">
        <f t="shared" ca="1" si="56"/>
        <v>206.69778709675899</v>
      </c>
      <c r="E405" s="27"/>
      <c r="F405" s="27"/>
      <c r="G405" s="27"/>
      <c r="H405" s="10">
        <f t="shared" si="57"/>
        <v>4.5458221872170634</v>
      </c>
      <c r="I405" s="32">
        <f t="shared" si="58"/>
        <v>9.318935483795002</v>
      </c>
      <c r="J405" s="10">
        <f t="shared" ca="1" si="59"/>
        <v>-0.71</v>
      </c>
      <c r="K405" s="10">
        <f t="shared" ca="1" si="60"/>
        <v>-0.12</v>
      </c>
      <c r="L405" s="10">
        <v>0.2</v>
      </c>
      <c r="M405" s="10">
        <f t="shared" ca="1" si="61"/>
        <v>1.6977870967590005</v>
      </c>
      <c r="N405" s="10">
        <f t="shared" ca="1" si="62"/>
        <v>0.82818882768731505</v>
      </c>
      <c r="O405" s="10">
        <f t="shared" ca="1" si="63"/>
        <v>2.882481025921356</v>
      </c>
    </row>
    <row r="406" spans="2:15">
      <c r="B406" s="13">
        <v>35</v>
      </c>
      <c r="C406" s="17">
        <v>5.5858204611672297</v>
      </c>
      <c r="D406" s="32">
        <f t="shared" ca="1" si="56"/>
        <v>29.071164092233445</v>
      </c>
      <c r="E406" s="27"/>
      <c r="F406" s="27"/>
      <c r="G406" s="27"/>
      <c r="H406" s="10">
        <f t="shared" si="57"/>
        <v>-84.040512968093623</v>
      </c>
      <c r="I406" s="32">
        <f t="shared" si="58"/>
        <v>-29.414179538832769</v>
      </c>
      <c r="J406" s="10">
        <f t="shared" ca="1" si="59"/>
        <v>0.35</v>
      </c>
      <c r="K406" s="10">
        <f t="shared" ca="1" si="60"/>
        <v>-0.57999999999999996</v>
      </c>
      <c r="L406" s="10">
        <v>0.2</v>
      </c>
      <c r="M406" s="10">
        <f t="shared" ca="1" si="61"/>
        <v>-5.9288359077665538</v>
      </c>
      <c r="N406" s="10">
        <f t="shared" ca="1" si="62"/>
        <v>-16.939531165047296</v>
      </c>
      <c r="O406" s="10">
        <f t="shared" ca="1" si="63"/>
        <v>35.151095221222057</v>
      </c>
    </row>
    <row r="407" spans="2:15">
      <c r="B407" s="13">
        <v>125</v>
      </c>
      <c r="C407" s="17">
        <v>96.381336842618296</v>
      </c>
      <c r="D407" s="32">
        <f t="shared" ca="1" si="56"/>
        <v>119.07026736852366</v>
      </c>
      <c r="E407" s="27"/>
      <c r="F407" s="27"/>
      <c r="G407" s="27"/>
      <c r="H407" s="10">
        <f t="shared" si="57"/>
        <v>-22.894930525905366</v>
      </c>
      <c r="I407" s="32">
        <f t="shared" si="58"/>
        <v>-28.618663157381704</v>
      </c>
      <c r="J407" s="10">
        <f t="shared" ca="1" si="59"/>
        <v>-0.19</v>
      </c>
      <c r="K407" s="10">
        <f t="shared" ca="1" si="60"/>
        <v>-0.84</v>
      </c>
      <c r="L407" s="10">
        <v>0.2</v>
      </c>
      <c r="M407" s="10">
        <f t="shared" ca="1" si="61"/>
        <v>-5.929732631476341</v>
      </c>
      <c r="N407" s="10">
        <f t="shared" ca="1" si="62"/>
        <v>-4.7437861051810692</v>
      </c>
      <c r="O407" s="10">
        <f t="shared" ca="1" si="63"/>
        <v>35.161729080795332</v>
      </c>
    </row>
    <row r="408" spans="2:15">
      <c r="B408" s="13">
        <v>207</v>
      </c>
      <c r="C408" s="17">
        <v>176.536076924165</v>
      </c>
      <c r="D408" s="32">
        <f t="shared" ca="1" si="56"/>
        <v>200.87121538483299</v>
      </c>
      <c r="E408" s="27"/>
      <c r="F408" s="27"/>
      <c r="G408" s="27"/>
      <c r="H408" s="10">
        <f t="shared" si="57"/>
        <v>-14.716871051128022</v>
      </c>
      <c r="I408" s="32">
        <f t="shared" si="58"/>
        <v>-30.463923075834998</v>
      </c>
      <c r="J408" s="10">
        <f t="shared" ca="1" si="59"/>
        <v>0.09</v>
      </c>
      <c r="K408" s="10">
        <f t="shared" ca="1" si="60"/>
        <v>-0.27</v>
      </c>
      <c r="L408" s="10">
        <v>0.2</v>
      </c>
      <c r="M408" s="10">
        <f t="shared" ca="1" si="61"/>
        <v>-6.1287846151669996</v>
      </c>
      <c r="N408" s="10">
        <f t="shared" ca="1" si="62"/>
        <v>-2.960765514573438</v>
      </c>
      <c r="O408" s="10">
        <f t="shared" ca="1" si="63"/>
        <v>37.562000859107705</v>
      </c>
    </row>
    <row r="409" spans="2:15">
      <c r="B409" s="13">
        <v>82</v>
      </c>
      <c r="C409" s="17">
        <v>93.398834736200598</v>
      </c>
      <c r="D409" s="32">
        <f t="shared" ca="1" si="56"/>
        <v>84.131766947240123</v>
      </c>
      <c r="E409" s="27"/>
      <c r="F409" s="27"/>
      <c r="G409" s="27"/>
      <c r="H409" s="10">
        <f t="shared" si="57"/>
        <v>13.901017970976337</v>
      </c>
      <c r="I409" s="32">
        <f t="shared" si="58"/>
        <v>11.398834736200598</v>
      </c>
      <c r="J409" s="10">
        <f t="shared" ca="1" si="59"/>
        <v>0.26</v>
      </c>
      <c r="K409" s="10">
        <f t="shared" ca="1" si="60"/>
        <v>-1</v>
      </c>
      <c r="L409" s="10">
        <v>0.2</v>
      </c>
      <c r="M409" s="10">
        <f t="shared" ca="1" si="61"/>
        <v>2.1317669472401195</v>
      </c>
      <c r="N409" s="10">
        <f t="shared" ca="1" si="62"/>
        <v>2.599715789317214</v>
      </c>
      <c r="O409" s="10">
        <f t="shared" ca="1" si="63"/>
        <v>4.5444303173454585</v>
      </c>
    </row>
    <row r="410" spans="2:15">
      <c r="B410" s="13">
        <v>174</v>
      </c>
      <c r="C410" s="17">
        <v>145.77599852909799</v>
      </c>
      <c r="D410" s="32">
        <f t="shared" ca="1" si="56"/>
        <v>168.4291997058196</v>
      </c>
      <c r="E410" s="27"/>
      <c r="F410" s="27"/>
      <c r="G410" s="27"/>
      <c r="H410" s="10">
        <f t="shared" si="57"/>
        <v>-16.220690500518398</v>
      </c>
      <c r="I410" s="32">
        <f t="shared" si="58"/>
        <v>-28.22400147090201</v>
      </c>
      <c r="J410" s="10">
        <f t="shared" ca="1" si="59"/>
        <v>-0.12</v>
      </c>
      <c r="K410" s="10">
        <f t="shared" ca="1" si="60"/>
        <v>0.49</v>
      </c>
      <c r="L410" s="10">
        <v>0.2</v>
      </c>
      <c r="M410" s="10">
        <f t="shared" ca="1" si="61"/>
        <v>-5.5708002941804029</v>
      </c>
      <c r="N410" s="10">
        <f t="shared" ca="1" si="62"/>
        <v>-3.2016093644714916</v>
      </c>
      <c r="O410" s="10">
        <f t="shared" ca="1" si="63"/>
        <v>31.033815917640464</v>
      </c>
    </row>
    <row r="411" spans="2:15">
      <c r="B411" s="13">
        <v>10</v>
      </c>
      <c r="C411" s="17">
        <v>-17.121361082569098</v>
      </c>
      <c r="D411" s="32">
        <f t="shared" ca="1" si="56"/>
        <v>4.5748077834861798</v>
      </c>
      <c r="E411" s="27"/>
      <c r="F411" s="27"/>
      <c r="G411" s="27"/>
      <c r="H411" s="10">
        <f t="shared" si="57"/>
        <v>-271.21361082569098</v>
      </c>
      <c r="I411" s="32">
        <f t="shared" si="58"/>
        <v>-27.121361082569098</v>
      </c>
      <c r="J411" s="10">
        <f t="shared" ca="1" si="59"/>
        <v>-7.6E-3</v>
      </c>
      <c r="K411" s="10">
        <f t="shared" ca="1" si="60"/>
        <v>3.0000000000000001E-3</v>
      </c>
      <c r="L411" s="10">
        <v>0.2</v>
      </c>
      <c r="M411" s="10">
        <f t="shared" ca="1" si="61"/>
        <v>-5.4251922165138202</v>
      </c>
      <c r="N411" s="10">
        <f t="shared" ca="1" si="62"/>
        <v>-54.251922165138197</v>
      </c>
      <c r="O411" s="10">
        <f t="shared" ca="1" si="63"/>
        <v>29.432710586122138</v>
      </c>
    </row>
    <row r="412" spans="2:15">
      <c r="B412" s="13">
        <v>52</v>
      </c>
      <c r="C412" s="17">
        <v>21.9704992707507</v>
      </c>
      <c r="D412" s="32">
        <f t="shared" ca="1" si="56"/>
        <v>45.890099854150137</v>
      </c>
      <c r="E412" s="27"/>
      <c r="F412" s="27"/>
      <c r="G412" s="27"/>
      <c r="H412" s="10">
        <f t="shared" si="57"/>
        <v>-57.749039863940951</v>
      </c>
      <c r="I412" s="32">
        <f t="shared" si="58"/>
        <v>-30.0295007292493</v>
      </c>
      <c r="J412" s="10">
        <f t="shared" ca="1" si="59"/>
        <v>-0.42</v>
      </c>
      <c r="K412" s="10">
        <f t="shared" ca="1" si="60"/>
        <v>-0.1</v>
      </c>
      <c r="L412" s="10">
        <v>0.2</v>
      </c>
      <c r="M412" s="10">
        <f t="shared" ca="1" si="61"/>
        <v>-6.1099001458498607</v>
      </c>
      <c r="N412" s="10">
        <f t="shared" ca="1" si="62"/>
        <v>-11.749807972788195</v>
      </c>
      <c r="O412" s="10">
        <f t="shared" ca="1" si="63"/>
        <v>37.330879792256148</v>
      </c>
    </row>
    <row r="413" spans="2:15">
      <c r="B413" s="13">
        <v>102</v>
      </c>
      <c r="C413" s="17">
        <v>74.025475122232393</v>
      </c>
      <c r="D413" s="32">
        <f t="shared" ca="1" si="56"/>
        <v>96.219095024446474</v>
      </c>
      <c r="E413" s="27"/>
      <c r="F413" s="27"/>
      <c r="G413" s="27"/>
      <c r="H413" s="10">
        <f t="shared" si="57"/>
        <v>-27.426004782125101</v>
      </c>
      <c r="I413" s="32">
        <f t="shared" si="58"/>
        <v>-27.974524877767607</v>
      </c>
      <c r="J413" s="10">
        <f t="shared" ca="1" si="59"/>
        <v>-0.38</v>
      </c>
      <c r="K413" s="10">
        <f t="shared" ca="1" si="60"/>
        <v>-0.55000000000000004</v>
      </c>
      <c r="L413" s="10">
        <v>0.2</v>
      </c>
      <c r="M413" s="10">
        <f t="shared" ca="1" si="61"/>
        <v>-5.780904975553522</v>
      </c>
      <c r="N413" s="10">
        <f t="shared" ca="1" si="62"/>
        <v>-5.6675538976014961</v>
      </c>
      <c r="O413" s="10">
        <f t="shared" ca="1" si="63"/>
        <v>33.418862336379469</v>
      </c>
    </row>
    <row r="414" spans="2:15">
      <c r="B414" s="13">
        <v>134</v>
      </c>
      <c r="C414" s="17">
        <v>134.26804845882901</v>
      </c>
      <c r="D414" s="32">
        <f t="shared" ca="1" si="56"/>
        <v>134.00560969176581</v>
      </c>
      <c r="E414" s="27"/>
      <c r="F414" s="27"/>
      <c r="G414" s="27"/>
      <c r="H414" s="10">
        <f t="shared" si="57"/>
        <v>0.20003616330523943</v>
      </c>
      <c r="I414" s="32">
        <f t="shared" si="58"/>
        <v>0.26804845882901418</v>
      </c>
      <c r="J414" s="10">
        <f t="shared" ca="1" si="59"/>
        <v>-0.52</v>
      </c>
      <c r="K414" s="10">
        <f t="shared" ca="1" si="60"/>
        <v>0.28000000000000003</v>
      </c>
      <c r="L414" s="10">
        <v>0.2</v>
      </c>
      <c r="M414" s="10">
        <f t="shared" ca="1" si="61"/>
        <v>5.6096917658028378E-3</v>
      </c>
      <c r="N414" s="10">
        <f t="shared" ca="1" si="62"/>
        <v>4.1863371386563486E-3</v>
      </c>
      <c r="O414" s="10">
        <f t="shared" ca="1" si="63"/>
        <v>3.1468641707316161E-5</v>
      </c>
    </row>
    <row r="415" spans="2:15">
      <c r="B415" s="13">
        <v>187</v>
      </c>
      <c r="C415" s="17">
        <v>198.13024176766601</v>
      </c>
      <c r="D415" s="32">
        <f t="shared" ca="1" si="56"/>
        <v>189.1420483535332</v>
      </c>
      <c r="E415" s="27"/>
      <c r="F415" s="27"/>
      <c r="G415" s="27"/>
      <c r="H415" s="10">
        <f t="shared" si="57"/>
        <v>5.9520009452759481</v>
      </c>
      <c r="I415" s="32">
        <f t="shared" si="58"/>
        <v>11.130241767666007</v>
      </c>
      <c r="J415" s="10">
        <f t="shared" ca="1" si="59"/>
        <v>-0.01</v>
      </c>
      <c r="K415" s="10">
        <f t="shared" ca="1" si="60"/>
        <v>-0.41</v>
      </c>
      <c r="L415" s="10">
        <v>0.2</v>
      </c>
      <c r="M415" s="10">
        <f t="shared" ca="1" si="61"/>
        <v>2.1420483535332013</v>
      </c>
      <c r="N415" s="10">
        <f t="shared" ca="1" si="62"/>
        <v>1.1454804029589205</v>
      </c>
      <c r="O415" s="10">
        <f t="shared" ca="1" si="63"/>
        <v>4.5883711488742991</v>
      </c>
    </row>
    <row r="416" spans="2:15">
      <c r="B416" s="13">
        <v>60</v>
      </c>
      <c r="C416" s="17">
        <v>60.934716357823298</v>
      </c>
      <c r="D416" s="32">
        <f t="shared" ca="1" si="56"/>
        <v>60.17094327156466</v>
      </c>
      <c r="E416" s="27"/>
      <c r="F416" s="27"/>
      <c r="G416" s="27"/>
      <c r="H416" s="10">
        <f t="shared" si="57"/>
        <v>1.5578605963721737</v>
      </c>
      <c r="I416" s="32">
        <f t="shared" si="58"/>
        <v>0.93471635782329798</v>
      </c>
      <c r="J416" s="10">
        <f t="shared" ca="1" si="59"/>
        <v>-0.23</v>
      </c>
      <c r="K416" s="10">
        <f t="shared" ca="1" si="60"/>
        <v>0.15</v>
      </c>
      <c r="L416" s="10">
        <v>0.2</v>
      </c>
      <c r="M416" s="10">
        <f t="shared" ca="1" si="61"/>
        <v>0.1709432715646596</v>
      </c>
      <c r="N416" s="10">
        <f t="shared" ca="1" si="62"/>
        <v>0.28490545260777544</v>
      </c>
      <c r="O416" s="10">
        <f t="shared" ca="1" si="63"/>
        <v>2.9221602093228962E-2</v>
      </c>
    </row>
    <row r="417" spans="2:15">
      <c r="B417" s="13">
        <v>155</v>
      </c>
      <c r="C417" s="17">
        <v>126.650940776239</v>
      </c>
      <c r="D417" s="32">
        <f t="shared" ca="1" si="56"/>
        <v>149.1781881552478</v>
      </c>
      <c r="E417" s="27"/>
      <c r="F417" s="27"/>
      <c r="G417" s="27"/>
      <c r="H417" s="10">
        <f t="shared" si="57"/>
        <v>-18.289715628232905</v>
      </c>
      <c r="I417" s="32">
        <f t="shared" si="58"/>
        <v>-28.349059223761003</v>
      </c>
      <c r="J417" s="10">
        <f t="shared" ca="1" si="59"/>
        <v>-0.9</v>
      </c>
      <c r="K417" s="10">
        <f t="shared" ca="1" si="60"/>
        <v>0.14000000000000001</v>
      </c>
      <c r="L417" s="10">
        <v>0.2</v>
      </c>
      <c r="M417" s="10">
        <f t="shared" ca="1" si="61"/>
        <v>-5.8218118447522009</v>
      </c>
      <c r="N417" s="10">
        <f t="shared" ca="1" si="62"/>
        <v>-3.7560076417756161</v>
      </c>
      <c r="O417" s="10">
        <f t="shared" ca="1" si="63"/>
        <v>33.893493155697023</v>
      </c>
    </row>
    <row r="418" spans="2:15">
      <c r="B418" s="13">
        <v>184</v>
      </c>
      <c r="C418" s="17">
        <v>184.14773193292501</v>
      </c>
      <c r="D418" s="32">
        <f t="shared" ca="1" si="56"/>
        <v>184.25154638658501</v>
      </c>
      <c r="E418" s="27"/>
      <c r="F418" s="27"/>
      <c r="G418" s="27"/>
      <c r="H418" s="10">
        <f t="shared" si="57"/>
        <v>8.0289093980989712E-2</v>
      </c>
      <c r="I418" s="32">
        <f t="shared" si="58"/>
        <v>0.14773193292501219</v>
      </c>
      <c r="J418" s="10">
        <f t="shared" ca="1" si="59"/>
        <v>0.56999999999999995</v>
      </c>
      <c r="K418" s="10">
        <f t="shared" ca="1" si="60"/>
        <v>0.54</v>
      </c>
      <c r="L418" s="10">
        <v>0.2</v>
      </c>
      <c r="M418" s="10">
        <f t="shared" ca="1" si="61"/>
        <v>0.25154638658500245</v>
      </c>
      <c r="N418" s="10">
        <f t="shared" ca="1" si="62"/>
        <v>0.13670999270924966</v>
      </c>
      <c r="O418" s="10">
        <f t="shared" ca="1" si="63"/>
        <v>6.3275584603971494E-2</v>
      </c>
    </row>
    <row r="419" spans="2:15">
      <c r="B419" s="13">
        <v>139</v>
      </c>
      <c r="C419" s="17">
        <v>110.38576566866701</v>
      </c>
      <c r="D419" s="32">
        <f t="shared" ca="1" si="56"/>
        <v>133.2691531337334</v>
      </c>
      <c r="E419" s="27"/>
      <c r="F419" s="27"/>
      <c r="G419" s="27"/>
      <c r="H419" s="10">
        <f t="shared" si="57"/>
        <v>-20.585780094484175</v>
      </c>
      <c r="I419" s="32">
        <f t="shared" si="58"/>
        <v>-28.614234331332995</v>
      </c>
      <c r="J419" s="10">
        <f t="shared" ca="1" si="59"/>
        <v>0.54</v>
      </c>
      <c r="K419" s="10">
        <f t="shared" ca="1" si="60"/>
        <v>-0.57999999999999996</v>
      </c>
      <c r="L419" s="10">
        <v>0.2</v>
      </c>
      <c r="M419" s="10">
        <f t="shared" ca="1" si="61"/>
        <v>-5.7308468662665994</v>
      </c>
      <c r="N419" s="10">
        <f t="shared" ca="1" si="62"/>
        <v>-4.1229114145802885</v>
      </c>
      <c r="O419" s="10">
        <f t="shared" ca="1" si="63"/>
        <v>32.842605804597703</v>
      </c>
    </row>
    <row r="420" spans="2:15">
      <c r="B420" s="13">
        <v>49</v>
      </c>
      <c r="C420" s="17">
        <v>50.946161735159698</v>
      </c>
      <c r="D420" s="32">
        <f t="shared" ca="1" si="56"/>
        <v>49.487232347031942</v>
      </c>
      <c r="E420" s="27"/>
      <c r="F420" s="27"/>
      <c r="G420" s="27"/>
      <c r="H420" s="10">
        <f t="shared" si="57"/>
        <v>3.9717586431830654</v>
      </c>
      <c r="I420" s="32">
        <f t="shared" si="58"/>
        <v>1.9461617351596985</v>
      </c>
      <c r="J420" s="10">
        <f t="shared" ca="1" si="59"/>
        <v>-0.18</v>
      </c>
      <c r="K420" s="10">
        <f t="shared" ca="1" si="60"/>
        <v>0.67</v>
      </c>
      <c r="L420" s="10">
        <v>0.2</v>
      </c>
      <c r="M420" s="10">
        <f t="shared" ca="1" si="61"/>
        <v>0.48723234703193974</v>
      </c>
      <c r="N420" s="10">
        <f t="shared" ca="1" si="62"/>
        <v>0.99435172863662213</v>
      </c>
      <c r="O420" s="10">
        <f t="shared" ca="1" si="63"/>
        <v>0.23739535999425257</v>
      </c>
    </row>
    <row r="421" spans="2:15">
      <c r="B421" s="13">
        <v>100</v>
      </c>
      <c r="C421" s="17">
        <v>71.206415517558199</v>
      </c>
      <c r="D421" s="32">
        <f t="shared" ca="1" si="56"/>
        <v>94.207283103511642</v>
      </c>
      <c r="E421" s="27"/>
      <c r="F421" s="27"/>
      <c r="G421" s="27"/>
      <c r="H421" s="10">
        <f t="shared" si="57"/>
        <v>-28.793584482441801</v>
      </c>
      <c r="I421" s="32">
        <f t="shared" si="58"/>
        <v>-28.793584482441801</v>
      </c>
      <c r="J421" s="10">
        <f t="shared" ca="1" si="59"/>
        <v>-0.59</v>
      </c>
      <c r="K421" s="10">
        <f t="shared" ca="1" si="60"/>
        <v>0.42</v>
      </c>
      <c r="L421" s="10">
        <v>0.2</v>
      </c>
      <c r="M421" s="10">
        <f t="shared" ca="1" si="61"/>
        <v>-5.7927168964883604</v>
      </c>
      <c r="N421" s="10">
        <f t="shared" ca="1" si="62"/>
        <v>-5.7927168964883595</v>
      </c>
      <c r="O421" s="10">
        <f t="shared" ca="1" si="63"/>
        <v>33.555569042861741</v>
      </c>
    </row>
    <row r="422" spans="2:15">
      <c r="B422" s="13">
        <v>108</v>
      </c>
      <c r="C422" s="17">
        <v>78.783258320249303</v>
      </c>
      <c r="D422" s="32">
        <f t="shared" ca="1" si="56"/>
        <v>102.02465166404986</v>
      </c>
      <c r="E422" s="27"/>
      <c r="F422" s="27"/>
      <c r="G422" s="27"/>
      <c r="H422" s="10">
        <f t="shared" si="57"/>
        <v>-27.052538592361753</v>
      </c>
      <c r="I422" s="32">
        <f t="shared" si="58"/>
        <v>-29.216741679750697</v>
      </c>
      <c r="J422" s="10">
        <f t="shared" ca="1" si="59"/>
        <v>-0.74</v>
      </c>
      <c r="K422" s="10">
        <f t="shared" ca="1" si="60"/>
        <v>0.08</v>
      </c>
      <c r="L422" s="10">
        <v>0.2</v>
      </c>
      <c r="M422" s="10">
        <f t="shared" ca="1" si="61"/>
        <v>-5.97534833595014</v>
      </c>
      <c r="N422" s="10">
        <f t="shared" ca="1" si="62"/>
        <v>-5.5327299406945807</v>
      </c>
      <c r="O422" s="10">
        <f t="shared" ca="1" si="63"/>
        <v>35.704787735942105</v>
      </c>
    </row>
    <row r="423" spans="2:15">
      <c r="B423" s="13">
        <v>41</v>
      </c>
      <c r="C423" s="17">
        <v>11.647705158848501</v>
      </c>
      <c r="D423" s="32">
        <f t="shared" ca="1" si="56"/>
        <v>34.893541031769701</v>
      </c>
      <c r="E423" s="27"/>
      <c r="F423" s="27"/>
      <c r="G423" s="27"/>
      <c r="H423" s="10">
        <f t="shared" si="57"/>
        <v>-71.590963027198782</v>
      </c>
      <c r="I423" s="32">
        <f t="shared" si="58"/>
        <v>-29.352294841151497</v>
      </c>
      <c r="J423" s="10">
        <f t="shared" ca="1" si="59"/>
        <v>-0.27</v>
      </c>
      <c r="K423" s="10">
        <f t="shared" ca="1" si="60"/>
        <v>-0.91</v>
      </c>
      <c r="L423" s="10">
        <v>0.2</v>
      </c>
      <c r="M423" s="10">
        <f t="shared" ca="1" si="61"/>
        <v>-6.1064589682302994</v>
      </c>
      <c r="N423" s="10">
        <f t="shared" ca="1" si="62"/>
        <v>-14.893802361537311</v>
      </c>
      <c r="O423" s="10">
        <f t="shared" ca="1" si="63"/>
        <v>37.288841130680254</v>
      </c>
    </row>
    <row r="424" spans="2:15">
      <c r="B424" s="13">
        <v>124</v>
      </c>
      <c r="C424" s="17">
        <v>124.346260733441</v>
      </c>
      <c r="D424" s="32">
        <f t="shared" ca="1" si="56"/>
        <v>124.3212521466882</v>
      </c>
      <c r="E424" s="27"/>
      <c r="F424" s="27"/>
      <c r="G424" s="27"/>
      <c r="H424" s="10">
        <f t="shared" si="57"/>
        <v>0.27924252696853724</v>
      </c>
      <c r="I424" s="32">
        <f t="shared" si="58"/>
        <v>0.3462607334409995</v>
      </c>
      <c r="J424" s="10">
        <f t="shared" ca="1" si="59"/>
        <v>0.32</v>
      </c>
      <c r="K424" s="10">
        <f t="shared" ca="1" si="60"/>
        <v>0.94</v>
      </c>
      <c r="L424" s="10">
        <v>0.2</v>
      </c>
      <c r="M424" s="10">
        <f t="shared" ca="1" si="61"/>
        <v>0.3212521466881999</v>
      </c>
      <c r="N424" s="10">
        <f t="shared" ca="1" si="62"/>
        <v>0.25907431184530871</v>
      </c>
      <c r="O424" s="10">
        <f t="shared" ca="1" si="63"/>
        <v>0.1032029417517767</v>
      </c>
    </row>
    <row r="425" spans="2:15">
      <c r="B425" s="13">
        <v>189</v>
      </c>
      <c r="C425" s="17">
        <v>199.26320951442301</v>
      </c>
      <c r="D425" s="32">
        <f t="shared" ca="1" si="56"/>
        <v>190.9926419028846</v>
      </c>
      <c r="E425" s="27"/>
      <c r="F425" s="27"/>
      <c r="G425" s="27"/>
      <c r="H425" s="10">
        <f t="shared" si="57"/>
        <v>5.4302695843507998</v>
      </c>
      <c r="I425" s="32">
        <f t="shared" si="58"/>
        <v>10.263209514423011</v>
      </c>
      <c r="J425" s="10">
        <f t="shared" ca="1" si="59"/>
        <v>-0.04</v>
      </c>
      <c r="K425" s="10">
        <f t="shared" ca="1" si="60"/>
        <v>-0.26</v>
      </c>
      <c r="L425" s="10">
        <v>0.2</v>
      </c>
      <c r="M425" s="10">
        <f t="shared" ca="1" si="61"/>
        <v>1.9926419028846025</v>
      </c>
      <c r="N425" s="10">
        <f t="shared" ca="1" si="62"/>
        <v>1.0543078851241283</v>
      </c>
      <c r="O425" s="10">
        <f t="shared" ca="1" si="63"/>
        <v>3.9706217531315695</v>
      </c>
    </row>
    <row r="426" spans="2:15">
      <c r="B426" s="13">
        <v>219</v>
      </c>
      <c r="C426" s="17">
        <v>189.82079386634899</v>
      </c>
      <c r="D426" s="32">
        <f t="shared" ca="1" si="56"/>
        <v>213.2101587732698</v>
      </c>
      <c r="E426" s="27"/>
      <c r="F426" s="27"/>
      <c r="G426" s="27"/>
      <c r="H426" s="10">
        <f t="shared" si="57"/>
        <v>-13.323838417192235</v>
      </c>
      <c r="I426" s="32">
        <f t="shared" si="58"/>
        <v>-29.179206133651007</v>
      </c>
      <c r="J426" s="10">
        <f t="shared" ca="1" si="59"/>
        <v>-0.76</v>
      </c>
      <c r="K426" s="10">
        <f t="shared" ca="1" si="60"/>
        <v>0.99</v>
      </c>
      <c r="L426" s="10">
        <v>0.2</v>
      </c>
      <c r="M426" s="10">
        <f t="shared" ca="1" si="61"/>
        <v>-5.7898412267302026</v>
      </c>
      <c r="N426" s="10">
        <f t="shared" ca="1" si="62"/>
        <v>-2.6437631172284037</v>
      </c>
      <c r="O426" s="10">
        <f t="shared" ca="1" si="63"/>
        <v>33.522261430744699</v>
      </c>
    </row>
    <row r="427" spans="2:15">
      <c r="B427" s="13">
        <v>126</v>
      </c>
      <c r="C427" s="17">
        <v>97.594182426147299</v>
      </c>
      <c r="D427" s="32">
        <f t="shared" ca="1" si="56"/>
        <v>120.31283648522945</v>
      </c>
      <c r="E427" s="27"/>
      <c r="F427" s="27"/>
      <c r="G427" s="27"/>
      <c r="H427" s="10">
        <f t="shared" si="57"/>
        <v>-22.544299661787861</v>
      </c>
      <c r="I427" s="32">
        <f t="shared" si="58"/>
        <v>-28.405817573852701</v>
      </c>
      <c r="J427" s="10">
        <f t="shared" ca="1" si="59"/>
        <v>-0.81</v>
      </c>
      <c r="K427" s="10">
        <f t="shared" ca="1" si="60"/>
        <v>0.78</v>
      </c>
      <c r="L427" s="10">
        <v>0.2</v>
      </c>
      <c r="M427" s="10">
        <f t="shared" ca="1" si="61"/>
        <v>-5.6871635147705399</v>
      </c>
      <c r="N427" s="10">
        <f t="shared" ca="1" si="62"/>
        <v>-4.5136218371194854</v>
      </c>
      <c r="O427" s="10">
        <f t="shared" ca="1" si="63"/>
        <v>32.343828843737199</v>
      </c>
    </row>
    <row r="428" spans="2:15">
      <c r="B428" s="13">
        <v>86</v>
      </c>
      <c r="C428" s="17">
        <v>56.159041389322503</v>
      </c>
      <c r="D428" s="32">
        <f t="shared" ca="1" si="56"/>
        <v>79.833808277864506</v>
      </c>
      <c r="E428" s="27"/>
      <c r="F428" s="27"/>
      <c r="G428" s="27"/>
      <c r="H428" s="10">
        <f t="shared" si="57"/>
        <v>-34.698789082183133</v>
      </c>
      <c r="I428" s="32">
        <f t="shared" si="58"/>
        <v>-29.840958610677497</v>
      </c>
      <c r="J428" s="10">
        <f t="shared" ca="1" si="59"/>
        <v>-0.4</v>
      </c>
      <c r="K428" s="10">
        <f t="shared" ca="1" si="60"/>
        <v>-0.59</v>
      </c>
      <c r="L428" s="10">
        <v>0.2</v>
      </c>
      <c r="M428" s="10">
        <f t="shared" ca="1" si="61"/>
        <v>-6.1661917221354994</v>
      </c>
      <c r="N428" s="10">
        <f t="shared" ca="1" si="62"/>
        <v>-7.1699903745761517</v>
      </c>
      <c r="O428" s="10">
        <f t="shared" ca="1" si="63"/>
        <v>38.021920354132355</v>
      </c>
    </row>
    <row r="429" spans="2:15">
      <c r="B429" s="13">
        <v>13</v>
      </c>
      <c r="C429" s="17">
        <v>14.0513602438663</v>
      </c>
      <c r="D429" s="32">
        <f t="shared" ca="1" si="56"/>
        <v>13.20851204877326</v>
      </c>
      <c r="E429" s="27"/>
      <c r="F429" s="27"/>
      <c r="G429" s="27"/>
      <c r="H429" s="10">
        <f t="shared" si="57"/>
        <v>8.0873864912792257</v>
      </c>
      <c r="I429" s="32">
        <f t="shared" si="58"/>
        <v>1.0513602438663003</v>
      </c>
      <c r="J429" s="10">
        <f t="shared" ca="1" si="59"/>
        <v>-1.5E-3</v>
      </c>
      <c r="K429" s="10">
        <f t="shared" ca="1" si="60"/>
        <v>-7.3000000000000001E-3</v>
      </c>
      <c r="L429" s="10">
        <v>0.2</v>
      </c>
      <c r="M429" s="10">
        <f t="shared" ca="1" si="61"/>
        <v>0.20851204877326004</v>
      </c>
      <c r="N429" s="10">
        <f t="shared" ca="1" si="62"/>
        <v>1.603938836717389</v>
      </c>
      <c r="O429" s="10">
        <f t="shared" ca="1" si="63"/>
        <v>4.3477274483622375E-2</v>
      </c>
    </row>
    <row r="430" spans="2:15">
      <c r="B430" s="13">
        <v>37</v>
      </c>
      <c r="C430" s="17">
        <v>47.981440353646001</v>
      </c>
      <c r="D430" s="32">
        <f t="shared" ca="1" si="56"/>
        <v>39.076288070729198</v>
      </c>
      <c r="E430" s="27"/>
      <c r="F430" s="27"/>
      <c r="G430" s="27"/>
      <c r="H430" s="10">
        <f t="shared" si="57"/>
        <v>29.679568523367571</v>
      </c>
      <c r="I430" s="32">
        <f t="shared" si="58"/>
        <v>10.981440353646001</v>
      </c>
      <c r="J430" s="10">
        <f t="shared" ca="1" si="59"/>
        <v>0.06</v>
      </c>
      <c r="K430" s="10">
        <f t="shared" ca="1" si="60"/>
        <v>-0.66</v>
      </c>
      <c r="L430" s="10">
        <v>0.2</v>
      </c>
      <c r="M430" s="10">
        <f t="shared" ca="1" si="61"/>
        <v>2.0762880707292002</v>
      </c>
      <c r="N430" s="10">
        <f t="shared" ca="1" si="62"/>
        <v>5.6115893803491801</v>
      </c>
      <c r="O430" s="10">
        <f t="shared" ca="1" si="63"/>
        <v>4.3109721526523845</v>
      </c>
    </row>
    <row r="431" spans="2:15">
      <c r="B431" s="13">
        <v>32</v>
      </c>
      <c r="C431" s="17">
        <v>42.450646361371597</v>
      </c>
      <c r="D431" s="32">
        <f t="shared" ca="1" si="56"/>
        <v>34.21412927227432</v>
      </c>
      <c r="E431" s="27"/>
      <c r="F431" s="27"/>
      <c r="G431" s="27"/>
      <c r="H431" s="10">
        <f t="shared" si="57"/>
        <v>32.658269879286237</v>
      </c>
      <c r="I431" s="32">
        <f t="shared" si="58"/>
        <v>10.450646361371597</v>
      </c>
      <c r="J431" s="10">
        <f t="shared" ca="1" si="59"/>
        <v>0.88</v>
      </c>
      <c r="K431" s="10">
        <f t="shared" ca="1" si="60"/>
        <v>-0.26</v>
      </c>
      <c r="L431" s="10">
        <v>0.2</v>
      </c>
      <c r="M431" s="10">
        <f t="shared" ca="1" si="61"/>
        <v>2.2141292722743198</v>
      </c>
      <c r="N431" s="10">
        <f t="shared" ca="1" si="62"/>
        <v>6.9191539758572507</v>
      </c>
      <c r="O431" s="10">
        <f t="shared" ca="1" si="63"/>
        <v>4.9023684343420086</v>
      </c>
    </row>
    <row r="432" spans="2:15">
      <c r="B432" s="13">
        <v>107</v>
      </c>
      <c r="C432" s="17">
        <v>78.744387444445593</v>
      </c>
      <c r="D432" s="32">
        <f t="shared" ca="1" si="56"/>
        <v>101.61087748888912</v>
      </c>
      <c r="E432" s="27"/>
      <c r="F432" s="27"/>
      <c r="G432" s="27"/>
      <c r="H432" s="10">
        <f t="shared" si="57"/>
        <v>-26.407114537901311</v>
      </c>
      <c r="I432" s="32">
        <f t="shared" si="58"/>
        <v>-28.255612555554407</v>
      </c>
      <c r="J432" s="10">
        <f t="shared" ca="1" si="59"/>
        <v>0.91</v>
      </c>
      <c r="K432" s="10">
        <f t="shared" ca="1" si="60"/>
        <v>0.4</v>
      </c>
      <c r="L432" s="10">
        <v>0.2</v>
      </c>
      <c r="M432" s="10">
        <f t="shared" ca="1" si="61"/>
        <v>-5.389122511110882</v>
      </c>
      <c r="N432" s="10">
        <f t="shared" ca="1" si="62"/>
        <v>-5.0365630944961488</v>
      </c>
      <c r="O432" s="10">
        <f t="shared" ca="1" si="63"/>
        <v>29.042641439762058</v>
      </c>
    </row>
    <row r="433" spans="2:15">
      <c r="B433" s="13">
        <v>2</v>
      </c>
      <c r="C433" s="17">
        <v>4.0375383881197902</v>
      </c>
      <c r="D433" s="32">
        <f t="shared" ca="1" si="56"/>
        <v>2.409387677623958</v>
      </c>
      <c r="E433" s="27"/>
      <c r="F433" s="27"/>
      <c r="G433" s="27"/>
      <c r="H433" s="10">
        <f t="shared" si="57"/>
        <v>101.87691940598951</v>
      </c>
      <c r="I433" s="32">
        <f t="shared" si="58"/>
        <v>2.0375383881197902</v>
      </c>
      <c r="J433" s="10">
        <f t="shared" ca="1" si="59"/>
        <v>5.7000000000000002E-3</v>
      </c>
      <c r="K433" s="10">
        <f t="shared" ca="1" si="60"/>
        <v>3.7000000000000002E-3</v>
      </c>
      <c r="L433" s="10">
        <v>0.2</v>
      </c>
      <c r="M433" s="10">
        <f t="shared" ca="1" si="61"/>
        <v>0.409387677623958</v>
      </c>
      <c r="N433" s="10">
        <f t="shared" ca="1" si="62"/>
        <v>20.469383881197899</v>
      </c>
      <c r="O433" s="10">
        <f t="shared" ca="1" si="63"/>
        <v>0.16759827059033777</v>
      </c>
    </row>
    <row r="434" spans="2:15">
      <c r="B434" s="13">
        <v>215</v>
      </c>
      <c r="C434" s="17">
        <v>214.01733443325</v>
      </c>
      <c r="D434" s="32">
        <f t="shared" ca="1" si="56"/>
        <v>214.73346688665001</v>
      </c>
      <c r="E434" s="27"/>
      <c r="F434" s="27"/>
      <c r="G434" s="27"/>
      <c r="H434" s="10">
        <f t="shared" si="57"/>
        <v>-0.45705375197674369</v>
      </c>
      <c r="I434" s="32">
        <f t="shared" si="58"/>
        <v>-0.98266556675000061</v>
      </c>
      <c r="J434" s="10">
        <f t="shared" ca="1" si="59"/>
        <v>0.02</v>
      </c>
      <c r="K434" s="10">
        <f t="shared" ca="1" si="60"/>
        <v>-0.37</v>
      </c>
      <c r="L434" s="10">
        <v>0.2</v>
      </c>
      <c r="M434" s="10">
        <f t="shared" ca="1" si="61"/>
        <v>-0.26653311335000013</v>
      </c>
      <c r="N434" s="10">
        <f t="shared" ca="1" si="62"/>
        <v>-0.12396888993022603</v>
      </c>
      <c r="O434" s="10">
        <f t="shared" ca="1" si="63"/>
        <v>7.1039900512044021E-2</v>
      </c>
    </row>
    <row r="435" spans="2:15">
      <c r="B435" s="13">
        <v>75</v>
      </c>
      <c r="C435" s="17">
        <v>45.851600842463</v>
      </c>
      <c r="D435" s="32">
        <f t="shared" ca="1" si="56"/>
        <v>68.938320168492595</v>
      </c>
      <c r="E435" s="27"/>
      <c r="F435" s="27"/>
      <c r="G435" s="27"/>
      <c r="H435" s="10">
        <f t="shared" si="57"/>
        <v>-38.864532210049333</v>
      </c>
      <c r="I435" s="32">
        <f t="shared" si="58"/>
        <v>-29.148399157537</v>
      </c>
      <c r="J435" s="10">
        <f t="shared" ca="1" si="59"/>
        <v>-0.66</v>
      </c>
      <c r="K435" s="10">
        <f t="shared" ca="1" si="60"/>
        <v>-0.5</v>
      </c>
      <c r="L435" s="10">
        <v>0.2</v>
      </c>
      <c r="M435" s="10">
        <f t="shared" ca="1" si="61"/>
        <v>-6.0616798315074005</v>
      </c>
      <c r="N435" s="10">
        <f t="shared" ca="1" si="62"/>
        <v>-8.0822397753432025</v>
      </c>
      <c r="O435" s="10">
        <f t="shared" ca="1" si="63"/>
        <v>36.743962379703589</v>
      </c>
    </row>
    <row r="436" spans="2:15">
      <c r="B436" s="13">
        <v>133</v>
      </c>
      <c r="C436" s="17">
        <v>102.84034930206199</v>
      </c>
      <c r="D436" s="32">
        <f t="shared" ca="1" si="56"/>
        <v>126.7660698604124</v>
      </c>
      <c r="E436" s="27"/>
      <c r="F436" s="27"/>
      <c r="G436" s="27"/>
      <c r="H436" s="10">
        <f t="shared" si="57"/>
        <v>-22.676429096193985</v>
      </c>
      <c r="I436" s="32">
        <f t="shared" si="58"/>
        <v>-30.159650697938005</v>
      </c>
      <c r="J436" s="10">
        <f t="shared" ca="1" si="59"/>
        <v>-0.89</v>
      </c>
      <c r="K436" s="10">
        <f t="shared" ca="1" si="60"/>
        <v>-0.12</v>
      </c>
      <c r="L436" s="10">
        <v>0.2</v>
      </c>
      <c r="M436" s="10">
        <f t="shared" ca="1" si="61"/>
        <v>-6.2339301395876019</v>
      </c>
      <c r="N436" s="10">
        <f t="shared" ca="1" si="62"/>
        <v>-4.6871655184869132</v>
      </c>
      <c r="O436" s="10">
        <f t="shared" ca="1" si="63"/>
        <v>38.861884985258698</v>
      </c>
    </row>
    <row r="437" spans="2:15">
      <c r="B437" s="13">
        <v>121</v>
      </c>
      <c r="C437" s="17">
        <v>121.58591037395399</v>
      </c>
      <c r="D437" s="32">
        <f t="shared" ca="1" si="56"/>
        <v>121.3731820747908</v>
      </c>
      <c r="E437" s="27"/>
      <c r="F437" s="27"/>
      <c r="G437" s="27"/>
      <c r="H437" s="10">
        <f t="shared" si="57"/>
        <v>0.48422344954874852</v>
      </c>
      <c r="I437" s="32">
        <f t="shared" si="58"/>
        <v>0.58591037395399326</v>
      </c>
      <c r="J437" s="10">
        <f t="shared" ca="1" si="59"/>
        <v>0.98</v>
      </c>
      <c r="K437" s="10">
        <f t="shared" ca="1" si="60"/>
        <v>0.3</v>
      </c>
      <c r="L437" s="10">
        <v>0.2</v>
      </c>
      <c r="M437" s="10">
        <f t="shared" ca="1" si="61"/>
        <v>0.37318207479079868</v>
      </c>
      <c r="N437" s="10">
        <f t="shared" ca="1" si="62"/>
        <v>0.30841493784363738</v>
      </c>
      <c r="O437" s="10">
        <f t="shared" ca="1" si="63"/>
        <v>0.13926486094516527</v>
      </c>
    </row>
    <row r="438" spans="2:15">
      <c r="B438" s="13">
        <v>23</v>
      </c>
      <c r="C438" s="17">
        <v>34.141117370157502</v>
      </c>
      <c r="D438" s="32">
        <f t="shared" ca="1" si="56"/>
        <v>25.227483474031501</v>
      </c>
      <c r="E438" s="27"/>
      <c r="F438" s="27"/>
      <c r="G438" s="27"/>
      <c r="H438" s="10">
        <f t="shared" si="57"/>
        <v>48.439640739815239</v>
      </c>
      <c r="I438" s="32">
        <f t="shared" si="58"/>
        <v>11.141117370157502</v>
      </c>
      <c r="J438" s="10">
        <f t="shared" ca="1" si="59"/>
        <v>3.7000000000000002E-3</v>
      </c>
      <c r="K438" s="10">
        <f t="shared" ca="1" si="60"/>
        <v>-7.4000000000000003E-3</v>
      </c>
      <c r="L438" s="10">
        <v>0.2</v>
      </c>
      <c r="M438" s="10">
        <f t="shared" ca="1" si="61"/>
        <v>2.2274834740315006</v>
      </c>
      <c r="N438" s="10">
        <f t="shared" ca="1" si="62"/>
        <v>9.6847107566587098</v>
      </c>
      <c r="O438" s="10">
        <f t="shared" ca="1" si="63"/>
        <v>4.9616826270834427</v>
      </c>
    </row>
    <row r="439" spans="2:15">
      <c r="B439" s="13">
        <v>177</v>
      </c>
      <c r="C439" s="17">
        <v>145.956407005572</v>
      </c>
      <c r="D439" s="32">
        <f t="shared" ca="1" si="56"/>
        <v>170.6912814011144</v>
      </c>
      <c r="E439" s="27"/>
      <c r="F439" s="27"/>
      <c r="G439" s="27"/>
      <c r="H439" s="10">
        <f t="shared" si="57"/>
        <v>-17.538753104196601</v>
      </c>
      <c r="I439" s="32">
        <f t="shared" si="58"/>
        <v>-31.043592994427996</v>
      </c>
      <c r="J439" s="10">
        <f t="shared" ca="1" si="59"/>
        <v>0.31</v>
      </c>
      <c r="K439" s="10">
        <f t="shared" ca="1" si="60"/>
        <v>-0.81</v>
      </c>
      <c r="L439" s="10">
        <v>0.2</v>
      </c>
      <c r="M439" s="10">
        <f t="shared" ca="1" si="61"/>
        <v>-6.3087185988855996</v>
      </c>
      <c r="N439" s="10">
        <f t="shared" ca="1" si="62"/>
        <v>-3.5642477959805685</v>
      </c>
      <c r="O439" s="10">
        <f t="shared" ca="1" si="63"/>
        <v>39.799930359925085</v>
      </c>
    </row>
    <row r="440" spans="2:15">
      <c r="B440" s="13">
        <v>172</v>
      </c>
      <c r="C440" s="17">
        <v>173.45369335049199</v>
      </c>
      <c r="D440" s="32">
        <f t="shared" ca="1" si="56"/>
        <v>172.2507386700984</v>
      </c>
      <c r="E440" s="27"/>
      <c r="F440" s="27"/>
      <c r="G440" s="27"/>
      <c r="H440" s="10">
        <f t="shared" si="57"/>
        <v>0.84517055261161822</v>
      </c>
      <c r="I440" s="32">
        <f t="shared" si="58"/>
        <v>1.4536933504919887</v>
      </c>
      <c r="J440" s="10">
        <f t="shared" ca="1" si="59"/>
        <v>0.71</v>
      </c>
      <c r="K440" s="10">
        <f t="shared" ca="1" si="60"/>
        <v>-0.91</v>
      </c>
      <c r="L440" s="10">
        <v>0.2</v>
      </c>
      <c r="M440" s="10">
        <f t="shared" ca="1" si="61"/>
        <v>0.25073867009839773</v>
      </c>
      <c r="N440" s="10">
        <f t="shared" ca="1" si="62"/>
        <v>0.14577829656883257</v>
      </c>
      <c r="O440" s="10">
        <f t="shared" ca="1" si="63"/>
        <v>6.2869880682713139E-2</v>
      </c>
    </row>
    <row r="441" spans="2:15">
      <c r="B441" s="13">
        <v>187</v>
      </c>
      <c r="C441" s="17">
        <v>185.975995212491</v>
      </c>
      <c r="D441" s="32">
        <f t="shared" ca="1" si="56"/>
        <v>186.7871990424982</v>
      </c>
      <c r="E441" s="27"/>
      <c r="F441" s="27"/>
      <c r="G441" s="27"/>
      <c r="H441" s="10">
        <f t="shared" si="57"/>
        <v>-0.54759614305294191</v>
      </c>
      <c r="I441" s="32">
        <f t="shared" si="58"/>
        <v>-1.0240047875089999</v>
      </c>
      <c r="J441" s="10">
        <f t="shared" ca="1" si="59"/>
        <v>0.26</v>
      </c>
      <c r="K441" s="10">
        <f t="shared" ca="1" si="60"/>
        <v>-0.3</v>
      </c>
      <c r="L441" s="10">
        <v>0.2</v>
      </c>
      <c r="M441" s="10">
        <f t="shared" ca="1" si="61"/>
        <v>-0.2128009575018</v>
      </c>
      <c r="N441" s="10">
        <f t="shared" ca="1" si="62"/>
        <v>-0.11379730347689243</v>
      </c>
      <c r="O441" s="10">
        <f t="shared" ca="1" si="63"/>
        <v>4.5284247513682895E-2</v>
      </c>
    </row>
    <row r="442" spans="2:15">
      <c r="B442" s="13">
        <v>19</v>
      </c>
      <c r="C442" s="17">
        <v>20.7429381153216</v>
      </c>
      <c r="D442" s="32">
        <f t="shared" ca="1" si="56"/>
        <v>19.34778762306432</v>
      </c>
      <c r="E442" s="27"/>
      <c r="F442" s="27"/>
      <c r="G442" s="27"/>
      <c r="H442" s="10">
        <f t="shared" si="57"/>
        <v>9.1733585016926291</v>
      </c>
      <c r="I442" s="32">
        <f t="shared" si="58"/>
        <v>1.7429381153215999</v>
      </c>
      <c r="J442" s="10">
        <f t="shared" ca="1" si="59"/>
        <v>-3.5000000000000001E-3</v>
      </c>
      <c r="K442" s="10">
        <f t="shared" ca="1" si="60"/>
        <v>-5.0000000000000001E-4</v>
      </c>
      <c r="L442" s="10">
        <v>0.2</v>
      </c>
      <c r="M442" s="10">
        <f t="shared" ca="1" si="61"/>
        <v>0.34778762306431998</v>
      </c>
      <c r="N442" s="10">
        <f t="shared" ca="1" si="62"/>
        <v>1.8304611740227461</v>
      </c>
      <c r="O442" s="10">
        <f t="shared" ca="1" si="63"/>
        <v>0.12095623075672952</v>
      </c>
    </row>
    <row r="443" spans="2:15">
      <c r="B443" s="13">
        <v>85</v>
      </c>
      <c r="C443" s="17">
        <v>86.922815276750995</v>
      </c>
      <c r="D443" s="32">
        <f t="shared" ca="1" si="56"/>
        <v>85.224563055350202</v>
      </c>
      <c r="E443" s="27"/>
      <c r="F443" s="27"/>
      <c r="G443" s="27"/>
      <c r="H443" s="10">
        <f t="shared" si="57"/>
        <v>2.2621356197070508</v>
      </c>
      <c r="I443" s="32">
        <f t="shared" si="58"/>
        <v>1.9228152767509954</v>
      </c>
      <c r="J443" s="10">
        <f t="shared" ca="1" si="59"/>
        <v>-0.38</v>
      </c>
      <c r="K443" s="10">
        <f t="shared" ca="1" si="60"/>
        <v>-0.42</v>
      </c>
      <c r="L443" s="10">
        <v>0.2</v>
      </c>
      <c r="M443" s="10">
        <f t="shared" ca="1" si="61"/>
        <v>0.22456305535019913</v>
      </c>
      <c r="N443" s="10">
        <f t="shared" ca="1" si="62"/>
        <v>0.26419182982375666</v>
      </c>
      <c r="O443" s="10">
        <f t="shared" ca="1" si="63"/>
        <v>5.0428565828216601E-2</v>
      </c>
    </row>
    <row r="444" spans="2:15">
      <c r="B444" s="13">
        <v>192</v>
      </c>
      <c r="C444" s="17">
        <v>191.53769756317601</v>
      </c>
      <c r="D444" s="32">
        <f t="shared" ca="1" si="56"/>
        <v>191.92953951263522</v>
      </c>
      <c r="E444" s="27"/>
      <c r="F444" s="27"/>
      <c r="G444" s="27"/>
      <c r="H444" s="10">
        <f t="shared" si="57"/>
        <v>-0.24078251917916127</v>
      </c>
      <c r="I444" s="32">
        <f t="shared" si="58"/>
        <v>-0.46230243682398964</v>
      </c>
      <c r="J444" s="10">
        <f t="shared" ca="1" si="59"/>
        <v>-0.38</v>
      </c>
      <c r="K444" s="10">
        <f t="shared" ca="1" si="60"/>
        <v>0.49</v>
      </c>
      <c r="L444" s="10">
        <v>0.2</v>
      </c>
      <c r="M444" s="10">
        <f t="shared" ca="1" si="61"/>
        <v>-7.046048736479793E-2</v>
      </c>
      <c r="N444" s="10">
        <f t="shared" ca="1" si="62"/>
        <v>-3.6698170502491578E-2</v>
      </c>
      <c r="O444" s="10">
        <f t="shared" ca="1" si="63"/>
        <v>4.964680279684849E-3</v>
      </c>
    </row>
    <row r="445" spans="2:15">
      <c r="B445" s="13">
        <v>84</v>
      </c>
      <c r="C445" s="17">
        <v>53.9176923141925</v>
      </c>
      <c r="D445" s="32">
        <f t="shared" ca="1" si="56"/>
        <v>78.023538462838502</v>
      </c>
      <c r="E445" s="27"/>
      <c r="F445" s="27"/>
      <c r="G445" s="27"/>
      <c r="H445" s="10">
        <f t="shared" si="57"/>
        <v>-35.812271054532744</v>
      </c>
      <c r="I445" s="32">
        <f t="shared" si="58"/>
        <v>-30.0823076858075</v>
      </c>
      <c r="J445" s="10">
        <f t="shared" ca="1" si="59"/>
        <v>-0.25</v>
      </c>
      <c r="K445" s="10">
        <f t="shared" ca="1" si="60"/>
        <v>0.45</v>
      </c>
      <c r="L445" s="10">
        <v>0.2</v>
      </c>
      <c r="M445" s="10">
        <f t="shared" ca="1" si="61"/>
        <v>-5.9764615371615006</v>
      </c>
      <c r="N445" s="10">
        <f t="shared" ca="1" si="62"/>
        <v>-7.1148351632875029</v>
      </c>
      <c r="O445" s="10">
        <f t="shared" ca="1" si="63"/>
        <v>35.718092505170809</v>
      </c>
    </row>
    <row r="446" spans="2:15">
      <c r="B446" s="13">
        <v>199</v>
      </c>
      <c r="C446" s="17">
        <v>210.01491759551001</v>
      </c>
      <c r="D446" s="32">
        <f t="shared" ca="1" si="56"/>
        <v>201.27298351910201</v>
      </c>
      <c r="E446" s="27"/>
      <c r="F446" s="27"/>
      <c r="G446" s="27"/>
      <c r="H446" s="10">
        <f t="shared" si="57"/>
        <v>5.5351344701055405</v>
      </c>
      <c r="I446" s="32">
        <f t="shared" si="58"/>
        <v>11.014917595510013</v>
      </c>
      <c r="J446" s="10">
        <f t="shared" ca="1" si="59"/>
        <v>-0.1</v>
      </c>
      <c r="K446" s="10">
        <f t="shared" ca="1" si="60"/>
        <v>0.45</v>
      </c>
      <c r="L446" s="10">
        <v>0.2</v>
      </c>
      <c r="M446" s="10">
        <f t="shared" ca="1" si="61"/>
        <v>2.2729835191020027</v>
      </c>
      <c r="N446" s="10">
        <f t="shared" ca="1" si="62"/>
        <v>1.1422027734180995</v>
      </c>
      <c r="O446" s="10">
        <f t="shared" ca="1" si="63"/>
        <v>5.1664540781093242</v>
      </c>
    </row>
    <row r="447" spans="2:15">
      <c r="B447" s="13">
        <v>190</v>
      </c>
      <c r="C447" s="17">
        <v>161.48049444114301</v>
      </c>
      <c r="D447" s="32">
        <f t="shared" ca="1" si="56"/>
        <v>184.42609888822861</v>
      </c>
      <c r="E447" s="27"/>
      <c r="F447" s="27"/>
      <c r="G447" s="27"/>
      <c r="H447" s="10">
        <f t="shared" si="57"/>
        <v>-15.010266083608947</v>
      </c>
      <c r="I447" s="32">
        <f t="shared" si="58"/>
        <v>-28.519505558856991</v>
      </c>
      <c r="J447" s="10">
        <f t="shared" ca="1" si="59"/>
        <v>0.21</v>
      </c>
      <c r="K447" s="10">
        <f t="shared" ca="1" si="60"/>
        <v>0.44</v>
      </c>
      <c r="L447" s="10">
        <v>0.2</v>
      </c>
      <c r="M447" s="10">
        <f t="shared" ca="1" si="61"/>
        <v>-5.5739011117713986</v>
      </c>
      <c r="N447" s="10">
        <f t="shared" ca="1" si="62"/>
        <v>-2.9336321640902052</v>
      </c>
      <c r="O447" s="10">
        <f t="shared" ca="1" si="63"/>
        <v>31.068373603806432</v>
      </c>
    </row>
    <row r="448" spans="2:15">
      <c r="B448" s="13">
        <v>51</v>
      </c>
      <c r="C448" s="17">
        <v>61.079624805007001</v>
      </c>
      <c r="D448" s="32">
        <f t="shared" ca="1" si="56"/>
        <v>52.9439249610014</v>
      </c>
      <c r="E448" s="27"/>
      <c r="F448" s="27"/>
      <c r="G448" s="27"/>
      <c r="H448" s="10">
        <f t="shared" si="57"/>
        <v>19.763970205896086</v>
      </c>
      <c r="I448" s="32">
        <f t="shared" si="58"/>
        <v>10.079624805007001</v>
      </c>
      <c r="J448" s="10">
        <f t="shared" ca="1" si="59"/>
        <v>0.41</v>
      </c>
      <c r="K448" s="10">
        <f t="shared" ca="1" si="60"/>
        <v>-0.77</v>
      </c>
      <c r="L448" s="10">
        <v>0.2</v>
      </c>
      <c r="M448" s="10">
        <f t="shared" ca="1" si="61"/>
        <v>1.9439249610014002</v>
      </c>
      <c r="N448" s="10">
        <f t="shared" ca="1" si="62"/>
        <v>3.811617570590986</v>
      </c>
      <c r="O448" s="10">
        <f t="shared" ca="1" si="63"/>
        <v>3.7788442540042952</v>
      </c>
    </row>
    <row r="449" spans="2:15">
      <c r="B449" s="13">
        <v>141</v>
      </c>
      <c r="C449" s="17">
        <v>150.81017265994001</v>
      </c>
      <c r="D449" s="32">
        <f t="shared" ca="1" si="56"/>
        <v>143.254034531988</v>
      </c>
      <c r="E449" s="27"/>
      <c r="F449" s="27"/>
      <c r="G449" s="27"/>
      <c r="H449" s="10">
        <f t="shared" si="57"/>
        <v>6.9575692623687901</v>
      </c>
      <c r="I449" s="32">
        <f t="shared" si="58"/>
        <v>9.8101726599400081</v>
      </c>
      <c r="J449" s="10">
        <f t="shared" ca="1" si="59"/>
        <v>0.75</v>
      </c>
      <c r="K449" s="10">
        <f t="shared" ca="1" si="60"/>
        <v>0.71</v>
      </c>
      <c r="L449" s="10">
        <v>0.2</v>
      </c>
      <c r="M449" s="10">
        <f t="shared" ca="1" si="61"/>
        <v>2.254034531988002</v>
      </c>
      <c r="N449" s="10">
        <f t="shared" ca="1" si="62"/>
        <v>1.5986060510553068</v>
      </c>
      <c r="O449" s="10">
        <f t="shared" ca="1" si="63"/>
        <v>5.0806716713943709</v>
      </c>
    </row>
    <row r="450" spans="2:15">
      <c r="B450" s="13">
        <v>11</v>
      </c>
      <c r="C450" s="17">
        <v>22.049170638627199</v>
      </c>
      <c r="D450" s="32">
        <f t="shared" ca="1" si="56"/>
        <v>13.20921412772544</v>
      </c>
      <c r="E450" s="27"/>
      <c r="F450" s="27"/>
      <c r="G450" s="27"/>
      <c r="H450" s="10">
        <f t="shared" si="57"/>
        <v>100.44700580570182</v>
      </c>
      <c r="I450" s="32">
        <f t="shared" si="58"/>
        <v>11.049170638627199</v>
      </c>
      <c r="J450" s="10">
        <f t="shared" ca="1" si="59"/>
        <v>3.0000000000000001E-3</v>
      </c>
      <c r="K450" s="10">
        <f t="shared" ca="1" si="60"/>
        <v>-6.1000000000000004E-3</v>
      </c>
      <c r="L450" s="10">
        <v>0.2</v>
      </c>
      <c r="M450" s="10">
        <f t="shared" ca="1" si="61"/>
        <v>2.2092141277254398</v>
      </c>
      <c r="N450" s="10">
        <f t="shared" ca="1" si="62"/>
        <v>20.083764797503999</v>
      </c>
      <c r="O450" s="10">
        <f t="shared" ca="1" si="63"/>
        <v>4.8806270621416754</v>
      </c>
    </row>
    <row r="451" spans="2:15">
      <c r="B451" s="13">
        <v>38</v>
      </c>
      <c r="C451" s="17">
        <v>49.278583514702298</v>
      </c>
      <c r="D451" s="32">
        <f t="shared" ca="1" si="56"/>
        <v>40.46971670294046</v>
      </c>
      <c r="E451" s="27"/>
      <c r="F451" s="27"/>
      <c r="G451" s="27"/>
      <c r="H451" s="10">
        <f t="shared" si="57"/>
        <v>29.680482933427111</v>
      </c>
      <c r="I451" s="32">
        <f t="shared" si="58"/>
        <v>11.278583514702298</v>
      </c>
      <c r="J451" s="10">
        <f t="shared" ca="1" si="59"/>
        <v>0.24</v>
      </c>
      <c r="K451" s="10">
        <f t="shared" ca="1" si="60"/>
        <v>0.83</v>
      </c>
      <c r="L451" s="10">
        <v>0.2</v>
      </c>
      <c r="M451" s="10">
        <f t="shared" ca="1" si="61"/>
        <v>2.4697167029404596</v>
      </c>
      <c r="N451" s="10">
        <f t="shared" ca="1" si="62"/>
        <v>6.4992544814222564</v>
      </c>
      <c r="O451" s="10">
        <f t="shared" ca="1" si="63"/>
        <v>6.0995005927830945</v>
      </c>
    </row>
    <row r="452" spans="2:15">
      <c r="B452" s="13">
        <v>181</v>
      </c>
      <c r="C452" s="17">
        <v>151.07038675629599</v>
      </c>
      <c r="D452" s="32">
        <f t="shared" ca="1" si="56"/>
        <v>175.0140773512592</v>
      </c>
      <c r="E452" s="27"/>
      <c r="F452" s="27"/>
      <c r="G452" s="27"/>
      <c r="H452" s="10">
        <f t="shared" si="57"/>
        <v>-16.535697924698344</v>
      </c>
      <c r="I452" s="32">
        <f t="shared" si="58"/>
        <v>-29.929613243704011</v>
      </c>
      <c r="J452" s="10">
        <f t="shared" ca="1" si="59"/>
        <v>-1</v>
      </c>
      <c r="K452" s="10">
        <f t="shared" ca="1" si="60"/>
        <v>1</v>
      </c>
      <c r="L452" s="10">
        <v>0.2</v>
      </c>
      <c r="M452" s="10">
        <f t="shared" ca="1" si="61"/>
        <v>-5.9859226487408028</v>
      </c>
      <c r="N452" s="10">
        <f t="shared" ca="1" si="62"/>
        <v>-3.3071395849396668</v>
      </c>
      <c r="O452" s="10">
        <f t="shared" ca="1" si="63"/>
        <v>35.831269956708105</v>
      </c>
    </row>
    <row r="453" spans="2:15">
      <c r="B453" s="13">
        <v>81</v>
      </c>
      <c r="C453" s="17">
        <v>84.565004247244403</v>
      </c>
      <c r="D453" s="32">
        <f t="shared" ca="1" si="56"/>
        <v>81.619000849448881</v>
      </c>
      <c r="E453" s="27"/>
      <c r="F453" s="27"/>
      <c r="G453" s="27"/>
      <c r="H453" s="10">
        <f t="shared" si="57"/>
        <v>4.4012398114128493</v>
      </c>
      <c r="I453" s="32">
        <f t="shared" si="58"/>
        <v>3.5650042472444028</v>
      </c>
      <c r="J453" s="10">
        <f t="shared" ca="1" si="59"/>
        <v>-0.71</v>
      </c>
      <c r="K453" s="10">
        <f t="shared" ca="1" si="60"/>
        <v>0.24</v>
      </c>
      <c r="L453" s="10">
        <v>0.2</v>
      </c>
      <c r="M453" s="10">
        <f t="shared" ca="1" si="61"/>
        <v>0.61900084944888067</v>
      </c>
      <c r="N453" s="10">
        <f t="shared" ca="1" si="62"/>
        <v>0.76419857956651072</v>
      </c>
      <c r="O453" s="10">
        <f t="shared" ca="1" si="63"/>
        <v>0.38316205161843586</v>
      </c>
    </row>
    <row r="454" spans="2:15">
      <c r="B454" s="13">
        <v>157</v>
      </c>
      <c r="C454" s="17">
        <v>156.364897420912</v>
      </c>
      <c r="D454" s="32">
        <f t="shared" ca="1" si="56"/>
        <v>156.8929794841824</v>
      </c>
      <c r="E454" s="27"/>
      <c r="F454" s="27"/>
      <c r="G454" s="27"/>
      <c r="H454" s="10">
        <f t="shared" si="57"/>
        <v>-0.40452393572484313</v>
      </c>
      <c r="I454" s="32">
        <f t="shared" si="58"/>
        <v>-0.63510257908799872</v>
      </c>
      <c r="J454" s="10">
        <f t="shared" ca="1" si="59"/>
        <v>-0.21</v>
      </c>
      <c r="K454" s="10">
        <f t="shared" ca="1" si="60"/>
        <v>0.31</v>
      </c>
      <c r="L454" s="10">
        <v>0.2</v>
      </c>
      <c r="M454" s="10">
        <f t="shared" ca="1" si="61"/>
        <v>-0.10702051581759973</v>
      </c>
      <c r="N454" s="10">
        <f t="shared" ca="1" si="62"/>
        <v>-6.8165933641783916E-2</v>
      </c>
      <c r="O454" s="10">
        <f t="shared" ca="1" si="63"/>
        <v>1.1453390805865115E-2</v>
      </c>
    </row>
    <row r="455" spans="2:15">
      <c r="B455" s="13">
        <v>208</v>
      </c>
      <c r="C455" s="17">
        <v>177.33995211342199</v>
      </c>
      <c r="D455" s="32">
        <f t="shared" ca="1" si="56"/>
        <v>202.08199042268438</v>
      </c>
      <c r="E455" s="27"/>
      <c r="F455" s="27"/>
      <c r="G455" s="27"/>
      <c r="H455" s="10">
        <f t="shared" si="57"/>
        <v>-14.740407637777885</v>
      </c>
      <c r="I455" s="32">
        <f t="shared" si="58"/>
        <v>-30.660047886578013</v>
      </c>
      <c r="J455" s="10">
        <f t="shared" ca="1" si="59"/>
        <v>0.59</v>
      </c>
      <c r="K455" s="10">
        <f t="shared" ca="1" si="60"/>
        <v>0.48</v>
      </c>
      <c r="L455" s="10">
        <v>0.2</v>
      </c>
      <c r="M455" s="10">
        <f t="shared" ca="1" si="61"/>
        <v>-5.918009577315603</v>
      </c>
      <c r="N455" s="10">
        <f t="shared" ca="1" si="62"/>
        <v>-2.8451969121709664</v>
      </c>
      <c r="O455" s="10">
        <f t="shared" ca="1" si="63"/>
        <v>35.022837357199201</v>
      </c>
    </row>
    <row r="456" spans="2:15">
      <c r="B456" s="13">
        <v>91</v>
      </c>
      <c r="C456" s="17">
        <v>90.622945793194006</v>
      </c>
      <c r="D456" s="32">
        <f t="shared" ca="1" si="56"/>
        <v>90.934589158638801</v>
      </c>
      <c r="E456" s="27"/>
      <c r="F456" s="27"/>
      <c r="G456" s="27"/>
      <c r="H456" s="10">
        <f t="shared" si="57"/>
        <v>-0.41434528220438693</v>
      </c>
      <c r="I456" s="32">
        <f t="shared" si="58"/>
        <v>-0.37705420680599389</v>
      </c>
      <c r="J456" s="10">
        <f t="shared" ca="1" si="59"/>
        <v>0.9</v>
      </c>
      <c r="K456" s="10">
        <f t="shared" ca="1" si="60"/>
        <v>-0.85</v>
      </c>
      <c r="L456" s="10">
        <v>0.2</v>
      </c>
      <c r="M456" s="10">
        <f t="shared" ca="1" si="61"/>
        <v>-6.5410841361198777E-2</v>
      </c>
      <c r="N456" s="10">
        <f t="shared" ca="1" si="62"/>
        <v>-7.1880045451866437E-2</v>
      </c>
      <c r="O456" s="10">
        <f t="shared" ca="1" si="63"/>
        <v>4.2785781675799125E-3</v>
      </c>
    </row>
    <row r="457" spans="2:15">
      <c r="B457" s="13">
        <v>19</v>
      </c>
      <c r="C457" s="17">
        <v>-8.0973267699164904</v>
      </c>
      <c r="D457" s="32">
        <f t="shared" ca="1" si="56"/>
        <v>13.580554646016701</v>
      </c>
      <c r="E457" s="27"/>
      <c r="F457" s="27"/>
      <c r="G457" s="27"/>
      <c r="H457" s="10">
        <f t="shared" si="57"/>
        <v>-142.61750931534996</v>
      </c>
      <c r="I457" s="32">
        <f t="shared" si="58"/>
        <v>-27.097326769916492</v>
      </c>
      <c r="J457" s="10">
        <f t="shared" ca="1" si="59"/>
        <v>5.1000000000000004E-3</v>
      </c>
      <c r="K457" s="10">
        <f t="shared" ca="1" si="60"/>
        <v>-5.0000000000000001E-3</v>
      </c>
      <c r="L457" s="10">
        <v>0.2</v>
      </c>
      <c r="M457" s="10">
        <f t="shared" ca="1" si="61"/>
        <v>-5.4194453539832992</v>
      </c>
      <c r="N457" s="10">
        <f t="shared" ca="1" si="62"/>
        <v>-28.523396599912097</v>
      </c>
      <c r="O457" s="10">
        <f t="shared" ca="1" si="63"/>
        <v>29.370387944811167</v>
      </c>
    </row>
    <row r="458" spans="2:15">
      <c r="B458" s="13">
        <v>159</v>
      </c>
      <c r="C458" s="17">
        <v>128.82291069275101</v>
      </c>
      <c r="D458" s="32">
        <f t="shared" ca="1" si="56"/>
        <v>153.10658213855021</v>
      </c>
      <c r="E458" s="27"/>
      <c r="F458" s="27"/>
      <c r="G458" s="27"/>
      <c r="H458" s="10">
        <f t="shared" si="57"/>
        <v>-18.979301451099996</v>
      </c>
      <c r="I458" s="32">
        <f t="shared" si="58"/>
        <v>-30.177089307248991</v>
      </c>
      <c r="J458" s="10">
        <f t="shared" ca="1" si="59"/>
        <v>0.89</v>
      </c>
      <c r="K458" s="10">
        <f t="shared" ca="1" si="60"/>
        <v>-0.18</v>
      </c>
      <c r="L458" s="10">
        <v>0.2</v>
      </c>
      <c r="M458" s="10">
        <f t="shared" ca="1" si="61"/>
        <v>-5.8934178614497981</v>
      </c>
      <c r="N458" s="10">
        <f t="shared" ca="1" si="62"/>
        <v>-3.7065521141193658</v>
      </c>
      <c r="O458" s="10">
        <f t="shared" ca="1" si="63"/>
        <v>34.732374089655508</v>
      </c>
    </row>
    <row r="459" spans="2:15">
      <c r="B459" s="13">
        <v>155</v>
      </c>
      <c r="C459" s="17">
        <v>154.495666253851</v>
      </c>
      <c r="D459" s="32">
        <f t="shared" ca="1" si="56"/>
        <v>155.02713325077019</v>
      </c>
      <c r="E459" s="27"/>
      <c r="F459" s="27"/>
      <c r="G459" s="27"/>
      <c r="H459" s="10">
        <f t="shared" si="57"/>
        <v>-0.32537661041871502</v>
      </c>
      <c r="I459" s="32">
        <f t="shared" si="58"/>
        <v>-0.50433374614900117</v>
      </c>
      <c r="J459" s="10">
        <f t="shared" ca="1" si="59"/>
        <v>0.31</v>
      </c>
      <c r="K459" s="10">
        <f t="shared" ca="1" si="60"/>
        <v>0.33</v>
      </c>
      <c r="L459" s="10">
        <v>0.2</v>
      </c>
      <c r="M459" s="10">
        <f t="shared" ca="1" si="61"/>
        <v>2.713325077019977E-2</v>
      </c>
      <c r="N459" s="10">
        <f t="shared" ca="1" si="62"/>
        <v>1.7505323077537938E-2</v>
      </c>
      <c r="O459" s="10">
        <f t="shared" ca="1" si="63"/>
        <v>7.3621329735854642E-4</v>
      </c>
    </row>
    <row r="460" spans="2:15">
      <c r="B460" s="13">
        <v>205</v>
      </c>
      <c r="C460" s="17">
        <v>204.78412593382899</v>
      </c>
      <c r="D460" s="32">
        <f t="shared" ca="1" si="56"/>
        <v>205.2788251867658</v>
      </c>
      <c r="E460" s="27"/>
      <c r="F460" s="27"/>
      <c r="G460" s="27"/>
      <c r="H460" s="10">
        <f t="shared" si="57"/>
        <v>-0.10530442252244532</v>
      </c>
      <c r="I460" s="32">
        <f t="shared" si="58"/>
        <v>-0.21587406617101124</v>
      </c>
      <c r="J460" s="10">
        <f t="shared" ca="1" si="59"/>
        <v>0.71</v>
      </c>
      <c r="K460" s="10">
        <f t="shared" ca="1" si="60"/>
        <v>0.9</v>
      </c>
      <c r="L460" s="10">
        <v>0.2</v>
      </c>
      <c r="M460" s="10">
        <f t="shared" ca="1" si="61"/>
        <v>0.27882518676579776</v>
      </c>
      <c r="N460" s="10">
        <f t="shared" ca="1" si="62"/>
        <v>0.13601228622721617</v>
      </c>
      <c r="O460" s="10">
        <f t="shared" ca="1" si="63"/>
        <v>7.7743484774981997E-2</v>
      </c>
    </row>
    <row r="461" spans="2:15">
      <c r="B461" s="13">
        <v>63</v>
      </c>
      <c r="C461" s="17">
        <v>62.974009382444898</v>
      </c>
      <c r="D461" s="32">
        <f t="shared" ca="1" si="56"/>
        <v>63.22280187648898</v>
      </c>
      <c r="E461" s="27"/>
      <c r="F461" s="27"/>
      <c r="G461" s="27"/>
      <c r="H461" s="10">
        <f t="shared" si="57"/>
        <v>-4.1254948500157873E-2</v>
      </c>
      <c r="I461" s="32">
        <f t="shared" si="58"/>
        <v>-2.5990617555102347E-2</v>
      </c>
      <c r="J461" s="10">
        <f t="shared" ca="1" si="59"/>
        <v>0.9</v>
      </c>
      <c r="K461" s="10">
        <f t="shared" ca="1" si="60"/>
        <v>0.24</v>
      </c>
      <c r="L461" s="10">
        <v>0.2</v>
      </c>
      <c r="M461" s="10">
        <f t="shared" ca="1" si="61"/>
        <v>0.22280187648897956</v>
      </c>
      <c r="N461" s="10">
        <f t="shared" ca="1" si="62"/>
        <v>0.35365377220473171</v>
      </c>
      <c r="O461" s="10">
        <f t="shared" ca="1" si="63"/>
        <v>4.9640676167010504E-2</v>
      </c>
    </row>
    <row r="462" spans="2:15">
      <c r="B462" s="13">
        <v>179</v>
      </c>
      <c r="C462" s="17">
        <v>177.815983995756</v>
      </c>
      <c r="D462" s="32">
        <f t="shared" ca="1" si="56"/>
        <v>178.9911967991512</v>
      </c>
      <c r="E462" s="27"/>
      <c r="F462" s="27"/>
      <c r="G462" s="27"/>
      <c r="H462" s="10">
        <f t="shared" si="57"/>
        <v>-0.66146145488491515</v>
      </c>
      <c r="I462" s="32">
        <f t="shared" si="58"/>
        <v>-1.1840160042440004</v>
      </c>
      <c r="J462" s="10">
        <f t="shared" ca="1" si="59"/>
        <v>0.87</v>
      </c>
      <c r="K462" s="10">
        <f t="shared" ca="1" si="60"/>
        <v>0.27</v>
      </c>
      <c r="L462" s="10">
        <v>0.2</v>
      </c>
      <c r="M462" s="10">
        <f t="shared" ca="1" si="61"/>
        <v>-8.8032008488000864E-3</v>
      </c>
      <c r="N462" s="10">
        <f t="shared" ca="1" si="62"/>
        <v>-4.9179893010120601E-3</v>
      </c>
      <c r="O462" s="10">
        <f t="shared" ca="1" si="63"/>
        <v>7.7496345184314568E-5</v>
      </c>
    </row>
    <row r="463" spans="2:15">
      <c r="B463" s="13">
        <v>187</v>
      </c>
      <c r="C463" s="17">
        <v>155.71155405709499</v>
      </c>
      <c r="D463" s="32">
        <f t="shared" ca="1" si="56"/>
        <v>180.86431081141899</v>
      </c>
      <c r="E463" s="27"/>
      <c r="F463" s="27"/>
      <c r="G463" s="27"/>
      <c r="H463" s="10">
        <f t="shared" si="57"/>
        <v>-16.73178927428075</v>
      </c>
      <c r="I463" s="32">
        <f t="shared" si="58"/>
        <v>-31.288445942905014</v>
      </c>
      <c r="J463" s="10">
        <f t="shared" ca="1" si="59"/>
        <v>-0.16</v>
      </c>
      <c r="K463" s="10">
        <f t="shared" ca="1" si="60"/>
        <v>0.77</v>
      </c>
      <c r="L463" s="10">
        <v>0.2</v>
      </c>
      <c r="M463" s="10">
        <f t="shared" ca="1" si="61"/>
        <v>-6.1356891885810034</v>
      </c>
      <c r="N463" s="10">
        <f t="shared" ca="1" si="62"/>
        <v>-3.281117213144924</v>
      </c>
      <c r="O463" s="10">
        <f t="shared" ca="1" si="63"/>
        <v>37.646681818869816</v>
      </c>
    </row>
    <row r="464" spans="2:15">
      <c r="B464" s="13">
        <v>50</v>
      </c>
      <c r="C464" s="17">
        <v>59.053761923128597</v>
      </c>
      <c r="D464" s="32">
        <f t="shared" ca="1" si="56"/>
        <v>51.958752384625718</v>
      </c>
      <c r="E464" s="27"/>
      <c r="F464" s="27"/>
      <c r="G464" s="27"/>
      <c r="H464" s="10">
        <f t="shared" si="57"/>
        <v>18.107523846257202</v>
      </c>
      <c r="I464" s="32">
        <f t="shared" si="58"/>
        <v>9.0537619231285973</v>
      </c>
      <c r="J464" s="10">
        <f t="shared" ca="1" si="59"/>
        <v>0.13</v>
      </c>
      <c r="K464" s="10">
        <f t="shared" ca="1" si="60"/>
        <v>0.61</v>
      </c>
      <c r="L464" s="10">
        <v>0.2</v>
      </c>
      <c r="M464" s="10">
        <f t="shared" ca="1" si="61"/>
        <v>1.9587523846257195</v>
      </c>
      <c r="N464" s="10">
        <f t="shared" ca="1" si="62"/>
        <v>3.9175047692514342</v>
      </c>
      <c r="O464" s="10">
        <f t="shared" ca="1" si="63"/>
        <v>3.8367109042769427</v>
      </c>
    </row>
    <row r="465" spans="2:15">
      <c r="B465" s="13">
        <v>32</v>
      </c>
      <c r="C465" s="17">
        <v>33.7918534506775</v>
      </c>
      <c r="D465" s="32">
        <f t="shared" ca="1" si="56"/>
        <v>32.236370690135502</v>
      </c>
      <c r="E465" s="27"/>
      <c r="F465" s="27"/>
      <c r="G465" s="27"/>
      <c r="H465" s="10">
        <f t="shared" si="57"/>
        <v>5.5995420333671886</v>
      </c>
      <c r="I465" s="32">
        <f t="shared" si="58"/>
        <v>1.7918534506775003</v>
      </c>
      <c r="J465" s="10">
        <f t="shared" ca="1" si="59"/>
        <v>-0.95</v>
      </c>
      <c r="K465" s="10">
        <f t="shared" ca="1" si="60"/>
        <v>0.34</v>
      </c>
      <c r="L465" s="10">
        <v>0.2</v>
      </c>
      <c r="M465" s="10">
        <f t="shared" ca="1" si="61"/>
        <v>0.23637069013550011</v>
      </c>
      <c r="N465" s="10">
        <f t="shared" ca="1" si="62"/>
        <v>0.73865840667344251</v>
      </c>
      <c r="O465" s="10">
        <f t="shared" ca="1" si="63"/>
        <v>5.5871103155132606E-2</v>
      </c>
    </row>
    <row r="466" spans="2:15">
      <c r="B466" s="13">
        <v>3</v>
      </c>
      <c r="C466" s="17">
        <v>3</v>
      </c>
      <c r="D466" s="32">
        <f t="shared" ref="D466:D529" ca="1" si="64">B466+M466</f>
        <v>3.0022799999999998</v>
      </c>
      <c r="E466" s="27"/>
      <c r="F466" s="27"/>
      <c r="G466" s="27"/>
      <c r="H466" s="10">
        <f t="shared" ref="H466:H529" si="65">((C466/B466)-1)*100</f>
        <v>0</v>
      </c>
      <c r="I466" s="32">
        <f t="shared" ref="I466:I529" si="66">C466-B466</f>
        <v>0</v>
      </c>
      <c r="J466" s="10">
        <f t="shared" ref="J466:J529" ca="1" si="67">IF(B466 &lt; 30, RANDBETWEEN(-100, 100) / 10000, RANDBETWEEN(-100,100) / 100)</f>
        <v>6.4999999999999997E-3</v>
      </c>
      <c r="K466" s="10">
        <f t="shared" ref="K466:K529" ca="1" si="68">IF(B466 &lt; 30, RANDBETWEEN(-100, 100) / 10000, RANDBETWEEN(-100,100) / 100)</f>
        <v>4.8999999999999998E-3</v>
      </c>
      <c r="L466" s="10">
        <v>0.2</v>
      </c>
      <c r="M466" s="10">
        <f t="shared" ref="M466:M529" ca="1" si="69">(I466+J466+K466)*L466</f>
        <v>2.2800000000000003E-3</v>
      </c>
      <c r="N466" s="10">
        <f t="shared" ref="N466:N529" ca="1" si="70">((D466/B466)-1)*100</f>
        <v>7.5999999999987189E-2</v>
      </c>
      <c r="O466" s="10">
        <f t="shared" ref="O466:O529" ca="1" si="71">M466^2</f>
        <v>5.1984000000000018E-6</v>
      </c>
    </row>
    <row r="467" spans="2:15">
      <c r="B467" s="13">
        <v>167</v>
      </c>
      <c r="C467" s="17">
        <v>165.587943501197</v>
      </c>
      <c r="D467" s="32">
        <f t="shared" ca="1" si="64"/>
        <v>166.73358870023941</v>
      </c>
      <c r="E467" s="27"/>
      <c r="F467" s="27"/>
      <c r="G467" s="27"/>
      <c r="H467" s="10">
        <f t="shared" si="65"/>
        <v>-0.84554281365448736</v>
      </c>
      <c r="I467" s="32">
        <f t="shared" si="66"/>
        <v>-1.4120564988029969</v>
      </c>
      <c r="J467" s="10">
        <f t="shared" ca="1" si="67"/>
        <v>-0.51</v>
      </c>
      <c r="K467" s="10">
        <f t="shared" ca="1" si="68"/>
        <v>0.59</v>
      </c>
      <c r="L467" s="10">
        <v>0.2</v>
      </c>
      <c r="M467" s="10">
        <f t="shared" ca="1" si="69"/>
        <v>-0.26641129976059935</v>
      </c>
      <c r="N467" s="10">
        <f t="shared" ca="1" si="70"/>
        <v>-0.15952772440753771</v>
      </c>
      <c r="O467" s="10">
        <f t="shared" ca="1" si="71"/>
        <v>7.0974980640131927E-2</v>
      </c>
    </row>
    <row r="468" spans="2:15">
      <c r="B468" s="13">
        <v>92</v>
      </c>
      <c r="C468" s="17">
        <v>103.351032654492</v>
      </c>
      <c r="D468" s="32">
        <f t="shared" ca="1" si="64"/>
        <v>94.128206530898396</v>
      </c>
      <c r="E468" s="27"/>
      <c r="F468" s="27"/>
      <c r="G468" s="27"/>
      <c r="H468" s="10">
        <f t="shared" si="65"/>
        <v>12.338078972273925</v>
      </c>
      <c r="I468" s="32">
        <f t="shared" si="66"/>
        <v>11.351032654492002</v>
      </c>
      <c r="J468" s="10">
        <f t="shared" ca="1" si="67"/>
        <v>-0.04</v>
      </c>
      <c r="K468" s="10">
        <f t="shared" ca="1" si="68"/>
        <v>-0.67</v>
      </c>
      <c r="L468" s="10">
        <v>0.2</v>
      </c>
      <c r="M468" s="10">
        <f t="shared" ca="1" si="69"/>
        <v>2.1282065308984008</v>
      </c>
      <c r="N468" s="10">
        <f t="shared" ca="1" si="70"/>
        <v>2.3132679683678159</v>
      </c>
      <c r="O468" s="10">
        <f t="shared" ca="1" si="71"/>
        <v>4.5292630381586063</v>
      </c>
    </row>
    <row r="469" spans="2:15">
      <c r="B469" s="13">
        <v>134</v>
      </c>
      <c r="C469" s="17">
        <v>144.42759719885299</v>
      </c>
      <c r="D469" s="32">
        <f t="shared" ca="1" si="64"/>
        <v>135.97551943977061</v>
      </c>
      <c r="E469" s="27"/>
      <c r="F469" s="27"/>
      <c r="G469" s="27"/>
      <c r="H469" s="10">
        <f t="shared" si="65"/>
        <v>7.7817889543678964</v>
      </c>
      <c r="I469" s="32">
        <f t="shared" si="66"/>
        <v>10.427597198852993</v>
      </c>
      <c r="J469" s="10">
        <f t="shared" ca="1" si="67"/>
        <v>-0.7</v>
      </c>
      <c r="K469" s="10">
        <f t="shared" ca="1" si="68"/>
        <v>0.15</v>
      </c>
      <c r="L469" s="10">
        <v>0.2</v>
      </c>
      <c r="M469" s="10">
        <f t="shared" ca="1" si="69"/>
        <v>1.9755194397705989</v>
      </c>
      <c r="N469" s="10">
        <f t="shared" ca="1" si="70"/>
        <v>1.4742682386347905</v>
      </c>
      <c r="O469" s="10">
        <f t="shared" ca="1" si="71"/>
        <v>3.9026770569115405</v>
      </c>
    </row>
    <row r="470" spans="2:15">
      <c r="B470" s="13">
        <v>178</v>
      </c>
      <c r="C470" s="17">
        <v>188.243202077354</v>
      </c>
      <c r="D470" s="32">
        <f t="shared" ca="1" si="64"/>
        <v>180.08864041547079</v>
      </c>
      <c r="E470" s="27"/>
      <c r="F470" s="27"/>
      <c r="G470" s="27"/>
      <c r="H470" s="10">
        <f t="shared" si="65"/>
        <v>5.7546079086258528</v>
      </c>
      <c r="I470" s="32">
        <f t="shared" si="66"/>
        <v>10.243202077353999</v>
      </c>
      <c r="J470" s="10">
        <f t="shared" ca="1" si="67"/>
        <v>0.69</v>
      </c>
      <c r="K470" s="10">
        <f t="shared" ca="1" si="68"/>
        <v>-0.49</v>
      </c>
      <c r="L470" s="10">
        <v>0.2</v>
      </c>
      <c r="M470" s="10">
        <f t="shared" ca="1" si="69"/>
        <v>2.0886404154707998</v>
      </c>
      <c r="N470" s="10">
        <f t="shared" ca="1" si="70"/>
        <v>1.1733934918375155</v>
      </c>
      <c r="O470" s="10">
        <f t="shared" ca="1" si="71"/>
        <v>4.3624187851380354</v>
      </c>
    </row>
    <row r="471" spans="2:15">
      <c r="B471" s="13">
        <v>218</v>
      </c>
      <c r="C471" s="17">
        <v>187.675225931954</v>
      </c>
      <c r="D471" s="32">
        <f t="shared" ca="1" si="64"/>
        <v>211.7810451863908</v>
      </c>
      <c r="E471" s="27"/>
      <c r="F471" s="27"/>
      <c r="G471" s="27"/>
      <c r="H471" s="10">
        <f t="shared" si="65"/>
        <v>-13.91044682020458</v>
      </c>
      <c r="I471" s="32">
        <f t="shared" si="66"/>
        <v>-30.324774068045997</v>
      </c>
      <c r="J471" s="10">
        <f t="shared" ca="1" si="67"/>
        <v>-0.38</v>
      </c>
      <c r="K471" s="10">
        <f t="shared" ca="1" si="68"/>
        <v>-0.39</v>
      </c>
      <c r="L471" s="10">
        <v>0.2</v>
      </c>
      <c r="M471" s="10">
        <f t="shared" ca="1" si="69"/>
        <v>-6.2189548136091997</v>
      </c>
      <c r="N471" s="10">
        <f t="shared" ca="1" si="70"/>
        <v>-2.8527315658757768</v>
      </c>
      <c r="O471" s="10">
        <f t="shared" ca="1" si="71"/>
        <v>38.675398973713037</v>
      </c>
    </row>
    <row r="472" spans="2:15">
      <c r="B472" s="13">
        <v>224</v>
      </c>
      <c r="C472" s="17">
        <v>193.56280876681399</v>
      </c>
      <c r="D472" s="32">
        <f t="shared" ca="1" si="64"/>
        <v>217.96256175336279</v>
      </c>
      <c r="E472" s="27"/>
      <c r="F472" s="27"/>
      <c r="G472" s="27"/>
      <c r="H472" s="10">
        <f t="shared" si="65"/>
        <v>-13.588031800529466</v>
      </c>
      <c r="I472" s="32">
        <f t="shared" si="66"/>
        <v>-30.437191233186013</v>
      </c>
      <c r="J472" s="10">
        <f t="shared" ca="1" si="67"/>
        <v>-0.41</v>
      </c>
      <c r="K472" s="10">
        <f t="shared" ca="1" si="68"/>
        <v>0.66</v>
      </c>
      <c r="L472" s="10">
        <v>0.2</v>
      </c>
      <c r="M472" s="10">
        <f t="shared" ca="1" si="69"/>
        <v>-6.037438246637203</v>
      </c>
      <c r="N472" s="10">
        <f t="shared" ca="1" si="70"/>
        <v>-2.6952849315344696</v>
      </c>
      <c r="O472" s="10">
        <f t="shared" ca="1" si="71"/>
        <v>36.450660581957706</v>
      </c>
    </row>
    <row r="473" spans="2:15">
      <c r="B473" s="13">
        <v>2</v>
      </c>
      <c r="C473" s="17">
        <v>-25.571723847648201</v>
      </c>
      <c r="D473" s="32">
        <f t="shared" ca="1" si="64"/>
        <v>-3.514164769529641</v>
      </c>
      <c r="E473" s="27"/>
      <c r="F473" s="27"/>
      <c r="G473" s="27"/>
      <c r="H473" s="10">
        <f t="shared" si="65"/>
        <v>-1378.58619238241</v>
      </c>
      <c r="I473" s="32">
        <f t="shared" si="66"/>
        <v>-27.571723847648201</v>
      </c>
      <c r="J473" s="10">
        <f t="shared" ca="1" si="67"/>
        <v>6.3E-3</v>
      </c>
      <c r="K473" s="10">
        <f t="shared" ca="1" si="68"/>
        <v>-5.4000000000000003E-3</v>
      </c>
      <c r="L473" s="10">
        <v>0.2</v>
      </c>
      <c r="M473" s="10">
        <f t="shared" ca="1" si="69"/>
        <v>-5.514164769529641</v>
      </c>
      <c r="N473" s="10">
        <f t="shared" ca="1" si="70"/>
        <v>-275.70823847648205</v>
      </c>
      <c r="O473" s="10">
        <f t="shared" ca="1" si="71"/>
        <v>30.406013105521879</v>
      </c>
    </row>
    <row r="474" spans="2:15">
      <c r="B474" s="13">
        <v>160</v>
      </c>
      <c r="C474" s="17">
        <v>168.942677071357</v>
      </c>
      <c r="D474" s="32">
        <f t="shared" ca="1" si="64"/>
        <v>162.0925354142714</v>
      </c>
      <c r="E474" s="27"/>
      <c r="F474" s="27"/>
      <c r="G474" s="27"/>
      <c r="H474" s="10">
        <f t="shared" si="65"/>
        <v>5.5891731695981273</v>
      </c>
      <c r="I474" s="32">
        <f t="shared" si="66"/>
        <v>8.9426770713569965</v>
      </c>
      <c r="J474" s="10">
        <f t="shared" ca="1" si="67"/>
        <v>0.86</v>
      </c>
      <c r="K474" s="10">
        <f t="shared" ca="1" si="68"/>
        <v>0.66</v>
      </c>
      <c r="L474" s="10">
        <v>0.2</v>
      </c>
      <c r="M474" s="10">
        <f t="shared" ca="1" si="69"/>
        <v>2.0925354142713992</v>
      </c>
      <c r="N474" s="10">
        <f t="shared" ca="1" si="70"/>
        <v>1.3078346339196134</v>
      </c>
      <c r="O474" s="10">
        <f t="shared" ca="1" si="71"/>
        <v>4.3787044599799767</v>
      </c>
    </row>
    <row r="475" spans="2:15">
      <c r="B475" s="13">
        <v>18</v>
      </c>
      <c r="C475" s="17">
        <v>19.737380523058</v>
      </c>
      <c r="D475" s="32">
        <f t="shared" ca="1" si="64"/>
        <v>18.3465761046116</v>
      </c>
      <c r="E475" s="27"/>
      <c r="F475" s="27"/>
      <c r="G475" s="27"/>
      <c r="H475" s="10">
        <f t="shared" si="65"/>
        <v>9.6521140169888895</v>
      </c>
      <c r="I475" s="32">
        <f t="shared" si="66"/>
        <v>1.7373805230580004</v>
      </c>
      <c r="J475" s="10">
        <f t="shared" ca="1" si="67"/>
        <v>1.6000000000000001E-3</v>
      </c>
      <c r="K475" s="10">
        <f t="shared" ca="1" si="68"/>
        <v>-6.1000000000000004E-3</v>
      </c>
      <c r="L475" s="10">
        <v>0.2</v>
      </c>
      <c r="M475" s="10">
        <f t="shared" ca="1" si="69"/>
        <v>0.3465761046116001</v>
      </c>
      <c r="N475" s="10">
        <f t="shared" ca="1" si="70"/>
        <v>1.9254228033977805</v>
      </c>
      <c r="O475" s="10">
        <f t="shared" ca="1" si="71"/>
        <v>0.12011499628775077</v>
      </c>
    </row>
    <row r="476" spans="2:15">
      <c r="B476" s="13">
        <v>58</v>
      </c>
      <c r="C476" s="17">
        <v>58.935674301912101</v>
      </c>
      <c r="D476" s="32">
        <f t="shared" ca="1" si="64"/>
        <v>58.405134860382418</v>
      </c>
      <c r="E476" s="27"/>
      <c r="F476" s="27"/>
      <c r="G476" s="27"/>
      <c r="H476" s="10">
        <f t="shared" si="65"/>
        <v>1.6132315550208665</v>
      </c>
      <c r="I476" s="32">
        <f t="shared" si="66"/>
        <v>0.93567430191210121</v>
      </c>
      <c r="J476" s="10">
        <f t="shared" ca="1" si="67"/>
        <v>0.13</v>
      </c>
      <c r="K476" s="10">
        <f t="shared" ca="1" si="68"/>
        <v>0.96</v>
      </c>
      <c r="L476" s="10">
        <v>0.2</v>
      </c>
      <c r="M476" s="10">
        <f t="shared" ca="1" si="69"/>
        <v>0.40513486038242025</v>
      </c>
      <c r="N476" s="10">
        <f t="shared" ca="1" si="70"/>
        <v>0.69850837996967563</v>
      </c>
      <c r="O476" s="10">
        <f t="shared" ca="1" si="71"/>
        <v>0.16413425509708315</v>
      </c>
    </row>
    <row r="477" spans="2:15">
      <c r="B477" s="13">
        <v>124</v>
      </c>
      <c r="C477" s="17">
        <v>94.647936924445006</v>
      </c>
      <c r="D477" s="32">
        <f t="shared" ca="1" si="64"/>
        <v>117.91558738488899</v>
      </c>
      <c r="E477" s="27"/>
      <c r="F477" s="27"/>
      <c r="G477" s="27"/>
      <c r="H477" s="10">
        <f t="shared" si="65"/>
        <v>-23.671018609318541</v>
      </c>
      <c r="I477" s="32">
        <f t="shared" si="66"/>
        <v>-29.352063075554994</v>
      </c>
      <c r="J477" s="10">
        <f t="shared" ca="1" si="67"/>
        <v>-0.22</v>
      </c>
      <c r="K477" s="10">
        <f t="shared" ca="1" si="68"/>
        <v>-0.85</v>
      </c>
      <c r="L477" s="10">
        <v>0.2</v>
      </c>
      <c r="M477" s="10">
        <f t="shared" ca="1" si="69"/>
        <v>-6.084412615110999</v>
      </c>
      <c r="N477" s="10">
        <f t="shared" ca="1" si="70"/>
        <v>-4.9067843670250078</v>
      </c>
      <c r="O477" s="10">
        <f t="shared" ca="1" si="71"/>
        <v>37.020076870921862</v>
      </c>
    </row>
    <row r="478" spans="2:15">
      <c r="B478" s="13">
        <v>28</v>
      </c>
      <c r="C478" s="17">
        <v>40.096648132408703</v>
      </c>
      <c r="D478" s="32">
        <f t="shared" ca="1" si="64"/>
        <v>30.416089626481742</v>
      </c>
      <c r="E478" s="27"/>
      <c r="F478" s="27"/>
      <c r="G478" s="27"/>
      <c r="H478" s="10">
        <f t="shared" si="65"/>
        <v>43.202314758602498</v>
      </c>
      <c r="I478" s="32">
        <f t="shared" si="66"/>
        <v>12.096648132408703</v>
      </c>
      <c r="J478" s="10">
        <f t="shared" ca="1" si="67"/>
        <v>-6.4999999999999997E-3</v>
      </c>
      <c r="K478" s="10">
        <f t="shared" ca="1" si="68"/>
        <v>-9.7000000000000003E-3</v>
      </c>
      <c r="L478" s="10">
        <v>0.2</v>
      </c>
      <c r="M478" s="10">
        <f t="shared" ca="1" si="69"/>
        <v>2.4160896264817406</v>
      </c>
      <c r="N478" s="10">
        <f t="shared" ca="1" si="70"/>
        <v>8.6288915231490737</v>
      </c>
      <c r="O478" s="10">
        <f t="shared" ca="1" si="71"/>
        <v>5.8374890831926773</v>
      </c>
    </row>
    <row r="479" spans="2:15">
      <c r="B479" s="13">
        <v>203</v>
      </c>
      <c r="C479" s="17">
        <v>173.93912135291399</v>
      </c>
      <c r="D479" s="32">
        <f t="shared" ca="1" si="64"/>
        <v>197.22982427058281</v>
      </c>
      <c r="E479" s="27"/>
      <c r="F479" s="27"/>
      <c r="G479" s="27"/>
      <c r="H479" s="10">
        <f t="shared" si="65"/>
        <v>-14.315703767037446</v>
      </c>
      <c r="I479" s="32">
        <f t="shared" si="66"/>
        <v>-29.060878647086014</v>
      </c>
      <c r="J479" s="10">
        <f t="shared" ca="1" si="67"/>
        <v>-0.05</v>
      </c>
      <c r="K479" s="10">
        <f t="shared" ca="1" si="68"/>
        <v>0.26</v>
      </c>
      <c r="L479" s="10">
        <v>0.2</v>
      </c>
      <c r="M479" s="10">
        <f t="shared" ca="1" si="69"/>
        <v>-5.7701757294172031</v>
      </c>
      <c r="N479" s="10">
        <f t="shared" ca="1" si="70"/>
        <v>-2.8424510982350659</v>
      </c>
      <c r="O479" s="10">
        <f t="shared" ca="1" si="71"/>
        <v>33.294927948355351</v>
      </c>
    </row>
    <row r="480" spans="2:15">
      <c r="B480" s="13">
        <v>114</v>
      </c>
      <c r="C480" s="17">
        <v>114.74368544082201</v>
      </c>
      <c r="D480" s="32">
        <f t="shared" ca="1" si="64"/>
        <v>113.9287370881644</v>
      </c>
      <c r="E480" s="27"/>
      <c r="F480" s="27"/>
      <c r="G480" s="27"/>
      <c r="H480" s="10">
        <f t="shared" si="65"/>
        <v>0.65235564984387207</v>
      </c>
      <c r="I480" s="32">
        <f t="shared" si="66"/>
        <v>0.74368544082200572</v>
      </c>
      <c r="J480" s="10">
        <f t="shared" ca="1" si="67"/>
        <v>-1</v>
      </c>
      <c r="K480" s="10">
        <f t="shared" ca="1" si="68"/>
        <v>-0.1</v>
      </c>
      <c r="L480" s="10">
        <v>0.2</v>
      </c>
      <c r="M480" s="10">
        <f t="shared" ca="1" si="69"/>
        <v>-7.1262911835598852E-2</v>
      </c>
      <c r="N480" s="10">
        <f t="shared" ca="1" si="70"/>
        <v>-6.2511326171577064E-2</v>
      </c>
      <c r="O480" s="10">
        <f t="shared" ca="1" si="71"/>
        <v>5.0784026032883352E-3</v>
      </c>
    </row>
    <row r="481" spans="2:15">
      <c r="B481" s="13">
        <v>114</v>
      </c>
      <c r="C481" s="17">
        <v>85.177874328384704</v>
      </c>
      <c r="D481" s="32">
        <f t="shared" ca="1" si="64"/>
        <v>108.52557486567694</v>
      </c>
      <c r="E481" s="27"/>
      <c r="F481" s="27"/>
      <c r="G481" s="27"/>
      <c r="H481" s="10">
        <f t="shared" si="65"/>
        <v>-25.282566378609907</v>
      </c>
      <c r="I481" s="32">
        <f t="shared" si="66"/>
        <v>-28.822125671615296</v>
      </c>
      <c r="J481" s="10">
        <f t="shared" ca="1" si="67"/>
        <v>0.65</v>
      </c>
      <c r="K481" s="10">
        <f t="shared" ca="1" si="68"/>
        <v>0.8</v>
      </c>
      <c r="L481" s="10">
        <v>0.2</v>
      </c>
      <c r="M481" s="10">
        <f t="shared" ca="1" si="69"/>
        <v>-5.4744251343230594</v>
      </c>
      <c r="N481" s="10">
        <f t="shared" ca="1" si="70"/>
        <v>-4.8021273108097002</v>
      </c>
      <c r="O481" s="10">
        <f t="shared" ca="1" si="71"/>
        <v>29.969330551308047</v>
      </c>
    </row>
    <row r="482" spans="2:15">
      <c r="B482" s="13">
        <v>40</v>
      </c>
      <c r="C482" s="17">
        <v>50.259740200333098</v>
      </c>
      <c r="D482" s="32">
        <f t="shared" ca="1" si="64"/>
        <v>42.093948040066621</v>
      </c>
      <c r="E482" s="27"/>
      <c r="F482" s="27"/>
      <c r="G482" s="27"/>
      <c r="H482" s="10">
        <f t="shared" si="65"/>
        <v>25.649350500832746</v>
      </c>
      <c r="I482" s="32">
        <f t="shared" si="66"/>
        <v>10.259740200333098</v>
      </c>
      <c r="J482" s="10">
        <f t="shared" ca="1" si="67"/>
        <v>0.49</v>
      </c>
      <c r="K482" s="10">
        <f t="shared" ca="1" si="68"/>
        <v>-0.28000000000000003</v>
      </c>
      <c r="L482" s="10">
        <v>0.2</v>
      </c>
      <c r="M482" s="10">
        <f t="shared" ca="1" si="69"/>
        <v>2.0939480400666199</v>
      </c>
      <c r="N482" s="10">
        <f t="shared" ca="1" si="70"/>
        <v>5.2348701001665443</v>
      </c>
      <c r="O482" s="10">
        <f t="shared" ca="1" si="71"/>
        <v>4.3846183944988386</v>
      </c>
    </row>
    <row r="483" spans="2:15">
      <c r="B483" s="13">
        <v>218</v>
      </c>
      <c r="C483" s="17">
        <v>216.278627657508</v>
      </c>
      <c r="D483" s="32">
        <f t="shared" ca="1" si="64"/>
        <v>217.82372553150159</v>
      </c>
      <c r="E483" s="27"/>
      <c r="F483" s="27"/>
      <c r="G483" s="27"/>
      <c r="H483" s="10">
        <f t="shared" si="65"/>
        <v>-0.78962034059266717</v>
      </c>
      <c r="I483" s="32">
        <f t="shared" si="66"/>
        <v>-1.7213723424920033</v>
      </c>
      <c r="J483" s="10">
        <f t="shared" ca="1" si="67"/>
        <v>0.23</v>
      </c>
      <c r="K483" s="10">
        <f t="shared" ca="1" si="68"/>
        <v>0.61</v>
      </c>
      <c r="L483" s="10">
        <v>0.2</v>
      </c>
      <c r="M483" s="10">
        <f t="shared" ca="1" si="69"/>
        <v>-0.17627446849840067</v>
      </c>
      <c r="N483" s="10">
        <f t="shared" ca="1" si="70"/>
        <v>-8.0859847935044193E-2</v>
      </c>
      <c r="O483" s="10">
        <f t="shared" ca="1" si="71"/>
        <v>3.1072688244393652E-2</v>
      </c>
    </row>
    <row r="484" spans="2:15">
      <c r="B484" s="13">
        <v>45</v>
      </c>
      <c r="C484" s="17">
        <v>16.4285161601114</v>
      </c>
      <c r="D484" s="32">
        <f t="shared" ca="1" si="64"/>
        <v>39.225703232022283</v>
      </c>
      <c r="E484" s="27"/>
      <c r="F484" s="27"/>
      <c r="G484" s="27"/>
      <c r="H484" s="10">
        <f t="shared" si="65"/>
        <v>-63.492186310863552</v>
      </c>
      <c r="I484" s="32">
        <f t="shared" si="66"/>
        <v>-28.5714838398886</v>
      </c>
      <c r="J484" s="10">
        <f t="shared" ca="1" si="67"/>
        <v>-0.67</v>
      </c>
      <c r="K484" s="10">
        <f t="shared" ca="1" si="68"/>
        <v>0.37</v>
      </c>
      <c r="L484" s="10">
        <v>0.2</v>
      </c>
      <c r="M484" s="10">
        <f t="shared" ca="1" si="69"/>
        <v>-5.7742967679777202</v>
      </c>
      <c r="N484" s="10">
        <f t="shared" ca="1" si="70"/>
        <v>-12.831770595506043</v>
      </c>
      <c r="O484" s="10">
        <f t="shared" ca="1" si="71"/>
        <v>33.342503164677943</v>
      </c>
    </row>
    <row r="485" spans="2:15">
      <c r="B485" s="13">
        <v>118</v>
      </c>
      <c r="C485" s="17">
        <v>88.355954758457599</v>
      </c>
      <c r="D485" s="32">
        <f t="shared" ca="1" si="64"/>
        <v>112.03919095169152</v>
      </c>
      <c r="E485" s="27"/>
      <c r="F485" s="27"/>
      <c r="G485" s="27"/>
      <c r="H485" s="10">
        <f t="shared" si="65"/>
        <v>-25.122072238595251</v>
      </c>
      <c r="I485" s="32">
        <f t="shared" si="66"/>
        <v>-29.644045241542401</v>
      </c>
      <c r="J485" s="10">
        <f t="shared" ca="1" si="67"/>
        <v>0.69</v>
      </c>
      <c r="K485" s="10">
        <f t="shared" ca="1" si="68"/>
        <v>-0.85</v>
      </c>
      <c r="L485" s="10">
        <v>0.2</v>
      </c>
      <c r="M485" s="10">
        <f t="shared" ca="1" si="69"/>
        <v>-5.9608090483084801</v>
      </c>
      <c r="N485" s="10">
        <f t="shared" ca="1" si="70"/>
        <v>-5.0515330917868422</v>
      </c>
      <c r="O485" s="10">
        <f t="shared" ca="1" si="71"/>
        <v>35.531244510396249</v>
      </c>
    </row>
    <row r="486" spans="2:15">
      <c r="B486" s="13">
        <v>139</v>
      </c>
      <c r="C486" s="17">
        <v>139.77440666138901</v>
      </c>
      <c r="D486" s="32">
        <f t="shared" ca="1" si="64"/>
        <v>139.15688133227781</v>
      </c>
      <c r="E486" s="27"/>
      <c r="F486" s="27"/>
      <c r="G486" s="27"/>
      <c r="H486" s="10">
        <f t="shared" si="65"/>
        <v>0.55712709452446774</v>
      </c>
      <c r="I486" s="32">
        <f t="shared" si="66"/>
        <v>0.77440666138900838</v>
      </c>
      <c r="J486" s="10">
        <f t="shared" ca="1" si="67"/>
        <v>0.47</v>
      </c>
      <c r="K486" s="10">
        <f t="shared" ca="1" si="68"/>
        <v>-0.46</v>
      </c>
      <c r="L486" s="10">
        <v>0.2</v>
      </c>
      <c r="M486" s="10">
        <f t="shared" ca="1" si="69"/>
        <v>0.15688133227780168</v>
      </c>
      <c r="N486" s="10">
        <f t="shared" ca="1" si="70"/>
        <v>0.11286426782575187</v>
      </c>
      <c r="O486" s="10">
        <f t="shared" ca="1" si="71"/>
        <v>2.461175241725802E-2</v>
      </c>
    </row>
    <row r="487" spans="2:15">
      <c r="B487" s="13">
        <v>14</v>
      </c>
      <c r="C487" s="17">
        <v>15.1402321897272</v>
      </c>
      <c r="D487" s="32">
        <f t="shared" ca="1" si="64"/>
        <v>14.23040643794544</v>
      </c>
      <c r="E487" s="27"/>
      <c r="F487" s="27"/>
      <c r="G487" s="27"/>
      <c r="H487" s="10">
        <f t="shared" si="65"/>
        <v>8.1445156409085673</v>
      </c>
      <c r="I487" s="32">
        <f t="shared" si="66"/>
        <v>1.1402321897272003</v>
      </c>
      <c r="J487" s="10">
        <f t="shared" ca="1" si="67"/>
        <v>8.9999999999999993E-3</v>
      </c>
      <c r="K487" s="10">
        <f t="shared" ca="1" si="68"/>
        <v>2.8E-3</v>
      </c>
      <c r="L487" s="10">
        <v>0.2</v>
      </c>
      <c r="M487" s="10">
        <f t="shared" ca="1" si="69"/>
        <v>0.23040643794544002</v>
      </c>
      <c r="N487" s="10">
        <f t="shared" ca="1" si="70"/>
        <v>1.6457602710388652</v>
      </c>
      <c r="O487" s="10">
        <f t="shared" ca="1" si="71"/>
        <v>5.3087126646705902E-2</v>
      </c>
    </row>
    <row r="488" spans="2:15">
      <c r="B488" s="13">
        <v>185</v>
      </c>
      <c r="C488" s="17">
        <v>184.390284192129</v>
      </c>
      <c r="D488" s="32">
        <f t="shared" ca="1" si="64"/>
        <v>185.0680568384258</v>
      </c>
      <c r="E488" s="27"/>
      <c r="F488" s="27"/>
      <c r="G488" s="27"/>
      <c r="H488" s="10">
        <f t="shared" si="65"/>
        <v>-0.32957611236270612</v>
      </c>
      <c r="I488" s="32">
        <f t="shared" si="66"/>
        <v>-0.60971580787099811</v>
      </c>
      <c r="J488" s="10">
        <f t="shared" ca="1" si="67"/>
        <v>0.3</v>
      </c>
      <c r="K488" s="10">
        <f t="shared" ca="1" si="68"/>
        <v>0.65</v>
      </c>
      <c r="L488" s="10">
        <v>0.2</v>
      </c>
      <c r="M488" s="10">
        <f t="shared" ca="1" si="69"/>
        <v>6.8056838425800389E-2</v>
      </c>
      <c r="N488" s="10">
        <f t="shared" ca="1" si="70"/>
        <v>3.6787480230171532E-2</v>
      </c>
      <c r="O488" s="10">
        <f t="shared" ca="1" si="71"/>
        <v>4.6317332565155005E-3</v>
      </c>
    </row>
    <row r="489" spans="2:15">
      <c r="B489" s="13">
        <v>171</v>
      </c>
      <c r="C489" s="17">
        <v>140.07650316843799</v>
      </c>
      <c r="D489" s="32">
        <f t="shared" ca="1" si="64"/>
        <v>164.9813006336876</v>
      </c>
      <c r="E489" s="27"/>
      <c r="F489" s="27"/>
      <c r="G489" s="27"/>
      <c r="H489" s="10">
        <f t="shared" si="65"/>
        <v>-18.083916275767255</v>
      </c>
      <c r="I489" s="32">
        <f t="shared" si="66"/>
        <v>-30.923496831562005</v>
      </c>
      <c r="J489" s="10">
        <f t="shared" ca="1" si="67"/>
        <v>0.1</v>
      </c>
      <c r="K489" s="10">
        <f t="shared" ca="1" si="68"/>
        <v>0.73</v>
      </c>
      <c r="L489" s="10">
        <v>0.2</v>
      </c>
      <c r="M489" s="10">
        <f t="shared" ca="1" si="69"/>
        <v>-6.0186993663124007</v>
      </c>
      <c r="N489" s="10">
        <f t="shared" ca="1" si="70"/>
        <v>-3.5197072317616374</v>
      </c>
      <c r="O489" s="10">
        <f t="shared" ca="1" si="71"/>
        <v>36.224742062049295</v>
      </c>
    </row>
    <row r="490" spans="2:15">
      <c r="B490" s="13">
        <v>2</v>
      </c>
      <c r="C490" s="17">
        <v>13.0331578376069</v>
      </c>
      <c r="D490" s="32">
        <f t="shared" ca="1" si="64"/>
        <v>4.2067115675213795</v>
      </c>
      <c r="E490" s="27"/>
      <c r="F490" s="27"/>
      <c r="G490" s="27"/>
      <c r="H490" s="10">
        <f t="shared" si="65"/>
        <v>551.65789188034501</v>
      </c>
      <c r="I490" s="32">
        <f t="shared" si="66"/>
        <v>11.0331578376069</v>
      </c>
      <c r="J490" s="10">
        <f t="shared" ca="1" si="67"/>
        <v>-2.8E-3</v>
      </c>
      <c r="K490" s="10">
        <f t="shared" ca="1" si="68"/>
        <v>3.2000000000000002E-3</v>
      </c>
      <c r="L490" s="10">
        <v>0.2</v>
      </c>
      <c r="M490" s="10">
        <f t="shared" ca="1" si="69"/>
        <v>2.20671156752138</v>
      </c>
      <c r="N490" s="10">
        <f t="shared" ca="1" si="70"/>
        <v>110.33557837606898</v>
      </c>
      <c r="O490" s="10">
        <f t="shared" ca="1" si="71"/>
        <v>4.8695759422326663</v>
      </c>
    </row>
    <row r="491" spans="2:15">
      <c r="B491" s="13">
        <v>225</v>
      </c>
      <c r="C491" s="17">
        <v>193.780091844651</v>
      </c>
      <c r="D491" s="32">
        <f t="shared" ca="1" si="64"/>
        <v>218.7260183689302</v>
      </c>
      <c r="E491" s="27"/>
      <c r="F491" s="27"/>
      <c r="G491" s="27"/>
      <c r="H491" s="10">
        <f t="shared" si="65"/>
        <v>-13.87551473571067</v>
      </c>
      <c r="I491" s="32">
        <f t="shared" si="66"/>
        <v>-31.219908155349003</v>
      </c>
      <c r="J491" s="10">
        <f t="shared" ca="1" si="67"/>
        <v>-0.61</v>
      </c>
      <c r="K491" s="10">
        <f t="shared" ca="1" si="68"/>
        <v>0.46</v>
      </c>
      <c r="L491" s="10">
        <v>0.2</v>
      </c>
      <c r="M491" s="10">
        <f t="shared" ca="1" si="69"/>
        <v>-6.2739816310698009</v>
      </c>
      <c r="N491" s="10">
        <f t="shared" ca="1" si="70"/>
        <v>-2.7884362804754703</v>
      </c>
      <c r="O491" s="10">
        <f t="shared" ca="1" si="71"/>
        <v>39.362845507001282</v>
      </c>
    </row>
    <row r="492" spans="2:15">
      <c r="B492" s="13">
        <v>63</v>
      </c>
      <c r="C492" s="17">
        <v>71.570606325071495</v>
      </c>
      <c r="D492" s="32">
        <f t="shared" ca="1" si="64"/>
        <v>64.654121265014297</v>
      </c>
      <c r="E492" s="27"/>
      <c r="F492" s="27"/>
      <c r="G492" s="27"/>
      <c r="H492" s="10">
        <f t="shared" si="65"/>
        <v>13.604137023923002</v>
      </c>
      <c r="I492" s="32">
        <f t="shared" si="66"/>
        <v>8.5706063250714948</v>
      </c>
      <c r="J492" s="10">
        <f t="shared" ca="1" si="67"/>
        <v>-0.01</v>
      </c>
      <c r="K492" s="10">
        <f t="shared" ca="1" si="68"/>
        <v>-0.28999999999999998</v>
      </c>
      <c r="L492" s="10">
        <v>0.2</v>
      </c>
      <c r="M492" s="10">
        <f t="shared" ca="1" si="69"/>
        <v>1.6541212650142993</v>
      </c>
      <c r="N492" s="10">
        <f t="shared" ca="1" si="70"/>
        <v>2.6255893095465055</v>
      </c>
      <c r="O492" s="10">
        <f t="shared" ca="1" si="71"/>
        <v>2.736117159372506</v>
      </c>
    </row>
    <row r="493" spans="2:15">
      <c r="B493" s="13">
        <v>128</v>
      </c>
      <c r="C493" s="17">
        <v>128.19667567246901</v>
      </c>
      <c r="D493" s="32">
        <f t="shared" ca="1" si="64"/>
        <v>127.95533513449381</v>
      </c>
      <c r="E493" s="27"/>
      <c r="F493" s="27"/>
      <c r="G493" s="27"/>
      <c r="H493" s="10">
        <f t="shared" si="65"/>
        <v>0.15365286911641629</v>
      </c>
      <c r="I493" s="32">
        <f t="shared" si="66"/>
        <v>0.19667567246901285</v>
      </c>
      <c r="J493" s="10">
        <f t="shared" ca="1" si="67"/>
        <v>-0.73</v>
      </c>
      <c r="K493" s="10">
        <f t="shared" ca="1" si="68"/>
        <v>0.31</v>
      </c>
      <c r="L493" s="10">
        <v>0.2</v>
      </c>
      <c r="M493" s="10">
        <f t="shared" ca="1" si="69"/>
        <v>-4.4664865506197429E-2</v>
      </c>
      <c r="N493" s="10">
        <f t="shared" ca="1" si="70"/>
        <v>-3.4894426176712567E-2</v>
      </c>
      <c r="O493" s="10">
        <f t="shared" ca="1" si="71"/>
        <v>1.9949502106867047E-3</v>
      </c>
    </row>
    <row r="494" spans="2:15">
      <c r="B494" s="13">
        <v>90</v>
      </c>
      <c r="C494" s="17">
        <v>100.098610606669</v>
      </c>
      <c r="D494" s="32">
        <f t="shared" ca="1" si="64"/>
        <v>91.821722121333806</v>
      </c>
      <c r="E494" s="27"/>
      <c r="F494" s="27"/>
      <c r="G494" s="27"/>
      <c r="H494" s="10">
        <f t="shared" si="65"/>
        <v>11.220678451854438</v>
      </c>
      <c r="I494" s="32">
        <f t="shared" si="66"/>
        <v>10.098610606668998</v>
      </c>
      <c r="J494" s="10">
        <f t="shared" ca="1" si="67"/>
        <v>-0.77</v>
      </c>
      <c r="K494" s="10">
        <f t="shared" ca="1" si="68"/>
        <v>-0.22</v>
      </c>
      <c r="L494" s="10">
        <v>0.2</v>
      </c>
      <c r="M494" s="10">
        <f t="shared" ca="1" si="69"/>
        <v>1.8217221213337997</v>
      </c>
      <c r="N494" s="10">
        <f t="shared" ca="1" si="70"/>
        <v>2.0241356903708985</v>
      </c>
      <c r="O494" s="10">
        <f t="shared" ca="1" si="71"/>
        <v>3.3186714873569194</v>
      </c>
    </row>
    <row r="495" spans="2:15">
      <c r="B495" s="13">
        <v>115</v>
      </c>
      <c r="C495" s="17">
        <v>85.944917561619604</v>
      </c>
      <c r="D495" s="32">
        <f t="shared" ca="1" si="64"/>
        <v>109.51898351232393</v>
      </c>
      <c r="E495" s="27"/>
      <c r="F495" s="27"/>
      <c r="G495" s="27"/>
      <c r="H495" s="10">
        <f t="shared" si="65"/>
        <v>-25.265289076852515</v>
      </c>
      <c r="I495" s="32">
        <f t="shared" si="66"/>
        <v>-29.055082438380396</v>
      </c>
      <c r="J495" s="10">
        <f t="shared" ca="1" si="67"/>
        <v>0.87</v>
      </c>
      <c r="K495" s="10">
        <f t="shared" ca="1" si="68"/>
        <v>0.78</v>
      </c>
      <c r="L495" s="10">
        <v>0.2</v>
      </c>
      <c r="M495" s="10">
        <f t="shared" ca="1" si="69"/>
        <v>-5.4810164876760794</v>
      </c>
      <c r="N495" s="10">
        <f t="shared" ca="1" si="70"/>
        <v>-4.7661012936313636</v>
      </c>
      <c r="O495" s="10">
        <f t="shared" ca="1" si="71"/>
        <v>30.041541738177028</v>
      </c>
    </row>
    <row r="496" spans="2:15">
      <c r="B496" s="13">
        <v>84</v>
      </c>
      <c r="C496" s="17">
        <v>95.289817977261094</v>
      </c>
      <c r="D496" s="32">
        <f t="shared" ca="1" si="64"/>
        <v>86.069963595452222</v>
      </c>
      <c r="E496" s="27"/>
      <c r="F496" s="27"/>
      <c r="G496" s="27"/>
      <c r="H496" s="10">
        <f t="shared" si="65"/>
        <v>13.440259496739394</v>
      </c>
      <c r="I496" s="32">
        <f t="shared" si="66"/>
        <v>11.289817977261094</v>
      </c>
      <c r="J496" s="10">
        <f t="shared" ca="1" si="67"/>
        <v>-0.88</v>
      </c>
      <c r="K496" s="10">
        <f t="shared" ca="1" si="68"/>
        <v>-0.06</v>
      </c>
      <c r="L496" s="10">
        <v>0.2</v>
      </c>
      <c r="M496" s="10">
        <f t="shared" ca="1" si="69"/>
        <v>2.0699635954522186</v>
      </c>
      <c r="N496" s="10">
        <f t="shared" ca="1" si="70"/>
        <v>2.4642423755383502</v>
      </c>
      <c r="O496" s="10">
        <f t="shared" ca="1" si="71"/>
        <v>4.2847492864974761</v>
      </c>
    </row>
    <row r="497" spans="2:15">
      <c r="B497" s="13">
        <v>188</v>
      </c>
      <c r="C497" s="17">
        <v>196.947263020691</v>
      </c>
      <c r="D497" s="32">
        <f t="shared" ca="1" si="64"/>
        <v>190.10545260413821</v>
      </c>
      <c r="E497" s="27"/>
      <c r="F497" s="27"/>
      <c r="G497" s="27"/>
      <c r="H497" s="10">
        <f t="shared" si="65"/>
        <v>4.7591824578143704</v>
      </c>
      <c r="I497" s="32">
        <f t="shared" si="66"/>
        <v>8.9472630206909969</v>
      </c>
      <c r="J497" s="10">
        <f t="shared" ca="1" si="67"/>
        <v>0.93</v>
      </c>
      <c r="K497" s="10">
        <f t="shared" ca="1" si="68"/>
        <v>0.65</v>
      </c>
      <c r="L497" s="10">
        <v>0.2</v>
      </c>
      <c r="M497" s="10">
        <f t="shared" ca="1" si="69"/>
        <v>2.1054526041381996</v>
      </c>
      <c r="N497" s="10">
        <f t="shared" ca="1" si="70"/>
        <v>1.1199215979458499</v>
      </c>
      <c r="O497" s="10">
        <f t="shared" ca="1" si="71"/>
        <v>4.4329306682723262</v>
      </c>
    </row>
    <row r="498" spans="2:15">
      <c r="B498" s="13">
        <v>206</v>
      </c>
      <c r="C498" s="17">
        <v>206.04090007617501</v>
      </c>
      <c r="D498" s="32">
        <f t="shared" ca="1" si="64"/>
        <v>205.94218001523501</v>
      </c>
      <c r="E498" s="27"/>
      <c r="F498" s="27"/>
      <c r="G498" s="27"/>
      <c r="H498" s="10">
        <f t="shared" si="65"/>
        <v>1.9854405910191275E-2</v>
      </c>
      <c r="I498" s="32">
        <f t="shared" si="66"/>
        <v>4.0900076175006461E-2</v>
      </c>
      <c r="J498" s="10">
        <f t="shared" ca="1" si="67"/>
        <v>-0.21</v>
      </c>
      <c r="K498" s="10">
        <f t="shared" ca="1" si="68"/>
        <v>-0.12</v>
      </c>
      <c r="L498" s="10">
        <v>0.2</v>
      </c>
      <c r="M498" s="10">
        <f t="shared" ca="1" si="69"/>
        <v>-5.7819984764998701E-2</v>
      </c>
      <c r="N498" s="10">
        <f t="shared" ca="1" si="70"/>
        <v>-2.8067953769417286E-2</v>
      </c>
      <c r="O498" s="10">
        <f t="shared" ca="1" si="71"/>
        <v>3.3431506382246819E-3</v>
      </c>
    </row>
    <row r="499" spans="2:15">
      <c r="B499" s="13">
        <v>114</v>
      </c>
      <c r="C499" s="17">
        <v>126.61952345097799</v>
      </c>
      <c r="D499" s="32">
        <f t="shared" ca="1" si="64"/>
        <v>116.36590469019561</v>
      </c>
      <c r="E499" s="27"/>
      <c r="F499" s="27"/>
      <c r="G499" s="27"/>
      <c r="H499" s="10">
        <f t="shared" si="65"/>
        <v>11.069757413138582</v>
      </c>
      <c r="I499" s="32">
        <f t="shared" si="66"/>
        <v>12.619523450977994</v>
      </c>
      <c r="J499" s="10">
        <f t="shared" ca="1" si="67"/>
        <v>-0.5</v>
      </c>
      <c r="K499" s="10">
        <f t="shared" ca="1" si="68"/>
        <v>-0.28999999999999998</v>
      </c>
      <c r="L499" s="10">
        <v>0.2</v>
      </c>
      <c r="M499" s="10">
        <f t="shared" ca="1" si="69"/>
        <v>2.3659046901955989</v>
      </c>
      <c r="N499" s="10">
        <f t="shared" ca="1" si="70"/>
        <v>2.0753549913996583</v>
      </c>
      <c r="O499" s="10">
        <f t="shared" ca="1" si="71"/>
        <v>5.597505003089533</v>
      </c>
    </row>
    <row r="500" spans="2:15">
      <c r="B500" s="13">
        <v>79</v>
      </c>
      <c r="C500" s="17">
        <v>50.411224609570603</v>
      </c>
      <c r="D500" s="32">
        <f t="shared" ca="1" si="64"/>
        <v>73.332244921914125</v>
      </c>
      <c r="E500" s="27"/>
      <c r="F500" s="27"/>
      <c r="G500" s="27"/>
      <c r="H500" s="10">
        <f t="shared" si="65"/>
        <v>-36.188323279024559</v>
      </c>
      <c r="I500" s="32">
        <f t="shared" si="66"/>
        <v>-28.588775390429397</v>
      </c>
      <c r="J500" s="10">
        <f t="shared" ca="1" si="67"/>
        <v>0.5</v>
      </c>
      <c r="K500" s="10">
        <f t="shared" ca="1" si="68"/>
        <v>-0.25</v>
      </c>
      <c r="L500" s="10">
        <v>0.2</v>
      </c>
      <c r="M500" s="10">
        <f t="shared" ca="1" si="69"/>
        <v>-5.6677550780858796</v>
      </c>
      <c r="N500" s="10">
        <f t="shared" ca="1" si="70"/>
        <v>-7.1743735165644029</v>
      </c>
      <c r="O500" s="10">
        <f t="shared" ca="1" si="71"/>
        <v>32.123447625168275</v>
      </c>
    </row>
    <row r="501" spans="2:15">
      <c r="B501" s="13">
        <v>42</v>
      </c>
      <c r="C501" s="17">
        <v>51.791324514519999</v>
      </c>
      <c r="D501" s="32">
        <f t="shared" ca="1" si="64"/>
        <v>44.146264902904001</v>
      </c>
      <c r="E501" s="27"/>
      <c r="F501" s="27"/>
      <c r="G501" s="27"/>
      <c r="H501" s="10">
        <f t="shared" si="65"/>
        <v>23.312677415523808</v>
      </c>
      <c r="I501" s="32">
        <f t="shared" si="66"/>
        <v>9.7913245145199994</v>
      </c>
      <c r="J501" s="10">
        <f t="shared" ca="1" si="67"/>
        <v>0.7</v>
      </c>
      <c r="K501" s="10">
        <f t="shared" ca="1" si="68"/>
        <v>0.24</v>
      </c>
      <c r="L501" s="10">
        <v>0.2</v>
      </c>
      <c r="M501" s="10">
        <f t="shared" ca="1" si="69"/>
        <v>2.146264902904</v>
      </c>
      <c r="N501" s="10">
        <f t="shared" ca="1" si="70"/>
        <v>5.1101545307238094</v>
      </c>
      <c r="O501" s="10">
        <f t="shared" ca="1" si="71"/>
        <v>4.606453033437516</v>
      </c>
    </row>
    <row r="502" spans="2:15">
      <c r="B502" s="13">
        <v>156</v>
      </c>
      <c r="C502" s="17">
        <v>166.66686507899001</v>
      </c>
      <c r="D502" s="32">
        <f t="shared" ca="1" si="64"/>
        <v>158.12137301579801</v>
      </c>
      <c r="E502" s="27"/>
      <c r="F502" s="27"/>
      <c r="G502" s="27"/>
      <c r="H502" s="10">
        <f t="shared" si="65"/>
        <v>6.8377340249935914</v>
      </c>
      <c r="I502" s="32">
        <f t="shared" si="66"/>
        <v>10.666865078990014</v>
      </c>
      <c r="J502" s="10">
        <f t="shared" ca="1" si="67"/>
        <v>-0.7</v>
      </c>
      <c r="K502" s="10">
        <f t="shared" ca="1" si="68"/>
        <v>0.64</v>
      </c>
      <c r="L502" s="10">
        <v>0.2</v>
      </c>
      <c r="M502" s="10">
        <f t="shared" ca="1" si="69"/>
        <v>2.1213730157980031</v>
      </c>
      <c r="N502" s="10">
        <f t="shared" ca="1" si="70"/>
        <v>1.359854497306423</v>
      </c>
      <c r="O502" s="10">
        <f t="shared" ca="1" si="71"/>
        <v>4.5002234721559145</v>
      </c>
    </row>
    <row r="503" spans="2:15">
      <c r="B503" s="13">
        <v>53</v>
      </c>
      <c r="C503" s="17">
        <v>53.955748476097199</v>
      </c>
      <c r="D503" s="32">
        <f t="shared" ca="1" si="64"/>
        <v>53.085149695219442</v>
      </c>
      <c r="E503" s="27"/>
      <c r="F503" s="27"/>
      <c r="G503" s="27"/>
      <c r="H503" s="10">
        <f t="shared" si="65"/>
        <v>1.8032990115041558</v>
      </c>
      <c r="I503" s="32">
        <f t="shared" si="66"/>
        <v>0.95574847609719882</v>
      </c>
      <c r="J503" s="10">
        <f t="shared" ca="1" si="67"/>
        <v>0.42</v>
      </c>
      <c r="K503" s="10">
        <f t="shared" ca="1" si="68"/>
        <v>-0.95</v>
      </c>
      <c r="L503" s="10">
        <v>0.2</v>
      </c>
      <c r="M503" s="10">
        <f t="shared" ca="1" si="69"/>
        <v>8.5149695219439769E-2</v>
      </c>
      <c r="N503" s="10">
        <f t="shared" ca="1" si="70"/>
        <v>0.16065980230084431</v>
      </c>
      <c r="O503" s="10">
        <f t="shared" ca="1" si="71"/>
        <v>7.2504705959634836E-3</v>
      </c>
    </row>
    <row r="504" spans="2:15">
      <c r="B504" s="13">
        <v>5</v>
      </c>
      <c r="C504" s="17">
        <v>-22.457768644054699</v>
      </c>
      <c r="D504" s="32">
        <f t="shared" ca="1" si="64"/>
        <v>-0.49263372881094014</v>
      </c>
      <c r="E504" s="27"/>
      <c r="F504" s="27"/>
      <c r="G504" s="27"/>
      <c r="H504" s="10">
        <f t="shared" si="65"/>
        <v>-549.15537288109397</v>
      </c>
      <c r="I504" s="32">
        <f t="shared" si="66"/>
        <v>-27.457768644054699</v>
      </c>
      <c r="J504" s="10">
        <f t="shared" ca="1" si="67"/>
        <v>-4.5999999999999999E-3</v>
      </c>
      <c r="K504" s="10">
        <f t="shared" ca="1" si="68"/>
        <v>-8.0000000000000004E-4</v>
      </c>
      <c r="L504" s="10">
        <v>0.2</v>
      </c>
      <c r="M504" s="10">
        <f t="shared" ca="1" si="69"/>
        <v>-5.4926337288109401</v>
      </c>
      <c r="N504" s="10">
        <f t="shared" ca="1" si="70"/>
        <v>-109.85267457621882</v>
      </c>
      <c r="O504" s="10">
        <f t="shared" ca="1" si="71"/>
        <v>30.169025278871572</v>
      </c>
    </row>
    <row r="505" spans="2:15">
      <c r="B505" s="13">
        <v>195</v>
      </c>
      <c r="C505" s="17">
        <v>164.037189410791</v>
      </c>
      <c r="D505" s="32">
        <f t="shared" ca="1" si="64"/>
        <v>188.73743788215819</v>
      </c>
      <c r="E505" s="27"/>
      <c r="F505" s="27"/>
      <c r="G505" s="27"/>
      <c r="H505" s="10">
        <f t="shared" si="65"/>
        <v>-15.878364404722568</v>
      </c>
      <c r="I505" s="32">
        <f t="shared" si="66"/>
        <v>-30.962810589208999</v>
      </c>
      <c r="J505" s="10">
        <f t="shared" ca="1" si="67"/>
        <v>-0.72</v>
      </c>
      <c r="K505" s="10">
        <f t="shared" ca="1" si="68"/>
        <v>0.37</v>
      </c>
      <c r="L505" s="10">
        <v>0.2</v>
      </c>
      <c r="M505" s="10">
        <f t="shared" ca="1" si="69"/>
        <v>-6.2625621178417994</v>
      </c>
      <c r="N505" s="10">
        <f t="shared" ca="1" si="70"/>
        <v>-3.2115703168419496</v>
      </c>
      <c r="O505" s="10">
        <f t="shared" ca="1" si="71"/>
        <v>39.219684279827163</v>
      </c>
    </row>
    <row r="506" spans="2:15">
      <c r="B506" s="13">
        <v>15</v>
      </c>
      <c r="C506" s="17">
        <v>-13.1341538681557</v>
      </c>
      <c r="D506" s="32">
        <f t="shared" ca="1" si="64"/>
        <v>9.3729692263688591</v>
      </c>
      <c r="E506" s="27"/>
      <c r="F506" s="27"/>
      <c r="G506" s="27"/>
      <c r="H506" s="10">
        <f t="shared" si="65"/>
        <v>-187.56102578770466</v>
      </c>
      <c r="I506" s="32">
        <f t="shared" si="66"/>
        <v>-28.1341538681557</v>
      </c>
      <c r="J506" s="10">
        <f t="shared" ca="1" si="67"/>
        <v>6.7000000000000002E-3</v>
      </c>
      <c r="K506" s="10">
        <f t="shared" ca="1" si="68"/>
        <v>-7.7000000000000002E-3</v>
      </c>
      <c r="L506" s="10">
        <v>0.2</v>
      </c>
      <c r="M506" s="10">
        <f t="shared" ca="1" si="69"/>
        <v>-5.6270307736311409</v>
      </c>
      <c r="N506" s="10">
        <f t="shared" ca="1" si="70"/>
        <v>-37.513538490874275</v>
      </c>
      <c r="O506" s="10">
        <f t="shared" ca="1" si="71"/>
        <v>31.663475327391875</v>
      </c>
    </row>
    <row r="507" spans="2:15">
      <c r="B507" s="13">
        <v>175</v>
      </c>
      <c r="C507" s="17">
        <v>145.92605043872899</v>
      </c>
      <c r="D507" s="32">
        <f t="shared" ca="1" si="64"/>
        <v>169.2292100877458</v>
      </c>
      <c r="E507" s="27"/>
      <c r="F507" s="27"/>
      <c r="G507" s="27"/>
      <c r="H507" s="10">
        <f t="shared" si="65"/>
        <v>-16.613685463583426</v>
      </c>
      <c r="I507" s="32">
        <f t="shared" si="66"/>
        <v>-29.073949561271007</v>
      </c>
      <c r="J507" s="10">
        <f t="shared" ca="1" si="67"/>
        <v>-0.32</v>
      </c>
      <c r="K507" s="10">
        <f t="shared" ca="1" si="68"/>
        <v>0.54</v>
      </c>
      <c r="L507" s="10">
        <v>0.2</v>
      </c>
      <c r="M507" s="10">
        <f t="shared" ca="1" si="69"/>
        <v>-5.7707899122542017</v>
      </c>
      <c r="N507" s="10">
        <f t="shared" ca="1" si="70"/>
        <v>-3.2975942355738308</v>
      </c>
      <c r="O507" s="10">
        <f t="shared" ca="1" si="71"/>
        <v>33.302016211374855</v>
      </c>
    </row>
    <row r="508" spans="2:15">
      <c r="B508" s="13">
        <v>186</v>
      </c>
      <c r="C508" s="17">
        <v>195.83053237356501</v>
      </c>
      <c r="D508" s="32">
        <f t="shared" ca="1" si="64"/>
        <v>187.852106474713</v>
      </c>
      <c r="E508" s="27"/>
      <c r="F508" s="27"/>
      <c r="G508" s="27"/>
      <c r="H508" s="10">
        <f t="shared" si="65"/>
        <v>5.2852324589059085</v>
      </c>
      <c r="I508" s="32">
        <f t="shared" si="66"/>
        <v>9.8305323735650063</v>
      </c>
      <c r="J508" s="10">
        <f t="shared" ca="1" si="67"/>
        <v>-0.37</v>
      </c>
      <c r="K508" s="10">
        <f t="shared" ca="1" si="68"/>
        <v>-0.2</v>
      </c>
      <c r="L508" s="10">
        <v>0.2</v>
      </c>
      <c r="M508" s="10">
        <f t="shared" ca="1" si="69"/>
        <v>1.8521064747130016</v>
      </c>
      <c r="N508" s="10">
        <f t="shared" ca="1" si="70"/>
        <v>0.99575616920053456</v>
      </c>
      <c r="O508" s="10">
        <f t="shared" ca="1" si="71"/>
        <v>3.4302983936738225</v>
      </c>
    </row>
    <row r="509" spans="2:15">
      <c r="B509" s="13">
        <v>113</v>
      </c>
      <c r="C509" s="17">
        <v>83.375088655304495</v>
      </c>
      <c r="D509" s="32">
        <f t="shared" ca="1" si="64"/>
        <v>106.7390177310609</v>
      </c>
      <c r="E509" s="27"/>
      <c r="F509" s="27"/>
      <c r="G509" s="27"/>
      <c r="H509" s="10">
        <f t="shared" si="65"/>
        <v>-26.216735703270356</v>
      </c>
      <c r="I509" s="32">
        <f t="shared" si="66"/>
        <v>-29.624911344695505</v>
      </c>
      <c r="J509" s="10">
        <f t="shared" ca="1" si="67"/>
        <v>-0.89</v>
      </c>
      <c r="K509" s="10">
        <f t="shared" ca="1" si="68"/>
        <v>-0.79</v>
      </c>
      <c r="L509" s="10">
        <v>0.2</v>
      </c>
      <c r="M509" s="10">
        <f t="shared" ca="1" si="69"/>
        <v>-6.2609822689391015</v>
      </c>
      <c r="N509" s="10">
        <f t="shared" ca="1" si="70"/>
        <v>-5.5406922733974406</v>
      </c>
      <c r="O509" s="10">
        <f t="shared" ca="1" si="71"/>
        <v>39.199898971969816</v>
      </c>
    </row>
    <row r="510" spans="2:15">
      <c r="B510" s="13">
        <v>117</v>
      </c>
      <c r="C510" s="17">
        <v>85.9984143717801</v>
      </c>
      <c r="D510" s="32">
        <f t="shared" ca="1" si="64"/>
        <v>110.79768287435601</v>
      </c>
      <c r="E510" s="27"/>
      <c r="F510" s="27"/>
      <c r="G510" s="27"/>
      <c r="H510" s="10">
        <f t="shared" si="65"/>
        <v>-26.497081733521277</v>
      </c>
      <c r="I510" s="32">
        <f t="shared" si="66"/>
        <v>-31.0015856282199</v>
      </c>
      <c r="J510" s="10">
        <f t="shared" ca="1" si="67"/>
        <v>-0.61</v>
      </c>
      <c r="K510" s="10">
        <f t="shared" ca="1" si="68"/>
        <v>0.6</v>
      </c>
      <c r="L510" s="10">
        <v>0.2</v>
      </c>
      <c r="M510" s="10">
        <f t="shared" ca="1" si="69"/>
        <v>-6.2023171256439795</v>
      </c>
      <c r="N510" s="10">
        <f t="shared" ca="1" si="70"/>
        <v>-5.3011257484136598</v>
      </c>
      <c r="O510" s="10">
        <f t="shared" ca="1" si="71"/>
        <v>38.468737727056599</v>
      </c>
    </row>
    <row r="511" spans="2:15">
      <c r="B511" s="13">
        <v>30</v>
      </c>
      <c r="C511" s="17">
        <v>31.098344419652701</v>
      </c>
      <c r="D511" s="32">
        <f t="shared" ca="1" si="64"/>
        <v>30.07566888393054</v>
      </c>
      <c r="E511" s="27"/>
      <c r="F511" s="27"/>
      <c r="G511" s="27"/>
      <c r="H511" s="10">
        <f t="shared" si="65"/>
        <v>3.6611480655090123</v>
      </c>
      <c r="I511" s="32">
        <f t="shared" si="66"/>
        <v>1.098344419652701</v>
      </c>
      <c r="J511" s="10">
        <f t="shared" ca="1" si="67"/>
        <v>-0.99</v>
      </c>
      <c r="K511" s="10">
        <f t="shared" ca="1" si="68"/>
        <v>0.27</v>
      </c>
      <c r="L511" s="10">
        <v>0.2</v>
      </c>
      <c r="M511" s="10">
        <f t="shared" ca="1" si="69"/>
        <v>7.5668883930540221E-2</v>
      </c>
      <c r="N511" s="10">
        <f t="shared" ca="1" si="70"/>
        <v>0.25222961310180647</v>
      </c>
      <c r="O511" s="10">
        <f t="shared" ca="1" si="71"/>
        <v>5.7257799952935683E-3</v>
      </c>
    </row>
    <row r="512" spans="2:15">
      <c r="B512" s="13">
        <v>204</v>
      </c>
      <c r="C512" s="17">
        <v>173.91220749645001</v>
      </c>
      <c r="D512" s="32">
        <f t="shared" ca="1" si="64"/>
        <v>198.19844149929</v>
      </c>
      <c r="E512" s="27"/>
      <c r="F512" s="27"/>
      <c r="G512" s="27"/>
      <c r="H512" s="10">
        <f t="shared" si="65"/>
        <v>-14.748917893897051</v>
      </c>
      <c r="I512" s="32">
        <f t="shared" si="66"/>
        <v>-30.087792503549991</v>
      </c>
      <c r="J512" s="10">
        <f t="shared" ca="1" si="67"/>
        <v>0.43</v>
      </c>
      <c r="K512" s="10">
        <f t="shared" ca="1" si="68"/>
        <v>0.65</v>
      </c>
      <c r="L512" s="10">
        <v>0.2</v>
      </c>
      <c r="M512" s="10">
        <f t="shared" ca="1" si="69"/>
        <v>-5.8015585007099988</v>
      </c>
      <c r="N512" s="10">
        <f t="shared" ca="1" si="70"/>
        <v>-2.8439012258382412</v>
      </c>
      <c r="O512" s="10">
        <f t="shared" ca="1" si="71"/>
        <v>33.65808103716045</v>
      </c>
    </row>
    <row r="513" spans="2:15">
      <c r="B513" s="13">
        <v>169</v>
      </c>
      <c r="C513" s="17">
        <v>138.836839875495</v>
      </c>
      <c r="D513" s="32">
        <f t="shared" ca="1" si="64"/>
        <v>162.91936797509899</v>
      </c>
      <c r="E513" s="27"/>
      <c r="F513" s="27"/>
      <c r="G513" s="27"/>
      <c r="H513" s="10">
        <f t="shared" si="65"/>
        <v>-17.848023742310648</v>
      </c>
      <c r="I513" s="32">
        <f t="shared" si="66"/>
        <v>-30.163160124504998</v>
      </c>
      <c r="J513" s="10">
        <f t="shared" ca="1" si="67"/>
        <v>0.3</v>
      </c>
      <c r="K513" s="10">
        <f t="shared" ca="1" si="68"/>
        <v>-0.54</v>
      </c>
      <c r="L513" s="10">
        <v>0.2</v>
      </c>
      <c r="M513" s="10">
        <f t="shared" ca="1" si="69"/>
        <v>-6.080632024901</v>
      </c>
      <c r="N513" s="10">
        <f t="shared" ca="1" si="70"/>
        <v>-3.5980071153260407</v>
      </c>
      <c r="O513" s="10">
        <f t="shared" ca="1" si="71"/>
        <v>36.974085822251638</v>
      </c>
    </row>
    <row r="514" spans="2:15">
      <c r="B514" s="13">
        <v>161</v>
      </c>
      <c r="C514" s="17">
        <v>159.821968761432</v>
      </c>
      <c r="D514" s="32">
        <f t="shared" ca="1" si="64"/>
        <v>160.88039375228641</v>
      </c>
      <c r="E514" s="27"/>
      <c r="F514" s="27"/>
      <c r="G514" s="27"/>
      <c r="H514" s="10">
        <f t="shared" si="65"/>
        <v>-0.7316964214708066</v>
      </c>
      <c r="I514" s="32">
        <f t="shared" si="66"/>
        <v>-1.1780312385679963</v>
      </c>
      <c r="J514" s="10">
        <f t="shared" ca="1" si="67"/>
        <v>0.97</v>
      </c>
      <c r="K514" s="10">
        <f t="shared" ca="1" si="68"/>
        <v>-0.39</v>
      </c>
      <c r="L514" s="10">
        <v>0.2</v>
      </c>
      <c r="M514" s="10">
        <f t="shared" ca="1" si="69"/>
        <v>-0.11960624771359928</v>
      </c>
      <c r="N514" s="10">
        <f t="shared" ca="1" si="70"/>
        <v>-7.4289594853160779E-2</v>
      </c>
      <c r="O514" s="10">
        <f t="shared" ca="1" si="71"/>
        <v>1.4305654492126871E-2</v>
      </c>
    </row>
    <row r="515" spans="2:15">
      <c r="B515" s="13">
        <v>205</v>
      </c>
      <c r="C515" s="17">
        <v>172.36369661748901</v>
      </c>
      <c r="D515" s="32">
        <f t="shared" ca="1" si="64"/>
        <v>198.62673932349782</v>
      </c>
      <c r="E515" s="27"/>
      <c r="F515" s="27"/>
      <c r="G515" s="27"/>
      <c r="H515" s="10">
        <f t="shared" si="65"/>
        <v>-15.92014799146877</v>
      </c>
      <c r="I515" s="32">
        <f t="shared" si="66"/>
        <v>-32.636303382510988</v>
      </c>
      <c r="J515" s="10">
        <f t="shared" ca="1" si="67"/>
        <v>0.08</v>
      </c>
      <c r="K515" s="10">
        <f t="shared" ca="1" si="68"/>
        <v>0.69</v>
      </c>
      <c r="L515" s="10">
        <v>0.2</v>
      </c>
      <c r="M515" s="10">
        <f t="shared" ca="1" si="69"/>
        <v>-6.3732606765021984</v>
      </c>
      <c r="N515" s="10">
        <f t="shared" ca="1" si="70"/>
        <v>-3.1089076470742327</v>
      </c>
      <c r="O515" s="10">
        <f t="shared" ca="1" si="71"/>
        <v>40.618451650649263</v>
      </c>
    </row>
    <row r="516" spans="2:15">
      <c r="B516" s="13">
        <v>119</v>
      </c>
      <c r="C516" s="17">
        <v>88.183031874472107</v>
      </c>
      <c r="D516" s="32">
        <f t="shared" ca="1" si="64"/>
        <v>112.50860637489443</v>
      </c>
      <c r="E516" s="27"/>
      <c r="F516" s="27"/>
      <c r="G516" s="27"/>
      <c r="H516" s="10">
        <f t="shared" si="65"/>
        <v>-25.89661187019151</v>
      </c>
      <c r="I516" s="32">
        <f t="shared" si="66"/>
        <v>-30.816968125527893</v>
      </c>
      <c r="J516" s="10">
        <f t="shared" ca="1" si="67"/>
        <v>-0.95</v>
      </c>
      <c r="K516" s="10">
        <f t="shared" ca="1" si="68"/>
        <v>-0.69</v>
      </c>
      <c r="L516" s="10">
        <v>0.2</v>
      </c>
      <c r="M516" s="10">
        <f t="shared" ca="1" si="69"/>
        <v>-6.4913936251055793</v>
      </c>
      <c r="N516" s="10">
        <f t="shared" ca="1" si="70"/>
        <v>-5.4549526261391428</v>
      </c>
      <c r="O516" s="10">
        <f t="shared" ca="1" si="71"/>
        <v>42.138191196061356</v>
      </c>
    </row>
    <row r="517" spans="2:15">
      <c r="B517" s="13">
        <v>177</v>
      </c>
      <c r="C517" s="17">
        <v>185.00524677811799</v>
      </c>
      <c r="D517" s="32">
        <f t="shared" ca="1" si="64"/>
        <v>178.40904935562361</v>
      </c>
      <c r="E517" s="27"/>
      <c r="F517" s="27"/>
      <c r="G517" s="27"/>
      <c r="H517" s="10">
        <f t="shared" si="65"/>
        <v>4.5227382927220283</v>
      </c>
      <c r="I517" s="32">
        <f t="shared" si="66"/>
        <v>8.0052467781179928</v>
      </c>
      <c r="J517" s="10">
        <f t="shared" ca="1" si="67"/>
        <v>-0.82</v>
      </c>
      <c r="K517" s="10">
        <f t="shared" ca="1" si="68"/>
        <v>-0.14000000000000001</v>
      </c>
      <c r="L517" s="10">
        <v>0.2</v>
      </c>
      <c r="M517" s="10">
        <f t="shared" ca="1" si="69"/>
        <v>1.4090493556235986</v>
      </c>
      <c r="N517" s="10">
        <f t="shared" ca="1" si="70"/>
        <v>0.79607308227322982</v>
      </c>
      <c r="O517" s="10">
        <f t="shared" ca="1" si="71"/>
        <v>1.9854200865832783</v>
      </c>
    </row>
    <row r="518" spans="2:15">
      <c r="B518" s="13">
        <v>198</v>
      </c>
      <c r="C518" s="17">
        <v>196.79936396417699</v>
      </c>
      <c r="D518" s="32">
        <f t="shared" ca="1" si="64"/>
        <v>197.75987279283541</v>
      </c>
      <c r="E518" s="27"/>
      <c r="F518" s="27"/>
      <c r="G518" s="27"/>
      <c r="H518" s="10">
        <f t="shared" si="65"/>
        <v>-0.60638183627425013</v>
      </c>
      <c r="I518" s="32">
        <f t="shared" si="66"/>
        <v>-1.2006360358230097</v>
      </c>
      <c r="J518" s="10">
        <f t="shared" ca="1" si="67"/>
        <v>-0.42</v>
      </c>
      <c r="K518" s="10">
        <f t="shared" ca="1" si="68"/>
        <v>0.42</v>
      </c>
      <c r="L518" s="10">
        <v>0.2</v>
      </c>
      <c r="M518" s="10">
        <f t="shared" ca="1" si="69"/>
        <v>-0.24012720716460195</v>
      </c>
      <c r="N518" s="10">
        <f t="shared" ca="1" si="70"/>
        <v>-0.12127636725484114</v>
      </c>
      <c r="O518" s="10">
        <f t="shared" ca="1" si="71"/>
        <v>5.7661075620671666E-2</v>
      </c>
    </row>
    <row r="519" spans="2:15">
      <c r="B519" s="13">
        <v>116</v>
      </c>
      <c r="C519" s="17">
        <v>127.09181650651399</v>
      </c>
      <c r="D519" s="32">
        <f t="shared" ca="1" si="64"/>
        <v>118.2003633013028</v>
      </c>
      <c r="E519" s="27"/>
      <c r="F519" s="27"/>
      <c r="G519" s="27"/>
      <c r="H519" s="10">
        <f t="shared" si="65"/>
        <v>9.5619107814775894</v>
      </c>
      <c r="I519" s="32">
        <f t="shared" si="66"/>
        <v>11.091816506513993</v>
      </c>
      <c r="J519" s="10">
        <f t="shared" ca="1" si="67"/>
        <v>-0.09</v>
      </c>
      <c r="K519" s="10">
        <f t="shared" ca="1" si="68"/>
        <v>0</v>
      </c>
      <c r="L519" s="10">
        <v>0.2</v>
      </c>
      <c r="M519" s="10">
        <f t="shared" ca="1" si="69"/>
        <v>2.2003633013027986</v>
      </c>
      <c r="N519" s="10">
        <f t="shared" ca="1" si="70"/>
        <v>1.8968649149162076</v>
      </c>
      <c r="O519" s="10">
        <f t="shared" ca="1" si="71"/>
        <v>4.8415986577201506</v>
      </c>
    </row>
    <row r="520" spans="2:15">
      <c r="B520" s="13">
        <v>220</v>
      </c>
      <c r="C520" s="17">
        <v>190.102281461399</v>
      </c>
      <c r="D520" s="32">
        <f t="shared" ca="1" si="64"/>
        <v>214.0944562922798</v>
      </c>
      <c r="E520" s="27"/>
      <c r="F520" s="27"/>
      <c r="G520" s="27"/>
      <c r="H520" s="10">
        <f t="shared" si="65"/>
        <v>-13.589872063000453</v>
      </c>
      <c r="I520" s="32">
        <f t="shared" si="66"/>
        <v>-29.897718538600998</v>
      </c>
      <c r="J520" s="10">
        <f t="shared" ca="1" si="67"/>
        <v>0.16</v>
      </c>
      <c r="K520" s="10">
        <f t="shared" ca="1" si="68"/>
        <v>0.21</v>
      </c>
      <c r="L520" s="10">
        <v>0.2</v>
      </c>
      <c r="M520" s="10">
        <f t="shared" ca="1" si="69"/>
        <v>-5.9055437077201995</v>
      </c>
      <c r="N520" s="10">
        <f t="shared" ca="1" si="70"/>
        <v>-2.6843380489637303</v>
      </c>
      <c r="O520" s="10">
        <f t="shared" ca="1" si="71"/>
        <v>34.875446483793638</v>
      </c>
    </row>
    <row r="521" spans="2:15">
      <c r="B521" s="13">
        <v>59</v>
      </c>
      <c r="C521" s="17">
        <v>59.295451603270301</v>
      </c>
      <c r="D521" s="32">
        <f t="shared" ca="1" si="64"/>
        <v>59.063090320654062</v>
      </c>
      <c r="E521" s="27"/>
      <c r="F521" s="27"/>
      <c r="G521" s="27"/>
      <c r="H521" s="10">
        <f t="shared" si="65"/>
        <v>0.50076542927168788</v>
      </c>
      <c r="I521" s="32">
        <f t="shared" si="66"/>
        <v>0.29545160327030118</v>
      </c>
      <c r="J521" s="10">
        <f t="shared" ca="1" si="67"/>
        <v>-0.17</v>
      </c>
      <c r="K521" s="10">
        <f t="shared" ca="1" si="68"/>
        <v>0.19</v>
      </c>
      <c r="L521" s="10">
        <v>0.2</v>
      </c>
      <c r="M521" s="10">
        <f t="shared" ca="1" si="69"/>
        <v>6.3090320654060242E-2</v>
      </c>
      <c r="N521" s="10">
        <f t="shared" ca="1" si="70"/>
        <v>0.10693274687130216</v>
      </c>
      <c r="O521" s="10">
        <f t="shared" ca="1" si="71"/>
        <v>3.9803885602321407E-3</v>
      </c>
    </row>
    <row r="522" spans="2:15">
      <c r="B522" s="13">
        <v>153</v>
      </c>
      <c r="C522" s="17">
        <v>162.99252898180299</v>
      </c>
      <c r="D522" s="32">
        <f t="shared" ca="1" si="64"/>
        <v>154.74050579636059</v>
      </c>
      <c r="E522" s="27"/>
      <c r="F522" s="27"/>
      <c r="G522" s="27"/>
      <c r="H522" s="10">
        <f t="shared" si="65"/>
        <v>6.531064693988875</v>
      </c>
      <c r="I522" s="32">
        <f t="shared" si="66"/>
        <v>9.992528981802991</v>
      </c>
      <c r="J522" s="10">
        <f t="shared" ca="1" si="67"/>
        <v>-0.87</v>
      </c>
      <c r="K522" s="10">
        <f t="shared" ca="1" si="68"/>
        <v>-0.42</v>
      </c>
      <c r="L522" s="10">
        <v>0.2</v>
      </c>
      <c r="M522" s="10">
        <f t="shared" ca="1" si="69"/>
        <v>1.7405057963605985</v>
      </c>
      <c r="N522" s="10">
        <f t="shared" ca="1" si="70"/>
        <v>1.1375854878173719</v>
      </c>
      <c r="O522" s="10">
        <f t="shared" ca="1" si="71"/>
        <v>3.0293604271648413</v>
      </c>
    </row>
    <row r="523" spans="2:15">
      <c r="B523" s="13">
        <v>28</v>
      </c>
      <c r="C523" s="17">
        <v>29.467593933327201</v>
      </c>
      <c r="D523" s="32">
        <f t="shared" ca="1" si="64"/>
        <v>28.290198786665439</v>
      </c>
      <c r="E523" s="27"/>
      <c r="F523" s="27"/>
      <c r="G523" s="27"/>
      <c r="H523" s="10">
        <f t="shared" si="65"/>
        <v>5.241406904739998</v>
      </c>
      <c r="I523" s="32">
        <f t="shared" si="66"/>
        <v>1.4675939333272012</v>
      </c>
      <c r="J523" s="10">
        <f t="shared" ca="1" si="67"/>
        <v>-7.1000000000000004E-3</v>
      </c>
      <c r="K523" s="10">
        <f t="shared" ca="1" si="68"/>
        <v>-9.4999999999999998E-3</v>
      </c>
      <c r="L523" s="10">
        <v>0.2</v>
      </c>
      <c r="M523" s="10">
        <f t="shared" ca="1" si="69"/>
        <v>0.29019878666544024</v>
      </c>
      <c r="N523" s="10">
        <f t="shared" ca="1" si="70"/>
        <v>1.0364242380908495</v>
      </c>
      <c r="O523" s="10">
        <f t="shared" ca="1" si="71"/>
        <v>8.4215335782093698E-2</v>
      </c>
    </row>
    <row r="524" spans="2:15">
      <c r="B524" s="13">
        <v>44</v>
      </c>
      <c r="C524" s="17">
        <v>55.4650675358969</v>
      </c>
      <c r="D524" s="32">
        <f t="shared" ca="1" si="64"/>
        <v>46.563013507179377</v>
      </c>
      <c r="E524" s="27"/>
      <c r="F524" s="27"/>
      <c r="G524" s="27"/>
      <c r="H524" s="10">
        <f t="shared" si="65"/>
        <v>26.056971672492946</v>
      </c>
      <c r="I524" s="32">
        <f t="shared" si="66"/>
        <v>11.4650675358969</v>
      </c>
      <c r="J524" s="10">
        <f t="shared" ca="1" si="67"/>
        <v>0.84</v>
      </c>
      <c r="K524" s="10">
        <f t="shared" ca="1" si="68"/>
        <v>0.51</v>
      </c>
      <c r="L524" s="10">
        <v>0.2</v>
      </c>
      <c r="M524" s="10">
        <f t="shared" ca="1" si="69"/>
        <v>2.56301350717938</v>
      </c>
      <c r="N524" s="10">
        <f t="shared" ca="1" si="70"/>
        <v>5.8250306981349587</v>
      </c>
      <c r="O524" s="10">
        <f t="shared" ca="1" si="71"/>
        <v>6.5690382379839463</v>
      </c>
    </row>
    <row r="525" spans="2:15">
      <c r="B525" s="13">
        <v>16</v>
      </c>
      <c r="C525" s="17">
        <v>26.6453503400198</v>
      </c>
      <c r="D525" s="32">
        <f t="shared" ca="1" si="64"/>
        <v>18.13147006800396</v>
      </c>
      <c r="E525" s="27"/>
      <c r="F525" s="27"/>
      <c r="G525" s="27"/>
      <c r="H525" s="10">
        <f t="shared" si="65"/>
        <v>66.533439625123748</v>
      </c>
      <c r="I525" s="32">
        <f t="shared" si="66"/>
        <v>10.6453503400198</v>
      </c>
      <c r="J525" s="10">
        <f t="shared" ca="1" si="67"/>
        <v>3.7000000000000002E-3</v>
      </c>
      <c r="K525" s="10">
        <f t="shared" ca="1" si="68"/>
        <v>8.3000000000000001E-3</v>
      </c>
      <c r="L525" s="10">
        <v>0.2</v>
      </c>
      <c r="M525" s="10">
        <f t="shared" ca="1" si="69"/>
        <v>2.13147006800396</v>
      </c>
      <c r="N525" s="10">
        <f t="shared" ca="1" si="70"/>
        <v>13.321687925024751</v>
      </c>
      <c r="O525" s="10">
        <f t="shared" ca="1" si="71"/>
        <v>4.5431646507968058</v>
      </c>
    </row>
    <row r="526" spans="2:15">
      <c r="B526" s="13">
        <v>188</v>
      </c>
      <c r="C526" s="17">
        <v>156.243383525691</v>
      </c>
      <c r="D526" s="32">
        <f t="shared" ca="1" si="64"/>
        <v>181.7446767051382</v>
      </c>
      <c r="E526" s="27"/>
      <c r="F526" s="27"/>
      <c r="G526" s="27"/>
      <c r="H526" s="10">
        <f t="shared" si="65"/>
        <v>-16.89181727356862</v>
      </c>
      <c r="I526" s="32">
        <f t="shared" si="66"/>
        <v>-31.756616474308998</v>
      </c>
      <c r="J526" s="10">
        <f t="shared" ca="1" si="67"/>
        <v>-0.28000000000000003</v>
      </c>
      <c r="K526" s="10">
        <f t="shared" ca="1" si="68"/>
        <v>0.76</v>
      </c>
      <c r="L526" s="10">
        <v>0.2</v>
      </c>
      <c r="M526" s="10">
        <f t="shared" ca="1" si="69"/>
        <v>-6.2553232948617996</v>
      </c>
      <c r="N526" s="10">
        <f t="shared" ca="1" si="70"/>
        <v>-3.327299624926483</v>
      </c>
      <c r="O526" s="10">
        <f t="shared" ca="1" si="71"/>
        <v>39.12906952324068</v>
      </c>
    </row>
    <row r="527" spans="2:15">
      <c r="B527" s="13">
        <v>86</v>
      </c>
      <c r="C527" s="17">
        <v>94.785356296574804</v>
      </c>
      <c r="D527" s="32">
        <f t="shared" ca="1" si="64"/>
        <v>88.009071259314965</v>
      </c>
      <c r="E527" s="27"/>
      <c r="F527" s="27"/>
      <c r="G527" s="27"/>
      <c r="H527" s="10">
        <f t="shared" si="65"/>
        <v>10.215530577412558</v>
      </c>
      <c r="I527" s="32">
        <f t="shared" si="66"/>
        <v>8.785356296574804</v>
      </c>
      <c r="J527" s="10">
        <f t="shared" ca="1" si="67"/>
        <v>0.53</v>
      </c>
      <c r="K527" s="10">
        <f t="shared" ca="1" si="68"/>
        <v>0.73</v>
      </c>
      <c r="L527" s="10">
        <v>0.2</v>
      </c>
      <c r="M527" s="10">
        <f t="shared" ca="1" si="69"/>
        <v>2.0090712593149607</v>
      </c>
      <c r="N527" s="10">
        <f t="shared" ca="1" si="70"/>
        <v>2.3361293712964804</v>
      </c>
      <c r="O527" s="10">
        <f t="shared" ca="1" si="71"/>
        <v>4.0363673250054015</v>
      </c>
    </row>
    <row r="528" spans="2:15">
      <c r="B528" s="13">
        <v>121</v>
      </c>
      <c r="C528" s="17">
        <v>131.90292360917499</v>
      </c>
      <c r="D528" s="32">
        <f t="shared" ca="1" si="64"/>
        <v>123.266584721835</v>
      </c>
      <c r="E528" s="27"/>
      <c r="F528" s="27"/>
      <c r="G528" s="27"/>
      <c r="H528" s="10">
        <f t="shared" si="65"/>
        <v>9.010680668739667</v>
      </c>
      <c r="I528" s="32">
        <f t="shared" si="66"/>
        <v>10.902923609174991</v>
      </c>
      <c r="J528" s="10">
        <f t="shared" ca="1" si="67"/>
        <v>0.14000000000000001</v>
      </c>
      <c r="K528" s="10">
        <f t="shared" ca="1" si="68"/>
        <v>0.28999999999999998</v>
      </c>
      <c r="L528" s="10">
        <v>0.2</v>
      </c>
      <c r="M528" s="10">
        <f t="shared" ca="1" si="69"/>
        <v>2.2665847218349984</v>
      </c>
      <c r="N528" s="10">
        <f t="shared" ca="1" si="70"/>
        <v>1.873210513913226</v>
      </c>
      <c r="O528" s="10">
        <f t="shared" ca="1" si="71"/>
        <v>5.1374063012558366</v>
      </c>
    </row>
    <row r="529" spans="2:15">
      <c r="B529" s="13">
        <v>18</v>
      </c>
      <c r="C529" s="17">
        <v>-10.296121344334001</v>
      </c>
      <c r="D529" s="32">
        <f t="shared" ca="1" si="64"/>
        <v>12.3427157311332</v>
      </c>
      <c r="E529" s="27"/>
      <c r="F529" s="27"/>
      <c r="G529" s="27"/>
      <c r="H529" s="10">
        <f t="shared" si="65"/>
        <v>-157.20067413518888</v>
      </c>
      <c r="I529" s="32">
        <f t="shared" si="66"/>
        <v>-28.296121344334001</v>
      </c>
      <c r="J529" s="10">
        <f t="shared" ca="1" si="67"/>
        <v>3.3999999999999998E-3</v>
      </c>
      <c r="K529" s="10">
        <f t="shared" ca="1" si="68"/>
        <v>6.3E-3</v>
      </c>
      <c r="L529" s="10">
        <v>0.2</v>
      </c>
      <c r="M529" s="10">
        <f t="shared" ca="1" si="69"/>
        <v>-5.6572842688668006</v>
      </c>
      <c r="N529" s="10">
        <f t="shared" ca="1" si="70"/>
        <v>-31.429357049259998</v>
      </c>
      <c r="O529" s="10">
        <f t="shared" ca="1" si="71"/>
        <v>32.004865298767768</v>
      </c>
    </row>
    <row r="530" spans="2:15">
      <c r="B530" s="13">
        <v>89</v>
      </c>
      <c r="C530" s="17">
        <v>91.291066530914307</v>
      </c>
      <c r="D530" s="32">
        <f t="shared" ref="D530:D593" ca="1" si="72">B530+M530</f>
        <v>89.414213306182859</v>
      </c>
      <c r="E530" s="27"/>
      <c r="F530" s="27"/>
      <c r="G530" s="27"/>
      <c r="H530" s="10">
        <f t="shared" ref="H530:H593" si="73">((C530/B530)-1)*100</f>
        <v>2.574232057207082</v>
      </c>
      <c r="I530" s="32">
        <f t="shared" ref="I530:I593" si="74">C530-B530</f>
        <v>2.291066530914307</v>
      </c>
      <c r="J530" s="10">
        <f t="shared" ref="J530:J593" ca="1" si="75">IF(B530 &lt; 30, RANDBETWEEN(-100, 100) / 10000, RANDBETWEEN(-100,100) / 100)</f>
        <v>0.61</v>
      </c>
      <c r="K530" s="10">
        <f t="shared" ref="K530:K593" ca="1" si="76">IF(B530 &lt; 30, RANDBETWEEN(-100, 100) / 10000, RANDBETWEEN(-100,100) / 100)</f>
        <v>-0.83</v>
      </c>
      <c r="L530" s="10">
        <v>0.2</v>
      </c>
      <c r="M530" s="10">
        <f t="shared" ref="M530:M593" ca="1" si="77">(I530+J530+K530)*L530</f>
        <v>0.4142133061828614</v>
      </c>
      <c r="N530" s="10">
        <f t="shared" ref="N530:N593" ca="1" si="78">((D530/B530)-1)*100</f>
        <v>0.46540820919422909</v>
      </c>
      <c r="O530" s="10">
        <f t="shared" ref="O530:O593" ca="1" si="79">M530^2</f>
        <v>0.17157266301893689</v>
      </c>
    </row>
    <row r="531" spans="2:15">
      <c r="B531" s="13">
        <v>16</v>
      </c>
      <c r="C531" s="17">
        <v>-14.2367413291067</v>
      </c>
      <c r="D531" s="32">
        <f t="shared" ca="1" si="72"/>
        <v>9.9511317341786594</v>
      </c>
      <c r="E531" s="27"/>
      <c r="F531" s="27"/>
      <c r="G531" s="27"/>
      <c r="H531" s="10">
        <f t="shared" si="73"/>
        <v>-188.97963330691687</v>
      </c>
      <c r="I531" s="32">
        <f t="shared" si="74"/>
        <v>-30.2367413291067</v>
      </c>
      <c r="J531" s="10">
        <f t="shared" ca="1" si="75"/>
        <v>-6.1999999999999998E-3</v>
      </c>
      <c r="K531" s="10">
        <f t="shared" ca="1" si="76"/>
        <v>-1.4E-3</v>
      </c>
      <c r="L531" s="10">
        <v>0.2</v>
      </c>
      <c r="M531" s="10">
        <f t="shared" ca="1" si="77"/>
        <v>-6.0488682658213406</v>
      </c>
      <c r="N531" s="10">
        <f t="shared" ca="1" si="78"/>
        <v>-37.805426661383379</v>
      </c>
      <c r="O531" s="10">
        <f t="shared" ca="1" si="79"/>
        <v>36.588807297260473</v>
      </c>
    </row>
    <row r="532" spans="2:15">
      <c r="B532" s="13">
        <v>120</v>
      </c>
      <c r="C532" s="17">
        <v>120.188268956999</v>
      </c>
      <c r="D532" s="32">
        <f t="shared" ca="1" si="72"/>
        <v>119.93365379139981</v>
      </c>
      <c r="E532" s="27"/>
      <c r="F532" s="27"/>
      <c r="G532" s="27"/>
      <c r="H532" s="10">
        <f t="shared" si="73"/>
        <v>0.15689079749916512</v>
      </c>
      <c r="I532" s="32">
        <f t="shared" si="74"/>
        <v>0.18826895699899637</v>
      </c>
      <c r="J532" s="10">
        <f t="shared" ca="1" si="75"/>
        <v>-0.23</v>
      </c>
      <c r="K532" s="10">
        <f t="shared" ca="1" si="76"/>
        <v>-0.28999999999999998</v>
      </c>
      <c r="L532" s="10">
        <v>0.2</v>
      </c>
      <c r="M532" s="10">
        <f t="shared" ca="1" si="77"/>
        <v>-6.6346208600200726E-2</v>
      </c>
      <c r="N532" s="10">
        <f t="shared" ca="1" si="78"/>
        <v>-5.5288507166828538E-2</v>
      </c>
      <c r="O532" s="10">
        <f t="shared" ca="1" si="79"/>
        <v>4.4018193956213486E-3</v>
      </c>
    </row>
    <row r="533" spans="2:15">
      <c r="B533" s="13">
        <v>57</v>
      </c>
      <c r="C533" s="17">
        <v>66.454849092205905</v>
      </c>
      <c r="D533" s="32">
        <f t="shared" ca="1" si="72"/>
        <v>59.018969818441178</v>
      </c>
      <c r="E533" s="27"/>
      <c r="F533" s="27"/>
      <c r="G533" s="27"/>
      <c r="H533" s="10">
        <f t="shared" si="73"/>
        <v>16.587454547729653</v>
      </c>
      <c r="I533" s="32">
        <f t="shared" si="74"/>
        <v>9.4548490922059045</v>
      </c>
      <c r="J533" s="10">
        <f t="shared" ca="1" si="75"/>
        <v>0.87</v>
      </c>
      <c r="K533" s="10">
        <f t="shared" ca="1" si="76"/>
        <v>-0.23</v>
      </c>
      <c r="L533" s="10">
        <v>0.2</v>
      </c>
      <c r="M533" s="10">
        <f t="shared" ca="1" si="77"/>
        <v>2.0189698184411808</v>
      </c>
      <c r="N533" s="10">
        <f t="shared" ca="1" si="78"/>
        <v>3.5420523130546888</v>
      </c>
      <c r="O533" s="10">
        <f t="shared" ca="1" si="79"/>
        <v>4.0762391277764145</v>
      </c>
    </row>
    <row r="534" spans="2:15">
      <c r="B534" s="13">
        <v>132</v>
      </c>
      <c r="C534" s="17">
        <v>132.22185548109599</v>
      </c>
      <c r="D534" s="32">
        <f t="shared" ca="1" si="72"/>
        <v>132.0003710962192</v>
      </c>
      <c r="E534" s="27"/>
      <c r="F534" s="27"/>
      <c r="G534" s="27"/>
      <c r="H534" s="10">
        <f t="shared" si="73"/>
        <v>0.16807233416362699</v>
      </c>
      <c r="I534" s="32">
        <f t="shared" si="74"/>
        <v>0.22185548109598585</v>
      </c>
      <c r="J534" s="10">
        <f t="shared" ca="1" si="75"/>
        <v>0.71</v>
      </c>
      <c r="K534" s="10">
        <f t="shared" ca="1" si="76"/>
        <v>-0.93</v>
      </c>
      <c r="L534" s="10">
        <v>0.2</v>
      </c>
      <c r="M534" s="10">
        <f t="shared" ca="1" si="77"/>
        <v>3.7109621919715344E-4</v>
      </c>
      <c r="N534" s="10">
        <f t="shared" ca="1" si="78"/>
        <v>2.8113349939129506E-4</v>
      </c>
      <c r="O534" s="10">
        <f t="shared" ca="1" si="79"/>
        <v>1.3771240390242174E-7</v>
      </c>
    </row>
    <row r="535" spans="2:15">
      <c r="B535" s="13">
        <v>221</v>
      </c>
      <c r="C535" s="17">
        <v>190.03954036291401</v>
      </c>
      <c r="D535" s="32">
        <f t="shared" ca="1" si="72"/>
        <v>214.69190807258281</v>
      </c>
      <c r="E535" s="27"/>
      <c r="F535" s="27"/>
      <c r="G535" s="27"/>
      <c r="H535" s="10">
        <f t="shared" si="73"/>
        <v>-14.009257754337556</v>
      </c>
      <c r="I535" s="32">
        <f t="shared" si="74"/>
        <v>-30.960459637085989</v>
      </c>
      <c r="J535" s="10">
        <f t="shared" ca="1" si="75"/>
        <v>-0.85</v>
      </c>
      <c r="K535" s="10">
        <f t="shared" ca="1" si="76"/>
        <v>0.27</v>
      </c>
      <c r="L535" s="10">
        <v>0.2</v>
      </c>
      <c r="M535" s="10">
        <f t="shared" ca="1" si="77"/>
        <v>-6.3080919274171983</v>
      </c>
      <c r="N535" s="10">
        <f t="shared" ca="1" si="78"/>
        <v>-2.8543402386503103</v>
      </c>
      <c r="O535" s="10">
        <f t="shared" ca="1" si="79"/>
        <v>39.792023764746027</v>
      </c>
    </row>
    <row r="536" spans="2:15">
      <c r="B536" s="13">
        <v>99</v>
      </c>
      <c r="C536" s="17">
        <v>111.299415635592</v>
      </c>
      <c r="D536" s="32">
        <f t="shared" ca="1" si="72"/>
        <v>101.3498831271184</v>
      </c>
      <c r="E536" s="27"/>
      <c r="F536" s="27"/>
      <c r="G536" s="27"/>
      <c r="H536" s="10">
        <f t="shared" si="73"/>
        <v>12.423652157163634</v>
      </c>
      <c r="I536" s="32">
        <f t="shared" si="74"/>
        <v>12.299415635591998</v>
      </c>
      <c r="J536" s="10">
        <f t="shared" ca="1" si="75"/>
        <v>-0.64</v>
      </c>
      <c r="K536" s="10">
        <f t="shared" ca="1" si="76"/>
        <v>0.09</v>
      </c>
      <c r="L536" s="10">
        <v>0.2</v>
      </c>
      <c r="M536" s="10">
        <f t="shared" ca="1" si="77"/>
        <v>2.3498831271183995</v>
      </c>
      <c r="N536" s="10">
        <f t="shared" ca="1" si="78"/>
        <v>2.3736193203216294</v>
      </c>
      <c r="O536" s="10">
        <f t="shared" ca="1" si="79"/>
        <v>5.521950711115748</v>
      </c>
    </row>
    <row r="537" spans="2:15">
      <c r="B537" s="13">
        <v>5</v>
      </c>
      <c r="C537" s="17">
        <v>6.6374207436766897</v>
      </c>
      <c r="D537" s="32">
        <f t="shared" ca="1" si="72"/>
        <v>5.3295041487353378</v>
      </c>
      <c r="E537" s="27"/>
      <c r="F537" s="27"/>
      <c r="G537" s="27"/>
      <c r="H537" s="10">
        <f t="shared" si="73"/>
        <v>32.74841487353379</v>
      </c>
      <c r="I537" s="32">
        <f t="shared" si="74"/>
        <v>1.6374207436766897</v>
      </c>
      <c r="J537" s="10">
        <f t="shared" ca="1" si="75"/>
        <v>1.9E-3</v>
      </c>
      <c r="K537" s="10">
        <f t="shared" ca="1" si="76"/>
        <v>8.2000000000000007E-3</v>
      </c>
      <c r="L537" s="10">
        <v>0.2</v>
      </c>
      <c r="M537" s="10">
        <f t="shared" ca="1" si="77"/>
        <v>0.32950414873533795</v>
      </c>
      <c r="N537" s="10">
        <f t="shared" ca="1" si="78"/>
        <v>6.5900829747067569</v>
      </c>
      <c r="O537" s="10">
        <f t="shared" ca="1" si="79"/>
        <v>0.10857298403379971</v>
      </c>
    </row>
    <row r="538" spans="2:15">
      <c r="B538" s="13">
        <v>213</v>
      </c>
      <c r="C538" s="17">
        <v>183.818815548846</v>
      </c>
      <c r="D538" s="32">
        <f t="shared" ca="1" si="72"/>
        <v>206.87776310976921</v>
      </c>
      <c r="E538" s="27"/>
      <c r="F538" s="27"/>
      <c r="G538" s="27"/>
      <c r="H538" s="10">
        <f t="shared" si="73"/>
        <v>-13.70008659678591</v>
      </c>
      <c r="I538" s="32">
        <f t="shared" si="74"/>
        <v>-29.181184451153996</v>
      </c>
      <c r="J538" s="10">
        <f t="shared" ca="1" si="75"/>
        <v>-0.81</v>
      </c>
      <c r="K538" s="10">
        <f t="shared" ca="1" si="76"/>
        <v>-0.62</v>
      </c>
      <c r="L538" s="10">
        <v>0.2</v>
      </c>
      <c r="M538" s="10">
        <f t="shared" ca="1" si="77"/>
        <v>-6.1222368902307993</v>
      </c>
      <c r="N538" s="10">
        <f t="shared" ca="1" si="78"/>
        <v>-2.8742896198266643</v>
      </c>
      <c r="O538" s="10">
        <f t="shared" ca="1" si="79"/>
        <v>37.481784540102886</v>
      </c>
    </row>
    <row r="539" spans="2:15">
      <c r="B539" s="13">
        <v>98</v>
      </c>
      <c r="C539" s="17">
        <v>98.324157285547599</v>
      </c>
      <c r="D539" s="32">
        <f t="shared" ca="1" si="72"/>
        <v>97.830831457109525</v>
      </c>
      <c r="E539" s="27"/>
      <c r="F539" s="27"/>
      <c r="G539" s="27"/>
      <c r="H539" s="10">
        <f t="shared" si="73"/>
        <v>0.33077274035469006</v>
      </c>
      <c r="I539" s="32">
        <f t="shared" si="74"/>
        <v>0.32415728554759937</v>
      </c>
      <c r="J539" s="10">
        <f t="shared" ca="1" si="75"/>
        <v>-0.76</v>
      </c>
      <c r="K539" s="10">
        <f t="shared" ca="1" si="76"/>
        <v>-0.41</v>
      </c>
      <c r="L539" s="10">
        <v>0.2</v>
      </c>
      <c r="M539" s="10">
        <f t="shared" ca="1" si="77"/>
        <v>-0.16916854289048011</v>
      </c>
      <c r="N539" s="10">
        <f t="shared" ca="1" si="78"/>
        <v>-0.17262096213314093</v>
      </c>
      <c r="O539" s="10">
        <f t="shared" ca="1" si="79"/>
        <v>2.8617995903688208E-2</v>
      </c>
    </row>
    <row r="540" spans="2:15">
      <c r="B540" s="13">
        <v>65</v>
      </c>
      <c r="C540" s="17">
        <v>37.161289885504601</v>
      </c>
      <c r="D540" s="32">
        <f t="shared" ca="1" si="72"/>
        <v>59.354257977100922</v>
      </c>
      <c r="E540" s="27"/>
      <c r="F540" s="27"/>
      <c r="G540" s="27"/>
      <c r="H540" s="10">
        <f t="shared" si="73"/>
        <v>-42.828784791531383</v>
      </c>
      <c r="I540" s="32">
        <f t="shared" si="74"/>
        <v>-27.838710114495399</v>
      </c>
      <c r="J540" s="10">
        <f t="shared" ca="1" si="75"/>
        <v>-0.59</v>
      </c>
      <c r="K540" s="10">
        <f t="shared" ca="1" si="76"/>
        <v>0.2</v>
      </c>
      <c r="L540" s="10">
        <v>0.2</v>
      </c>
      <c r="M540" s="10">
        <f t="shared" ca="1" si="77"/>
        <v>-5.6457420228990802</v>
      </c>
      <c r="N540" s="10">
        <f t="shared" ca="1" si="78"/>
        <v>-8.6857569583062784</v>
      </c>
      <c r="O540" s="10">
        <f t="shared" ca="1" si="79"/>
        <v>31.874402989128598</v>
      </c>
    </row>
    <row r="541" spans="2:15">
      <c r="B541" s="13">
        <v>199</v>
      </c>
      <c r="C541" s="17">
        <v>197.527694402344</v>
      </c>
      <c r="D541" s="32">
        <f t="shared" ca="1" si="72"/>
        <v>198.76953888046879</v>
      </c>
      <c r="E541" s="27"/>
      <c r="F541" s="27"/>
      <c r="G541" s="27"/>
      <c r="H541" s="10">
        <f t="shared" si="73"/>
        <v>-0.73985205912362462</v>
      </c>
      <c r="I541" s="32">
        <f t="shared" si="74"/>
        <v>-1.4723055976560033</v>
      </c>
      <c r="J541" s="10">
        <f t="shared" ca="1" si="75"/>
        <v>-0.22</v>
      </c>
      <c r="K541" s="10">
        <f t="shared" ca="1" si="76"/>
        <v>0.54</v>
      </c>
      <c r="L541" s="10">
        <v>0.2</v>
      </c>
      <c r="M541" s="10">
        <f t="shared" ca="1" si="77"/>
        <v>-0.23046111953120066</v>
      </c>
      <c r="N541" s="10">
        <f t="shared" ca="1" si="78"/>
        <v>-0.1158096078046289</v>
      </c>
      <c r="O541" s="10">
        <f t="shared" ca="1" si="79"/>
        <v>5.3112327615574356E-2</v>
      </c>
    </row>
    <row r="542" spans="2:15">
      <c r="B542" s="13">
        <v>148</v>
      </c>
      <c r="C542" s="17">
        <v>148.00548263898801</v>
      </c>
      <c r="D542" s="32">
        <f t="shared" ca="1" si="72"/>
        <v>148.29709652779761</v>
      </c>
      <c r="E542" s="27"/>
      <c r="F542" s="27"/>
      <c r="G542" s="27"/>
      <c r="H542" s="10">
        <f t="shared" si="73"/>
        <v>3.7044858027135419E-3</v>
      </c>
      <c r="I542" s="32">
        <f t="shared" si="74"/>
        <v>5.4826389880133775E-3</v>
      </c>
      <c r="J542" s="10">
        <f t="shared" ca="1" si="75"/>
        <v>0.83</v>
      </c>
      <c r="K542" s="10">
        <f t="shared" ca="1" si="76"/>
        <v>0.65</v>
      </c>
      <c r="L542" s="10">
        <v>0.2</v>
      </c>
      <c r="M542" s="10">
        <f t="shared" ca="1" si="77"/>
        <v>0.29709652779760271</v>
      </c>
      <c r="N542" s="10">
        <f t="shared" ca="1" si="78"/>
        <v>0.200740897160534</v>
      </c>
      <c r="O542" s="10">
        <f t="shared" ca="1" si="79"/>
        <v>8.8266346829391717E-2</v>
      </c>
    </row>
    <row r="543" spans="2:15">
      <c r="B543" s="13">
        <v>113</v>
      </c>
      <c r="C543" s="17">
        <v>111.740472893627</v>
      </c>
      <c r="D543" s="32">
        <f t="shared" ca="1" si="72"/>
        <v>112.82409457872539</v>
      </c>
      <c r="E543" s="27"/>
      <c r="F543" s="27"/>
      <c r="G543" s="27"/>
      <c r="H543" s="10">
        <f t="shared" si="73"/>
        <v>-1.1146257578522167</v>
      </c>
      <c r="I543" s="32">
        <f t="shared" si="74"/>
        <v>-1.2595271063729996</v>
      </c>
      <c r="J543" s="10">
        <f t="shared" ca="1" si="75"/>
        <v>-0.54</v>
      </c>
      <c r="K543" s="10">
        <f t="shared" ca="1" si="76"/>
        <v>0.92</v>
      </c>
      <c r="L543" s="10">
        <v>0.2</v>
      </c>
      <c r="M543" s="10">
        <f t="shared" ca="1" si="77"/>
        <v>-0.17590542127459993</v>
      </c>
      <c r="N543" s="10">
        <f t="shared" ca="1" si="78"/>
        <v>-0.15566851440230733</v>
      </c>
      <c r="O543" s="10">
        <f t="shared" ca="1" si="79"/>
        <v>3.0942717233794475E-2</v>
      </c>
    </row>
    <row r="544" spans="2:15">
      <c r="B544" s="13">
        <v>159</v>
      </c>
      <c r="C544" s="17">
        <v>169.46258317353301</v>
      </c>
      <c r="D544" s="32">
        <f t="shared" ca="1" si="72"/>
        <v>161.0785166347066</v>
      </c>
      <c r="E544" s="27"/>
      <c r="F544" s="27"/>
      <c r="G544" s="27"/>
      <c r="H544" s="10">
        <f t="shared" si="73"/>
        <v>6.5802409896434044</v>
      </c>
      <c r="I544" s="32">
        <f t="shared" si="74"/>
        <v>10.462583173533005</v>
      </c>
      <c r="J544" s="10">
        <f t="shared" ca="1" si="75"/>
        <v>0.66</v>
      </c>
      <c r="K544" s="10">
        <f t="shared" ca="1" si="76"/>
        <v>-0.73</v>
      </c>
      <c r="L544" s="10">
        <v>0.2</v>
      </c>
      <c r="M544" s="10">
        <f t="shared" ca="1" si="77"/>
        <v>2.0785166347066011</v>
      </c>
      <c r="N544" s="10">
        <f t="shared" ca="1" si="78"/>
        <v>1.3072431664821416</v>
      </c>
      <c r="O544" s="10">
        <f t="shared" ca="1" si="79"/>
        <v>4.3202314007520544</v>
      </c>
    </row>
    <row r="545" spans="2:15">
      <c r="B545" s="13">
        <v>244</v>
      </c>
      <c r="C545" s="17">
        <v>213.09828064457901</v>
      </c>
      <c r="D545" s="32">
        <f t="shared" ca="1" si="72"/>
        <v>237.78165612891581</v>
      </c>
      <c r="E545" s="27"/>
      <c r="F545" s="27"/>
      <c r="G545" s="27"/>
      <c r="H545" s="10">
        <f t="shared" si="73"/>
        <v>-12.664639080090566</v>
      </c>
      <c r="I545" s="32">
        <f t="shared" si="74"/>
        <v>-30.901719355420994</v>
      </c>
      <c r="J545" s="10">
        <f t="shared" ca="1" si="75"/>
        <v>-0.72</v>
      </c>
      <c r="K545" s="10">
        <f t="shared" ca="1" si="76"/>
        <v>0.53</v>
      </c>
      <c r="L545" s="10">
        <v>0.2</v>
      </c>
      <c r="M545" s="10">
        <f t="shared" ca="1" si="77"/>
        <v>-6.2183438710841985</v>
      </c>
      <c r="N545" s="10">
        <f t="shared" ca="1" si="78"/>
        <v>-2.5485015865099103</v>
      </c>
      <c r="O545" s="10">
        <f t="shared" ca="1" si="79"/>
        <v>38.667800499050415</v>
      </c>
    </row>
    <row r="546" spans="2:15">
      <c r="B546" s="13">
        <v>117</v>
      </c>
      <c r="C546" s="17">
        <v>117.598615331928</v>
      </c>
      <c r="D546" s="32">
        <f t="shared" ca="1" si="72"/>
        <v>117.2317230663856</v>
      </c>
      <c r="E546" s="27"/>
      <c r="F546" s="27"/>
      <c r="G546" s="27"/>
      <c r="H546" s="10">
        <f t="shared" si="73"/>
        <v>0.51163703583589903</v>
      </c>
      <c r="I546" s="32">
        <f t="shared" si="74"/>
        <v>0.59861533192800209</v>
      </c>
      <c r="J546" s="10">
        <f t="shared" ca="1" si="75"/>
        <v>0.02</v>
      </c>
      <c r="K546" s="10">
        <f t="shared" ca="1" si="76"/>
        <v>0.54</v>
      </c>
      <c r="L546" s="10">
        <v>0.2</v>
      </c>
      <c r="M546" s="10">
        <f t="shared" ca="1" si="77"/>
        <v>0.23172306638560045</v>
      </c>
      <c r="N546" s="10">
        <f t="shared" ca="1" si="78"/>
        <v>0.19805390289366898</v>
      </c>
      <c r="O546" s="10">
        <f t="shared" ca="1" si="79"/>
        <v>5.369557949514539E-2</v>
      </c>
    </row>
    <row r="547" spans="2:15">
      <c r="B547" s="13">
        <v>32</v>
      </c>
      <c r="C547" s="2">
        <v>2.0348611152526499</v>
      </c>
      <c r="D547" s="32">
        <f t="shared" ca="1" si="72"/>
        <v>25.944972223050531</v>
      </c>
      <c r="E547" s="27"/>
      <c r="F547" s="27"/>
      <c r="G547" s="27"/>
      <c r="H547" s="10">
        <f t="shared" si="73"/>
        <v>-93.641059014835477</v>
      </c>
      <c r="I547" s="32">
        <f t="shared" si="74"/>
        <v>-29.965138884747351</v>
      </c>
      <c r="J547" s="10">
        <f t="shared" ca="1" si="75"/>
        <v>-0.56999999999999995</v>
      </c>
      <c r="K547" s="10">
        <f t="shared" ca="1" si="76"/>
        <v>0.26</v>
      </c>
      <c r="L547" s="10">
        <v>0.2</v>
      </c>
      <c r="M547" s="10">
        <f t="shared" ca="1" si="77"/>
        <v>-6.05502777694947</v>
      </c>
      <c r="N547" s="10">
        <f t="shared" ca="1" si="78"/>
        <v>-18.92196180296709</v>
      </c>
      <c r="O547" s="10">
        <f t="shared" ca="1" si="79"/>
        <v>36.663361379629642</v>
      </c>
    </row>
    <row r="548" spans="2:15">
      <c r="B548" s="13">
        <v>72</v>
      </c>
      <c r="C548" s="2">
        <v>43.656769925983902</v>
      </c>
      <c r="D548" s="32">
        <f t="shared" ca="1" si="72"/>
        <v>66.479353985196781</v>
      </c>
      <c r="E548" s="27"/>
      <c r="F548" s="27"/>
      <c r="G548" s="27"/>
      <c r="H548" s="10">
        <f t="shared" si="73"/>
        <v>-39.365597325022364</v>
      </c>
      <c r="I548" s="32">
        <f t="shared" si="74"/>
        <v>-28.343230074016098</v>
      </c>
      <c r="J548" s="10">
        <f t="shared" ca="1" si="75"/>
        <v>-0.06</v>
      </c>
      <c r="K548" s="10">
        <f t="shared" ca="1" si="76"/>
        <v>0.8</v>
      </c>
      <c r="L548" s="10">
        <v>0.2</v>
      </c>
      <c r="M548" s="10">
        <f t="shared" ca="1" si="77"/>
        <v>-5.5206460148032193</v>
      </c>
      <c r="N548" s="10">
        <f t="shared" ca="1" si="78"/>
        <v>-7.6675639094489156</v>
      </c>
      <c r="O548" s="10">
        <f t="shared" ca="1" si="79"/>
        <v>30.477532420762667</v>
      </c>
    </row>
    <row r="549" spans="2:15">
      <c r="B549" s="13">
        <v>156</v>
      </c>
      <c r="C549" s="2">
        <v>154.21563111333299</v>
      </c>
      <c r="D549" s="32">
        <f t="shared" ca="1" si="72"/>
        <v>155.86912622266661</v>
      </c>
      <c r="E549" s="27"/>
      <c r="F549" s="27"/>
      <c r="G549" s="27"/>
      <c r="H549" s="10">
        <f t="shared" si="73"/>
        <v>-1.1438262094019325</v>
      </c>
      <c r="I549" s="32">
        <f t="shared" si="74"/>
        <v>-1.7843688866670107</v>
      </c>
      <c r="J549" s="10">
        <f t="shared" ca="1" si="75"/>
        <v>0.3</v>
      </c>
      <c r="K549" s="10">
        <f t="shared" ca="1" si="76"/>
        <v>0.83</v>
      </c>
      <c r="L549" s="10">
        <v>0.2</v>
      </c>
      <c r="M549" s="10">
        <f t="shared" ca="1" si="77"/>
        <v>-0.13087377733340214</v>
      </c>
      <c r="N549" s="10">
        <f t="shared" ca="1" si="78"/>
        <v>-8.3893447008587252E-2</v>
      </c>
      <c r="O549" s="10">
        <f t="shared" ca="1" si="79"/>
        <v>1.7127945593512921E-2</v>
      </c>
    </row>
    <row r="550" spans="2:15">
      <c r="B550" s="13">
        <v>110</v>
      </c>
      <c r="C550" s="2">
        <v>120.968361087801</v>
      </c>
      <c r="D550" s="32">
        <f t="shared" ca="1" si="72"/>
        <v>112.2076722175602</v>
      </c>
      <c r="E550" s="27"/>
      <c r="F550" s="27"/>
      <c r="G550" s="27"/>
      <c r="H550" s="10">
        <f t="shared" si="73"/>
        <v>9.9712373525463693</v>
      </c>
      <c r="I550" s="32">
        <f t="shared" si="74"/>
        <v>10.968361087801</v>
      </c>
      <c r="J550" s="10">
        <f t="shared" ca="1" si="75"/>
        <v>-0.63</v>
      </c>
      <c r="K550" s="10">
        <f t="shared" ca="1" si="76"/>
        <v>0.7</v>
      </c>
      <c r="L550" s="10">
        <v>0.2</v>
      </c>
      <c r="M550" s="10">
        <f t="shared" ca="1" si="77"/>
        <v>2.2076722175601997</v>
      </c>
      <c r="N550" s="10">
        <f t="shared" ca="1" si="78"/>
        <v>2.0069747432365448</v>
      </c>
      <c r="O550" s="10">
        <f t="shared" ca="1" si="79"/>
        <v>4.8738166201871698</v>
      </c>
    </row>
    <row r="551" spans="2:15">
      <c r="B551" s="13">
        <v>118</v>
      </c>
      <c r="C551" s="2">
        <v>119.190765654546</v>
      </c>
      <c r="D551" s="32">
        <f t="shared" ca="1" si="72"/>
        <v>118.1641531309092</v>
      </c>
      <c r="E551" s="27"/>
      <c r="F551" s="27"/>
      <c r="G551" s="27"/>
      <c r="H551" s="10">
        <f t="shared" si="73"/>
        <v>1.0091234360559254</v>
      </c>
      <c r="I551" s="32">
        <f t="shared" si="74"/>
        <v>1.1907656545459986</v>
      </c>
      <c r="J551" s="10">
        <f t="shared" ca="1" si="75"/>
        <v>0.02</v>
      </c>
      <c r="K551" s="10">
        <f t="shared" ca="1" si="76"/>
        <v>-0.39</v>
      </c>
      <c r="L551" s="10">
        <v>0.2</v>
      </c>
      <c r="M551" s="10">
        <f t="shared" ca="1" si="77"/>
        <v>0.16415313090919972</v>
      </c>
      <c r="N551" s="10">
        <f t="shared" ca="1" si="78"/>
        <v>0.13911282280441029</v>
      </c>
      <c r="O551" s="10">
        <f t="shared" ca="1" si="79"/>
        <v>2.6946250387292862E-2</v>
      </c>
    </row>
    <row r="552" spans="2:15">
      <c r="B552" s="13">
        <v>137</v>
      </c>
      <c r="C552" s="2">
        <v>108.928131978678</v>
      </c>
      <c r="D552" s="32">
        <f t="shared" ca="1" si="72"/>
        <v>131.55362639573559</v>
      </c>
      <c r="E552" s="27"/>
      <c r="F552" s="27"/>
      <c r="G552" s="27"/>
      <c r="H552" s="10">
        <f t="shared" si="73"/>
        <v>-20.490414614103656</v>
      </c>
      <c r="I552" s="32">
        <f t="shared" si="74"/>
        <v>-28.071868021322004</v>
      </c>
      <c r="J552" s="10">
        <f t="shared" ca="1" si="75"/>
        <v>0.33</v>
      </c>
      <c r="K552" s="10">
        <f t="shared" ca="1" si="76"/>
        <v>0.51</v>
      </c>
      <c r="L552" s="10">
        <v>0.2</v>
      </c>
      <c r="M552" s="10">
        <f t="shared" ca="1" si="77"/>
        <v>-5.4463736042644015</v>
      </c>
      <c r="N552" s="10">
        <f t="shared" ca="1" si="78"/>
        <v>-3.9754551855944564</v>
      </c>
      <c r="O552" s="10">
        <f t="shared" ca="1" si="79"/>
        <v>29.662985437228009</v>
      </c>
    </row>
    <row r="553" spans="2:15">
      <c r="B553" s="13">
        <v>169</v>
      </c>
      <c r="C553" s="2">
        <v>178.05628857301099</v>
      </c>
      <c r="D553" s="32">
        <f t="shared" ca="1" si="72"/>
        <v>170.7832577146022</v>
      </c>
      <c r="E553" s="27"/>
      <c r="F553" s="27"/>
      <c r="G553" s="27"/>
      <c r="H553" s="10">
        <f t="shared" si="73"/>
        <v>5.3587506349177527</v>
      </c>
      <c r="I553" s="32">
        <f t="shared" si="74"/>
        <v>9.0562885730109883</v>
      </c>
      <c r="J553" s="10">
        <f t="shared" ca="1" si="75"/>
        <v>-0.55000000000000004</v>
      </c>
      <c r="K553" s="10">
        <f t="shared" ca="1" si="76"/>
        <v>0.41</v>
      </c>
      <c r="L553" s="10">
        <v>0.2</v>
      </c>
      <c r="M553" s="10">
        <f t="shared" ca="1" si="77"/>
        <v>1.7832577146021977</v>
      </c>
      <c r="N553" s="10">
        <f t="shared" ca="1" si="78"/>
        <v>1.0551820796462774</v>
      </c>
      <c r="O553" s="10">
        <f t="shared" ca="1" si="79"/>
        <v>3.1800080766882535</v>
      </c>
    </row>
    <row r="554" spans="2:15">
      <c r="B554" s="13">
        <v>54</v>
      </c>
      <c r="C554" s="2">
        <v>54.220097188499601</v>
      </c>
      <c r="D554" s="32">
        <f t="shared" ca="1" si="72"/>
        <v>53.862019437699921</v>
      </c>
      <c r="E554" s="27"/>
      <c r="F554" s="27"/>
      <c r="G554" s="27"/>
      <c r="H554" s="10">
        <f t="shared" si="73"/>
        <v>0.40758738611037515</v>
      </c>
      <c r="I554" s="32">
        <f t="shared" si="74"/>
        <v>0.2200971884996008</v>
      </c>
      <c r="J554" s="10">
        <f t="shared" ca="1" si="75"/>
        <v>7.0000000000000007E-2</v>
      </c>
      <c r="K554" s="10">
        <f t="shared" ca="1" si="76"/>
        <v>-0.98</v>
      </c>
      <c r="L554" s="10">
        <v>0.2</v>
      </c>
      <c r="M554" s="10">
        <f t="shared" ca="1" si="77"/>
        <v>-0.13798056230007982</v>
      </c>
      <c r="N554" s="10">
        <f t="shared" ca="1" si="78"/>
        <v>-0.2555195598149651</v>
      </c>
      <c r="O554" s="10">
        <f t="shared" ca="1" si="79"/>
        <v>1.903863557264621E-2</v>
      </c>
    </row>
    <row r="555" spans="2:15">
      <c r="B555" s="13">
        <v>20</v>
      </c>
      <c r="C555" s="2">
        <v>-8.3466261513575208</v>
      </c>
      <c r="D555" s="32">
        <f t="shared" ca="1" si="72"/>
        <v>14.330334769728495</v>
      </c>
      <c r="E555" s="27"/>
      <c r="F555" s="27"/>
      <c r="G555" s="27"/>
      <c r="H555" s="10">
        <f t="shared" si="73"/>
        <v>-141.7331307567876</v>
      </c>
      <c r="I555" s="32">
        <f t="shared" si="74"/>
        <v>-28.346626151357519</v>
      </c>
      <c r="J555" s="10">
        <f t="shared" ca="1" si="75"/>
        <v>4.3E-3</v>
      </c>
      <c r="K555" s="10">
        <f t="shared" ca="1" si="76"/>
        <v>-6.0000000000000001E-3</v>
      </c>
      <c r="L555" s="10">
        <v>0.2</v>
      </c>
      <c r="M555" s="10">
        <f t="shared" ca="1" si="77"/>
        <v>-5.6696652302715043</v>
      </c>
      <c r="N555" s="10">
        <f t="shared" ca="1" si="78"/>
        <v>-28.348326151357529</v>
      </c>
      <c r="O555" s="10">
        <f t="shared" ca="1" si="79"/>
        <v>32.145103823349629</v>
      </c>
    </row>
    <row r="556" spans="2:15">
      <c r="B556" s="13">
        <v>194</v>
      </c>
      <c r="C556" s="2">
        <v>163.931408015762</v>
      </c>
      <c r="D556" s="32">
        <f t="shared" ca="1" si="72"/>
        <v>188.1102816031524</v>
      </c>
      <c r="E556" s="27"/>
      <c r="F556" s="27"/>
      <c r="G556" s="27"/>
      <c r="H556" s="10">
        <f t="shared" si="73"/>
        <v>-15.499274218679382</v>
      </c>
      <c r="I556" s="32">
        <f t="shared" si="74"/>
        <v>-30.068591984237997</v>
      </c>
      <c r="J556" s="10">
        <f t="shared" ca="1" si="75"/>
        <v>0.96</v>
      </c>
      <c r="K556" s="10">
        <f t="shared" ca="1" si="76"/>
        <v>-0.34</v>
      </c>
      <c r="L556" s="10">
        <v>0.2</v>
      </c>
      <c r="M556" s="10">
        <f t="shared" ca="1" si="77"/>
        <v>-5.8897183968475995</v>
      </c>
      <c r="N556" s="10">
        <f t="shared" ca="1" si="78"/>
        <v>-3.0359373179626781</v>
      </c>
      <c r="O556" s="10">
        <f t="shared" ca="1" si="79"/>
        <v>34.688782794165057</v>
      </c>
    </row>
    <row r="557" spans="2:15">
      <c r="B557" s="13">
        <v>95</v>
      </c>
      <c r="C557" s="2">
        <v>106.167388638451</v>
      </c>
      <c r="D557" s="32">
        <f t="shared" ca="1" si="72"/>
        <v>96.991477727690196</v>
      </c>
      <c r="E557" s="27"/>
      <c r="F557" s="27"/>
      <c r="G557" s="27"/>
      <c r="H557" s="10">
        <f t="shared" si="73"/>
        <v>11.755145935211587</v>
      </c>
      <c r="I557" s="32">
        <f t="shared" si="74"/>
        <v>11.167388638451001</v>
      </c>
      <c r="J557" s="10">
        <f t="shared" ca="1" si="75"/>
        <v>-0.49</v>
      </c>
      <c r="K557" s="10">
        <f t="shared" ca="1" si="76"/>
        <v>-0.72</v>
      </c>
      <c r="L557" s="10">
        <v>0.2</v>
      </c>
      <c r="M557" s="10">
        <f t="shared" ca="1" si="77"/>
        <v>1.9914777276902003</v>
      </c>
      <c r="N557" s="10">
        <f t="shared" ca="1" si="78"/>
        <v>2.0962923449370452</v>
      </c>
      <c r="O557" s="10">
        <f t="shared" ca="1" si="79"/>
        <v>3.9659835398861234</v>
      </c>
    </row>
    <row r="558" spans="2:15">
      <c r="B558" s="13">
        <v>11</v>
      </c>
      <c r="C558" s="2">
        <v>12.273640483170899</v>
      </c>
      <c r="D558" s="32">
        <f t="shared" ca="1" si="72"/>
        <v>11.254648096634179</v>
      </c>
      <c r="E558" s="27"/>
      <c r="F558" s="27"/>
      <c r="G558" s="27"/>
      <c r="H558" s="10">
        <f t="shared" si="73"/>
        <v>11.578549847008169</v>
      </c>
      <c r="I558" s="32">
        <f t="shared" si="74"/>
        <v>1.2736404831708992</v>
      </c>
      <c r="J558" s="10">
        <f t="shared" ca="1" si="75"/>
        <v>2.0000000000000001E-4</v>
      </c>
      <c r="K558" s="10">
        <f t="shared" ca="1" si="76"/>
        <v>-5.9999999999999995E-4</v>
      </c>
      <c r="L558" s="10">
        <v>0.2</v>
      </c>
      <c r="M558" s="10">
        <f t="shared" ca="1" si="77"/>
        <v>0.25464809663417987</v>
      </c>
      <c r="N558" s="10">
        <f t="shared" ca="1" si="78"/>
        <v>2.3149826966743614</v>
      </c>
      <c r="O558" s="10">
        <f t="shared" ca="1" si="79"/>
        <v>6.4845653119410609E-2</v>
      </c>
    </row>
    <row r="559" spans="2:15">
      <c r="B559" s="13">
        <v>195</v>
      </c>
      <c r="C559" s="2">
        <v>205.055663506874</v>
      </c>
      <c r="D559" s="32">
        <f t="shared" ca="1" si="72"/>
        <v>196.91913270137479</v>
      </c>
      <c r="E559" s="27"/>
      <c r="F559" s="27"/>
      <c r="G559" s="27"/>
      <c r="H559" s="10">
        <f t="shared" si="73"/>
        <v>5.1567505163456318</v>
      </c>
      <c r="I559" s="32">
        <f t="shared" si="74"/>
        <v>10.055663506873998</v>
      </c>
      <c r="J559" s="10">
        <f t="shared" ca="1" si="75"/>
        <v>0.54</v>
      </c>
      <c r="K559" s="10">
        <f t="shared" ca="1" si="76"/>
        <v>-1</v>
      </c>
      <c r="L559" s="10">
        <v>0.2</v>
      </c>
      <c r="M559" s="10">
        <f t="shared" ca="1" si="77"/>
        <v>1.9191327013747994</v>
      </c>
      <c r="N559" s="10">
        <f t="shared" ca="1" si="78"/>
        <v>0.98417061608964129</v>
      </c>
      <c r="O559" s="10">
        <f t="shared" ca="1" si="79"/>
        <v>3.6830703254861352</v>
      </c>
    </row>
    <row r="560" spans="2:15">
      <c r="B560" s="13">
        <v>73</v>
      </c>
      <c r="C560" s="2">
        <v>85.232665697866494</v>
      </c>
      <c r="D560" s="32">
        <f t="shared" ca="1" si="72"/>
        <v>75.408533139573294</v>
      </c>
      <c r="E560" s="27"/>
      <c r="F560" s="27"/>
      <c r="G560" s="27"/>
      <c r="H560" s="10">
        <f t="shared" si="73"/>
        <v>16.757076298447249</v>
      </c>
      <c r="I560" s="32">
        <f t="shared" si="74"/>
        <v>12.232665697866494</v>
      </c>
      <c r="J560" s="10">
        <f t="shared" ca="1" si="75"/>
        <v>0.36</v>
      </c>
      <c r="K560" s="10">
        <f t="shared" ca="1" si="76"/>
        <v>-0.55000000000000004</v>
      </c>
      <c r="L560" s="10">
        <v>0.2</v>
      </c>
      <c r="M560" s="10">
        <f t="shared" ca="1" si="77"/>
        <v>2.408533139573299</v>
      </c>
      <c r="N560" s="10">
        <f t="shared" ca="1" si="78"/>
        <v>3.299360465168899</v>
      </c>
      <c r="O560" s="10">
        <f t="shared" ca="1" si="79"/>
        <v>5.8010318844228124</v>
      </c>
    </row>
    <row r="561" spans="2:15">
      <c r="B561" s="13">
        <v>88</v>
      </c>
      <c r="C561" s="2">
        <v>88.663444673585801</v>
      </c>
      <c r="D561" s="32">
        <f t="shared" ca="1" si="72"/>
        <v>88.356688934717155</v>
      </c>
      <c r="E561" s="27"/>
      <c r="F561" s="27"/>
      <c r="G561" s="27"/>
      <c r="H561" s="10">
        <f t="shared" si="73"/>
        <v>0.75391440180203606</v>
      </c>
      <c r="I561" s="32">
        <f t="shared" si="74"/>
        <v>0.66344467358580062</v>
      </c>
      <c r="J561" s="10">
        <f t="shared" ca="1" si="75"/>
        <v>0.14000000000000001</v>
      </c>
      <c r="K561" s="10">
        <f t="shared" ca="1" si="76"/>
        <v>0.98</v>
      </c>
      <c r="L561" s="10">
        <v>0.2</v>
      </c>
      <c r="M561" s="10">
        <f t="shared" ca="1" si="77"/>
        <v>0.35668893471716018</v>
      </c>
      <c r="N561" s="10">
        <f t="shared" ca="1" si="78"/>
        <v>0.40532833490585229</v>
      </c>
      <c r="O561" s="10">
        <f t="shared" ca="1" si="79"/>
        <v>0.12722699614966254</v>
      </c>
    </row>
    <row r="562" spans="2:15">
      <c r="B562" s="13">
        <v>154</v>
      </c>
      <c r="C562" s="2">
        <v>164.01941579778</v>
      </c>
      <c r="D562" s="32">
        <f t="shared" ca="1" si="72"/>
        <v>156.173883159556</v>
      </c>
      <c r="E562" s="27"/>
      <c r="F562" s="27"/>
      <c r="G562" s="27"/>
      <c r="H562" s="10">
        <f t="shared" si="73"/>
        <v>6.5061141544025869</v>
      </c>
      <c r="I562" s="32">
        <f t="shared" si="74"/>
        <v>10.019415797779999</v>
      </c>
      <c r="J562" s="10">
        <f t="shared" ca="1" si="75"/>
        <v>0.96</v>
      </c>
      <c r="K562" s="10">
        <f t="shared" ca="1" si="76"/>
        <v>-0.11</v>
      </c>
      <c r="L562" s="10">
        <v>0.2</v>
      </c>
      <c r="M562" s="10">
        <f t="shared" ca="1" si="77"/>
        <v>2.173883159556</v>
      </c>
      <c r="N562" s="10">
        <f t="shared" ca="1" si="78"/>
        <v>1.411612441270127</v>
      </c>
      <c r="O562" s="10">
        <f t="shared" ca="1" si="79"/>
        <v>4.7257679914011774</v>
      </c>
    </row>
    <row r="563" spans="2:15">
      <c r="B563" s="13">
        <v>10</v>
      </c>
      <c r="C563" s="2">
        <v>12.5073854992433</v>
      </c>
      <c r="D563" s="32">
        <f t="shared" ca="1" si="72"/>
        <v>10.50171709984866</v>
      </c>
      <c r="E563" s="27"/>
      <c r="F563" s="27"/>
      <c r="G563" s="27"/>
      <c r="H563" s="10">
        <f t="shared" si="73"/>
        <v>25.073854992432999</v>
      </c>
      <c r="I563" s="32">
        <f t="shared" si="74"/>
        <v>2.5073854992433002</v>
      </c>
      <c r="J563" s="10">
        <f t="shared" ca="1" si="75"/>
        <v>5.9999999999999995E-4</v>
      </c>
      <c r="K563" s="10">
        <f t="shared" ca="1" si="76"/>
        <v>5.9999999999999995E-4</v>
      </c>
      <c r="L563" s="10">
        <v>0.2</v>
      </c>
      <c r="M563" s="10">
        <f t="shared" ca="1" si="77"/>
        <v>0.50171709984866009</v>
      </c>
      <c r="N563" s="10">
        <f t="shared" ca="1" si="78"/>
        <v>5.0171709984865975</v>
      </c>
      <c r="O563" s="10">
        <f t="shared" ca="1" si="79"/>
        <v>0.25172004828055033</v>
      </c>
    </row>
    <row r="564" spans="2:15">
      <c r="B564" s="13">
        <v>164</v>
      </c>
      <c r="C564" s="2">
        <v>162.3566476167</v>
      </c>
      <c r="D564" s="32">
        <f t="shared" ca="1" si="72"/>
        <v>163.37532952334001</v>
      </c>
      <c r="E564" s="27"/>
      <c r="F564" s="27"/>
      <c r="G564" s="27"/>
      <c r="H564" s="10">
        <f t="shared" si="73"/>
        <v>-1.0020441361585308</v>
      </c>
      <c r="I564" s="32">
        <f t="shared" si="74"/>
        <v>-1.6433523832999981</v>
      </c>
      <c r="J564" s="10">
        <f t="shared" ca="1" si="75"/>
        <v>-0.91</v>
      </c>
      <c r="K564" s="10">
        <f t="shared" ca="1" si="76"/>
        <v>-0.56999999999999995</v>
      </c>
      <c r="L564" s="10">
        <v>0.2</v>
      </c>
      <c r="M564" s="10">
        <f t="shared" ca="1" si="77"/>
        <v>-0.62467047665999964</v>
      </c>
      <c r="N564" s="10">
        <f t="shared" ca="1" si="78"/>
        <v>-0.38089663210975067</v>
      </c>
      <c r="O564" s="10">
        <f t="shared" ca="1" si="79"/>
        <v>0.39021320441063118</v>
      </c>
    </row>
    <row r="565" spans="2:15">
      <c r="B565" s="13">
        <v>9</v>
      </c>
      <c r="C565" s="2">
        <v>8.5136461725279808</v>
      </c>
      <c r="D565" s="32">
        <f t="shared" ca="1" si="72"/>
        <v>8.9023692345055956</v>
      </c>
      <c r="E565" s="27"/>
      <c r="F565" s="27"/>
      <c r="G565" s="27"/>
      <c r="H565" s="10">
        <f t="shared" si="73"/>
        <v>-5.4039314163557677</v>
      </c>
      <c r="I565" s="32">
        <f t="shared" si="74"/>
        <v>-0.48635382747201916</v>
      </c>
      <c r="J565" s="10">
        <f t="shared" ca="1" si="75"/>
        <v>-3.2000000000000002E-3</v>
      </c>
      <c r="K565" s="10">
        <f t="shared" ca="1" si="76"/>
        <v>1.4E-3</v>
      </c>
      <c r="L565" s="10">
        <v>0.2</v>
      </c>
      <c r="M565" s="10">
        <f t="shared" ca="1" si="77"/>
        <v>-9.7630765494403832E-2</v>
      </c>
      <c r="N565" s="10">
        <f t="shared" ca="1" si="78"/>
        <v>-1.0847862832711552</v>
      </c>
      <c r="O565" s="10">
        <f t="shared" ca="1" si="79"/>
        <v>9.5317663710232734E-3</v>
      </c>
    </row>
    <row r="566" spans="2:15">
      <c r="B566" s="13">
        <v>137</v>
      </c>
      <c r="C566" s="2">
        <v>146.476234237113</v>
      </c>
      <c r="D566" s="32">
        <f t="shared" ca="1" si="72"/>
        <v>138.77124684742259</v>
      </c>
      <c r="E566" s="27"/>
      <c r="F566" s="27"/>
      <c r="G566" s="27"/>
      <c r="H566" s="10">
        <f t="shared" si="73"/>
        <v>6.9169592971627836</v>
      </c>
      <c r="I566" s="32">
        <f t="shared" si="74"/>
        <v>9.4762342371130046</v>
      </c>
      <c r="J566" s="10">
        <f t="shared" ca="1" si="75"/>
        <v>-0.77</v>
      </c>
      <c r="K566" s="10">
        <f t="shared" ca="1" si="76"/>
        <v>0.15</v>
      </c>
      <c r="L566" s="10">
        <v>0.2</v>
      </c>
      <c r="M566" s="10">
        <f t="shared" ca="1" si="77"/>
        <v>1.7712468474226011</v>
      </c>
      <c r="N566" s="10">
        <f t="shared" ca="1" si="78"/>
        <v>1.2928809105274386</v>
      </c>
      <c r="O566" s="10">
        <f t="shared" ca="1" si="79"/>
        <v>3.1373153945045029</v>
      </c>
    </row>
    <row r="567" spans="2:15">
      <c r="B567" s="13">
        <v>197</v>
      </c>
      <c r="C567" s="2">
        <v>167.05972716872299</v>
      </c>
      <c r="D567" s="32">
        <f t="shared" ca="1" si="72"/>
        <v>190.78994543374461</v>
      </c>
      <c r="E567" s="27"/>
      <c r="F567" s="27"/>
      <c r="G567" s="27"/>
      <c r="H567" s="10">
        <f t="shared" si="73"/>
        <v>-15.198108036181225</v>
      </c>
      <c r="I567" s="32">
        <f t="shared" si="74"/>
        <v>-29.940272831277014</v>
      </c>
      <c r="J567" s="10">
        <f t="shared" ca="1" si="75"/>
        <v>-0.95</v>
      </c>
      <c r="K567" s="10">
        <f t="shared" ca="1" si="76"/>
        <v>-0.16</v>
      </c>
      <c r="L567" s="10">
        <v>0.2</v>
      </c>
      <c r="M567" s="10">
        <f t="shared" ca="1" si="77"/>
        <v>-6.210054566255403</v>
      </c>
      <c r="N567" s="10">
        <f t="shared" ca="1" si="78"/>
        <v>-3.15231196256619</v>
      </c>
      <c r="O567" s="10">
        <f t="shared" ca="1" si="79"/>
        <v>38.564777715869582</v>
      </c>
    </row>
    <row r="568" spans="2:15">
      <c r="B568" s="13">
        <v>142</v>
      </c>
      <c r="C568" s="2">
        <v>144.051826742554</v>
      </c>
      <c r="D568" s="32">
        <f t="shared" ca="1" si="72"/>
        <v>142.31436534851079</v>
      </c>
      <c r="E568" s="27"/>
      <c r="F568" s="27"/>
      <c r="G568" s="27"/>
      <c r="H568" s="10">
        <f t="shared" si="73"/>
        <v>1.4449484102492915</v>
      </c>
      <c r="I568" s="32">
        <f t="shared" si="74"/>
        <v>2.0518267425539989</v>
      </c>
      <c r="J568" s="10">
        <f t="shared" ca="1" si="75"/>
        <v>-0.43</v>
      </c>
      <c r="K568" s="10">
        <f t="shared" ca="1" si="76"/>
        <v>-0.05</v>
      </c>
      <c r="L568" s="10">
        <v>0.2</v>
      </c>
      <c r="M568" s="10">
        <f t="shared" ca="1" si="77"/>
        <v>0.31436534851079978</v>
      </c>
      <c r="N568" s="10">
        <f t="shared" ca="1" si="78"/>
        <v>0.22138404824703084</v>
      </c>
      <c r="O568" s="10">
        <f t="shared" ca="1" si="79"/>
        <v>9.8825572344316603E-2</v>
      </c>
    </row>
    <row r="569" spans="2:15">
      <c r="B569" s="13">
        <v>206</v>
      </c>
      <c r="C569" s="2">
        <v>214.964864634072</v>
      </c>
      <c r="D569" s="32">
        <f t="shared" ca="1" si="72"/>
        <v>207.71897292681439</v>
      </c>
      <c r="E569" s="27"/>
      <c r="F569" s="27"/>
      <c r="G569" s="27"/>
      <c r="H569" s="10">
        <f t="shared" si="73"/>
        <v>4.3518760359572806</v>
      </c>
      <c r="I569" s="32">
        <f t="shared" si="74"/>
        <v>8.9648646340720006</v>
      </c>
      <c r="J569" s="10">
        <f t="shared" ca="1" si="75"/>
        <v>-0.99</v>
      </c>
      <c r="K569" s="10">
        <f t="shared" ca="1" si="76"/>
        <v>0.62</v>
      </c>
      <c r="L569" s="10">
        <v>0.2</v>
      </c>
      <c r="M569" s="10">
        <f t="shared" ca="1" si="77"/>
        <v>1.7189729268144001</v>
      </c>
      <c r="N569" s="10">
        <f t="shared" ca="1" si="78"/>
        <v>0.83445287709436045</v>
      </c>
      <c r="O569" s="10">
        <f t="shared" ca="1" si="79"/>
        <v>2.9548679231208648</v>
      </c>
    </row>
    <row r="570" spans="2:15">
      <c r="B570" s="13">
        <v>133</v>
      </c>
      <c r="C570" s="2">
        <v>142.23429646114701</v>
      </c>
      <c r="D570" s="32">
        <f t="shared" ca="1" si="72"/>
        <v>134.91685929222939</v>
      </c>
      <c r="E570" s="27"/>
      <c r="F570" s="27"/>
      <c r="G570" s="27"/>
      <c r="H570" s="10">
        <f t="shared" si="73"/>
        <v>6.9430800459751918</v>
      </c>
      <c r="I570" s="32">
        <f t="shared" si="74"/>
        <v>9.2342964611470109</v>
      </c>
      <c r="J570" s="10">
        <f t="shared" ca="1" si="75"/>
        <v>0.68</v>
      </c>
      <c r="K570" s="10">
        <f t="shared" ca="1" si="76"/>
        <v>-0.33</v>
      </c>
      <c r="L570" s="10">
        <v>0.2</v>
      </c>
      <c r="M570" s="10">
        <f t="shared" ca="1" si="77"/>
        <v>1.9168592922294021</v>
      </c>
      <c r="N570" s="10">
        <f t="shared" ca="1" si="78"/>
        <v>1.4412475881423914</v>
      </c>
      <c r="O570" s="10">
        <f t="shared" ca="1" si="79"/>
        <v>3.6743495462062046</v>
      </c>
    </row>
    <row r="571" spans="2:15">
      <c r="B571" s="13">
        <v>76</v>
      </c>
      <c r="C571" s="2">
        <v>88.200521758331305</v>
      </c>
      <c r="D571" s="32">
        <f t="shared" ca="1" si="72"/>
        <v>78.380104351666262</v>
      </c>
      <c r="E571" s="27"/>
      <c r="F571" s="27"/>
      <c r="G571" s="27"/>
      <c r="H571" s="10">
        <f t="shared" si="73"/>
        <v>16.053318103067514</v>
      </c>
      <c r="I571" s="32">
        <f t="shared" si="74"/>
        <v>12.200521758331305</v>
      </c>
      <c r="J571" s="10">
        <f t="shared" ca="1" si="75"/>
        <v>0.26</v>
      </c>
      <c r="K571" s="10">
        <f t="shared" ca="1" si="76"/>
        <v>-0.56000000000000005</v>
      </c>
      <c r="L571" s="10">
        <v>0.2</v>
      </c>
      <c r="M571" s="10">
        <f t="shared" ca="1" si="77"/>
        <v>2.3801043516662612</v>
      </c>
      <c r="N571" s="10">
        <f t="shared" ca="1" si="78"/>
        <v>3.1317162521924402</v>
      </c>
      <c r="O571" s="10">
        <f t="shared" ca="1" si="79"/>
        <v>5.6648967248206734</v>
      </c>
    </row>
    <row r="572" spans="2:15">
      <c r="B572" s="13">
        <v>165</v>
      </c>
      <c r="C572" s="2">
        <v>163.90397100236299</v>
      </c>
      <c r="D572" s="32">
        <f t="shared" ca="1" si="72"/>
        <v>165.03879420047261</v>
      </c>
      <c r="E572" s="27"/>
      <c r="F572" s="27"/>
      <c r="G572" s="27"/>
      <c r="H572" s="10">
        <f t="shared" si="73"/>
        <v>-0.66425999856788431</v>
      </c>
      <c r="I572" s="32">
        <f t="shared" si="74"/>
        <v>-1.0960289976370063</v>
      </c>
      <c r="J572" s="10">
        <f t="shared" ca="1" si="75"/>
        <v>0.34</v>
      </c>
      <c r="K572" s="10">
        <f t="shared" ca="1" si="76"/>
        <v>0.95</v>
      </c>
      <c r="L572" s="10">
        <v>0.2</v>
      </c>
      <c r="M572" s="10">
        <f t="shared" ca="1" si="77"/>
        <v>3.8794200472598739E-2</v>
      </c>
      <c r="N572" s="10">
        <f t="shared" ca="1" si="78"/>
        <v>2.3511636650064283E-2</v>
      </c>
      <c r="O572" s="10">
        <f t="shared" ca="1" si="79"/>
        <v>1.5049899903081803E-3</v>
      </c>
    </row>
    <row r="573" spans="2:15">
      <c r="B573" s="13">
        <v>99</v>
      </c>
      <c r="C573" s="2">
        <v>98.513539420034604</v>
      </c>
      <c r="D573" s="32">
        <f t="shared" ca="1" si="72"/>
        <v>98.832707884006922</v>
      </c>
      <c r="E573" s="27"/>
      <c r="F573" s="27"/>
      <c r="G573" s="27"/>
      <c r="H573" s="10">
        <f t="shared" si="73"/>
        <v>-0.49137432319736885</v>
      </c>
      <c r="I573" s="32">
        <f t="shared" si="74"/>
        <v>-0.48646057996539582</v>
      </c>
      <c r="J573" s="10">
        <f t="shared" ca="1" si="75"/>
        <v>-0.02</v>
      </c>
      <c r="K573" s="10">
        <f t="shared" ca="1" si="76"/>
        <v>-0.33</v>
      </c>
      <c r="L573" s="10">
        <v>0.2</v>
      </c>
      <c r="M573" s="10">
        <f t="shared" ca="1" si="77"/>
        <v>-0.16729211599307919</v>
      </c>
      <c r="N573" s="10">
        <f t="shared" ca="1" si="78"/>
        <v>-0.16898193534654604</v>
      </c>
      <c r="O573" s="10">
        <f t="shared" ca="1" si="79"/>
        <v>2.7986652073441864E-2</v>
      </c>
    </row>
    <row r="574" spans="2:15">
      <c r="B574" s="13">
        <v>62</v>
      </c>
      <c r="C574" s="2">
        <v>33.856159132816202</v>
      </c>
      <c r="D574" s="32">
        <f t="shared" ca="1" si="72"/>
        <v>56.183231826563244</v>
      </c>
      <c r="E574" s="27"/>
      <c r="F574" s="27"/>
      <c r="G574" s="27"/>
      <c r="H574" s="10">
        <f t="shared" si="73"/>
        <v>-45.393291721264198</v>
      </c>
      <c r="I574" s="32">
        <f t="shared" si="74"/>
        <v>-28.143840867183798</v>
      </c>
      <c r="J574" s="10">
        <f t="shared" ca="1" si="75"/>
        <v>-0.4</v>
      </c>
      <c r="K574" s="10">
        <f t="shared" ca="1" si="76"/>
        <v>-0.54</v>
      </c>
      <c r="L574" s="10">
        <v>0.2</v>
      </c>
      <c r="M574" s="10">
        <f t="shared" ca="1" si="77"/>
        <v>-5.8167681734367598</v>
      </c>
      <c r="N574" s="10">
        <f t="shared" ca="1" si="78"/>
        <v>-9.3818841507044439</v>
      </c>
      <c r="O574" s="10">
        <f t="shared" ca="1" si="79"/>
        <v>33.834791983506818</v>
      </c>
    </row>
    <row r="575" spans="2:15">
      <c r="B575" s="13">
        <v>139</v>
      </c>
      <c r="C575" s="2">
        <v>148.89097947149199</v>
      </c>
      <c r="D575" s="32">
        <f t="shared" ca="1" si="72"/>
        <v>141.0241958942984</v>
      </c>
      <c r="E575" s="27"/>
      <c r="F575" s="27"/>
      <c r="G575" s="27"/>
      <c r="H575" s="10">
        <f t="shared" si="73"/>
        <v>7.1158125694186891</v>
      </c>
      <c r="I575" s="32">
        <f t="shared" si="74"/>
        <v>9.8909794714919883</v>
      </c>
      <c r="J575" s="10">
        <f t="shared" ca="1" si="75"/>
        <v>0.52</v>
      </c>
      <c r="K575" s="10">
        <f t="shared" ca="1" si="76"/>
        <v>-0.28999999999999998</v>
      </c>
      <c r="L575" s="10">
        <v>0.2</v>
      </c>
      <c r="M575" s="10">
        <f t="shared" ca="1" si="77"/>
        <v>2.0241958942983977</v>
      </c>
      <c r="N575" s="10">
        <f t="shared" ca="1" si="78"/>
        <v>1.4562560390636081</v>
      </c>
      <c r="O575" s="10">
        <f t="shared" ca="1" si="79"/>
        <v>4.09736901849449</v>
      </c>
    </row>
    <row r="576" spans="2:15">
      <c r="B576" s="13">
        <v>209</v>
      </c>
      <c r="C576" s="2">
        <v>217.81179951903701</v>
      </c>
      <c r="D576" s="32">
        <f t="shared" ca="1" si="72"/>
        <v>210.6303599038074</v>
      </c>
      <c r="E576" s="27"/>
      <c r="F576" s="27"/>
      <c r="G576" s="27"/>
      <c r="H576" s="10">
        <f t="shared" si="73"/>
        <v>4.2161720186779883</v>
      </c>
      <c r="I576" s="32">
        <f t="shared" si="74"/>
        <v>8.8117995190370095</v>
      </c>
      <c r="J576" s="10">
        <f t="shared" ca="1" si="75"/>
        <v>-0.27</v>
      </c>
      <c r="K576" s="10">
        <f t="shared" ca="1" si="76"/>
        <v>-0.39</v>
      </c>
      <c r="L576" s="10">
        <v>0.2</v>
      </c>
      <c r="M576" s="10">
        <f t="shared" ca="1" si="77"/>
        <v>1.6303599038074019</v>
      </c>
      <c r="N576" s="10">
        <f t="shared" ca="1" si="78"/>
        <v>0.78007650899876158</v>
      </c>
      <c r="O576" s="10">
        <f t="shared" ca="1" si="79"/>
        <v>2.6580734159428809</v>
      </c>
    </row>
    <row r="577" spans="2:15">
      <c r="B577" s="13">
        <v>89</v>
      </c>
      <c r="C577" s="2">
        <v>58.992702091654998</v>
      </c>
      <c r="D577" s="32">
        <f t="shared" ca="1" si="72"/>
        <v>82.740540418330994</v>
      </c>
      <c r="E577" s="27"/>
      <c r="F577" s="27"/>
      <c r="G577" s="27"/>
      <c r="H577" s="10">
        <f t="shared" si="73"/>
        <v>-33.71606506555618</v>
      </c>
      <c r="I577" s="32">
        <f t="shared" si="74"/>
        <v>-30.007297908345002</v>
      </c>
      <c r="J577" s="10">
        <f t="shared" ca="1" si="75"/>
        <v>-0.39</v>
      </c>
      <c r="K577" s="10">
        <f t="shared" ca="1" si="76"/>
        <v>-0.9</v>
      </c>
      <c r="L577" s="10">
        <v>0.2</v>
      </c>
      <c r="M577" s="10">
        <f t="shared" ca="1" si="77"/>
        <v>-6.2594595816690006</v>
      </c>
      <c r="N577" s="10">
        <f t="shared" ca="1" si="78"/>
        <v>-7.033100653560675</v>
      </c>
      <c r="O577" s="10">
        <f t="shared" ca="1" si="79"/>
        <v>39.180834254547861</v>
      </c>
    </row>
    <row r="578" spans="2:15">
      <c r="B578" s="13">
        <v>111</v>
      </c>
      <c r="C578" s="2">
        <v>121.59575951765299</v>
      </c>
      <c r="D578" s="32">
        <f t="shared" ca="1" si="72"/>
        <v>112.8071519035306</v>
      </c>
      <c r="E578" s="27"/>
      <c r="F578" s="27"/>
      <c r="G578" s="27"/>
      <c r="H578" s="10">
        <f t="shared" si="73"/>
        <v>9.5457292951828698</v>
      </c>
      <c r="I578" s="32">
        <f t="shared" si="74"/>
        <v>10.595759517652994</v>
      </c>
      <c r="J578" s="10">
        <f t="shared" ca="1" si="75"/>
        <v>-0.56000000000000005</v>
      </c>
      <c r="K578" s="10">
        <f t="shared" ca="1" si="76"/>
        <v>-1</v>
      </c>
      <c r="L578" s="10">
        <v>0.2</v>
      </c>
      <c r="M578" s="10">
        <f t="shared" ca="1" si="77"/>
        <v>1.8071519035305987</v>
      </c>
      <c r="N578" s="10">
        <f t="shared" ca="1" si="78"/>
        <v>1.6280647779554958</v>
      </c>
      <c r="O578" s="10">
        <f t="shared" ca="1" si="79"/>
        <v>3.2657980024342663</v>
      </c>
    </row>
    <row r="579" spans="2:15">
      <c r="B579" s="13">
        <v>24</v>
      </c>
      <c r="C579" s="2">
        <v>34.285601710141599</v>
      </c>
      <c r="D579" s="32">
        <f t="shared" ca="1" si="72"/>
        <v>26.059500342028318</v>
      </c>
      <c r="E579" s="27"/>
      <c r="F579" s="27"/>
      <c r="G579" s="27"/>
      <c r="H579" s="10">
        <f t="shared" si="73"/>
        <v>42.856673792256657</v>
      </c>
      <c r="I579" s="32">
        <f t="shared" si="74"/>
        <v>10.285601710141599</v>
      </c>
      <c r="J579" s="10">
        <f t="shared" ca="1" si="75"/>
        <v>7.1000000000000004E-3</v>
      </c>
      <c r="K579" s="10">
        <f t="shared" ca="1" si="76"/>
        <v>4.7999999999999996E-3</v>
      </c>
      <c r="L579" s="10">
        <v>0.2</v>
      </c>
      <c r="M579" s="10">
        <f t="shared" ca="1" si="77"/>
        <v>2.0595003420283198</v>
      </c>
      <c r="N579" s="10">
        <f t="shared" ca="1" si="78"/>
        <v>8.581251425117987</v>
      </c>
      <c r="O579" s="10">
        <f t="shared" ca="1" si="79"/>
        <v>4.2415416588147661</v>
      </c>
    </row>
    <row r="580" spans="2:15">
      <c r="B580" s="13">
        <v>143</v>
      </c>
      <c r="C580" s="2">
        <v>143.60941404939601</v>
      </c>
      <c r="D580" s="32">
        <f t="shared" ca="1" si="72"/>
        <v>143.30988280987921</v>
      </c>
      <c r="E580" s="27"/>
      <c r="F580" s="27"/>
      <c r="G580" s="27"/>
      <c r="H580" s="10">
        <f t="shared" si="73"/>
        <v>0.42616367090630991</v>
      </c>
      <c r="I580" s="32">
        <f t="shared" si="74"/>
        <v>0.60941404939600829</v>
      </c>
      <c r="J580" s="10">
        <f t="shared" ca="1" si="75"/>
        <v>0.96</v>
      </c>
      <c r="K580" s="10">
        <f t="shared" ca="1" si="76"/>
        <v>-0.02</v>
      </c>
      <c r="L580" s="10">
        <v>0.2</v>
      </c>
      <c r="M580" s="10">
        <f t="shared" ca="1" si="77"/>
        <v>0.30988280987920169</v>
      </c>
      <c r="N580" s="10">
        <f t="shared" ca="1" si="78"/>
        <v>0.21670126564978798</v>
      </c>
      <c r="O580" s="10">
        <f t="shared" ca="1" si="79"/>
        <v>9.6027355858629468E-2</v>
      </c>
    </row>
    <row r="581" spans="2:15">
      <c r="B581" s="13">
        <v>61</v>
      </c>
      <c r="C581" s="2">
        <v>32.675580433037503</v>
      </c>
      <c r="D581" s="32">
        <f t="shared" ca="1" si="72"/>
        <v>55.521116086607499</v>
      </c>
      <c r="E581" s="27"/>
      <c r="F581" s="27"/>
      <c r="G581" s="27"/>
      <c r="H581" s="10">
        <f t="shared" si="73"/>
        <v>-46.433474699938515</v>
      </c>
      <c r="I581" s="32">
        <f t="shared" si="74"/>
        <v>-28.324419566962497</v>
      </c>
      <c r="J581" s="10">
        <f t="shared" ca="1" si="75"/>
        <v>0.2</v>
      </c>
      <c r="K581" s="10">
        <f t="shared" ca="1" si="76"/>
        <v>0.73</v>
      </c>
      <c r="L581" s="10">
        <v>0.2</v>
      </c>
      <c r="M581" s="10">
        <f t="shared" ca="1" si="77"/>
        <v>-5.4788839133925</v>
      </c>
      <c r="N581" s="10">
        <f t="shared" ca="1" si="78"/>
        <v>-8.9817769072008229</v>
      </c>
      <c r="O581" s="10">
        <f t="shared" ca="1" si="79"/>
        <v>30.018168936431117</v>
      </c>
    </row>
    <row r="582" spans="2:15">
      <c r="B582" s="13">
        <v>119</v>
      </c>
      <c r="C582" s="2">
        <v>128.05564739948099</v>
      </c>
      <c r="D582" s="32">
        <f t="shared" ca="1" si="72"/>
        <v>120.93312947989619</v>
      </c>
      <c r="E582" s="27"/>
      <c r="F582" s="27"/>
      <c r="G582" s="27"/>
      <c r="H582" s="10">
        <f t="shared" si="73"/>
        <v>7.6097877306563033</v>
      </c>
      <c r="I582" s="32">
        <f t="shared" si="74"/>
        <v>9.0556473994809892</v>
      </c>
      <c r="J582" s="10">
        <f t="shared" ca="1" si="75"/>
        <v>0.8</v>
      </c>
      <c r="K582" s="10">
        <f t="shared" ca="1" si="76"/>
        <v>-0.19</v>
      </c>
      <c r="L582" s="10">
        <v>0.2</v>
      </c>
      <c r="M582" s="10">
        <f t="shared" ca="1" si="77"/>
        <v>1.9331294798961982</v>
      </c>
      <c r="N582" s="10">
        <f t="shared" ca="1" si="78"/>
        <v>1.6244785545346252</v>
      </c>
      <c r="O582" s="10">
        <f t="shared" ca="1" si="79"/>
        <v>3.7369895860437459</v>
      </c>
    </row>
    <row r="583" spans="2:15">
      <c r="B583" s="13">
        <v>212</v>
      </c>
      <c r="C583" s="2">
        <v>182.92330661614699</v>
      </c>
      <c r="D583" s="32">
        <f t="shared" ca="1" si="72"/>
        <v>206.0906613232294</v>
      </c>
      <c r="E583" s="27"/>
      <c r="F583" s="27"/>
      <c r="G583" s="27"/>
      <c r="H583" s="10">
        <f t="shared" si="73"/>
        <v>-13.715421407477834</v>
      </c>
      <c r="I583" s="32">
        <f t="shared" si="74"/>
        <v>-29.076693383853012</v>
      </c>
      <c r="J583" s="10">
        <f t="shared" ca="1" si="75"/>
        <v>-0.77</v>
      </c>
      <c r="K583" s="10">
        <f t="shared" ca="1" si="76"/>
        <v>0.3</v>
      </c>
      <c r="L583" s="10">
        <v>0.2</v>
      </c>
      <c r="M583" s="10">
        <f t="shared" ca="1" si="77"/>
        <v>-5.9093386767706022</v>
      </c>
      <c r="N583" s="10">
        <f t="shared" ca="1" si="78"/>
        <v>-2.7874239041370763</v>
      </c>
      <c r="O583" s="10">
        <f t="shared" ca="1" si="79"/>
        <v>34.920283596776933</v>
      </c>
    </row>
    <row r="584" spans="2:15">
      <c r="B584" s="13">
        <v>129</v>
      </c>
      <c r="C584" s="2">
        <v>128.82964277391699</v>
      </c>
      <c r="D584" s="32">
        <f t="shared" ca="1" si="72"/>
        <v>129.09392855478339</v>
      </c>
      <c r="E584" s="27"/>
      <c r="F584" s="27"/>
      <c r="G584" s="27"/>
      <c r="H584" s="10">
        <f t="shared" si="73"/>
        <v>-0.13205986518063373</v>
      </c>
      <c r="I584" s="32">
        <f t="shared" si="74"/>
        <v>-0.17035722608301285</v>
      </c>
      <c r="J584" s="10">
        <f t="shared" ca="1" si="75"/>
        <v>0.18</v>
      </c>
      <c r="K584" s="10">
        <f t="shared" ca="1" si="76"/>
        <v>0.46</v>
      </c>
      <c r="L584" s="10">
        <v>0.2</v>
      </c>
      <c r="M584" s="10">
        <f t="shared" ca="1" si="77"/>
        <v>9.3928554783397442E-2</v>
      </c>
      <c r="N584" s="10">
        <f t="shared" ca="1" si="78"/>
        <v>7.2812833165425417E-2</v>
      </c>
      <c r="O584" s="10">
        <f t="shared" ca="1" si="79"/>
        <v>8.8225734036976936E-3</v>
      </c>
    </row>
    <row r="585" spans="2:15">
      <c r="B585" s="13">
        <v>4</v>
      </c>
      <c r="C585" s="2">
        <v>-25.7767036474484</v>
      </c>
      <c r="D585" s="32">
        <f t="shared" ca="1" si="72"/>
        <v>-1.9525207294896809</v>
      </c>
      <c r="E585" s="27"/>
      <c r="F585" s="27"/>
      <c r="G585" s="27"/>
      <c r="H585" s="10">
        <f t="shared" si="73"/>
        <v>-744.41759118620996</v>
      </c>
      <c r="I585" s="32">
        <f t="shared" si="74"/>
        <v>-29.7767036474484</v>
      </c>
      <c r="J585" s="10">
        <f t="shared" ca="1" si="75"/>
        <v>6.0000000000000001E-3</v>
      </c>
      <c r="K585" s="10">
        <f t="shared" ca="1" si="76"/>
        <v>8.0999999999999996E-3</v>
      </c>
      <c r="L585" s="10">
        <v>0.2</v>
      </c>
      <c r="M585" s="10">
        <f t="shared" ca="1" si="77"/>
        <v>-5.9525207294896809</v>
      </c>
      <c r="N585" s="10">
        <f t="shared" ca="1" si="78"/>
        <v>-148.81301823724203</v>
      </c>
      <c r="O585" s="10">
        <f t="shared" ca="1" si="79"/>
        <v>35.432503035004366</v>
      </c>
    </row>
    <row r="586" spans="2:15">
      <c r="B586" s="13">
        <v>0</v>
      </c>
      <c r="C586" s="2">
        <v>10.1412093349432</v>
      </c>
      <c r="D586" s="32">
        <f t="shared" ca="1" si="72"/>
        <v>2.0292418669886398</v>
      </c>
      <c r="E586" s="27"/>
      <c r="F586" s="27"/>
      <c r="G586" s="27"/>
      <c r="H586" s="10" t="e">
        <f t="shared" si="73"/>
        <v>#DIV/0!</v>
      </c>
      <c r="I586" s="32">
        <f t="shared" si="74"/>
        <v>10.1412093349432</v>
      </c>
      <c r="J586" s="10">
        <f t="shared" ca="1" si="75"/>
        <v>4.8999999999999998E-3</v>
      </c>
      <c r="K586" s="10">
        <f t="shared" ca="1" si="76"/>
        <v>1E-4</v>
      </c>
      <c r="L586" s="10">
        <v>0.2</v>
      </c>
      <c r="M586" s="10">
        <f t="shared" ca="1" si="77"/>
        <v>2.0292418669886398</v>
      </c>
      <c r="N586" s="10" t="e">
        <f t="shared" ca="1" si="78"/>
        <v>#DIV/0!</v>
      </c>
      <c r="O586" s="10">
        <f t="shared" ca="1" si="79"/>
        <v>4.1178225547395408</v>
      </c>
    </row>
    <row r="587" spans="2:15">
      <c r="B587" s="13">
        <v>141</v>
      </c>
      <c r="C587" s="2">
        <v>141.10680966899</v>
      </c>
      <c r="D587" s="32">
        <f t="shared" ca="1" si="72"/>
        <v>141.21536193379799</v>
      </c>
      <c r="E587" s="27"/>
      <c r="F587" s="27"/>
      <c r="G587" s="27"/>
      <c r="H587" s="10">
        <f t="shared" si="73"/>
        <v>7.5751538290780296E-2</v>
      </c>
      <c r="I587" s="32">
        <f t="shared" si="74"/>
        <v>0.106809668989996</v>
      </c>
      <c r="J587" s="10">
        <f t="shared" ca="1" si="75"/>
        <v>0.14000000000000001</v>
      </c>
      <c r="K587" s="10">
        <f t="shared" ca="1" si="76"/>
        <v>0.83</v>
      </c>
      <c r="L587" s="10">
        <v>0.2</v>
      </c>
      <c r="M587" s="10">
        <f t="shared" ca="1" si="77"/>
        <v>0.2153619337979992</v>
      </c>
      <c r="N587" s="10">
        <f t="shared" ca="1" si="78"/>
        <v>0.15273896014043054</v>
      </c>
      <c r="O587" s="10">
        <f t="shared" ca="1" si="79"/>
        <v>4.638076252921379E-2</v>
      </c>
    </row>
    <row r="588" spans="2:15">
      <c r="B588" s="13">
        <v>12</v>
      </c>
      <c r="C588" s="2">
        <v>-16.105724186576701</v>
      </c>
      <c r="D588" s="32">
        <f t="shared" ca="1" si="72"/>
        <v>6.3788351626846591</v>
      </c>
      <c r="E588" s="27"/>
      <c r="F588" s="27"/>
      <c r="G588" s="27"/>
      <c r="H588" s="10">
        <f t="shared" si="73"/>
        <v>-234.21436822147248</v>
      </c>
      <c r="I588" s="32">
        <f t="shared" si="74"/>
        <v>-28.105724186576701</v>
      </c>
      <c r="J588" s="10">
        <f t="shared" ca="1" si="75"/>
        <v>-5.4999999999999997E-3</v>
      </c>
      <c r="K588" s="10">
        <f t="shared" ca="1" si="76"/>
        <v>5.4000000000000003E-3</v>
      </c>
      <c r="L588" s="10">
        <v>0.2</v>
      </c>
      <c r="M588" s="10">
        <f t="shared" ca="1" si="77"/>
        <v>-5.6211648373153409</v>
      </c>
      <c r="N588" s="10">
        <f t="shared" ca="1" si="78"/>
        <v>-46.843040310961172</v>
      </c>
      <c r="O588" s="10">
        <f t="shared" ca="1" si="79"/>
        <v>31.597494128270402</v>
      </c>
    </row>
    <row r="589" spans="2:15">
      <c r="B589" s="13">
        <v>209</v>
      </c>
      <c r="C589" s="2">
        <v>207.311180403039</v>
      </c>
      <c r="D589" s="32">
        <f t="shared" ca="1" si="72"/>
        <v>208.53223608060779</v>
      </c>
      <c r="E589" s="27"/>
      <c r="F589" s="27"/>
      <c r="G589" s="27"/>
      <c r="H589" s="10">
        <f t="shared" si="73"/>
        <v>-0.80804765404832724</v>
      </c>
      <c r="I589" s="32">
        <f t="shared" si="74"/>
        <v>-1.6888195969609967</v>
      </c>
      <c r="J589" s="10">
        <f t="shared" ca="1" si="75"/>
        <v>-0.92</v>
      </c>
      <c r="K589" s="10">
        <f t="shared" ca="1" si="76"/>
        <v>0.27</v>
      </c>
      <c r="L589" s="10">
        <v>0.2</v>
      </c>
      <c r="M589" s="10">
        <f t="shared" ca="1" si="77"/>
        <v>-0.46776391939219936</v>
      </c>
      <c r="N589" s="10">
        <f t="shared" ca="1" si="78"/>
        <v>-0.2238104877474667</v>
      </c>
      <c r="O589" s="10">
        <f t="shared" ca="1" si="79"/>
        <v>0.21880308428515197</v>
      </c>
    </row>
    <row r="590" spans="2:15">
      <c r="B590" s="13">
        <v>99</v>
      </c>
      <c r="C590" s="2">
        <v>69.889292197089901</v>
      </c>
      <c r="D590" s="32">
        <f t="shared" ca="1" si="72"/>
        <v>93.037858439417974</v>
      </c>
      <c r="E590" s="27"/>
      <c r="F590" s="27"/>
      <c r="G590" s="27"/>
      <c r="H590" s="10">
        <f t="shared" si="73"/>
        <v>-29.404755356474844</v>
      </c>
      <c r="I590" s="32">
        <f t="shared" si="74"/>
        <v>-29.110707802910099</v>
      </c>
      <c r="J590" s="10">
        <f t="shared" ca="1" si="75"/>
        <v>-0.15</v>
      </c>
      <c r="K590" s="10">
        <f t="shared" ca="1" si="76"/>
        <v>-0.55000000000000004</v>
      </c>
      <c r="L590" s="10">
        <v>0.2</v>
      </c>
      <c r="M590" s="10">
        <f t="shared" ca="1" si="77"/>
        <v>-5.9621415605820198</v>
      </c>
      <c r="N590" s="10">
        <f t="shared" ca="1" si="78"/>
        <v>-6.0223652127091132</v>
      </c>
      <c r="O590" s="10">
        <f t="shared" ca="1" si="79"/>
        <v>35.547131988419402</v>
      </c>
    </row>
    <row r="591" spans="2:15">
      <c r="B591" s="13">
        <v>55</v>
      </c>
      <c r="C591" s="2">
        <v>54.791153281963197</v>
      </c>
      <c r="D591" s="32">
        <f t="shared" ca="1" si="72"/>
        <v>55.06023065639264</v>
      </c>
      <c r="E591" s="27"/>
      <c r="F591" s="27"/>
      <c r="G591" s="27"/>
      <c r="H591" s="10">
        <f t="shared" si="73"/>
        <v>-0.37972130552146321</v>
      </c>
      <c r="I591" s="32">
        <f t="shared" si="74"/>
        <v>-0.20884671803680277</v>
      </c>
      <c r="J591" s="10">
        <f t="shared" ca="1" si="75"/>
        <v>0.35</v>
      </c>
      <c r="K591" s="10">
        <f t="shared" ca="1" si="76"/>
        <v>0.16</v>
      </c>
      <c r="L591" s="10">
        <v>0.2</v>
      </c>
      <c r="M591" s="10">
        <f t="shared" ca="1" si="77"/>
        <v>6.0230656392639449E-2</v>
      </c>
      <c r="N591" s="10">
        <f t="shared" ca="1" si="78"/>
        <v>0.1095102843502449</v>
      </c>
      <c r="O591" s="10">
        <f t="shared" ca="1" si="79"/>
        <v>3.6277319694881993E-3</v>
      </c>
    </row>
    <row r="592" spans="2:15">
      <c r="B592" s="13">
        <v>71</v>
      </c>
      <c r="C592" s="2">
        <v>41.578955313836303</v>
      </c>
      <c r="D592" s="32">
        <f t="shared" ca="1" si="72"/>
        <v>65.185791062767265</v>
      </c>
      <c r="E592" s="27"/>
      <c r="F592" s="27"/>
      <c r="G592" s="27"/>
      <c r="H592" s="10">
        <f t="shared" si="73"/>
        <v>-41.438091107272811</v>
      </c>
      <c r="I592" s="32">
        <f t="shared" si="74"/>
        <v>-29.421044686163697</v>
      </c>
      <c r="J592" s="10">
        <f t="shared" ca="1" si="75"/>
        <v>-0.12</v>
      </c>
      <c r="K592" s="10">
        <f t="shared" ca="1" si="76"/>
        <v>0.47</v>
      </c>
      <c r="L592" s="10">
        <v>0.2</v>
      </c>
      <c r="M592" s="10">
        <f t="shared" ca="1" si="77"/>
        <v>-5.8142089372327401</v>
      </c>
      <c r="N592" s="10">
        <f t="shared" ca="1" si="78"/>
        <v>-8.1890266721587839</v>
      </c>
      <c r="O592" s="10">
        <f t="shared" ca="1" si="79"/>
        <v>33.805025565797067</v>
      </c>
    </row>
    <row r="593" spans="2:15">
      <c r="B593" s="13">
        <v>121</v>
      </c>
      <c r="C593" s="2">
        <v>89.958552575658601</v>
      </c>
      <c r="D593" s="32">
        <f t="shared" ca="1" si="72"/>
        <v>114.78371051513172</v>
      </c>
      <c r="E593" s="27"/>
      <c r="F593" s="27"/>
      <c r="G593" s="27"/>
      <c r="H593" s="10">
        <f t="shared" si="73"/>
        <v>-25.654088780447438</v>
      </c>
      <c r="I593" s="32">
        <f t="shared" si="74"/>
        <v>-31.041447424341399</v>
      </c>
      <c r="J593" s="10">
        <f t="shared" ca="1" si="75"/>
        <v>0.56999999999999995</v>
      </c>
      <c r="K593" s="10">
        <f t="shared" ca="1" si="76"/>
        <v>-0.61</v>
      </c>
      <c r="L593" s="10">
        <v>0.2</v>
      </c>
      <c r="M593" s="10">
        <f t="shared" ca="1" si="77"/>
        <v>-6.2162894848682804</v>
      </c>
      <c r="N593" s="10">
        <f t="shared" ca="1" si="78"/>
        <v>-5.1374293263374282</v>
      </c>
      <c r="O593" s="10">
        <f t="shared" ca="1" si="79"/>
        <v>38.642254959683953</v>
      </c>
    </row>
    <row r="594" spans="2:15">
      <c r="B594" s="13">
        <v>3</v>
      </c>
      <c r="C594" s="2">
        <v>-24.806462395317599</v>
      </c>
      <c r="D594" s="32">
        <f t="shared" ref="D594:D657" ca="1" si="80">B594+M594</f>
        <v>-2.56287247906352</v>
      </c>
      <c r="E594" s="27"/>
      <c r="F594" s="27"/>
      <c r="G594" s="27"/>
      <c r="H594" s="10">
        <f t="shared" ref="H594:H657" si="81">((C594/B594)-1)*100</f>
        <v>-926.88207984391988</v>
      </c>
      <c r="I594" s="32">
        <f t="shared" ref="I594:I657" si="82">C594-B594</f>
        <v>-27.806462395317599</v>
      </c>
      <c r="J594" s="10">
        <f t="shared" ref="J594:J657" ca="1" si="83">IF(B594 &lt; 30, RANDBETWEEN(-100, 100) / 10000, RANDBETWEEN(-100,100) / 100)</f>
        <v>-3.8E-3</v>
      </c>
      <c r="K594" s="10">
        <f t="shared" ref="K594:K657" ca="1" si="84">IF(B594 &lt; 30, RANDBETWEEN(-100, 100) / 10000, RANDBETWEEN(-100,100) / 100)</f>
        <v>-4.1000000000000003E-3</v>
      </c>
      <c r="L594" s="10">
        <v>0.2</v>
      </c>
      <c r="M594" s="10">
        <f t="shared" ref="M594:M657" ca="1" si="85">(I594+J594+K594)*L594</f>
        <v>-5.56287247906352</v>
      </c>
      <c r="N594" s="10">
        <f t="shared" ref="N594:N657" ca="1" si="86">((D594/B594)-1)*100</f>
        <v>-185.42908263545067</v>
      </c>
      <c r="O594" s="10">
        <f t="shared" ref="O594:O657" ca="1" si="87">M594^2</f>
        <v>30.945550218322314</v>
      </c>
    </row>
    <row r="595" spans="2:15">
      <c r="B595" s="13">
        <v>188</v>
      </c>
      <c r="C595" s="2">
        <v>188.23429520976001</v>
      </c>
      <c r="D595" s="32">
        <f t="shared" ca="1" si="80"/>
        <v>187.95085904195201</v>
      </c>
      <c r="E595" s="27"/>
      <c r="F595" s="27"/>
      <c r="G595" s="27"/>
      <c r="H595" s="10">
        <f t="shared" si="81"/>
        <v>0.12462511157447231</v>
      </c>
      <c r="I595" s="32">
        <f t="shared" si="82"/>
        <v>0.23429520976000617</v>
      </c>
      <c r="J595" s="10">
        <f t="shared" ca="1" si="83"/>
        <v>-0.54</v>
      </c>
      <c r="K595" s="10">
        <f t="shared" ca="1" si="84"/>
        <v>0.06</v>
      </c>
      <c r="L595" s="10">
        <v>0.2</v>
      </c>
      <c r="M595" s="10">
        <f t="shared" ca="1" si="85"/>
        <v>-4.9140958047998777E-2</v>
      </c>
      <c r="N595" s="10">
        <f t="shared" ca="1" si="86"/>
        <v>-2.6138807472331216E-2</v>
      </c>
      <c r="O595" s="10">
        <f t="shared" ca="1" si="87"/>
        <v>2.4148337578751757E-3</v>
      </c>
    </row>
    <row r="596" spans="2:15">
      <c r="B596" s="13">
        <v>8</v>
      </c>
      <c r="C596" s="2">
        <v>-18.929740003449201</v>
      </c>
      <c r="D596" s="32">
        <f t="shared" ca="1" si="80"/>
        <v>2.6143119993101598</v>
      </c>
      <c r="E596" s="27"/>
      <c r="F596" s="27"/>
      <c r="G596" s="27"/>
      <c r="H596" s="10">
        <f t="shared" si="81"/>
        <v>-336.62175004311501</v>
      </c>
      <c r="I596" s="32">
        <f t="shared" si="82"/>
        <v>-26.929740003449201</v>
      </c>
      <c r="J596" s="10">
        <f t="shared" ca="1" si="83"/>
        <v>-1.1999999999999999E-3</v>
      </c>
      <c r="K596" s="10">
        <f t="shared" ca="1" si="84"/>
        <v>2.5000000000000001E-3</v>
      </c>
      <c r="L596" s="10">
        <v>0.2</v>
      </c>
      <c r="M596" s="10">
        <f t="shared" ca="1" si="85"/>
        <v>-5.3856880006898402</v>
      </c>
      <c r="N596" s="10">
        <f t="shared" ca="1" si="86"/>
        <v>-67.321100008623006</v>
      </c>
      <c r="O596" s="10">
        <f t="shared" ca="1" si="87"/>
        <v>29.005635240774527</v>
      </c>
    </row>
    <row r="597" spans="2:15">
      <c r="B597" s="13">
        <v>199</v>
      </c>
      <c r="C597" s="2">
        <v>168.454889054929</v>
      </c>
      <c r="D597" s="32">
        <f t="shared" ca="1" si="80"/>
        <v>193.1189778109858</v>
      </c>
      <c r="E597" s="27"/>
      <c r="F597" s="27"/>
      <c r="G597" s="27"/>
      <c r="H597" s="10">
        <f t="shared" si="81"/>
        <v>-15.349301982447738</v>
      </c>
      <c r="I597" s="32">
        <f t="shared" si="82"/>
        <v>-30.545110945071002</v>
      </c>
      <c r="J597" s="10">
        <f t="shared" ca="1" si="83"/>
        <v>0.93</v>
      </c>
      <c r="K597" s="10">
        <f t="shared" ca="1" si="84"/>
        <v>0.21</v>
      </c>
      <c r="L597" s="10">
        <v>0.2</v>
      </c>
      <c r="M597" s="10">
        <f t="shared" ca="1" si="85"/>
        <v>-5.8810221890142005</v>
      </c>
      <c r="N597" s="10">
        <f t="shared" ca="1" si="86"/>
        <v>-2.9552875321679384</v>
      </c>
      <c r="O597" s="10">
        <f t="shared" ca="1" si="87"/>
        <v>34.586421987677376</v>
      </c>
    </row>
    <row r="598" spans="2:15">
      <c r="B598" s="13">
        <v>146</v>
      </c>
      <c r="C598" s="2">
        <v>117.433811928846</v>
      </c>
      <c r="D598" s="32">
        <f t="shared" ca="1" si="80"/>
        <v>140.27076238576919</v>
      </c>
      <c r="E598" s="27"/>
      <c r="F598" s="27"/>
      <c r="G598" s="27"/>
      <c r="H598" s="10">
        <f t="shared" si="81"/>
        <v>-19.565882240516441</v>
      </c>
      <c r="I598" s="32">
        <f t="shared" si="82"/>
        <v>-28.566188071154002</v>
      </c>
      <c r="J598" s="10">
        <f t="shared" ca="1" si="83"/>
        <v>-0.43</v>
      </c>
      <c r="K598" s="10">
        <f t="shared" ca="1" si="84"/>
        <v>0.35</v>
      </c>
      <c r="L598" s="10">
        <v>0.2</v>
      </c>
      <c r="M598" s="10">
        <f t="shared" ca="1" si="85"/>
        <v>-5.7292376142308008</v>
      </c>
      <c r="N598" s="10">
        <f t="shared" ca="1" si="86"/>
        <v>-3.9241353522128875</v>
      </c>
      <c r="O598" s="10">
        <f t="shared" ca="1" si="87"/>
        <v>32.824163640317039</v>
      </c>
    </row>
    <row r="599" spans="2:15">
      <c r="B599" s="13">
        <v>140</v>
      </c>
      <c r="C599" s="2">
        <v>151.55198116193</v>
      </c>
      <c r="D599" s="32">
        <f t="shared" ca="1" si="80"/>
        <v>142.15439623238601</v>
      </c>
      <c r="E599" s="27"/>
      <c r="F599" s="27"/>
      <c r="G599" s="27"/>
      <c r="H599" s="10">
        <f t="shared" si="81"/>
        <v>8.2514151156642956</v>
      </c>
      <c r="I599" s="32">
        <f t="shared" si="82"/>
        <v>11.551981161930001</v>
      </c>
      <c r="J599" s="10">
        <f t="shared" ca="1" si="83"/>
        <v>-0.23</v>
      </c>
      <c r="K599" s="10">
        <f t="shared" ca="1" si="84"/>
        <v>-0.55000000000000004</v>
      </c>
      <c r="L599" s="10">
        <v>0.2</v>
      </c>
      <c r="M599" s="10">
        <f t="shared" ca="1" si="85"/>
        <v>2.154396232386</v>
      </c>
      <c r="N599" s="10">
        <f t="shared" ca="1" si="86"/>
        <v>1.5388544517042968</v>
      </c>
      <c r="O599" s="10">
        <f t="shared" ca="1" si="87"/>
        <v>4.6414231261189913</v>
      </c>
    </row>
    <row r="600" spans="2:15">
      <c r="B600" s="13">
        <v>20</v>
      </c>
      <c r="C600" s="2">
        <v>23.6939620741725</v>
      </c>
      <c r="D600" s="32">
        <f t="shared" ca="1" si="80"/>
        <v>20.738732414834502</v>
      </c>
      <c r="E600" s="27"/>
      <c r="F600" s="27"/>
      <c r="G600" s="27"/>
      <c r="H600" s="10">
        <f t="shared" si="81"/>
        <v>18.469810370862504</v>
      </c>
      <c r="I600" s="32">
        <f t="shared" si="82"/>
        <v>3.6939620741725001</v>
      </c>
      <c r="J600" s="10">
        <f t="shared" ca="1" si="83"/>
        <v>5.9999999999999995E-4</v>
      </c>
      <c r="K600" s="10">
        <f t="shared" ca="1" si="84"/>
        <v>-8.9999999999999998E-4</v>
      </c>
      <c r="L600" s="10">
        <v>0.2</v>
      </c>
      <c r="M600" s="10">
        <f t="shared" ca="1" si="85"/>
        <v>0.73873241483450003</v>
      </c>
      <c r="N600" s="10">
        <f t="shared" ca="1" si="86"/>
        <v>3.693662074172499</v>
      </c>
      <c r="O600" s="10">
        <f t="shared" ca="1" si="87"/>
        <v>0.54572558072721189</v>
      </c>
    </row>
    <row r="601" spans="2:15">
      <c r="B601" s="13">
        <v>77</v>
      </c>
      <c r="C601" s="2">
        <v>48.321545573407803</v>
      </c>
      <c r="D601" s="32">
        <f t="shared" ca="1" si="80"/>
        <v>71.298309114681558</v>
      </c>
      <c r="E601" s="27"/>
      <c r="F601" s="27"/>
      <c r="G601" s="27"/>
      <c r="H601" s="10">
        <f t="shared" si="81"/>
        <v>-37.244746008561293</v>
      </c>
      <c r="I601" s="32">
        <f t="shared" si="82"/>
        <v>-28.678454426592197</v>
      </c>
      <c r="J601" s="10">
        <f t="shared" ca="1" si="83"/>
        <v>0.38</v>
      </c>
      <c r="K601" s="10">
        <f t="shared" ca="1" si="84"/>
        <v>-0.21</v>
      </c>
      <c r="L601" s="10">
        <v>0.2</v>
      </c>
      <c r="M601" s="10">
        <f t="shared" ca="1" si="85"/>
        <v>-5.70169088531844</v>
      </c>
      <c r="N601" s="10">
        <f t="shared" ca="1" si="86"/>
        <v>-7.4047933575564162</v>
      </c>
      <c r="O601" s="10">
        <f t="shared" ca="1" si="87"/>
        <v>32.509278951723374</v>
      </c>
    </row>
    <row r="602" spans="2:15">
      <c r="B602" s="13">
        <v>48</v>
      </c>
      <c r="C602" s="2">
        <v>58.613682884132999</v>
      </c>
      <c r="D602" s="32">
        <f t="shared" ca="1" si="80"/>
        <v>49.814736576826597</v>
      </c>
      <c r="E602" s="27"/>
      <c r="F602" s="27"/>
      <c r="G602" s="27"/>
      <c r="H602" s="10">
        <f t="shared" si="81"/>
        <v>22.111839341943739</v>
      </c>
      <c r="I602" s="32">
        <f t="shared" si="82"/>
        <v>10.613682884132999</v>
      </c>
      <c r="J602" s="10">
        <f t="shared" ca="1" si="83"/>
        <v>-0.99</v>
      </c>
      <c r="K602" s="10">
        <f t="shared" ca="1" si="84"/>
        <v>-0.55000000000000004</v>
      </c>
      <c r="L602" s="10">
        <v>0.2</v>
      </c>
      <c r="M602" s="10">
        <f t="shared" ca="1" si="85"/>
        <v>1.8147365768265997</v>
      </c>
      <c r="N602" s="10">
        <f t="shared" ca="1" si="86"/>
        <v>3.7807012017220698</v>
      </c>
      <c r="O602" s="10">
        <f t="shared" ca="1" si="87"/>
        <v>3.2932688432723252</v>
      </c>
    </row>
    <row r="603" spans="2:15">
      <c r="B603" s="13">
        <v>101</v>
      </c>
      <c r="C603" s="2">
        <v>100.58697186935601</v>
      </c>
      <c r="D603" s="32">
        <f t="shared" ca="1" si="80"/>
        <v>100.8713943738712</v>
      </c>
      <c r="E603" s="27"/>
      <c r="F603" s="27"/>
      <c r="G603" s="27"/>
      <c r="H603" s="10">
        <f t="shared" si="81"/>
        <v>-0.40893874321187296</v>
      </c>
      <c r="I603" s="32">
        <f t="shared" si="82"/>
        <v>-0.41302813064399402</v>
      </c>
      <c r="J603" s="10">
        <f t="shared" ca="1" si="83"/>
        <v>0.73</v>
      </c>
      <c r="K603" s="10">
        <f t="shared" ca="1" si="84"/>
        <v>-0.96</v>
      </c>
      <c r="L603" s="10">
        <v>0.2</v>
      </c>
      <c r="M603" s="10">
        <f t="shared" ca="1" si="85"/>
        <v>-0.12860562612879881</v>
      </c>
      <c r="N603" s="10">
        <f t="shared" ca="1" si="86"/>
        <v>-0.12733230309782684</v>
      </c>
      <c r="O603" s="10">
        <f t="shared" ca="1" si="87"/>
        <v>1.6539407071980379E-2</v>
      </c>
    </row>
    <row r="604" spans="2:15">
      <c r="B604" s="13">
        <v>84</v>
      </c>
      <c r="C604" s="2">
        <v>85.155851754799002</v>
      </c>
      <c r="D604" s="32">
        <f t="shared" ca="1" si="80"/>
        <v>84.245170350959796</v>
      </c>
      <c r="E604" s="27"/>
      <c r="F604" s="27"/>
      <c r="G604" s="27"/>
      <c r="H604" s="10">
        <f t="shared" si="81"/>
        <v>1.3760139938083338</v>
      </c>
      <c r="I604" s="32">
        <f t="shared" si="82"/>
        <v>1.1558517547990022</v>
      </c>
      <c r="J604" s="10">
        <f t="shared" ca="1" si="83"/>
        <v>0.41</v>
      </c>
      <c r="K604" s="10">
        <f t="shared" ca="1" si="84"/>
        <v>-0.34</v>
      </c>
      <c r="L604" s="10">
        <v>0.2</v>
      </c>
      <c r="M604" s="10">
        <f t="shared" ca="1" si="85"/>
        <v>0.24517035095980041</v>
      </c>
      <c r="N604" s="10">
        <f t="shared" ca="1" si="86"/>
        <v>0.29186946542831826</v>
      </c>
      <c r="O604" s="10">
        <f t="shared" ca="1" si="87"/>
        <v>6.0108500989751706E-2</v>
      </c>
    </row>
    <row r="605" spans="2:15">
      <c r="B605" s="13">
        <v>184</v>
      </c>
      <c r="C605" s="2">
        <v>153.558531964867</v>
      </c>
      <c r="D605" s="32">
        <f t="shared" ca="1" si="80"/>
        <v>177.93770639297341</v>
      </c>
      <c r="E605" s="27"/>
      <c r="F605" s="27"/>
      <c r="G605" s="27"/>
      <c r="H605" s="10">
        <f t="shared" si="81"/>
        <v>-16.54427610605055</v>
      </c>
      <c r="I605" s="32">
        <f t="shared" si="82"/>
        <v>-30.441468035132999</v>
      </c>
      <c r="J605" s="10">
        <f t="shared" ca="1" si="83"/>
        <v>-0.76</v>
      </c>
      <c r="K605" s="10">
        <f t="shared" ca="1" si="84"/>
        <v>0.89</v>
      </c>
      <c r="L605" s="10">
        <v>0.2</v>
      </c>
      <c r="M605" s="10">
        <f t="shared" ca="1" si="85"/>
        <v>-6.0622936070266</v>
      </c>
      <c r="N605" s="10">
        <f t="shared" ca="1" si="86"/>
        <v>-3.2947247864274942</v>
      </c>
      <c r="O605" s="10">
        <f t="shared" ca="1" si="87"/>
        <v>36.751403777795588</v>
      </c>
    </row>
    <row r="606" spans="2:15">
      <c r="B606" s="13">
        <v>217</v>
      </c>
      <c r="C606" s="2">
        <v>215.72161701818399</v>
      </c>
      <c r="D606" s="32">
        <f t="shared" ca="1" si="80"/>
        <v>216.94232340363681</v>
      </c>
      <c r="E606" s="27"/>
      <c r="F606" s="27"/>
      <c r="G606" s="27"/>
      <c r="H606" s="10">
        <f t="shared" si="81"/>
        <v>-0.58911658148202983</v>
      </c>
      <c r="I606" s="32">
        <f t="shared" si="82"/>
        <v>-1.2783829818160086</v>
      </c>
      <c r="J606" s="10">
        <f t="shared" ca="1" si="83"/>
        <v>0.77</v>
      </c>
      <c r="K606" s="10">
        <f t="shared" ca="1" si="84"/>
        <v>0.22</v>
      </c>
      <c r="L606" s="10">
        <v>0.2</v>
      </c>
      <c r="M606" s="10">
        <f t="shared" ca="1" si="85"/>
        <v>-5.7676596363201729E-2</v>
      </c>
      <c r="N606" s="10">
        <f t="shared" ca="1" si="86"/>
        <v>-2.6579076665067536E-2</v>
      </c>
      <c r="O606" s="10">
        <f t="shared" ca="1" si="87"/>
        <v>3.3265897680436951E-3</v>
      </c>
    </row>
    <row r="607" spans="2:15">
      <c r="B607" s="13">
        <v>123</v>
      </c>
      <c r="C607" s="2">
        <v>132.350269864399</v>
      </c>
      <c r="D607" s="32">
        <f t="shared" ca="1" si="80"/>
        <v>124.9400539728798</v>
      </c>
      <c r="E607" s="27"/>
      <c r="F607" s="27"/>
      <c r="G607" s="27"/>
      <c r="H607" s="10">
        <f t="shared" si="81"/>
        <v>7.6018454182105621</v>
      </c>
      <c r="I607" s="32">
        <f t="shared" si="82"/>
        <v>9.3502698643989959</v>
      </c>
      <c r="J607" s="10">
        <f t="shared" ca="1" si="83"/>
        <v>0.41</v>
      </c>
      <c r="K607" s="10">
        <f t="shared" ca="1" si="84"/>
        <v>-0.06</v>
      </c>
      <c r="L607" s="10">
        <v>0.2</v>
      </c>
      <c r="M607" s="10">
        <f t="shared" ca="1" si="85"/>
        <v>1.9400539728797992</v>
      </c>
      <c r="N607" s="10">
        <f t="shared" ca="1" si="86"/>
        <v>1.5772796527478095</v>
      </c>
      <c r="O607" s="10">
        <f t="shared" ca="1" si="87"/>
        <v>3.7638094176866925</v>
      </c>
    </row>
    <row r="608" spans="2:15">
      <c r="B608" s="13">
        <v>138</v>
      </c>
      <c r="C608" s="2">
        <v>138.79830913380999</v>
      </c>
      <c r="D608" s="32">
        <f t="shared" ca="1" si="80"/>
        <v>138.38366182676199</v>
      </c>
      <c r="E608" s="27"/>
      <c r="F608" s="27"/>
      <c r="G608" s="27"/>
      <c r="H608" s="10">
        <f t="shared" si="81"/>
        <v>0.57848487957246064</v>
      </c>
      <c r="I608" s="32">
        <f t="shared" si="82"/>
        <v>0.79830913380999391</v>
      </c>
      <c r="J608" s="10">
        <f t="shared" ca="1" si="83"/>
        <v>0.49</v>
      </c>
      <c r="K608" s="10">
        <f t="shared" ca="1" si="84"/>
        <v>0.63</v>
      </c>
      <c r="L608" s="10">
        <v>0.2</v>
      </c>
      <c r="M608" s="10">
        <f t="shared" ca="1" si="85"/>
        <v>0.38366182676199884</v>
      </c>
      <c r="N608" s="10">
        <f t="shared" ca="1" si="86"/>
        <v>0.2780158164942037</v>
      </c>
      <c r="O608" s="10">
        <f t="shared" ca="1" si="87"/>
        <v>0.14719639731435399</v>
      </c>
    </row>
    <row r="609" spans="2:15">
      <c r="B609" s="13">
        <v>101</v>
      </c>
      <c r="C609" s="2">
        <v>71.751652987162601</v>
      </c>
      <c r="D609" s="32">
        <f t="shared" ca="1" si="80"/>
        <v>95.108330597432513</v>
      </c>
      <c r="E609" s="27"/>
      <c r="F609" s="27"/>
      <c r="G609" s="27"/>
      <c r="H609" s="10">
        <f t="shared" si="81"/>
        <v>-28.958759418650892</v>
      </c>
      <c r="I609" s="32">
        <f t="shared" si="82"/>
        <v>-29.248347012837399</v>
      </c>
      <c r="J609" s="10">
        <f t="shared" ca="1" si="83"/>
        <v>0.63</v>
      </c>
      <c r="K609" s="10">
        <f t="shared" ca="1" si="84"/>
        <v>-0.84</v>
      </c>
      <c r="L609" s="10">
        <v>0.2</v>
      </c>
      <c r="M609" s="10">
        <f t="shared" ca="1" si="85"/>
        <v>-5.8916694025674801</v>
      </c>
      <c r="N609" s="10">
        <f t="shared" ca="1" si="86"/>
        <v>-5.8333360421460316</v>
      </c>
      <c r="O609" s="10">
        <f t="shared" ca="1" si="87"/>
        <v>34.71176834914985</v>
      </c>
    </row>
    <row r="610" spans="2:15">
      <c r="B610" s="13">
        <v>127</v>
      </c>
      <c r="C610" s="2">
        <v>136.46943503188999</v>
      </c>
      <c r="D610" s="32">
        <f t="shared" ca="1" si="80"/>
        <v>129.22388700637799</v>
      </c>
      <c r="E610" s="27"/>
      <c r="F610" s="27"/>
      <c r="G610" s="27"/>
      <c r="H610" s="10">
        <f t="shared" si="81"/>
        <v>7.4562480566062961</v>
      </c>
      <c r="I610" s="32">
        <f t="shared" si="82"/>
        <v>9.4694350318899865</v>
      </c>
      <c r="J610" s="10">
        <f t="shared" ca="1" si="83"/>
        <v>0.88</v>
      </c>
      <c r="K610" s="10">
        <f t="shared" ca="1" si="84"/>
        <v>0.77</v>
      </c>
      <c r="L610" s="10">
        <v>0.2</v>
      </c>
      <c r="M610" s="10">
        <f t="shared" ca="1" si="85"/>
        <v>2.2238870063779976</v>
      </c>
      <c r="N610" s="10">
        <f t="shared" ca="1" si="86"/>
        <v>1.7510921310063043</v>
      </c>
      <c r="O610" s="10">
        <f t="shared" ca="1" si="87"/>
        <v>4.9456734171368923</v>
      </c>
    </row>
    <row r="611" spans="2:15">
      <c r="B611" s="13">
        <v>12</v>
      </c>
      <c r="C611" s="2">
        <v>23.077133338899699</v>
      </c>
      <c r="D611" s="32">
        <f t="shared" ca="1" si="80"/>
        <v>14.21652666777994</v>
      </c>
      <c r="E611" s="27"/>
      <c r="F611" s="27"/>
      <c r="G611" s="27"/>
      <c r="H611" s="10">
        <f t="shared" si="81"/>
        <v>92.309444490830828</v>
      </c>
      <c r="I611" s="32">
        <f t="shared" si="82"/>
        <v>11.077133338899699</v>
      </c>
      <c r="J611" s="10">
        <f t="shared" ca="1" si="83"/>
        <v>1.6000000000000001E-3</v>
      </c>
      <c r="K611" s="10">
        <f t="shared" ca="1" si="84"/>
        <v>3.8999999999999998E-3</v>
      </c>
      <c r="L611" s="10">
        <v>0.2</v>
      </c>
      <c r="M611" s="10">
        <f t="shared" ca="1" si="85"/>
        <v>2.2165266677799398</v>
      </c>
      <c r="N611" s="10">
        <f t="shared" ca="1" si="86"/>
        <v>18.471055564832838</v>
      </c>
      <c r="O611" s="10">
        <f t="shared" ca="1" si="87"/>
        <v>4.9129904689796433</v>
      </c>
    </row>
    <row r="612" spans="2:15">
      <c r="B612" s="13">
        <v>41</v>
      </c>
      <c r="C612" s="2">
        <v>53.086788131926198</v>
      </c>
      <c r="D612" s="32">
        <f t="shared" ca="1" si="80"/>
        <v>43.343357626385242</v>
      </c>
      <c r="E612" s="27"/>
      <c r="F612" s="27"/>
      <c r="G612" s="27"/>
      <c r="H612" s="10">
        <f t="shared" si="81"/>
        <v>29.479971053478526</v>
      </c>
      <c r="I612" s="32">
        <f t="shared" si="82"/>
        <v>12.086788131926198</v>
      </c>
      <c r="J612" s="10">
        <f t="shared" ca="1" si="83"/>
        <v>-0.89</v>
      </c>
      <c r="K612" s="10">
        <f t="shared" ca="1" si="84"/>
        <v>0.52</v>
      </c>
      <c r="L612" s="10">
        <v>0.2</v>
      </c>
      <c r="M612" s="10">
        <f t="shared" ca="1" si="85"/>
        <v>2.3433576263852394</v>
      </c>
      <c r="N612" s="10">
        <f t="shared" ca="1" si="86"/>
        <v>5.7155064058176608</v>
      </c>
      <c r="O612" s="10">
        <f t="shared" ca="1" si="87"/>
        <v>5.4913249651378635</v>
      </c>
    </row>
    <row r="613" spans="2:15">
      <c r="B613" s="13">
        <v>83</v>
      </c>
      <c r="C613" s="2">
        <v>94.355189877987797</v>
      </c>
      <c r="D613" s="32">
        <f t="shared" ca="1" si="80"/>
        <v>85.291037975597561</v>
      </c>
      <c r="E613" s="27"/>
      <c r="F613" s="27"/>
      <c r="G613" s="27"/>
      <c r="H613" s="10">
        <f t="shared" si="81"/>
        <v>13.68095166022627</v>
      </c>
      <c r="I613" s="32">
        <f t="shared" si="82"/>
        <v>11.355189877987797</v>
      </c>
      <c r="J613" s="10">
        <f t="shared" ca="1" si="83"/>
        <v>0.1</v>
      </c>
      <c r="K613" s="10">
        <f t="shared" ca="1" si="84"/>
        <v>0</v>
      </c>
      <c r="L613" s="10">
        <v>0.2</v>
      </c>
      <c r="M613" s="10">
        <f t="shared" ca="1" si="85"/>
        <v>2.2910379755975594</v>
      </c>
      <c r="N613" s="10">
        <f t="shared" ca="1" si="86"/>
        <v>2.7602867175874124</v>
      </c>
      <c r="O613" s="10">
        <f t="shared" ca="1" si="87"/>
        <v>5.2488550056301628</v>
      </c>
    </row>
    <row r="614" spans="2:15">
      <c r="B614" s="13">
        <v>152</v>
      </c>
      <c r="C614" s="2">
        <v>122.73959082443901</v>
      </c>
      <c r="D614" s="32">
        <f t="shared" ca="1" si="80"/>
        <v>145.96391816488779</v>
      </c>
      <c r="E614" s="27"/>
      <c r="F614" s="27"/>
      <c r="G614" s="27"/>
      <c r="H614" s="10">
        <f t="shared" si="81"/>
        <v>-19.250269194448023</v>
      </c>
      <c r="I614" s="32">
        <f t="shared" si="82"/>
        <v>-29.260409175560994</v>
      </c>
      <c r="J614" s="10">
        <f t="shared" ca="1" si="83"/>
        <v>-0.39</v>
      </c>
      <c r="K614" s="10">
        <f t="shared" ca="1" si="84"/>
        <v>-0.53</v>
      </c>
      <c r="L614" s="10">
        <v>0.2</v>
      </c>
      <c r="M614" s="10">
        <f t="shared" ca="1" si="85"/>
        <v>-6.0360818351121992</v>
      </c>
      <c r="N614" s="10">
        <f t="shared" ca="1" si="86"/>
        <v>-3.9711064704685661</v>
      </c>
      <c r="O614" s="10">
        <f t="shared" ca="1" si="87"/>
        <v>36.434283920171453</v>
      </c>
    </row>
    <row r="615" spans="2:15">
      <c r="B615" s="13">
        <v>170</v>
      </c>
      <c r="C615" s="1">
        <v>179.45658233383801</v>
      </c>
      <c r="D615" s="32">
        <f t="shared" ca="1" si="80"/>
        <v>171.9293164667676</v>
      </c>
      <c r="E615" s="27"/>
      <c r="F615" s="27"/>
      <c r="G615" s="27"/>
      <c r="H615" s="10">
        <f t="shared" si="81"/>
        <v>5.5626954904929526</v>
      </c>
      <c r="I615" s="32">
        <f t="shared" si="82"/>
        <v>9.4565823338380142</v>
      </c>
      <c r="J615" s="10">
        <f t="shared" ca="1" si="83"/>
        <v>-0.67</v>
      </c>
      <c r="K615" s="10">
        <f t="shared" ca="1" si="84"/>
        <v>0.86</v>
      </c>
      <c r="L615" s="10">
        <v>0.2</v>
      </c>
      <c r="M615" s="10">
        <f t="shared" ca="1" si="85"/>
        <v>1.9293164667676028</v>
      </c>
      <c r="N615" s="10">
        <f t="shared" ca="1" si="86"/>
        <v>1.1348920392750594</v>
      </c>
      <c r="O615" s="10">
        <f t="shared" ca="1" si="87"/>
        <v>3.7222620289406265</v>
      </c>
    </row>
    <row r="616" spans="2:15">
      <c r="B616" s="13">
        <v>27</v>
      </c>
      <c r="C616" s="1">
        <v>28.419064390342498</v>
      </c>
      <c r="D616" s="32">
        <f t="shared" ca="1" si="80"/>
        <v>27.282492878068499</v>
      </c>
      <c r="E616" s="27"/>
      <c r="F616" s="27"/>
      <c r="G616" s="27"/>
      <c r="H616" s="10">
        <f t="shared" si="81"/>
        <v>5.255794038305539</v>
      </c>
      <c r="I616" s="32">
        <f t="shared" si="82"/>
        <v>1.4190643903424984</v>
      </c>
      <c r="J616" s="10">
        <f t="shared" ca="1" si="83"/>
        <v>5.9999999999999995E-4</v>
      </c>
      <c r="K616" s="10">
        <f t="shared" ca="1" si="84"/>
        <v>-7.1999999999999998E-3</v>
      </c>
      <c r="L616" s="10">
        <v>0.2</v>
      </c>
      <c r="M616" s="10">
        <f t="shared" ca="1" si="85"/>
        <v>0.28249287806849965</v>
      </c>
      <c r="N616" s="10">
        <f t="shared" ca="1" si="86"/>
        <v>1.0462699187722135</v>
      </c>
      <c r="O616" s="10">
        <f t="shared" ca="1" si="87"/>
        <v>7.9802226159424214E-2</v>
      </c>
    </row>
    <row r="617" spans="2:15">
      <c r="B617" s="13">
        <v>147</v>
      </c>
      <c r="C617" s="1">
        <v>147.28136212601899</v>
      </c>
      <c r="D617" s="32">
        <f t="shared" ca="1" si="80"/>
        <v>146.84227242520379</v>
      </c>
      <c r="E617" s="27"/>
      <c r="F617" s="27"/>
      <c r="G617" s="27"/>
      <c r="H617" s="10">
        <f t="shared" si="81"/>
        <v>0.1914028068156437</v>
      </c>
      <c r="I617" s="32">
        <f t="shared" si="82"/>
        <v>0.28136212601899047</v>
      </c>
      <c r="J617" s="10">
        <f t="shared" ca="1" si="83"/>
        <v>-7.0000000000000007E-2</v>
      </c>
      <c r="K617" s="10">
        <f t="shared" ca="1" si="84"/>
        <v>-1</v>
      </c>
      <c r="L617" s="10">
        <v>0.2</v>
      </c>
      <c r="M617" s="10">
        <f t="shared" ca="1" si="85"/>
        <v>-0.15772757479620192</v>
      </c>
      <c r="N617" s="10">
        <f t="shared" ca="1" si="86"/>
        <v>-0.10729766992939593</v>
      </c>
      <c r="O617" s="10">
        <f t="shared" ca="1" si="87"/>
        <v>2.4877987851091472E-2</v>
      </c>
    </row>
    <row r="618" spans="2:15">
      <c r="B618" s="13">
        <v>103</v>
      </c>
      <c r="C618" s="1">
        <v>114.575807086636</v>
      </c>
      <c r="D618" s="32">
        <f t="shared" ca="1" si="80"/>
        <v>105.0591614173272</v>
      </c>
      <c r="E618" s="27"/>
      <c r="F618" s="27"/>
      <c r="G618" s="27"/>
      <c r="H618" s="10">
        <f t="shared" si="81"/>
        <v>11.238647656928169</v>
      </c>
      <c r="I618" s="32">
        <f t="shared" si="82"/>
        <v>11.575807086636004</v>
      </c>
      <c r="J618" s="10">
        <f t="shared" ca="1" si="83"/>
        <v>-0.33</v>
      </c>
      <c r="K618" s="10">
        <f t="shared" ca="1" si="84"/>
        <v>-0.95</v>
      </c>
      <c r="L618" s="10">
        <v>0.2</v>
      </c>
      <c r="M618" s="10">
        <f t="shared" ca="1" si="85"/>
        <v>2.0591614173272013</v>
      </c>
      <c r="N618" s="10">
        <f t="shared" ca="1" si="86"/>
        <v>1.9991858420652431</v>
      </c>
      <c r="O618" s="10">
        <f t="shared" ca="1" si="87"/>
        <v>4.2401457426089681</v>
      </c>
    </row>
    <row r="619" spans="2:15">
      <c r="B619" s="13">
        <v>152</v>
      </c>
      <c r="C619" s="1">
        <v>160.65372034696301</v>
      </c>
      <c r="D619" s="32">
        <f t="shared" ca="1" si="80"/>
        <v>153.89274406939259</v>
      </c>
      <c r="E619" s="27"/>
      <c r="F619" s="27"/>
      <c r="G619" s="27"/>
      <c r="H619" s="10">
        <f t="shared" si="81"/>
        <v>5.6932370703703938</v>
      </c>
      <c r="I619" s="32">
        <f t="shared" si="82"/>
        <v>8.6537203469630128</v>
      </c>
      <c r="J619" s="10">
        <f t="shared" ca="1" si="83"/>
        <v>0.77</v>
      </c>
      <c r="K619" s="10">
        <f t="shared" ca="1" si="84"/>
        <v>0.04</v>
      </c>
      <c r="L619" s="10">
        <v>0.2</v>
      </c>
      <c r="M619" s="10">
        <f t="shared" ca="1" si="85"/>
        <v>1.8927440693926023</v>
      </c>
      <c r="N619" s="10">
        <f t="shared" ca="1" si="86"/>
        <v>1.2452263614424863</v>
      </c>
      <c r="O619" s="10">
        <f t="shared" ca="1" si="87"/>
        <v>3.582480112220868</v>
      </c>
    </row>
    <row r="620" spans="2:15">
      <c r="B620" s="13">
        <v>135</v>
      </c>
      <c r="C620" s="1">
        <v>146.66320186439799</v>
      </c>
      <c r="D620" s="32">
        <f t="shared" ca="1" si="80"/>
        <v>137.0806403728796</v>
      </c>
      <c r="E620" s="27"/>
      <c r="F620" s="27"/>
      <c r="G620" s="27"/>
      <c r="H620" s="10">
        <f t="shared" si="81"/>
        <v>8.6394087884429602</v>
      </c>
      <c r="I620" s="32">
        <f t="shared" si="82"/>
        <v>11.66320186439799</v>
      </c>
      <c r="J620" s="10">
        <f t="shared" ca="1" si="83"/>
        <v>-0.72</v>
      </c>
      <c r="K620" s="10">
        <f t="shared" ca="1" si="84"/>
        <v>-0.54</v>
      </c>
      <c r="L620" s="10">
        <v>0.2</v>
      </c>
      <c r="M620" s="10">
        <f t="shared" ca="1" si="85"/>
        <v>2.0806403728795977</v>
      </c>
      <c r="N620" s="10">
        <f t="shared" ca="1" si="86"/>
        <v>1.5412150910219191</v>
      </c>
      <c r="O620" s="10">
        <f t="shared" ca="1" si="87"/>
        <v>4.3290643612565516</v>
      </c>
    </row>
    <row r="621" spans="2:15">
      <c r="B621" s="13">
        <v>159</v>
      </c>
      <c r="C621" s="1">
        <v>158.11391267161301</v>
      </c>
      <c r="D621" s="32">
        <f t="shared" ca="1" si="80"/>
        <v>158.8847825343226</v>
      </c>
      <c r="E621" s="27"/>
      <c r="F621" s="27"/>
      <c r="G621" s="27"/>
      <c r="H621" s="10">
        <f t="shared" si="81"/>
        <v>-0.55728762791634745</v>
      </c>
      <c r="I621" s="32">
        <f t="shared" si="82"/>
        <v>-0.88608732838699211</v>
      </c>
      <c r="J621" s="10">
        <f t="shared" ca="1" si="83"/>
        <v>-0.39</v>
      </c>
      <c r="K621" s="10">
        <f t="shared" ca="1" si="84"/>
        <v>0.7</v>
      </c>
      <c r="L621" s="10">
        <v>0.2</v>
      </c>
      <c r="M621" s="10">
        <f t="shared" ca="1" si="85"/>
        <v>-0.11521746567739846</v>
      </c>
      <c r="N621" s="10">
        <f t="shared" ca="1" si="86"/>
        <v>-7.2463814891443601E-2</v>
      </c>
      <c r="O621" s="10">
        <f t="shared" ca="1" si="87"/>
        <v>1.3275064397122492E-2</v>
      </c>
    </row>
    <row r="622" spans="2:15">
      <c r="B622" s="13">
        <v>194</v>
      </c>
      <c r="C622" s="1">
        <v>202.849916332578</v>
      </c>
      <c r="D622" s="32">
        <f t="shared" ca="1" si="80"/>
        <v>195.8359832665156</v>
      </c>
      <c r="E622" s="27"/>
      <c r="F622" s="27"/>
      <c r="G622" s="27"/>
      <c r="H622" s="10">
        <f t="shared" si="81"/>
        <v>4.5618125425659795</v>
      </c>
      <c r="I622" s="32">
        <f t="shared" si="82"/>
        <v>8.8499163325780046</v>
      </c>
      <c r="J622" s="10">
        <f t="shared" ca="1" si="83"/>
        <v>0.35</v>
      </c>
      <c r="K622" s="10">
        <f t="shared" ca="1" si="84"/>
        <v>-0.02</v>
      </c>
      <c r="L622" s="10">
        <v>0.2</v>
      </c>
      <c r="M622" s="10">
        <f t="shared" ca="1" si="85"/>
        <v>1.8359832665156011</v>
      </c>
      <c r="N622" s="10">
        <f t="shared" ca="1" si="86"/>
        <v>0.94638312706989414</v>
      </c>
      <c r="O622" s="10">
        <f t="shared" ca="1" si="87"/>
        <v>3.3708345549252967</v>
      </c>
    </row>
    <row r="623" spans="2:15">
      <c r="B623" s="13">
        <v>189</v>
      </c>
      <c r="C623" s="1">
        <v>187.240164200941</v>
      </c>
      <c r="D623" s="32">
        <f t="shared" ca="1" si="80"/>
        <v>188.6440328401882</v>
      </c>
      <c r="E623" s="27"/>
      <c r="F623" s="27"/>
      <c r="G623" s="27"/>
      <c r="H623" s="10">
        <f t="shared" si="81"/>
        <v>-0.93113005241217683</v>
      </c>
      <c r="I623" s="32">
        <f t="shared" si="82"/>
        <v>-1.7598357990590046</v>
      </c>
      <c r="J623" s="10">
        <f t="shared" ca="1" si="83"/>
        <v>0.98</v>
      </c>
      <c r="K623" s="10">
        <f t="shared" ca="1" si="84"/>
        <v>-1</v>
      </c>
      <c r="L623" s="10">
        <v>0.2</v>
      </c>
      <c r="M623" s="10">
        <f t="shared" ca="1" si="85"/>
        <v>-0.35596715981180094</v>
      </c>
      <c r="N623" s="10">
        <f t="shared" ca="1" si="86"/>
        <v>-0.18834241259882978</v>
      </c>
      <c r="O623" s="10">
        <f t="shared" ca="1" si="87"/>
        <v>0.12671261886448024</v>
      </c>
    </row>
    <row r="624" spans="2:15">
      <c r="B624" s="13">
        <v>150</v>
      </c>
      <c r="C624" s="1">
        <v>148.520915504096</v>
      </c>
      <c r="D624" s="32">
        <f t="shared" ca="1" si="80"/>
        <v>149.49018310081919</v>
      </c>
      <c r="E624" s="27"/>
      <c r="F624" s="27"/>
      <c r="G624" s="27"/>
      <c r="H624" s="10">
        <f t="shared" si="81"/>
        <v>-0.98605633060266928</v>
      </c>
      <c r="I624" s="32">
        <f t="shared" si="82"/>
        <v>-1.4790844959040044</v>
      </c>
      <c r="J624" s="10">
        <f t="shared" ca="1" si="83"/>
        <v>-0.35</v>
      </c>
      <c r="K624" s="10">
        <f t="shared" ca="1" si="84"/>
        <v>-0.72</v>
      </c>
      <c r="L624" s="10">
        <v>0.2</v>
      </c>
      <c r="M624" s="10">
        <f t="shared" ca="1" si="85"/>
        <v>-0.50981689918080098</v>
      </c>
      <c r="N624" s="10">
        <f t="shared" ca="1" si="86"/>
        <v>-0.33987793278720257</v>
      </c>
      <c r="O624" s="10">
        <f t="shared" ca="1" si="87"/>
        <v>0.25991327069032699</v>
      </c>
    </row>
    <row r="625" spans="2:15">
      <c r="B625" s="13">
        <v>96</v>
      </c>
      <c r="C625" s="1">
        <v>105.757530065019</v>
      </c>
      <c r="D625" s="32">
        <f t="shared" ca="1" si="80"/>
        <v>98.019506013003806</v>
      </c>
      <c r="E625" s="27"/>
      <c r="F625" s="27"/>
      <c r="G625" s="27"/>
      <c r="H625" s="10">
        <f t="shared" si="81"/>
        <v>10.164093817728116</v>
      </c>
      <c r="I625" s="32">
        <f t="shared" si="82"/>
        <v>9.7575300650189973</v>
      </c>
      <c r="J625" s="10">
        <f t="shared" ca="1" si="83"/>
        <v>-0.19</v>
      </c>
      <c r="K625" s="10">
        <f t="shared" ca="1" si="84"/>
        <v>0.53</v>
      </c>
      <c r="L625" s="10">
        <v>0.2</v>
      </c>
      <c r="M625" s="10">
        <f t="shared" ca="1" si="85"/>
        <v>2.0195060130037996</v>
      </c>
      <c r="N625" s="10">
        <f t="shared" ca="1" si="86"/>
        <v>2.1036520968789718</v>
      </c>
      <c r="O625" s="10">
        <f t="shared" ca="1" si="87"/>
        <v>4.0784045365585024</v>
      </c>
    </row>
    <row r="626" spans="2:15">
      <c r="B626" s="13">
        <v>7</v>
      </c>
      <c r="C626" s="1">
        <v>7.7731692345207604</v>
      </c>
      <c r="D626" s="32">
        <f t="shared" ca="1" si="80"/>
        <v>7.1548538469041523</v>
      </c>
      <c r="E626" s="27"/>
      <c r="F626" s="27"/>
      <c r="G626" s="27"/>
      <c r="H626" s="10">
        <f t="shared" si="81"/>
        <v>11.045274778868009</v>
      </c>
      <c r="I626" s="32">
        <f t="shared" si="82"/>
        <v>0.77316923452076036</v>
      </c>
      <c r="J626" s="10">
        <f t="shared" ca="1" si="83"/>
        <v>-5.5999999999999999E-3</v>
      </c>
      <c r="K626" s="10">
        <f t="shared" ca="1" si="84"/>
        <v>6.7000000000000002E-3</v>
      </c>
      <c r="L626" s="10">
        <v>0.2</v>
      </c>
      <c r="M626" s="10">
        <f t="shared" ca="1" si="85"/>
        <v>0.15485384690415208</v>
      </c>
      <c r="N626" s="10">
        <f t="shared" ca="1" si="86"/>
        <v>2.212197812916461</v>
      </c>
      <c r="O626" s="10">
        <f t="shared" ca="1" si="87"/>
        <v>2.3979713901014568E-2</v>
      </c>
    </row>
    <row r="627" spans="2:15">
      <c r="B627" s="13">
        <v>175</v>
      </c>
      <c r="C627" s="1">
        <v>172.46885821785801</v>
      </c>
      <c r="D627" s="32">
        <f t="shared" ca="1" si="80"/>
        <v>174.40977164357162</v>
      </c>
      <c r="E627" s="27"/>
      <c r="F627" s="27"/>
      <c r="G627" s="27"/>
      <c r="H627" s="10">
        <f t="shared" si="81"/>
        <v>-1.4463667326525598</v>
      </c>
      <c r="I627" s="32">
        <f t="shared" si="82"/>
        <v>-2.5311417821419866</v>
      </c>
      <c r="J627" s="10">
        <f t="shared" ca="1" si="83"/>
        <v>-0.9</v>
      </c>
      <c r="K627" s="10">
        <f t="shared" ca="1" si="84"/>
        <v>0.48</v>
      </c>
      <c r="L627" s="10">
        <v>0.2</v>
      </c>
      <c r="M627" s="10">
        <f t="shared" ca="1" si="85"/>
        <v>-0.59022835642839733</v>
      </c>
      <c r="N627" s="10">
        <f t="shared" ca="1" si="86"/>
        <v>-0.33727334653050889</v>
      </c>
      <c r="O627" s="10">
        <f t="shared" ca="1" si="87"/>
        <v>0.34836951273216726</v>
      </c>
    </row>
    <row r="628" spans="2:15">
      <c r="B628" s="13">
        <v>149</v>
      </c>
      <c r="C628" s="1">
        <v>147.223220227958</v>
      </c>
      <c r="D628" s="32">
        <f t="shared" ca="1" si="80"/>
        <v>148.75464404559159</v>
      </c>
      <c r="E628" s="27"/>
      <c r="F628" s="27"/>
      <c r="G628" s="27"/>
      <c r="H628" s="10">
        <f t="shared" si="81"/>
        <v>-1.1924696456657724</v>
      </c>
      <c r="I628" s="32">
        <f t="shared" si="82"/>
        <v>-1.7767797720420049</v>
      </c>
      <c r="J628" s="10">
        <f t="shared" ca="1" si="83"/>
        <v>1</v>
      </c>
      <c r="K628" s="10">
        <f t="shared" ca="1" si="84"/>
        <v>-0.45</v>
      </c>
      <c r="L628" s="10">
        <v>0.2</v>
      </c>
      <c r="M628" s="10">
        <f t="shared" ca="1" si="85"/>
        <v>-0.24535595440840097</v>
      </c>
      <c r="N628" s="10">
        <f t="shared" ca="1" si="86"/>
        <v>-0.16466842577745888</v>
      </c>
      <c r="O628" s="10">
        <f t="shared" ca="1" si="87"/>
        <v>6.0199544363657334E-2</v>
      </c>
    </row>
    <row r="629" spans="2:15">
      <c r="B629" s="13">
        <v>129</v>
      </c>
      <c r="C629" s="1">
        <v>139.22429926733</v>
      </c>
      <c r="D629" s="32">
        <f t="shared" ca="1" si="80"/>
        <v>131.134859853466</v>
      </c>
      <c r="E629" s="27"/>
      <c r="F629" s="27"/>
      <c r="G629" s="27"/>
      <c r="H629" s="10">
        <f t="shared" si="81"/>
        <v>7.9258133855271362</v>
      </c>
      <c r="I629" s="32">
        <f t="shared" si="82"/>
        <v>10.224299267329997</v>
      </c>
      <c r="J629" s="10">
        <f t="shared" ca="1" si="83"/>
        <v>-0.51</v>
      </c>
      <c r="K629" s="10">
        <f t="shared" ca="1" si="84"/>
        <v>0.96</v>
      </c>
      <c r="L629" s="10">
        <v>0.2</v>
      </c>
      <c r="M629" s="10">
        <f t="shared" ca="1" si="85"/>
        <v>2.1348598534659993</v>
      </c>
      <c r="N629" s="10">
        <f t="shared" ca="1" si="86"/>
        <v>1.6549301189658916</v>
      </c>
      <c r="O629" s="10">
        <f t="shared" ca="1" si="87"/>
        <v>4.557626593940868</v>
      </c>
    </row>
    <row r="630" spans="2:15">
      <c r="B630" s="13">
        <v>172</v>
      </c>
      <c r="C630" s="1">
        <v>183.04251291606801</v>
      </c>
      <c r="D630" s="32">
        <f t="shared" ca="1" si="80"/>
        <v>174.27650258321361</v>
      </c>
      <c r="E630" s="27"/>
      <c r="F630" s="27"/>
      <c r="G630" s="27"/>
      <c r="H630" s="10">
        <f t="shared" si="81"/>
        <v>6.4200656488767383</v>
      </c>
      <c r="I630" s="32">
        <f t="shared" si="82"/>
        <v>11.042512916068006</v>
      </c>
      <c r="J630" s="10">
        <f t="shared" ca="1" si="83"/>
        <v>-0.15</v>
      </c>
      <c r="K630" s="10">
        <f t="shared" ca="1" si="84"/>
        <v>0.49</v>
      </c>
      <c r="L630" s="10">
        <v>0.2</v>
      </c>
      <c r="M630" s="10">
        <f t="shared" ca="1" si="85"/>
        <v>2.2765025832136012</v>
      </c>
      <c r="N630" s="10">
        <f t="shared" ca="1" si="86"/>
        <v>1.3235480134962785</v>
      </c>
      <c r="O630" s="10">
        <f t="shared" ca="1" si="87"/>
        <v>5.1824640113781992</v>
      </c>
    </row>
    <row r="631" spans="2:15">
      <c r="B631" s="13">
        <v>43</v>
      </c>
      <c r="C631" s="1">
        <v>44.114499327395698</v>
      </c>
      <c r="D631" s="32">
        <f t="shared" ca="1" si="80"/>
        <v>43.502899865479137</v>
      </c>
      <c r="E631" s="27"/>
      <c r="F631" s="27"/>
      <c r="G631" s="27"/>
      <c r="H631" s="10">
        <f t="shared" si="81"/>
        <v>2.5918589009202186</v>
      </c>
      <c r="I631" s="32">
        <f t="shared" si="82"/>
        <v>1.1144993273956985</v>
      </c>
      <c r="J631" s="10">
        <f t="shared" ca="1" si="83"/>
        <v>0.85</v>
      </c>
      <c r="K631" s="10">
        <f t="shared" ca="1" si="84"/>
        <v>0.55000000000000004</v>
      </c>
      <c r="L631" s="10">
        <v>0.2</v>
      </c>
      <c r="M631" s="10">
        <f t="shared" ca="1" si="85"/>
        <v>0.50289986547913978</v>
      </c>
      <c r="N631" s="10">
        <f t="shared" ca="1" si="86"/>
        <v>1.169534570881714</v>
      </c>
      <c r="O631" s="10">
        <f t="shared" ca="1" si="87"/>
        <v>0.2529082746989369</v>
      </c>
    </row>
    <row r="632" spans="2:15">
      <c r="B632" s="13">
        <v>87</v>
      </c>
      <c r="C632" s="1">
        <v>88.397466959583994</v>
      </c>
      <c r="D632" s="32">
        <f t="shared" ca="1" si="80"/>
        <v>87.027493391916792</v>
      </c>
      <c r="E632" s="27"/>
      <c r="F632" s="27"/>
      <c r="G632" s="27"/>
      <c r="H632" s="10">
        <f t="shared" si="81"/>
        <v>1.606283861590807</v>
      </c>
      <c r="I632" s="32">
        <f t="shared" si="82"/>
        <v>1.3974669595839941</v>
      </c>
      <c r="J632" s="10">
        <f t="shared" ca="1" si="83"/>
        <v>-0.33</v>
      </c>
      <c r="K632" s="10">
        <f t="shared" ca="1" si="84"/>
        <v>-0.93</v>
      </c>
      <c r="L632" s="10">
        <v>0.2</v>
      </c>
      <c r="M632" s="10">
        <f t="shared" ca="1" si="85"/>
        <v>2.7493391916798806E-2</v>
      </c>
      <c r="N632" s="10">
        <f t="shared" ca="1" si="86"/>
        <v>3.1601599904362843E-2</v>
      </c>
      <c r="O632" s="10">
        <f t="shared" ca="1" si="87"/>
        <v>7.5588659909069794E-4</v>
      </c>
    </row>
    <row r="633" spans="2:15">
      <c r="B633" s="13">
        <v>34</v>
      </c>
      <c r="C633" s="1">
        <v>44.475224246259103</v>
      </c>
      <c r="D633" s="32">
        <f t="shared" ca="1" si="80"/>
        <v>36.081044849251818</v>
      </c>
      <c r="E633" s="27"/>
      <c r="F633" s="27"/>
      <c r="G633" s="27"/>
      <c r="H633" s="10">
        <f t="shared" si="81"/>
        <v>30.809483077232656</v>
      </c>
      <c r="I633" s="32">
        <f t="shared" si="82"/>
        <v>10.475224246259103</v>
      </c>
      <c r="J633" s="10">
        <f t="shared" ca="1" si="83"/>
        <v>-0.44</v>
      </c>
      <c r="K633" s="10">
        <f t="shared" ca="1" si="84"/>
        <v>0.37</v>
      </c>
      <c r="L633" s="10">
        <v>0.2</v>
      </c>
      <c r="M633" s="10">
        <f t="shared" ca="1" si="85"/>
        <v>2.0810448492518208</v>
      </c>
      <c r="N633" s="10">
        <f t="shared" ca="1" si="86"/>
        <v>6.1207201448582937</v>
      </c>
      <c r="O633" s="10">
        <f t="shared" ca="1" si="87"/>
        <v>4.3307476645975331</v>
      </c>
    </row>
    <row r="634" spans="2:15">
      <c r="B634" s="13">
        <v>45</v>
      </c>
      <c r="C634" s="1">
        <v>44.462985364353401</v>
      </c>
      <c r="D634" s="32">
        <f t="shared" ca="1" si="80"/>
        <v>45.074597072870681</v>
      </c>
      <c r="E634" s="27"/>
      <c r="F634" s="27"/>
      <c r="G634" s="27"/>
      <c r="H634" s="10">
        <f t="shared" si="81"/>
        <v>-1.1933658569924455</v>
      </c>
      <c r="I634" s="32">
        <f t="shared" si="82"/>
        <v>-0.53701463564659946</v>
      </c>
      <c r="J634" s="10">
        <f t="shared" ca="1" si="83"/>
        <v>0.85</v>
      </c>
      <c r="K634" s="10">
        <f t="shared" ca="1" si="84"/>
        <v>0.06</v>
      </c>
      <c r="L634" s="10">
        <v>0.2</v>
      </c>
      <c r="M634" s="10">
        <f t="shared" ca="1" si="85"/>
        <v>7.4597072870680112E-2</v>
      </c>
      <c r="N634" s="10">
        <f t="shared" ca="1" si="86"/>
        <v>0.16577127304595596</v>
      </c>
      <c r="O634" s="10">
        <f t="shared" ca="1" si="87"/>
        <v>5.5647232808735585E-3</v>
      </c>
    </row>
    <row r="635" spans="2:15">
      <c r="B635" s="13">
        <v>80</v>
      </c>
      <c r="C635" s="1">
        <v>50.3716964565333</v>
      </c>
      <c r="D635" s="32">
        <f t="shared" ca="1" si="80"/>
        <v>74.218339291306663</v>
      </c>
      <c r="E635" s="27"/>
      <c r="F635" s="27"/>
      <c r="G635" s="27"/>
      <c r="H635" s="10">
        <f t="shared" si="81"/>
        <v>-37.035379429333368</v>
      </c>
      <c r="I635" s="32">
        <f t="shared" si="82"/>
        <v>-29.6283035434667</v>
      </c>
      <c r="J635" s="10">
        <f t="shared" ca="1" si="83"/>
        <v>0.53</v>
      </c>
      <c r="K635" s="10">
        <f t="shared" ca="1" si="84"/>
        <v>0.19</v>
      </c>
      <c r="L635" s="10">
        <v>0.2</v>
      </c>
      <c r="M635" s="10">
        <f t="shared" ca="1" si="85"/>
        <v>-5.78166070869334</v>
      </c>
      <c r="N635" s="10">
        <f t="shared" ca="1" si="86"/>
        <v>-7.2270758858666735</v>
      </c>
      <c r="O635" s="10">
        <f t="shared" ca="1" si="87"/>
        <v>33.427600550448375</v>
      </c>
    </row>
    <row r="636" spans="2:15">
      <c r="B636" s="13">
        <v>110</v>
      </c>
      <c r="C636" s="1">
        <v>109.501384656444</v>
      </c>
      <c r="D636" s="32">
        <f t="shared" ca="1" si="80"/>
        <v>109.6702769312888</v>
      </c>
      <c r="E636" s="27"/>
      <c r="F636" s="27"/>
      <c r="G636" s="27"/>
      <c r="H636" s="10">
        <f t="shared" si="81"/>
        <v>-0.45328667595999628</v>
      </c>
      <c r="I636" s="32">
        <f t="shared" si="82"/>
        <v>-0.49861534355599701</v>
      </c>
      <c r="J636" s="10">
        <f t="shared" ca="1" si="83"/>
        <v>-0.49</v>
      </c>
      <c r="K636" s="10">
        <f t="shared" ca="1" si="84"/>
        <v>-0.66</v>
      </c>
      <c r="L636" s="10">
        <v>0.2</v>
      </c>
      <c r="M636" s="10">
        <f t="shared" ca="1" si="85"/>
        <v>-0.32972306871119939</v>
      </c>
      <c r="N636" s="10">
        <f t="shared" ca="1" si="86"/>
        <v>-0.2997482442829158</v>
      </c>
      <c r="O636" s="10">
        <f t="shared" ca="1" si="87"/>
        <v>0.10871730204033031</v>
      </c>
    </row>
    <row r="637" spans="2:15">
      <c r="B637" s="13">
        <v>154</v>
      </c>
      <c r="C637" s="1">
        <v>153.93557139899301</v>
      </c>
      <c r="D637" s="32">
        <f t="shared" ca="1" si="80"/>
        <v>153.98711427979859</v>
      </c>
      <c r="E637" s="27"/>
      <c r="F637" s="27"/>
      <c r="G637" s="27"/>
      <c r="H637" s="10">
        <f t="shared" si="81"/>
        <v>-4.1836753900648116E-2</v>
      </c>
      <c r="I637" s="32">
        <f t="shared" si="82"/>
        <v>-6.4428601006994768E-2</v>
      </c>
      <c r="J637" s="10">
        <f t="shared" ca="1" si="83"/>
        <v>-0.23</v>
      </c>
      <c r="K637" s="10">
        <f t="shared" ca="1" si="84"/>
        <v>0.23</v>
      </c>
      <c r="L637" s="10">
        <v>0.2</v>
      </c>
      <c r="M637" s="10">
        <f t="shared" ca="1" si="85"/>
        <v>-1.2885720201398949E-2</v>
      </c>
      <c r="N637" s="10">
        <f t="shared" ca="1" si="86"/>
        <v>-8.3673507801362845E-3</v>
      </c>
      <c r="O637" s="10">
        <f t="shared" ca="1" si="87"/>
        <v>1.6604178510874098E-4</v>
      </c>
    </row>
    <row r="638" spans="2:15">
      <c r="B638" s="13">
        <v>52</v>
      </c>
      <c r="C638" s="1">
        <v>62.224748345197199</v>
      </c>
      <c r="D638" s="32">
        <f t="shared" ca="1" si="80"/>
        <v>53.926949669039438</v>
      </c>
      <c r="E638" s="27"/>
      <c r="F638" s="27"/>
      <c r="G638" s="27"/>
      <c r="H638" s="10">
        <f t="shared" si="81"/>
        <v>19.662977586917684</v>
      </c>
      <c r="I638" s="32">
        <f t="shared" si="82"/>
        <v>10.224748345197199</v>
      </c>
      <c r="J638" s="10">
        <f t="shared" ca="1" si="83"/>
        <v>-0.9</v>
      </c>
      <c r="K638" s="10">
        <f t="shared" ca="1" si="84"/>
        <v>0.31</v>
      </c>
      <c r="L638" s="10">
        <v>0.2</v>
      </c>
      <c r="M638" s="10">
        <f t="shared" ca="1" si="85"/>
        <v>1.9269496690394399</v>
      </c>
      <c r="N638" s="10">
        <f t="shared" ca="1" si="86"/>
        <v>3.7056724404604502</v>
      </c>
      <c r="O638" s="10">
        <f t="shared" ca="1" si="87"/>
        <v>3.7131350270112069</v>
      </c>
    </row>
    <row r="639" spans="2:15">
      <c r="B639" s="13">
        <v>170</v>
      </c>
      <c r="C639" s="1">
        <v>169.20212087694301</v>
      </c>
      <c r="D639" s="32">
        <f t="shared" ca="1" si="80"/>
        <v>169.7944241753886</v>
      </c>
      <c r="E639" s="27"/>
      <c r="F639" s="27"/>
      <c r="G639" s="27"/>
      <c r="H639" s="10">
        <f t="shared" si="81"/>
        <v>-0.46934066062175317</v>
      </c>
      <c r="I639" s="32">
        <f t="shared" si="82"/>
        <v>-0.79787912305698683</v>
      </c>
      <c r="J639" s="10">
        <f t="shared" ca="1" si="83"/>
        <v>-0.02</v>
      </c>
      <c r="K639" s="10">
        <f t="shared" ca="1" si="84"/>
        <v>-0.21</v>
      </c>
      <c r="L639" s="10">
        <v>0.2</v>
      </c>
      <c r="M639" s="10">
        <f t="shared" ca="1" si="85"/>
        <v>-0.20557582461139737</v>
      </c>
      <c r="N639" s="10">
        <f t="shared" ca="1" si="86"/>
        <v>-0.12092695565376621</v>
      </c>
      <c r="O639" s="10">
        <f t="shared" ca="1" si="87"/>
        <v>4.2261419664656012E-2</v>
      </c>
    </row>
    <row r="640" spans="2:15">
      <c r="B640" s="13">
        <v>215</v>
      </c>
      <c r="C640" s="1">
        <v>184.018739017505</v>
      </c>
      <c r="D640" s="32">
        <f t="shared" ca="1" si="80"/>
        <v>208.78574780350101</v>
      </c>
      <c r="E640" s="27"/>
      <c r="F640" s="27"/>
      <c r="G640" s="27"/>
      <c r="H640" s="10">
        <f t="shared" si="81"/>
        <v>-14.409888829067441</v>
      </c>
      <c r="I640" s="32">
        <f t="shared" si="82"/>
        <v>-30.981260982495002</v>
      </c>
      <c r="J640" s="10">
        <f t="shared" ca="1" si="83"/>
        <v>-0.69</v>
      </c>
      <c r="K640" s="10">
        <f t="shared" ca="1" si="84"/>
        <v>0.6</v>
      </c>
      <c r="L640" s="10">
        <v>0.2</v>
      </c>
      <c r="M640" s="10">
        <f t="shared" ca="1" si="85"/>
        <v>-6.2142521964990003</v>
      </c>
      <c r="N640" s="10">
        <f t="shared" ca="1" si="86"/>
        <v>-2.8903498588367382</v>
      </c>
      <c r="O640" s="10">
        <f t="shared" ca="1" si="87"/>
        <v>38.616930361692653</v>
      </c>
    </row>
    <row r="641" spans="2:15">
      <c r="B641" s="13">
        <v>67</v>
      </c>
      <c r="C641" s="1">
        <v>77.3073245019675</v>
      </c>
      <c r="D641" s="32">
        <f t="shared" ca="1" si="80"/>
        <v>69.351464900393495</v>
      </c>
      <c r="E641" s="27"/>
      <c r="F641" s="27"/>
      <c r="G641" s="27"/>
      <c r="H641" s="10">
        <f t="shared" si="81"/>
        <v>15.38406642084702</v>
      </c>
      <c r="I641" s="32">
        <f t="shared" si="82"/>
        <v>10.3073245019675</v>
      </c>
      <c r="J641" s="10">
        <f t="shared" ca="1" si="83"/>
        <v>0.56000000000000005</v>
      </c>
      <c r="K641" s="10">
        <f t="shared" ca="1" si="84"/>
        <v>0.89</v>
      </c>
      <c r="L641" s="10">
        <v>0.2</v>
      </c>
      <c r="M641" s="10">
        <f t="shared" ca="1" si="85"/>
        <v>2.3514649003935002</v>
      </c>
      <c r="N641" s="10">
        <f t="shared" ca="1" si="86"/>
        <v>3.509649105064927</v>
      </c>
      <c r="O641" s="10">
        <f t="shared" ca="1" si="87"/>
        <v>5.5293871777826142</v>
      </c>
    </row>
    <row r="642" spans="2:15">
      <c r="B642" s="13">
        <v>180</v>
      </c>
      <c r="C642" s="1">
        <v>179.255451037201</v>
      </c>
      <c r="D642" s="32">
        <f t="shared" ca="1" si="80"/>
        <v>179.8530902074402</v>
      </c>
      <c r="E642" s="27"/>
      <c r="F642" s="27"/>
      <c r="G642" s="27"/>
      <c r="H642" s="10">
        <f t="shared" si="81"/>
        <v>-0.41363831266610918</v>
      </c>
      <c r="I642" s="32">
        <f t="shared" si="82"/>
        <v>-0.7445489627990014</v>
      </c>
      <c r="J642" s="10">
        <f t="shared" ca="1" si="83"/>
        <v>0.03</v>
      </c>
      <c r="K642" s="10">
        <f t="shared" ca="1" si="84"/>
        <v>-0.02</v>
      </c>
      <c r="L642" s="10">
        <v>0.2</v>
      </c>
      <c r="M642" s="10">
        <f t="shared" ca="1" si="85"/>
        <v>-0.14690979255980027</v>
      </c>
      <c r="N642" s="10">
        <f t="shared" ca="1" si="86"/>
        <v>-8.1616551422114547E-2</v>
      </c>
      <c r="O642" s="10">
        <f t="shared" ca="1" si="87"/>
        <v>2.1582487149963546E-2</v>
      </c>
    </row>
    <row r="643" spans="2:15">
      <c r="B643" s="13">
        <v>101</v>
      </c>
      <c r="C643" s="1">
        <v>111.56572047677901</v>
      </c>
      <c r="D643" s="32">
        <f t="shared" ca="1" si="80"/>
        <v>103.0251440953558</v>
      </c>
      <c r="E643" s="27"/>
      <c r="F643" s="27"/>
      <c r="G643" s="27"/>
      <c r="H643" s="10">
        <f t="shared" si="81"/>
        <v>10.461109382949507</v>
      </c>
      <c r="I643" s="32">
        <f t="shared" si="82"/>
        <v>10.565720476779006</v>
      </c>
      <c r="J643" s="10">
        <f t="shared" ca="1" si="83"/>
        <v>-0.17</v>
      </c>
      <c r="K643" s="10">
        <f t="shared" ca="1" si="84"/>
        <v>-0.27</v>
      </c>
      <c r="L643" s="10">
        <v>0.2</v>
      </c>
      <c r="M643" s="10">
        <f t="shared" ca="1" si="85"/>
        <v>2.0251440953558015</v>
      </c>
      <c r="N643" s="10">
        <f t="shared" ca="1" si="86"/>
        <v>2.0050931637186187</v>
      </c>
      <c r="O643" s="10">
        <f t="shared" ca="1" si="87"/>
        <v>4.1012086069544678</v>
      </c>
    </row>
    <row r="644" spans="2:15">
      <c r="B644" s="13">
        <v>38</v>
      </c>
      <c r="C644" s="1">
        <v>38.5829374550311</v>
      </c>
      <c r="D644" s="32">
        <f t="shared" ca="1" si="80"/>
        <v>38.248587491006219</v>
      </c>
      <c r="E644" s="27"/>
      <c r="F644" s="27"/>
      <c r="G644" s="27"/>
      <c r="H644" s="10">
        <f t="shared" si="81"/>
        <v>1.5340459342923607</v>
      </c>
      <c r="I644" s="32">
        <f t="shared" si="82"/>
        <v>0.58293745503110017</v>
      </c>
      <c r="J644" s="10">
        <f t="shared" ca="1" si="83"/>
        <v>0.59</v>
      </c>
      <c r="K644" s="10">
        <f t="shared" ca="1" si="84"/>
        <v>7.0000000000000007E-2</v>
      </c>
      <c r="L644" s="10">
        <v>0.2</v>
      </c>
      <c r="M644" s="10">
        <f t="shared" ca="1" si="85"/>
        <v>0.24858749100622002</v>
      </c>
      <c r="N644" s="10">
        <f t="shared" ca="1" si="86"/>
        <v>0.65417760791111057</v>
      </c>
      <c r="O644" s="10">
        <f t="shared" ca="1" si="87"/>
        <v>6.1795740684767515E-2</v>
      </c>
    </row>
    <row r="645" spans="2:15">
      <c r="B645" s="13">
        <v>213</v>
      </c>
      <c r="C645" s="1">
        <v>212.163612991175</v>
      </c>
      <c r="D645" s="32">
        <f t="shared" ca="1" si="80"/>
        <v>212.94472259823499</v>
      </c>
      <c r="E645" s="27"/>
      <c r="F645" s="27"/>
      <c r="G645" s="27"/>
      <c r="H645" s="10">
        <f t="shared" si="81"/>
        <v>-0.39266995719483555</v>
      </c>
      <c r="I645" s="32">
        <f t="shared" si="82"/>
        <v>-0.83638700882499961</v>
      </c>
      <c r="J645" s="10">
        <f t="shared" ca="1" si="83"/>
        <v>-0.38</v>
      </c>
      <c r="K645" s="10">
        <f t="shared" ca="1" si="84"/>
        <v>0.94</v>
      </c>
      <c r="L645" s="10">
        <v>0.2</v>
      </c>
      <c r="M645" s="10">
        <f t="shared" ca="1" si="85"/>
        <v>-5.5277401764999914E-2</v>
      </c>
      <c r="N645" s="10">
        <f t="shared" ca="1" si="86"/>
        <v>-2.5951831814563509E-2</v>
      </c>
      <c r="O645" s="10">
        <f t="shared" ca="1" si="87"/>
        <v>3.0555911458892155E-3</v>
      </c>
    </row>
    <row r="646" spans="2:15">
      <c r="B646" s="13">
        <v>74</v>
      </c>
      <c r="C646" s="1">
        <v>73.711298089103906</v>
      </c>
      <c r="D646" s="32">
        <f t="shared" ca="1" si="80"/>
        <v>73.840259617820777</v>
      </c>
      <c r="E646" s="27"/>
      <c r="F646" s="27"/>
      <c r="G646" s="27"/>
      <c r="H646" s="10">
        <f t="shared" si="81"/>
        <v>-0.39013771742715253</v>
      </c>
      <c r="I646" s="32">
        <f t="shared" si="82"/>
        <v>-0.2887019108960942</v>
      </c>
      <c r="J646" s="10">
        <f t="shared" ca="1" si="83"/>
        <v>-0.14000000000000001</v>
      </c>
      <c r="K646" s="10">
        <f t="shared" ca="1" si="84"/>
        <v>-0.37</v>
      </c>
      <c r="L646" s="10">
        <v>0.2</v>
      </c>
      <c r="M646" s="10">
        <f t="shared" ca="1" si="85"/>
        <v>-0.15974038217921885</v>
      </c>
      <c r="N646" s="10">
        <f t="shared" ca="1" si="86"/>
        <v>-0.21586538132327693</v>
      </c>
      <c r="O646" s="10">
        <f t="shared" ca="1" si="87"/>
        <v>2.5516989698762899E-2</v>
      </c>
    </row>
    <row r="647" spans="2:15">
      <c r="B647" s="13">
        <v>164</v>
      </c>
      <c r="C647" s="1">
        <v>174.97138761027699</v>
      </c>
      <c r="D647" s="32">
        <f t="shared" ca="1" si="80"/>
        <v>166.26427752205541</v>
      </c>
      <c r="E647" s="27"/>
      <c r="F647" s="27"/>
      <c r="G647" s="27"/>
      <c r="H647" s="10">
        <f t="shared" si="81"/>
        <v>6.6898704940713261</v>
      </c>
      <c r="I647" s="32">
        <f t="shared" si="82"/>
        <v>10.971387610276992</v>
      </c>
      <c r="J647" s="10">
        <f t="shared" ca="1" si="83"/>
        <v>0.15</v>
      </c>
      <c r="K647" s="10">
        <f t="shared" ca="1" si="84"/>
        <v>0.2</v>
      </c>
      <c r="L647" s="10">
        <v>0.2</v>
      </c>
      <c r="M647" s="10">
        <f t="shared" ca="1" si="85"/>
        <v>2.2642775220553983</v>
      </c>
      <c r="N647" s="10">
        <f t="shared" ca="1" si="86"/>
        <v>1.3806570256435391</v>
      </c>
      <c r="O647" s="10">
        <f t="shared" ca="1" si="87"/>
        <v>5.1269526968853345</v>
      </c>
    </row>
    <row r="648" spans="2:15">
      <c r="B648" s="13">
        <v>191</v>
      </c>
      <c r="C648" s="1">
        <v>159.074062289198</v>
      </c>
      <c r="D648" s="32">
        <f t="shared" ca="1" si="80"/>
        <v>184.59481245783959</v>
      </c>
      <c r="E648" s="27"/>
      <c r="F648" s="27"/>
      <c r="G648" s="27"/>
      <c r="H648" s="10">
        <f t="shared" si="81"/>
        <v>-16.715150633927756</v>
      </c>
      <c r="I648" s="32">
        <f t="shared" si="82"/>
        <v>-31.925937710802003</v>
      </c>
      <c r="J648" s="10">
        <f t="shared" ca="1" si="83"/>
        <v>-0.86</v>
      </c>
      <c r="K648" s="10">
        <f t="shared" ca="1" si="84"/>
        <v>0.76</v>
      </c>
      <c r="L648" s="10">
        <v>0.2</v>
      </c>
      <c r="M648" s="10">
        <f t="shared" ca="1" si="85"/>
        <v>-6.4051875421604016</v>
      </c>
      <c r="N648" s="10">
        <f t="shared" ca="1" si="86"/>
        <v>-3.3535013309740291</v>
      </c>
      <c r="O648" s="10">
        <f t="shared" ca="1" si="87"/>
        <v>41.026427450246807</v>
      </c>
    </row>
    <row r="649" spans="2:15">
      <c r="B649" s="13">
        <v>83</v>
      </c>
      <c r="C649" s="1">
        <v>83.115017457843294</v>
      </c>
      <c r="D649" s="32">
        <f t="shared" ca="1" si="80"/>
        <v>82.659003491568654</v>
      </c>
      <c r="E649" s="27"/>
      <c r="F649" s="27"/>
      <c r="G649" s="27"/>
      <c r="H649" s="10">
        <f t="shared" si="81"/>
        <v>0.13857525041360841</v>
      </c>
      <c r="I649" s="32">
        <f t="shared" si="82"/>
        <v>0.11501745784329387</v>
      </c>
      <c r="J649" s="10">
        <f t="shared" ca="1" si="83"/>
        <v>-0.91</v>
      </c>
      <c r="K649" s="10">
        <f t="shared" ca="1" si="84"/>
        <v>-0.91</v>
      </c>
      <c r="L649" s="10">
        <v>0.2</v>
      </c>
      <c r="M649" s="10">
        <f t="shared" ca="1" si="85"/>
        <v>-0.34099650843134127</v>
      </c>
      <c r="N649" s="10">
        <f t="shared" ca="1" si="86"/>
        <v>-0.41083916678474885</v>
      </c>
      <c r="O649" s="10">
        <f t="shared" ca="1" si="87"/>
        <v>0.1162786187623658</v>
      </c>
    </row>
    <row r="650" spans="2:15">
      <c r="B650" s="13">
        <v>27</v>
      </c>
      <c r="C650" s="1">
        <v>-1.6891335947128401</v>
      </c>
      <c r="D650" s="32">
        <f t="shared" ca="1" si="80"/>
        <v>21.263873281057432</v>
      </c>
      <c r="E650" s="27"/>
      <c r="F650" s="27"/>
      <c r="G650" s="27"/>
      <c r="H650" s="10">
        <f t="shared" si="81"/>
        <v>-106.25605035078829</v>
      </c>
      <c r="I650" s="32">
        <f t="shared" si="82"/>
        <v>-28.689133594712839</v>
      </c>
      <c r="J650" s="10">
        <f t="shared" ca="1" si="83"/>
        <v>3.3E-3</v>
      </c>
      <c r="K650" s="10">
        <f t="shared" ca="1" si="84"/>
        <v>5.1999999999999998E-3</v>
      </c>
      <c r="L650" s="10">
        <v>0.2</v>
      </c>
      <c r="M650" s="10">
        <f t="shared" ca="1" si="85"/>
        <v>-5.7361267189425682</v>
      </c>
      <c r="N650" s="10">
        <f t="shared" ca="1" si="86"/>
        <v>-21.244913773861363</v>
      </c>
      <c r="O650" s="10">
        <f t="shared" ca="1" si="87"/>
        <v>32.903149735766831</v>
      </c>
    </row>
    <row r="651" spans="2:15">
      <c r="B651" s="13">
        <v>89</v>
      </c>
      <c r="C651" s="1">
        <v>100.176478193132</v>
      </c>
      <c r="D651" s="32">
        <f t="shared" ca="1" si="80"/>
        <v>91.401295638626394</v>
      </c>
      <c r="E651" s="27"/>
      <c r="F651" s="27"/>
      <c r="G651" s="27"/>
      <c r="H651" s="10">
        <f t="shared" si="81"/>
        <v>12.557840666440455</v>
      </c>
      <c r="I651" s="32">
        <f t="shared" si="82"/>
        <v>11.176478193131999</v>
      </c>
      <c r="J651" s="10">
        <f t="shared" ca="1" si="83"/>
        <v>0.61</v>
      </c>
      <c r="K651" s="10">
        <f t="shared" ca="1" si="84"/>
        <v>0.22</v>
      </c>
      <c r="L651" s="10">
        <v>0.2</v>
      </c>
      <c r="M651" s="10">
        <f t="shared" ca="1" si="85"/>
        <v>2.4012956386263999</v>
      </c>
      <c r="N651" s="10">
        <f t="shared" ca="1" si="86"/>
        <v>2.6980849872206614</v>
      </c>
      <c r="O651" s="10">
        <f t="shared" ca="1" si="87"/>
        <v>5.7662207440861701</v>
      </c>
    </row>
    <row r="652" spans="2:15">
      <c r="B652" s="13">
        <v>43</v>
      </c>
      <c r="C652" s="1">
        <v>14.634067716424999</v>
      </c>
      <c r="D652" s="32">
        <f t="shared" ca="1" si="80"/>
        <v>37.404813543285002</v>
      </c>
      <c r="E652" s="27"/>
      <c r="F652" s="27"/>
      <c r="G652" s="27"/>
      <c r="H652" s="10">
        <f t="shared" si="81"/>
        <v>-65.96728438040698</v>
      </c>
      <c r="I652" s="32">
        <f t="shared" si="82"/>
        <v>-28.365932283574999</v>
      </c>
      <c r="J652" s="10">
        <f t="shared" ca="1" si="83"/>
        <v>-0.31</v>
      </c>
      <c r="K652" s="10">
        <f t="shared" ca="1" si="84"/>
        <v>0.7</v>
      </c>
      <c r="L652" s="10">
        <v>0.2</v>
      </c>
      <c r="M652" s="10">
        <f t="shared" ca="1" si="85"/>
        <v>-5.595186456715</v>
      </c>
      <c r="N652" s="10">
        <f t="shared" ca="1" si="86"/>
        <v>-13.012061527244178</v>
      </c>
      <c r="O652" s="10">
        <f t="shared" ca="1" si="87"/>
        <v>31.306111485406959</v>
      </c>
    </row>
    <row r="653" spans="2:15">
      <c r="B653" s="13">
        <v>198</v>
      </c>
      <c r="C653" s="1">
        <v>208.69200352509799</v>
      </c>
      <c r="D653" s="32">
        <f t="shared" ca="1" si="80"/>
        <v>200.12040070501959</v>
      </c>
      <c r="E653" s="27"/>
      <c r="F653" s="27"/>
      <c r="G653" s="27"/>
      <c r="H653" s="10">
        <f t="shared" si="81"/>
        <v>5.4000017803525147</v>
      </c>
      <c r="I653" s="32">
        <f t="shared" si="82"/>
        <v>10.692003525097988</v>
      </c>
      <c r="J653" s="10">
        <f t="shared" ca="1" si="83"/>
        <v>-0.66</v>
      </c>
      <c r="K653" s="10">
        <f t="shared" ca="1" si="84"/>
        <v>0.56999999999999995</v>
      </c>
      <c r="L653" s="10">
        <v>0.2</v>
      </c>
      <c r="M653" s="10">
        <f t="shared" ca="1" si="85"/>
        <v>2.1204007050195979</v>
      </c>
      <c r="N653" s="10">
        <f t="shared" ca="1" si="86"/>
        <v>1.0709094469795843</v>
      </c>
      <c r="O653" s="10">
        <f t="shared" ca="1" si="87"/>
        <v>4.4960991498476082</v>
      </c>
    </row>
    <row r="654" spans="2:15">
      <c r="B654" s="13">
        <v>133</v>
      </c>
      <c r="C654" s="1">
        <v>133.83630233239899</v>
      </c>
      <c r="D654" s="32">
        <f t="shared" ca="1" si="80"/>
        <v>133.17126046647979</v>
      </c>
      <c r="E654" s="27"/>
      <c r="F654" s="27"/>
      <c r="G654" s="27"/>
      <c r="H654" s="10">
        <f t="shared" si="81"/>
        <v>0.62879874616466047</v>
      </c>
      <c r="I654" s="32">
        <f t="shared" si="82"/>
        <v>0.83630233239898644</v>
      </c>
      <c r="J654" s="10">
        <f t="shared" ca="1" si="83"/>
        <v>0.7</v>
      </c>
      <c r="K654" s="10">
        <f t="shared" ca="1" si="84"/>
        <v>-0.68</v>
      </c>
      <c r="L654" s="10">
        <v>0.2</v>
      </c>
      <c r="M654" s="10">
        <f t="shared" ca="1" si="85"/>
        <v>0.17126046647979729</v>
      </c>
      <c r="N654" s="10">
        <f t="shared" ca="1" si="86"/>
        <v>0.12876726802992788</v>
      </c>
      <c r="O654" s="10">
        <f t="shared" ca="1" si="87"/>
        <v>2.933014737887777E-2</v>
      </c>
    </row>
    <row r="655" spans="2:15">
      <c r="B655" s="13">
        <v>131</v>
      </c>
      <c r="C655" s="1">
        <v>103.200842320753</v>
      </c>
      <c r="D655" s="32">
        <f t="shared" ca="1" si="80"/>
        <v>125.5681684641506</v>
      </c>
      <c r="E655" s="27"/>
      <c r="F655" s="27"/>
      <c r="G655" s="27"/>
      <c r="H655" s="10">
        <f t="shared" si="81"/>
        <v>-21.220731052860309</v>
      </c>
      <c r="I655" s="32">
        <f t="shared" si="82"/>
        <v>-27.799157679247003</v>
      </c>
      <c r="J655" s="10">
        <f t="shared" ca="1" si="83"/>
        <v>0.39</v>
      </c>
      <c r="K655" s="10">
        <f t="shared" ca="1" si="84"/>
        <v>0.25</v>
      </c>
      <c r="L655" s="10">
        <v>0.2</v>
      </c>
      <c r="M655" s="10">
        <f t="shared" ca="1" si="85"/>
        <v>-5.4318315358494011</v>
      </c>
      <c r="N655" s="10">
        <f t="shared" ca="1" si="86"/>
        <v>-4.1464362869079396</v>
      </c>
      <c r="O655" s="10">
        <f t="shared" ca="1" si="87"/>
        <v>29.504793833848066</v>
      </c>
    </row>
    <row r="656" spans="2:15">
      <c r="B656" s="13">
        <v>30</v>
      </c>
      <c r="C656" s="1">
        <v>41.896709692068697</v>
      </c>
      <c r="D656" s="32">
        <f t="shared" ca="1" si="80"/>
        <v>32.215341938413737</v>
      </c>
      <c r="E656" s="27"/>
      <c r="F656" s="27"/>
      <c r="G656" s="27"/>
      <c r="H656" s="10">
        <f t="shared" si="81"/>
        <v>39.655698973562316</v>
      </c>
      <c r="I656" s="32">
        <f t="shared" si="82"/>
        <v>11.896709692068697</v>
      </c>
      <c r="J656" s="10">
        <f t="shared" ca="1" si="83"/>
        <v>0.13</v>
      </c>
      <c r="K656" s="10">
        <f t="shared" ca="1" si="84"/>
        <v>-0.95</v>
      </c>
      <c r="L656" s="10">
        <v>0.2</v>
      </c>
      <c r="M656" s="10">
        <f t="shared" ca="1" si="85"/>
        <v>2.2153419384137396</v>
      </c>
      <c r="N656" s="10">
        <f t="shared" ca="1" si="86"/>
        <v>7.3844731280457987</v>
      </c>
      <c r="O656" s="10">
        <f t="shared" ca="1" si="87"/>
        <v>4.9077399040947451</v>
      </c>
    </row>
    <row r="657" spans="2:15">
      <c r="B657" s="13">
        <v>37</v>
      </c>
      <c r="C657" s="1">
        <v>38.5477310253696</v>
      </c>
      <c r="D657" s="32">
        <f t="shared" ca="1" si="80"/>
        <v>37.317546205073917</v>
      </c>
      <c r="E657" s="27"/>
      <c r="F657" s="27"/>
      <c r="G657" s="27"/>
      <c r="H657" s="10">
        <f t="shared" si="81"/>
        <v>4.1830568253232503</v>
      </c>
      <c r="I657" s="32">
        <f t="shared" si="82"/>
        <v>1.5477310253696004</v>
      </c>
      <c r="J657" s="10">
        <f t="shared" ca="1" si="83"/>
        <v>-0.5</v>
      </c>
      <c r="K657" s="10">
        <f t="shared" ca="1" si="84"/>
        <v>0.54</v>
      </c>
      <c r="L657" s="10">
        <v>0.2</v>
      </c>
      <c r="M657" s="10">
        <f t="shared" ca="1" si="85"/>
        <v>0.31754620507392012</v>
      </c>
      <c r="N657" s="10">
        <f t="shared" ca="1" si="86"/>
        <v>0.85823298668625814</v>
      </c>
      <c r="O657" s="10">
        <f t="shared" ca="1" si="87"/>
        <v>0.10083559235684814</v>
      </c>
    </row>
    <row r="658" spans="2:15">
      <c r="B658" s="13">
        <v>48</v>
      </c>
      <c r="C658" s="1">
        <v>17.496324540119499</v>
      </c>
      <c r="D658" s="32">
        <f t="shared" ref="D658:D682" ca="1" si="88">B658+M658</f>
        <v>42.177264908023901</v>
      </c>
      <c r="E658" s="27"/>
      <c r="F658" s="27"/>
      <c r="G658" s="27"/>
      <c r="H658" s="10">
        <f t="shared" ref="H658:H682" si="89">((C658/B658)-1)*100</f>
        <v>-63.549323874751053</v>
      </c>
      <c r="I658" s="32">
        <f t="shared" ref="I658:I682" si="90">C658-B658</f>
        <v>-30.503675459880501</v>
      </c>
      <c r="J658" s="10">
        <f t="shared" ref="J658:J682" ca="1" si="91">IF(B658 &lt; 30, RANDBETWEEN(-100, 100) / 10000, RANDBETWEEN(-100,100) / 100)</f>
        <v>0.9</v>
      </c>
      <c r="K658" s="10">
        <f t="shared" ref="K658:K682" ca="1" si="92">IF(B658 &lt; 30, RANDBETWEEN(-100, 100) / 10000, RANDBETWEEN(-100,100) / 100)</f>
        <v>0.49</v>
      </c>
      <c r="L658" s="10">
        <v>0.2</v>
      </c>
      <c r="M658" s="10">
        <f t="shared" ref="M658:M682" ca="1" si="93">(I658+J658+K658)*L658</f>
        <v>-5.8227350919761012</v>
      </c>
      <c r="N658" s="10">
        <f t="shared" ref="N658:N682" ca="1" si="94">((D658/B658)-1)*100</f>
        <v>-12.130698108283545</v>
      </c>
      <c r="O658" s="10">
        <f t="shared" ref="O658:O682" ca="1" si="95">M658^2</f>
        <v>33.904243951329939</v>
      </c>
    </row>
    <row r="659" spans="2:15">
      <c r="B659" s="13">
        <v>230</v>
      </c>
      <c r="C659" s="1">
        <v>199.42043457082201</v>
      </c>
      <c r="D659" s="32">
        <f t="shared" ca="1" si="88"/>
        <v>223.97208691416441</v>
      </c>
      <c r="E659" s="27"/>
      <c r="F659" s="27"/>
      <c r="G659" s="27"/>
      <c r="H659" s="10">
        <f t="shared" si="89"/>
        <v>-13.295463230077386</v>
      </c>
      <c r="I659" s="32">
        <f t="shared" si="90"/>
        <v>-30.57956542917799</v>
      </c>
      <c r="J659" s="10">
        <f t="shared" ca="1" si="91"/>
        <v>-0.28999999999999998</v>
      </c>
      <c r="K659" s="10">
        <f t="shared" ca="1" si="92"/>
        <v>0.73</v>
      </c>
      <c r="L659" s="10">
        <v>0.2</v>
      </c>
      <c r="M659" s="10">
        <f t="shared" ca="1" si="93"/>
        <v>-6.027913085835598</v>
      </c>
      <c r="N659" s="10">
        <f t="shared" ca="1" si="94"/>
        <v>-2.6208317764502609</v>
      </c>
      <c r="O659" s="10">
        <f t="shared" ca="1" si="95"/>
        <v>36.335736170388039</v>
      </c>
    </row>
    <row r="660" spans="2:15">
      <c r="B660" s="13">
        <v>153</v>
      </c>
      <c r="C660" s="1">
        <v>123.092540933596</v>
      </c>
      <c r="D660" s="32">
        <f t="shared" ca="1" si="88"/>
        <v>147.12650818671921</v>
      </c>
      <c r="E660" s="27"/>
      <c r="F660" s="27"/>
      <c r="G660" s="27"/>
      <c r="H660" s="10">
        <f t="shared" si="89"/>
        <v>-19.547358866930718</v>
      </c>
      <c r="I660" s="32">
        <f t="shared" si="90"/>
        <v>-29.907459066404002</v>
      </c>
      <c r="J660" s="10">
        <f t="shared" ca="1" si="91"/>
        <v>0.26</v>
      </c>
      <c r="K660" s="10">
        <f t="shared" ca="1" si="92"/>
        <v>0.28000000000000003</v>
      </c>
      <c r="L660" s="10">
        <v>0.2</v>
      </c>
      <c r="M660" s="10">
        <f t="shared" ca="1" si="93"/>
        <v>-5.8734918132808005</v>
      </c>
      <c r="N660" s="10">
        <f t="shared" ca="1" si="94"/>
        <v>-3.8388835380920194</v>
      </c>
      <c r="O660" s="10">
        <f t="shared" ca="1" si="95"/>
        <v>34.497906080676586</v>
      </c>
    </row>
    <row r="661" spans="2:15">
      <c r="B661" s="13">
        <v>178</v>
      </c>
      <c r="C661" s="1">
        <v>176.64778660606399</v>
      </c>
      <c r="D661" s="32">
        <f t="shared" ca="1" si="88"/>
        <v>177.72355732121281</v>
      </c>
      <c r="E661" s="27"/>
      <c r="F661" s="27"/>
      <c r="G661" s="27"/>
      <c r="H661" s="10">
        <f t="shared" si="89"/>
        <v>-0.75967044603146849</v>
      </c>
      <c r="I661" s="32">
        <f t="shared" si="90"/>
        <v>-1.3522133939360117</v>
      </c>
      <c r="J661" s="10">
        <f t="shared" ca="1" si="91"/>
        <v>0.3</v>
      </c>
      <c r="K661" s="10">
        <f t="shared" ca="1" si="92"/>
        <v>-0.33</v>
      </c>
      <c r="L661" s="10">
        <v>0.2</v>
      </c>
      <c r="M661" s="10">
        <f t="shared" ca="1" si="93"/>
        <v>-0.27644267878720236</v>
      </c>
      <c r="N661" s="10">
        <f t="shared" ca="1" si="94"/>
        <v>-0.155304875723139</v>
      </c>
      <c r="O661" s="10">
        <f t="shared" ca="1" si="95"/>
        <v>7.642055465504434E-2</v>
      </c>
    </row>
    <row r="662" spans="2:15">
      <c r="B662" s="13">
        <v>158</v>
      </c>
      <c r="C662" s="1">
        <v>128.24048082407401</v>
      </c>
      <c r="D662" s="32">
        <f t="shared" ca="1" si="88"/>
        <v>152.0820961648148</v>
      </c>
      <c r="E662" s="27"/>
      <c r="F662" s="27"/>
      <c r="G662" s="27"/>
      <c r="H662" s="10">
        <f t="shared" si="89"/>
        <v>-18.835138718940502</v>
      </c>
      <c r="I662" s="32">
        <f t="shared" si="90"/>
        <v>-29.759519175925988</v>
      </c>
      <c r="J662" s="10">
        <f t="shared" ca="1" si="91"/>
        <v>0.22</v>
      </c>
      <c r="K662" s="10">
        <f t="shared" ca="1" si="92"/>
        <v>-0.05</v>
      </c>
      <c r="L662" s="10">
        <v>0.2</v>
      </c>
      <c r="M662" s="10">
        <f t="shared" ca="1" si="93"/>
        <v>-5.9179038351851982</v>
      </c>
      <c r="N662" s="10">
        <f t="shared" ca="1" si="94"/>
        <v>-3.7455087564463252</v>
      </c>
      <c r="O662" s="10">
        <f t="shared" ca="1" si="95"/>
        <v>35.021585802499679</v>
      </c>
    </row>
    <row r="663" spans="2:15">
      <c r="B663" s="13">
        <v>111</v>
      </c>
      <c r="C663" s="1">
        <v>110.327482003131</v>
      </c>
      <c r="D663" s="32">
        <f t="shared" ca="1" si="88"/>
        <v>110.7854964006262</v>
      </c>
      <c r="E663" s="27"/>
      <c r="F663" s="27"/>
      <c r="G663" s="27"/>
      <c r="H663" s="10">
        <f t="shared" si="89"/>
        <v>-0.60587206925135639</v>
      </c>
      <c r="I663" s="32">
        <f t="shared" si="90"/>
        <v>-0.67251799686900426</v>
      </c>
      <c r="J663" s="10">
        <f t="shared" ca="1" si="91"/>
        <v>0.39</v>
      </c>
      <c r="K663" s="10">
        <f t="shared" ca="1" si="92"/>
        <v>-0.79</v>
      </c>
      <c r="L663" s="10">
        <v>0.2</v>
      </c>
      <c r="M663" s="10">
        <f t="shared" ca="1" si="93"/>
        <v>-0.21450359937380084</v>
      </c>
      <c r="N663" s="10">
        <f t="shared" ca="1" si="94"/>
        <v>-0.19324648592233817</v>
      </c>
      <c r="O663" s="10">
        <f t="shared" ca="1" si="95"/>
        <v>4.6011794144316054E-2</v>
      </c>
    </row>
    <row r="664" spans="2:15">
      <c r="B664" s="13">
        <v>47</v>
      </c>
      <c r="C664" s="1">
        <v>58.432366140365097</v>
      </c>
      <c r="D664" s="32">
        <f t="shared" ca="1" si="88"/>
        <v>49.164473228073021</v>
      </c>
      <c r="E664" s="27"/>
      <c r="F664" s="27"/>
      <c r="G664" s="27"/>
      <c r="H664" s="10">
        <f t="shared" si="89"/>
        <v>24.324183277372558</v>
      </c>
      <c r="I664" s="32">
        <f t="shared" si="90"/>
        <v>11.432366140365097</v>
      </c>
      <c r="J664" s="10">
        <f t="shared" ca="1" si="91"/>
        <v>0.17</v>
      </c>
      <c r="K664" s="10">
        <f t="shared" ca="1" si="92"/>
        <v>-0.78</v>
      </c>
      <c r="L664" s="10">
        <v>0.2</v>
      </c>
      <c r="M664" s="10">
        <f t="shared" ca="1" si="93"/>
        <v>2.1644732280730197</v>
      </c>
      <c r="N664" s="10">
        <f t="shared" ca="1" si="94"/>
        <v>4.605262187389414</v>
      </c>
      <c r="O664" s="10">
        <f t="shared" ca="1" si="95"/>
        <v>4.6849443550448386</v>
      </c>
    </row>
    <row r="665" spans="2:15">
      <c r="B665" s="13">
        <v>163</v>
      </c>
      <c r="C665" s="1">
        <v>162.30568014944899</v>
      </c>
      <c r="D665" s="32">
        <f t="shared" ca="1" si="88"/>
        <v>162.79313602988981</v>
      </c>
      <c r="E665" s="27"/>
      <c r="F665" s="27"/>
      <c r="G665" s="27"/>
      <c r="H665" s="10">
        <f t="shared" si="89"/>
        <v>-0.42596309849755043</v>
      </c>
      <c r="I665" s="32">
        <f t="shared" si="90"/>
        <v>-0.69431985055101109</v>
      </c>
      <c r="J665" s="10">
        <f t="shared" ca="1" si="91"/>
        <v>0.17</v>
      </c>
      <c r="K665" s="10">
        <f t="shared" ca="1" si="92"/>
        <v>-0.51</v>
      </c>
      <c r="L665" s="10">
        <v>0.2</v>
      </c>
      <c r="M665" s="10">
        <f t="shared" ca="1" si="93"/>
        <v>-0.20686397011020219</v>
      </c>
      <c r="N665" s="10">
        <f t="shared" ca="1" si="94"/>
        <v>-0.1269104111105479</v>
      </c>
      <c r="O665" s="10">
        <f t="shared" ca="1" si="95"/>
        <v>4.2792702129754626E-2</v>
      </c>
    </row>
    <row r="666" spans="2:15">
      <c r="B666" s="13">
        <v>8</v>
      </c>
      <c r="C666" s="1">
        <v>10.613491321807301</v>
      </c>
      <c r="D666" s="32">
        <f t="shared" ca="1" si="88"/>
        <v>8.5259382643614607</v>
      </c>
      <c r="E666" s="27"/>
      <c r="F666" s="27"/>
      <c r="G666" s="27"/>
      <c r="H666" s="10">
        <f t="shared" si="89"/>
        <v>32.668641522591258</v>
      </c>
      <c r="I666" s="32">
        <f t="shared" si="90"/>
        <v>2.6134913218073006</v>
      </c>
      <c r="J666" s="10">
        <f t="shared" ca="1" si="91"/>
        <v>7.1999999999999998E-3</v>
      </c>
      <c r="K666" s="10">
        <f t="shared" ca="1" si="92"/>
        <v>8.9999999999999993E-3</v>
      </c>
      <c r="L666" s="10">
        <v>0.2</v>
      </c>
      <c r="M666" s="10">
        <f t="shared" ca="1" si="93"/>
        <v>0.52593826436146018</v>
      </c>
      <c r="N666" s="10">
        <f t="shared" ca="1" si="94"/>
        <v>6.5742283045182592</v>
      </c>
      <c r="O666" s="10">
        <f t="shared" ca="1" si="95"/>
        <v>0.27661105791954516</v>
      </c>
    </row>
    <row r="667" spans="2:15">
      <c r="B667" s="13">
        <v>130</v>
      </c>
      <c r="C667" s="1">
        <v>139.54633532294901</v>
      </c>
      <c r="D667" s="32">
        <f t="shared" ca="1" si="88"/>
        <v>132.17926706458979</v>
      </c>
      <c r="E667" s="27"/>
      <c r="F667" s="27"/>
      <c r="G667" s="27"/>
      <c r="H667" s="10">
        <f t="shared" si="89"/>
        <v>7.3433348638069162</v>
      </c>
      <c r="I667" s="32">
        <f t="shared" si="90"/>
        <v>9.5463353229490053</v>
      </c>
      <c r="J667" s="10">
        <f t="shared" ca="1" si="91"/>
        <v>0.69</v>
      </c>
      <c r="K667" s="10">
        <f t="shared" ca="1" si="92"/>
        <v>0.66</v>
      </c>
      <c r="L667" s="10">
        <v>0.2</v>
      </c>
      <c r="M667" s="10">
        <f t="shared" ca="1" si="93"/>
        <v>2.1792670645898009</v>
      </c>
      <c r="N667" s="10">
        <f t="shared" ca="1" si="94"/>
        <v>1.6763592804536875</v>
      </c>
      <c r="O667" s="10">
        <f t="shared" ca="1" si="95"/>
        <v>4.749204938805847</v>
      </c>
    </row>
    <row r="668" spans="2:15">
      <c r="B668" s="13">
        <v>138</v>
      </c>
      <c r="C668" s="1">
        <v>149.45826263312401</v>
      </c>
      <c r="D668" s="32">
        <f t="shared" ca="1" si="88"/>
        <v>140.01565252662479</v>
      </c>
      <c r="E668" s="27"/>
      <c r="F668" s="27"/>
      <c r="G668" s="27"/>
      <c r="H668" s="10">
        <f t="shared" si="89"/>
        <v>8.3030888645826195</v>
      </c>
      <c r="I668" s="32">
        <f t="shared" si="90"/>
        <v>11.458262633124008</v>
      </c>
      <c r="J668" s="10">
        <f t="shared" ca="1" si="91"/>
        <v>-0.83</v>
      </c>
      <c r="K668" s="10">
        <f t="shared" ca="1" si="92"/>
        <v>-0.55000000000000004</v>
      </c>
      <c r="L668" s="10">
        <v>0.2</v>
      </c>
      <c r="M668" s="10">
        <f t="shared" ca="1" si="93"/>
        <v>2.0156525266248013</v>
      </c>
      <c r="N668" s="10">
        <f t="shared" ca="1" si="94"/>
        <v>1.460617772916506</v>
      </c>
      <c r="O668" s="10">
        <f t="shared" ca="1" si="95"/>
        <v>4.0628551080889457</v>
      </c>
    </row>
    <row r="669" spans="2:15">
      <c r="B669" s="13">
        <v>93</v>
      </c>
      <c r="C669" s="1">
        <v>64.298198823104698</v>
      </c>
      <c r="D669" s="32">
        <f t="shared" ca="1" si="88"/>
        <v>87.273639764620938</v>
      </c>
      <c r="E669" s="27"/>
      <c r="F669" s="27"/>
      <c r="G669" s="27"/>
      <c r="H669" s="10">
        <f t="shared" si="89"/>
        <v>-30.862151803113225</v>
      </c>
      <c r="I669" s="32">
        <f t="shared" si="90"/>
        <v>-28.701801176895302</v>
      </c>
      <c r="J669" s="10">
        <f t="shared" ca="1" si="91"/>
        <v>-0.66</v>
      </c>
      <c r="K669" s="10">
        <f t="shared" ca="1" si="92"/>
        <v>0.73</v>
      </c>
      <c r="L669" s="10">
        <v>0.2</v>
      </c>
      <c r="M669" s="10">
        <f t="shared" ca="1" si="93"/>
        <v>-5.7263602353790608</v>
      </c>
      <c r="N669" s="10">
        <f t="shared" ca="1" si="94"/>
        <v>-6.1573765971817851</v>
      </c>
      <c r="O669" s="10">
        <f t="shared" ca="1" si="95"/>
        <v>32.79120154533053</v>
      </c>
    </row>
    <row r="670" spans="2:15">
      <c r="B670" s="13">
        <v>127</v>
      </c>
      <c r="C670" s="1">
        <v>96.883662931101298</v>
      </c>
      <c r="D670" s="32">
        <f t="shared" ca="1" si="88"/>
        <v>120.96473258622026</v>
      </c>
      <c r="E670" s="27"/>
      <c r="F670" s="27"/>
      <c r="G670" s="27"/>
      <c r="H670" s="10">
        <f t="shared" si="89"/>
        <v>-23.713651235353307</v>
      </c>
      <c r="I670" s="32">
        <f t="shared" si="90"/>
        <v>-30.116337068898702</v>
      </c>
      <c r="J670" s="10">
        <f t="shared" ca="1" si="91"/>
        <v>-0.98</v>
      </c>
      <c r="K670" s="10">
        <f t="shared" ca="1" si="92"/>
        <v>0.92</v>
      </c>
      <c r="L670" s="10">
        <v>0.2</v>
      </c>
      <c r="M670" s="10">
        <f t="shared" ca="1" si="93"/>
        <v>-6.0352674137797404</v>
      </c>
      <c r="N670" s="10">
        <f t="shared" ca="1" si="94"/>
        <v>-4.7521790659682983</v>
      </c>
      <c r="O670" s="10">
        <f t="shared" ca="1" si="95"/>
        <v>36.424452755831595</v>
      </c>
    </row>
    <row r="671" spans="2:15">
      <c r="B671" s="13">
        <v>156</v>
      </c>
      <c r="C671" s="1">
        <v>127.401227436086</v>
      </c>
      <c r="D671" s="32">
        <f t="shared" ca="1" si="88"/>
        <v>150.4582454872172</v>
      </c>
      <c r="E671" s="27"/>
      <c r="F671" s="27"/>
      <c r="G671" s="27"/>
      <c r="H671" s="10">
        <f t="shared" si="89"/>
        <v>-18.332546515329483</v>
      </c>
      <c r="I671" s="32">
        <f t="shared" si="90"/>
        <v>-28.598772563913997</v>
      </c>
      <c r="J671" s="10">
        <f t="shared" ca="1" si="91"/>
        <v>0.92</v>
      </c>
      <c r="K671" s="10">
        <f t="shared" ca="1" si="92"/>
        <v>-0.03</v>
      </c>
      <c r="L671" s="10">
        <v>0.2</v>
      </c>
      <c r="M671" s="10">
        <f t="shared" ca="1" si="93"/>
        <v>-5.5417545127827994</v>
      </c>
      <c r="N671" s="10">
        <f t="shared" ca="1" si="94"/>
        <v>-3.5524067389633318</v>
      </c>
      <c r="O671" s="10">
        <f t="shared" ca="1" si="95"/>
        <v>30.711043079948521</v>
      </c>
    </row>
    <row r="672" spans="2:15">
      <c r="B672" s="13">
        <v>86</v>
      </c>
      <c r="C672" s="1">
        <v>86.458184077558201</v>
      </c>
      <c r="D672" s="32">
        <f t="shared" ca="1" si="88"/>
        <v>86.431636815511638</v>
      </c>
      <c r="E672" s="27"/>
      <c r="F672" s="27"/>
      <c r="G672" s="27"/>
      <c r="H672" s="10">
        <f t="shared" si="89"/>
        <v>0.53277218320721964</v>
      </c>
      <c r="I672" s="32">
        <f t="shared" si="90"/>
        <v>0.4581840775582009</v>
      </c>
      <c r="J672" s="10">
        <f t="shared" ca="1" si="91"/>
        <v>0.98</v>
      </c>
      <c r="K672" s="10">
        <f t="shared" ca="1" si="92"/>
        <v>0.72</v>
      </c>
      <c r="L672" s="10">
        <v>0.2</v>
      </c>
      <c r="M672" s="10">
        <f t="shared" ca="1" si="93"/>
        <v>0.43163681551164024</v>
      </c>
      <c r="N672" s="10">
        <f t="shared" ca="1" si="94"/>
        <v>0.50190327385073452</v>
      </c>
      <c r="O672" s="10">
        <f t="shared" ca="1" si="95"/>
        <v>0.18631034050502976</v>
      </c>
    </row>
    <row r="673" spans="2:15">
      <c r="B673" s="13">
        <v>195</v>
      </c>
      <c r="C673" s="1">
        <v>194.80104899972201</v>
      </c>
      <c r="D673" s="32">
        <f t="shared" ca="1" si="88"/>
        <v>195.0242097999444</v>
      </c>
      <c r="E673" s="27"/>
      <c r="F673" s="27"/>
      <c r="G673" s="27"/>
      <c r="H673" s="10">
        <f t="shared" si="89"/>
        <v>-0.10202615398871018</v>
      </c>
      <c r="I673" s="32">
        <f t="shared" si="90"/>
        <v>-0.19895100027798662</v>
      </c>
      <c r="J673" s="10">
        <f t="shared" ca="1" si="91"/>
        <v>0.55000000000000004</v>
      </c>
      <c r="K673" s="10">
        <f t="shared" ca="1" si="92"/>
        <v>-0.23</v>
      </c>
      <c r="L673" s="10">
        <v>0.2</v>
      </c>
      <c r="M673" s="10">
        <f t="shared" ca="1" si="93"/>
        <v>2.4209799944402685E-2</v>
      </c>
      <c r="N673" s="10">
        <f t="shared" ca="1" si="94"/>
        <v>1.2415282022759655E-2</v>
      </c>
      <c r="O673" s="10">
        <f t="shared" ca="1" si="95"/>
        <v>5.8611441334800024E-4</v>
      </c>
    </row>
    <row r="674" spans="2:15">
      <c r="B674" s="13">
        <v>125</v>
      </c>
      <c r="C674" s="1">
        <v>135.80590040780501</v>
      </c>
      <c r="D674" s="32">
        <f t="shared" ca="1" si="88"/>
        <v>126.93318008156101</v>
      </c>
      <c r="E674" s="27"/>
      <c r="F674" s="27"/>
      <c r="G674" s="27"/>
      <c r="H674" s="10">
        <f t="shared" si="89"/>
        <v>8.6447203262440162</v>
      </c>
      <c r="I674" s="32">
        <f t="shared" si="90"/>
        <v>10.805900407805012</v>
      </c>
      <c r="J674" s="10">
        <f t="shared" ca="1" si="91"/>
        <v>-0.18</v>
      </c>
      <c r="K674" s="10">
        <f t="shared" ca="1" si="92"/>
        <v>-0.96</v>
      </c>
      <c r="L674" s="10">
        <v>0.2</v>
      </c>
      <c r="M674" s="10">
        <f t="shared" ca="1" si="93"/>
        <v>1.9331800815610025</v>
      </c>
      <c r="N674" s="10">
        <f t="shared" ca="1" si="94"/>
        <v>1.5465440652488116</v>
      </c>
      <c r="O674" s="10">
        <f t="shared" ca="1" si="95"/>
        <v>3.7371852277442041</v>
      </c>
    </row>
    <row r="675" spans="2:15">
      <c r="B675" s="13">
        <v>71</v>
      </c>
      <c r="C675" s="1">
        <v>72.753022059255102</v>
      </c>
      <c r="D675" s="32">
        <f t="shared" ca="1" si="88"/>
        <v>71.134604411851015</v>
      </c>
      <c r="E675" s="27"/>
      <c r="F675" s="27"/>
      <c r="G675" s="27"/>
      <c r="H675" s="10">
        <f t="shared" si="89"/>
        <v>2.4690451538804226</v>
      </c>
      <c r="I675" s="32">
        <f t="shared" si="90"/>
        <v>1.7530220592551018</v>
      </c>
      <c r="J675" s="10">
        <f t="shared" ca="1" si="91"/>
        <v>-0.9</v>
      </c>
      <c r="K675" s="10">
        <f t="shared" ca="1" si="92"/>
        <v>-0.18</v>
      </c>
      <c r="L675" s="10">
        <v>0.2</v>
      </c>
      <c r="M675" s="10">
        <f t="shared" ca="1" si="93"/>
        <v>0.13460441185102034</v>
      </c>
      <c r="N675" s="10">
        <f t="shared" ca="1" si="94"/>
        <v>0.18958367866339643</v>
      </c>
      <c r="O675" s="10">
        <f t="shared" ca="1" si="95"/>
        <v>1.8118347689759107E-2</v>
      </c>
    </row>
    <row r="676" spans="2:15">
      <c r="B676" s="13">
        <v>6</v>
      </c>
      <c r="C676" s="1">
        <v>8.50781809708681</v>
      </c>
      <c r="D676" s="32">
        <f t="shared" ca="1" si="88"/>
        <v>6.5020236194173622</v>
      </c>
      <c r="E676" s="27"/>
      <c r="F676" s="27"/>
      <c r="G676" s="27"/>
      <c r="H676" s="10">
        <f t="shared" si="89"/>
        <v>41.796968284780164</v>
      </c>
      <c r="I676" s="32">
        <f t="shared" si="90"/>
        <v>2.50781809708681</v>
      </c>
      <c r="J676" s="10">
        <f t="shared" ca="1" si="91"/>
        <v>-3.3999999999999998E-3</v>
      </c>
      <c r="K676" s="10">
        <f t="shared" ca="1" si="92"/>
        <v>5.7000000000000002E-3</v>
      </c>
      <c r="L676" s="10">
        <v>0.2</v>
      </c>
      <c r="M676" s="10">
        <f t="shared" ca="1" si="93"/>
        <v>0.50202361941736207</v>
      </c>
      <c r="N676" s="10">
        <f t="shared" ca="1" si="94"/>
        <v>8.3670603236227095</v>
      </c>
      <c r="O676" s="10">
        <f t="shared" ca="1" si="95"/>
        <v>0.25202771445290839</v>
      </c>
    </row>
    <row r="677" spans="2:15">
      <c r="B677" s="13">
        <v>158</v>
      </c>
      <c r="C677" s="1">
        <v>166.982884954394</v>
      </c>
      <c r="D677" s="32">
        <f t="shared" ca="1" si="88"/>
        <v>159.96457699087881</v>
      </c>
      <c r="E677" s="27"/>
      <c r="F677" s="27"/>
      <c r="G677" s="27"/>
      <c r="H677" s="10">
        <f t="shared" si="89"/>
        <v>5.6853702243000015</v>
      </c>
      <c r="I677" s="32">
        <f t="shared" si="90"/>
        <v>8.9828849543939953</v>
      </c>
      <c r="J677" s="10">
        <f t="shared" ca="1" si="91"/>
        <v>0.13</v>
      </c>
      <c r="K677" s="10">
        <f t="shared" ca="1" si="92"/>
        <v>0.71</v>
      </c>
      <c r="L677" s="10">
        <v>0.2</v>
      </c>
      <c r="M677" s="10">
        <f t="shared" ca="1" si="93"/>
        <v>1.9645769908787991</v>
      </c>
      <c r="N677" s="10">
        <f t="shared" ca="1" si="94"/>
        <v>1.2434031587840622</v>
      </c>
      <c r="O677" s="10">
        <f t="shared" ca="1" si="95"/>
        <v>3.8595627530903971</v>
      </c>
    </row>
    <row r="678" spans="2:15">
      <c r="B678" s="13">
        <v>109</v>
      </c>
      <c r="C678" s="1">
        <v>110.040663956901</v>
      </c>
      <c r="D678" s="32">
        <f t="shared" ca="1" si="88"/>
        <v>109.04413279138021</v>
      </c>
      <c r="E678" s="27"/>
      <c r="F678" s="27"/>
      <c r="G678" s="27"/>
      <c r="H678" s="10">
        <f t="shared" si="89"/>
        <v>0.95473757513853119</v>
      </c>
      <c r="I678" s="32">
        <f t="shared" si="90"/>
        <v>1.0406639569009997</v>
      </c>
      <c r="J678" s="10">
        <f t="shared" ca="1" si="91"/>
        <v>-0.91</v>
      </c>
      <c r="K678" s="10">
        <f t="shared" ca="1" si="92"/>
        <v>0.09</v>
      </c>
      <c r="L678" s="10">
        <v>0.2</v>
      </c>
      <c r="M678" s="10">
        <f t="shared" ca="1" si="93"/>
        <v>4.4132791380199932E-2</v>
      </c>
      <c r="N678" s="10">
        <f t="shared" ca="1" si="94"/>
        <v>4.0488799431392941E-2</v>
      </c>
      <c r="O678" s="10">
        <f t="shared" ca="1" si="95"/>
        <v>1.9477032750082493E-3</v>
      </c>
    </row>
    <row r="679" spans="2:15">
      <c r="B679" s="13">
        <v>137</v>
      </c>
      <c r="C679" s="1">
        <v>137.890191573192</v>
      </c>
      <c r="D679" s="32">
        <f t="shared" ca="1" si="88"/>
        <v>137.05603831463839</v>
      </c>
      <c r="E679" s="27"/>
      <c r="F679" s="27"/>
      <c r="G679" s="27"/>
      <c r="H679" s="10">
        <f t="shared" si="89"/>
        <v>0.64977487094306507</v>
      </c>
      <c r="I679" s="32">
        <f t="shared" si="90"/>
        <v>0.89019157319199849</v>
      </c>
      <c r="J679" s="10">
        <f t="shared" ca="1" si="91"/>
        <v>-0.21</v>
      </c>
      <c r="K679" s="10">
        <f t="shared" ca="1" si="92"/>
        <v>-0.4</v>
      </c>
      <c r="L679" s="10">
        <v>0.2</v>
      </c>
      <c r="M679" s="10">
        <f t="shared" ca="1" si="93"/>
        <v>5.60383146383997E-2</v>
      </c>
      <c r="N679" s="10">
        <f t="shared" ca="1" si="94"/>
        <v>4.0903879298093138E-2</v>
      </c>
      <c r="O679" s="10">
        <f t="shared" ca="1" si="95"/>
        <v>3.1402927075122821E-3</v>
      </c>
    </row>
    <row r="680" spans="2:15">
      <c r="B680" s="13">
        <v>168</v>
      </c>
      <c r="C680" s="1">
        <v>166.97195063749399</v>
      </c>
      <c r="D680" s="32">
        <f t="shared" ca="1" si="88"/>
        <v>167.7623901274988</v>
      </c>
      <c r="E680" s="27"/>
      <c r="F680" s="27"/>
      <c r="G680" s="27"/>
      <c r="H680" s="10">
        <f t="shared" si="89"/>
        <v>-0.61193414434881355</v>
      </c>
      <c r="I680" s="32">
        <f t="shared" si="90"/>
        <v>-1.0280493625060103</v>
      </c>
      <c r="J680" s="10">
        <f t="shared" ca="1" si="91"/>
        <v>-0.77</v>
      </c>
      <c r="K680" s="10">
        <f t="shared" ca="1" si="92"/>
        <v>0.61</v>
      </c>
      <c r="L680" s="10">
        <v>0.2</v>
      </c>
      <c r="M680" s="10">
        <f t="shared" ca="1" si="93"/>
        <v>-0.23760987250120211</v>
      </c>
      <c r="N680" s="10">
        <f t="shared" ca="1" si="94"/>
        <v>-0.1414344479173768</v>
      </c>
      <c r="O680" s="10">
        <f t="shared" ca="1" si="95"/>
        <v>5.6458451510037519E-2</v>
      </c>
    </row>
    <row r="681" spans="2:15">
      <c r="B681" s="13">
        <v>1</v>
      </c>
      <c r="C681" s="1">
        <v>12.6199982523563</v>
      </c>
      <c r="D681" s="32">
        <f t="shared" ca="1" si="88"/>
        <v>3.3245596504712598</v>
      </c>
      <c r="E681" s="27"/>
      <c r="F681" s="27"/>
      <c r="G681" s="27"/>
      <c r="H681" s="10">
        <f t="shared" si="89"/>
        <v>1161.9998252356299</v>
      </c>
      <c r="I681" s="32">
        <f t="shared" si="90"/>
        <v>11.6199982523563</v>
      </c>
      <c r="J681" s="10">
        <f t="shared" ca="1" si="91"/>
        <v>-2.7000000000000001E-3</v>
      </c>
      <c r="K681" s="10">
        <f t="shared" ca="1" si="92"/>
        <v>5.4999999999999997E-3</v>
      </c>
      <c r="L681" s="10">
        <v>0.2</v>
      </c>
      <c r="M681" s="10">
        <f t="shared" ca="1" si="93"/>
        <v>2.3245596504712598</v>
      </c>
      <c r="N681" s="10">
        <f t="shared" ca="1" si="94"/>
        <v>232.45596504712597</v>
      </c>
      <c r="O681" s="10">
        <f t="shared" ca="1" si="95"/>
        <v>5.4035775685990659</v>
      </c>
    </row>
    <row r="682" spans="2:15">
      <c r="B682" s="13">
        <v>110</v>
      </c>
      <c r="C682" s="1">
        <v>81.055601959809294</v>
      </c>
      <c r="D682" s="32">
        <f t="shared" ca="1" si="88"/>
        <v>103.99112039196186</v>
      </c>
      <c r="E682" s="27"/>
      <c r="F682" s="27"/>
      <c r="G682" s="27"/>
      <c r="H682" s="10">
        <f t="shared" si="89"/>
        <v>-26.313089127446098</v>
      </c>
      <c r="I682" s="32">
        <f t="shared" si="90"/>
        <v>-28.944398040190706</v>
      </c>
      <c r="J682" s="10">
        <f t="shared" ca="1" si="91"/>
        <v>-0.32</v>
      </c>
      <c r="K682" s="10">
        <f t="shared" ca="1" si="92"/>
        <v>-0.78</v>
      </c>
      <c r="L682" s="10">
        <v>0.2</v>
      </c>
      <c r="M682" s="10">
        <f t="shared" ca="1" si="93"/>
        <v>-6.0088796080381419</v>
      </c>
      <c r="N682" s="10">
        <f t="shared" ca="1" si="94"/>
        <v>-5.4626178254892244</v>
      </c>
      <c r="O682" s="10">
        <f t="shared" ca="1" si="95"/>
        <v>36.106634143896613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DATA_Shuffled</vt:lpstr>
      <vt:lpstr>ETR_KFOLD_Metrics</vt:lpstr>
      <vt:lpstr>Data_after_KFold_ETR</vt:lpstr>
      <vt:lpstr>QR_KFOLD_Metrics</vt:lpstr>
      <vt:lpstr>Data_after_KFold_QR</vt:lpstr>
      <vt:lpstr>Model_Summary</vt:lpstr>
      <vt:lpstr>ETR</vt:lpstr>
      <vt:lpstr>QR</vt:lpstr>
      <vt:lpstr>Run Time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 1</dc:creator>
  <cp:lastModifiedBy>Sam Moradian</cp:lastModifiedBy>
  <dcterms:created xsi:type="dcterms:W3CDTF">2025-10-23T07:08:48Z</dcterms:created>
  <dcterms:modified xsi:type="dcterms:W3CDTF">2025-11-04T09:22:59Z</dcterms:modified>
</cp:coreProperties>
</file>