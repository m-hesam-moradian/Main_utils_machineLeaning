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am\Desktop\ML\optimization\"/>
    </mc:Choice>
  </mc:AlternateContent>
  <xr:revisionPtr revIDLastSave="0" documentId="13_ncr:1_{51000F44-7FF2-42E7-8FFA-4B9EFF05CE71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" i="1" l="1"/>
  <c r="AG4" i="1"/>
  <c r="AH4" i="1"/>
  <c r="AF5" i="1"/>
  <c r="AG5" i="1"/>
  <c r="AH5" i="1"/>
  <c r="AF6" i="1"/>
  <c r="AG6" i="1"/>
  <c r="AH6" i="1"/>
  <c r="AF7" i="1"/>
  <c r="AG7" i="1"/>
  <c r="AH7" i="1"/>
  <c r="AF8" i="1"/>
  <c r="AG8" i="1"/>
  <c r="AH8" i="1"/>
  <c r="AF9" i="1"/>
  <c r="AG9" i="1"/>
  <c r="AH9" i="1"/>
  <c r="AF10" i="1"/>
  <c r="AG10" i="1"/>
  <c r="AH10" i="1"/>
  <c r="AF11" i="1"/>
  <c r="AG11" i="1"/>
  <c r="AH11" i="1"/>
  <c r="AF12" i="1"/>
  <c r="AG12" i="1"/>
  <c r="AH12" i="1"/>
  <c r="AF13" i="1"/>
  <c r="AG13" i="1"/>
  <c r="AH13" i="1"/>
  <c r="AF14" i="1"/>
  <c r="AG14" i="1"/>
  <c r="AH14" i="1"/>
  <c r="AF15" i="1"/>
  <c r="AG15" i="1"/>
  <c r="AH15" i="1"/>
  <c r="AF16" i="1"/>
  <c r="AG16" i="1"/>
  <c r="AH16" i="1"/>
  <c r="AF17" i="1"/>
  <c r="AG17" i="1"/>
  <c r="AH17" i="1"/>
  <c r="AF18" i="1"/>
  <c r="AG18" i="1"/>
  <c r="AH18" i="1"/>
  <c r="AF19" i="1"/>
  <c r="AG19" i="1"/>
  <c r="AH19" i="1"/>
  <c r="AF20" i="1"/>
  <c r="AG20" i="1"/>
  <c r="AH20" i="1"/>
  <c r="AF21" i="1"/>
  <c r="AG21" i="1"/>
  <c r="AH21" i="1"/>
  <c r="AF22" i="1"/>
  <c r="AG22" i="1"/>
  <c r="AH22" i="1"/>
  <c r="AF23" i="1"/>
  <c r="AG23" i="1"/>
  <c r="AH23" i="1"/>
  <c r="AF24" i="1"/>
  <c r="AG24" i="1"/>
  <c r="AH24" i="1"/>
  <c r="AF25" i="1"/>
  <c r="AG25" i="1"/>
  <c r="AH25" i="1"/>
  <c r="AF26" i="1"/>
  <c r="AG26" i="1"/>
  <c r="AH26" i="1"/>
  <c r="AF27" i="1"/>
  <c r="AG27" i="1"/>
  <c r="AH27" i="1"/>
  <c r="AF28" i="1"/>
  <c r="AG28" i="1"/>
  <c r="AH28" i="1"/>
  <c r="AF29" i="1"/>
  <c r="AG29" i="1"/>
  <c r="AH29" i="1"/>
  <c r="AF30" i="1"/>
  <c r="AG30" i="1"/>
  <c r="AH30" i="1"/>
  <c r="AF31" i="1"/>
  <c r="AG31" i="1"/>
  <c r="AH31" i="1"/>
  <c r="AF32" i="1"/>
  <c r="AG32" i="1"/>
  <c r="AH32" i="1"/>
  <c r="AF33" i="1"/>
  <c r="AG33" i="1"/>
  <c r="AH33" i="1"/>
  <c r="AF34" i="1"/>
  <c r="AG34" i="1"/>
  <c r="AH34" i="1"/>
  <c r="AF35" i="1"/>
  <c r="AG35" i="1"/>
  <c r="AH35" i="1"/>
  <c r="AF36" i="1"/>
  <c r="AG36" i="1"/>
  <c r="AH36" i="1"/>
  <c r="AF37" i="1"/>
  <c r="AG37" i="1"/>
  <c r="AH37" i="1"/>
  <c r="AF38" i="1"/>
  <c r="AG38" i="1"/>
  <c r="AH38" i="1"/>
  <c r="AF39" i="1"/>
  <c r="AG39" i="1"/>
  <c r="AH39" i="1"/>
  <c r="AF40" i="1"/>
  <c r="AG40" i="1"/>
  <c r="AH40" i="1"/>
  <c r="AF41" i="1"/>
  <c r="AG41" i="1"/>
  <c r="AH41" i="1"/>
  <c r="AF42" i="1"/>
  <c r="AG42" i="1"/>
  <c r="AH42" i="1"/>
  <c r="AF43" i="1"/>
  <c r="AG43" i="1"/>
  <c r="AH43" i="1"/>
  <c r="AF44" i="1"/>
  <c r="AG44" i="1"/>
  <c r="AH44" i="1"/>
  <c r="AF45" i="1"/>
  <c r="AG45" i="1"/>
  <c r="AH45" i="1"/>
  <c r="AF46" i="1"/>
  <c r="AG46" i="1"/>
  <c r="AH46" i="1"/>
  <c r="AF47" i="1"/>
  <c r="AG47" i="1"/>
  <c r="AH47" i="1"/>
  <c r="AF48" i="1"/>
  <c r="AG48" i="1"/>
  <c r="AH48" i="1"/>
  <c r="AF49" i="1"/>
  <c r="AG49" i="1"/>
  <c r="AH49" i="1"/>
  <c r="AF50" i="1"/>
  <c r="AG50" i="1"/>
  <c r="AH50" i="1"/>
  <c r="AF51" i="1"/>
  <c r="AG51" i="1"/>
  <c r="AH51" i="1"/>
  <c r="AF52" i="1"/>
  <c r="AG52" i="1"/>
  <c r="AH52" i="1"/>
  <c r="AF53" i="1"/>
  <c r="AG53" i="1"/>
  <c r="AH53" i="1"/>
  <c r="AF54" i="1"/>
  <c r="AG54" i="1"/>
  <c r="AH54" i="1"/>
  <c r="AF55" i="1"/>
  <c r="AG55" i="1"/>
  <c r="AH55" i="1"/>
  <c r="AF56" i="1"/>
  <c r="AG56" i="1"/>
  <c r="AH56" i="1"/>
  <c r="AF57" i="1"/>
  <c r="AG57" i="1"/>
  <c r="AH57" i="1"/>
  <c r="AF58" i="1"/>
  <c r="AG58" i="1"/>
  <c r="AH58" i="1"/>
  <c r="AF59" i="1"/>
  <c r="AG59" i="1"/>
  <c r="AH59" i="1"/>
  <c r="AF60" i="1"/>
  <c r="AG60" i="1"/>
  <c r="AH60" i="1"/>
  <c r="AF61" i="1"/>
  <c r="AG61" i="1"/>
  <c r="AH61" i="1"/>
  <c r="AF62" i="1"/>
  <c r="AG62" i="1"/>
  <c r="AH62" i="1"/>
  <c r="AF63" i="1"/>
  <c r="AG63" i="1"/>
  <c r="AH63" i="1"/>
  <c r="AF64" i="1"/>
  <c r="AG64" i="1"/>
  <c r="AH64" i="1"/>
  <c r="AF65" i="1"/>
  <c r="AG65" i="1"/>
  <c r="AH65" i="1"/>
  <c r="AF66" i="1"/>
  <c r="AG66" i="1"/>
  <c r="AH66" i="1"/>
  <c r="AF67" i="1"/>
  <c r="AG67" i="1"/>
  <c r="AH67" i="1"/>
  <c r="AF68" i="1"/>
  <c r="AG68" i="1"/>
  <c r="AH68" i="1"/>
  <c r="AF69" i="1"/>
  <c r="AG69" i="1"/>
  <c r="AH69" i="1"/>
  <c r="AF70" i="1"/>
  <c r="AG70" i="1"/>
  <c r="AH70" i="1"/>
  <c r="AF71" i="1"/>
  <c r="AG71" i="1"/>
  <c r="AH71" i="1"/>
  <c r="AF72" i="1"/>
  <c r="AG72" i="1"/>
  <c r="AH72" i="1"/>
  <c r="AF73" i="1"/>
  <c r="AG73" i="1"/>
  <c r="AH73" i="1"/>
  <c r="AF74" i="1"/>
  <c r="AG74" i="1"/>
  <c r="AH74" i="1"/>
  <c r="AF75" i="1"/>
  <c r="AG75" i="1"/>
  <c r="AH75" i="1"/>
  <c r="AF76" i="1"/>
  <c r="AG76" i="1"/>
  <c r="AH76" i="1"/>
  <c r="AF77" i="1"/>
  <c r="AG77" i="1"/>
  <c r="AH77" i="1"/>
  <c r="AF78" i="1"/>
  <c r="AG78" i="1"/>
  <c r="AH78" i="1"/>
  <c r="AF79" i="1"/>
  <c r="AG79" i="1"/>
  <c r="AH79" i="1"/>
  <c r="AF80" i="1"/>
  <c r="AG80" i="1"/>
  <c r="AH80" i="1"/>
  <c r="AF81" i="1"/>
  <c r="AG81" i="1"/>
  <c r="AH81" i="1"/>
  <c r="AF82" i="1"/>
  <c r="AG82" i="1"/>
  <c r="AH82" i="1"/>
  <c r="AF83" i="1"/>
  <c r="AG83" i="1"/>
  <c r="AH83" i="1"/>
  <c r="AF84" i="1"/>
  <c r="AG84" i="1"/>
  <c r="AH84" i="1"/>
  <c r="AF85" i="1"/>
  <c r="AG85" i="1"/>
  <c r="AH85" i="1"/>
  <c r="AF86" i="1"/>
  <c r="AG86" i="1"/>
  <c r="AH86" i="1"/>
  <c r="AF87" i="1"/>
  <c r="AG87" i="1"/>
  <c r="AH87" i="1"/>
  <c r="AF88" i="1"/>
  <c r="AG88" i="1"/>
  <c r="AH88" i="1"/>
  <c r="AF89" i="1"/>
  <c r="AG89" i="1"/>
  <c r="AH89" i="1"/>
  <c r="AF90" i="1"/>
  <c r="AG90" i="1"/>
  <c r="AH90" i="1"/>
  <c r="AF91" i="1"/>
  <c r="AG91" i="1"/>
  <c r="AH91" i="1"/>
  <c r="AF92" i="1"/>
  <c r="AG92" i="1"/>
  <c r="AH92" i="1"/>
  <c r="AF93" i="1"/>
  <c r="AG93" i="1"/>
  <c r="AH93" i="1"/>
  <c r="AF94" i="1"/>
  <c r="AG94" i="1"/>
  <c r="AH94" i="1"/>
  <c r="AF95" i="1"/>
  <c r="AG95" i="1"/>
  <c r="AH95" i="1"/>
  <c r="AF96" i="1"/>
  <c r="AG96" i="1"/>
  <c r="AH96" i="1"/>
  <c r="AF97" i="1"/>
  <c r="AG97" i="1"/>
  <c r="AH97" i="1"/>
  <c r="AF98" i="1"/>
  <c r="AG98" i="1"/>
  <c r="AH98" i="1"/>
  <c r="AF99" i="1"/>
  <c r="AG99" i="1"/>
  <c r="AH99" i="1"/>
  <c r="AF100" i="1"/>
  <c r="AG100" i="1"/>
  <c r="AH100" i="1"/>
  <c r="AF101" i="1"/>
  <c r="AG101" i="1"/>
  <c r="AH101" i="1"/>
  <c r="AF102" i="1"/>
  <c r="AG102" i="1"/>
  <c r="AH102" i="1"/>
  <c r="AF103" i="1"/>
  <c r="AG103" i="1"/>
  <c r="AH103" i="1"/>
  <c r="AF104" i="1"/>
  <c r="AG104" i="1"/>
  <c r="AH104" i="1"/>
  <c r="AF105" i="1"/>
  <c r="AG105" i="1"/>
  <c r="AH105" i="1"/>
  <c r="AF106" i="1"/>
  <c r="AG106" i="1"/>
  <c r="AH106" i="1"/>
  <c r="AF107" i="1"/>
  <c r="AG107" i="1"/>
  <c r="AH107" i="1"/>
  <c r="AF108" i="1"/>
  <c r="AG108" i="1"/>
  <c r="AH108" i="1"/>
  <c r="AF109" i="1"/>
  <c r="AG109" i="1"/>
  <c r="AH109" i="1"/>
  <c r="AF110" i="1"/>
  <c r="AG110" i="1"/>
  <c r="AH110" i="1"/>
  <c r="AF111" i="1"/>
  <c r="AG111" i="1"/>
  <c r="AH111" i="1"/>
  <c r="AF112" i="1"/>
  <c r="AG112" i="1"/>
  <c r="AH112" i="1"/>
  <c r="AF113" i="1"/>
  <c r="AG113" i="1"/>
  <c r="AH113" i="1"/>
  <c r="AF114" i="1"/>
  <c r="AG114" i="1"/>
  <c r="AH114" i="1"/>
  <c r="AF115" i="1"/>
  <c r="AG115" i="1"/>
  <c r="AH115" i="1"/>
  <c r="AF116" i="1"/>
  <c r="AG116" i="1"/>
  <c r="AH116" i="1"/>
  <c r="AF117" i="1"/>
  <c r="AG117" i="1"/>
  <c r="AH117" i="1"/>
  <c r="AF118" i="1"/>
  <c r="AG118" i="1"/>
  <c r="AH118" i="1"/>
  <c r="AF119" i="1"/>
  <c r="AG119" i="1"/>
  <c r="AH119" i="1"/>
  <c r="AF120" i="1"/>
  <c r="AG120" i="1"/>
  <c r="AH120" i="1"/>
  <c r="AF121" i="1"/>
  <c r="AG121" i="1"/>
  <c r="AH121" i="1"/>
  <c r="AF122" i="1"/>
  <c r="AG122" i="1"/>
  <c r="AH122" i="1"/>
  <c r="AF123" i="1"/>
  <c r="AG123" i="1"/>
  <c r="AH123" i="1"/>
  <c r="AF124" i="1"/>
  <c r="AG124" i="1"/>
  <c r="AH124" i="1"/>
  <c r="AF125" i="1"/>
  <c r="AG125" i="1"/>
  <c r="AH125" i="1"/>
  <c r="AF126" i="1"/>
  <c r="AG126" i="1"/>
  <c r="AH126" i="1"/>
  <c r="AF127" i="1"/>
  <c r="AG127" i="1"/>
  <c r="AH127" i="1"/>
  <c r="AF128" i="1"/>
  <c r="AG128" i="1"/>
  <c r="AH128" i="1"/>
  <c r="AF129" i="1"/>
  <c r="AG129" i="1"/>
  <c r="AH129" i="1"/>
  <c r="AF130" i="1"/>
  <c r="AG130" i="1"/>
  <c r="AH130" i="1"/>
  <c r="AF131" i="1"/>
  <c r="AG131" i="1"/>
  <c r="AH131" i="1"/>
  <c r="AF132" i="1"/>
  <c r="AG132" i="1"/>
  <c r="AH132" i="1"/>
  <c r="AF133" i="1"/>
  <c r="AG133" i="1"/>
  <c r="AH133" i="1"/>
  <c r="AF134" i="1"/>
  <c r="AG134" i="1"/>
  <c r="AH134" i="1"/>
  <c r="AF135" i="1"/>
  <c r="AG135" i="1"/>
  <c r="AH135" i="1"/>
  <c r="AF136" i="1"/>
  <c r="AG136" i="1"/>
  <c r="AH136" i="1"/>
  <c r="AF137" i="1"/>
  <c r="AG137" i="1"/>
  <c r="AH137" i="1"/>
  <c r="AF138" i="1"/>
  <c r="AG138" i="1"/>
  <c r="AH138" i="1"/>
  <c r="AF139" i="1"/>
  <c r="AG139" i="1"/>
  <c r="AH139" i="1"/>
  <c r="AF140" i="1"/>
  <c r="AG140" i="1"/>
  <c r="AH140" i="1"/>
  <c r="AF141" i="1"/>
  <c r="AG141" i="1"/>
  <c r="AH141" i="1"/>
  <c r="AF142" i="1"/>
  <c r="AG142" i="1"/>
  <c r="AH142" i="1"/>
  <c r="AF143" i="1"/>
  <c r="AG143" i="1"/>
  <c r="AH143" i="1"/>
  <c r="AF144" i="1"/>
  <c r="AG144" i="1"/>
  <c r="AH144" i="1"/>
  <c r="AF145" i="1"/>
  <c r="AG145" i="1"/>
  <c r="AH145" i="1"/>
  <c r="AF146" i="1"/>
  <c r="AG146" i="1"/>
  <c r="AH146" i="1"/>
  <c r="AF147" i="1"/>
  <c r="AG147" i="1"/>
  <c r="AH147" i="1"/>
  <c r="AF148" i="1"/>
  <c r="AG148" i="1"/>
  <c r="AH148" i="1"/>
  <c r="AF149" i="1"/>
  <c r="AG149" i="1"/>
  <c r="AH149" i="1"/>
  <c r="AF150" i="1"/>
  <c r="AG150" i="1"/>
  <c r="AH150" i="1"/>
  <c r="AF151" i="1"/>
  <c r="AG151" i="1"/>
  <c r="AH151" i="1"/>
  <c r="AF152" i="1"/>
  <c r="AG152" i="1"/>
  <c r="AH152" i="1"/>
  <c r="AF153" i="1"/>
  <c r="AG153" i="1"/>
  <c r="AH153" i="1"/>
  <c r="AF154" i="1"/>
  <c r="AG154" i="1"/>
  <c r="AH154" i="1"/>
  <c r="AF155" i="1"/>
  <c r="AG155" i="1"/>
  <c r="AH155" i="1"/>
  <c r="AF156" i="1"/>
  <c r="AG156" i="1"/>
  <c r="AH156" i="1"/>
  <c r="AF157" i="1"/>
  <c r="AG157" i="1"/>
  <c r="AH157" i="1"/>
  <c r="AF158" i="1"/>
  <c r="AG158" i="1"/>
  <c r="AH158" i="1"/>
  <c r="AF159" i="1"/>
  <c r="AG159" i="1"/>
  <c r="AH159" i="1"/>
  <c r="AF160" i="1"/>
  <c r="AG160" i="1"/>
  <c r="AH160" i="1"/>
  <c r="AF161" i="1"/>
  <c r="AG161" i="1"/>
  <c r="AH161" i="1"/>
  <c r="AF162" i="1"/>
  <c r="AG162" i="1"/>
  <c r="AH162" i="1"/>
  <c r="AF163" i="1"/>
  <c r="AG163" i="1"/>
  <c r="AH163" i="1"/>
  <c r="AF164" i="1"/>
  <c r="AG164" i="1"/>
  <c r="AH164" i="1"/>
  <c r="AF165" i="1"/>
  <c r="AG165" i="1"/>
  <c r="AH165" i="1"/>
  <c r="AF166" i="1"/>
  <c r="AG166" i="1"/>
  <c r="AH166" i="1"/>
  <c r="AF167" i="1"/>
  <c r="AG167" i="1"/>
  <c r="AH167" i="1"/>
  <c r="AF168" i="1"/>
  <c r="AG168" i="1"/>
  <c r="AH168" i="1"/>
  <c r="AF169" i="1"/>
  <c r="AG169" i="1"/>
  <c r="AH169" i="1"/>
  <c r="AF170" i="1"/>
  <c r="AG170" i="1"/>
  <c r="AH170" i="1"/>
  <c r="AF171" i="1"/>
  <c r="AG171" i="1"/>
  <c r="AH171" i="1"/>
  <c r="AF172" i="1"/>
  <c r="AG172" i="1"/>
  <c r="AH172" i="1"/>
  <c r="AF173" i="1"/>
  <c r="AG173" i="1"/>
  <c r="AH173" i="1"/>
  <c r="AF174" i="1"/>
  <c r="AG174" i="1"/>
  <c r="AH174" i="1"/>
  <c r="AF175" i="1"/>
  <c r="AG175" i="1"/>
  <c r="AH175" i="1"/>
  <c r="AF176" i="1"/>
  <c r="AG176" i="1"/>
  <c r="AH176" i="1"/>
  <c r="AF177" i="1"/>
  <c r="AG177" i="1"/>
  <c r="AH177" i="1"/>
  <c r="AF178" i="1"/>
  <c r="AG178" i="1"/>
  <c r="AH178" i="1"/>
  <c r="AF179" i="1"/>
  <c r="AG179" i="1"/>
  <c r="AH179" i="1"/>
  <c r="AF180" i="1"/>
  <c r="AG180" i="1"/>
  <c r="AH180" i="1"/>
  <c r="AF181" i="1"/>
  <c r="AG181" i="1"/>
  <c r="AH181" i="1"/>
  <c r="AF182" i="1"/>
  <c r="AG182" i="1"/>
  <c r="AH182" i="1"/>
  <c r="AF183" i="1"/>
  <c r="AG183" i="1"/>
  <c r="AH183" i="1"/>
  <c r="AF184" i="1"/>
  <c r="AG184" i="1"/>
  <c r="AH184" i="1"/>
  <c r="AF185" i="1"/>
  <c r="AG185" i="1"/>
  <c r="AH185" i="1"/>
  <c r="AF186" i="1"/>
  <c r="AG186" i="1"/>
  <c r="AH186" i="1"/>
  <c r="AF187" i="1"/>
  <c r="AG187" i="1"/>
  <c r="AH187" i="1"/>
  <c r="AF188" i="1"/>
  <c r="AG188" i="1"/>
  <c r="AH188" i="1"/>
  <c r="AF189" i="1"/>
  <c r="AG189" i="1"/>
  <c r="AH189" i="1"/>
  <c r="AF190" i="1"/>
  <c r="AG190" i="1"/>
  <c r="AH190" i="1"/>
  <c r="AF191" i="1"/>
  <c r="AG191" i="1"/>
  <c r="AH191" i="1"/>
  <c r="AF192" i="1"/>
  <c r="AG192" i="1"/>
  <c r="AH192" i="1"/>
  <c r="AF193" i="1"/>
  <c r="AG193" i="1"/>
  <c r="AH193" i="1"/>
  <c r="AF194" i="1"/>
  <c r="AG194" i="1"/>
  <c r="AH194" i="1"/>
  <c r="AF195" i="1"/>
  <c r="AG195" i="1"/>
  <c r="AH195" i="1"/>
  <c r="AF196" i="1"/>
  <c r="AG196" i="1"/>
  <c r="AH196" i="1"/>
  <c r="AF197" i="1"/>
  <c r="AG197" i="1"/>
  <c r="AH197" i="1"/>
  <c r="AF198" i="1"/>
  <c r="AG198" i="1"/>
  <c r="AH198" i="1"/>
  <c r="AF199" i="1"/>
  <c r="AG199" i="1"/>
  <c r="AH199" i="1"/>
  <c r="AF200" i="1"/>
  <c r="AG200" i="1"/>
  <c r="AH200" i="1"/>
  <c r="AF201" i="1"/>
  <c r="AG201" i="1"/>
  <c r="AH201" i="1"/>
  <c r="AF202" i="1"/>
  <c r="AG202" i="1"/>
  <c r="AH202" i="1"/>
  <c r="AF3" i="1"/>
  <c r="AG3" i="1"/>
  <c r="AH3" i="1"/>
  <c r="AB4" i="1"/>
  <c r="AC4" i="1"/>
  <c r="AD4" i="1"/>
  <c r="AB5" i="1"/>
  <c r="AC5" i="1"/>
  <c r="AD5" i="1"/>
  <c r="AB6" i="1"/>
  <c r="AC6" i="1"/>
  <c r="AD6" i="1"/>
  <c r="AB7" i="1"/>
  <c r="AC7" i="1"/>
  <c r="AD7" i="1"/>
  <c r="AB8" i="1"/>
  <c r="AC8" i="1"/>
  <c r="AD8" i="1"/>
  <c r="AB9" i="1"/>
  <c r="AC9" i="1"/>
  <c r="AD9" i="1"/>
  <c r="AB10" i="1"/>
  <c r="AC10" i="1"/>
  <c r="AD10" i="1"/>
  <c r="AB11" i="1"/>
  <c r="AC11" i="1"/>
  <c r="AD11" i="1"/>
  <c r="AB12" i="1"/>
  <c r="AC12" i="1"/>
  <c r="AD12" i="1"/>
  <c r="AB13" i="1"/>
  <c r="AC13" i="1"/>
  <c r="AD13" i="1"/>
  <c r="AB14" i="1"/>
  <c r="AC14" i="1"/>
  <c r="AD14" i="1"/>
  <c r="AB15" i="1"/>
  <c r="AC15" i="1"/>
  <c r="AD15" i="1"/>
  <c r="AB16" i="1"/>
  <c r="AC16" i="1"/>
  <c r="AD16" i="1"/>
  <c r="AB17" i="1"/>
  <c r="AC17" i="1"/>
  <c r="AD17" i="1"/>
  <c r="AB18" i="1"/>
  <c r="AC18" i="1"/>
  <c r="AD18" i="1"/>
  <c r="AB19" i="1"/>
  <c r="AC19" i="1"/>
  <c r="AD19" i="1"/>
  <c r="AB20" i="1"/>
  <c r="AC20" i="1"/>
  <c r="AD20" i="1"/>
  <c r="AB21" i="1"/>
  <c r="AC21" i="1"/>
  <c r="AD21" i="1"/>
  <c r="AB22" i="1"/>
  <c r="AC22" i="1"/>
  <c r="AD22" i="1"/>
  <c r="AB23" i="1"/>
  <c r="AC23" i="1"/>
  <c r="AD23" i="1"/>
  <c r="AB24" i="1"/>
  <c r="AC24" i="1"/>
  <c r="AD24" i="1"/>
  <c r="AB25" i="1"/>
  <c r="AC25" i="1"/>
  <c r="AD25" i="1"/>
  <c r="AB26" i="1"/>
  <c r="AC26" i="1"/>
  <c r="AD26" i="1"/>
  <c r="AB27" i="1"/>
  <c r="AC27" i="1"/>
  <c r="AD27" i="1"/>
  <c r="AB28" i="1"/>
  <c r="AC28" i="1"/>
  <c r="AD28" i="1"/>
  <c r="AB29" i="1"/>
  <c r="AC29" i="1"/>
  <c r="AD29" i="1"/>
  <c r="AB30" i="1"/>
  <c r="AC30" i="1"/>
  <c r="AD30" i="1"/>
  <c r="AB31" i="1"/>
  <c r="AC31" i="1"/>
  <c r="AD31" i="1"/>
  <c r="AB32" i="1"/>
  <c r="AC32" i="1"/>
  <c r="AD32" i="1"/>
  <c r="AB33" i="1"/>
  <c r="AC33" i="1"/>
  <c r="AD33" i="1"/>
  <c r="AB34" i="1"/>
  <c r="AC34" i="1"/>
  <c r="AD34" i="1"/>
  <c r="AB35" i="1"/>
  <c r="AC35" i="1"/>
  <c r="AD35" i="1"/>
  <c r="AB36" i="1"/>
  <c r="AC36" i="1"/>
  <c r="AD36" i="1"/>
  <c r="AB37" i="1"/>
  <c r="AC37" i="1"/>
  <c r="AD37" i="1"/>
  <c r="AB38" i="1"/>
  <c r="AC38" i="1"/>
  <c r="AD38" i="1"/>
  <c r="AB39" i="1"/>
  <c r="AC39" i="1"/>
  <c r="AD39" i="1"/>
  <c r="AB40" i="1"/>
  <c r="AC40" i="1"/>
  <c r="AD40" i="1"/>
  <c r="AB41" i="1"/>
  <c r="AC41" i="1"/>
  <c r="AD41" i="1"/>
  <c r="AB42" i="1"/>
  <c r="AC42" i="1"/>
  <c r="AD42" i="1"/>
  <c r="AB43" i="1"/>
  <c r="AC43" i="1"/>
  <c r="AD43" i="1"/>
  <c r="AB44" i="1"/>
  <c r="AC44" i="1"/>
  <c r="AD44" i="1"/>
  <c r="AB45" i="1"/>
  <c r="AC45" i="1"/>
  <c r="AD45" i="1"/>
  <c r="AB46" i="1"/>
  <c r="AC46" i="1"/>
  <c r="AD46" i="1"/>
  <c r="AB47" i="1"/>
  <c r="AC47" i="1"/>
  <c r="AD47" i="1"/>
  <c r="AB48" i="1"/>
  <c r="AC48" i="1"/>
  <c r="AD48" i="1"/>
  <c r="AB49" i="1"/>
  <c r="AC49" i="1"/>
  <c r="AD49" i="1"/>
  <c r="AB50" i="1"/>
  <c r="AC50" i="1"/>
  <c r="AD50" i="1"/>
  <c r="AB51" i="1"/>
  <c r="AC51" i="1"/>
  <c r="AD51" i="1"/>
  <c r="AB52" i="1"/>
  <c r="AC52" i="1"/>
  <c r="AD52" i="1"/>
  <c r="AB53" i="1"/>
  <c r="AC53" i="1"/>
  <c r="AD53" i="1"/>
  <c r="AB54" i="1"/>
  <c r="AC54" i="1"/>
  <c r="AD54" i="1"/>
  <c r="AB55" i="1"/>
  <c r="AC55" i="1"/>
  <c r="AD55" i="1"/>
  <c r="AB56" i="1"/>
  <c r="AC56" i="1"/>
  <c r="AD56" i="1"/>
  <c r="AB57" i="1"/>
  <c r="AC57" i="1"/>
  <c r="AD57" i="1"/>
  <c r="AB58" i="1"/>
  <c r="AC58" i="1"/>
  <c r="AD58" i="1"/>
  <c r="AB59" i="1"/>
  <c r="AC59" i="1"/>
  <c r="AD59" i="1"/>
  <c r="AB60" i="1"/>
  <c r="AC60" i="1"/>
  <c r="AD60" i="1"/>
  <c r="AB61" i="1"/>
  <c r="AC61" i="1"/>
  <c r="AD61" i="1"/>
  <c r="AB62" i="1"/>
  <c r="AC62" i="1"/>
  <c r="AD62" i="1"/>
  <c r="AB63" i="1"/>
  <c r="AC63" i="1"/>
  <c r="AD63" i="1"/>
  <c r="AB64" i="1"/>
  <c r="AC64" i="1"/>
  <c r="AD64" i="1"/>
  <c r="AB65" i="1"/>
  <c r="AC65" i="1"/>
  <c r="AD65" i="1"/>
  <c r="AB66" i="1"/>
  <c r="AC66" i="1"/>
  <c r="AD66" i="1"/>
  <c r="AB67" i="1"/>
  <c r="AC67" i="1"/>
  <c r="AD67" i="1"/>
  <c r="AB68" i="1"/>
  <c r="AC68" i="1"/>
  <c r="AD68" i="1"/>
  <c r="AB69" i="1"/>
  <c r="AC69" i="1"/>
  <c r="AD69" i="1"/>
  <c r="AB70" i="1"/>
  <c r="AC70" i="1"/>
  <c r="AD70" i="1"/>
  <c r="AB71" i="1"/>
  <c r="AC71" i="1"/>
  <c r="AD71" i="1"/>
  <c r="AB72" i="1"/>
  <c r="AC72" i="1"/>
  <c r="AD72" i="1"/>
  <c r="AB73" i="1"/>
  <c r="AC73" i="1"/>
  <c r="AD73" i="1"/>
  <c r="AB74" i="1"/>
  <c r="AC74" i="1"/>
  <c r="AD74" i="1"/>
  <c r="AB75" i="1"/>
  <c r="AC75" i="1"/>
  <c r="AD75" i="1"/>
  <c r="AB76" i="1"/>
  <c r="AC76" i="1"/>
  <c r="AD76" i="1"/>
  <c r="AB77" i="1"/>
  <c r="AC77" i="1"/>
  <c r="AD77" i="1"/>
  <c r="AB78" i="1"/>
  <c r="AC78" i="1"/>
  <c r="AD78" i="1"/>
  <c r="AB79" i="1"/>
  <c r="AC79" i="1"/>
  <c r="AD79" i="1"/>
  <c r="AB80" i="1"/>
  <c r="AC80" i="1"/>
  <c r="AD80" i="1"/>
  <c r="AB81" i="1"/>
  <c r="AC81" i="1"/>
  <c r="AD81" i="1"/>
  <c r="AB82" i="1"/>
  <c r="AC82" i="1"/>
  <c r="AD82" i="1"/>
  <c r="AB83" i="1"/>
  <c r="AC83" i="1"/>
  <c r="AD83" i="1"/>
  <c r="AB84" i="1"/>
  <c r="AC84" i="1"/>
  <c r="AD84" i="1"/>
  <c r="AB85" i="1"/>
  <c r="AC85" i="1"/>
  <c r="AD85" i="1"/>
  <c r="AB86" i="1"/>
  <c r="AC86" i="1"/>
  <c r="AD86" i="1"/>
  <c r="AB87" i="1"/>
  <c r="AC87" i="1"/>
  <c r="AD87" i="1"/>
  <c r="AB88" i="1"/>
  <c r="AC88" i="1"/>
  <c r="AD88" i="1"/>
  <c r="AB89" i="1"/>
  <c r="AC89" i="1"/>
  <c r="AD89" i="1"/>
  <c r="AB90" i="1"/>
  <c r="AC90" i="1"/>
  <c r="AD90" i="1"/>
  <c r="AB91" i="1"/>
  <c r="AC91" i="1"/>
  <c r="AD91" i="1"/>
  <c r="AB92" i="1"/>
  <c r="AC92" i="1"/>
  <c r="AD92" i="1"/>
  <c r="AB93" i="1"/>
  <c r="AC93" i="1"/>
  <c r="AD93" i="1"/>
  <c r="AB94" i="1"/>
  <c r="AC94" i="1"/>
  <c r="AD94" i="1"/>
  <c r="AB95" i="1"/>
  <c r="AC95" i="1"/>
  <c r="AD95" i="1"/>
  <c r="AB96" i="1"/>
  <c r="AC96" i="1"/>
  <c r="AD96" i="1"/>
  <c r="AB97" i="1"/>
  <c r="AC97" i="1"/>
  <c r="AD97" i="1"/>
  <c r="AB98" i="1"/>
  <c r="AC98" i="1"/>
  <c r="AD98" i="1"/>
  <c r="AB99" i="1"/>
  <c r="AC99" i="1"/>
  <c r="AD99" i="1"/>
  <c r="AB100" i="1"/>
  <c r="AC100" i="1"/>
  <c r="AD100" i="1"/>
  <c r="AB101" i="1"/>
  <c r="AC101" i="1"/>
  <c r="AD101" i="1"/>
  <c r="AB102" i="1"/>
  <c r="AC102" i="1"/>
  <c r="AD102" i="1"/>
  <c r="AB103" i="1"/>
  <c r="AC103" i="1"/>
  <c r="AD103" i="1"/>
  <c r="AB104" i="1"/>
  <c r="AC104" i="1"/>
  <c r="AD104" i="1"/>
  <c r="AB105" i="1"/>
  <c r="AC105" i="1"/>
  <c r="AD105" i="1"/>
  <c r="AB106" i="1"/>
  <c r="AC106" i="1"/>
  <c r="AD106" i="1"/>
  <c r="AB107" i="1"/>
  <c r="AC107" i="1"/>
  <c r="AD107" i="1"/>
  <c r="AB108" i="1"/>
  <c r="AC108" i="1"/>
  <c r="AD108" i="1"/>
  <c r="AB109" i="1"/>
  <c r="AC109" i="1"/>
  <c r="AD109" i="1"/>
  <c r="AB110" i="1"/>
  <c r="AC110" i="1"/>
  <c r="AD110" i="1"/>
  <c r="AB111" i="1"/>
  <c r="AC111" i="1"/>
  <c r="AD111" i="1"/>
  <c r="AB112" i="1"/>
  <c r="AC112" i="1"/>
  <c r="AD112" i="1"/>
  <c r="AB113" i="1"/>
  <c r="AC113" i="1"/>
  <c r="AD113" i="1"/>
  <c r="AB114" i="1"/>
  <c r="AC114" i="1"/>
  <c r="AD114" i="1"/>
  <c r="AB115" i="1"/>
  <c r="AC115" i="1"/>
  <c r="AD115" i="1"/>
  <c r="AB116" i="1"/>
  <c r="AC116" i="1"/>
  <c r="AD116" i="1"/>
  <c r="AB117" i="1"/>
  <c r="AC117" i="1"/>
  <c r="AD117" i="1"/>
  <c r="AB118" i="1"/>
  <c r="AC118" i="1"/>
  <c r="AD118" i="1"/>
  <c r="AB119" i="1"/>
  <c r="AC119" i="1"/>
  <c r="AD119" i="1"/>
  <c r="AB120" i="1"/>
  <c r="AC120" i="1"/>
  <c r="AD120" i="1"/>
  <c r="AB121" i="1"/>
  <c r="AC121" i="1"/>
  <c r="AD121" i="1"/>
  <c r="AB122" i="1"/>
  <c r="AC122" i="1"/>
  <c r="AD122" i="1"/>
  <c r="AB123" i="1"/>
  <c r="AC123" i="1"/>
  <c r="AD123" i="1"/>
  <c r="AB124" i="1"/>
  <c r="AC124" i="1"/>
  <c r="AD124" i="1"/>
  <c r="AB125" i="1"/>
  <c r="AC125" i="1"/>
  <c r="AD125" i="1"/>
  <c r="AB126" i="1"/>
  <c r="AC126" i="1"/>
  <c r="AD126" i="1"/>
  <c r="AB127" i="1"/>
  <c r="AC127" i="1"/>
  <c r="AD127" i="1"/>
  <c r="AB128" i="1"/>
  <c r="AC128" i="1"/>
  <c r="AD128" i="1"/>
  <c r="AB129" i="1"/>
  <c r="AC129" i="1"/>
  <c r="AD129" i="1"/>
  <c r="AB130" i="1"/>
  <c r="AC130" i="1"/>
  <c r="AD130" i="1"/>
  <c r="AB131" i="1"/>
  <c r="AC131" i="1"/>
  <c r="AD131" i="1"/>
  <c r="AB132" i="1"/>
  <c r="AC132" i="1"/>
  <c r="AD132" i="1"/>
  <c r="AB133" i="1"/>
  <c r="AC133" i="1"/>
  <c r="AD133" i="1"/>
  <c r="AB134" i="1"/>
  <c r="AC134" i="1"/>
  <c r="AD134" i="1"/>
  <c r="AB135" i="1"/>
  <c r="AC135" i="1"/>
  <c r="AD135" i="1"/>
  <c r="AB136" i="1"/>
  <c r="AC136" i="1"/>
  <c r="AD136" i="1"/>
  <c r="AB137" i="1"/>
  <c r="AC137" i="1"/>
  <c r="AD137" i="1"/>
  <c r="AB138" i="1"/>
  <c r="AC138" i="1"/>
  <c r="AD138" i="1"/>
  <c r="AB139" i="1"/>
  <c r="AC139" i="1"/>
  <c r="AD139" i="1"/>
  <c r="AB140" i="1"/>
  <c r="AC140" i="1"/>
  <c r="AD140" i="1"/>
  <c r="AB141" i="1"/>
  <c r="AC141" i="1"/>
  <c r="AD141" i="1"/>
  <c r="AB142" i="1"/>
  <c r="AC142" i="1"/>
  <c r="AD142" i="1"/>
  <c r="AB143" i="1"/>
  <c r="AC143" i="1"/>
  <c r="AD143" i="1"/>
  <c r="AB144" i="1"/>
  <c r="AC144" i="1"/>
  <c r="AD144" i="1"/>
  <c r="AB145" i="1"/>
  <c r="AC145" i="1"/>
  <c r="AD145" i="1"/>
  <c r="AB146" i="1"/>
  <c r="AC146" i="1"/>
  <c r="AD146" i="1"/>
  <c r="AB147" i="1"/>
  <c r="AC147" i="1"/>
  <c r="AD147" i="1"/>
  <c r="AB148" i="1"/>
  <c r="AC148" i="1"/>
  <c r="AD148" i="1"/>
  <c r="AB149" i="1"/>
  <c r="AC149" i="1"/>
  <c r="AD149" i="1"/>
  <c r="AB150" i="1"/>
  <c r="AC150" i="1"/>
  <c r="AD150" i="1"/>
  <c r="AB151" i="1"/>
  <c r="AC151" i="1"/>
  <c r="AD151" i="1"/>
  <c r="AB152" i="1"/>
  <c r="AC152" i="1"/>
  <c r="AD152" i="1"/>
  <c r="AB153" i="1"/>
  <c r="AC153" i="1"/>
  <c r="AD153" i="1"/>
  <c r="AB154" i="1"/>
  <c r="AC154" i="1"/>
  <c r="AD154" i="1"/>
  <c r="AB155" i="1"/>
  <c r="AC155" i="1"/>
  <c r="AD155" i="1"/>
  <c r="AB156" i="1"/>
  <c r="AC156" i="1"/>
  <c r="AD156" i="1"/>
  <c r="AB157" i="1"/>
  <c r="AC157" i="1"/>
  <c r="AD157" i="1"/>
  <c r="AB158" i="1"/>
  <c r="AC158" i="1"/>
  <c r="AD158" i="1"/>
  <c r="AB159" i="1"/>
  <c r="AC159" i="1"/>
  <c r="AD159" i="1"/>
  <c r="AB160" i="1"/>
  <c r="AC160" i="1"/>
  <c r="AD160" i="1"/>
  <c r="AB161" i="1"/>
  <c r="AC161" i="1"/>
  <c r="AD161" i="1"/>
  <c r="AB162" i="1"/>
  <c r="AC162" i="1"/>
  <c r="AD162" i="1"/>
  <c r="AB163" i="1"/>
  <c r="AC163" i="1"/>
  <c r="AD163" i="1"/>
  <c r="AB164" i="1"/>
  <c r="AC164" i="1"/>
  <c r="AD164" i="1"/>
  <c r="AB165" i="1"/>
  <c r="AC165" i="1"/>
  <c r="AD165" i="1"/>
  <c r="AB166" i="1"/>
  <c r="AC166" i="1"/>
  <c r="AD166" i="1"/>
  <c r="AB167" i="1"/>
  <c r="AC167" i="1"/>
  <c r="AD167" i="1"/>
  <c r="AB168" i="1"/>
  <c r="AC168" i="1"/>
  <c r="AD168" i="1"/>
  <c r="AB169" i="1"/>
  <c r="AC169" i="1"/>
  <c r="AD169" i="1"/>
  <c r="AB170" i="1"/>
  <c r="AC170" i="1"/>
  <c r="AD170" i="1"/>
  <c r="AB171" i="1"/>
  <c r="AC171" i="1"/>
  <c r="AD171" i="1"/>
  <c r="AB172" i="1"/>
  <c r="AC172" i="1"/>
  <c r="AD172" i="1"/>
  <c r="AB173" i="1"/>
  <c r="AC173" i="1"/>
  <c r="AD173" i="1"/>
  <c r="AB174" i="1"/>
  <c r="AC174" i="1"/>
  <c r="AD174" i="1"/>
  <c r="AB175" i="1"/>
  <c r="AC175" i="1"/>
  <c r="AD175" i="1"/>
  <c r="AB176" i="1"/>
  <c r="AC176" i="1"/>
  <c r="AD176" i="1"/>
  <c r="AB177" i="1"/>
  <c r="AC177" i="1"/>
  <c r="AD177" i="1"/>
  <c r="AB178" i="1"/>
  <c r="AC178" i="1"/>
  <c r="AD178" i="1"/>
  <c r="AB179" i="1"/>
  <c r="AC179" i="1"/>
  <c r="AD179" i="1"/>
  <c r="AB180" i="1"/>
  <c r="AC180" i="1"/>
  <c r="AD180" i="1"/>
  <c r="AB181" i="1"/>
  <c r="AC181" i="1"/>
  <c r="AD181" i="1"/>
  <c r="AB182" i="1"/>
  <c r="AC182" i="1"/>
  <c r="AD182" i="1"/>
  <c r="AB183" i="1"/>
  <c r="AC183" i="1"/>
  <c r="AD183" i="1"/>
  <c r="AB184" i="1"/>
  <c r="AC184" i="1"/>
  <c r="AD184" i="1"/>
  <c r="AB185" i="1"/>
  <c r="AC185" i="1"/>
  <c r="AD185" i="1"/>
  <c r="AB186" i="1"/>
  <c r="AC186" i="1"/>
  <c r="AD186" i="1"/>
  <c r="AB187" i="1"/>
  <c r="AC187" i="1"/>
  <c r="AD187" i="1"/>
  <c r="AB188" i="1"/>
  <c r="AC188" i="1"/>
  <c r="AD188" i="1"/>
  <c r="AB189" i="1"/>
  <c r="AC189" i="1"/>
  <c r="AD189" i="1"/>
  <c r="AB190" i="1"/>
  <c r="AC190" i="1"/>
  <c r="AD190" i="1"/>
  <c r="AB191" i="1"/>
  <c r="AC191" i="1"/>
  <c r="AD191" i="1"/>
  <c r="AB192" i="1"/>
  <c r="AC192" i="1"/>
  <c r="AD192" i="1"/>
  <c r="AB193" i="1"/>
  <c r="AC193" i="1"/>
  <c r="AD193" i="1"/>
  <c r="AB194" i="1"/>
  <c r="AC194" i="1"/>
  <c r="AD194" i="1"/>
  <c r="AB195" i="1"/>
  <c r="AC195" i="1"/>
  <c r="AD195" i="1"/>
  <c r="AB196" i="1"/>
  <c r="AC196" i="1"/>
  <c r="AD196" i="1"/>
  <c r="AB197" i="1"/>
  <c r="AC197" i="1"/>
  <c r="AD197" i="1"/>
  <c r="AB198" i="1"/>
  <c r="AC198" i="1"/>
  <c r="AD198" i="1"/>
  <c r="AB199" i="1"/>
  <c r="AC199" i="1"/>
  <c r="AD199" i="1"/>
  <c r="AB200" i="1"/>
  <c r="AC200" i="1"/>
  <c r="AD200" i="1"/>
  <c r="AB201" i="1"/>
  <c r="AC201" i="1"/>
  <c r="AD201" i="1"/>
  <c r="AB202" i="1"/>
  <c r="AC202" i="1"/>
  <c r="AD202" i="1"/>
  <c r="AB3" i="1"/>
  <c r="AC3" i="1"/>
  <c r="AD3" i="1"/>
  <c r="J4" i="1"/>
  <c r="K4" i="1"/>
  <c r="L4" i="1"/>
  <c r="N4" i="1"/>
  <c r="O4" i="1"/>
  <c r="Q4" i="1"/>
  <c r="R4" i="1"/>
  <c r="T4" i="1"/>
  <c r="U4" i="1"/>
  <c r="V4" i="1"/>
  <c r="X4" i="1"/>
  <c r="Y4" i="1"/>
  <c r="Z4" i="1"/>
  <c r="J5" i="1"/>
  <c r="K5" i="1"/>
  <c r="L5" i="1"/>
  <c r="N5" i="1"/>
  <c r="O5" i="1"/>
  <c r="Q5" i="1"/>
  <c r="R5" i="1"/>
  <c r="T5" i="1"/>
  <c r="U5" i="1"/>
  <c r="V5" i="1"/>
  <c r="X5" i="1"/>
  <c r="Y5" i="1"/>
  <c r="Z5" i="1"/>
  <c r="J6" i="1"/>
  <c r="K6" i="1"/>
  <c r="L6" i="1"/>
  <c r="N6" i="1"/>
  <c r="O6" i="1"/>
  <c r="Q6" i="1"/>
  <c r="R6" i="1"/>
  <c r="T6" i="1"/>
  <c r="U6" i="1"/>
  <c r="V6" i="1"/>
  <c r="X6" i="1"/>
  <c r="Y6" i="1"/>
  <c r="Z6" i="1"/>
  <c r="J7" i="1"/>
  <c r="K7" i="1"/>
  <c r="L7" i="1"/>
  <c r="N7" i="1"/>
  <c r="O7" i="1"/>
  <c r="Q7" i="1"/>
  <c r="R7" i="1"/>
  <c r="T7" i="1"/>
  <c r="U7" i="1"/>
  <c r="V7" i="1"/>
  <c r="X7" i="1"/>
  <c r="Y7" i="1"/>
  <c r="Z7" i="1"/>
  <c r="J8" i="1"/>
  <c r="K8" i="1"/>
  <c r="L8" i="1"/>
  <c r="N8" i="1"/>
  <c r="O8" i="1"/>
  <c r="Q8" i="1"/>
  <c r="R8" i="1"/>
  <c r="T8" i="1"/>
  <c r="U8" i="1"/>
  <c r="V8" i="1"/>
  <c r="X8" i="1"/>
  <c r="Y8" i="1"/>
  <c r="Z8" i="1"/>
  <c r="J9" i="1"/>
  <c r="K9" i="1"/>
  <c r="L9" i="1"/>
  <c r="N9" i="1"/>
  <c r="O9" i="1"/>
  <c r="Q9" i="1"/>
  <c r="R9" i="1"/>
  <c r="T9" i="1"/>
  <c r="U9" i="1"/>
  <c r="V9" i="1"/>
  <c r="X9" i="1"/>
  <c r="Y9" i="1"/>
  <c r="Z9" i="1"/>
  <c r="J10" i="1"/>
  <c r="K10" i="1"/>
  <c r="L10" i="1"/>
  <c r="N10" i="1"/>
  <c r="O10" i="1"/>
  <c r="Q10" i="1"/>
  <c r="R10" i="1"/>
  <c r="T10" i="1"/>
  <c r="U10" i="1"/>
  <c r="V10" i="1"/>
  <c r="X10" i="1"/>
  <c r="Y10" i="1"/>
  <c r="Z10" i="1"/>
  <c r="J11" i="1"/>
  <c r="K11" i="1"/>
  <c r="L11" i="1"/>
  <c r="N11" i="1"/>
  <c r="O11" i="1"/>
  <c r="Q11" i="1"/>
  <c r="R11" i="1"/>
  <c r="T11" i="1"/>
  <c r="U11" i="1"/>
  <c r="V11" i="1"/>
  <c r="X11" i="1"/>
  <c r="Y11" i="1"/>
  <c r="Z11" i="1"/>
  <c r="J12" i="1"/>
  <c r="K12" i="1"/>
  <c r="L12" i="1"/>
  <c r="N12" i="1"/>
  <c r="O12" i="1"/>
  <c r="Q12" i="1"/>
  <c r="R12" i="1"/>
  <c r="T12" i="1"/>
  <c r="U12" i="1"/>
  <c r="V12" i="1"/>
  <c r="X12" i="1"/>
  <c r="Y12" i="1"/>
  <c r="Z12" i="1"/>
  <c r="J13" i="1"/>
  <c r="K13" i="1"/>
  <c r="L13" i="1"/>
  <c r="N13" i="1"/>
  <c r="O13" i="1"/>
  <c r="Q13" i="1"/>
  <c r="R13" i="1"/>
  <c r="T13" i="1"/>
  <c r="U13" i="1"/>
  <c r="V13" i="1"/>
  <c r="X13" i="1"/>
  <c r="Y13" i="1"/>
  <c r="Z13" i="1"/>
  <c r="J14" i="1"/>
  <c r="K14" i="1"/>
  <c r="L14" i="1"/>
  <c r="N14" i="1"/>
  <c r="O14" i="1"/>
  <c r="Q14" i="1"/>
  <c r="R14" i="1"/>
  <c r="T14" i="1"/>
  <c r="U14" i="1"/>
  <c r="V14" i="1"/>
  <c r="X14" i="1"/>
  <c r="Y14" i="1"/>
  <c r="Z14" i="1"/>
  <c r="J15" i="1"/>
  <c r="K15" i="1"/>
  <c r="L15" i="1"/>
  <c r="N15" i="1"/>
  <c r="O15" i="1"/>
  <c r="Q15" i="1"/>
  <c r="R15" i="1"/>
  <c r="T15" i="1"/>
  <c r="U15" i="1"/>
  <c r="V15" i="1"/>
  <c r="X15" i="1"/>
  <c r="Y15" i="1"/>
  <c r="Z15" i="1"/>
  <c r="J16" i="1"/>
  <c r="K16" i="1"/>
  <c r="L16" i="1"/>
  <c r="N16" i="1"/>
  <c r="O16" i="1"/>
  <c r="Q16" i="1"/>
  <c r="R16" i="1"/>
  <c r="T16" i="1"/>
  <c r="U16" i="1"/>
  <c r="V16" i="1"/>
  <c r="X16" i="1"/>
  <c r="Y16" i="1"/>
  <c r="Z16" i="1"/>
  <c r="J17" i="1"/>
  <c r="K17" i="1"/>
  <c r="L17" i="1"/>
  <c r="N17" i="1"/>
  <c r="O17" i="1"/>
  <c r="Q17" i="1"/>
  <c r="R17" i="1"/>
  <c r="T17" i="1"/>
  <c r="U17" i="1"/>
  <c r="V17" i="1"/>
  <c r="X17" i="1"/>
  <c r="Y17" i="1"/>
  <c r="Z17" i="1"/>
  <c r="J18" i="1"/>
  <c r="K18" i="1"/>
  <c r="L18" i="1"/>
  <c r="N18" i="1"/>
  <c r="O18" i="1"/>
  <c r="Q18" i="1"/>
  <c r="R18" i="1"/>
  <c r="T18" i="1"/>
  <c r="U18" i="1"/>
  <c r="V18" i="1"/>
  <c r="X18" i="1"/>
  <c r="Y18" i="1"/>
  <c r="Z18" i="1"/>
  <c r="J19" i="1"/>
  <c r="K19" i="1"/>
  <c r="L19" i="1"/>
  <c r="N19" i="1"/>
  <c r="O19" i="1"/>
  <c r="Q19" i="1"/>
  <c r="R19" i="1"/>
  <c r="T19" i="1"/>
  <c r="U19" i="1"/>
  <c r="V19" i="1"/>
  <c r="X19" i="1"/>
  <c r="Y19" i="1"/>
  <c r="Z19" i="1"/>
  <c r="J20" i="1"/>
  <c r="K20" i="1"/>
  <c r="L20" i="1"/>
  <c r="N20" i="1"/>
  <c r="O20" i="1"/>
  <c r="Q20" i="1"/>
  <c r="R20" i="1"/>
  <c r="T20" i="1"/>
  <c r="U20" i="1"/>
  <c r="V20" i="1"/>
  <c r="X20" i="1"/>
  <c r="Y20" i="1"/>
  <c r="Z20" i="1"/>
  <c r="J21" i="1"/>
  <c r="K21" i="1"/>
  <c r="L21" i="1"/>
  <c r="N21" i="1"/>
  <c r="O21" i="1"/>
  <c r="Q21" i="1"/>
  <c r="R21" i="1"/>
  <c r="T21" i="1"/>
  <c r="U21" i="1"/>
  <c r="V21" i="1"/>
  <c r="X21" i="1"/>
  <c r="Y21" i="1"/>
  <c r="Z21" i="1"/>
  <c r="J22" i="1"/>
  <c r="K22" i="1"/>
  <c r="L22" i="1"/>
  <c r="N22" i="1"/>
  <c r="O22" i="1"/>
  <c r="Q22" i="1"/>
  <c r="R22" i="1"/>
  <c r="T22" i="1"/>
  <c r="U22" i="1"/>
  <c r="V22" i="1"/>
  <c r="X22" i="1"/>
  <c r="Y22" i="1"/>
  <c r="Z22" i="1"/>
  <c r="J23" i="1"/>
  <c r="K23" i="1"/>
  <c r="L23" i="1"/>
  <c r="N23" i="1"/>
  <c r="O23" i="1"/>
  <c r="Q23" i="1"/>
  <c r="R23" i="1"/>
  <c r="T23" i="1"/>
  <c r="U23" i="1"/>
  <c r="V23" i="1"/>
  <c r="X23" i="1"/>
  <c r="Y23" i="1"/>
  <c r="Z23" i="1"/>
  <c r="J24" i="1"/>
  <c r="K24" i="1"/>
  <c r="L24" i="1"/>
  <c r="N24" i="1"/>
  <c r="O24" i="1"/>
  <c r="Q24" i="1"/>
  <c r="R24" i="1"/>
  <c r="T24" i="1"/>
  <c r="U24" i="1"/>
  <c r="V24" i="1"/>
  <c r="X24" i="1"/>
  <c r="Y24" i="1"/>
  <c r="Z24" i="1"/>
  <c r="J25" i="1"/>
  <c r="K25" i="1"/>
  <c r="L25" i="1"/>
  <c r="N25" i="1"/>
  <c r="O25" i="1"/>
  <c r="Q25" i="1"/>
  <c r="R25" i="1"/>
  <c r="T25" i="1"/>
  <c r="U25" i="1"/>
  <c r="V25" i="1"/>
  <c r="X25" i="1"/>
  <c r="Y25" i="1"/>
  <c r="Z25" i="1"/>
  <c r="J26" i="1"/>
  <c r="K26" i="1"/>
  <c r="L26" i="1"/>
  <c r="N26" i="1"/>
  <c r="O26" i="1"/>
  <c r="Q26" i="1"/>
  <c r="R26" i="1"/>
  <c r="T26" i="1"/>
  <c r="U26" i="1"/>
  <c r="V26" i="1"/>
  <c r="X26" i="1"/>
  <c r="Y26" i="1"/>
  <c r="Z26" i="1"/>
  <c r="J27" i="1"/>
  <c r="K27" i="1"/>
  <c r="L27" i="1"/>
  <c r="N27" i="1"/>
  <c r="O27" i="1"/>
  <c r="Q27" i="1"/>
  <c r="R27" i="1"/>
  <c r="T27" i="1"/>
  <c r="U27" i="1"/>
  <c r="V27" i="1"/>
  <c r="X27" i="1"/>
  <c r="Y27" i="1"/>
  <c r="Z27" i="1"/>
  <c r="J28" i="1"/>
  <c r="K28" i="1"/>
  <c r="L28" i="1"/>
  <c r="N28" i="1"/>
  <c r="O28" i="1"/>
  <c r="Q28" i="1"/>
  <c r="R28" i="1"/>
  <c r="T28" i="1"/>
  <c r="U28" i="1"/>
  <c r="V28" i="1"/>
  <c r="X28" i="1"/>
  <c r="Y28" i="1"/>
  <c r="Z28" i="1"/>
  <c r="J29" i="1"/>
  <c r="K29" i="1"/>
  <c r="L29" i="1"/>
  <c r="N29" i="1"/>
  <c r="O29" i="1"/>
  <c r="Q29" i="1"/>
  <c r="R29" i="1"/>
  <c r="T29" i="1"/>
  <c r="U29" i="1"/>
  <c r="V29" i="1"/>
  <c r="X29" i="1"/>
  <c r="Y29" i="1"/>
  <c r="Z29" i="1"/>
  <c r="J30" i="1"/>
  <c r="K30" i="1"/>
  <c r="L30" i="1"/>
  <c r="N30" i="1"/>
  <c r="O30" i="1"/>
  <c r="Q30" i="1"/>
  <c r="R30" i="1"/>
  <c r="T30" i="1"/>
  <c r="U30" i="1"/>
  <c r="V30" i="1"/>
  <c r="X30" i="1"/>
  <c r="Y30" i="1"/>
  <c r="Z30" i="1"/>
  <c r="J31" i="1"/>
  <c r="K31" i="1"/>
  <c r="L31" i="1"/>
  <c r="N31" i="1"/>
  <c r="O31" i="1"/>
  <c r="Q31" i="1"/>
  <c r="R31" i="1"/>
  <c r="T31" i="1"/>
  <c r="U31" i="1"/>
  <c r="V31" i="1"/>
  <c r="X31" i="1"/>
  <c r="Y31" i="1"/>
  <c r="Z31" i="1"/>
  <c r="J32" i="1"/>
  <c r="K32" i="1"/>
  <c r="L32" i="1"/>
  <c r="N32" i="1"/>
  <c r="O32" i="1"/>
  <c r="Q32" i="1"/>
  <c r="R32" i="1"/>
  <c r="T32" i="1"/>
  <c r="U32" i="1"/>
  <c r="V32" i="1"/>
  <c r="X32" i="1"/>
  <c r="Y32" i="1"/>
  <c r="Z32" i="1"/>
  <c r="J33" i="1"/>
  <c r="K33" i="1"/>
  <c r="L33" i="1"/>
  <c r="N33" i="1"/>
  <c r="O33" i="1"/>
  <c r="Q33" i="1"/>
  <c r="R33" i="1"/>
  <c r="T33" i="1"/>
  <c r="U33" i="1"/>
  <c r="V33" i="1"/>
  <c r="X33" i="1"/>
  <c r="Y33" i="1"/>
  <c r="Z33" i="1"/>
  <c r="J34" i="1"/>
  <c r="K34" i="1"/>
  <c r="L34" i="1"/>
  <c r="N34" i="1"/>
  <c r="O34" i="1"/>
  <c r="Q34" i="1"/>
  <c r="R34" i="1"/>
  <c r="T34" i="1"/>
  <c r="U34" i="1"/>
  <c r="V34" i="1"/>
  <c r="X34" i="1"/>
  <c r="Y34" i="1"/>
  <c r="Z34" i="1"/>
  <c r="J35" i="1"/>
  <c r="K35" i="1"/>
  <c r="L35" i="1"/>
  <c r="N35" i="1"/>
  <c r="O35" i="1"/>
  <c r="Q35" i="1"/>
  <c r="R35" i="1"/>
  <c r="T35" i="1"/>
  <c r="U35" i="1"/>
  <c r="V35" i="1"/>
  <c r="X35" i="1"/>
  <c r="Y35" i="1"/>
  <c r="Z35" i="1"/>
  <c r="J36" i="1"/>
  <c r="K36" i="1"/>
  <c r="L36" i="1"/>
  <c r="N36" i="1"/>
  <c r="O36" i="1"/>
  <c r="Q36" i="1"/>
  <c r="R36" i="1"/>
  <c r="T36" i="1"/>
  <c r="U36" i="1"/>
  <c r="V36" i="1"/>
  <c r="X36" i="1"/>
  <c r="Y36" i="1"/>
  <c r="Z36" i="1"/>
  <c r="J37" i="1"/>
  <c r="K37" i="1"/>
  <c r="L37" i="1"/>
  <c r="N37" i="1"/>
  <c r="O37" i="1"/>
  <c r="Q37" i="1"/>
  <c r="R37" i="1"/>
  <c r="T37" i="1"/>
  <c r="U37" i="1"/>
  <c r="V37" i="1"/>
  <c r="X37" i="1"/>
  <c r="Y37" i="1"/>
  <c r="Z37" i="1"/>
  <c r="J38" i="1"/>
  <c r="K38" i="1"/>
  <c r="L38" i="1"/>
  <c r="N38" i="1"/>
  <c r="O38" i="1"/>
  <c r="Q38" i="1"/>
  <c r="R38" i="1"/>
  <c r="T38" i="1"/>
  <c r="U38" i="1"/>
  <c r="V38" i="1"/>
  <c r="X38" i="1"/>
  <c r="Y38" i="1"/>
  <c r="Z38" i="1"/>
  <c r="J39" i="1"/>
  <c r="K39" i="1"/>
  <c r="L39" i="1"/>
  <c r="N39" i="1"/>
  <c r="O39" i="1"/>
  <c r="Q39" i="1"/>
  <c r="R39" i="1"/>
  <c r="T39" i="1"/>
  <c r="U39" i="1"/>
  <c r="V39" i="1"/>
  <c r="X39" i="1"/>
  <c r="Y39" i="1"/>
  <c r="Z39" i="1"/>
  <c r="J40" i="1"/>
  <c r="K40" i="1"/>
  <c r="L40" i="1"/>
  <c r="N40" i="1"/>
  <c r="O40" i="1"/>
  <c r="Q40" i="1"/>
  <c r="R40" i="1"/>
  <c r="T40" i="1"/>
  <c r="U40" i="1"/>
  <c r="V40" i="1"/>
  <c r="X40" i="1"/>
  <c r="Y40" i="1"/>
  <c r="Z40" i="1"/>
  <c r="J41" i="1"/>
  <c r="K41" i="1"/>
  <c r="L41" i="1"/>
  <c r="N41" i="1"/>
  <c r="O41" i="1"/>
  <c r="Q41" i="1"/>
  <c r="R41" i="1"/>
  <c r="T41" i="1"/>
  <c r="U41" i="1"/>
  <c r="V41" i="1"/>
  <c r="X41" i="1"/>
  <c r="Y41" i="1"/>
  <c r="Z41" i="1"/>
  <c r="J42" i="1"/>
  <c r="K42" i="1"/>
  <c r="L42" i="1"/>
  <c r="N42" i="1"/>
  <c r="O42" i="1"/>
  <c r="Q42" i="1"/>
  <c r="R42" i="1"/>
  <c r="T42" i="1"/>
  <c r="U42" i="1"/>
  <c r="V42" i="1"/>
  <c r="X42" i="1"/>
  <c r="Y42" i="1"/>
  <c r="Z42" i="1"/>
  <c r="J43" i="1"/>
  <c r="K43" i="1"/>
  <c r="L43" i="1"/>
  <c r="N43" i="1"/>
  <c r="O43" i="1"/>
  <c r="Q43" i="1"/>
  <c r="R43" i="1"/>
  <c r="T43" i="1"/>
  <c r="U43" i="1"/>
  <c r="V43" i="1"/>
  <c r="X43" i="1"/>
  <c r="Y43" i="1"/>
  <c r="Z43" i="1"/>
  <c r="J44" i="1"/>
  <c r="K44" i="1"/>
  <c r="L44" i="1"/>
  <c r="N44" i="1"/>
  <c r="O44" i="1"/>
  <c r="Q44" i="1"/>
  <c r="R44" i="1"/>
  <c r="T44" i="1"/>
  <c r="U44" i="1"/>
  <c r="V44" i="1"/>
  <c r="X44" i="1"/>
  <c r="Y44" i="1"/>
  <c r="Z44" i="1"/>
  <c r="J45" i="1"/>
  <c r="K45" i="1"/>
  <c r="L45" i="1"/>
  <c r="N45" i="1"/>
  <c r="O45" i="1"/>
  <c r="Q45" i="1"/>
  <c r="R45" i="1"/>
  <c r="T45" i="1"/>
  <c r="U45" i="1"/>
  <c r="V45" i="1"/>
  <c r="X45" i="1"/>
  <c r="Y45" i="1"/>
  <c r="Z45" i="1"/>
  <c r="J46" i="1"/>
  <c r="K46" i="1"/>
  <c r="L46" i="1"/>
  <c r="N46" i="1"/>
  <c r="O46" i="1"/>
  <c r="Q46" i="1"/>
  <c r="R46" i="1"/>
  <c r="T46" i="1"/>
  <c r="U46" i="1"/>
  <c r="V46" i="1"/>
  <c r="X46" i="1"/>
  <c r="Y46" i="1"/>
  <c r="Z46" i="1"/>
  <c r="J47" i="1"/>
  <c r="K47" i="1"/>
  <c r="L47" i="1"/>
  <c r="N47" i="1"/>
  <c r="O47" i="1"/>
  <c r="Q47" i="1"/>
  <c r="R47" i="1"/>
  <c r="T47" i="1"/>
  <c r="U47" i="1"/>
  <c r="V47" i="1"/>
  <c r="X47" i="1"/>
  <c r="Y47" i="1"/>
  <c r="Z47" i="1"/>
  <c r="J48" i="1"/>
  <c r="K48" i="1"/>
  <c r="L48" i="1"/>
  <c r="N48" i="1"/>
  <c r="O48" i="1"/>
  <c r="Q48" i="1"/>
  <c r="R48" i="1"/>
  <c r="T48" i="1"/>
  <c r="U48" i="1"/>
  <c r="V48" i="1"/>
  <c r="X48" i="1"/>
  <c r="Y48" i="1"/>
  <c r="Z48" i="1"/>
  <c r="J49" i="1"/>
  <c r="K49" i="1"/>
  <c r="L49" i="1"/>
  <c r="N49" i="1"/>
  <c r="O49" i="1"/>
  <c r="Q49" i="1"/>
  <c r="R49" i="1"/>
  <c r="T49" i="1"/>
  <c r="U49" i="1"/>
  <c r="V49" i="1"/>
  <c r="X49" i="1"/>
  <c r="Y49" i="1"/>
  <c r="Z49" i="1"/>
  <c r="J50" i="1"/>
  <c r="K50" i="1"/>
  <c r="L50" i="1"/>
  <c r="N50" i="1"/>
  <c r="O50" i="1"/>
  <c r="Q50" i="1"/>
  <c r="R50" i="1"/>
  <c r="T50" i="1"/>
  <c r="U50" i="1"/>
  <c r="V50" i="1"/>
  <c r="X50" i="1"/>
  <c r="Y50" i="1"/>
  <c r="Z50" i="1"/>
  <c r="J51" i="1"/>
  <c r="K51" i="1"/>
  <c r="L51" i="1"/>
  <c r="N51" i="1"/>
  <c r="O51" i="1"/>
  <c r="Q51" i="1"/>
  <c r="R51" i="1"/>
  <c r="T51" i="1"/>
  <c r="U51" i="1"/>
  <c r="V51" i="1"/>
  <c r="X51" i="1"/>
  <c r="Y51" i="1"/>
  <c r="Z51" i="1"/>
  <c r="J52" i="1"/>
  <c r="K52" i="1"/>
  <c r="L52" i="1"/>
  <c r="N52" i="1"/>
  <c r="O52" i="1"/>
  <c r="Q52" i="1"/>
  <c r="R52" i="1"/>
  <c r="T52" i="1"/>
  <c r="U52" i="1"/>
  <c r="V52" i="1"/>
  <c r="X52" i="1"/>
  <c r="Y52" i="1"/>
  <c r="Z52" i="1"/>
  <c r="J53" i="1"/>
  <c r="K53" i="1"/>
  <c r="L53" i="1"/>
  <c r="N53" i="1"/>
  <c r="O53" i="1"/>
  <c r="Q53" i="1"/>
  <c r="R53" i="1"/>
  <c r="T53" i="1"/>
  <c r="U53" i="1"/>
  <c r="V53" i="1"/>
  <c r="X53" i="1"/>
  <c r="Y53" i="1"/>
  <c r="Z53" i="1"/>
  <c r="J54" i="1"/>
  <c r="K54" i="1"/>
  <c r="L54" i="1"/>
  <c r="N54" i="1"/>
  <c r="O54" i="1"/>
  <c r="Q54" i="1"/>
  <c r="R54" i="1"/>
  <c r="T54" i="1"/>
  <c r="U54" i="1"/>
  <c r="V54" i="1"/>
  <c r="X54" i="1"/>
  <c r="Y54" i="1"/>
  <c r="Z54" i="1"/>
  <c r="J55" i="1"/>
  <c r="K55" i="1"/>
  <c r="L55" i="1"/>
  <c r="N55" i="1"/>
  <c r="O55" i="1"/>
  <c r="Q55" i="1"/>
  <c r="R55" i="1"/>
  <c r="T55" i="1"/>
  <c r="U55" i="1"/>
  <c r="V55" i="1"/>
  <c r="X55" i="1"/>
  <c r="Y55" i="1"/>
  <c r="Z55" i="1"/>
  <c r="J56" i="1"/>
  <c r="K56" i="1"/>
  <c r="L56" i="1"/>
  <c r="N56" i="1"/>
  <c r="O56" i="1"/>
  <c r="Q56" i="1"/>
  <c r="R56" i="1"/>
  <c r="T56" i="1"/>
  <c r="U56" i="1"/>
  <c r="V56" i="1"/>
  <c r="X56" i="1"/>
  <c r="Y56" i="1"/>
  <c r="Z56" i="1"/>
  <c r="J57" i="1"/>
  <c r="K57" i="1"/>
  <c r="L57" i="1"/>
  <c r="N57" i="1"/>
  <c r="O57" i="1"/>
  <c r="Q57" i="1"/>
  <c r="R57" i="1"/>
  <c r="T57" i="1"/>
  <c r="U57" i="1"/>
  <c r="V57" i="1"/>
  <c r="X57" i="1"/>
  <c r="Y57" i="1"/>
  <c r="Z57" i="1"/>
  <c r="J58" i="1"/>
  <c r="K58" i="1"/>
  <c r="L58" i="1"/>
  <c r="N58" i="1"/>
  <c r="O58" i="1"/>
  <c r="Q58" i="1"/>
  <c r="R58" i="1"/>
  <c r="T58" i="1"/>
  <c r="U58" i="1"/>
  <c r="V58" i="1"/>
  <c r="X58" i="1"/>
  <c r="Y58" i="1"/>
  <c r="Z58" i="1"/>
  <c r="J59" i="1"/>
  <c r="K59" i="1"/>
  <c r="L59" i="1"/>
  <c r="N59" i="1"/>
  <c r="O59" i="1"/>
  <c r="Q59" i="1"/>
  <c r="R59" i="1"/>
  <c r="T59" i="1"/>
  <c r="U59" i="1"/>
  <c r="V59" i="1"/>
  <c r="X59" i="1"/>
  <c r="Y59" i="1"/>
  <c r="Z59" i="1"/>
  <c r="J60" i="1"/>
  <c r="K60" i="1"/>
  <c r="L60" i="1"/>
  <c r="N60" i="1"/>
  <c r="O60" i="1"/>
  <c r="Q60" i="1"/>
  <c r="R60" i="1"/>
  <c r="T60" i="1"/>
  <c r="U60" i="1"/>
  <c r="V60" i="1"/>
  <c r="X60" i="1"/>
  <c r="Y60" i="1"/>
  <c r="Z60" i="1"/>
  <c r="J61" i="1"/>
  <c r="K61" i="1"/>
  <c r="L61" i="1"/>
  <c r="N61" i="1"/>
  <c r="O61" i="1"/>
  <c r="Q61" i="1"/>
  <c r="R61" i="1"/>
  <c r="T61" i="1"/>
  <c r="U61" i="1"/>
  <c r="V61" i="1"/>
  <c r="X61" i="1"/>
  <c r="Y61" i="1"/>
  <c r="Z61" i="1"/>
  <c r="J62" i="1"/>
  <c r="K62" i="1"/>
  <c r="L62" i="1"/>
  <c r="N62" i="1"/>
  <c r="O62" i="1"/>
  <c r="Q62" i="1"/>
  <c r="R62" i="1"/>
  <c r="T62" i="1"/>
  <c r="U62" i="1"/>
  <c r="V62" i="1"/>
  <c r="X62" i="1"/>
  <c r="Y62" i="1"/>
  <c r="Z62" i="1"/>
  <c r="J63" i="1"/>
  <c r="K63" i="1"/>
  <c r="L63" i="1"/>
  <c r="N63" i="1"/>
  <c r="O63" i="1"/>
  <c r="Q63" i="1"/>
  <c r="R63" i="1"/>
  <c r="T63" i="1"/>
  <c r="U63" i="1"/>
  <c r="V63" i="1"/>
  <c r="X63" i="1"/>
  <c r="Y63" i="1"/>
  <c r="Z63" i="1"/>
  <c r="J64" i="1"/>
  <c r="K64" i="1"/>
  <c r="L64" i="1"/>
  <c r="N64" i="1"/>
  <c r="O64" i="1"/>
  <c r="Q64" i="1"/>
  <c r="R64" i="1"/>
  <c r="T64" i="1"/>
  <c r="U64" i="1"/>
  <c r="V64" i="1"/>
  <c r="X64" i="1"/>
  <c r="Y64" i="1"/>
  <c r="Z64" i="1"/>
  <c r="J65" i="1"/>
  <c r="K65" i="1"/>
  <c r="L65" i="1"/>
  <c r="N65" i="1"/>
  <c r="O65" i="1"/>
  <c r="Q65" i="1"/>
  <c r="R65" i="1"/>
  <c r="T65" i="1"/>
  <c r="U65" i="1"/>
  <c r="V65" i="1"/>
  <c r="X65" i="1"/>
  <c r="Y65" i="1"/>
  <c r="Z65" i="1"/>
  <c r="J66" i="1"/>
  <c r="K66" i="1"/>
  <c r="L66" i="1"/>
  <c r="N66" i="1"/>
  <c r="O66" i="1"/>
  <c r="Q66" i="1"/>
  <c r="R66" i="1"/>
  <c r="T66" i="1"/>
  <c r="U66" i="1"/>
  <c r="V66" i="1"/>
  <c r="X66" i="1"/>
  <c r="Y66" i="1"/>
  <c r="Z66" i="1"/>
  <c r="J67" i="1"/>
  <c r="K67" i="1"/>
  <c r="L67" i="1"/>
  <c r="N67" i="1"/>
  <c r="O67" i="1"/>
  <c r="Q67" i="1"/>
  <c r="R67" i="1"/>
  <c r="T67" i="1"/>
  <c r="U67" i="1"/>
  <c r="V67" i="1"/>
  <c r="X67" i="1"/>
  <c r="Y67" i="1"/>
  <c r="Z67" i="1"/>
  <c r="J68" i="1"/>
  <c r="K68" i="1"/>
  <c r="L68" i="1"/>
  <c r="N68" i="1"/>
  <c r="O68" i="1"/>
  <c r="Q68" i="1"/>
  <c r="R68" i="1"/>
  <c r="T68" i="1"/>
  <c r="U68" i="1"/>
  <c r="V68" i="1"/>
  <c r="X68" i="1"/>
  <c r="Y68" i="1"/>
  <c r="Z68" i="1"/>
  <c r="J69" i="1"/>
  <c r="K69" i="1"/>
  <c r="L69" i="1"/>
  <c r="N69" i="1"/>
  <c r="O69" i="1"/>
  <c r="Q69" i="1"/>
  <c r="R69" i="1"/>
  <c r="T69" i="1"/>
  <c r="U69" i="1"/>
  <c r="V69" i="1"/>
  <c r="X69" i="1"/>
  <c r="Y69" i="1"/>
  <c r="Z69" i="1"/>
  <c r="J70" i="1"/>
  <c r="K70" i="1"/>
  <c r="L70" i="1"/>
  <c r="N70" i="1"/>
  <c r="O70" i="1"/>
  <c r="Q70" i="1"/>
  <c r="R70" i="1"/>
  <c r="T70" i="1"/>
  <c r="U70" i="1"/>
  <c r="V70" i="1"/>
  <c r="X70" i="1"/>
  <c r="Y70" i="1"/>
  <c r="Z70" i="1"/>
  <c r="J71" i="1"/>
  <c r="K71" i="1"/>
  <c r="L71" i="1"/>
  <c r="N71" i="1"/>
  <c r="O71" i="1"/>
  <c r="Q71" i="1"/>
  <c r="R71" i="1"/>
  <c r="T71" i="1"/>
  <c r="U71" i="1"/>
  <c r="V71" i="1"/>
  <c r="X71" i="1"/>
  <c r="Y71" i="1"/>
  <c r="Z71" i="1"/>
  <c r="J72" i="1"/>
  <c r="K72" i="1"/>
  <c r="L72" i="1"/>
  <c r="N72" i="1"/>
  <c r="O72" i="1"/>
  <c r="Q72" i="1"/>
  <c r="R72" i="1"/>
  <c r="T72" i="1"/>
  <c r="U72" i="1"/>
  <c r="V72" i="1"/>
  <c r="X72" i="1"/>
  <c r="Y72" i="1"/>
  <c r="Z72" i="1"/>
  <c r="J73" i="1"/>
  <c r="K73" i="1"/>
  <c r="L73" i="1"/>
  <c r="N73" i="1"/>
  <c r="O73" i="1"/>
  <c r="Q73" i="1"/>
  <c r="R73" i="1"/>
  <c r="T73" i="1"/>
  <c r="U73" i="1"/>
  <c r="V73" i="1"/>
  <c r="X73" i="1"/>
  <c r="Y73" i="1"/>
  <c r="Z73" i="1"/>
  <c r="J74" i="1"/>
  <c r="K74" i="1"/>
  <c r="L74" i="1"/>
  <c r="N74" i="1"/>
  <c r="O74" i="1"/>
  <c r="Q74" i="1"/>
  <c r="R74" i="1"/>
  <c r="T74" i="1"/>
  <c r="U74" i="1"/>
  <c r="V74" i="1"/>
  <c r="X74" i="1"/>
  <c r="Y74" i="1"/>
  <c r="Z74" i="1"/>
  <c r="J75" i="1"/>
  <c r="K75" i="1"/>
  <c r="L75" i="1"/>
  <c r="N75" i="1"/>
  <c r="O75" i="1"/>
  <c r="Q75" i="1"/>
  <c r="R75" i="1"/>
  <c r="T75" i="1"/>
  <c r="U75" i="1"/>
  <c r="V75" i="1"/>
  <c r="X75" i="1"/>
  <c r="Y75" i="1"/>
  <c r="Z75" i="1"/>
  <c r="J76" i="1"/>
  <c r="K76" i="1"/>
  <c r="L76" i="1"/>
  <c r="N76" i="1"/>
  <c r="O76" i="1"/>
  <c r="Q76" i="1"/>
  <c r="R76" i="1"/>
  <c r="T76" i="1"/>
  <c r="U76" i="1"/>
  <c r="V76" i="1"/>
  <c r="X76" i="1"/>
  <c r="Y76" i="1"/>
  <c r="Z76" i="1"/>
  <c r="J77" i="1"/>
  <c r="K77" i="1"/>
  <c r="L77" i="1"/>
  <c r="N77" i="1"/>
  <c r="O77" i="1"/>
  <c r="Q77" i="1"/>
  <c r="R77" i="1"/>
  <c r="T77" i="1"/>
  <c r="U77" i="1"/>
  <c r="V77" i="1"/>
  <c r="X77" i="1"/>
  <c r="Y77" i="1"/>
  <c r="Z77" i="1"/>
  <c r="J78" i="1"/>
  <c r="K78" i="1"/>
  <c r="L78" i="1"/>
  <c r="N78" i="1"/>
  <c r="O78" i="1"/>
  <c r="Q78" i="1"/>
  <c r="R78" i="1"/>
  <c r="T78" i="1"/>
  <c r="U78" i="1"/>
  <c r="V78" i="1"/>
  <c r="X78" i="1"/>
  <c r="Y78" i="1"/>
  <c r="Z78" i="1"/>
  <c r="J79" i="1"/>
  <c r="K79" i="1"/>
  <c r="L79" i="1"/>
  <c r="N79" i="1"/>
  <c r="O79" i="1"/>
  <c r="Q79" i="1"/>
  <c r="R79" i="1"/>
  <c r="T79" i="1"/>
  <c r="U79" i="1"/>
  <c r="V79" i="1"/>
  <c r="X79" i="1"/>
  <c r="Y79" i="1"/>
  <c r="Z79" i="1"/>
  <c r="J80" i="1"/>
  <c r="K80" i="1"/>
  <c r="L80" i="1"/>
  <c r="N80" i="1"/>
  <c r="O80" i="1"/>
  <c r="Q80" i="1"/>
  <c r="R80" i="1"/>
  <c r="T80" i="1"/>
  <c r="U80" i="1"/>
  <c r="V80" i="1"/>
  <c r="X80" i="1"/>
  <c r="Y80" i="1"/>
  <c r="Z80" i="1"/>
  <c r="J81" i="1"/>
  <c r="K81" i="1"/>
  <c r="L81" i="1"/>
  <c r="N81" i="1"/>
  <c r="O81" i="1"/>
  <c r="Q81" i="1"/>
  <c r="R81" i="1"/>
  <c r="T81" i="1"/>
  <c r="U81" i="1"/>
  <c r="V81" i="1"/>
  <c r="X81" i="1"/>
  <c r="Y81" i="1"/>
  <c r="Z81" i="1"/>
  <c r="J82" i="1"/>
  <c r="K82" i="1"/>
  <c r="L82" i="1"/>
  <c r="N82" i="1"/>
  <c r="O82" i="1"/>
  <c r="Q82" i="1"/>
  <c r="R82" i="1"/>
  <c r="T82" i="1"/>
  <c r="U82" i="1"/>
  <c r="V82" i="1"/>
  <c r="X82" i="1"/>
  <c r="Y82" i="1"/>
  <c r="Z82" i="1"/>
  <c r="J83" i="1"/>
  <c r="K83" i="1"/>
  <c r="L83" i="1"/>
  <c r="N83" i="1"/>
  <c r="O83" i="1"/>
  <c r="Q83" i="1"/>
  <c r="R83" i="1"/>
  <c r="T83" i="1"/>
  <c r="U83" i="1"/>
  <c r="V83" i="1"/>
  <c r="X83" i="1"/>
  <c r="Y83" i="1"/>
  <c r="Z83" i="1"/>
  <c r="J84" i="1"/>
  <c r="K84" i="1"/>
  <c r="L84" i="1"/>
  <c r="N84" i="1"/>
  <c r="O84" i="1"/>
  <c r="Q84" i="1"/>
  <c r="R84" i="1"/>
  <c r="T84" i="1"/>
  <c r="U84" i="1"/>
  <c r="V84" i="1"/>
  <c r="X84" i="1"/>
  <c r="Y84" i="1"/>
  <c r="Z84" i="1"/>
  <c r="J85" i="1"/>
  <c r="K85" i="1"/>
  <c r="L85" i="1"/>
  <c r="N85" i="1"/>
  <c r="O85" i="1"/>
  <c r="Q85" i="1"/>
  <c r="R85" i="1"/>
  <c r="T85" i="1"/>
  <c r="U85" i="1"/>
  <c r="V85" i="1"/>
  <c r="X85" i="1"/>
  <c r="Y85" i="1"/>
  <c r="Z85" i="1"/>
  <c r="J86" i="1"/>
  <c r="K86" i="1"/>
  <c r="L86" i="1"/>
  <c r="N86" i="1"/>
  <c r="O86" i="1"/>
  <c r="Q86" i="1"/>
  <c r="R86" i="1"/>
  <c r="T86" i="1"/>
  <c r="U86" i="1"/>
  <c r="V86" i="1"/>
  <c r="X86" i="1"/>
  <c r="Y86" i="1"/>
  <c r="Z86" i="1"/>
  <c r="J87" i="1"/>
  <c r="K87" i="1"/>
  <c r="L87" i="1"/>
  <c r="N87" i="1"/>
  <c r="O87" i="1"/>
  <c r="Q87" i="1"/>
  <c r="R87" i="1"/>
  <c r="T87" i="1"/>
  <c r="U87" i="1"/>
  <c r="V87" i="1"/>
  <c r="X87" i="1"/>
  <c r="Y87" i="1"/>
  <c r="Z87" i="1"/>
  <c r="J88" i="1"/>
  <c r="K88" i="1"/>
  <c r="L88" i="1"/>
  <c r="N88" i="1"/>
  <c r="O88" i="1"/>
  <c r="Q88" i="1"/>
  <c r="R88" i="1"/>
  <c r="T88" i="1"/>
  <c r="U88" i="1"/>
  <c r="V88" i="1"/>
  <c r="X88" i="1"/>
  <c r="Y88" i="1"/>
  <c r="Z88" i="1"/>
  <c r="J89" i="1"/>
  <c r="K89" i="1"/>
  <c r="L89" i="1"/>
  <c r="N89" i="1"/>
  <c r="O89" i="1"/>
  <c r="Q89" i="1"/>
  <c r="R89" i="1"/>
  <c r="T89" i="1"/>
  <c r="U89" i="1"/>
  <c r="V89" i="1"/>
  <c r="X89" i="1"/>
  <c r="Y89" i="1"/>
  <c r="Z89" i="1"/>
  <c r="J90" i="1"/>
  <c r="K90" i="1"/>
  <c r="L90" i="1"/>
  <c r="N90" i="1"/>
  <c r="O90" i="1"/>
  <c r="Q90" i="1"/>
  <c r="R90" i="1"/>
  <c r="T90" i="1"/>
  <c r="U90" i="1"/>
  <c r="V90" i="1"/>
  <c r="X90" i="1"/>
  <c r="Y90" i="1"/>
  <c r="Z90" i="1"/>
  <c r="J91" i="1"/>
  <c r="K91" i="1"/>
  <c r="L91" i="1"/>
  <c r="N91" i="1"/>
  <c r="O91" i="1"/>
  <c r="Q91" i="1"/>
  <c r="R91" i="1"/>
  <c r="T91" i="1"/>
  <c r="U91" i="1"/>
  <c r="V91" i="1"/>
  <c r="X91" i="1"/>
  <c r="Y91" i="1"/>
  <c r="Z91" i="1"/>
  <c r="J92" i="1"/>
  <c r="K92" i="1"/>
  <c r="L92" i="1"/>
  <c r="N92" i="1"/>
  <c r="O92" i="1"/>
  <c r="Q92" i="1"/>
  <c r="R92" i="1"/>
  <c r="T92" i="1"/>
  <c r="U92" i="1"/>
  <c r="V92" i="1"/>
  <c r="X92" i="1"/>
  <c r="Y92" i="1"/>
  <c r="Z92" i="1"/>
  <c r="J93" i="1"/>
  <c r="K93" i="1"/>
  <c r="L93" i="1"/>
  <c r="N93" i="1"/>
  <c r="O93" i="1"/>
  <c r="Q93" i="1"/>
  <c r="R93" i="1"/>
  <c r="T93" i="1"/>
  <c r="U93" i="1"/>
  <c r="V93" i="1"/>
  <c r="X93" i="1"/>
  <c r="Y93" i="1"/>
  <c r="Z93" i="1"/>
  <c r="J94" i="1"/>
  <c r="K94" i="1"/>
  <c r="L94" i="1"/>
  <c r="N94" i="1"/>
  <c r="O94" i="1"/>
  <c r="Q94" i="1"/>
  <c r="R94" i="1"/>
  <c r="T94" i="1"/>
  <c r="U94" i="1"/>
  <c r="V94" i="1"/>
  <c r="X94" i="1"/>
  <c r="Y94" i="1"/>
  <c r="Z94" i="1"/>
  <c r="J95" i="1"/>
  <c r="K95" i="1"/>
  <c r="L95" i="1"/>
  <c r="N95" i="1"/>
  <c r="O95" i="1"/>
  <c r="Q95" i="1"/>
  <c r="R95" i="1"/>
  <c r="T95" i="1"/>
  <c r="U95" i="1"/>
  <c r="V95" i="1"/>
  <c r="X95" i="1"/>
  <c r="Y95" i="1"/>
  <c r="Z95" i="1"/>
  <c r="J96" i="1"/>
  <c r="K96" i="1"/>
  <c r="L96" i="1"/>
  <c r="N96" i="1"/>
  <c r="O96" i="1"/>
  <c r="Q96" i="1"/>
  <c r="R96" i="1"/>
  <c r="T96" i="1"/>
  <c r="U96" i="1"/>
  <c r="V96" i="1"/>
  <c r="X96" i="1"/>
  <c r="Y96" i="1"/>
  <c r="Z96" i="1"/>
  <c r="J97" i="1"/>
  <c r="K97" i="1"/>
  <c r="L97" i="1"/>
  <c r="N97" i="1"/>
  <c r="O97" i="1"/>
  <c r="Q97" i="1"/>
  <c r="R97" i="1"/>
  <c r="T97" i="1"/>
  <c r="U97" i="1"/>
  <c r="V97" i="1"/>
  <c r="X97" i="1"/>
  <c r="Y97" i="1"/>
  <c r="Z97" i="1"/>
  <c r="J98" i="1"/>
  <c r="K98" i="1"/>
  <c r="L98" i="1"/>
  <c r="N98" i="1"/>
  <c r="O98" i="1"/>
  <c r="Q98" i="1"/>
  <c r="R98" i="1"/>
  <c r="T98" i="1"/>
  <c r="U98" i="1"/>
  <c r="V98" i="1"/>
  <c r="X98" i="1"/>
  <c r="Y98" i="1"/>
  <c r="Z98" i="1"/>
  <c r="J99" i="1"/>
  <c r="K99" i="1"/>
  <c r="L99" i="1"/>
  <c r="N99" i="1"/>
  <c r="O99" i="1"/>
  <c r="Q99" i="1"/>
  <c r="R99" i="1"/>
  <c r="T99" i="1"/>
  <c r="U99" i="1"/>
  <c r="V99" i="1"/>
  <c r="X99" i="1"/>
  <c r="Y99" i="1"/>
  <c r="Z99" i="1"/>
  <c r="J100" i="1"/>
  <c r="K100" i="1"/>
  <c r="L100" i="1"/>
  <c r="N100" i="1"/>
  <c r="O100" i="1"/>
  <c r="Q100" i="1"/>
  <c r="R100" i="1"/>
  <c r="T100" i="1"/>
  <c r="U100" i="1"/>
  <c r="V100" i="1"/>
  <c r="X100" i="1"/>
  <c r="Y100" i="1"/>
  <c r="Z100" i="1"/>
  <c r="J101" i="1"/>
  <c r="K101" i="1"/>
  <c r="L101" i="1"/>
  <c r="N101" i="1"/>
  <c r="O101" i="1"/>
  <c r="Q101" i="1"/>
  <c r="R101" i="1"/>
  <c r="T101" i="1"/>
  <c r="U101" i="1"/>
  <c r="V101" i="1"/>
  <c r="X101" i="1"/>
  <c r="Y101" i="1"/>
  <c r="Z101" i="1"/>
  <c r="J102" i="1"/>
  <c r="K102" i="1"/>
  <c r="L102" i="1"/>
  <c r="N102" i="1"/>
  <c r="O102" i="1"/>
  <c r="Q102" i="1"/>
  <c r="R102" i="1"/>
  <c r="T102" i="1"/>
  <c r="U102" i="1"/>
  <c r="V102" i="1"/>
  <c r="X102" i="1"/>
  <c r="Y102" i="1"/>
  <c r="Z102" i="1"/>
  <c r="J103" i="1"/>
  <c r="K103" i="1"/>
  <c r="L103" i="1"/>
  <c r="N103" i="1"/>
  <c r="O103" i="1"/>
  <c r="Q103" i="1"/>
  <c r="R103" i="1"/>
  <c r="T103" i="1"/>
  <c r="U103" i="1"/>
  <c r="V103" i="1"/>
  <c r="X103" i="1"/>
  <c r="Y103" i="1"/>
  <c r="Z103" i="1"/>
  <c r="J104" i="1"/>
  <c r="K104" i="1"/>
  <c r="L104" i="1"/>
  <c r="N104" i="1"/>
  <c r="O104" i="1"/>
  <c r="Q104" i="1"/>
  <c r="R104" i="1"/>
  <c r="T104" i="1"/>
  <c r="U104" i="1"/>
  <c r="V104" i="1"/>
  <c r="X104" i="1"/>
  <c r="Y104" i="1"/>
  <c r="Z104" i="1"/>
  <c r="J105" i="1"/>
  <c r="K105" i="1"/>
  <c r="L105" i="1"/>
  <c r="N105" i="1"/>
  <c r="O105" i="1"/>
  <c r="Q105" i="1"/>
  <c r="R105" i="1"/>
  <c r="T105" i="1"/>
  <c r="U105" i="1"/>
  <c r="V105" i="1"/>
  <c r="X105" i="1"/>
  <c r="Y105" i="1"/>
  <c r="Z105" i="1"/>
  <c r="J106" i="1"/>
  <c r="K106" i="1"/>
  <c r="L106" i="1"/>
  <c r="N106" i="1"/>
  <c r="O106" i="1"/>
  <c r="Q106" i="1"/>
  <c r="R106" i="1"/>
  <c r="T106" i="1"/>
  <c r="U106" i="1"/>
  <c r="V106" i="1"/>
  <c r="X106" i="1"/>
  <c r="Y106" i="1"/>
  <c r="Z106" i="1"/>
  <c r="J107" i="1"/>
  <c r="K107" i="1"/>
  <c r="L107" i="1"/>
  <c r="N107" i="1"/>
  <c r="O107" i="1"/>
  <c r="Q107" i="1"/>
  <c r="R107" i="1"/>
  <c r="T107" i="1"/>
  <c r="U107" i="1"/>
  <c r="V107" i="1"/>
  <c r="X107" i="1"/>
  <c r="Y107" i="1"/>
  <c r="Z107" i="1"/>
  <c r="J108" i="1"/>
  <c r="K108" i="1"/>
  <c r="L108" i="1"/>
  <c r="N108" i="1"/>
  <c r="O108" i="1"/>
  <c r="Q108" i="1"/>
  <c r="R108" i="1"/>
  <c r="T108" i="1"/>
  <c r="U108" i="1"/>
  <c r="V108" i="1"/>
  <c r="X108" i="1"/>
  <c r="Y108" i="1"/>
  <c r="Z108" i="1"/>
  <c r="J109" i="1"/>
  <c r="K109" i="1"/>
  <c r="L109" i="1"/>
  <c r="N109" i="1"/>
  <c r="O109" i="1"/>
  <c r="Q109" i="1"/>
  <c r="R109" i="1"/>
  <c r="T109" i="1"/>
  <c r="U109" i="1"/>
  <c r="V109" i="1"/>
  <c r="X109" i="1"/>
  <c r="Y109" i="1"/>
  <c r="Z109" i="1"/>
  <c r="J110" i="1"/>
  <c r="K110" i="1"/>
  <c r="L110" i="1"/>
  <c r="N110" i="1"/>
  <c r="O110" i="1"/>
  <c r="Q110" i="1"/>
  <c r="R110" i="1"/>
  <c r="T110" i="1"/>
  <c r="U110" i="1"/>
  <c r="V110" i="1"/>
  <c r="X110" i="1"/>
  <c r="Y110" i="1"/>
  <c r="Z110" i="1"/>
  <c r="J111" i="1"/>
  <c r="K111" i="1"/>
  <c r="L111" i="1"/>
  <c r="N111" i="1"/>
  <c r="O111" i="1"/>
  <c r="Q111" i="1"/>
  <c r="R111" i="1"/>
  <c r="T111" i="1"/>
  <c r="U111" i="1"/>
  <c r="V111" i="1"/>
  <c r="X111" i="1"/>
  <c r="Y111" i="1"/>
  <c r="Z111" i="1"/>
  <c r="J112" i="1"/>
  <c r="K112" i="1"/>
  <c r="L112" i="1"/>
  <c r="N112" i="1"/>
  <c r="O112" i="1"/>
  <c r="Q112" i="1"/>
  <c r="R112" i="1"/>
  <c r="T112" i="1"/>
  <c r="U112" i="1"/>
  <c r="V112" i="1"/>
  <c r="X112" i="1"/>
  <c r="Y112" i="1"/>
  <c r="Z112" i="1"/>
  <c r="J113" i="1"/>
  <c r="K113" i="1"/>
  <c r="L113" i="1"/>
  <c r="N113" i="1"/>
  <c r="O113" i="1"/>
  <c r="Q113" i="1"/>
  <c r="R113" i="1"/>
  <c r="T113" i="1"/>
  <c r="U113" i="1"/>
  <c r="V113" i="1"/>
  <c r="X113" i="1"/>
  <c r="Y113" i="1"/>
  <c r="Z113" i="1"/>
  <c r="J114" i="1"/>
  <c r="K114" i="1"/>
  <c r="L114" i="1"/>
  <c r="N114" i="1"/>
  <c r="O114" i="1"/>
  <c r="Q114" i="1"/>
  <c r="R114" i="1"/>
  <c r="T114" i="1"/>
  <c r="U114" i="1"/>
  <c r="V114" i="1"/>
  <c r="X114" i="1"/>
  <c r="Y114" i="1"/>
  <c r="Z114" i="1"/>
  <c r="J115" i="1"/>
  <c r="K115" i="1"/>
  <c r="L115" i="1"/>
  <c r="N115" i="1"/>
  <c r="O115" i="1"/>
  <c r="Q115" i="1"/>
  <c r="R115" i="1"/>
  <c r="T115" i="1"/>
  <c r="U115" i="1"/>
  <c r="V115" i="1"/>
  <c r="X115" i="1"/>
  <c r="Y115" i="1"/>
  <c r="Z115" i="1"/>
  <c r="J116" i="1"/>
  <c r="K116" i="1"/>
  <c r="L116" i="1"/>
  <c r="N116" i="1"/>
  <c r="O116" i="1"/>
  <c r="Q116" i="1"/>
  <c r="R116" i="1"/>
  <c r="T116" i="1"/>
  <c r="U116" i="1"/>
  <c r="V116" i="1"/>
  <c r="X116" i="1"/>
  <c r="Y116" i="1"/>
  <c r="Z116" i="1"/>
  <c r="J117" i="1"/>
  <c r="K117" i="1"/>
  <c r="L117" i="1"/>
  <c r="N117" i="1"/>
  <c r="O117" i="1"/>
  <c r="Q117" i="1"/>
  <c r="R117" i="1"/>
  <c r="T117" i="1"/>
  <c r="U117" i="1"/>
  <c r="V117" i="1"/>
  <c r="X117" i="1"/>
  <c r="Y117" i="1"/>
  <c r="Z117" i="1"/>
  <c r="J118" i="1"/>
  <c r="K118" i="1"/>
  <c r="L118" i="1"/>
  <c r="N118" i="1"/>
  <c r="O118" i="1"/>
  <c r="Q118" i="1"/>
  <c r="R118" i="1"/>
  <c r="T118" i="1"/>
  <c r="U118" i="1"/>
  <c r="V118" i="1"/>
  <c r="X118" i="1"/>
  <c r="Y118" i="1"/>
  <c r="Z118" i="1"/>
  <c r="J119" i="1"/>
  <c r="K119" i="1"/>
  <c r="L119" i="1"/>
  <c r="N119" i="1"/>
  <c r="O119" i="1"/>
  <c r="Q119" i="1"/>
  <c r="R119" i="1"/>
  <c r="T119" i="1"/>
  <c r="U119" i="1"/>
  <c r="V119" i="1"/>
  <c r="X119" i="1"/>
  <c r="Y119" i="1"/>
  <c r="Z119" i="1"/>
  <c r="J120" i="1"/>
  <c r="K120" i="1"/>
  <c r="L120" i="1"/>
  <c r="N120" i="1"/>
  <c r="O120" i="1"/>
  <c r="Q120" i="1"/>
  <c r="R120" i="1"/>
  <c r="T120" i="1"/>
  <c r="U120" i="1"/>
  <c r="V120" i="1"/>
  <c r="X120" i="1"/>
  <c r="Y120" i="1"/>
  <c r="Z120" i="1"/>
  <c r="J121" i="1"/>
  <c r="K121" i="1"/>
  <c r="L121" i="1"/>
  <c r="N121" i="1"/>
  <c r="O121" i="1"/>
  <c r="Q121" i="1"/>
  <c r="R121" i="1"/>
  <c r="T121" i="1"/>
  <c r="U121" i="1"/>
  <c r="V121" i="1"/>
  <c r="X121" i="1"/>
  <c r="Y121" i="1"/>
  <c r="Z121" i="1"/>
  <c r="J122" i="1"/>
  <c r="K122" i="1"/>
  <c r="L122" i="1"/>
  <c r="N122" i="1"/>
  <c r="O122" i="1"/>
  <c r="Q122" i="1"/>
  <c r="R122" i="1"/>
  <c r="T122" i="1"/>
  <c r="U122" i="1"/>
  <c r="V122" i="1"/>
  <c r="X122" i="1"/>
  <c r="Y122" i="1"/>
  <c r="Z122" i="1"/>
  <c r="J123" i="1"/>
  <c r="K123" i="1"/>
  <c r="L123" i="1"/>
  <c r="N123" i="1"/>
  <c r="O123" i="1"/>
  <c r="Q123" i="1"/>
  <c r="R123" i="1"/>
  <c r="T123" i="1"/>
  <c r="U123" i="1"/>
  <c r="V123" i="1"/>
  <c r="X123" i="1"/>
  <c r="Y123" i="1"/>
  <c r="Z123" i="1"/>
  <c r="J124" i="1"/>
  <c r="K124" i="1"/>
  <c r="L124" i="1"/>
  <c r="N124" i="1"/>
  <c r="O124" i="1"/>
  <c r="Q124" i="1"/>
  <c r="R124" i="1"/>
  <c r="T124" i="1"/>
  <c r="U124" i="1"/>
  <c r="V124" i="1"/>
  <c r="X124" i="1"/>
  <c r="Y124" i="1"/>
  <c r="Z124" i="1"/>
  <c r="J125" i="1"/>
  <c r="K125" i="1"/>
  <c r="L125" i="1"/>
  <c r="N125" i="1"/>
  <c r="O125" i="1"/>
  <c r="Q125" i="1"/>
  <c r="R125" i="1"/>
  <c r="T125" i="1"/>
  <c r="U125" i="1"/>
  <c r="V125" i="1"/>
  <c r="X125" i="1"/>
  <c r="Y125" i="1"/>
  <c r="Z125" i="1"/>
  <c r="J126" i="1"/>
  <c r="K126" i="1"/>
  <c r="L126" i="1"/>
  <c r="N126" i="1"/>
  <c r="O126" i="1"/>
  <c r="Q126" i="1"/>
  <c r="R126" i="1"/>
  <c r="T126" i="1"/>
  <c r="U126" i="1"/>
  <c r="V126" i="1"/>
  <c r="X126" i="1"/>
  <c r="Y126" i="1"/>
  <c r="Z126" i="1"/>
  <c r="J127" i="1"/>
  <c r="K127" i="1"/>
  <c r="L127" i="1"/>
  <c r="N127" i="1"/>
  <c r="O127" i="1"/>
  <c r="Q127" i="1"/>
  <c r="R127" i="1"/>
  <c r="T127" i="1"/>
  <c r="U127" i="1"/>
  <c r="V127" i="1"/>
  <c r="X127" i="1"/>
  <c r="Y127" i="1"/>
  <c r="Z127" i="1"/>
  <c r="J128" i="1"/>
  <c r="K128" i="1"/>
  <c r="L128" i="1"/>
  <c r="N128" i="1"/>
  <c r="O128" i="1"/>
  <c r="Q128" i="1"/>
  <c r="R128" i="1"/>
  <c r="T128" i="1"/>
  <c r="U128" i="1"/>
  <c r="V128" i="1"/>
  <c r="X128" i="1"/>
  <c r="Y128" i="1"/>
  <c r="Z128" i="1"/>
  <c r="J129" i="1"/>
  <c r="K129" i="1"/>
  <c r="L129" i="1"/>
  <c r="N129" i="1"/>
  <c r="O129" i="1"/>
  <c r="Q129" i="1"/>
  <c r="R129" i="1"/>
  <c r="T129" i="1"/>
  <c r="U129" i="1"/>
  <c r="V129" i="1"/>
  <c r="X129" i="1"/>
  <c r="Y129" i="1"/>
  <c r="Z129" i="1"/>
  <c r="J130" i="1"/>
  <c r="K130" i="1"/>
  <c r="L130" i="1"/>
  <c r="N130" i="1"/>
  <c r="O130" i="1"/>
  <c r="Q130" i="1"/>
  <c r="R130" i="1"/>
  <c r="T130" i="1"/>
  <c r="U130" i="1"/>
  <c r="V130" i="1"/>
  <c r="X130" i="1"/>
  <c r="Y130" i="1"/>
  <c r="Z130" i="1"/>
  <c r="J131" i="1"/>
  <c r="K131" i="1"/>
  <c r="L131" i="1"/>
  <c r="N131" i="1"/>
  <c r="O131" i="1"/>
  <c r="Q131" i="1"/>
  <c r="R131" i="1"/>
  <c r="T131" i="1"/>
  <c r="U131" i="1"/>
  <c r="V131" i="1"/>
  <c r="X131" i="1"/>
  <c r="Y131" i="1"/>
  <c r="Z131" i="1"/>
  <c r="J132" i="1"/>
  <c r="K132" i="1"/>
  <c r="L132" i="1"/>
  <c r="N132" i="1"/>
  <c r="O132" i="1"/>
  <c r="Q132" i="1"/>
  <c r="R132" i="1"/>
  <c r="T132" i="1"/>
  <c r="U132" i="1"/>
  <c r="V132" i="1"/>
  <c r="X132" i="1"/>
  <c r="Y132" i="1"/>
  <c r="Z132" i="1"/>
  <c r="J133" i="1"/>
  <c r="K133" i="1"/>
  <c r="L133" i="1"/>
  <c r="N133" i="1"/>
  <c r="O133" i="1"/>
  <c r="Q133" i="1"/>
  <c r="R133" i="1"/>
  <c r="T133" i="1"/>
  <c r="U133" i="1"/>
  <c r="V133" i="1"/>
  <c r="X133" i="1"/>
  <c r="Y133" i="1"/>
  <c r="Z133" i="1"/>
  <c r="J134" i="1"/>
  <c r="K134" i="1"/>
  <c r="L134" i="1"/>
  <c r="N134" i="1"/>
  <c r="O134" i="1"/>
  <c r="Q134" i="1"/>
  <c r="R134" i="1"/>
  <c r="T134" i="1"/>
  <c r="U134" i="1"/>
  <c r="V134" i="1"/>
  <c r="X134" i="1"/>
  <c r="Y134" i="1"/>
  <c r="Z134" i="1"/>
  <c r="J135" i="1"/>
  <c r="K135" i="1"/>
  <c r="L135" i="1"/>
  <c r="N135" i="1"/>
  <c r="O135" i="1"/>
  <c r="Q135" i="1"/>
  <c r="R135" i="1"/>
  <c r="T135" i="1"/>
  <c r="U135" i="1"/>
  <c r="V135" i="1"/>
  <c r="X135" i="1"/>
  <c r="Y135" i="1"/>
  <c r="Z135" i="1"/>
  <c r="J136" i="1"/>
  <c r="K136" i="1"/>
  <c r="L136" i="1"/>
  <c r="N136" i="1"/>
  <c r="O136" i="1"/>
  <c r="Q136" i="1"/>
  <c r="R136" i="1"/>
  <c r="T136" i="1"/>
  <c r="U136" i="1"/>
  <c r="V136" i="1"/>
  <c r="X136" i="1"/>
  <c r="Y136" i="1"/>
  <c r="Z136" i="1"/>
  <c r="J137" i="1"/>
  <c r="K137" i="1"/>
  <c r="L137" i="1"/>
  <c r="N137" i="1"/>
  <c r="O137" i="1"/>
  <c r="Q137" i="1"/>
  <c r="R137" i="1"/>
  <c r="T137" i="1"/>
  <c r="U137" i="1"/>
  <c r="V137" i="1"/>
  <c r="X137" i="1"/>
  <c r="Y137" i="1"/>
  <c r="Z137" i="1"/>
  <c r="J138" i="1"/>
  <c r="K138" i="1"/>
  <c r="L138" i="1"/>
  <c r="N138" i="1"/>
  <c r="O138" i="1"/>
  <c r="Q138" i="1"/>
  <c r="R138" i="1"/>
  <c r="T138" i="1"/>
  <c r="U138" i="1"/>
  <c r="V138" i="1"/>
  <c r="X138" i="1"/>
  <c r="Y138" i="1"/>
  <c r="Z138" i="1"/>
  <c r="J139" i="1"/>
  <c r="K139" i="1"/>
  <c r="L139" i="1"/>
  <c r="N139" i="1"/>
  <c r="O139" i="1"/>
  <c r="Q139" i="1"/>
  <c r="R139" i="1"/>
  <c r="T139" i="1"/>
  <c r="U139" i="1"/>
  <c r="V139" i="1"/>
  <c r="X139" i="1"/>
  <c r="Y139" i="1"/>
  <c r="Z139" i="1"/>
  <c r="J140" i="1"/>
  <c r="K140" i="1"/>
  <c r="L140" i="1"/>
  <c r="N140" i="1"/>
  <c r="O140" i="1"/>
  <c r="Q140" i="1"/>
  <c r="R140" i="1"/>
  <c r="T140" i="1"/>
  <c r="U140" i="1"/>
  <c r="V140" i="1"/>
  <c r="X140" i="1"/>
  <c r="Y140" i="1"/>
  <c r="Z140" i="1"/>
  <c r="J141" i="1"/>
  <c r="K141" i="1"/>
  <c r="L141" i="1"/>
  <c r="N141" i="1"/>
  <c r="O141" i="1"/>
  <c r="Q141" i="1"/>
  <c r="R141" i="1"/>
  <c r="T141" i="1"/>
  <c r="U141" i="1"/>
  <c r="V141" i="1"/>
  <c r="X141" i="1"/>
  <c r="Y141" i="1"/>
  <c r="Z141" i="1"/>
  <c r="J142" i="1"/>
  <c r="K142" i="1"/>
  <c r="L142" i="1"/>
  <c r="N142" i="1"/>
  <c r="O142" i="1"/>
  <c r="Q142" i="1"/>
  <c r="R142" i="1"/>
  <c r="T142" i="1"/>
  <c r="U142" i="1"/>
  <c r="V142" i="1"/>
  <c r="X142" i="1"/>
  <c r="Y142" i="1"/>
  <c r="Z142" i="1"/>
  <c r="J143" i="1"/>
  <c r="K143" i="1"/>
  <c r="L143" i="1"/>
  <c r="N143" i="1"/>
  <c r="O143" i="1"/>
  <c r="Q143" i="1"/>
  <c r="R143" i="1"/>
  <c r="T143" i="1"/>
  <c r="U143" i="1"/>
  <c r="V143" i="1"/>
  <c r="X143" i="1"/>
  <c r="Y143" i="1"/>
  <c r="Z143" i="1"/>
  <c r="J144" i="1"/>
  <c r="K144" i="1"/>
  <c r="L144" i="1"/>
  <c r="N144" i="1"/>
  <c r="O144" i="1"/>
  <c r="Q144" i="1"/>
  <c r="R144" i="1"/>
  <c r="T144" i="1"/>
  <c r="U144" i="1"/>
  <c r="V144" i="1"/>
  <c r="X144" i="1"/>
  <c r="Y144" i="1"/>
  <c r="Z144" i="1"/>
  <c r="J145" i="1"/>
  <c r="K145" i="1"/>
  <c r="L145" i="1"/>
  <c r="N145" i="1"/>
  <c r="O145" i="1"/>
  <c r="Q145" i="1"/>
  <c r="R145" i="1"/>
  <c r="T145" i="1"/>
  <c r="U145" i="1"/>
  <c r="V145" i="1"/>
  <c r="X145" i="1"/>
  <c r="Y145" i="1"/>
  <c r="Z145" i="1"/>
  <c r="J146" i="1"/>
  <c r="K146" i="1"/>
  <c r="L146" i="1"/>
  <c r="N146" i="1"/>
  <c r="O146" i="1"/>
  <c r="Q146" i="1"/>
  <c r="R146" i="1"/>
  <c r="T146" i="1"/>
  <c r="U146" i="1"/>
  <c r="V146" i="1"/>
  <c r="X146" i="1"/>
  <c r="Y146" i="1"/>
  <c r="Z146" i="1"/>
  <c r="J147" i="1"/>
  <c r="K147" i="1"/>
  <c r="L147" i="1"/>
  <c r="N147" i="1"/>
  <c r="O147" i="1"/>
  <c r="Q147" i="1"/>
  <c r="R147" i="1"/>
  <c r="T147" i="1"/>
  <c r="U147" i="1"/>
  <c r="V147" i="1"/>
  <c r="X147" i="1"/>
  <c r="Y147" i="1"/>
  <c r="Z147" i="1"/>
  <c r="J148" i="1"/>
  <c r="K148" i="1"/>
  <c r="L148" i="1"/>
  <c r="N148" i="1"/>
  <c r="O148" i="1"/>
  <c r="Q148" i="1"/>
  <c r="R148" i="1"/>
  <c r="T148" i="1"/>
  <c r="U148" i="1"/>
  <c r="V148" i="1"/>
  <c r="X148" i="1"/>
  <c r="Y148" i="1"/>
  <c r="Z148" i="1"/>
  <c r="J149" i="1"/>
  <c r="K149" i="1"/>
  <c r="L149" i="1"/>
  <c r="N149" i="1"/>
  <c r="O149" i="1"/>
  <c r="Q149" i="1"/>
  <c r="R149" i="1"/>
  <c r="T149" i="1"/>
  <c r="U149" i="1"/>
  <c r="V149" i="1"/>
  <c r="X149" i="1"/>
  <c r="Y149" i="1"/>
  <c r="Z149" i="1"/>
  <c r="J150" i="1"/>
  <c r="K150" i="1"/>
  <c r="L150" i="1"/>
  <c r="N150" i="1"/>
  <c r="O150" i="1"/>
  <c r="Q150" i="1"/>
  <c r="R150" i="1"/>
  <c r="T150" i="1"/>
  <c r="U150" i="1"/>
  <c r="V150" i="1"/>
  <c r="X150" i="1"/>
  <c r="Y150" i="1"/>
  <c r="Z150" i="1"/>
  <c r="J151" i="1"/>
  <c r="K151" i="1"/>
  <c r="L151" i="1"/>
  <c r="N151" i="1"/>
  <c r="O151" i="1"/>
  <c r="Q151" i="1"/>
  <c r="R151" i="1"/>
  <c r="T151" i="1"/>
  <c r="U151" i="1"/>
  <c r="V151" i="1"/>
  <c r="X151" i="1"/>
  <c r="Y151" i="1"/>
  <c r="Z151" i="1"/>
  <c r="J152" i="1"/>
  <c r="K152" i="1"/>
  <c r="L152" i="1"/>
  <c r="N152" i="1"/>
  <c r="O152" i="1"/>
  <c r="Q152" i="1"/>
  <c r="R152" i="1"/>
  <c r="T152" i="1"/>
  <c r="U152" i="1"/>
  <c r="V152" i="1"/>
  <c r="X152" i="1"/>
  <c r="Y152" i="1"/>
  <c r="Z152" i="1"/>
  <c r="J153" i="1"/>
  <c r="K153" i="1"/>
  <c r="L153" i="1"/>
  <c r="N153" i="1"/>
  <c r="O153" i="1"/>
  <c r="Q153" i="1"/>
  <c r="R153" i="1"/>
  <c r="T153" i="1"/>
  <c r="U153" i="1"/>
  <c r="V153" i="1"/>
  <c r="X153" i="1"/>
  <c r="Y153" i="1"/>
  <c r="Z153" i="1"/>
  <c r="J154" i="1"/>
  <c r="K154" i="1"/>
  <c r="L154" i="1"/>
  <c r="N154" i="1"/>
  <c r="O154" i="1"/>
  <c r="Q154" i="1"/>
  <c r="R154" i="1"/>
  <c r="T154" i="1"/>
  <c r="U154" i="1"/>
  <c r="V154" i="1"/>
  <c r="X154" i="1"/>
  <c r="Y154" i="1"/>
  <c r="Z154" i="1"/>
  <c r="J155" i="1"/>
  <c r="K155" i="1"/>
  <c r="L155" i="1"/>
  <c r="N155" i="1"/>
  <c r="O155" i="1"/>
  <c r="Q155" i="1"/>
  <c r="R155" i="1"/>
  <c r="T155" i="1"/>
  <c r="U155" i="1"/>
  <c r="V155" i="1"/>
  <c r="X155" i="1"/>
  <c r="Y155" i="1"/>
  <c r="Z155" i="1"/>
  <c r="J156" i="1"/>
  <c r="K156" i="1"/>
  <c r="L156" i="1"/>
  <c r="N156" i="1"/>
  <c r="O156" i="1"/>
  <c r="Q156" i="1"/>
  <c r="R156" i="1"/>
  <c r="T156" i="1"/>
  <c r="U156" i="1"/>
  <c r="V156" i="1"/>
  <c r="X156" i="1"/>
  <c r="Y156" i="1"/>
  <c r="Z156" i="1"/>
  <c r="J157" i="1"/>
  <c r="K157" i="1"/>
  <c r="L157" i="1"/>
  <c r="N157" i="1"/>
  <c r="O157" i="1"/>
  <c r="Q157" i="1"/>
  <c r="R157" i="1"/>
  <c r="T157" i="1"/>
  <c r="U157" i="1"/>
  <c r="V157" i="1"/>
  <c r="X157" i="1"/>
  <c r="Y157" i="1"/>
  <c r="Z157" i="1"/>
  <c r="J158" i="1"/>
  <c r="K158" i="1"/>
  <c r="L158" i="1"/>
  <c r="N158" i="1"/>
  <c r="O158" i="1"/>
  <c r="Q158" i="1"/>
  <c r="R158" i="1"/>
  <c r="T158" i="1"/>
  <c r="U158" i="1"/>
  <c r="V158" i="1"/>
  <c r="X158" i="1"/>
  <c r="Y158" i="1"/>
  <c r="Z158" i="1"/>
  <c r="J159" i="1"/>
  <c r="K159" i="1"/>
  <c r="L159" i="1"/>
  <c r="N159" i="1"/>
  <c r="O159" i="1"/>
  <c r="Q159" i="1"/>
  <c r="R159" i="1"/>
  <c r="T159" i="1"/>
  <c r="U159" i="1"/>
  <c r="V159" i="1"/>
  <c r="X159" i="1"/>
  <c r="Y159" i="1"/>
  <c r="Z159" i="1"/>
  <c r="J160" i="1"/>
  <c r="K160" i="1"/>
  <c r="L160" i="1"/>
  <c r="N160" i="1"/>
  <c r="O160" i="1"/>
  <c r="Q160" i="1"/>
  <c r="R160" i="1"/>
  <c r="T160" i="1"/>
  <c r="U160" i="1"/>
  <c r="V160" i="1"/>
  <c r="X160" i="1"/>
  <c r="Y160" i="1"/>
  <c r="Z160" i="1"/>
  <c r="J161" i="1"/>
  <c r="K161" i="1"/>
  <c r="L161" i="1"/>
  <c r="N161" i="1"/>
  <c r="O161" i="1"/>
  <c r="Q161" i="1"/>
  <c r="R161" i="1"/>
  <c r="T161" i="1"/>
  <c r="U161" i="1"/>
  <c r="V161" i="1"/>
  <c r="X161" i="1"/>
  <c r="Y161" i="1"/>
  <c r="Z161" i="1"/>
  <c r="J162" i="1"/>
  <c r="K162" i="1"/>
  <c r="L162" i="1"/>
  <c r="N162" i="1"/>
  <c r="O162" i="1"/>
  <c r="Q162" i="1"/>
  <c r="R162" i="1"/>
  <c r="T162" i="1"/>
  <c r="U162" i="1"/>
  <c r="V162" i="1"/>
  <c r="X162" i="1"/>
  <c r="Y162" i="1"/>
  <c r="Z162" i="1"/>
  <c r="J163" i="1"/>
  <c r="K163" i="1"/>
  <c r="L163" i="1"/>
  <c r="N163" i="1"/>
  <c r="O163" i="1"/>
  <c r="Q163" i="1"/>
  <c r="R163" i="1"/>
  <c r="T163" i="1"/>
  <c r="U163" i="1"/>
  <c r="V163" i="1"/>
  <c r="X163" i="1"/>
  <c r="Y163" i="1"/>
  <c r="Z163" i="1"/>
  <c r="J164" i="1"/>
  <c r="K164" i="1"/>
  <c r="L164" i="1"/>
  <c r="N164" i="1"/>
  <c r="O164" i="1"/>
  <c r="Q164" i="1"/>
  <c r="R164" i="1"/>
  <c r="T164" i="1"/>
  <c r="U164" i="1"/>
  <c r="V164" i="1"/>
  <c r="X164" i="1"/>
  <c r="Y164" i="1"/>
  <c r="Z164" i="1"/>
  <c r="J165" i="1"/>
  <c r="K165" i="1"/>
  <c r="L165" i="1"/>
  <c r="N165" i="1"/>
  <c r="O165" i="1"/>
  <c r="Q165" i="1"/>
  <c r="R165" i="1"/>
  <c r="T165" i="1"/>
  <c r="U165" i="1"/>
  <c r="V165" i="1"/>
  <c r="X165" i="1"/>
  <c r="Y165" i="1"/>
  <c r="Z165" i="1"/>
  <c r="J166" i="1"/>
  <c r="K166" i="1"/>
  <c r="L166" i="1"/>
  <c r="N166" i="1"/>
  <c r="O166" i="1"/>
  <c r="Q166" i="1"/>
  <c r="R166" i="1"/>
  <c r="T166" i="1"/>
  <c r="U166" i="1"/>
  <c r="V166" i="1"/>
  <c r="X166" i="1"/>
  <c r="Y166" i="1"/>
  <c r="Z166" i="1"/>
  <c r="J167" i="1"/>
  <c r="K167" i="1"/>
  <c r="L167" i="1"/>
  <c r="N167" i="1"/>
  <c r="O167" i="1"/>
  <c r="Q167" i="1"/>
  <c r="R167" i="1"/>
  <c r="T167" i="1"/>
  <c r="U167" i="1"/>
  <c r="V167" i="1"/>
  <c r="X167" i="1"/>
  <c r="Y167" i="1"/>
  <c r="Z167" i="1"/>
  <c r="J168" i="1"/>
  <c r="K168" i="1"/>
  <c r="L168" i="1"/>
  <c r="N168" i="1"/>
  <c r="O168" i="1"/>
  <c r="Q168" i="1"/>
  <c r="R168" i="1"/>
  <c r="T168" i="1"/>
  <c r="U168" i="1"/>
  <c r="V168" i="1"/>
  <c r="X168" i="1"/>
  <c r="Y168" i="1"/>
  <c r="Z168" i="1"/>
  <c r="J169" i="1"/>
  <c r="K169" i="1"/>
  <c r="L169" i="1"/>
  <c r="N169" i="1"/>
  <c r="O169" i="1"/>
  <c r="Q169" i="1"/>
  <c r="R169" i="1"/>
  <c r="T169" i="1"/>
  <c r="U169" i="1"/>
  <c r="V169" i="1"/>
  <c r="X169" i="1"/>
  <c r="Y169" i="1"/>
  <c r="Z169" i="1"/>
  <c r="J170" i="1"/>
  <c r="K170" i="1"/>
  <c r="L170" i="1"/>
  <c r="N170" i="1"/>
  <c r="O170" i="1"/>
  <c r="Q170" i="1"/>
  <c r="R170" i="1"/>
  <c r="T170" i="1"/>
  <c r="U170" i="1"/>
  <c r="V170" i="1"/>
  <c r="X170" i="1"/>
  <c r="Y170" i="1"/>
  <c r="Z170" i="1"/>
  <c r="J171" i="1"/>
  <c r="K171" i="1"/>
  <c r="L171" i="1"/>
  <c r="N171" i="1"/>
  <c r="O171" i="1"/>
  <c r="Q171" i="1"/>
  <c r="R171" i="1"/>
  <c r="T171" i="1"/>
  <c r="U171" i="1"/>
  <c r="V171" i="1"/>
  <c r="X171" i="1"/>
  <c r="Y171" i="1"/>
  <c r="Z171" i="1"/>
  <c r="J172" i="1"/>
  <c r="K172" i="1"/>
  <c r="L172" i="1"/>
  <c r="N172" i="1"/>
  <c r="O172" i="1"/>
  <c r="Q172" i="1"/>
  <c r="R172" i="1"/>
  <c r="T172" i="1"/>
  <c r="U172" i="1"/>
  <c r="V172" i="1"/>
  <c r="X172" i="1"/>
  <c r="Y172" i="1"/>
  <c r="Z172" i="1"/>
  <c r="J173" i="1"/>
  <c r="K173" i="1"/>
  <c r="L173" i="1"/>
  <c r="N173" i="1"/>
  <c r="O173" i="1"/>
  <c r="Q173" i="1"/>
  <c r="R173" i="1"/>
  <c r="T173" i="1"/>
  <c r="U173" i="1"/>
  <c r="V173" i="1"/>
  <c r="X173" i="1"/>
  <c r="Y173" i="1"/>
  <c r="Z173" i="1"/>
  <c r="J174" i="1"/>
  <c r="K174" i="1"/>
  <c r="L174" i="1"/>
  <c r="N174" i="1"/>
  <c r="O174" i="1"/>
  <c r="Q174" i="1"/>
  <c r="R174" i="1"/>
  <c r="T174" i="1"/>
  <c r="U174" i="1"/>
  <c r="V174" i="1"/>
  <c r="X174" i="1"/>
  <c r="Y174" i="1"/>
  <c r="Z174" i="1"/>
  <c r="J175" i="1"/>
  <c r="K175" i="1"/>
  <c r="L175" i="1"/>
  <c r="N175" i="1"/>
  <c r="O175" i="1"/>
  <c r="Q175" i="1"/>
  <c r="R175" i="1"/>
  <c r="T175" i="1"/>
  <c r="U175" i="1"/>
  <c r="V175" i="1"/>
  <c r="X175" i="1"/>
  <c r="Y175" i="1"/>
  <c r="Z175" i="1"/>
  <c r="J176" i="1"/>
  <c r="K176" i="1"/>
  <c r="L176" i="1"/>
  <c r="N176" i="1"/>
  <c r="O176" i="1"/>
  <c r="Q176" i="1"/>
  <c r="R176" i="1"/>
  <c r="T176" i="1"/>
  <c r="U176" i="1"/>
  <c r="V176" i="1"/>
  <c r="X176" i="1"/>
  <c r="Y176" i="1"/>
  <c r="Z176" i="1"/>
  <c r="J177" i="1"/>
  <c r="K177" i="1"/>
  <c r="L177" i="1"/>
  <c r="N177" i="1"/>
  <c r="O177" i="1"/>
  <c r="Q177" i="1"/>
  <c r="R177" i="1"/>
  <c r="T177" i="1"/>
  <c r="U177" i="1"/>
  <c r="V177" i="1"/>
  <c r="X177" i="1"/>
  <c r="Y177" i="1"/>
  <c r="Z177" i="1"/>
  <c r="J178" i="1"/>
  <c r="K178" i="1"/>
  <c r="L178" i="1"/>
  <c r="N178" i="1"/>
  <c r="O178" i="1"/>
  <c r="Q178" i="1"/>
  <c r="R178" i="1"/>
  <c r="T178" i="1"/>
  <c r="U178" i="1"/>
  <c r="V178" i="1"/>
  <c r="X178" i="1"/>
  <c r="Y178" i="1"/>
  <c r="Z178" i="1"/>
  <c r="J179" i="1"/>
  <c r="K179" i="1"/>
  <c r="L179" i="1"/>
  <c r="N179" i="1"/>
  <c r="O179" i="1"/>
  <c r="Q179" i="1"/>
  <c r="R179" i="1"/>
  <c r="T179" i="1"/>
  <c r="U179" i="1"/>
  <c r="V179" i="1"/>
  <c r="X179" i="1"/>
  <c r="Y179" i="1"/>
  <c r="Z179" i="1"/>
  <c r="J180" i="1"/>
  <c r="K180" i="1"/>
  <c r="L180" i="1"/>
  <c r="N180" i="1"/>
  <c r="O180" i="1"/>
  <c r="Q180" i="1"/>
  <c r="R180" i="1"/>
  <c r="T180" i="1"/>
  <c r="U180" i="1"/>
  <c r="V180" i="1"/>
  <c r="X180" i="1"/>
  <c r="Y180" i="1"/>
  <c r="Z180" i="1"/>
  <c r="J181" i="1"/>
  <c r="K181" i="1"/>
  <c r="L181" i="1"/>
  <c r="N181" i="1"/>
  <c r="O181" i="1"/>
  <c r="Q181" i="1"/>
  <c r="R181" i="1"/>
  <c r="T181" i="1"/>
  <c r="U181" i="1"/>
  <c r="V181" i="1"/>
  <c r="X181" i="1"/>
  <c r="Y181" i="1"/>
  <c r="Z181" i="1"/>
  <c r="J182" i="1"/>
  <c r="K182" i="1"/>
  <c r="L182" i="1"/>
  <c r="N182" i="1"/>
  <c r="O182" i="1"/>
  <c r="Q182" i="1"/>
  <c r="R182" i="1"/>
  <c r="T182" i="1"/>
  <c r="U182" i="1"/>
  <c r="V182" i="1"/>
  <c r="X182" i="1"/>
  <c r="Y182" i="1"/>
  <c r="Z182" i="1"/>
  <c r="J183" i="1"/>
  <c r="K183" i="1"/>
  <c r="L183" i="1"/>
  <c r="N183" i="1"/>
  <c r="O183" i="1"/>
  <c r="Q183" i="1"/>
  <c r="R183" i="1"/>
  <c r="T183" i="1"/>
  <c r="U183" i="1"/>
  <c r="V183" i="1"/>
  <c r="X183" i="1"/>
  <c r="Y183" i="1"/>
  <c r="Z183" i="1"/>
  <c r="J184" i="1"/>
  <c r="K184" i="1"/>
  <c r="L184" i="1"/>
  <c r="N184" i="1"/>
  <c r="O184" i="1"/>
  <c r="Q184" i="1"/>
  <c r="R184" i="1"/>
  <c r="T184" i="1"/>
  <c r="U184" i="1"/>
  <c r="V184" i="1"/>
  <c r="X184" i="1"/>
  <c r="Y184" i="1"/>
  <c r="Z184" i="1"/>
  <c r="J185" i="1"/>
  <c r="K185" i="1"/>
  <c r="L185" i="1"/>
  <c r="N185" i="1"/>
  <c r="O185" i="1"/>
  <c r="Q185" i="1"/>
  <c r="R185" i="1"/>
  <c r="T185" i="1"/>
  <c r="U185" i="1"/>
  <c r="V185" i="1"/>
  <c r="X185" i="1"/>
  <c r="Y185" i="1"/>
  <c r="Z185" i="1"/>
  <c r="J186" i="1"/>
  <c r="K186" i="1"/>
  <c r="L186" i="1"/>
  <c r="N186" i="1"/>
  <c r="O186" i="1"/>
  <c r="Q186" i="1"/>
  <c r="R186" i="1"/>
  <c r="T186" i="1"/>
  <c r="U186" i="1"/>
  <c r="V186" i="1"/>
  <c r="X186" i="1"/>
  <c r="Y186" i="1"/>
  <c r="Z186" i="1"/>
  <c r="J187" i="1"/>
  <c r="K187" i="1"/>
  <c r="L187" i="1"/>
  <c r="N187" i="1"/>
  <c r="O187" i="1"/>
  <c r="Q187" i="1"/>
  <c r="R187" i="1"/>
  <c r="T187" i="1"/>
  <c r="U187" i="1"/>
  <c r="V187" i="1"/>
  <c r="X187" i="1"/>
  <c r="Y187" i="1"/>
  <c r="Z187" i="1"/>
  <c r="J188" i="1"/>
  <c r="K188" i="1"/>
  <c r="L188" i="1"/>
  <c r="N188" i="1"/>
  <c r="O188" i="1"/>
  <c r="Q188" i="1"/>
  <c r="R188" i="1"/>
  <c r="T188" i="1"/>
  <c r="U188" i="1"/>
  <c r="V188" i="1"/>
  <c r="X188" i="1"/>
  <c r="Y188" i="1"/>
  <c r="Z188" i="1"/>
  <c r="J189" i="1"/>
  <c r="K189" i="1"/>
  <c r="L189" i="1"/>
  <c r="N189" i="1"/>
  <c r="O189" i="1"/>
  <c r="Q189" i="1"/>
  <c r="R189" i="1"/>
  <c r="T189" i="1"/>
  <c r="U189" i="1"/>
  <c r="V189" i="1"/>
  <c r="X189" i="1"/>
  <c r="Y189" i="1"/>
  <c r="Z189" i="1"/>
  <c r="J190" i="1"/>
  <c r="K190" i="1"/>
  <c r="L190" i="1"/>
  <c r="N190" i="1"/>
  <c r="O190" i="1"/>
  <c r="Q190" i="1"/>
  <c r="R190" i="1"/>
  <c r="T190" i="1"/>
  <c r="U190" i="1"/>
  <c r="V190" i="1"/>
  <c r="X190" i="1"/>
  <c r="Y190" i="1"/>
  <c r="Z190" i="1"/>
  <c r="J191" i="1"/>
  <c r="K191" i="1"/>
  <c r="L191" i="1"/>
  <c r="N191" i="1"/>
  <c r="O191" i="1"/>
  <c r="Q191" i="1"/>
  <c r="R191" i="1"/>
  <c r="T191" i="1"/>
  <c r="U191" i="1"/>
  <c r="V191" i="1"/>
  <c r="X191" i="1"/>
  <c r="Y191" i="1"/>
  <c r="Z191" i="1"/>
  <c r="J192" i="1"/>
  <c r="K192" i="1"/>
  <c r="L192" i="1"/>
  <c r="N192" i="1"/>
  <c r="O192" i="1"/>
  <c r="Q192" i="1"/>
  <c r="R192" i="1"/>
  <c r="T192" i="1"/>
  <c r="U192" i="1"/>
  <c r="V192" i="1"/>
  <c r="X192" i="1"/>
  <c r="Y192" i="1"/>
  <c r="Z192" i="1"/>
  <c r="J193" i="1"/>
  <c r="K193" i="1"/>
  <c r="L193" i="1"/>
  <c r="N193" i="1"/>
  <c r="O193" i="1"/>
  <c r="Q193" i="1"/>
  <c r="R193" i="1"/>
  <c r="T193" i="1"/>
  <c r="U193" i="1"/>
  <c r="V193" i="1"/>
  <c r="X193" i="1"/>
  <c r="Y193" i="1"/>
  <c r="Z193" i="1"/>
  <c r="J194" i="1"/>
  <c r="K194" i="1"/>
  <c r="L194" i="1"/>
  <c r="N194" i="1"/>
  <c r="O194" i="1"/>
  <c r="Q194" i="1"/>
  <c r="R194" i="1"/>
  <c r="T194" i="1"/>
  <c r="U194" i="1"/>
  <c r="V194" i="1"/>
  <c r="X194" i="1"/>
  <c r="Y194" i="1"/>
  <c r="Z194" i="1"/>
  <c r="J195" i="1"/>
  <c r="K195" i="1"/>
  <c r="L195" i="1"/>
  <c r="N195" i="1"/>
  <c r="O195" i="1"/>
  <c r="Q195" i="1"/>
  <c r="R195" i="1"/>
  <c r="T195" i="1"/>
  <c r="U195" i="1"/>
  <c r="V195" i="1"/>
  <c r="X195" i="1"/>
  <c r="Y195" i="1"/>
  <c r="Z195" i="1"/>
  <c r="J196" i="1"/>
  <c r="K196" i="1"/>
  <c r="L196" i="1"/>
  <c r="N196" i="1"/>
  <c r="O196" i="1"/>
  <c r="Q196" i="1"/>
  <c r="R196" i="1"/>
  <c r="T196" i="1"/>
  <c r="U196" i="1"/>
  <c r="V196" i="1"/>
  <c r="X196" i="1"/>
  <c r="Y196" i="1"/>
  <c r="Z196" i="1"/>
  <c r="J197" i="1"/>
  <c r="K197" i="1"/>
  <c r="L197" i="1"/>
  <c r="N197" i="1"/>
  <c r="O197" i="1"/>
  <c r="Q197" i="1"/>
  <c r="R197" i="1"/>
  <c r="T197" i="1"/>
  <c r="U197" i="1"/>
  <c r="V197" i="1"/>
  <c r="X197" i="1"/>
  <c r="Y197" i="1"/>
  <c r="Z197" i="1"/>
  <c r="J198" i="1"/>
  <c r="K198" i="1"/>
  <c r="L198" i="1"/>
  <c r="N198" i="1"/>
  <c r="O198" i="1"/>
  <c r="Q198" i="1"/>
  <c r="R198" i="1"/>
  <c r="T198" i="1"/>
  <c r="U198" i="1"/>
  <c r="V198" i="1"/>
  <c r="X198" i="1"/>
  <c r="Y198" i="1"/>
  <c r="Z198" i="1"/>
  <c r="J199" i="1"/>
  <c r="K199" i="1"/>
  <c r="L199" i="1"/>
  <c r="N199" i="1"/>
  <c r="O199" i="1"/>
  <c r="Q199" i="1"/>
  <c r="R199" i="1"/>
  <c r="T199" i="1"/>
  <c r="U199" i="1"/>
  <c r="V199" i="1"/>
  <c r="X199" i="1"/>
  <c r="Y199" i="1"/>
  <c r="Z199" i="1"/>
  <c r="J200" i="1"/>
  <c r="K200" i="1"/>
  <c r="L200" i="1"/>
  <c r="N200" i="1"/>
  <c r="O200" i="1"/>
  <c r="Q200" i="1"/>
  <c r="R200" i="1"/>
  <c r="T200" i="1"/>
  <c r="U200" i="1"/>
  <c r="V200" i="1"/>
  <c r="X200" i="1"/>
  <c r="Y200" i="1"/>
  <c r="Z200" i="1"/>
  <c r="J201" i="1"/>
  <c r="K201" i="1"/>
  <c r="L201" i="1"/>
  <c r="N201" i="1"/>
  <c r="O201" i="1"/>
  <c r="Q201" i="1"/>
  <c r="R201" i="1"/>
  <c r="T201" i="1"/>
  <c r="U201" i="1"/>
  <c r="V201" i="1"/>
  <c r="X201" i="1"/>
  <c r="Y201" i="1"/>
  <c r="Z201" i="1"/>
  <c r="J202" i="1"/>
  <c r="K202" i="1"/>
  <c r="L202" i="1"/>
  <c r="N202" i="1"/>
  <c r="O202" i="1"/>
  <c r="Q202" i="1"/>
  <c r="R202" i="1"/>
  <c r="T202" i="1"/>
  <c r="U202" i="1"/>
  <c r="V202" i="1"/>
  <c r="X202" i="1"/>
  <c r="Y202" i="1"/>
  <c r="Z202" i="1"/>
  <c r="Z3" i="1"/>
  <c r="Y3" i="1"/>
  <c r="X3" i="1"/>
  <c r="R3" i="1"/>
  <c r="Q3" i="1"/>
  <c r="O3" i="1"/>
  <c r="N3" i="1"/>
  <c r="L3" i="1"/>
  <c r="K3" i="1"/>
  <c r="J3" i="1"/>
  <c r="F4" i="1"/>
  <c r="G4" i="1"/>
  <c r="H4" i="1"/>
  <c r="F5" i="1"/>
  <c r="G5" i="1"/>
  <c r="H5" i="1"/>
  <c r="F6" i="1"/>
  <c r="G6" i="1"/>
  <c r="H6" i="1"/>
  <c r="F7" i="1"/>
  <c r="G7" i="1"/>
  <c r="H7" i="1"/>
  <c r="F8" i="1"/>
  <c r="G8" i="1"/>
  <c r="H8" i="1"/>
  <c r="F9" i="1"/>
  <c r="G9" i="1"/>
  <c r="H9" i="1"/>
  <c r="F10" i="1"/>
  <c r="G10" i="1"/>
  <c r="H10" i="1"/>
  <c r="F11" i="1"/>
  <c r="G11" i="1"/>
  <c r="H11" i="1"/>
  <c r="F12" i="1"/>
  <c r="G12" i="1"/>
  <c r="H12" i="1"/>
  <c r="F13" i="1"/>
  <c r="G13" i="1"/>
  <c r="H13" i="1"/>
  <c r="F14" i="1"/>
  <c r="G14" i="1"/>
  <c r="H14" i="1"/>
  <c r="F15" i="1"/>
  <c r="G15" i="1"/>
  <c r="H15" i="1"/>
  <c r="F16" i="1"/>
  <c r="G16" i="1"/>
  <c r="H16" i="1"/>
  <c r="F17" i="1"/>
  <c r="G17" i="1"/>
  <c r="H17" i="1"/>
  <c r="F18" i="1"/>
  <c r="G18" i="1"/>
  <c r="H18" i="1"/>
  <c r="F19" i="1"/>
  <c r="G19" i="1"/>
  <c r="H19" i="1"/>
  <c r="F20" i="1"/>
  <c r="G20" i="1"/>
  <c r="H20" i="1"/>
  <c r="F21" i="1"/>
  <c r="G21" i="1"/>
  <c r="H21" i="1"/>
  <c r="F22" i="1"/>
  <c r="G22" i="1"/>
  <c r="H22" i="1"/>
  <c r="F23" i="1"/>
  <c r="G23" i="1"/>
  <c r="H23" i="1"/>
  <c r="F24" i="1"/>
  <c r="G24" i="1"/>
  <c r="H24" i="1"/>
  <c r="F25" i="1"/>
  <c r="G25" i="1"/>
  <c r="H25" i="1"/>
  <c r="F26" i="1"/>
  <c r="G26" i="1"/>
  <c r="H26" i="1"/>
  <c r="F27" i="1"/>
  <c r="G27" i="1"/>
  <c r="H27" i="1"/>
  <c r="F28" i="1"/>
  <c r="G28" i="1"/>
  <c r="H28" i="1"/>
  <c r="F29" i="1"/>
  <c r="G29" i="1"/>
  <c r="H29" i="1"/>
  <c r="F30" i="1"/>
  <c r="G30" i="1"/>
  <c r="H30" i="1"/>
  <c r="F31" i="1"/>
  <c r="G31" i="1"/>
  <c r="H31" i="1"/>
  <c r="F32" i="1"/>
  <c r="G32" i="1"/>
  <c r="H32" i="1"/>
  <c r="F33" i="1"/>
  <c r="G33" i="1"/>
  <c r="H33" i="1"/>
  <c r="F34" i="1"/>
  <c r="G34" i="1"/>
  <c r="H34" i="1"/>
  <c r="F35" i="1"/>
  <c r="G35" i="1"/>
  <c r="H35" i="1"/>
  <c r="F36" i="1"/>
  <c r="G36" i="1"/>
  <c r="H36" i="1"/>
  <c r="F37" i="1"/>
  <c r="G37" i="1"/>
  <c r="H37" i="1"/>
  <c r="F38" i="1"/>
  <c r="G38" i="1"/>
  <c r="H38" i="1"/>
  <c r="F39" i="1"/>
  <c r="G39" i="1"/>
  <c r="H39" i="1"/>
  <c r="F40" i="1"/>
  <c r="G40" i="1"/>
  <c r="H40" i="1"/>
  <c r="F41" i="1"/>
  <c r="G41" i="1"/>
  <c r="H41" i="1"/>
  <c r="F42" i="1"/>
  <c r="G42" i="1"/>
  <c r="H42" i="1"/>
  <c r="F43" i="1"/>
  <c r="G43" i="1"/>
  <c r="H43" i="1"/>
  <c r="F44" i="1"/>
  <c r="G44" i="1"/>
  <c r="H44" i="1"/>
  <c r="F45" i="1"/>
  <c r="G45" i="1"/>
  <c r="H45" i="1"/>
  <c r="F46" i="1"/>
  <c r="G46" i="1"/>
  <c r="H46" i="1"/>
  <c r="F47" i="1"/>
  <c r="G47" i="1"/>
  <c r="H47" i="1"/>
  <c r="F48" i="1"/>
  <c r="G48" i="1"/>
  <c r="H48" i="1"/>
  <c r="F49" i="1"/>
  <c r="G49" i="1"/>
  <c r="H49" i="1"/>
  <c r="F50" i="1"/>
  <c r="G50" i="1"/>
  <c r="H50" i="1"/>
  <c r="F51" i="1"/>
  <c r="G51" i="1"/>
  <c r="H51" i="1"/>
  <c r="F52" i="1"/>
  <c r="G52" i="1"/>
  <c r="H52" i="1"/>
  <c r="F53" i="1"/>
  <c r="G53" i="1"/>
  <c r="H53" i="1"/>
  <c r="F54" i="1"/>
  <c r="G54" i="1"/>
  <c r="H54" i="1"/>
  <c r="F55" i="1"/>
  <c r="G55" i="1"/>
  <c r="H55" i="1"/>
  <c r="F56" i="1"/>
  <c r="G56" i="1"/>
  <c r="H56" i="1"/>
  <c r="F57" i="1"/>
  <c r="G57" i="1"/>
  <c r="H57" i="1"/>
  <c r="F58" i="1"/>
  <c r="G58" i="1"/>
  <c r="H58" i="1"/>
  <c r="F59" i="1"/>
  <c r="G59" i="1"/>
  <c r="H59" i="1"/>
  <c r="F60" i="1"/>
  <c r="G60" i="1"/>
  <c r="H60" i="1"/>
  <c r="F61" i="1"/>
  <c r="G61" i="1"/>
  <c r="H61" i="1"/>
  <c r="F62" i="1"/>
  <c r="G62" i="1"/>
  <c r="H62" i="1"/>
  <c r="F63" i="1"/>
  <c r="G63" i="1"/>
  <c r="H63" i="1"/>
  <c r="F64" i="1"/>
  <c r="G64" i="1"/>
  <c r="H64" i="1"/>
  <c r="F65" i="1"/>
  <c r="G65" i="1"/>
  <c r="H65" i="1"/>
  <c r="F66" i="1"/>
  <c r="G66" i="1"/>
  <c r="H66" i="1"/>
  <c r="F67" i="1"/>
  <c r="G67" i="1"/>
  <c r="H67" i="1"/>
  <c r="F68" i="1"/>
  <c r="G68" i="1"/>
  <c r="H68" i="1"/>
  <c r="F69" i="1"/>
  <c r="G69" i="1"/>
  <c r="H69" i="1"/>
  <c r="F70" i="1"/>
  <c r="G70" i="1"/>
  <c r="H70" i="1"/>
  <c r="F71" i="1"/>
  <c r="G71" i="1"/>
  <c r="H71" i="1"/>
  <c r="F72" i="1"/>
  <c r="G72" i="1"/>
  <c r="H72" i="1"/>
  <c r="F73" i="1"/>
  <c r="G73" i="1"/>
  <c r="H73" i="1"/>
  <c r="F74" i="1"/>
  <c r="G74" i="1"/>
  <c r="H74" i="1"/>
  <c r="F75" i="1"/>
  <c r="G75" i="1"/>
  <c r="H75" i="1"/>
  <c r="F76" i="1"/>
  <c r="G76" i="1"/>
  <c r="H76" i="1"/>
  <c r="F77" i="1"/>
  <c r="G77" i="1"/>
  <c r="H77" i="1"/>
  <c r="F78" i="1"/>
  <c r="G78" i="1"/>
  <c r="H78" i="1"/>
  <c r="F79" i="1"/>
  <c r="G79" i="1"/>
  <c r="H79" i="1"/>
  <c r="F80" i="1"/>
  <c r="G80" i="1"/>
  <c r="H80" i="1"/>
  <c r="F81" i="1"/>
  <c r="G81" i="1"/>
  <c r="H81" i="1"/>
  <c r="F82" i="1"/>
  <c r="G82" i="1"/>
  <c r="H82" i="1"/>
  <c r="F83" i="1"/>
  <c r="G83" i="1"/>
  <c r="H83" i="1"/>
  <c r="F84" i="1"/>
  <c r="G84" i="1"/>
  <c r="H84" i="1"/>
  <c r="F85" i="1"/>
  <c r="G85" i="1"/>
  <c r="H85" i="1"/>
  <c r="F86" i="1"/>
  <c r="G86" i="1"/>
  <c r="H86" i="1"/>
  <c r="F87" i="1"/>
  <c r="G87" i="1"/>
  <c r="H87" i="1"/>
  <c r="F88" i="1"/>
  <c r="G88" i="1"/>
  <c r="H88" i="1"/>
  <c r="F89" i="1"/>
  <c r="G89" i="1"/>
  <c r="H89" i="1"/>
  <c r="F90" i="1"/>
  <c r="G90" i="1"/>
  <c r="H90" i="1"/>
  <c r="F91" i="1"/>
  <c r="G91" i="1"/>
  <c r="H91" i="1"/>
  <c r="F92" i="1"/>
  <c r="G92" i="1"/>
  <c r="H92" i="1"/>
  <c r="F93" i="1"/>
  <c r="G93" i="1"/>
  <c r="H93" i="1"/>
  <c r="F94" i="1"/>
  <c r="G94" i="1"/>
  <c r="H94" i="1"/>
  <c r="F95" i="1"/>
  <c r="G95" i="1"/>
  <c r="H95" i="1"/>
  <c r="F96" i="1"/>
  <c r="G96" i="1"/>
  <c r="H96" i="1"/>
  <c r="F97" i="1"/>
  <c r="G97" i="1"/>
  <c r="H97" i="1"/>
  <c r="F98" i="1"/>
  <c r="G98" i="1"/>
  <c r="H98" i="1"/>
  <c r="F99" i="1"/>
  <c r="G99" i="1"/>
  <c r="H99" i="1"/>
  <c r="F100" i="1"/>
  <c r="G100" i="1"/>
  <c r="H100" i="1"/>
  <c r="F101" i="1"/>
  <c r="G101" i="1"/>
  <c r="H101" i="1"/>
  <c r="F102" i="1"/>
  <c r="G102" i="1"/>
  <c r="H102" i="1"/>
  <c r="F103" i="1"/>
  <c r="G103" i="1"/>
  <c r="H103" i="1"/>
  <c r="F104" i="1"/>
  <c r="G104" i="1"/>
  <c r="H104" i="1"/>
  <c r="F105" i="1"/>
  <c r="G105" i="1"/>
  <c r="H105" i="1"/>
  <c r="F106" i="1"/>
  <c r="G106" i="1"/>
  <c r="H106" i="1"/>
  <c r="F107" i="1"/>
  <c r="G107" i="1"/>
  <c r="H107" i="1"/>
  <c r="F108" i="1"/>
  <c r="G108" i="1"/>
  <c r="H108" i="1"/>
  <c r="F109" i="1"/>
  <c r="G109" i="1"/>
  <c r="H109" i="1"/>
  <c r="F110" i="1"/>
  <c r="G110" i="1"/>
  <c r="H110" i="1"/>
  <c r="F111" i="1"/>
  <c r="G111" i="1"/>
  <c r="H111" i="1"/>
  <c r="F112" i="1"/>
  <c r="G112" i="1"/>
  <c r="H112" i="1"/>
  <c r="F113" i="1"/>
  <c r="G113" i="1"/>
  <c r="H113" i="1"/>
  <c r="F114" i="1"/>
  <c r="G114" i="1"/>
  <c r="H114" i="1"/>
  <c r="F115" i="1"/>
  <c r="G115" i="1"/>
  <c r="H115" i="1"/>
  <c r="F116" i="1"/>
  <c r="G116" i="1"/>
  <c r="H116" i="1"/>
  <c r="F117" i="1"/>
  <c r="G117" i="1"/>
  <c r="H117" i="1"/>
  <c r="F118" i="1"/>
  <c r="G118" i="1"/>
  <c r="H118" i="1"/>
  <c r="F119" i="1"/>
  <c r="G119" i="1"/>
  <c r="H119" i="1"/>
  <c r="F120" i="1"/>
  <c r="G120" i="1"/>
  <c r="H120" i="1"/>
  <c r="F121" i="1"/>
  <c r="G121" i="1"/>
  <c r="H121" i="1"/>
  <c r="F122" i="1"/>
  <c r="G122" i="1"/>
  <c r="H122" i="1"/>
  <c r="F123" i="1"/>
  <c r="G123" i="1"/>
  <c r="H123" i="1"/>
  <c r="F124" i="1"/>
  <c r="G124" i="1"/>
  <c r="H124" i="1"/>
  <c r="F125" i="1"/>
  <c r="G125" i="1"/>
  <c r="H125" i="1"/>
  <c r="F126" i="1"/>
  <c r="G126" i="1"/>
  <c r="H126" i="1"/>
  <c r="F127" i="1"/>
  <c r="G127" i="1"/>
  <c r="H127" i="1"/>
  <c r="F128" i="1"/>
  <c r="G128" i="1"/>
  <c r="H128" i="1"/>
  <c r="F129" i="1"/>
  <c r="G129" i="1"/>
  <c r="H129" i="1"/>
  <c r="F130" i="1"/>
  <c r="G130" i="1"/>
  <c r="H130" i="1"/>
  <c r="F131" i="1"/>
  <c r="G131" i="1"/>
  <c r="H131" i="1"/>
  <c r="F132" i="1"/>
  <c r="G132" i="1"/>
  <c r="H132" i="1"/>
  <c r="F133" i="1"/>
  <c r="G133" i="1"/>
  <c r="H133" i="1"/>
  <c r="F134" i="1"/>
  <c r="G134" i="1"/>
  <c r="H134" i="1"/>
  <c r="F135" i="1"/>
  <c r="G135" i="1"/>
  <c r="H135" i="1"/>
  <c r="F136" i="1"/>
  <c r="G136" i="1"/>
  <c r="H136" i="1"/>
  <c r="F137" i="1"/>
  <c r="G137" i="1"/>
  <c r="H137" i="1"/>
  <c r="F138" i="1"/>
  <c r="G138" i="1"/>
  <c r="H138" i="1"/>
  <c r="F139" i="1"/>
  <c r="G139" i="1"/>
  <c r="H139" i="1"/>
  <c r="F140" i="1"/>
  <c r="G140" i="1"/>
  <c r="H140" i="1"/>
  <c r="F141" i="1"/>
  <c r="G141" i="1"/>
  <c r="H141" i="1"/>
  <c r="F142" i="1"/>
  <c r="G142" i="1"/>
  <c r="H142" i="1"/>
  <c r="F143" i="1"/>
  <c r="G143" i="1"/>
  <c r="H143" i="1"/>
  <c r="F144" i="1"/>
  <c r="G144" i="1"/>
  <c r="H144" i="1"/>
  <c r="F145" i="1"/>
  <c r="G145" i="1"/>
  <c r="H145" i="1"/>
  <c r="F146" i="1"/>
  <c r="G146" i="1"/>
  <c r="H146" i="1"/>
  <c r="F147" i="1"/>
  <c r="G147" i="1"/>
  <c r="H147" i="1"/>
  <c r="F148" i="1"/>
  <c r="G148" i="1"/>
  <c r="H148" i="1"/>
  <c r="F149" i="1"/>
  <c r="G149" i="1"/>
  <c r="H149" i="1"/>
  <c r="F150" i="1"/>
  <c r="G150" i="1"/>
  <c r="H150" i="1"/>
  <c r="F151" i="1"/>
  <c r="G151" i="1"/>
  <c r="H151" i="1"/>
  <c r="F152" i="1"/>
  <c r="G152" i="1"/>
  <c r="H152" i="1"/>
  <c r="F153" i="1"/>
  <c r="G153" i="1"/>
  <c r="H153" i="1"/>
  <c r="F154" i="1"/>
  <c r="G154" i="1"/>
  <c r="H154" i="1"/>
  <c r="F155" i="1"/>
  <c r="G155" i="1"/>
  <c r="H155" i="1"/>
  <c r="F156" i="1"/>
  <c r="G156" i="1"/>
  <c r="H156" i="1"/>
  <c r="F157" i="1"/>
  <c r="G157" i="1"/>
  <c r="H157" i="1"/>
  <c r="F158" i="1"/>
  <c r="G158" i="1"/>
  <c r="H158" i="1"/>
  <c r="F159" i="1"/>
  <c r="G159" i="1"/>
  <c r="H159" i="1"/>
  <c r="F160" i="1"/>
  <c r="G160" i="1"/>
  <c r="H160" i="1"/>
  <c r="F161" i="1"/>
  <c r="G161" i="1"/>
  <c r="H161" i="1"/>
  <c r="F162" i="1"/>
  <c r="G162" i="1"/>
  <c r="H162" i="1"/>
  <c r="F163" i="1"/>
  <c r="G163" i="1"/>
  <c r="H163" i="1"/>
  <c r="F164" i="1"/>
  <c r="G164" i="1"/>
  <c r="H164" i="1"/>
  <c r="F165" i="1"/>
  <c r="G165" i="1"/>
  <c r="H165" i="1"/>
  <c r="F166" i="1"/>
  <c r="G166" i="1"/>
  <c r="H166" i="1"/>
  <c r="F167" i="1"/>
  <c r="G167" i="1"/>
  <c r="H167" i="1"/>
  <c r="F168" i="1"/>
  <c r="G168" i="1"/>
  <c r="H168" i="1"/>
  <c r="F169" i="1"/>
  <c r="G169" i="1"/>
  <c r="H169" i="1"/>
  <c r="F170" i="1"/>
  <c r="G170" i="1"/>
  <c r="H170" i="1"/>
  <c r="F171" i="1"/>
  <c r="G171" i="1"/>
  <c r="H171" i="1"/>
  <c r="F172" i="1"/>
  <c r="G172" i="1"/>
  <c r="H172" i="1"/>
  <c r="F173" i="1"/>
  <c r="G173" i="1"/>
  <c r="H173" i="1"/>
  <c r="F174" i="1"/>
  <c r="G174" i="1"/>
  <c r="H174" i="1"/>
  <c r="F175" i="1"/>
  <c r="G175" i="1"/>
  <c r="H175" i="1"/>
  <c r="F176" i="1"/>
  <c r="G176" i="1"/>
  <c r="H176" i="1"/>
  <c r="F177" i="1"/>
  <c r="G177" i="1"/>
  <c r="H177" i="1"/>
  <c r="F178" i="1"/>
  <c r="G178" i="1"/>
  <c r="H178" i="1"/>
  <c r="F179" i="1"/>
  <c r="G179" i="1"/>
  <c r="H179" i="1"/>
  <c r="F180" i="1"/>
  <c r="G180" i="1"/>
  <c r="H180" i="1"/>
  <c r="F181" i="1"/>
  <c r="G181" i="1"/>
  <c r="H181" i="1"/>
  <c r="F182" i="1"/>
  <c r="G182" i="1"/>
  <c r="H182" i="1"/>
  <c r="F183" i="1"/>
  <c r="G183" i="1"/>
  <c r="H183" i="1"/>
  <c r="F184" i="1"/>
  <c r="G184" i="1"/>
  <c r="H184" i="1"/>
  <c r="F185" i="1"/>
  <c r="G185" i="1"/>
  <c r="H185" i="1"/>
  <c r="F186" i="1"/>
  <c r="G186" i="1"/>
  <c r="H186" i="1"/>
  <c r="F187" i="1"/>
  <c r="G187" i="1"/>
  <c r="H187" i="1"/>
  <c r="F188" i="1"/>
  <c r="G188" i="1"/>
  <c r="H188" i="1"/>
  <c r="F189" i="1"/>
  <c r="G189" i="1"/>
  <c r="H189" i="1"/>
  <c r="F190" i="1"/>
  <c r="G190" i="1"/>
  <c r="H190" i="1"/>
  <c r="F191" i="1"/>
  <c r="G191" i="1"/>
  <c r="H191" i="1"/>
  <c r="F192" i="1"/>
  <c r="G192" i="1"/>
  <c r="H192" i="1"/>
  <c r="F193" i="1"/>
  <c r="G193" i="1"/>
  <c r="H193" i="1"/>
  <c r="F194" i="1"/>
  <c r="G194" i="1"/>
  <c r="H194" i="1"/>
  <c r="F195" i="1"/>
  <c r="G195" i="1"/>
  <c r="H195" i="1"/>
  <c r="F196" i="1"/>
  <c r="G196" i="1"/>
  <c r="H196" i="1"/>
  <c r="F197" i="1"/>
  <c r="G197" i="1"/>
  <c r="H197" i="1"/>
  <c r="F198" i="1"/>
  <c r="G198" i="1"/>
  <c r="H198" i="1"/>
  <c r="F199" i="1"/>
  <c r="G199" i="1"/>
  <c r="H199" i="1"/>
  <c r="F200" i="1"/>
  <c r="G200" i="1"/>
  <c r="H200" i="1"/>
  <c r="F201" i="1"/>
  <c r="G201" i="1"/>
  <c r="H201" i="1"/>
  <c r="F202" i="1"/>
  <c r="G202" i="1"/>
  <c r="H202" i="1"/>
  <c r="H3" i="1"/>
  <c r="G3" i="1"/>
  <c r="F3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B36" i="1"/>
  <c r="C36" i="1"/>
  <c r="D36" i="1"/>
  <c r="B37" i="1"/>
  <c r="C37" i="1"/>
  <c r="D37" i="1"/>
  <c r="B38" i="1"/>
  <c r="C38" i="1"/>
  <c r="D38" i="1"/>
  <c r="B39" i="1"/>
  <c r="C39" i="1"/>
  <c r="D39" i="1"/>
  <c r="B40" i="1"/>
  <c r="C40" i="1"/>
  <c r="D40" i="1"/>
  <c r="B41" i="1"/>
  <c r="C41" i="1"/>
  <c r="D41" i="1"/>
  <c r="B42" i="1"/>
  <c r="C42" i="1"/>
  <c r="D42" i="1"/>
  <c r="B43" i="1"/>
  <c r="C43" i="1"/>
  <c r="D43" i="1"/>
  <c r="B44" i="1"/>
  <c r="C44" i="1"/>
  <c r="D44" i="1"/>
  <c r="B45" i="1"/>
  <c r="C45" i="1"/>
  <c r="D45" i="1"/>
  <c r="B46" i="1"/>
  <c r="C46" i="1"/>
  <c r="D46" i="1"/>
  <c r="B47" i="1"/>
  <c r="C47" i="1"/>
  <c r="D47" i="1"/>
  <c r="B48" i="1"/>
  <c r="C48" i="1"/>
  <c r="D48" i="1"/>
  <c r="B49" i="1"/>
  <c r="C49" i="1"/>
  <c r="D49" i="1"/>
  <c r="B50" i="1"/>
  <c r="C50" i="1"/>
  <c r="D50" i="1"/>
  <c r="B51" i="1"/>
  <c r="C51" i="1"/>
  <c r="D51" i="1"/>
  <c r="B52" i="1"/>
  <c r="C52" i="1"/>
  <c r="D52" i="1"/>
  <c r="B53" i="1"/>
  <c r="C53" i="1"/>
  <c r="D53" i="1"/>
  <c r="B54" i="1"/>
  <c r="C54" i="1"/>
  <c r="D54" i="1"/>
  <c r="B55" i="1"/>
  <c r="C55" i="1"/>
  <c r="D55" i="1"/>
  <c r="B56" i="1"/>
  <c r="C56" i="1"/>
  <c r="D56" i="1"/>
  <c r="B57" i="1"/>
  <c r="C57" i="1"/>
  <c r="D57" i="1"/>
  <c r="B58" i="1"/>
  <c r="C58" i="1"/>
  <c r="D58" i="1"/>
  <c r="B59" i="1"/>
  <c r="C59" i="1"/>
  <c r="D59" i="1"/>
  <c r="B60" i="1"/>
  <c r="C60" i="1"/>
  <c r="D60" i="1"/>
  <c r="B61" i="1"/>
  <c r="C61" i="1"/>
  <c r="D61" i="1"/>
  <c r="B62" i="1"/>
  <c r="C62" i="1"/>
  <c r="D62" i="1"/>
  <c r="B63" i="1"/>
  <c r="C63" i="1"/>
  <c r="D63" i="1"/>
  <c r="B64" i="1"/>
  <c r="C64" i="1"/>
  <c r="D64" i="1"/>
  <c r="B65" i="1"/>
  <c r="C65" i="1"/>
  <c r="D65" i="1"/>
  <c r="B66" i="1"/>
  <c r="C66" i="1"/>
  <c r="D66" i="1"/>
  <c r="B67" i="1"/>
  <c r="C67" i="1"/>
  <c r="D67" i="1"/>
  <c r="B68" i="1"/>
  <c r="C68" i="1"/>
  <c r="D68" i="1"/>
  <c r="B69" i="1"/>
  <c r="C69" i="1"/>
  <c r="D69" i="1"/>
  <c r="B70" i="1"/>
  <c r="C70" i="1"/>
  <c r="D70" i="1"/>
  <c r="B71" i="1"/>
  <c r="C71" i="1"/>
  <c r="D71" i="1"/>
  <c r="B72" i="1"/>
  <c r="C72" i="1"/>
  <c r="D72" i="1"/>
  <c r="B73" i="1"/>
  <c r="C73" i="1"/>
  <c r="D73" i="1"/>
  <c r="B74" i="1"/>
  <c r="C74" i="1"/>
  <c r="D74" i="1"/>
  <c r="B75" i="1"/>
  <c r="C75" i="1"/>
  <c r="D75" i="1"/>
  <c r="B76" i="1"/>
  <c r="C76" i="1"/>
  <c r="D76" i="1"/>
  <c r="B77" i="1"/>
  <c r="C77" i="1"/>
  <c r="D77" i="1"/>
  <c r="B78" i="1"/>
  <c r="C78" i="1"/>
  <c r="D78" i="1"/>
  <c r="B79" i="1"/>
  <c r="C79" i="1"/>
  <c r="D79" i="1"/>
  <c r="B80" i="1"/>
  <c r="C80" i="1"/>
  <c r="D80" i="1"/>
  <c r="B81" i="1"/>
  <c r="C81" i="1"/>
  <c r="D81" i="1"/>
  <c r="B82" i="1"/>
  <c r="C82" i="1"/>
  <c r="D82" i="1"/>
  <c r="B83" i="1"/>
  <c r="C83" i="1"/>
  <c r="D83" i="1"/>
  <c r="B84" i="1"/>
  <c r="C84" i="1"/>
  <c r="D84" i="1"/>
  <c r="B85" i="1"/>
  <c r="C85" i="1"/>
  <c r="D85" i="1"/>
  <c r="B86" i="1"/>
  <c r="C86" i="1"/>
  <c r="D86" i="1"/>
  <c r="B87" i="1"/>
  <c r="C87" i="1"/>
  <c r="D87" i="1"/>
  <c r="B88" i="1"/>
  <c r="C88" i="1"/>
  <c r="D88" i="1"/>
  <c r="B89" i="1"/>
  <c r="C89" i="1"/>
  <c r="D89" i="1"/>
  <c r="B90" i="1"/>
  <c r="C90" i="1"/>
  <c r="D90" i="1"/>
  <c r="B91" i="1"/>
  <c r="C91" i="1"/>
  <c r="D91" i="1"/>
  <c r="B92" i="1"/>
  <c r="C92" i="1"/>
  <c r="D92" i="1"/>
  <c r="B93" i="1"/>
  <c r="C93" i="1"/>
  <c r="D93" i="1"/>
  <c r="B94" i="1"/>
  <c r="C94" i="1"/>
  <c r="D94" i="1"/>
  <c r="B95" i="1"/>
  <c r="C95" i="1"/>
  <c r="D95" i="1"/>
  <c r="B96" i="1"/>
  <c r="C96" i="1"/>
  <c r="D96" i="1"/>
  <c r="B97" i="1"/>
  <c r="C97" i="1"/>
  <c r="D97" i="1"/>
  <c r="B98" i="1"/>
  <c r="C98" i="1"/>
  <c r="D98" i="1"/>
  <c r="B99" i="1"/>
  <c r="C99" i="1"/>
  <c r="D99" i="1"/>
  <c r="B100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C104" i="1"/>
  <c r="D104" i="1"/>
  <c r="B105" i="1"/>
  <c r="C105" i="1"/>
  <c r="D105" i="1"/>
  <c r="B106" i="1"/>
  <c r="C106" i="1"/>
  <c r="D106" i="1"/>
  <c r="B107" i="1"/>
  <c r="C107" i="1"/>
  <c r="D107" i="1"/>
  <c r="B108" i="1"/>
  <c r="C108" i="1"/>
  <c r="D108" i="1"/>
  <c r="B109" i="1"/>
  <c r="C109" i="1"/>
  <c r="D109" i="1"/>
  <c r="B110" i="1"/>
  <c r="C110" i="1"/>
  <c r="D110" i="1"/>
  <c r="B111" i="1"/>
  <c r="C111" i="1"/>
  <c r="D111" i="1"/>
  <c r="B112" i="1"/>
  <c r="C112" i="1"/>
  <c r="D112" i="1"/>
  <c r="B113" i="1"/>
  <c r="C113" i="1"/>
  <c r="D113" i="1"/>
  <c r="B114" i="1"/>
  <c r="C114" i="1"/>
  <c r="D114" i="1"/>
  <c r="B115" i="1"/>
  <c r="C115" i="1"/>
  <c r="D115" i="1"/>
  <c r="B116" i="1"/>
  <c r="C116" i="1"/>
  <c r="D116" i="1"/>
  <c r="B117" i="1"/>
  <c r="C117" i="1"/>
  <c r="D117" i="1"/>
  <c r="B118" i="1"/>
  <c r="C118" i="1"/>
  <c r="D118" i="1"/>
  <c r="B119" i="1"/>
  <c r="C119" i="1"/>
  <c r="D119" i="1"/>
  <c r="B120" i="1"/>
  <c r="C120" i="1"/>
  <c r="D120" i="1"/>
  <c r="B121" i="1"/>
  <c r="C121" i="1"/>
  <c r="D121" i="1"/>
  <c r="B122" i="1"/>
  <c r="C122" i="1"/>
  <c r="D122" i="1"/>
  <c r="B123" i="1"/>
  <c r="C123" i="1"/>
  <c r="D123" i="1"/>
  <c r="B124" i="1"/>
  <c r="C124" i="1"/>
  <c r="D124" i="1"/>
  <c r="B125" i="1"/>
  <c r="C125" i="1"/>
  <c r="D125" i="1"/>
  <c r="B126" i="1"/>
  <c r="C126" i="1"/>
  <c r="D126" i="1"/>
  <c r="B127" i="1"/>
  <c r="C127" i="1"/>
  <c r="D127" i="1"/>
  <c r="B128" i="1"/>
  <c r="C128" i="1"/>
  <c r="D128" i="1"/>
  <c r="B129" i="1"/>
  <c r="C129" i="1"/>
  <c r="D129" i="1"/>
  <c r="B130" i="1"/>
  <c r="C130" i="1"/>
  <c r="D130" i="1"/>
  <c r="B131" i="1"/>
  <c r="C131" i="1"/>
  <c r="D131" i="1"/>
  <c r="B132" i="1"/>
  <c r="C132" i="1"/>
  <c r="D132" i="1"/>
  <c r="B133" i="1"/>
  <c r="C133" i="1"/>
  <c r="D133" i="1"/>
  <c r="B134" i="1"/>
  <c r="C134" i="1"/>
  <c r="D134" i="1"/>
  <c r="B135" i="1"/>
  <c r="C135" i="1"/>
  <c r="D135" i="1"/>
  <c r="B136" i="1"/>
  <c r="C136" i="1"/>
  <c r="D136" i="1"/>
  <c r="B137" i="1"/>
  <c r="C137" i="1"/>
  <c r="D137" i="1"/>
  <c r="B138" i="1"/>
  <c r="C138" i="1"/>
  <c r="D138" i="1"/>
  <c r="B139" i="1"/>
  <c r="C139" i="1"/>
  <c r="D139" i="1"/>
  <c r="B140" i="1"/>
  <c r="C140" i="1"/>
  <c r="D140" i="1"/>
  <c r="B141" i="1"/>
  <c r="C141" i="1"/>
  <c r="D141" i="1"/>
  <c r="B142" i="1"/>
  <c r="C142" i="1"/>
  <c r="D142" i="1"/>
  <c r="B143" i="1"/>
  <c r="C143" i="1"/>
  <c r="D143" i="1"/>
  <c r="B144" i="1"/>
  <c r="C144" i="1"/>
  <c r="D144" i="1"/>
  <c r="B145" i="1"/>
  <c r="C145" i="1"/>
  <c r="D145" i="1"/>
  <c r="B146" i="1"/>
  <c r="C146" i="1"/>
  <c r="D146" i="1"/>
  <c r="B147" i="1"/>
  <c r="C147" i="1"/>
  <c r="D147" i="1"/>
  <c r="B148" i="1"/>
  <c r="C148" i="1"/>
  <c r="D148" i="1"/>
  <c r="B149" i="1"/>
  <c r="C149" i="1"/>
  <c r="D149" i="1"/>
  <c r="B150" i="1"/>
  <c r="C150" i="1"/>
  <c r="D150" i="1"/>
  <c r="B151" i="1"/>
  <c r="C151" i="1"/>
  <c r="D151" i="1"/>
  <c r="B152" i="1"/>
  <c r="C152" i="1"/>
  <c r="D152" i="1"/>
  <c r="B153" i="1"/>
  <c r="C153" i="1"/>
  <c r="D153" i="1"/>
  <c r="B154" i="1"/>
  <c r="C154" i="1"/>
  <c r="D154" i="1"/>
  <c r="B155" i="1"/>
  <c r="C155" i="1"/>
  <c r="D155" i="1"/>
  <c r="B156" i="1"/>
  <c r="C156" i="1"/>
  <c r="D156" i="1"/>
  <c r="B157" i="1"/>
  <c r="C157" i="1"/>
  <c r="D157" i="1"/>
  <c r="B158" i="1"/>
  <c r="C158" i="1"/>
  <c r="D158" i="1"/>
  <c r="B159" i="1"/>
  <c r="C159" i="1"/>
  <c r="D159" i="1"/>
  <c r="B160" i="1"/>
  <c r="C160" i="1"/>
  <c r="D160" i="1"/>
  <c r="B161" i="1"/>
  <c r="C161" i="1"/>
  <c r="D161" i="1"/>
  <c r="B162" i="1"/>
  <c r="C162" i="1"/>
  <c r="D162" i="1"/>
  <c r="B163" i="1"/>
  <c r="C163" i="1"/>
  <c r="D163" i="1"/>
  <c r="B164" i="1"/>
  <c r="C164" i="1"/>
  <c r="D164" i="1"/>
  <c r="B165" i="1"/>
  <c r="C165" i="1"/>
  <c r="D165" i="1"/>
  <c r="B166" i="1"/>
  <c r="C166" i="1"/>
  <c r="D166" i="1"/>
  <c r="B167" i="1"/>
  <c r="C167" i="1"/>
  <c r="D167" i="1"/>
  <c r="B168" i="1"/>
  <c r="C168" i="1"/>
  <c r="D168" i="1"/>
  <c r="B169" i="1"/>
  <c r="C169" i="1"/>
  <c r="D169" i="1"/>
  <c r="B170" i="1"/>
  <c r="C170" i="1"/>
  <c r="D170" i="1"/>
  <c r="B171" i="1"/>
  <c r="C171" i="1"/>
  <c r="D171" i="1"/>
  <c r="B172" i="1"/>
  <c r="C172" i="1"/>
  <c r="D172" i="1"/>
  <c r="B173" i="1"/>
  <c r="C173" i="1"/>
  <c r="D173" i="1"/>
  <c r="B174" i="1"/>
  <c r="C174" i="1"/>
  <c r="D174" i="1"/>
  <c r="B175" i="1"/>
  <c r="C175" i="1"/>
  <c r="D175" i="1"/>
  <c r="B176" i="1"/>
  <c r="C176" i="1"/>
  <c r="D176" i="1"/>
  <c r="B177" i="1"/>
  <c r="C177" i="1"/>
  <c r="D177" i="1"/>
  <c r="B178" i="1"/>
  <c r="C178" i="1"/>
  <c r="D178" i="1"/>
  <c r="B179" i="1"/>
  <c r="C179" i="1"/>
  <c r="D179" i="1"/>
  <c r="B180" i="1"/>
  <c r="C180" i="1"/>
  <c r="D180" i="1"/>
  <c r="B181" i="1"/>
  <c r="C181" i="1"/>
  <c r="D181" i="1"/>
  <c r="B182" i="1"/>
  <c r="C182" i="1"/>
  <c r="D182" i="1"/>
  <c r="B183" i="1"/>
  <c r="C183" i="1"/>
  <c r="D183" i="1"/>
  <c r="B184" i="1"/>
  <c r="C184" i="1"/>
  <c r="D184" i="1"/>
  <c r="B185" i="1"/>
  <c r="C185" i="1"/>
  <c r="D185" i="1"/>
  <c r="B186" i="1"/>
  <c r="C186" i="1"/>
  <c r="D186" i="1"/>
  <c r="B187" i="1"/>
  <c r="C187" i="1"/>
  <c r="D187" i="1"/>
  <c r="B188" i="1"/>
  <c r="C188" i="1"/>
  <c r="D188" i="1"/>
  <c r="B189" i="1"/>
  <c r="C189" i="1"/>
  <c r="D189" i="1"/>
  <c r="B190" i="1"/>
  <c r="C190" i="1"/>
  <c r="D190" i="1"/>
  <c r="B191" i="1"/>
  <c r="C191" i="1"/>
  <c r="D191" i="1"/>
  <c r="B192" i="1"/>
  <c r="C192" i="1"/>
  <c r="D192" i="1"/>
  <c r="B193" i="1"/>
  <c r="C193" i="1"/>
  <c r="D193" i="1"/>
  <c r="B194" i="1"/>
  <c r="C194" i="1"/>
  <c r="D194" i="1"/>
  <c r="B195" i="1"/>
  <c r="C195" i="1"/>
  <c r="D195" i="1"/>
  <c r="B196" i="1"/>
  <c r="C196" i="1"/>
  <c r="D196" i="1"/>
  <c r="B197" i="1"/>
  <c r="C197" i="1"/>
  <c r="D197" i="1"/>
  <c r="B198" i="1"/>
  <c r="C198" i="1"/>
  <c r="D198" i="1"/>
  <c r="B199" i="1"/>
  <c r="C199" i="1"/>
  <c r="D199" i="1"/>
  <c r="B200" i="1"/>
  <c r="C200" i="1"/>
  <c r="D200" i="1"/>
  <c r="B201" i="1"/>
  <c r="C201" i="1"/>
  <c r="D201" i="1"/>
  <c r="B202" i="1"/>
  <c r="C202" i="1"/>
  <c r="D202" i="1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D3" i="1"/>
  <c r="C3" i="1"/>
  <c r="B3" i="1"/>
  <c r="U3" i="1"/>
  <c r="V3" i="1"/>
  <c r="T3" i="1"/>
</calcChain>
</file>

<file path=xl/sharedStrings.xml><?xml version="1.0" encoding="utf-8"?>
<sst xmlns="http://schemas.openxmlformats.org/spreadsheetml/2006/main" count="34" uniqueCount="23">
  <si>
    <t>n_estimators</t>
  </si>
  <si>
    <t>max_depth</t>
  </si>
  <si>
    <t>learning_rate</t>
  </si>
  <si>
    <t>XGB</t>
  </si>
  <si>
    <t>min_samples_split</t>
  </si>
  <si>
    <t>min_samples_leaf</t>
  </si>
  <si>
    <t>KNNC</t>
  </si>
  <si>
    <t>n_neighbors</t>
  </si>
  <si>
    <t>p</t>
  </si>
  <si>
    <t>leaf_size</t>
  </si>
  <si>
    <t>RFC</t>
  </si>
  <si>
    <t>LR</t>
  </si>
  <si>
    <t>C</t>
  </si>
  <si>
    <t>max_iter</t>
  </si>
  <si>
    <t>DTC/DTR</t>
  </si>
  <si>
    <t>HGBR</t>
  </si>
  <si>
    <t>SVC</t>
  </si>
  <si>
    <t>gamma</t>
  </si>
  <si>
    <t>alpha</t>
  </si>
  <si>
    <t>tol</t>
  </si>
  <si>
    <t>Lasso</t>
  </si>
  <si>
    <t>q</t>
  </si>
  <si>
    <t>QR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</si>
</sst>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0"/>
      <color theme="1"/>
      <name val="Arial Unicode MS"/>
      <family val="2"/>
    </font>
    <font>
      <b/>
      <sz val="1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A9D08E"/>
        <bgColor rgb="FFA9D08E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3" fillId="4" borderId="1" applyNumberFormat="0" applyAlignment="0" applyProtection="0"/>
    <xf numFmtId="0" fontId="1" fillId="2" borderId="0"/>
    <xf numFmtId="0" fontId="2" fillId="3" borderId="0"/>
  </cellStyleXfs>
  <cellXfs count="7">
    <xf numFmtId="0" fontId="0" fillId="0" borderId="0" xfId="0"/>
    <xf numFmtId="0" fontId="4" fillId="0" borderId="0" xfId="0" applyFont="1" applyAlignment="1">
      <alignment vertical="center" wrapText="1"/>
    </xf>
    <xf numFmtId="0" fontId="3" fillId="4" borderId="1" xfId="1" applyAlignment="1">
      <alignment horizontal="center"/>
    </xf>
    <xf numFmtId="0" fontId="3" fillId="4" borderId="2" xfId="1" applyBorder="1" applyAlignment="1">
      <alignment horizontal="center"/>
    </xf>
    <xf numFmtId="0" fontId="3" fillId="4" borderId="3" xfId="1" applyBorder="1" applyAlignment="1">
      <alignment horizontal="center"/>
    </xf>
    <xf numFmtId="0" fontId="0" fillId="0" borderId="0" xfId="0"/>
    <xf numFmtId="0" fontId="5" fillId="5" borderId="0" xfId="0" applyFont="1" applyFill="1" applyAlignment="1">
      <alignment horizontal="center"/>
    </xf>
  </cellXfs>
  <cellStyles count="4">
    <cellStyle name="Calculation" xfId="1" builtinId="22"/>
    <cellStyle name="Good 2" xfId="2" xr:uid="{ADA26BFB-D622-446A-91DE-FAA7BF09EC7E}"/>
    <cellStyle name="Neutral 2" xfId="3" xr:uid="{5727AFA4-E9D0-48FA-A088-E47DA4341A0E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L202"/>
  <sheetViews>
    <sheetView tabSelected="1" topLeftCell="L1" zoomScale="70" zoomScaleNormal="70" workbookViewId="0">
      <selection activeCell="AF2" sqref="AF2:AH3"/>
    </sheetView>
  </sheetViews>
  <sheetFormatPr defaultRowHeight="15" x14ac:dyDescent="0.25"/>
  <sheetData>
    <row r="1" spans="2:38" x14ac:dyDescent="0.25">
      <c r="B1" s="2" t="s">
        <v>3</v>
      </c>
      <c r="C1" s="2"/>
      <c r="D1" s="2"/>
      <c r="F1" s="2" t="s">
        <v>14</v>
      </c>
      <c r="G1" s="2"/>
      <c r="H1" s="2"/>
      <c r="I1" s="1"/>
      <c r="J1" s="2" t="s">
        <v>6</v>
      </c>
      <c r="K1" s="2"/>
      <c r="L1" s="2"/>
      <c r="M1" s="1"/>
      <c r="N1" s="3" t="s">
        <v>10</v>
      </c>
      <c r="O1" s="4"/>
      <c r="P1" s="1"/>
      <c r="Q1" s="3" t="s">
        <v>11</v>
      </c>
      <c r="R1" s="4"/>
      <c r="S1" s="1"/>
      <c r="T1" s="2" t="s">
        <v>15</v>
      </c>
      <c r="U1" s="2"/>
      <c r="V1" s="2"/>
      <c r="W1" s="1"/>
      <c r="X1" s="2" t="s">
        <v>16</v>
      </c>
      <c r="Y1" s="2"/>
      <c r="Z1" s="2"/>
      <c r="AB1" s="2" t="s">
        <v>20</v>
      </c>
      <c r="AC1" s="2"/>
      <c r="AD1" s="2"/>
      <c r="AE1" s="1"/>
      <c r="AF1" s="2" t="s">
        <v>22</v>
      </c>
      <c r="AG1" s="2"/>
      <c r="AH1" s="2"/>
    </row>
    <row r="2" spans="2:38" x14ac:dyDescent="0.25">
      <c r="B2" s="6" t="s">
        <v>0</v>
      </c>
      <c r="C2" s="6" t="s">
        <v>1</v>
      </c>
      <c r="D2" s="6" t="s">
        <v>2</v>
      </c>
      <c r="F2" s="6" t="s">
        <v>1</v>
      </c>
      <c r="G2" s="6" t="s">
        <v>4</v>
      </c>
      <c r="H2" s="6" t="s">
        <v>5</v>
      </c>
      <c r="I2" s="1"/>
      <c r="J2" s="6" t="s">
        <v>7</v>
      </c>
      <c r="K2" s="6" t="s">
        <v>8</v>
      </c>
      <c r="L2" s="6" t="s">
        <v>9</v>
      </c>
      <c r="M2" s="1"/>
      <c r="N2" s="6" t="s">
        <v>0</v>
      </c>
      <c r="O2" s="6" t="s">
        <v>1</v>
      </c>
      <c r="P2" s="1"/>
      <c r="Q2" s="6" t="s">
        <v>12</v>
      </c>
      <c r="R2" s="6" t="s">
        <v>13</v>
      </c>
      <c r="S2" s="1"/>
      <c r="T2" s="6" t="s">
        <v>2</v>
      </c>
      <c r="U2" s="6" t="s">
        <v>13</v>
      </c>
      <c r="V2" s="6" t="s">
        <v>1</v>
      </c>
      <c r="W2" s="1"/>
      <c r="X2" s="6" t="s">
        <v>12</v>
      </c>
      <c r="Y2" s="6" t="s">
        <v>17</v>
      </c>
      <c r="Z2" s="6" t="s">
        <v>13</v>
      </c>
      <c r="AB2" s="6" t="s">
        <v>18</v>
      </c>
      <c r="AC2" s="6" t="s">
        <v>13</v>
      </c>
      <c r="AD2" s="6" t="s">
        <v>19</v>
      </c>
      <c r="AE2" s="1"/>
      <c r="AF2" s="6" t="s">
        <v>21</v>
      </c>
      <c r="AG2" s="6" t="s">
        <v>13</v>
      </c>
      <c r="AH2" s="6" t="s">
        <v>19</v>
      </c>
    </row>
    <row r="3" spans="2:38" x14ac:dyDescent="0.25">
      <c r="B3">
        <f ca="1">RANDBETWEEN(15,1000)</f>
        <v>794</v>
      </c>
      <c r="C3">
        <f ca="1">RANDBETWEEN(2,52)</f>
        <v>14</v>
      </c>
      <c r="D3">
        <f ca="1">RAND()*(0.3-0.01)+0.01</f>
        <v>0.26799781309851839</v>
      </c>
      <c r="F3" s="1">
        <f ca="1">RANDBETWEEN(2,52)</f>
        <v>26</v>
      </c>
      <c r="G3" s="1">
        <f ca="1">RANDBETWEEN(2,30)</f>
        <v>19</v>
      </c>
      <c r="H3" s="1">
        <f ca="1">RANDBETWEEN(1,15)</f>
        <v>5</v>
      </c>
      <c r="I3" s="1"/>
      <c r="J3" s="1">
        <f ca="1">RANDBETWEEN(1,39)</f>
        <v>2</v>
      </c>
      <c r="K3" s="1">
        <f ca="1">RAND()*(3-1)+1</f>
        <v>1.4926785082202023</v>
      </c>
      <c r="L3" s="1">
        <f ca="1">RANDBETWEEN(2,35)</f>
        <v>22</v>
      </c>
      <c r="M3" s="1"/>
      <c r="N3" s="1">
        <f ca="1">RANDBETWEEN(15,1000)</f>
        <v>828</v>
      </c>
      <c r="O3" s="1">
        <f ca="1">RANDBETWEEN(2,52)</f>
        <v>22</v>
      </c>
      <c r="P3" s="1"/>
      <c r="Q3" s="1">
        <f ca="1">RAND()*(5-0.01)+0.01</f>
        <v>0.17517124000329315</v>
      </c>
      <c r="R3" s="1">
        <f ca="1">RANDBETWEEN(200,1200)</f>
        <v>650</v>
      </c>
      <c r="S3" s="1"/>
      <c r="T3" s="1">
        <f ca="1">RAND()*(0.2-0.01)+0.01</f>
        <v>0.17751720140932961</v>
      </c>
      <c r="U3" s="1">
        <f ca="1">RANDBETWEEN(50,450)</f>
        <v>168</v>
      </c>
      <c r="V3" s="1">
        <f ca="1">RANDBETWEEN(2,52)</f>
        <v>13</v>
      </c>
      <c r="W3" s="1"/>
      <c r="X3" s="1">
        <f ca="1">RAND()*(10-0.01)+0.01</f>
        <v>9.685424861116255</v>
      </c>
      <c r="Y3" s="1">
        <f ca="1">RAND()*(1-0.0001)+0.0001</f>
        <v>0.27948798724494861</v>
      </c>
      <c r="Z3" s="1">
        <f ca="1">RANDBETWEEN(100,2000)</f>
        <v>1006</v>
      </c>
      <c r="AB3" s="1">
        <f ca="1">RAND()*(1-0.0001)+0.0001</f>
        <v>4.2559100783999937E-2</v>
      </c>
      <c r="AC3" s="1">
        <f ca="1">RANDBETWEEN(100,1000)</f>
        <v>392</v>
      </c>
      <c r="AD3" s="1">
        <f ca="1">RAND()*(0.01-0.00001)+0.00001</f>
        <v>6.0978262532459535E-3</v>
      </c>
      <c r="AE3" s="1"/>
      <c r="AF3" s="1">
        <f ca="1">RAND()*(0.9-0.1)+0.1</f>
        <v>0.8314900079188875</v>
      </c>
      <c r="AG3" s="1">
        <f ca="1">RANDBETWEEN(100,1000)</f>
        <v>638</v>
      </c>
      <c r="AH3" s="1">
        <f ca="1">RAND()*(0.01-0.00001)+0.00001</f>
        <v>2.6529239523563667E-3</v>
      </c>
    </row>
    <row r="4" spans="2:38" x14ac:dyDescent="0.25">
      <c r="B4">
        <f t="shared" ref="B4:B67" ca="1" si="0">RANDBETWEEN(15,1000)</f>
        <v>74</v>
      </c>
      <c r="C4">
        <f t="shared" ref="C4:C67" ca="1" si="1">RANDBETWEEN(2,52)</f>
        <v>14</v>
      </c>
      <c r="D4">
        <f t="shared" ref="D4:D67" ca="1" si="2">RAND()*(0.3-0.01)+0.01</f>
        <v>0.16245231137719512</v>
      </c>
      <c r="F4" s="1">
        <f t="shared" ref="F4:F67" ca="1" si="3">RANDBETWEEN(2,52)</f>
        <v>3</v>
      </c>
      <c r="G4" s="1">
        <f t="shared" ref="G4:G67" ca="1" si="4">RANDBETWEEN(2,30)</f>
        <v>16</v>
      </c>
      <c r="H4" s="1">
        <f t="shared" ref="H4:H67" ca="1" si="5">RANDBETWEEN(1,15)</f>
        <v>8</v>
      </c>
      <c r="I4" s="1"/>
      <c r="J4" s="1">
        <f t="shared" ref="J4:J67" ca="1" si="6">RANDBETWEEN(1,39)</f>
        <v>11</v>
      </c>
      <c r="K4" s="1">
        <f t="shared" ref="K4:K67" ca="1" si="7">RAND()*(3-1)+1</f>
        <v>1.4238921913467317</v>
      </c>
      <c r="L4" s="1">
        <f t="shared" ref="L4:L67" ca="1" si="8">RANDBETWEEN(2,35)</f>
        <v>33</v>
      </c>
      <c r="M4" s="1"/>
      <c r="N4" s="1">
        <f t="shared" ref="N4:N67" ca="1" si="9">RANDBETWEEN(15,1000)</f>
        <v>366</v>
      </c>
      <c r="O4" s="1">
        <f t="shared" ref="O4:O67" ca="1" si="10">RANDBETWEEN(2,52)</f>
        <v>52</v>
      </c>
      <c r="P4" s="1"/>
      <c r="Q4" s="1">
        <f t="shared" ref="Q4:Q67" ca="1" si="11">RAND()*(5-0.01)+0.01</f>
        <v>1.8628447112993587</v>
      </c>
      <c r="R4" s="1">
        <f t="shared" ref="R4:R67" ca="1" si="12">RANDBETWEEN(200,1200)</f>
        <v>910</v>
      </c>
      <c r="S4" s="1"/>
      <c r="T4" s="1">
        <f t="shared" ref="T4:T67" ca="1" si="13">RAND()*(0.2-0.01)+0.01</f>
        <v>0.19237296037859278</v>
      </c>
      <c r="U4" s="1">
        <f t="shared" ref="U4:U67" ca="1" si="14">RANDBETWEEN(50,450)</f>
        <v>214</v>
      </c>
      <c r="V4" s="1">
        <f t="shared" ref="V4:V67" ca="1" si="15">RANDBETWEEN(2,52)</f>
        <v>41</v>
      </c>
      <c r="W4" s="1"/>
      <c r="X4" s="1">
        <f t="shared" ref="X4:X67" ca="1" si="16">RAND()*(10-0.01)+0.01</f>
        <v>0.61212231315268795</v>
      </c>
      <c r="Y4" s="1">
        <f t="shared" ref="Y4:Y67" ca="1" si="17">RAND()*(1-0.0001)+0.0001</f>
        <v>0.90833488098411153</v>
      </c>
      <c r="Z4" s="1">
        <f t="shared" ref="Z4:Z67" ca="1" si="18">RANDBETWEEN(100,2000)</f>
        <v>303</v>
      </c>
      <c r="AB4" s="1">
        <f t="shared" ref="AB4:AB67" ca="1" si="19">RAND()*(1-0.0001)+0.0001</f>
        <v>0.30930969752980619</v>
      </c>
      <c r="AC4" s="1">
        <f t="shared" ref="AC4:AC67" ca="1" si="20">RANDBETWEEN(100,1000)</f>
        <v>768</v>
      </c>
      <c r="AD4" s="1">
        <f t="shared" ref="AD4:AD67" ca="1" si="21">RAND()*(0.01-0.00001)+0.00001</f>
        <v>5.7210307528509285E-3</v>
      </c>
      <c r="AE4" s="1"/>
      <c r="AF4" s="1">
        <f t="shared" ref="AF4:AF67" ca="1" si="22">RAND()*(0.9-0.1)+0.1</f>
        <v>0.82849129945241184</v>
      </c>
      <c r="AG4" s="1">
        <f t="shared" ref="AG4:AG67" ca="1" si="23">RANDBETWEEN(100,1000)</f>
        <v>508</v>
      </c>
      <c r="AH4" s="1">
        <f t="shared" ref="AH4:AH67" ca="1" si="24">RAND()*(0.01-0.00001)+0.00001</f>
        <v>7.4721767469919315E-3</v>
      </c>
      <c r="AJ4" s="5"/>
      <c r="AK4" s="5"/>
      <c r="AL4" s="5"/>
    </row>
    <row r="5" spans="2:38" x14ac:dyDescent="0.25">
      <c r="B5">
        <f t="shared" ca="1" si="0"/>
        <v>767</v>
      </c>
      <c r="C5">
        <f t="shared" ca="1" si="1"/>
        <v>24</v>
      </c>
      <c r="D5">
        <f t="shared" ca="1" si="2"/>
        <v>0.2479997480615754</v>
      </c>
      <c r="F5" s="1">
        <f t="shared" ca="1" si="3"/>
        <v>31</v>
      </c>
      <c r="G5" s="1">
        <f t="shared" ca="1" si="4"/>
        <v>17</v>
      </c>
      <c r="H5" s="1">
        <f t="shared" ca="1" si="5"/>
        <v>3</v>
      </c>
      <c r="I5" s="1"/>
      <c r="J5" s="1">
        <f t="shared" ca="1" si="6"/>
        <v>24</v>
      </c>
      <c r="K5" s="1">
        <f t="shared" ca="1" si="7"/>
        <v>1.6610248526974207</v>
      </c>
      <c r="L5" s="1">
        <f t="shared" ca="1" si="8"/>
        <v>17</v>
      </c>
      <c r="M5" s="1"/>
      <c r="N5" s="1">
        <f t="shared" ca="1" si="9"/>
        <v>218</v>
      </c>
      <c r="O5" s="1">
        <f t="shared" ca="1" si="10"/>
        <v>9</v>
      </c>
      <c r="P5" s="1"/>
      <c r="Q5" s="1">
        <f t="shared" ca="1" si="11"/>
        <v>3.9278452544917219</v>
      </c>
      <c r="R5" s="1">
        <f t="shared" ca="1" si="12"/>
        <v>1033</v>
      </c>
      <c r="S5" s="1"/>
      <c r="T5" s="1">
        <f t="shared" ca="1" si="13"/>
        <v>4.5919465988391445E-2</v>
      </c>
      <c r="U5" s="1">
        <f t="shared" ca="1" si="14"/>
        <v>300</v>
      </c>
      <c r="V5" s="1">
        <f t="shared" ca="1" si="15"/>
        <v>33</v>
      </c>
      <c r="W5" s="1"/>
      <c r="X5" s="1">
        <f t="shared" ca="1" si="16"/>
        <v>7.9204973150765294</v>
      </c>
      <c r="Y5" s="1">
        <f t="shared" ca="1" si="17"/>
        <v>0.19625125046922562</v>
      </c>
      <c r="Z5" s="1">
        <f t="shared" ca="1" si="18"/>
        <v>596</v>
      </c>
      <c r="AB5" s="1">
        <f t="shared" ca="1" si="19"/>
        <v>8.5739094354636891E-2</v>
      </c>
      <c r="AC5" s="1">
        <f t="shared" ca="1" si="20"/>
        <v>985</v>
      </c>
      <c r="AD5" s="1">
        <f t="shared" ca="1" si="21"/>
        <v>8.5566801768328822E-3</v>
      </c>
      <c r="AE5" s="1"/>
      <c r="AF5" s="1">
        <f t="shared" ca="1" si="22"/>
        <v>0.14009517954106682</v>
      </c>
      <c r="AG5" s="1">
        <f t="shared" ca="1" si="23"/>
        <v>648</v>
      </c>
      <c r="AH5" s="1">
        <f t="shared" ca="1" si="24"/>
        <v>5.8593414528165686E-3</v>
      </c>
      <c r="AJ5" s="5"/>
      <c r="AK5" s="5"/>
      <c r="AL5" s="5"/>
    </row>
    <row r="6" spans="2:38" x14ac:dyDescent="0.25">
      <c r="B6">
        <f t="shared" ca="1" si="0"/>
        <v>465</v>
      </c>
      <c r="C6">
        <f t="shared" ca="1" si="1"/>
        <v>20</v>
      </c>
      <c r="D6">
        <f t="shared" ca="1" si="2"/>
        <v>0.13061874593945849</v>
      </c>
      <c r="F6" s="1">
        <f t="shared" ca="1" si="3"/>
        <v>10</v>
      </c>
      <c r="G6" s="1">
        <f t="shared" ca="1" si="4"/>
        <v>22</v>
      </c>
      <c r="H6" s="1">
        <f t="shared" ca="1" si="5"/>
        <v>1</v>
      </c>
      <c r="I6" s="1"/>
      <c r="J6" s="1">
        <f t="shared" ca="1" si="6"/>
        <v>39</v>
      </c>
      <c r="K6" s="1">
        <f t="shared" ca="1" si="7"/>
        <v>2.1705774661907897</v>
      </c>
      <c r="L6" s="1">
        <f t="shared" ca="1" si="8"/>
        <v>25</v>
      </c>
      <c r="M6" s="1"/>
      <c r="N6" s="1">
        <f t="shared" ca="1" si="9"/>
        <v>928</v>
      </c>
      <c r="O6" s="1">
        <f t="shared" ca="1" si="10"/>
        <v>43</v>
      </c>
      <c r="P6" s="1"/>
      <c r="Q6" s="1">
        <f t="shared" ca="1" si="11"/>
        <v>3.5934043718579467</v>
      </c>
      <c r="R6" s="1">
        <f t="shared" ca="1" si="12"/>
        <v>335</v>
      </c>
      <c r="S6" s="1"/>
      <c r="T6" s="1">
        <f t="shared" ca="1" si="13"/>
        <v>6.6952780766540099E-2</v>
      </c>
      <c r="U6" s="1">
        <f t="shared" ca="1" si="14"/>
        <v>400</v>
      </c>
      <c r="V6" s="1">
        <f t="shared" ca="1" si="15"/>
        <v>42</v>
      </c>
      <c r="W6" s="1"/>
      <c r="X6" s="1">
        <f t="shared" ca="1" si="16"/>
        <v>2.4681738320399083</v>
      </c>
      <c r="Y6" s="1">
        <f t="shared" ca="1" si="17"/>
        <v>0.25411211013984086</v>
      </c>
      <c r="Z6" s="1">
        <f t="shared" ca="1" si="18"/>
        <v>960</v>
      </c>
      <c r="AB6" s="1">
        <f t="shared" ca="1" si="19"/>
        <v>0.78752449300788718</v>
      </c>
      <c r="AC6" s="1">
        <f t="shared" ca="1" si="20"/>
        <v>166</v>
      </c>
      <c r="AD6" s="1">
        <f t="shared" ca="1" si="21"/>
        <v>1.1052399395202334E-3</v>
      </c>
      <c r="AE6" s="1"/>
      <c r="AF6" s="1">
        <f t="shared" ca="1" si="22"/>
        <v>0.63200132523040353</v>
      </c>
      <c r="AG6" s="1">
        <f t="shared" ca="1" si="23"/>
        <v>688</v>
      </c>
      <c r="AH6" s="1">
        <f t="shared" ca="1" si="24"/>
        <v>1.9025791000667038E-3</v>
      </c>
      <c r="AJ6" s="5"/>
      <c r="AK6" s="5"/>
      <c r="AL6" s="5"/>
    </row>
    <row r="7" spans="2:38" x14ac:dyDescent="0.25">
      <c r="B7">
        <f t="shared" ca="1" si="0"/>
        <v>126</v>
      </c>
      <c r="C7">
        <f t="shared" ca="1" si="1"/>
        <v>43</v>
      </c>
      <c r="D7">
        <f t="shared" ca="1" si="2"/>
        <v>7.5590250902150116E-2</v>
      </c>
      <c r="F7" s="1">
        <f t="shared" ca="1" si="3"/>
        <v>22</v>
      </c>
      <c r="G7" s="1">
        <f t="shared" ca="1" si="4"/>
        <v>26</v>
      </c>
      <c r="H7" s="1">
        <f t="shared" ca="1" si="5"/>
        <v>6</v>
      </c>
      <c r="I7" s="1"/>
      <c r="J7" s="1">
        <f t="shared" ca="1" si="6"/>
        <v>5</v>
      </c>
      <c r="K7" s="1">
        <f t="shared" ca="1" si="7"/>
        <v>2.4800586780086387</v>
      </c>
      <c r="L7" s="1">
        <f t="shared" ca="1" si="8"/>
        <v>28</v>
      </c>
      <c r="M7" s="1"/>
      <c r="N7" s="1">
        <f t="shared" ca="1" si="9"/>
        <v>568</v>
      </c>
      <c r="O7" s="1">
        <f t="shared" ca="1" si="10"/>
        <v>11</v>
      </c>
      <c r="P7" s="1"/>
      <c r="Q7" s="1">
        <f t="shared" ca="1" si="11"/>
        <v>4.0086275225444421</v>
      </c>
      <c r="R7" s="1">
        <f t="shared" ca="1" si="12"/>
        <v>1028</v>
      </c>
      <c r="S7" s="1"/>
      <c r="T7" s="1">
        <f t="shared" ca="1" si="13"/>
        <v>8.6310314722270673E-2</v>
      </c>
      <c r="U7" s="1">
        <f t="shared" ca="1" si="14"/>
        <v>60</v>
      </c>
      <c r="V7" s="1">
        <f t="shared" ca="1" si="15"/>
        <v>14</v>
      </c>
      <c r="W7" s="1"/>
      <c r="X7" s="1">
        <f t="shared" ca="1" si="16"/>
        <v>6.466345467170683</v>
      </c>
      <c r="Y7" s="1">
        <f t="shared" ca="1" si="17"/>
        <v>0.91157448666250318</v>
      </c>
      <c r="Z7" s="1">
        <f t="shared" ca="1" si="18"/>
        <v>1228</v>
      </c>
      <c r="AB7" s="1">
        <f t="shared" ca="1" si="19"/>
        <v>0.54413066824062362</v>
      </c>
      <c r="AC7" s="1">
        <f t="shared" ca="1" si="20"/>
        <v>676</v>
      </c>
      <c r="AD7" s="1">
        <f t="shared" ca="1" si="21"/>
        <v>6.9587773964008602E-3</v>
      </c>
      <c r="AE7" s="1"/>
      <c r="AF7" s="1">
        <f t="shared" ca="1" si="22"/>
        <v>0.20250577566478817</v>
      </c>
      <c r="AG7" s="1">
        <f t="shared" ca="1" si="23"/>
        <v>849</v>
      </c>
      <c r="AH7" s="1">
        <f t="shared" ca="1" si="24"/>
        <v>4.5360414161631207E-3</v>
      </c>
      <c r="AJ7" s="5"/>
      <c r="AK7" s="5"/>
      <c r="AL7" s="5"/>
    </row>
    <row r="8" spans="2:38" x14ac:dyDescent="0.25">
      <c r="B8">
        <f t="shared" ca="1" si="0"/>
        <v>811</v>
      </c>
      <c r="C8">
        <f t="shared" ca="1" si="1"/>
        <v>6</v>
      </c>
      <c r="D8">
        <f t="shared" ca="1" si="2"/>
        <v>0.21057907326563199</v>
      </c>
      <c r="F8" s="1">
        <f t="shared" ca="1" si="3"/>
        <v>33</v>
      </c>
      <c r="G8" s="1">
        <f t="shared" ca="1" si="4"/>
        <v>16</v>
      </c>
      <c r="H8" s="1">
        <f t="shared" ca="1" si="5"/>
        <v>1</v>
      </c>
      <c r="I8" s="1"/>
      <c r="J8" s="1">
        <f t="shared" ca="1" si="6"/>
        <v>26</v>
      </c>
      <c r="K8" s="1">
        <f t="shared" ca="1" si="7"/>
        <v>2.1794192051914507</v>
      </c>
      <c r="L8" s="1">
        <f t="shared" ca="1" si="8"/>
        <v>19</v>
      </c>
      <c r="M8" s="1"/>
      <c r="N8" s="1">
        <f t="shared" ca="1" si="9"/>
        <v>593</v>
      </c>
      <c r="O8" s="1">
        <f t="shared" ca="1" si="10"/>
        <v>34</v>
      </c>
      <c r="P8" s="1"/>
      <c r="Q8" s="1">
        <f t="shared" ca="1" si="11"/>
        <v>0.82567694198521802</v>
      </c>
      <c r="R8" s="1">
        <f t="shared" ca="1" si="12"/>
        <v>653</v>
      </c>
      <c r="S8" s="1"/>
      <c r="T8" s="1">
        <f t="shared" ca="1" si="13"/>
        <v>0.118503654119009</v>
      </c>
      <c r="U8" s="1">
        <f t="shared" ca="1" si="14"/>
        <v>227</v>
      </c>
      <c r="V8" s="1">
        <f t="shared" ca="1" si="15"/>
        <v>36</v>
      </c>
      <c r="W8" s="1"/>
      <c r="X8" s="1">
        <f t="shared" ca="1" si="16"/>
        <v>5.0331758772002679</v>
      </c>
      <c r="Y8" s="1">
        <f t="shared" ca="1" si="17"/>
        <v>0.32260007578161187</v>
      </c>
      <c r="Z8" s="1">
        <f t="shared" ca="1" si="18"/>
        <v>1420</v>
      </c>
      <c r="AB8" s="1">
        <f t="shared" ca="1" si="19"/>
        <v>0.13968422230691591</v>
      </c>
      <c r="AC8" s="1">
        <f t="shared" ca="1" si="20"/>
        <v>868</v>
      </c>
      <c r="AD8" s="1">
        <f t="shared" ca="1" si="21"/>
        <v>5.6064965398588554E-3</v>
      </c>
      <c r="AE8" s="1"/>
      <c r="AF8" s="1">
        <f t="shared" ca="1" si="22"/>
        <v>0.50019673098872741</v>
      </c>
      <c r="AG8" s="1">
        <f t="shared" ca="1" si="23"/>
        <v>554</v>
      </c>
      <c r="AH8" s="1">
        <f t="shared" ca="1" si="24"/>
        <v>2.6099933446554128E-3</v>
      </c>
    </row>
    <row r="9" spans="2:38" x14ac:dyDescent="0.25">
      <c r="B9">
        <f t="shared" ca="1" si="0"/>
        <v>334</v>
      </c>
      <c r="C9">
        <f t="shared" ca="1" si="1"/>
        <v>44</v>
      </c>
      <c r="D9">
        <f t="shared" ca="1" si="2"/>
        <v>4.4909179565288213E-2</v>
      </c>
      <c r="F9" s="1">
        <f t="shared" ca="1" si="3"/>
        <v>36</v>
      </c>
      <c r="G9" s="1">
        <f t="shared" ca="1" si="4"/>
        <v>20</v>
      </c>
      <c r="H9" s="1">
        <f t="shared" ca="1" si="5"/>
        <v>12</v>
      </c>
      <c r="I9" s="1"/>
      <c r="J9" s="1">
        <f t="shared" ca="1" si="6"/>
        <v>30</v>
      </c>
      <c r="K9" s="1">
        <f t="shared" ca="1" si="7"/>
        <v>1.7580777121922515</v>
      </c>
      <c r="L9" s="1">
        <f t="shared" ca="1" si="8"/>
        <v>27</v>
      </c>
      <c r="M9" s="1"/>
      <c r="N9" s="1">
        <f t="shared" ca="1" si="9"/>
        <v>774</v>
      </c>
      <c r="O9" s="1">
        <f t="shared" ca="1" si="10"/>
        <v>24</v>
      </c>
      <c r="P9" s="1"/>
      <c r="Q9" s="1">
        <f t="shared" ca="1" si="11"/>
        <v>3.1704622727971374</v>
      </c>
      <c r="R9" s="1">
        <f t="shared" ca="1" si="12"/>
        <v>349</v>
      </c>
      <c r="S9" s="1"/>
      <c r="T9" s="1">
        <f t="shared" ca="1" si="13"/>
        <v>9.1692375371219395E-2</v>
      </c>
      <c r="U9" s="1">
        <f t="shared" ca="1" si="14"/>
        <v>200</v>
      </c>
      <c r="V9" s="1">
        <f t="shared" ca="1" si="15"/>
        <v>14</v>
      </c>
      <c r="W9" s="1"/>
      <c r="X9" s="1">
        <f t="shared" ca="1" si="16"/>
        <v>6.4445466343835616</v>
      </c>
      <c r="Y9" s="1">
        <f t="shared" ca="1" si="17"/>
        <v>0.62326857772282629</v>
      </c>
      <c r="Z9" s="1">
        <f t="shared" ca="1" si="18"/>
        <v>1428</v>
      </c>
      <c r="AB9" s="1">
        <f t="shared" ca="1" si="19"/>
        <v>0.82350481118004926</v>
      </c>
      <c r="AC9" s="1">
        <f t="shared" ca="1" si="20"/>
        <v>637</v>
      </c>
      <c r="AD9" s="1">
        <f t="shared" ca="1" si="21"/>
        <v>4.7682344341435125E-3</v>
      </c>
      <c r="AE9" s="1"/>
      <c r="AF9" s="1">
        <f t="shared" ca="1" si="22"/>
        <v>0.33846123608725509</v>
      </c>
      <c r="AG9" s="1">
        <f t="shared" ca="1" si="23"/>
        <v>438</v>
      </c>
      <c r="AH9" s="1">
        <f t="shared" ca="1" si="24"/>
        <v>5.8685378850774925E-4</v>
      </c>
    </row>
    <row r="10" spans="2:38" x14ac:dyDescent="0.25">
      <c r="B10">
        <f t="shared" ca="1" si="0"/>
        <v>803</v>
      </c>
      <c r="C10">
        <f t="shared" ca="1" si="1"/>
        <v>35</v>
      </c>
      <c r="D10">
        <f t="shared" ca="1" si="2"/>
        <v>0.12315202391206841</v>
      </c>
      <c r="F10" s="1">
        <f t="shared" ca="1" si="3"/>
        <v>38</v>
      </c>
      <c r="G10" s="1">
        <f t="shared" ca="1" si="4"/>
        <v>3</v>
      </c>
      <c r="H10" s="1">
        <f t="shared" ca="1" si="5"/>
        <v>14</v>
      </c>
      <c r="I10" s="1"/>
      <c r="J10" s="1">
        <f t="shared" ca="1" si="6"/>
        <v>19</v>
      </c>
      <c r="K10" s="1">
        <f t="shared" ca="1" si="7"/>
        <v>1.689716722215884</v>
      </c>
      <c r="L10" s="1">
        <f t="shared" ca="1" si="8"/>
        <v>13</v>
      </c>
      <c r="M10" s="1"/>
      <c r="N10" s="1">
        <f t="shared" ca="1" si="9"/>
        <v>188</v>
      </c>
      <c r="O10" s="1">
        <f t="shared" ca="1" si="10"/>
        <v>27</v>
      </c>
      <c r="P10" s="1"/>
      <c r="Q10" s="1">
        <f t="shared" ca="1" si="11"/>
        <v>3.4560318646934522</v>
      </c>
      <c r="R10" s="1">
        <f t="shared" ca="1" si="12"/>
        <v>1047</v>
      </c>
      <c r="S10" s="1"/>
      <c r="T10" s="1">
        <f t="shared" ca="1" si="13"/>
        <v>4.768052534978437E-2</v>
      </c>
      <c r="U10" s="1">
        <f t="shared" ca="1" si="14"/>
        <v>342</v>
      </c>
      <c r="V10" s="1">
        <f t="shared" ca="1" si="15"/>
        <v>32</v>
      </c>
      <c r="W10" s="1"/>
      <c r="X10" s="1">
        <f t="shared" ca="1" si="16"/>
        <v>1.0137474612863711</v>
      </c>
      <c r="Y10" s="1">
        <f t="shared" ca="1" si="17"/>
        <v>0.33979762498794008</v>
      </c>
      <c r="Z10" s="1">
        <f t="shared" ca="1" si="18"/>
        <v>849</v>
      </c>
      <c r="AB10" s="1">
        <f t="shared" ca="1" si="19"/>
        <v>0.32171051936396872</v>
      </c>
      <c r="AC10" s="1">
        <f t="shared" ca="1" si="20"/>
        <v>729</v>
      </c>
      <c r="AD10" s="1">
        <f t="shared" ca="1" si="21"/>
        <v>5.6742123063281604E-3</v>
      </c>
      <c r="AE10" s="1"/>
      <c r="AF10" s="1">
        <f t="shared" ca="1" si="22"/>
        <v>0.84242597840851485</v>
      </c>
      <c r="AG10" s="1">
        <f t="shared" ca="1" si="23"/>
        <v>548</v>
      </c>
      <c r="AH10" s="1">
        <f t="shared" ca="1" si="24"/>
        <v>6.7809696837673392E-3</v>
      </c>
    </row>
    <row r="11" spans="2:38" x14ac:dyDescent="0.25">
      <c r="B11">
        <f t="shared" ca="1" si="0"/>
        <v>751</v>
      </c>
      <c r="C11">
        <f t="shared" ca="1" si="1"/>
        <v>28</v>
      </c>
      <c r="D11">
        <f t="shared" ca="1" si="2"/>
        <v>0.20331686030749219</v>
      </c>
      <c r="F11" s="1">
        <f t="shared" ca="1" si="3"/>
        <v>47</v>
      </c>
      <c r="G11" s="1">
        <f t="shared" ca="1" si="4"/>
        <v>2</v>
      </c>
      <c r="H11" s="1">
        <f t="shared" ca="1" si="5"/>
        <v>11</v>
      </c>
      <c r="I11" s="1"/>
      <c r="J11" s="1">
        <f t="shared" ca="1" si="6"/>
        <v>31</v>
      </c>
      <c r="K11" s="1">
        <f t="shared" ca="1" si="7"/>
        <v>2.3990768724730134</v>
      </c>
      <c r="L11" s="1">
        <f t="shared" ca="1" si="8"/>
        <v>4</v>
      </c>
      <c r="M11" s="1"/>
      <c r="N11" s="1">
        <f t="shared" ca="1" si="9"/>
        <v>430</v>
      </c>
      <c r="O11" s="1">
        <f t="shared" ca="1" si="10"/>
        <v>41</v>
      </c>
      <c r="P11" s="1"/>
      <c r="Q11" s="1">
        <f t="shared" ca="1" si="11"/>
        <v>4.5877807291038595</v>
      </c>
      <c r="R11" s="1">
        <f t="shared" ca="1" si="12"/>
        <v>506</v>
      </c>
      <c r="S11" s="1"/>
      <c r="T11" s="1">
        <f t="shared" ca="1" si="13"/>
        <v>0.15695197470672828</v>
      </c>
      <c r="U11" s="1">
        <f t="shared" ca="1" si="14"/>
        <v>185</v>
      </c>
      <c r="V11" s="1">
        <f t="shared" ca="1" si="15"/>
        <v>15</v>
      </c>
      <c r="W11" s="1"/>
      <c r="X11" s="1">
        <f t="shared" ca="1" si="16"/>
        <v>9.0470847991512482</v>
      </c>
      <c r="Y11" s="1">
        <f t="shared" ca="1" si="17"/>
        <v>0.63565969607299622</v>
      </c>
      <c r="Z11" s="1">
        <f t="shared" ca="1" si="18"/>
        <v>1289</v>
      </c>
      <c r="AB11" s="1">
        <f t="shared" ca="1" si="19"/>
        <v>0.22066049025781273</v>
      </c>
      <c r="AC11" s="1">
        <f t="shared" ca="1" si="20"/>
        <v>314</v>
      </c>
      <c r="AD11" s="1">
        <f t="shared" ca="1" si="21"/>
        <v>3.4584574244380648E-3</v>
      </c>
      <c r="AE11" s="1"/>
      <c r="AF11" s="1">
        <f t="shared" ca="1" si="22"/>
        <v>0.5611425780625261</v>
      </c>
      <c r="AG11" s="1">
        <f t="shared" ca="1" si="23"/>
        <v>745</v>
      </c>
      <c r="AH11" s="1">
        <f t="shared" ca="1" si="24"/>
        <v>7.5238057711470756E-3</v>
      </c>
    </row>
    <row r="12" spans="2:38" x14ac:dyDescent="0.25">
      <c r="B12">
        <f t="shared" ca="1" si="0"/>
        <v>263</v>
      </c>
      <c r="C12">
        <f t="shared" ca="1" si="1"/>
        <v>40</v>
      </c>
      <c r="D12">
        <f t="shared" ca="1" si="2"/>
        <v>0.19282061491884658</v>
      </c>
      <c r="F12" s="1">
        <f t="shared" ca="1" si="3"/>
        <v>10</v>
      </c>
      <c r="G12" s="1">
        <f t="shared" ca="1" si="4"/>
        <v>6</v>
      </c>
      <c r="H12" s="1">
        <f t="shared" ca="1" si="5"/>
        <v>12</v>
      </c>
      <c r="I12" s="1"/>
      <c r="J12" s="1">
        <f t="shared" ca="1" si="6"/>
        <v>24</v>
      </c>
      <c r="K12" s="1">
        <f t="shared" ca="1" si="7"/>
        <v>2.2988260087742631</v>
      </c>
      <c r="L12" s="1">
        <f t="shared" ca="1" si="8"/>
        <v>25</v>
      </c>
      <c r="M12" s="1"/>
      <c r="N12" s="1">
        <f t="shared" ca="1" si="9"/>
        <v>200</v>
      </c>
      <c r="O12" s="1">
        <f t="shared" ca="1" si="10"/>
        <v>2</v>
      </c>
      <c r="P12" s="1"/>
      <c r="Q12" s="1">
        <f t="shared" ca="1" si="11"/>
        <v>2.1669252950290305</v>
      </c>
      <c r="R12" s="1">
        <f t="shared" ca="1" si="12"/>
        <v>825</v>
      </c>
      <c r="S12" s="1"/>
      <c r="T12" s="1">
        <f t="shared" ca="1" si="13"/>
        <v>1.5820423865227643E-2</v>
      </c>
      <c r="U12" s="1">
        <f t="shared" ca="1" si="14"/>
        <v>240</v>
      </c>
      <c r="V12" s="1">
        <f t="shared" ca="1" si="15"/>
        <v>12</v>
      </c>
      <c r="W12" s="1"/>
      <c r="X12" s="1">
        <f t="shared" ca="1" si="16"/>
        <v>9.4488727955580849</v>
      </c>
      <c r="Y12" s="1">
        <f t="shared" ca="1" si="17"/>
        <v>0.78196297399028525</v>
      </c>
      <c r="Z12" s="1">
        <f t="shared" ca="1" si="18"/>
        <v>808</v>
      </c>
      <c r="AB12" s="1">
        <f t="shared" ca="1" si="19"/>
        <v>0.61765648611026991</v>
      </c>
      <c r="AC12" s="1">
        <f t="shared" ca="1" si="20"/>
        <v>278</v>
      </c>
      <c r="AD12" s="1">
        <f t="shared" ca="1" si="21"/>
        <v>3.4962131805967157E-3</v>
      </c>
      <c r="AE12" s="1"/>
      <c r="AF12" s="1">
        <f t="shared" ca="1" si="22"/>
        <v>0.35468798590891282</v>
      </c>
      <c r="AG12" s="1">
        <f t="shared" ca="1" si="23"/>
        <v>158</v>
      </c>
      <c r="AH12" s="1">
        <f t="shared" ca="1" si="24"/>
        <v>6.9681443927760781E-4</v>
      </c>
    </row>
    <row r="13" spans="2:38" x14ac:dyDescent="0.25">
      <c r="B13">
        <f t="shared" ca="1" si="0"/>
        <v>20</v>
      </c>
      <c r="C13">
        <f t="shared" ca="1" si="1"/>
        <v>49</v>
      </c>
      <c r="D13">
        <f t="shared" ca="1" si="2"/>
        <v>0.26168334314273523</v>
      </c>
      <c r="F13" s="1">
        <f t="shared" ca="1" si="3"/>
        <v>36</v>
      </c>
      <c r="G13" s="1">
        <f t="shared" ca="1" si="4"/>
        <v>5</v>
      </c>
      <c r="H13" s="1">
        <f t="shared" ca="1" si="5"/>
        <v>6</v>
      </c>
      <c r="I13" s="1"/>
      <c r="J13" s="1">
        <f t="shared" ca="1" si="6"/>
        <v>27</v>
      </c>
      <c r="K13" s="1">
        <f t="shared" ca="1" si="7"/>
        <v>2.8794371945327697</v>
      </c>
      <c r="L13" s="1">
        <f t="shared" ca="1" si="8"/>
        <v>3</v>
      </c>
      <c r="M13" s="1"/>
      <c r="N13" s="1">
        <f t="shared" ca="1" si="9"/>
        <v>885</v>
      </c>
      <c r="O13" s="1">
        <f t="shared" ca="1" si="10"/>
        <v>20</v>
      </c>
      <c r="P13" s="1"/>
      <c r="Q13" s="1">
        <f t="shared" ca="1" si="11"/>
        <v>3.8831278838793288</v>
      </c>
      <c r="R13" s="1">
        <f t="shared" ca="1" si="12"/>
        <v>656</v>
      </c>
      <c r="S13" s="1"/>
      <c r="T13" s="1">
        <f t="shared" ca="1" si="13"/>
        <v>0.13292739571242543</v>
      </c>
      <c r="U13" s="1">
        <f t="shared" ca="1" si="14"/>
        <v>354</v>
      </c>
      <c r="V13" s="1">
        <f t="shared" ca="1" si="15"/>
        <v>39</v>
      </c>
      <c r="W13" s="1"/>
      <c r="X13" s="1">
        <f t="shared" ca="1" si="16"/>
        <v>2.4318550858477095</v>
      </c>
      <c r="Y13" s="1">
        <f t="shared" ca="1" si="17"/>
        <v>7.3086196934275972E-3</v>
      </c>
      <c r="Z13" s="1">
        <f t="shared" ca="1" si="18"/>
        <v>475</v>
      </c>
      <c r="AB13" s="1">
        <f t="shared" ca="1" si="19"/>
        <v>0.47600896904151307</v>
      </c>
      <c r="AC13" s="1">
        <f t="shared" ca="1" si="20"/>
        <v>606</v>
      </c>
      <c r="AD13" s="1">
        <f t="shared" ca="1" si="21"/>
        <v>1.3588442341083871E-3</v>
      </c>
      <c r="AE13" s="1"/>
      <c r="AF13" s="1">
        <f t="shared" ca="1" si="22"/>
        <v>0.48446220035086485</v>
      </c>
      <c r="AG13" s="1">
        <f t="shared" ca="1" si="23"/>
        <v>113</v>
      </c>
      <c r="AH13" s="1">
        <f t="shared" ca="1" si="24"/>
        <v>8.0259156911208634E-3</v>
      </c>
    </row>
    <row r="14" spans="2:38" x14ac:dyDescent="0.25">
      <c r="B14">
        <f t="shared" ca="1" si="0"/>
        <v>500</v>
      </c>
      <c r="C14">
        <f t="shared" ca="1" si="1"/>
        <v>50</v>
      </c>
      <c r="D14">
        <f t="shared" ca="1" si="2"/>
        <v>0.25321577963649394</v>
      </c>
      <c r="F14" s="1">
        <f t="shared" ca="1" si="3"/>
        <v>40</v>
      </c>
      <c r="G14" s="1">
        <f t="shared" ca="1" si="4"/>
        <v>20</v>
      </c>
      <c r="H14" s="1">
        <f t="shared" ca="1" si="5"/>
        <v>13</v>
      </c>
      <c r="I14" s="1"/>
      <c r="J14" s="1">
        <f t="shared" ca="1" si="6"/>
        <v>13</v>
      </c>
      <c r="K14" s="1">
        <f t="shared" ca="1" si="7"/>
        <v>2.2024541081069362</v>
      </c>
      <c r="L14" s="1">
        <f t="shared" ca="1" si="8"/>
        <v>12</v>
      </c>
      <c r="M14" s="1"/>
      <c r="N14" s="1">
        <f t="shared" ca="1" si="9"/>
        <v>121</v>
      </c>
      <c r="O14" s="1">
        <f t="shared" ca="1" si="10"/>
        <v>41</v>
      </c>
      <c r="P14" s="1"/>
      <c r="Q14" s="1">
        <f t="shared" ca="1" si="11"/>
        <v>3.7996663954815633</v>
      </c>
      <c r="R14" s="1">
        <f t="shared" ca="1" si="12"/>
        <v>358</v>
      </c>
      <c r="S14" s="1"/>
      <c r="T14" s="1">
        <f t="shared" ca="1" si="13"/>
        <v>0.11728418608757341</v>
      </c>
      <c r="U14" s="1">
        <f t="shared" ca="1" si="14"/>
        <v>358</v>
      </c>
      <c r="V14" s="1">
        <f t="shared" ca="1" si="15"/>
        <v>19</v>
      </c>
      <c r="W14" s="1"/>
      <c r="X14" s="1">
        <f t="shared" ca="1" si="16"/>
        <v>9.7268268678037693</v>
      </c>
      <c r="Y14" s="1">
        <f t="shared" ca="1" si="17"/>
        <v>0.94460446446331581</v>
      </c>
      <c r="Z14" s="1">
        <f t="shared" ca="1" si="18"/>
        <v>1199</v>
      </c>
      <c r="AB14" s="1">
        <f t="shared" ca="1" si="19"/>
        <v>0.48674415466477566</v>
      </c>
      <c r="AC14" s="1">
        <f t="shared" ca="1" si="20"/>
        <v>747</v>
      </c>
      <c r="AD14" s="1">
        <f t="shared" ca="1" si="21"/>
        <v>3.8675172299025714E-3</v>
      </c>
      <c r="AE14" s="1"/>
      <c r="AF14" s="1">
        <f t="shared" ca="1" si="22"/>
        <v>0.54858160953672175</v>
      </c>
      <c r="AG14" s="1">
        <f t="shared" ca="1" si="23"/>
        <v>241</v>
      </c>
      <c r="AH14" s="1">
        <f t="shared" ca="1" si="24"/>
        <v>7.8178852205324934E-3</v>
      </c>
    </row>
    <row r="15" spans="2:38" x14ac:dyDescent="0.25">
      <c r="B15">
        <f t="shared" ca="1" si="0"/>
        <v>248</v>
      </c>
      <c r="C15">
        <f t="shared" ca="1" si="1"/>
        <v>30</v>
      </c>
      <c r="D15">
        <f t="shared" ca="1" si="2"/>
        <v>0.16232393126538541</v>
      </c>
      <c r="F15" s="1">
        <f t="shared" ca="1" si="3"/>
        <v>34</v>
      </c>
      <c r="G15" s="1">
        <f t="shared" ca="1" si="4"/>
        <v>20</v>
      </c>
      <c r="H15" s="1">
        <f t="shared" ca="1" si="5"/>
        <v>3</v>
      </c>
      <c r="I15" s="1"/>
      <c r="J15" s="1">
        <f t="shared" ca="1" si="6"/>
        <v>3</v>
      </c>
      <c r="K15" s="1">
        <f t="shared" ca="1" si="7"/>
        <v>1.4956629334708957</v>
      </c>
      <c r="L15" s="1">
        <f t="shared" ca="1" si="8"/>
        <v>8</v>
      </c>
      <c r="M15" s="1"/>
      <c r="N15" s="1">
        <f t="shared" ca="1" si="9"/>
        <v>49</v>
      </c>
      <c r="O15" s="1">
        <f t="shared" ca="1" si="10"/>
        <v>52</v>
      </c>
      <c r="P15" s="1"/>
      <c r="Q15" s="1">
        <f t="shared" ca="1" si="11"/>
        <v>0.46991313508182514</v>
      </c>
      <c r="R15" s="1">
        <f t="shared" ca="1" si="12"/>
        <v>1085</v>
      </c>
      <c r="S15" s="1"/>
      <c r="T15" s="1">
        <f t="shared" ca="1" si="13"/>
        <v>7.7101662630831083E-2</v>
      </c>
      <c r="U15" s="1">
        <f t="shared" ca="1" si="14"/>
        <v>99</v>
      </c>
      <c r="V15" s="1">
        <f t="shared" ca="1" si="15"/>
        <v>20</v>
      </c>
      <c r="W15" s="1"/>
      <c r="X15" s="1">
        <f t="shared" ca="1" si="16"/>
        <v>3.9915991057783717</v>
      </c>
      <c r="Y15" s="1">
        <f t="shared" ca="1" si="17"/>
        <v>0.45058954978795007</v>
      </c>
      <c r="Z15" s="1">
        <f t="shared" ca="1" si="18"/>
        <v>1359</v>
      </c>
      <c r="AB15" s="1">
        <f t="shared" ca="1" si="19"/>
        <v>0.84280584238803757</v>
      </c>
      <c r="AC15" s="1">
        <f t="shared" ca="1" si="20"/>
        <v>373</v>
      </c>
      <c r="AD15" s="1">
        <f t="shared" ca="1" si="21"/>
        <v>5.1629143553617342E-3</v>
      </c>
      <c r="AE15" s="1"/>
      <c r="AF15" s="1">
        <f t="shared" ca="1" si="22"/>
        <v>0.82840916847443846</v>
      </c>
      <c r="AG15" s="1">
        <f t="shared" ca="1" si="23"/>
        <v>713</v>
      </c>
      <c r="AH15" s="1">
        <f t="shared" ca="1" si="24"/>
        <v>9.7320878686702774E-4</v>
      </c>
    </row>
    <row r="16" spans="2:38" x14ac:dyDescent="0.25">
      <c r="B16">
        <f t="shared" ca="1" si="0"/>
        <v>251</v>
      </c>
      <c r="C16">
        <f t="shared" ca="1" si="1"/>
        <v>11</v>
      </c>
      <c r="D16">
        <f t="shared" ca="1" si="2"/>
        <v>0.16420473857791693</v>
      </c>
      <c r="F16" s="1">
        <f t="shared" ca="1" si="3"/>
        <v>33</v>
      </c>
      <c r="G16" s="1">
        <f t="shared" ca="1" si="4"/>
        <v>9</v>
      </c>
      <c r="H16" s="1">
        <f t="shared" ca="1" si="5"/>
        <v>10</v>
      </c>
      <c r="I16" s="1"/>
      <c r="J16" s="1">
        <f t="shared" ca="1" si="6"/>
        <v>20</v>
      </c>
      <c r="K16" s="1">
        <f t="shared" ca="1" si="7"/>
        <v>2.5828954193715816</v>
      </c>
      <c r="L16" s="1">
        <f t="shared" ca="1" si="8"/>
        <v>33</v>
      </c>
      <c r="M16" s="1"/>
      <c r="N16" s="1">
        <f t="shared" ca="1" si="9"/>
        <v>422</v>
      </c>
      <c r="O16" s="1">
        <f t="shared" ca="1" si="10"/>
        <v>22</v>
      </c>
      <c r="P16" s="1"/>
      <c r="Q16" s="1">
        <f t="shared" ca="1" si="11"/>
        <v>1.9507125048765199</v>
      </c>
      <c r="R16" s="1">
        <f t="shared" ca="1" si="12"/>
        <v>728</v>
      </c>
      <c r="S16" s="1"/>
      <c r="T16" s="1">
        <f t="shared" ca="1" si="13"/>
        <v>0.10830266478376523</v>
      </c>
      <c r="U16" s="1">
        <f t="shared" ca="1" si="14"/>
        <v>233</v>
      </c>
      <c r="V16" s="1">
        <f t="shared" ca="1" si="15"/>
        <v>10</v>
      </c>
      <c r="W16" s="1"/>
      <c r="X16" s="1">
        <f t="shared" ca="1" si="16"/>
        <v>7.6379736089775241</v>
      </c>
      <c r="Y16" s="1">
        <f t="shared" ca="1" si="17"/>
        <v>0.16801882367317941</v>
      </c>
      <c r="Z16" s="1">
        <f t="shared" ca="1" si="18"/>
        <v>605</v>
      </c>
      <c r="AB16" s="1">
        <f t="shared" ca="1" si="19"/>
        <v>0.80350442246685017</v>
      </c>
      <c r="AC16" s="1">
        <f t="shared" ca="1" si="20"/>
        <v>717</v>
      </c>
      <c r="AD16" s="1">
        <f t="shared" ca="1" si="21"/>
        <v>2.9170588383094199E-3</v>
      </c>
      <c r="AE16" s="1"/>
      <c r="AF16" s="1">
        <f t="shared" ca="1" si="22"/>
        <v>0.44652662533687126</v>
      </c>
      <c r="AG16" s="1">
        <f t="shared" ca="1" si="23"/>
        <v>838</v>
      </c>
      <c r="AH16" s="1">
        <f t="shared" ca="1" si="24"/>
        <v>6.3023673544950528E-3</v>
      </c>
    </row>
    <row r="17" spans="2:34" x14ac:dyDescent="0.25">
      <c r="B17">
        <f t="shared" ca="1" si="0"/>
        <v>166</v>
      </c>
      <c r="C17">
        <f t="shared" ca="1" si="1"/>
        <v>46</v>
      </c>
      <c r="D17">
        <f t="shared" ca="1" si="2"/>
        <v>0.22275376605392808</v>
      </c>
      <c r="F17" s="1">
        <f t="shared" ca="1" si="3"/>
        <v>5</v>
      </c>
      <c r="G17" s="1">
        <f t="shared" ca="1" si="4"/>
        <v>9</v>
      </c>
      <c r="H17" s="1">
        <f t="shared" ca="1" si="5"/>
        <v>2</v>
      </c>
      <c r="I17" s="1"/>
      <c r="J17" s="1">
        <f t="shared" ca="1" si="6"/>
        <v>29</v>
      </c>
      <c r="K17" s="1">
        <f t="shared" ca="1" si="7"/>
        <v>1.8538182930354641</v>
      </c>
      <c r="L17" s="1">
        <f t="shared" ca="1" si="8"/>
        <v>27</v>
      </c>
      <c r="M17" s="1"/>
      <c r="N17" s="1">
        <f t="shared" ca="1" si="9"/>
        <v>306</v>
      </c>
      <c r="O17" s="1">
        <f t="shared" ca="1" si="10"/>
        <v>28</v>
      </c>
      <c r="P17" s="1"/>
      <c r="Q17" s="1">
        <f t="shared" ca="1" si="11"/>
        <v>0.5342879905033141</v>
      </c>
      <c r="R17" s="1">
        <f t="shared" ca="1" si="12"/>
        <v>1024</v>
      </c>
      <c r="S17" s="1"/>
      <c r="T17" s="1">
        <f t="shared" ca="1" si="13"/>
        <v>5.6343103850810879E-2</v>
      </c>
      <c r="U17" s="1">
        <f t="shared" ca="1" si="14"/>
        <v>346</v>
      </c>
      <c r="V17" s="1">
        <f t="shared" ca="1" si="15"/>
        <v>52</v>
      </c>
      <c r="W17" s="1"/>
      <c r="X17" s="1">
        <f t="shared" ca="1" si="16"/>
        <v>6.5194032925631751</v>
      </c>
      <c r="Y17" s="1">
        <f t="shared" ca="1" si="17"/>
        <v>0.94313660979851488</v>
      </c>
      <c r="Z17" s="1">
        <f t="shared" ca="1" si="18"/>
        <v>1009</v>
      </c>
      <c r="AB17" s="1">
        <f t="shared" ca="1" si="19"/>
        <v>0.51766285600733319</v>
      </c>
      <c r="AC17" s="1">
        <f t="shared" ca="1" si="20"/>
        <v>119</v>
      </c>
      <c r="AD17" s="1">
        <f t="shared" ca="1" si="21"/>
        <v>3.4059025928773181E-3</v>
      </c>
      <c r="AE17" s="1"/>
      <c r="AF17" s="1">
        <f t="shared" ca="1" si="22"/>
        <v>0.38550985262447557</v>
      </c>
      <c r="AG17" s="1">
        <f t="shared" ca="1" si="23"/>
        <v>642</v>
      </c>
      <c r="AH17" s="1">
        <f t="shared" ca="1" si="24"/>
        <v>6.8309937890340252E-3</v>
      </c>
    </row>
    <row r="18" spans="2:34" x14ac:dyDescent="0.25">
      <c r="B18">
        <f t="shared" ca="1" si="0"/>
        <v>173</v>
      </c>
      <c r="C18">
        <f t="shared" ca="1" si="1"/>
        <v>30</v>
      </c>
      <c r="D18">
        <f t="shared" ca="1" si="2"/>
        <v>8.0815707130291778E-2</v>
      </c>
      <c r="F18" s="1">
        <f t="shared" ca="1" si="3"/>
        <v>29</v>
      </c>
      <c r="G18" s="1">
        <f t="shared" ca="1" si="4"/>
        <v>28</v>
      </c>
      <c r="H18" s="1">
        <f t="shared" ca="1" si="5"/>
        <v>4</v>
      </c>
      <c r="I18" s="1"/>
      <c r="J18" s="1">
        <f t="shared" ca="1" si="6"/>
        <v>18</v>
      </c>
      <c r="K18" s="1">
        <f t="shared" ca="1" si="7"/>
        <v>2.6619817938262909</v>
      </c>
      <c r="L18" s="1">
        <f t="shared" ca="1" si="8"/>
        <v>15</v>
      </c>
      <c r="M18" s="1"/>
      <c r="N18" s="1">
        <f t="shared" ca="1" si="9"/>
        <v>377</v>
      </c>
      <c r="O18" s="1">
        <f t="shared" ca="1" si="10"/>
        <v>4</v>
      </c>
      <c r="P18" s="1"/>
      <c r="Q18" s="1">
        <f t="shared" ca="1" si="11"/>
        <v>1.3713242614491372</v>
      </c>
      <c r="R18" s="1">
        <f t="shared" ca="1" si="12"/>
        <v>557</v>
      </c>
      <c r="S18" s="1"/>
      <c r="T18" s="1">
        <f t="shared" ca="1" si="13"/>
        <v>0.10867211909566957</v>
      </c>
      <c r="U18" s="1">
        <f t="shared" ca="1" si="14"/>
        <v>136</v>
      </c>
      <c r="V18" s="1">
        <f t="shared" ca="1" si="15"/>
        <v>20</v>
      </c>
      <c r="W18" s="1"/>
      <c r="X18" s="1">
        <f t="shared" ca="1" si="16"/>
        <v>6.1356577764257878</v>
      </c>
      <c r="Y18" s="1">
        <f t="shared" ca="1" si="17"/>
        <v>0.66506957528027566</v>
      </c>
      <c r="Z18" s="1">
        <f t="shared" ca="1" si="18"/>
        <v>938</v>
      </c>
      <c r="AB18" s="1">
        <f t="shared" ca="1" si="19"/>
        <v>0.81841587691663298</v>
      </c>
      <c r="AC18" s="1">
        <f t="shared" ca="1" si="20"/>
        <v>769</v>
      </c>
      <c r="AD18" s="1">
        <f t="shared" ca="1" si="21"/>
        <v>9.2961589954828807E-3</v>
      </c>
      <c r="AE18" s="1"/>
      <c r="AF18" s="1">
        <f t="shared" ca="1" si="22"/>
        <v>0.2167188587581883</v>
      </c>
      <c r="AG18" s="1">
        <f t="shared" ca="1" si="23"/>
        <v>334</v>
      </c>
      <c r="AH18" s="1">
        <f t="shared" ca="1" si="24"/>
        <v>4.5886645112282995E-4</v>
      </c>
    </row>
    <row r="19" spans="2:34" x14ac:dyDescent="0.25">
      <c r="B19">
        <f t="shared" ca="1" si="0"/>
        <v>514</v>
      </c>
      <c r="C19">
        <f t="shared" ca="1" si="1"/>
        <v>24</v>
      </c>
      <c r="D19">
        <f t="shared" ca="1" si="2"/>
        <v>8.1213584853043197E-2</v>
      </c>
      <c r="F19" s="1">
        <f t="shared" ca="1" si="3"/>
        <v>25</v>
      </c>
      <c r="G19" s="1">
        <f t="shared" ca="1" si="4"/>
        <v>3</v>
      </c>
      <c r="H19" s="1">
        <f t="shared" ca="1" si="5"/>
        <v>11</v>
      </c>
      <c r="I19" s="1"/>
      <c r="J19" s="1">
        <f t="shared" ca="1" si="6"/>
        <v>16</v>
      </c>
      <c r="K19" s="1">
        <f t="shared" ca="1" si="7"/>
        <v>2.4407736251739376</v>
      </c>
      <c r="L19" s="1">
        <f t="shared" ca="1" si="8"/>
        <v>11</v>
      </c>
      <c r="M19" s="1"/>
      <c r="N19" s="1">
        <f t="shared" ca="1" si="9"/>
        <v>639</v>
      </c>
      <c r="O19" s="1">
        <f t="shared" ca="1" si="10"/>
        <v>51</v>
      </c>
      <c r="P19" s="1"/>
      <c r="Q19" s="1">
        <f t="shared" ca="1" si="11"/>
        <v>1.1600733173091042</v>
      </c>
      <c r="R19" s="1">
        <f t="shared" ca="1" si="12"/>
        <v>313</v>
      </c>
      <c r="S19" s="1"/>
      <c r="T19" s="1">
        <f t="shared" ca="1" si="13"/>
        <v>1.3465190317056975E-2</v>
      </c>
      <c r="U19" s="1">
        <f t="shared" ca="1" si="14"/>
        <v>202</v>
      </c>
      <c r="V19" s="1">
        <f t="shared" ca="1" si="15"/>
        <v>34</v>
      </c>
      <c r="W19" s="1"/>
      <c r="X19" s="1">
        <f t="shared" ca="1" si="16"/>
        <v>1.1747864856370855</v>
      </c>
      <c r="Y19" s="1">
        <f t="shared" ca="1" si="17"/>
        <v>0.11577189209260055</v>
      </c>
      <c r="Z19" s="1">
        <f t="shared" ca="1" si="18"/>
        <v>1404</v>
      </c>
      <c r="AB19" s="1">
        <f t="shared" ca="1" si="19"/>
        <v>0.96486641540433171</v>
      </c>
      <c r="AC19" s="1">
        <f t="shared" ca="1" si="20"/>
        <v>210</v>
      </c>
      <c r="AD19" s="1">
        <f t="shared" ca="1" si="21"/>
        <v>3.8630936421954892E-3</v>
      </c>
      <c r="AE19" s="1"/>
      <c r="AF19" s="1">
        <f t="shared" ca="1" si="22"/>
        <v>0.46190751946399256</v>
      </c>
      <c r="AG19" s="1">
        <f t="shared" ca="1" si="23"/>
        <v>991</v>
      </c>
      <c r="AH19" s="1">
        <f t="shared" ca="1" si="24"/>
        <v>1.7570300699729787E-3</v>
      </c>
    </row>
    <row r="20" spans="2:34" x14ac:dyDescent="0.25">
      <c r="B20">
        <f t="shared" ca="1" si="0"/>
        <v>389</v>
      </c>
      <c r="C20">
        <f t="shared" ca="1" si="1"/>
        <v>4</v>
      </c>
      <c r="D20">
        <f t="shared" ca="1" si="2"/>
        <v>0.29652895763310461</v>
      </c>
      <c r="F20" s="1">
        <f t="shared" ca="1" si="3"/>
        <v>48</v>
      </c>
      <c r="G20" s="1">
        <f t="shared" ca="1" si="4"/>
        <v>25</v>
      </c>
      <c r="H20" s="1">
        <f t="shared" ca="1" si="5"/>
        <v>12</v>
      </c>
      <c r="I20" s="1"/>
      <c r="J20" s="1">
        <f t="shared" ca="1" si="6"/>
        <v>37</v>
      </c>
      <c r="K20" s="1">
        <f t="shared" ca="1" si="7"/>
        <v>2.8538325666830406</v>
      </c>
      <c r="L20" s="1">
        <f t="shared" ca="1" si="8"/>
        <v>35</v>
      </c>
      <c r="M20" s="1"/>
      <c r="N20" s="1">
        <f t="shared" ca="1" si="9"/>
        <v>298</v>
      </c>
      <c r="O20" s="1">
        <f t="shared" ca="1" si="10"/>
        <v>42</v>
      </c>
      <c r="P20" s="1"/>
      <c r="Q20" s="1">
        <f t="shared" ca="1" si="11"/>
        <v>1.6334801359609386</v>
      </c>
      <c r="R20" s="1">
        <f t="shared" ca="1" si="12"/>
        <v>800</v>
      </c>
      <c r="S20" s="1"/>
      <c r="T20" s="1">
        <f t="shared" ca="1" si="13"/>
        <v>7.9474729011331346E-2</v>
      </c>
      <c r="U20" s="1">
        <f t="shared" ca="1" si="14"/>
        <v>360</v>
      </c>
      <c r="V20" s="1">
        <f t="shared" ca="1" si="15"/>
        <v>3</v>
      </c>
      <c r="W20" s="1"/>
      <c r="X20" s="1">
        <f t="shared" ca="1" si="16"/>
        <v>6.6104207989728936</v>
      </c>
      <c r="Y20" s="1">
        <f t="shared" ca="1" si="17"/>
        <v>0.88452869326920924</v>
      </c>
      <c r="Z20" s="1">
        <f t="shared" ca="1" si="18"/>
        <v>334</v>
      </c>
      <c r="AB20" s="1">
        <f t="shared" ca="1" si="19"/>
        <v>0.85636248997994213</v>
      </c>
      <c r="AC20" s="1">
        <f t="shared" ca="1" si="20"/>
        <v>666</v>
      </c>
      <c r="AD20" s="1">
        <f t="shared" ca="1" si="21"/>
        <v>7.9700090441922455E-3</v>
      </c>
      <c r="AE20" s="1"/>
      <c r="AF20" s="1">
        <f t="shared" ca="1" si="22"/>
        <v>0.12561427840638884</v>
      </c>
      <c r="AG20" s="1">
        <f t="shared" ca="1" si="23"/>
        <v>996</v>
      </c>
      <c r="AH20" s="1">
        <f t="shared" ca="1" si="24"/>
        <v>3.9466804818765774E-5</v>
      </c>
    </row>
    <row r="21" spans="2:34" x14ac:dyDescent="0.25">
      <c r="B21">
        <f t="shared" ca="1" si="0"/>
        <v>290</v>
      </c>
      <c r="C21">
        <f t="shared" ca="1" si="1"/>
        <v>35</v>
      </c>
      <c r="D21">
        <f t="shared" ca="1" si="2"/>
        <v>0.13694500327152698</v>
      </c>
      <c r="F21" s="1">
        <f t="shared" ca="1" si="3"/>
        <v>12</v>
      </c>
      <c r="G21" s="1">
        <f t="shared" ca="1" si="4"/>
        <v>11</v>
      </c>
      <c r="H21" s="1">
        <f t="shared" ca="1" si="5"/>
        <v>12</v>
      </c>
      <c r="I21" s="1"/>
      <c r="J21" s="1">
        <f t="shared" ca="1" si="6"/>
        <v>30</v>
      </c>
      <c r="K21" s="1">
        <f t="shared" ca="1" si="7"/>
        <v>1.0064795250962006</v>
      </c>
      <c r="L21" s="1">
        <f t="shared" ca="1" si="8"/>
        <v>8</v>
      </c>
      <c r="M21" s="1"/>
      <c r="N21" s="1">
        <f t="shared" ca="1" si="9"/>
        <v>706</v>
      </c>
      <c r="O21" s="1">
        <f t="shared" ca="1" si="10"/>
        <v>42</v>
      </c>
      <c r="P21" s="1"/>
      <c r="Q21" s="1">
        <f t="shared" ca="1" si="11"/>
        <v>3.2303531563767467</v>
      </c>
      <c r="R21" s="1">
        <f t="shared" ca="1" si="12"/>
        <v>864</v>
      </c>
      <c r="S21" s="1"/>
      <c r="T21" s="1">
        <f t="shared" ca="1" si="13"/>
        <v>7.442936061753147E-2</v>
      </c>
      <c r="U21" s="1">
        <f t="shared" ca="1" si="14"/>
        <v>179</v>
      </c>
      <c r="V21" s="1">
        <f t="shared" ca="1" si="15"/>
        <v>40</v>
      </c>
      <c r="W21" s="1"/>
      <c r="X21" s="1">
        <f t="shared" ca="1" si="16"/>
        <v>0.70082985631893235</v>
      </c>
      <c r="Y21" s="1">
        <f t="shared" ca="1" si="17"/>
        <v>0.13855881355086638</v>
      </c>
      <c r="Z21" s="1">
        <f t="shared" ca="1" si="18"/>
        <v>335</v>
      </c>
      <c r="AB21" s="1">
        <f t="shared" ca="1" si="19"/>
        <v>0.36064891804188953</v>
      </c>
      <c r="AC21" s="1">
        <f t="shared" ca="1" si="20"/>
        <v>453</v>
      </c>
      <c r="AD21" s="1">
        <f t="shared" ca="1" si="21"/>
        <v>1.733184622884458E-4</v>
      </c>
      <c r="AE21" s="1"/>
      <c r="AF21" s="1">
        <f t="shared" ca="1" si="22"/>
        <v>0.63745338185264133</v>
      </c>
      <c r="AG21" s="1">
        <f t="shared" ca="1" si="23"/>
        <v>244</v>
      </c>
      <c r="AH21" s="1">
        <f t="shared" ca="1" si="24"/>
        <v>7.1838913799606987E-3</v>
      </c>
    </row>
    <row r="22" spans="2:34" x14ac:dyDescent="0.25">
      <c r="B22">
        <f t="shared" ca="1" si="0"/>
        <v>758</v>
      </c>
      <c r="C22">
        <f t="shared" ca="1" si="1"/>
        <v>8</v>
      </c>
      <c r="D22">
        <f t="shared" ca="1" si="2"/>
        <v>0.21953617608499526</v>
      </c>
      <c r="F22" s="1">
        <f t="shared" ca="1" si="3"/>
        <v>27</v>
      </c>
      <c r="G22" s="1">
        <f t="shared" ca="1" si="4"/>
        <v>27</v>
      </c>
      <c r="H22" s="1">
        <f t="shared" ca="1" si="5"/>
        <v>13</v>
      </c>
      <c r="I22" s="1"/>
      <c r="J22" s="1">
        <f t="shared" ca="1" si="6"/>
        <v>12</v>
      </c>
      <c r="K22" s="1">
        <f t="shared" ca="1" si="7"/>
        <v>1.4275843235396068</v>
      </c>
      <c r="L22" s="1">
        <f t="shared" ca="1" si="8"/>
        <v>5</v>
      </c>
      <c r="M22" s="1"/>
      <c r="N22" s="1">
        <f t="shared" ca="1" si="9"/>
        <v>389</v>
      </c>
      <c r="O22" s="1">
        <f t="shared" ca="1" si="10"/>
        <v>37</v>
      </c>
      <c r="P22" s="1"/>
      <c r="Q22" s="1">
        <f t="shared" ca="1" si="11"/>
        <v>4.7730840569900588</v>
      </c>
      <c r="R22" s="1">
        <f t="shared" ca="1" si="12"/>
        <v>1197</v>
      </c>
      <c r="S22" s="1"/>
      <c r="T22" s="1">
        <f t="shared" ca="1" si="13"/>
        <v>3.0664302421829812E-2</v>
      </c>
      <c r="U22" s="1">
        <f t="shared" ca="1" si="14"/>
        <v>182</v>
      </c>
      <c r="V22" s="1">
        <f t="shared" ca="1" si="15"/>
        <v>16</v>
      </c>
      <c r="W22" s="1"/>
      <c r="X22" s="1">
        <f t="shared" ca="1" si="16"/>
        <v>5.8008960828481166</v>
      </c>
      <c r="Y22" s="1">
        <f t="shared" ca="1" si="17"/>
        <v>0.29411463450722319</v>
      </c>
      <c r="Z22" s="1">
        <f t="shared" ca="1" si="18"/>
        <v>770</v>
      </c>
      <c r="AB22" s="1">
        <f t="shared" ca="1" si="19"/>
        <v>0.57547888682640813</v>
      </c>
      <c r="AC22" s="1">
        <f t="shared" ca="1" si="20"/>
        <v>929</v>
      </c>
      <c r="AD22" s="1">
        <f t="shared" ca="1" si="21"/>
        <v>6.994517194285726E-3</v>
      </c>
      <c r="AE22" s="1"/>
      <c r="AF22" s="1">
        <f t="shared" ca="1" si="22"/>
        <v>0.78700001119932261</v>
      </c>
      <c r="AG22" s="1">
        <f t="shared" ca="1" si="23"/>
        <v>778</v>
      </c>
      <c r="AH22" s="1">
        <f t="shared" ca="1" si="24"/>
        <v>8.2733747922246175E-3</v>
      </c>
    </row>
    <row r="23" spans="2:34" x14ac:dyDescent="0.25">
      <c r="B23">
        <f t="shared" ca="1" si="0"/>
        <v>181</v>
      </c>
      <c r="C23">
        <f t="shared" ca="1" si="1"/>
        <v>23</v>
      </c>
      <c r="D23">
        <f t="shared" ca="1" si="2"/>
        <v>5.1552241946785454E-2</v>
      </c>
      <c r="F23" s="1">
        <f t="shared" ca="1" si="3"/>
        <v>32</v>
      </c>
      <c r="G23" s="1">
        <f t="shared" ca="1" si="4"/>
        <v>29</v>
      </c>
      <c r="H23" s="1">
        <f t="shared" ca="1" si="5"/>
        <v>4</v>
      </c>
      <c r="I23" s="1"/>
      <c r="J23" s="1">
        <f t="shared" ca="1" si="6"/>
        <v>14</v>
      </c>
      <c r="K23" s="1">
        <f t="shared" ca="1" si="7"/>
        <v>2.9745111935308559</v>
      </c>
      <c r="L23" s="1">
        <f t="shared" ca="1" si="8"/>
        <v>16</v>
      </c>
      <c r="M23" s="1"/>
      <c r="N23" s="1">
        <f t="shared" ca="1" si="9"/>
        <v>862</v>
      </c>
      <c r="O23" s="1">
        <f t="shared" ca="1" si="10"/>
        <v>15</v>
      </c>
      <c r="P23" s="1"/>
      <c r="Q23" s="1">
        <f t="shared" ca="1" si="11"/>
        <v>4.7635872502288219</v>
      </c>
      <c r="R23" s="1">
        <f t="shared" ca="1" si="12"/>
        <v>225</v>
      </c>
      <c r="S23" s="1"/>
      <c r="T23" s="1">
        <f t="shared" ca="1" si="13"/>
        <v>3.0932224356638879E-2</v>
      </c>
      <c r="U23" s="1">
        <f t="shared" ca="1" si="14"/>
        <v>308</v>
      </c>
      <c r="V23" s="1">
        <f t="shared" ca="1" si="15"/>
        <v>18</v>
      </c>
      <c r="W23" s="1"/>
      <c r="X23" s="1">
        <f t="shared" ca="1" si="16"/>
        <v>2.1930084365853948</v>
      </c>
      <c r="Y23" s="1">
        <f t="shared" ca="1" si="17"/>
        <v>6.4629393951997113E-2</v>
      </c>
      <c r="Z23" s="1">
        <f t="shared" ca="1" si="18"/>
        <v>561</v>
      </c>
      <c r="AB23" s="1">
        <f t="shared" ca="1" si="19"/>
        <v>0.5237125836408113</v>
      </c>
      <c r="AC23" s="1">
        <f t="shared" ca="1" si="20"/>
        <v>118</v>
      </c>
      <c r="AD23" s="1">
        <f t="shared" ca="1" si="21"/>
        <v>5.9425116080799398E-3</v>
      </c>
      <c r="AE23" s="1"/>
      <c r="AF23" s="1">
        <f t="shared" ca="1" si="22"/>
        <v>0.83061288372723652</v>
      </c>
      <c r="AG23" s="1">
        <f t="shared" ca="1" si="23"/>
        <v>412</v>
      </c>
      <c r="AH23" s="1">
        <f t="shared" ca="1" si="24"/>
        <v>8.846790608916244E-4</v>
      </c>
    </row>
    <row r="24" spans="2:34" x14ac:dyDescent="0.25">
      <c r="B24">
        <f t="shared" ca="1" si="0"/>
        <v>851</v>
      </c>
      <c r="C24">
        <f t="shared" ca="1" si="1"/>
        <v>34</v>
      </c>
      <c r="D24">
        <f t="shared" ca="1" si="2"/>
        <v>0.19199044765612014</v>
      </c>
      <c r="F24" s="1">
        <f t="shared" ca="1" si="3"/>
        <v>28</v>
      </c>
      <c r="G24" s="1">
        <f t="shared" ca="1" si="4"/>
        <v>10</v>
      </c>
      <c r="H24" s="1">
        <f t="shared" ca="1" si="5"/>
        <v>7</v>
      </c>
      <c r="I24" s="1"/>
      <c r="J24" s="1">
        <f t="shared" ca="1" si="6"/>
        <v>22</v>
      </c>
      <c r="K24" s="1">
        <f t="shared" ca="1" si="7"/>
        <v>1.302864472416972</v>
      </c>
      <c r="L24" s="1">
        <f t="shared" ca="1" si="8"/>
        <v>10</v>
      </c>
      <c r="M24" s="1"/>
      <c r="N24" s="1">
        <f t="shared" ca="1" si="9"/>
        <v>652</v>
      </c>
      <c r="O24" s="1">
        <f t="shared" ca="1" si="10"/>
        <v>46</v>
      </c>
      <c r="P24" s="1"/>
      <c r="Q24" s="1">
        <f t="shared" ca="1" si="11"/>
        <v>3.1890001092757241</v>
      </c>
      <c r="R24" s="1">
        <f t="shared" ca="1" si="12"/>
        <v>1193</v>
      </c>
      <c r="S24" s="1"/>
      <c r="T24" s="1">
        <f t="shared" ca="1" si="13"/>
        <v>0.15795574588737737</v>
      </c>
      <c r="U24" s="1">
        <f t="shared" ca="1" si="14"/>
        <v>389</v>
      </c>
      <c r="V24" s="1">
        <f t="shared" ca="1" si="15"/>
        <v>33</v>
      </c>
      <c r="W24" s="1"/>
      <c r="X24" s="1">
        <f t="shared" ca="1" si="16"/>
        <v>6.2405298117582796E-2</v>
      </c>
      <c r="Y24" s="1">
        <f t="shared" ca="1" si="17"/>
        <v>7.2484267256578541E-2</v>
      </c>
      <c r="Z24" s="1">
        <f t="shared" ca="1" si="18"/>
        <v>1380</v>
      </c>
      <c r="AB24" s="1">
        <f t="shared" ca="1" si="19"/>
        <v>0.55117076444839419</v>
      </c>
      <c r="AC24" s="1">
        <f t="shared" ca="1" si="20"/>
        <v>202</v>
      </c>
      <c r="AD24" s="1">
        <f t="shared" ca="1" si="21"/>
        <v>7.7388171615218795E-3</v>
      </c>
      <c r="AE24" s="1"/>
      <c r="AF24" s="1">
        <f t="shared" ca="1" si="22"/>
        <v>0.45035223725535667</v>
      </c>
      <c r="AG24" s="1">
        <f t="shared" ca="1" si="23"/>
        <v>835</v>
      </c>
      <c r="AH24" s="1">
        <f t="shared" ca="1" si="24"/>
        <v>9.7544968789077709E-3</v>
      </c>
    </row>
    <row r="25" spans="2:34" x14ac:dyDescent="0.25">
      <c r="B25">
        <f t="shared" ca="1" si="0"/>
        <v>267</v>
      </c>
      <c r="C25">
        <f t="shared" ca="1" si="1"/>
        <v>12</v>
      </c>
      <c r="D25">
        <f t="shared" ca="1" si="2"/>
        <v>7.1443026570170154E-2</v>
      </c>
      <c r="F25" s="1">
        <f t="shared" ca="1" si="3"/>
        <v>6</v>
      </c>
      <c r="G25" s="1">
        <f t="shared" ca="1" si="4"/>
        <v>20</v>
      </c>
      <c r="H25" s="1">
        <f t="shared" ca="1" si="5"/>
        <v>4</v>
      </c>
      <c r="I25" s="1"/>
      <c r="J25" s="1">
        <f t="shared" ca="1" si="6"/>
        <v>39</v>
      </c>
      <c r="K25" s="1">
        <f t="shared" ca="1" si="7"/>
        <v>2.2905616666877266</v>
      </c>
      <c r="L25" s="1">
        <f t="shared" ca="1" si="8"/>
        <v>3</v>
      </c>
      <c r="M25" s="1"/>
      <c r="N25" s="1">
        <f t="shared" ca="1" si="9"/>
        <v>28</v>
      </c>
      <c r="O25" s="1">
        <f t="shared" ca="1" si="10"/>
        <v>19</v>
      </c>
      <c r="P25" s="1"/>
      <c r="Q25" s="1">
        <f t="shared" ca="1" si="11"/>
        <v>0.52845164449300641</v>
      </c>
      <c r="R25" s="1">
        <f t="shared" ca="1" si="12"/>
        <v>692</v>
      </c>
      <c r="S25" s="1"/>
      <c r="T25" s="1">
        <f t="shared" ca="1" si="13"/>
        <v>9.2152006664001557E-2</v>
      </c>
      <c r="U25" s="1">
        <f t="shared" ca="1" si="14"/>
        <v>337</v>
      </c>
      <c r="V25" s="1">
        <f t="shared" ca="1" si="15"/>
        <v>36</v>
      </c>
      <c r="W25" s="1"/>
      <c r="X25" s="1">
        <f t="shared" ca="1" si="16"/>
        <v>2.3382015095605269</v>
      </c>
      <c r="Y25" s="1">
        <f t="shared" ca="1" si="17"/>
        <v>0.92566002044596751</v>
      </c>
      <c r="Z25" s="1">
        <f t="shared" ca="1" si="18"/>
        <v>621</v>
      </c>
      <c r="AB25" s="1">
        <f t="shared" ca="1" si="19"/>
        <v>0.18465992421408203</v>
      </c>
      <c r="AC25" s="1">
        <f t="shared" ca="1" si="20"/>
        <v>526</v>
      </c>
      <c r="AD25" s="1">
        <f t="shared" ca="1" si="21"/>
        <v>7.9142396606613919E-3</v>
      </c>
      <c r="AE25" s="1"/>
      <c r="AF25" s="1">
        <f t="shared" ca="1" si="22"/>
        <v>0.51717022846974847</v>
      </c>
      <c r="AG25" s="1">
        <f t="shared" ca="1" si="23"/>
        <v>855</v>
      </c>
      <c r="AH25" s="1">
        <f t="shared" ca="1" si="24"/>
        <v>5.7639521044075279E-3</v>
      </c>
    </row>
    <row r="26" spans="2:34" x14ac:dyDescent="0.25">
      <c r="B26">
        <f t="shared" ca="1" si="0"/>
        <v>634</v>
      </c>
      <c r="C26">
        <f t="shared" ca="1" si="1"/>
        <v>27</v>
      </c>
      <c r="D26">
        <f t="shared" ca="1" si="2"/>
        <v>0.14594819477304227</v>
      </c>
      <c r="F26" s="1">
        <f t="shared" ca="1" si="3"/>
        <v>18</v>
      </c>
      <c r="G26" s="1">
        <f t="shared" ca="1" si="4"/>
        <v>30</v>
      </c>
      <c r="H26" s="1">
        <f t="shared" ca="1" si="5"/>
        <v>7</v>
      </c>
      <c r="I26" s="1"/>
      <c r="J26" s="1">
        <f t="shared" ca="1" si="6"/>
        <v>7</v>
      </c>
      <c r="K26" s="1">
        <f t="shared" ca="1" si="7"/>
        <v>1.555266997760584</v>
      </c>
      <c r="L26" s="1">
        <f t="shared" ca="1" si="8"/>
        <v>30</v>
      </c>
      <c r="M26" s="1"/>
      <c r="N26" s="1">
        <f t="shared" ca="1" si="9"/>
        <v>143</v>
      </c>
      <c r="O26" s="1">
        <f t="shared" ca="1" si="10"/>
        <v>16</v>
      </c>
      <c r="P26" s="1"/>
      <c r="Q26" s="1">
        <f t="shared" ca="1" si="11"/>
        <v>1.7329739435195357</v>
      </c>
      <c r="R26" s="1">
        <f t="shared" ca="1" si="12"/>
        <v>891</v>
      </c>
      <c r="S26" s="1"/>
      <c r="T26" s="1">
        <f t="shared" ca="1" si="13"/>
        <v>3.2706377859424665E-2</v>
      </c>
      <c r="U26" s="1">
        <f t="shared" ca="1" si="14"/>
        <v>138</v>
      </c>
      <c r="V26" s="1">
        <f t="shared" ca="1" si="15"/>
        <v>23</v>
      </c>
      <c r="W26" s="1"/>
      <c r="X26" s="1">
        <f t="shared" ca="1" si="16"/>
        <v>7.4108027692070682</v>
      </c>
      <c r="Y26" s="1">
        <f t="shared" ca="1" si="17"/>
        <v>0.60407780386950038</v>
      </c>
      <c r="Z26" s="1">
        <f t="shared" ca="1" si="18"/>
        <v>593</v>
      </c>
      <c r="AB26" s="1">
        <f t="shared" ca="1" si="19"/>
        <v>0.81880250158767953</v>
      </c>
      <c r="AC26" s="1">
        <f t="shared" ca="1" si="20"/>
        <v>678</v>
      </c>
      <c r="AD26" s="1">
        <f t="shared" ca="1" si="21"/>
        <v>4.0606714921621297E-3</v>
      </c>
      <c r="AE26" s="1"/>
      <c r="AF26" s="1">
        <f t="shared" ca="1" si="22"/>
        <v>0.17807886746197588</v>
      </c>
      <c r="AG26" s="1">
        <f t="shared" ca="1" si="23"/>
        <v>539</v>
      </c>
      <c r="AH26" s="1">
        <f t="shared" ca="1" si="24"/>
        <v>9.9275155506928902E-3</v>
      </c>
    </row>
    <row r="27" spans="2:34" x14ac:dyDescent="0.25">
      <c r="B27">
        <f t="shared" ca="1" si="0"/>
        <v>718</v>
      </c>
      <c r="C27">
        <f t="shared" ca="1" si="1"/>
        <v>23</v>
      </c>
      <c r="D27">
        <f t="shared" ca="1" si="2"/>
        <v>7.5697438961644811E-2</v>
      </c>
      <c r="F27" s="1">
        <f t="shared" ca="1" si="3"/>
        <v>8</v>
      </c>
      <c r="G27" s="1">
        <f t="shared" ca="1" si="4"/>
        <v>28</v>
      </c>
      <c r="H27" s="1">
        <f t="shared" ca="1" si="5"/>
        <v>12</v>
      </c>
      <c r="I27" s="1"/>
      <c r="J27" s="1">
        <f t="shared" ca="1" si="6"/>
        <v>5</v>
      </c>
      <c r="K27" s="1">
        <f t="shared" ca="1" si="7"/>
        <v>2.6971585256612869</v>
      </c>
      <c r="L27" s="1">
        <f t="shared" ca="1" si="8"/>
        <v>34</v>
      </c>
      <c r="M27" s="1"/>
      <c r="N27" s="1">
        <f t="shared" ca="1" si="9"/>
        <v>140</v>
      </c>
      <c r="O27" s="1">
        <f t="shared" ca="1" si="10"/>
        <v>33</v>
      </c>
      <c r="P27" s="1"/>
      <c r="Q27" s="1">
        <f t="shared" ca="1" si="11"/>
        <v>1.9299336437139272</v>
      </c>
      <c r="R27" s="1">
        <f t="shared" ca="1" si="12"/>
        <v>911</v>
      </c>
      <c r="S27" s="1"/>
      <c r="T27" s="1">
        <f t="shared" ca="1" si="13"/>
        <v>1.2757719905237476E-2</v>
      </c>
      <c r="U27" s="1">
        <f t="shared" ca="1" si="14"/>
        <v>59</v>
      </c>
      <c r="V27" s="1">
        <f t="shared" ca="1" si="15"/>
        <v>36</v>
      </c>
      <c r="W27" s="1"/>
      <c r="X27" s="1">
        <f t="shared" ca="1" si="16"/>
        <v>5.9292049041634867</v>
      </c>
      <c r="Y27" s="1">
        <f t="shared" ca="1" si="17"/>
        <v>0.14053704875410084</v>
      </c>
      <c r="Z27" s="1">
        <f t="shared" ca="1" si="18"/>
        <v>1590</v>
      </c>
      <c r="AB27" s="1">
        <f t="shared" ca="1" si="19"/>
        <v>0.46762466036624123</v>
      </c>
      <c r="AC27" s="1">
        <f t="shared" ca="1" si="20"/>
        <v>500</v>
      </c>
      <c r="AD27" s="1">
        <f t="shared" ca="1" si="21"/>
        <v>1.5260932168738618E-3</v>
      </c>
      <c r="AE27" s="1"/>
      <c r="AF27" s="1">
        <f t="shared" ca="1" si="22"/>
        <v>0.46751687351270366</v>
      </c>
      <c r="AG27" s="1">
        <f t="shared" ca="1" si="23"/>
        <v>138</v>
      </c>
      <c r="AH27" s="1">
        <f t="shared" ca="1" si="24"/>
        <v>5.4868063962279674E-3</v>
      </c>
    </row>
    <row r="28" spans="2:34" x14ac:dyDescent="0.25">
      <c r="B28">
        <f t="shared" ca="1" si="0"/>
        <v>724</v>
      </c>
      <c r="C28">
        <f t="shared" ca="1" si="1"/>
        <v>39</v>
      </c>
      <c r="D28">
        <f t="shared" ca="1" si="2"/>
        <v>0.22534532180508801</v>
      </c>
      <c r="F28" s="1">
        <f t="shared" ca="1" si="3"/>
        <v>27</v>
      </c>
      <c r="G28" s="1">
        <f t="shared" ca="1" si="4"/>
        <v>3</v>
      </c>
      <c r="H28" s="1">
        <f t="shared" ca="1" si="5"/>
        <v>15</v>
      </c>
      <c r="I28" s="1"/>
      <c r="J28" s="1">
        <f t="shared" ca="1" si="6"/>
        <v>2</v>
      </c>
      <c r="K28" s="1">
        <f t="shared" ca="1" si="7"/>
        <v>1.7872745468066895</v>
      </c>
      <c r="L28" s="1">
        <f t="shared" ca="1" si="8"/>
        <v>6</v>
      </c>
      <c r="M28" s="1"/>
      <c r="N28" s="1">
        <f t="shared" ca="1" si="9"/>
        <v>585</v>
      </c>
      <c r="O28" s="1">
        <f t="shared" ca="1" si="10"/>
        <v>2</v>
      </c>
      <c r="P28" s="1"/>
      <c r="Q28" s="1">
        <f t="shared" ca="1" si="11"/>
        <v>3.5091738264380385</v>
      </c>
      <c r="R28" s="1">
        <f t="shared" ca="1" si="12"/>
        <v>832</v>
      </c>
      <c r="S28" s="1"/>
      <c r="T28" s="1">
        <f t="shared" ca="1" si="13"/>
        <v>5.4127853490520662E-2</v>
      </c>
      <c r="U28" s="1">
        <f t="shared" ca="1" si="14"/>
        <v>432</v>
      </c>
      <c r="V28" s="1">
        <f t="shared" ca="1" si="15"/>
        <v>11</v>
      </c>
      <c r="W28" s="1"/>
      <c r="X28" s="1">
        <f t="shared" ca="1" si="16"/>
        <v>0.84562765263614681</v>
      </c>
      <c r="Y28" s="1">
        <f t="shared" ca="1" si="17"/>
        <v>8.1318577666640121E-2</v>
      </c>
      <c r="Z28" s="1">
        <f t="shared" ca="1" si="18"/>
        <v>234</v>
      </c>
      <c r="AB28" s="1">
        <f t="shared" ca="1" si="19"/>
        <v>0.50817688020771046</v>
      </c>
      <c r="AC28" s="1">
        <f t="shared" ca="1" si="20"/>
        <v>474</v>
      </c>
      <c r="AD28" s="1">
        <f t="shared" ca="1" si="21"/>
        <v>9.2646728499288979E-3</v>
      </c>
      <c r="AE28" s="1"/>
      <c r="AF28" s="1">
        <f t="shared" ca="1" si="22"/>
        <v>0.33575747687498247</v>
      </c>
      <c r="AG28" s="1">
        <f t="shared" ca="1" si="23"/>
        <v>204</v>
      </c>
      <c r="AH28" s="1">
        <f t="shared" ca="1" si="24"/>
        <v>9.5330202669411997E-3</v>
      </c>
    </row>
    <row r="29" spans="2:34" x14ac:dyDescent="0.25">
      <c r="B29">
        <f t="shared" ca="1" si="0"/>
        <v>186</v>
      </c>
      <c r="C29">
        <f t="shared" ca="1" si="1"/>
        <v>21</v>
      </c>
      <c r="D29">
        <f t="shared" ca="1" si="2"/>
        <v>7.4297410746227713E-2</v>
      </c>
      <c r="F29" s="1">
        <f t="shared" ca="1" si="3"/>
        <v>48</v>
      </c>
      <c r="G29" s="1">
        <f t="shared" ca="1" si="4"/>
        <v>10</v>
      </c>
      <c r="H29" s="1">
        <f t="shared" ca="1" si="5"/>
        <v>14</v>
      </c>
      <c r="I29" s="1"/>
      <c r="J29" s="1">
        <f t="shared" ca="1" si="6"/>
        <v>28</v>
      </c>
      <c r="K29" s="1">
        <f t="shared" ca="1" si="7"/>
        <v>1.0051444233410847</v>
      </c>
      <c r="L29" s="1">
        <f t="shared" ca="1" si="8"/>
        <v>21</v>
      </c>
      <c r="M29" s="1"/>
      <c r="N29" s="1">
        <f t="shared" ca="1" si="9"/>
        <v>154</v>
      </c>
      <c r="O29" s="1">
        <f t="shared" ca="1" si="10"/>
        <v>24</v>
      </c>
      <c r="P29" s="1"/>
      <c r="Q29" s="1">
        <f t="shared" ca="1" si="11"/>
        <v>1.3807376603765933</v>
      </c>
      <c r="R29" s="1">
        <f t="shared" ca="1" si="12"/>
        <v>750</v>
      </c>
      <c r="S29" s="1"/>
      <c r="T29" s="1">
        <f t="shared" ca="1" si="13"/>
        <v>2.5212311059253634E-2</v>
      </c>
      <c r="U29" s="1">
        <f t="shared" ca="1" si="14"/>
        <v>79</v>
      </c>
      <c r="V29" s="1">
        <f t="shared" ca="1" si="15"/>
        <v>46</v>
      </c>
      <c r="W29" s="1"/>
      <c r="X29" s="1">
        <f t="shared" ca="1" si="16"/>
        <v>9.8761961037718324E-2</v>
      </c>
      <c r="Y29" s="1">
        <f t="shared" ca="1" si="17"/>
        <v>0.23802172464232246</v>
      </c>
      <c r="Z29" s="1">
        <f t="shared" ca="1" si="18"/>
        <v>788</v>
      </c>
      <c r="AB29" s="1">
        <f t="shared" ca="1" si="19"/>
        <v>0.91756101497985554</v>
      </c>
      <c r="AC29" s="1">
        <f t="shared" ca="1" si="20"/>
        <v>178</v>
      </c>
      <c r="AD29" s="1">
        <f t="shared" ca="1" si="21"/>
        <v>2.9407094397704003E-3</v>
      </c>
      <c r="AE29" s="1"/>
      <c r="AF29" s="1">
        <f t="shared" ca="1" si="22"/>
        <v>0.76117890863690607</v>
      </c>
      <c r="AG29" s="1">
        <f t="shared" ca="1" si="23"/>
        <v>669</v>
      </c>
      <c r="AH29" s="1">
        <f t="shared" ca="1" si="24"/>
        <v>7.2982284943227428E-4</v>
      </c>
    </row>
    <row r="30" spans="2:34" x14ac:dyDescent="0.25">
      <c r="B30">
        <f t="shared" ca="1" si="0"/>
        <v>140</v>
      </c>
      <c r="C30">
        <f t="shared" ca="1" si="1"/>
        <v>33</v>
      </c>
      <c r="D30">
        <f t="shared" ca="1" si="2"/>
        <v>5.5349337626355508E-2</v>
      </c>
      <c r="F30" s="1">
        <f t="shared" ca="1" si="3"/>
        <v>19</v>
      </c>
      <c r="G30" s="1">
        <f t="shared" ca="1" si="4"/>
        <v>30</v>
      </c>
      <c r="H30" s="1">
        <f t="shared" ca="1" si="5"/>
        <v>1</v>
      </c>
      <c r="I30" s="1"/>
      <c r="J30" s="1">
        <f t="shared" ca="1" si="6"/>
        <v>34</v>
      </c>
      <c r="K30" s="1">
        <f t="shared" ca="1" si="7"/>
        <v>1.8834967828480842</v>
      </c>
      <c r="L30" s="1">
        <f t="shared" ca="1" si="8"/>
        <v>18</v>
      </c>
      <c r="M30" s="1"/>
      <c r="N30" s="1">
        <f t="shared" ca="1" si="9"/>
        <v>455</v>
      </c>
      <c r="O30" s="1">
        <f t="shared" ca="1" si="10"/>
        <v>29</v>
      </c>
      <c r="P30" s="1"/>
      <c r="Q30" s="1">
        <f t="shared" ca="1" si="11"/>
        <v>2.8773639647049518</v>
      </c>
      <c r="R30" s="1">
        <f t="shared" ca="1" si="12"/>
        <v>798</v>
      </c>
      <c r="S30" s="1"/>
      <c r="T30" s="1">
        <f t="shared" ca="1" si="13"/>
        <v>0.15542816057653441</v>
      </c>
      <c r="U30" s="1">
        <f t="shared" ca="1" si="14"/>
        <v>364</v>
      </c>
      <c r="V30" s="1">
        <f t="shared" ca="1" si="15"/>
        <v>11</v>
      </c>
      <c r="W30" s="1"/>
      <c r="X30" s="1">
        <f t="shared" ca="1" si="16"/>
        <v>2.1055705496261168</v>
      </c>
      <c r="Y30" s="1">
        <f t="shared" ca="1" si="17"/>
        <v>0.8055431722095816</v>
      </c>
      <c r="Z30" s="1">
        <f t="shared" ca="1" si="18"/>
        <v>1954</v>
      </c>
      <c r="AB30" s="1">
        <f t="shared" ca="1" si="19"/>
        <v>0.12511826451445698</v>
      </c>
      <c r="AC30" s="1">
        <f t="shared" ca="1" si="20"/>
        <v>668</v>
      </c>
      <c r="AD30" s="1">
        <f t="shared" ca="1" si="21"/>
        <v>1.2062966219459671E-3</v>
      </c>
      <c r="AE30" s="1"/>
      <c r="AF30" s="1">
        <f t="shared" ca="1" si="22"/>
        <v>0.101376658668379</v>
      </c>
      <c r="AG30" s="1">
        <f t="shared" ca="1" si="23"/>
        <v>977</v>
      </c>
      <c r="AH30" s="1">
        <f t="shared" ca="1" si="24"/>
        <v>3.0614797469337798E-4</v>
      </c>
    </row>
    <row r="31" spans="2:34" x14ac:dyDescent="0.25">
      <c r="B31">
        <f t="shared" ca="1" si="0"/>
        <v>126</v>
      </c>
      <c r="C31">
        <f t="shared" ca="1" si="1"/>
        <v>4</v>
      </c>
      <c r="D31">
        <f t="shared" ca="1" si="2"/>
        <v>1.90361011175177E-2</v>
      </c>
      <c r="F31" s="1">
        <f t="shared" ca="1" si="3"/>
        <v>7</v>
      </c>
      <c r="G31" s="1">
        <f t="shared" ca="1" si="4"/>
        <v>16</v>
      </c>
      <c r="H31" s="1">
        <f t="shared" ca="1" si="5"/>
        <v>6</v>
      </c>
      <c r="I31" s="1"/>
      <c r="J31" s="1">
        <f t="shared" ca="1" si="6"/>
        <v>13</v>
      </c>
      <c r="K31" s="1">
        <f t="shared" ca="1" si="7"/>
        <v>2.8135931033947981</v>
      </c>
      <c r="L31" s="1">
        <f t="shared" ca="1" si="8"/>
        <v>16</v>
      </c>
      <c r="M31" s="1"/>
      <c r="N31" s="1">
        <f t="shared" ca="1" si="9"/>
        <v>933</v>
      </c>
      <c r="O31" s="1">
        <f t="shared" ca="1" si="10"/>
        <v>25</v>
      </c>
      <c r="P31" s="1"/>
      <c r="Q31" s="1">
        <f t="shared" ca="1" si="11"/>
        <v>1.6003452015480444</v>
      </c>
      <c r="R31" s="1">
        <f t="shared" ca="1" si="12"/>
        <v>906</v>
      </c>
      <c r="S31" s="1"/>
      <c r="T31" s="1">
        <f t="shared" ca="1" si="13"/>
        <v>4.6183561403320778E-2</v>
      </c>
      <c r="U31" s="1">
        <f t="shared" ca="1" si="14"/>
        <v>330</v>
      </c>
      <c r="V31" s="1">
        <f t="shared" ca="1" si="15"/>
        <v>44</v>
      </c>
      <c r="W31" s="1"/>
      <c r="X31" s="1">
        <f t="shared" ca="1" si="16"/>
        <v>2.1141362411432509</v>
      </c>
      <c r="Y31" s="1">
        <f t="shared" ca="1" si="17"/>
        <v>0.48176696936990299</v>
      </c>
      <c r="Z31" s="1">
        <f t="shared" ca="1" si="18"/>
        <v>271</v>
      </c>
      <c r="AB31" s="1">
        <f t="shared" ca="1" si="19"/>
        <v>0.64818866721862667</v>
      </c>
      <c r="AC31" s="1">
        <f t="shared" ca="1" si="20"/>
        <v>536</v>
      </c>
      <c r="AD31" s="1">
        <f t="shared" ca="1" si="21"/>
        <v>6.7509791047535338E-3</v>
      </c>
      <c r="AE31" s="1"/>
      <c r="AF31" s="1">
        <f t="shared" ca="1" si="22"/>
        <v>0.67022377150941514</v>
      </c>
      <c r="AG31" s="1">
        <f t="shared" ca="1" si="23"/>
        <v>219</v>
      </c>
      <c r="AH31" s="1">
        <f t="shared" ca="1" si="24"/>
        <v>6.1297818444660517E-3</v>
      </c>
    </row>
    <row r="32" spans="2:34" x14ac:dyDescent="0.25">
      <c r="B32">
        <f t="shared" ca="1" si="0"/>
        <v>914</v>
      </c>
      <c r="C32">
        <f t="shared" ca="1" si="1"/>
        <v>42</v>
      </c>
      <c r="D32">
        <f t="shared" ca="1" si="2"/>
        <v>0.19155839120822329</v>
      </c>
      <c r="F32" s="1">
        <f t="shared" ca="1" si="3"/>
        <v>30</v>
      </c>
      <c r="G32" s="1">
        <f t="shared" ca="1" si="4"/>
        <v>29</v>
      </c>
      <c r="H32" s="1">
        <f t="shared" ca="1" si="5"/>
        <v>13</v>
      </c>
      <c r="I32" s="1"/>
      <c r="J32" s="1">
        <f t="shared" ca="1" si="6"/>
        <v>29</v>
      </c>
      <c r="K32" s="1">
        <f t="shared" ca="1" si="7"/>
        <v>1.5466568698908587</v>
      </c>
      <c r="L32" s="1">
        <f t="shared" ca="1" si="8"/>
        <v>3</v>
      </c>
      <c r="M32" s="1"/>
      <c r="N32" s="1">
        <f t="shared" ca="1" si="9"/>
        <v>885</v>
      </c>
      <c r="O32" s="1">
        <f t="shared" ca="1" si="10"/>
        <v>6</v>
      </c>
      <c r="P32" s="1"/>
      <c r="Q32" s="1">
        <f t="shared" ca="1" si="11"/>
        <v>1.2754223245904885</v>
      </c>
      <c r="R32" s="1">
        <f t="shared" ca="1" si="12"/>
        <v>1057</v>
      </c>
      <c r="S32" s="1"/>
      <c r="T32" s="1">
        <f t="shared" ca="1" si="13"/>
        <v>2.2149210520170819E-2</v>
      </c>
      <c r="U32" s="1">
        <f t="shared" ca="1" si="14"/>
        <v>148</v>
      </c>
      <c r="V32" s="1">
        <f t="shared" ca="1" si="15"/>
        <v>2</v>
      </c>
      <c r="W32" s="1"/>
      <c r="X32" s="1">
        <f t="shared" ca="1" si="16"/>
        <v>0.78075260280527159</v>
      </c>
      <c r="Y32" s="1">
        <f t="shared" ca="1" si="17"/>
        <v>0.52130155131694145</v>
      </c>
      <c r="Z32" s="1">
        <f t="shared" ca="1" si="18"/>
        <v>765</v>
      </c>
      <c r="AB32" s="1">
        <f t="shared" ca="1" si="19"/>
        <v>0.30619947128397917</v>
      </c>
      <c r="AC32" s="1">
        <f t="shared" ca="1" si="20"/>
        <v>171</v>
      </c>
      <c r="AD32" s="1">
        <f t="shared" ca="1" si="21"/>
        <v>6.897594322820731E-3</v>
      </c>
      <c r="AE32" s="1"/>
      <c r="AF32" s="1">
        <f t="shared" ca="1" si="22"/>
        <v>0.5181051715632139</v>
      </c>
      <c r="AG32" s="1">
        <f t="shared" ca="1" si="23"/>
        <v>492</v>
      </c>
      <c r="AH32" s="1">
        <f t="shared" ca="1" si="24"/>
        <v>2.2738321209084594E-3</v>
      </c>
    </row>
    <row r="33" spans="2:34" x14ac:dyDescent="0.25">
      <c r="B33">
        <f t="shared" ca="1" si="0"/>
        <v>855</v>
      </c>
      <c r="C33">
        <f t="shared" ca="1" si="1"/>
        <v>19</v>
      </c>
      <c r="D33">
        <f t="shared" ca="1" si="2"/>
        <v>0.1748742005495808</v>
      </c>
      <c r="F33" s="1">
        <f t="shared" ca="1" si="3"/>
        <v>2</v>
      </c>
      <c r="G33" s="1">
        <f t="shared" ca="1" si="4"/>
        <v>16</v>
      </c>
      <c r="H33" s="1">
        <f t="shared" ca="1" si="5"/>
        <v>6</v>
      </c>
      <c r="I33" s="1"/>
      <c r="J33" s="1">
        <f t="shared" ca="1" si="6"/>
        <v>10</v>
      </c>
      <c r="K33" s="1">
        <f t="shared" ca="1" si="7"/>
        <v>2.8941660902466628</v>
      </c>
      <c r="L33" s="1">
        <f t="shared" ca="1" si="8"/>
        <v>22</v>
      </c>
      <c r="M33" s="1"/>
      <c r="N33" s="1">
        <f t="shared" ca="1" si="9"/>
        <v>401</v>
      </c>
      <c r="O33" s="1">
        <f t="shared" ca="1" si="10"/>
        <v>11</v>
      </c>
      <c r="P33" s="1"/>
      <c r="Q33" s="1">
        <f t="shared" ca="1" si="11"/>
        <v>0.18560921515228157</v>
      </c>
      <c r="R33" s="1">
        <f t="shared" ca="1" si="12"/>
        <v>993</v>
      </c>
      <c r="S33" s="1"/>
      <c r="T33" s="1">
        <f t="shared" ca="1" si="13"/>
        <v>0.15740212183650454</v>
      </c>
      <c r="U33" s="1">
        <f t="shared" ca="1" si="14"/>
        <v>360</v>
      </c>
      <c r="V33" s="1">
        <f t="shared" ca="1" si="15"/>
        <v>12</v>
      </c>
      <c r="W33" s="1"/>
      <c r="X33" s="1">
        <f t="shared" ca="1" si="16"/>
        <v>8.0711575688050381</v>
      </c>
      <c r="Y33" s="1">
        <f t="shared" ca="1" si="17"/>
        <v>0.14294300346916344</v>
      </c>
      <c r="Z33" s="1">
        <f t="shared" ca="1" si="18"/>
        <v>1878</v>
      </c>
      <c r="AB33" s="1">
        <f t="shared" ca="1" si="19"/>
        <v>0.59909926930666468</v>
      </c>
      <c r="AC33" s="1">
        <f t="shared" ca="1" si="20"/>
        <v>718</v>
      </c>
      <c r="AD33" s="1">
        <f t="shared" ca="1" si="21"/>
        <v>8.6344882291208621E-3</v>
      </c>
      <c r="AE33" s="1"/>
      <c r="AF33" s="1">
        <f t="shared" ca="1" si="22"/>
        <v>0.79385165688536852</v>
      </c>
      <c r="AG33" s="1">
        <f t="shared" ca="1" si="23"/>
        <v>674</v>
      </c>
      <c r="AH33" s="1">
        <f t="shared" ca="1" si="24"/>
        <v>1.8643417890804375E-3</v>
      </c>
    </row>
    <row r="34" spans="2:34" x14ac:dyDescent="0.25">
      <c r="B34">
        <f t="shared" ca="1" si="0"/>
        <v>170</v>
      </c>
      <c r="C34">
        <f t="shared" ca="1" si="1"/>
        <v>34</v>
      </c>
      <c r="D34">
        <f t="shared" ca="1" si="2"/>
        <v>0.27611733784178466</v>
      </c>
      <c r="F34" s="1">
        <f t="shared" ca="1" si="3"/>
        <v>7</v>
      </c>
      <c r="G34" s="1">
        <f t="shared" ca="1" si="4"/>
        <v>11</v>
      </c>
      <c r="H34" s="1">
        <f t="shared" ca="1" si="5"/>
        <v>5</v>
      </c>
      <c r="I34" s="1"/>
      <c r="J34" s="1">
        <f t="shared" ca="1" si="6"/>
        <v>36</v>
      </c>
      <c r="K34" s="1">
        <f t="shared" ca="1" si="7"/>
        <v>2.4822838411719714</v>
      </c>
      <c r="L34" s="1">
        <f t="shared" ca="1" si="8"/>
        <v>30</v>
      </c>
      <c r="M34" s="1"/>
      <c r="N34" s="1">
        <f t="shared" ca="1" si="9"/>
        <v>671</v>
      </c>
      <c r="O34" s="1">
        <f t="shared" ca="1" si="10"/>
        <v>27</v>
      </c>
      <c r="P34" s="1"/>
      <c r="Q34" s="1">
        <f t="shared" ca="1" si="11"/>
        <v>2.9212036236072727</v>
      </c>
      <c r="R34" s="1">
        <f t="shared" ca="1" si="12"/>
        <v>1040</v>
      </c>
      <c r="S34" s="1"/>
      <c r="T34" s="1">
        <f t="shared" ca="1" si="13"/>
        <v>7.6211037575903723E-2</v>
      </c>
      <c r="U34" s="1">
        <f t="shared" ca="1" si="14"/>
        <v>310</v>
      </c>
      <c r="V34" s="1">
        <f t="shared" ca="1" si="15"/>
        <v>11</v>
      </c>
      <c r="W34" s="1"/>
      <c r="X34" s="1">
        <f t="shared" ca="1" si="16"/>
        <v>2.8081820605641932</v>
      </c>
      <c r="Y34" s="1">
        <f t="shared" ca="1" si="17"/>
        <v>0.83556849402871425</v>
      </c>
      <c r="Z34" s="1">
        <f t="shared" ca="1" si="18"/>
        <v>1087</v>
      </c>
      <c r="AB34" s="1">
        <f t="shared" ca="1" si="19"/>
        <v>0.60997322706749946</v>
      </c>
      <c r="AC34" s="1">
        <f t="shared" ca="1" si="20"/>
        <v>272</v>
      </c>
      <c r="AD34" s="1">
        <f t="shared" ca="1" si="21"/>
        <v>6.9260826165177996E-3</v>
      </c>
      <c r="AE34" s="1"/>
      <c r="AF34" s="1">
        <f t="shared" ca="1" si="22"/>
        <v>0.39211024268316386</v>
      </c>
      <c r="AG34" s="1">
        <f t="shared" ca="1" si="23"/>
        <v>645</v>
      </c>
      <c r="AH34" s="1">
        <f t="shared" ca="1" si="24"/>
        <v>7.7210812731680753E-3</v>
      </c>
    </row>
    <row r="35" spans="2:34" x14ac:dyDescent="0.25">
      <c r="B35">
        <f t="shared" ca="1" si="0"/>
        <v>889</v>
      </c>
      <c r="C35">
        <f t="shared" ca="1" si="1"/>
        <v>2</v>
      </c>
      <c r="D35">
        <f t="shared" ca="1" si="2"/>
        <v>0.11180127694034056</v>
      </c>
      <c r="F35" s="1">
        <f t="shared" ca="1" si="3"/>
        <v>31</v>
      </c>
      <c r="G35" s="1">
        <f t="shared" ca="1" si="4"/>
        <v>17</v>
      </c>
      <c r="H35" s="1">
        <f t="shared" ca="1" si="5"/>
        <v>12</v>
      </c>
      <c r="I35" s="1"/>
      <c r="J35" s="1">
        <f t="shared" ca="1" si="6"/>
        <v>37</v>
      </c>
      <c r="K35" s="1">
        <f t="shared" ca="1" si="7"/>
        <v>1.1272761443402877</v>
      </c>
      <c r="L35" s="1">
        <f t="shared" ca="1" si="8"/>
        <v>8</v>
      </c>
      <c r="M35" s="1"/>
      <c r="N35" s="1">
        <f t="shared" ca="1" si="9"/>
        <v>950</v>
      </c>
      <c r="O35" s="1">
        <f t="shared" ca="1" si="10"/>
        <v>50</v>
      </c>
      <c r="P35" s="1"/>
      <c r="Q35" s="1">
        <f t="shared" ca="1" si="11"/>
        <v>3.2794658880445913</v>
      </c>
      <c r="R35" s="1">
        <f t="shared" ca="1" si="12"/>
        <v>794</v>
      </c>
      <c r="S35" s="1"/>
      <c r="T35" s="1">
        <f t="shared" ca="1" si="13"/>
        <v>0.19037338499262138</v>
      </c>
      <c r="U35" s="1">
        <f t="shared" ca="1" si="14"/>
        <v>200</v>
      </c>
      <c r="V35" s="1">
        <f t="shared" ca="1" si="15"/>
        <v>6</v>
      </c>
      <c r="W35" s="1"/>
      <c r="X35" s="1">
        <f t="shared" ca="1" si="16"/>
        <v>6.9698041124603796</v>
      </c>
      <c r="Y35" s="1">
        <f t="shared" ca="1" si="17"/>
        <v>0.99503829142635847</v>
      </c>
      <c r="Z35" s="1">
        <f t="shared" ca="1" si="18"/>
        <v>245</v>
      </c>
      <c r="AB35" s="1">
        <f t="shared" ca="1" si="19"/>
        <v>0.69303088993684825</v>
      </c>
      <c r="AC35" s="1">
        <f t="shared" ca="1" si="20"/>
        <v>628</v>
      </c>
      <c r="AD35" s="1">
        <f t="shared" ca="1" si="21"/>
        <v>2.7757332701282436E-5</v>
      </c>
      <c r="AE35" s="1"/>
      <c r="AF35" s="1">
        <f t="shared" ca="1" si="22"/>
        <v>0.28833594910235771</v>
      </c>
      <c r="AG35" s="1">
        <f t="shared" ca="1" si="23"/>
        <v>703</v>
      </c>
      <c r="AH35" s="1">
        <f t="shared" ca="1" si="24"/>
        <v>6.4841712415605436E-3</v>
      </c>
    </row>
    <row r="36" spans="2:34" x14ac:dyDescent="0.25">
      <c r="B36">
        <f t="shared" ca="1" si="0"/>
        <v>759</v>
      </c>
      <c r="C36">
        <f t="shared" ca="1" si="1"/>
        <v>38</v>
      </c>
      <c r="D36">
        <f t="shared" ca="1" si="2"/>
        <v>0.25525680098087078</v>
      </c>
      <c r="F36" s="1">
        <f t="shared" ca="1" si="3"/>
        <v>46</v>
      </c>
      <c r="G36" s="1">
        <f t="shared" ca="1" si="4"/>
        <v>23</v>
      </c>
      <c r="H36" s="1">
        <f t="shared" ca="1" si="5"/>
        <v>13</v>
      </c>
      <c r="I36" s="1"/>
      <c r="J36" s="1">
        <f t="shared" ca="1" si="6"/>
        <v>15</v>
      </c>
      <c r="K36" s="1">
        <f t="shared" ca="1" si="7"/>
        <v>1.8869332902060272</v>
      </c>
      <c r="L36" s="1">
        <f t="shared" ca="1" si="8"/>
        <v>26</v>
      </c>
      <c r="M36" s="1"/>
      <c r="N36" s="1">
        <f t="shared" ca="1" si="9"/>
        <v>341</v>
      </c>
      <c r="O36" s="1">
        <f t="shared" ca="1" si="10"/>
        <v>33</v>
      </c>
      <c r="P36" s="1"/>
      <c r="Q36" s="1">
        <f t="shared" ca="1" si="11"/>
        <v>4.2215853842339204</v>
      </c>
      <c r="R36" s="1">
        <f t="shared" ca="1" si="12"/>
        <v>1171</v>
      </c>
      <c r="S36" s="1"/>
      <c r="T36" s="1">
        <f t="shared" ca="1" si="13"/>
        <v>0.12733612599489164</v>
      </c>
      <c r="U36" s="1">
        <f t="shared" ca="1" si="14"/>
        <v>70</v>
      </c>
      <c r="V36" s="1">
        <f t="shared" ca="1" si="15"/>
        <v>40</v>
      </c>
      <c r="W36" s="1"/>
      <c r="X36" s="1">
        <f t="shared" ca="1" si="16"/>
        <v>0.47179132243178618</v>
      </c>
      <c r="Y36" s="1">
        <f t="shared" ca="1" si="17"/>
        <v>0.42412357168197534</v>
      </c>
      <c r="Z36" s="1">
        <f t="shared" ca="1" si="18"/>
        <v>1143</v>
      </c>
      <c r="AB36" s="1">
        <f t="shared" ca="1" si="19"/>
        <v>0.17923132967432012</v>
      </c>
      <c r="AC36" s="1">
        <f t="shared" ca="1" si="20"/>
        <v>509</v>
      </c>
      <c r="AD36" s="1">
        <f t="shared" ca="1" si="21"/>
        <v>4.2898668644816319E-3</v>
      </c>
      <c r="AE36" s="1"/>
      <c r="AF36" s="1">
        <f t="shared" ca="1" si="22"/>
        <v>0.84003402375147951</v>
      </c>
      <c r="AG36" s="1">
        <f t="shared" ca="1" si="23"/>
        <v>181</v>
      </c>
      <c r="AH36" s="1">
        <f t="shared" ca="1" si="24"/>
        <v>2.3832880580293026E-3</v>
      </c>
    </row>
    <row r="37" spans="2:34" x14ac:dyDescent="0.25">
      <c r="B37">
        <f t="shared" ca="1" si="0"/>
        <v>786</v>
      </c>
      <c r="C37">
        <f t="shared" ca="1" si="1"/>
        <v>9</v>
      </c>
      <c r="D37">
        <f t="shared" ca="1" si="2"/>
        <v>4.3944971322435127E-2</v>
      </c>
      <c r="F37" s="1">
        <f t="shared" ca="1" si="3"/>
        <v>50</v>
      </c>
      <c r="G37" s="1">
        <f t="shared" ca="1" si="4"/>
        <v>9</v>
      </c>
      <c r="H37" s="1">
        <f t="shared" ca="1" si="5"/>
        <v>7</v>
      </c>
      <c r="I37" s="1"/>
      <c r="J37" s="1">
        <f t="shared" ca="1" si="6"/>
        <v>6</v>
      </c>
      <c r="K37" s="1">
        <f t="shared" ca="1" si="7"/>
        <v>1.2576574861394718</v>
      </c>
      <c r="L37" s="1">
        <f t="shared" ca="1" si="8"/>
        <v>35</v>
      </c>
      <c r="M37" s="1"/>
      <c r="N37" s="1">
        <f t="shared" ca="1" si="9"/>
        <v>772</v>
      </c>
      <c r="O37" s="1">
        <f t="shared" ca="1" si="10"/>
        <v>32</v>
      </c>
      <c r="P37" s="1"/>
      <c r="Q37" s="1">
        <f t="shared" ca="1" si="11"/>
        <v>4.0098977718594915</v>
      </c>
      <c r="R37" s="1">
        <f t="shared" ca="1" si="12"/>
        <v>856</v>
      </c>
      <c r="S37" s="1"/>
      <c r="T37" s="1">
        <f t="shared" ca="1" si="13"/>
        <v>9.8409079461106858E-2</v>
      </c>
      <c r="U37" s="1">
        <f t="shared" ca="1" si="14"/>
        <v>86</v>
      </c>
      <c r="V37" s="1">
        <f t="shared" ca="1" si="15"/>
        <v>52</v>
      </c>
      <c r="W37" s="1"/>
      <c r="X37" s="1">
        <f t="shared" ca="1" si="16"/>
        <v>9.0604155402423103</v>
      </c>
      <c r="Y37" s="1">
        <f t="shared" ca="1" si="17"/>
        <v>0.72725777391554303</v>
      </c>
      <c r="Z37" s="1">
        <f t="shared" ca="1" si="18"/>
        <v>330</v>
      </c>
      <c r="AB37" s="1">
        <f t="shared" ca="1" si="19"/>
        <v>0.58328562233330661</v>
      </c>
      <c r="AC37" s="1">
        <f t="shared" ca="1" si="20"/>
        <v>211</v>
      </c>
      <c r="AD37" s="1">
        <f t="shared" ca="1" si="21"/>
        <v>9.7909368796871461E-3</v>
      </c>
      <c r="AE37" s="1"/>
      <c r="AF37" s="1">
        <f t="shared" ca="1" si="22"/>
        <v>0.68930799946297727</v>
      </c>
      <c r="AG37" s="1">
        <f t="shared" ca="1" si="23"/>
        <v>768</v>
      </c>
      <c r="AH37" s="1">
        <f t="shared" ca="1" si="24"/>
        <v>6.3371317101994576E-3</v>
      </c>
    </row>
    <row r="38" spans="2:34" x14ac:dyDescent="0.25">
      <c r="B38">
        <f t="shared" ca="1" si="0"/>
        <v>181</v>
      </c>
      <c r="C38">
        <f t="shared" ca="1" si="1"/>
        <v>16</v>
      </c>
      <c r="D38">
        <f t="shared" ca="1" si="2"/>
        <v>0.11300715511074297</v>
      </c>
      <c r="F38" s="1">
        <f t="shared" ca="1" si="3"/>
        <v>17</v>
      </c>
      <c r="G38" s="1">
        <f t="shared" ca="1" si="4"/>
        <v>21</v>
      </c>
      <c r="H38" s="1">
        <f t="shared" ca="1" si="5"/>
        <v>13</v>
      </c>
      <c r="I38" s="1"/>
      <c r="J38" s="1">
        <f t="shared" ca="1" si="6"/>
        <v>5</v>
      </c>
      <c r="K38" s="1">
        <f t="shared" ca="1" si="7"/>
        <v>2.2980226638033541</v>
      </c>
      <c r="L38" s="1">
        <f t="shared" ca="1" si="8"/>
        <v>21</v>
      </c>
      <c r="M38" s="1"/>
      <c r="N38" s="1">
        <f t="shared" ca="1" si="9"/>
        <v>232</v>
      </c>
      <c r="O38" s="1">
        <f t="shared" ca="1" si="10"/>
        <v>32</v>
      </c>
      <c r="P38" s="1"/>
      <c r="Q38" s="1">
        <f t="shared" ca="1" si="11"/>
        <v>4.1632663933742515</v>
      </c>
      <c r="R38" s="1">
        <f t="shared" ca="1" si="12"/>
        <v>515</v>
      </c>
      <c r="S38" s="1"/>
      <c r="T38" s="1">
        <f t="shared" ca="1" si="13"/>
        <v>0.16917350852120636</v>
      </c>
      <c r="U38" s="1">
        <f t="shared" ca="1" si="14"/>
        <v>353</v>
      </c>
      <c r="V38" s="1">
        <f t="shared" ca="1" si="15"/>
        <v>33</v>
      </c>
      <c r="W38" s="1"/>
      <c r="X38" s="1">
        <f t="shared" ca="1" si="16"/>
        <v>7.1704418017666356</v>
      </c>
      <c r="Y38" s="1">
        <f t="shared" ca="1" si="17"/>
        <v>0.83960741468299638</v>
      </c>
      <c r="Z38" s="1">
        <f t="shared" ca="1" si="18"/>
        <v>965</v>
      </c>
      <c r="AB38" s="1">
        <f t="shared" ca="1" si="19"/>
        <v>0.7152712263623231</v>
      </c>
      <c r="AC38" s="1">
        <f t="shared" ca="1" si="20"/>
        <v>588</v>
      </c>
      <c r="AD38" s="1">
        <f t="shared" ca="1" si="21"/>
        <v>1.0774727644280542E-3</v>
      </c>
      <c r="AE38" s="1"/>
      <c r="AF38" s="1">
        <f t="shared" ca="1" si="22"/>
        <v>0.2483863653860266</v>
      </c>
      <c r="AG38" s="1">
        <f t="shared" ca="1" si="23"/>
        <v>644</v>
      </c>
      <c r="AH38" s="1">
        <f t="shared" ca="1" si="24"/>
        <v>8.6922665980507447E-4</v>
      </c>
    </row>
    <row r="39" spans="2:34" x14ac:dyDescent="0.25">
      <c r="B39">
        <f t="shared" ca="1" si="0"/>
        <v>573</v>
      </c>
      <c r="C39">
        <f t="shared" ca="1" si="1"/>
        <v>42</v>
      </c>
      <c r="D39">
        <f t="shared" ca="1" si="2"/>
        <v>0.28166164153549861</v>
      </c>
      <c r="F39" s="1">
        <f t="shared" ca="1" si="3"/>
        <v>22</v>
      </c>
      <c r="G39" s="1">
        <f t="shared" ca="1" si="4"/>
        <v>11</v>
      </c>
      <c r="H39" s="1">
        <f t="shared" ca="1" si="5"/>
        <v>13</v>
      </c>
      <c r="I39" s="1"/>
      <c r="J39" s="1">
        <f t="shared" ca="1" si="6"/>
        <v>20</v>
      </c>
      <c r="K39" s="1">
        <f t="shared" ca="1" si="7"/>
        <v>2.477133291423864</v>
      </c>
      <c r="L39" s="1">
        <f t="shared" ca="1" si="8"/>
        <v>35</v>
      </c>
      <c r="M39" s="1"/>
      <c r="N39" s="1">
        <f t="shared" ca="1" si="9"/>
        <v>538</v>
      </c>
      <c r="O39" s="1">
        <f t="shared" ca="1" si="10"/>
        <v>12</v>
      </c>
      <c r="P39" s="1"/>
      <c r="Q39" s="1">
        <f t="shared" ca="1" si="11"/>
        <v>3.3633297957791561</v>
      </c>
      <c r="R39" s="1">
        <f t="shared" ca="1" si="12"/>
        <v>879</v>
      </c>
      <c r="S39" s="1"/>
      <c r="T39" s="1">
        <f t="shared" ca="1" si="13"/>
        <v>0.15823134541504125</v>
      </c>
      <c r="U39" s="1">
        <f t="shared" ca="1" si="14"/>
        <v>410</v>
      </c>
      <c r="V39" s="1">
        <f t="shared" ca="1" si="15"/>
        <v>35</v>
      </c>
      <c r="W39" s="1"/>
      <c r="X39" s="1">
        <f t="shared" ca="1" si="16"/>
        <v>4.1348057178950315</v>
      </c>
      <c r="Y39" s="1">
        <f t="shared" ca="1" si="17"/>
        <v>0.27922619799866172</v>
      </c>
      <c r="Z39" s="1">
        <f t="shared" ca="1" si="18"/>
        <v>1047</v>
      </c>
      <c r="AB39" s="1">
        <f t="shared" ca="1" si="19"/>
        <v>0.83252529726539737</v>
      </c>
      <c r="AC39" s="1">
        <f t="shared" ca="1" si="20"/>
        <v>381</v>
      </c>
      <c r="AD39" s="1">
        <f t="shared" ca="1" si="21"/>
        <v>6.4119317780832541E-3</v>
      </c>
      <c r="AE39" s="1"/>
      <c r="AF39" s="1">
        <f t="shared" ca="1" si="22"/>
        <v>0.23518517641194212</v>
      </c>
      <c r="AG39" s="1">
        <f t="shared" ca="1" si="23"/>
        <v>218</v>
      </c>
      <c r="AH39" s="1">
        <f t="shared" ca="1" si="24"/>
        <v>4.6906687244843981E-3</v>
      </c>
    </row>
    <row r="40" spans="2:34" x14ac:dyDescent="0.25">
      <c r="B40">
        <f t="shared" ca="1" si="0"/>
        <v>755</v>
      </c>
      <c r="C40">
        <f t="shared" ca="1" si="1"/>
        <v>13</v>
      </c>
      <c r="D40">
        <f t="shared" ca="1" si="2"/>
        <v>0.23940835780812927</v>
      </c>
      <c r="F40" s="1">
        <f t="shared" ca="1" si="3"/>
        <v>22</v>
      </c>
      <c r="G40" s="1">
        <f t="shared" ca="1" si="4"/>
        <v>2</v>
      </c>
      <c r="H40" s="1">
        <f t="shared" ca="1" si="5"/>
        <v>4</v>
      </c>
      <c r="I40" s="1"/>
      <c r="J40" s="1">
        <f t="shared" ca="1" si="6"/>
        <v>33</v>
      </c>
      <c r="K40" s="1">
        <f t="shared" ca="1" si="7"/>
        <v>1.0998726944229487</v>
      </c>
      <c r="L40" s="1">
        <f t="shared" ca="1" si="8"/>
        <v>21</v>
      </c>
      <c r="M40" s="1"/>
      <c r="N40" s="1">
        <f t="shared" ca="1" si="9"/>
        <v>366</v>
      </c>
      <c r="O40" s="1">
        <f t="shared" ca="1" si="10"/>
        <v>28</v>
      </c>
      <c r="P40" s="1"/>
      <c r="Q40" s="1">
        <f t="shared" ca="1" si="11"/>
        <v>3.0959025249145089</v>
      </c>
      <c r="R40" s="1">
        <f t="shared" ca="1" si="12"/>
        <v>652</v>
      </c>
      <c r="S40" s="1"/>
      <c r="T40" s="1">
        <f t="shared" ca="1" si="13"/>
        <v>0.16438706685979404</v>
      </c>
      <c r="U40" s="1">
        <f t="shared" ca="1" si="14"/>
        <v>434</v>
      </c>
      <c r="V40" s="1">
        <f t="shared" ca="1" si="15"/>
        <v>40</v>
      </c>
      <c r="W40" s="1"/>
      <c r="X40" s="1">
        <f t="shared" ca="1" si="16"/>
        <v>1.9581263184619699</v>
      </c>
      <c r="Y40" s="1">
        <f t="shared" ca="1" si="17"/>
        <v>5.2423780008003663E-2</v>
      </c>
      <c r="Z40" s="1">
        <f t="shared" ca="1" si="18"/>
        <v>1834</v>
      </c>
      <c r="AB40" s="1">
        <f t="shared" ca="1" si="19"/>
        <v>0.64930447117019119</v>
      </c>
      <c r="AC40" s="1">
        <f t="shared" ca="1" si="20"/>
        <v>386</v>
      </c>
      <c r="AD40" s="1">
        <f t="shared" ca="1" si="21"/>
        <v>8.6788379196486767E-3</v>
      </c>
      <c r="AE40" s="1"/>
      <c r="AF40" s="1">
        <f t="shared" ca="1" si="22"/>
        <v>0.81921282434183118</v>
      </c>
      <c r="AG40" s="1">
        <f t="shared" ca="1" si="23"/>
        <v>578</v>
      </c>
      <c r="AH40" s="1">
        <f t="shared" ca="1" si="24"/>
        <v>2.7429561946826128E-4</v>
      </c>
    </row>
    <row r="41" spans="2:34" x14ac:dyDescent="0.25">
      <c r="B41">
        <f t="shared" ca="1" si="0"/>
        <v>360</v>
      </c>
      <c r="C41">
        <f t="shared" ca="1" si="1"/>
        <v>4</v>
      </c>
      <c r="D41">
        <f t="shared" ca="1" si="2"/>
        <v>4.0681941321774003E-2</v>
      </c>
      <c r="F41" s="1">
        <f t="shared" ca="1" si="3"/>
        <v>31</v>
      </c>
      <c r="G41" s="1">
        <f t="shared" ca="1" si="4"/>
        <v>16</v>
      </c>
      <c r="H41" s="1">
        <f t="shared" ca="1" si="5"/>
        <v>14</v>
      </c>
      <c r="I41" s="1"/>
      <c r="J41" s="1">
        <f t="shared" ca="1" si="6"/>
        <v>3</v>
      </c>
      <c r="K41" s="1">
        <f t="shared" ca="1" si="7"/>
        <v>1.5105935983982932</v>
      </c>
      <c r="L41" s="1">
        <f t="shared" ca="1" si="8"/>
        <v>17</v>
      </c>
      <c r="M41" s="1"/>
      <c r="N41" s="1">
        <f t="shared" ca="1" si="9"/>
        <v>743</v>
      </c>
      <c r="O41" s="1">
        <f t="shared" ca="1" si="10"/>
        <v>11</v>
      </c>
      <c r="P41" s="1"/>
      <c r="Q41" s="1">
        <f t="shared" ca="1" si="11"/>
        <v>3.6419764960847587</v>
      </c>
      <c r="R41" s="1">
        <f t="shared" ca="1" si="12"/>
        <v>1136</v>
      </c>
      <c r="S41" s="1"/>
      <c r="T41" s="1">
        <f t="shared" ca="1" si="13"/>
        <v>6.5263302334096357E-2</v>
      </c>
      <c r="U41" s="1">
        <f t="shared" ca="1" si="14"/>
        <v>335</v>
      </c>
      <c r="V41" s="1">
        <f t="shared" ca="1" si="15"/>
        <v>19</v>
      </c>
      <c r="W41" s="1"/>
      <c r="X41" s="1">
        <f t="shared" ca="1" si="16"/>
        <v>1.9555697717416607</v>
      </c>
      <c r="Y41" s="1">
        <f t="shared" ca="1" si="17"/>
        <v>0.53294595077023132</v>
      </c>
      <c r="Z41" s="1">
        <f t="shared" ca="1" si="18"/>
        <v>148</v>
      </c>
      <c r="AB41" s="1">
        <f t="shared" ca="1" si="19"/>
        <v>0.37061009897886432</v>
      </c>
      <c r="AC41" s="1">
        <f t="shared" ca="1" si="20"/>
        <v>866</v>
      </c>
      <c r="AD41" s="1">
        <f t="shared" ca="1" si="21"/>
        <v>1.9704890666182593E-3</v>
      </c>
      <c r="AE41" s="1"/>
      <c r="AF41" s="1">
        <f t="shared" ca="1" si="22"/>
        <v>0.72885158592520927</v>
      </c>
      <c r="AG41" s="1">
        <f t="shared" ca="1" si="23"/>
        <v>523</v>
      </c>
      <c r="AH41" s="1">
        <f t="shared" ca="1" si="24"/>
        <v>4.4961782269187043E-3</v>
      </c>
    </row>
    <row r="42" spans="2:34" x14ac:dyDescent="0.25">
      <c r="B42">
        <f t="shared" ca="1" si="0"/>
        <v>430</v>
      </c>
      <c r="C42">
        <f t="shared" ca="1" si="1"/>
        <v>3</v>
      </c>
      <c r="D42">
        <f t="shared" ca="1" si="2"/>
        <v>8.6478648055157509E-2</v>
      </c>
      <c r="F42" s="1">
        <f t="shared" ca="1" si="3"/>
        <v>8</v>
      </c>
      <c r="G42" s="1">
        <f t="shared" ca="1" si="4"/>
        <v>27</v>
      </c>
      <c r="H42" s="1">
        <f t="shared" ca="1" si="5"/>
        <v>8</v>
      </c>
      <c r="I42" s="1"/>
      <c r="J42" s="1">
        <f t="shared" ca="1" si="6"/>
        <v>2</v>
      </c>
      <c r="K42" s="1">
        <f t="shared" ca="1" si="7"/>
        <v>1.2902717782642739</v>
      </c>
      <c r="L42" s="1">
        <f t="shared" ca="1" si="8"/>
        <v>27</v>
      </c>
      <c r="M42" s="1"/>
      <c r="N42" s="1">
        <f t="shared" ca="1" si="9"/>
        <v>380</v>
      </c>
      <c r="O42" s="1">
        <f t="shared" ca="1" si="10"/>
        <v>16</v>
      </c>
      <c r="P42" s="1"/>
      <c r="Q42" s="1">
        <f t="shared" ca="1" si="11"/>
        <v>4.8441782650809282</v>
      </c>
      <c r="R42" s="1">
        <f t="shared" ca="1" si="12"/>
        <v>449</v>
      </c>
      <c r="S42" s="1"/>
      <c r="T42" s="1">
        <f t="shared" ca="1" si="13"/>
        <v>0.1075770088681529</v>
      </c>
      <c r="U42" s="1">
        <f t="shared" ca="1" si="14"/>
        <v>437</v>
      </c>
      <c r="V42" s="1">
        <f t="shared" ca="1" si="15"/>
        <v>44</v>
      </c>
      <c r="W42" s="1"/>
      <c r="X42" s="1">
        <f t="shared" ca="1" si="16"/>
        <v>3.7505286496877281</v>
      </c>
      <c r="Y42" s="1">
        <f t="shared" ca="1" si="17"/>
        <v>0.57532729598157939</v>
      </c>
      <c r="Z42" s="1">
        <f t="shared" ca="1" si="18"/>
        <v>935</v>
      </c>
      <c r="AB42" s="1">
        <f t="shared" ca="1" si="19"/>
        <v>0.42696156033091842</v>
      </c>
      <c r="AC42" s="1">
        <f t="shared" ca="1" si="20"/>
        <v>717</v>
      </c>
      <c r="AD42" s="1">
        <f t="shared" ca="1" si="21"/>
        <v>5.8437485418673567E-3</v>
      </c>
      <c r="AE42" s="1"/>
      <c r="AF42" s="1">
        <f t="shared" ca="1" si="22"/>
        <v>0.19147493470687352</v>
      </c>
      <c r="AG42" s="1">
        <f t="shared" ca="1" si="23"/>
        <v>498</v>
      </c>
      <c r="AH42" s="1">
        <f t="shared" ca="1" si="24"/>
        <v>7.6632772844993993E-3</v>
      </c>
    </row>
    <row r="43" spans="2:34" x14ac:dyDescent="0.25">
      <c r="B43">
        <f t="shared" ca="1" si="0"/>
        <v>372</v>
      </c>
      <c r="C43">
        <f t="shared" ca="1" si="1"/>
        <v>23</v>
      </c>
      <c r="D43">
        <f t="shared" ca="1" si="2"/>
        <v>3.4119133854599762E-2</v>
      </c>
      <c r="F43" s="1">
        <f t="shared" ca="1" si="3"/>
        <v>22</v>
      </c>
      <c r="G43" s="1">
        <f t="shared" ca="1" si="4"/>
        <v>28</v>
      </c>
      <c r="H43" s="1">
        <f t="shared" ca="1" si="5"/>
        <v>4</v>
      </c>
      <c r="I43" s="1"/>
      <c r="J43" s="1">
        <f t="shared" ca="1" si="6"/>
        <v>12</v>
      </c>
      <c r="K43" s="1">
        <f t="shared" ca="1" si="7"/>
        <v>2.2980172260126239</v>
      </c>
      <c r="L43" s="1">
        <f t="shared" ca="1" si="8"/>
        <v>22</v>
      </c>
      <c r="M43" s="1"/>
      <c r="N43" s="1">
        <f t="shared" ca="1" si="9"/>
        <v>875</v>
      </c>
      <c r="O43" s="1">
        <f t="shared" ca="1" si="10"/>
        <v>41</v>
      </c>
      <c r="P43" s="1"/>
      <c r="Q43" s="1">
        <f t="shared" ca="1" si="11"/>
        <v>0.95489412124679829</v>
      </c>
      <c r="R43" s="1">
        <f t="shared" ca="1" si="12"/>
        <v>282</v>
      </c>
      <c r="S43" s="1"/>
      <c r="T43" s="1">
        <f t="shared" ca="1" si="13"/>
        <v>2.9565390860182207E-2</v>
      </c>
      <c r="U43" s="1">
        <f t="shared" ca="1" si="14"/>
        <v>287</v>
      </c>
      <c r="V43" s="1">
        <f t="shared" ca="1" si="15"/>
        <v>52</v>
      </c>
      <c r="W43" s="1"/>
      <c r="X43" s="1">
        <f t="shared" ca="1" si="16"/>
        <v>7.5944213089839119</v>
      </c>
      <c r="Y43" s="1">
        <f t="shared" ca="1" si="17"/>
        <v>0.91471197401883253</v>
      </c>
      <c r="Z43" s="1">
        <f t="shared" ca="1" si="18"/>
        <v>1159</v>
      </c>
      <c r="AB43" s="1">
        <f t="shared" ca="1" si="19"/>
        <v>0.44597315095523637</v>
      </c>
      <c r="AC43" s="1">
        <f t="shared" ca="1" si="20"/>
        <v>811</v>
      </c>
      <c r="AD43" s="1">
        <f t="shared" ca="1" si="21"/>
        <v>7.1886050590588816E-5</v>
      </c>
      <c r="AE43" s="1"/>
      <c r="AF43" s="1">
        <f t="shared" ca="1" si="22"/>
        <v>0.39522512061988402</v>
      </c>
      <c r="AG43" s="1">
        <f t="shared" ca="1" si="23"/>
        <v>100</v>
      </c>
      <c r="AH43" s="1">
        <f t="shared" ca="1" si="24"/>
        <v>3.9195265051099933E-3</v>
      </c>
    </row>
    <row r="44" spans="2:34" x14ac:dyDescent="0.25">
      <c r="B44">
        <f t="shared" ca="1" si="0"/>
        <v>120</v>
      </c>
      <c r="C44">
        <f t="shared" ca="1" si="1"/>
        <v>21</v>
      </c>
      <c r="D44">
        <f t="shared" ca="1" si="2"/>
        <v>3.6547737380113215E-2</v>
      </c>
      <c r="F44" s="1">
        <f t="shared" ca="1" si="3"/>
        <v>33</v>
      </c>
      <c r="G44" s="1">
        <f t="shared" ca="1" si="4"/>
        <v>6</v>
      </c>
      <c r="H44" s="1">
        <f t="shared" ca="1" si="5"/>
        <v>11</v>
      </c>
      <c r="I44" s="1"/>
      <c r="J44" s="1">
        <f t="shared" ca="1" si="6"/>
        <v>23</v>
      </c>
      <c r="K44" s="1">
        <f t="shared" ca="1" si="7"/>
        <v>2.8747676501375659</v>
      </c>
      <c r="L44" s="1">
        <f t="shared" ca="1" si="8"/>
        <v>20</v>
      </c>
      <c r="M44" s="1"/>
      <c r="N44" s="1">
        <f t="shared" ca="1" si="9"/>
        <v>505</v>
      </c>
      <c r="O44" s="1">
        <f t="shared" ca="1" si="10"/>
        <v>43</v>
      </c>
      <c r="P44" s="1"/>
      <c r="Q44" s="1">
        <f t="shared" ca="1" si="11"/>
        <v>3.0202527669622734</v>
      </c>
      <c r="R44" s="1">
        <f t="shared" ca="1" si="12"/>
        <v>342</v>
      </c>
      <c r="S44" s="1"/>
      <c r="T44" s="1">
        <f t="shared" ca="1" si="13"/>
        <v>1.6830262131548427E-2</v>
      </c>
      <c r="U44" s="1">
        <f t="shared" ca="1" si="14"/>
        <v>168</v>
      </c>
      <c r="V44" s="1">
        <f t="shared" ca="1" si="15"/>
        <v>47</v>
      </c>
      <c r="W44" s="1"/>
      <c r="X44" s="1">
        <f t="shared" ca="1" si="16"/>
        <v>0.9406189991510685</v>
      </c>
      <c r="Y44" s="1">
        <f t="shared" ca="1" si="17"/>
        <v>0.86690844283062563</v>
      </c>
      <c r="Z44" s="1">
        <f t="shared" ca="1" si="18"/>
        <v>1784</v>
      </c>
      <c r="AB44" s="1">
        <f t="shared" ca="1" si="19"/>
        <v>0.36922988480291413</v>
      </c>
      <c r="AC44" s="1">
        <f t="shared" ca="1" si="20"/>
        <v>793</v>
      </c>
      <c r="AD44" s="1">
        <f t="shared" ca="1" si="21"/>
        <v>2.0686273624168959E-3</v>
      </c>
      <c r="AE44" s="1"/>
      <c r="AF44" s="1">
        <f t="shared" ca="1" si="22"/>
        <v>0.52295507100983363</v>
      </c>
      <c r="AG44" s="1">
        <f t="shared" ca="1" si="23"/>
        <v>680</v>
      </c>
      <c r="AH44" s="1">
        <f t="shared" ca="1" si="24"/>
        <v>3.6980148527400257E-4</v>
      </c>
    </row>
    <row r="45" spans="2:34" x14ac:dyDescent="0.25">
      <c r="B45">
        <f t="shared" ca="1" si="0"/>
        <v>243</v>
      </c>
      <c r="C45">
        <f t="shared" ca="1" si="1"/>
        <v>13</v>
      </c>
      <c r="D45">
        <f t="shared" ca="1" si="2"/>
        <v>0.12468429510750383</v>
      </c>
      <c r="F45" s="1">
        <f t="shared" ca="1" si="3"/>
        <v>12</v>
      </c>
      <c r="G45" s="1">
        <f t="shared" ca="1" si="4"/>
        <v>28</v>
      </c>
      <c r="H45" s="1">
        <f t="shared" ca="1" si="5"/>
        <v>15</v>
      </c>
      <c r="I45" s="1"/>
      <c r="J45" s="1">
        <f t="shared" ca="1" si="6"/>
        <v>18</v>
      </c>
      <c r="K45" s="1">
        <f t="shared" ca="1" si="7"/>
        <v>2.6823515015817776</v>
      </c>
      <c r="L45" s="1">
        <f t="shared" ca="1" si="8"/>
        <v>8</v>
      </c>
      <c r="M45" s="1"/>
      <c r="N45" s="1">
        <f t="shared" ca="1" si="9"/>
        <v>364</v>
      </c>
      <c r="O45" s="1">
        <f t="shared" ca="1" si="10"/>
        <v>31</v>
      </c>
      <c r="P45" s="1"/>
      <c r="Q45" s="1">
        <f t="shared" ca="1" si="11"/>
        <v>4.0121528984822188</v>
      </c>
      <c r="R45" s="1">
        <f t="shared" ca="1" si="12"/>
        <v>829</v>
      </c>
      <c r="S45" s="1"/>
      <c r="T45" s="1">
        <f t="shared" ca="1" si="13"/>
        <v>0.1507309183472971</v>
      </c>
      <c r="U45" s="1">
        <f t="shared" ca="1" si="14"/>
        <v>141</v>
      </c>
      <c r="V45" s="1">
        <f t="shared" ca="1" si="15"/>
        <v>9</v>
      </c>
      <c r="W45" s="1"/>
      <c r="X45" s="1">
        <f t="shared" ca="1" si="16"/>
        <v>0.67645431485893415</v>
      </c>
      <c r="Y45" s="1">
        <f t="shared" ca="1" si="17"/>
        <v>0.73210492490551626</v>
      </c>
      <c r="Z45" s="1">
        <f t="shared" ca="1" si="18"/>
        <v>373</v>
      </c>
      <c r="AB45" s="1">
        <f t="shared" ca="1" si="19"/>
        <v>0.97266476560459714</v>
      </c>
      <c r="AC45" s="1">
        <f t="shared" ca="1" si="20"/>
        <v>967</v>
      </c>
      <c r="AD45" s="1">
        <f t="shared" ca="1" si="21"/>
        <v>9.8446679916204104E-3</v>
      </c>
      <c r="AE45" s="1"/>
      <c r="AF45" s="1">
        <f t="shared" ca="1" si="22"/>
        <v>0.71665591493584935</v>
      </c>
      <c r="AG45" s="1">
        <f t="shared" ca="1" si="23"/>
        <v>639</v>
      </c>
      <c r="AH45" s="1">
        <f t="shared" ca="1" si="24"/>
        <v>4.6595397017385985E-3</v>
      </c>
    </row>
    <row r="46" spans="2:34" x14ac:dyDescent="0.25">
      <c r="B46">
        <f t="shared" ca="1" si="0"/>
        <v>273</v>
      </c>
      <c r="C46">
        <f t="shared" ca="1" si="1"/>
        <v>15</v>
      </c>
      <c r="D46">
        <f t="shared" ca="1" si="2"/>
        <v>0.22599205322878957</v>
      </c>
      <c r="F46" s="1">
        <f t="shared" ca="1" si="3"/>
        <v>47</v>
      </c>
      <c r="G46" s="1">
        <f t="shared" ca="1" si="4"/>
        <v>2</v>
      </c>
      <c r="H46" s="1">
        <f t="shared" ca="1" si="5"/>
        <v>5</v>
      </c>
      <c r="I46" s="1"/>
      <c r="J46" s="1">
        <f t="shared" ca="1" si="6"/>
        <v>16</v>
      </c>
      <c r="K46" s="1">
        <f t="shared" ca="1" si="7"/>
        <v>1.22386413503651</v>
      </c>
      <c r="L46" s="1">
        <f t="shared" ca="1" si="8"/>
        <v>27</v>
      </c>
      <c r="M46" s="1"/>
      <c r="N46" s="1">
        <f t="shared" ca="1" si="9"/>
        <v>694</v>
      </c>
      <c r="O46" s="1">
        <f t="shared" ca="1" si="10"/>
        <v>19</v>
      </c>
      <c r="P46" s="1"/>
      <c r="Q46" s="1">
        <f t="shared" ca="1" si="11"/>
        <v>4.2622497848215302</v>
      </c>
      <c r="R46" s="1">
        <f t="shared" ca="1" si="12"/>
        <v>962</v>
      </c>
      <c r="S46" s="1"/>
      <c r="T46" s="1">
        <f t="shared" ca="1" si="13"/>
        <v>0.18236281703084098</v>
      </c>
      <c r="U46" s="1">
        <f t="shared" ca="1" si="14"/>
        <v>397</v>
      </c>
      <c r="V46" s="1">
        <f t="shared" ca="1" si="15"/>
        <v>47</v>
      </c>
      <c r="W46" s="1"/>
      <c r="X46" s="1">
        <f t="shared" ca="1" si="16"/>
        <v>2.0986849442019859</v>
      </c>
      <c r="Y46" s="1">
        <f t="shared" ca="1" si="17"/>
        <v>0.8863809096123999</v>
      </c>
      <c r="Z46" s="1">
        <f t="shared" ca="1" si="18"/>
        <v>1131</v>
      </c>
      <c r="AB46" s="1">
        <f t="shared" ca="1" si="19"/>
        <v>0.99031650657511394</v>
      </c>
      <c r="AC46" s="1">
        <f t="shared" ca="1" si="20"/>
        <v>801</v>
      </c>
      <c r="AD46" s="1">
        <f t="shared" ca="1" si="21"/>
        <v>8.6400340017036463E-4</v>
      </c>
      <c r="AE46" s="1"/>
      <c r="AF46" s="1">
        <f t="shared" ca="1" si="22"/>
        <v>0.74928830085507026</v>
      </c>
      <c r="AG46" s="1">
        <f t="shared" ca="1" si="23"/>
        <v>547</v>
      </c>
      <c r="AH46" s="1">
        <f t="shared" ca="1" si="24"/>
        <v>3.9480261461698014E-3</v>
      </c>
    </row>
    <row r="47" spans="2:34" x14ac:dyDescent="0.25">
      <c r="B47">
        <f t="shared" ca="1" si="0"/>
        <v>439</v>
      </c>
      <c r="C47">
        <f t="shared" ca="1" si="1"/>
        <v>20</v>
      </c>
      <c r="D47">
        <f t="shared" ca="1" si="2"/>
        <v>4.2085611679873201E-2</v>
      </c>
      <c r="F47" s="1">
        <f t="shared" ca="1" si="3"/>
        <v>28</v>
      </c>
      <c r="G47" s="1">
        <f t="shared" ca="1" si="4"/>
        <v>7</v>
      </c>
      <c r="H47" s="1">
        <f t="shared" ca="1" si="5"/>
        <v>7</v>
      </c>
      <c r="I47" s="1"/>
      <c r="J47" s="1">
        <f t="shared" ca="1" si="6"/>
        <v>10</v>
      </c>
      <c r="K47" s="1">
        <f t="shared" ca="1" si="7"/>
        <v>1.9838321269905186</v>
      </c>
      <c r="L47" s="1">
        <f t="shared" ca="1" si="8"/>
        <v>23</v>
      </c>
      <c r="M47" s="1"/>
      <c r="N47" s="1">
        <f t="shared" ca="1" si="9"/>
        <v>471</v>
      </c>
      <c r="O47" s="1">
        <f t="shared" ca="1" si="10"/>
        <v>15</v>
      </c>
      <c r="P47" s="1"/>
      <c r="Q47" s="1">
        <f t="shared" ca="1" si="11"/>
        <v>1.1872674263520584</v>
      </c>
      <c r="R47" s="1">
        <f t="shared" ca="1" si="12"/>
        <v>309</v>
      </c>
      <c r="S47" s="1"/>
      <c r="T47" s="1">
        <f t="shared" ca="1" si="13"/>
        <v>0.16107086213340577</v>
      </c>
      <c r="U47" s="1">
        <f t="shared" ca="1" si="14"/>
        <v>222</v>
      </c>
      <c r="V47" s="1">
        <f t="shared" ca="1" si="15"/>
        <v>46</v>
      </c>
      <c r="W47" s="1"/>
      <c r="X47" s="1">
        <f t="shared" ca="1" si="16"/>
        <v>6.4981071375290025</v>
      </c>
      <c r="Y47" s="1">
        <f t="shared" ca="1" si="17"/>
        <v>0.84298078269378762</v>
      </c>
      <c r="Z47" s="1">
        <f t="shared" ca="1" si="18"/>
        <v>623</v>
      </c>
      <c r="AB47" s="1">
        <f t="shared" ca="1" si="19"/>
        <v>0.33361041183249929</v>
      </c>
      <c r="AC47" s="1">
        <f t="shared" ca="1" si="20"/>
        <v>231</v>
      </c>
      <c r="AD47" s="1">
        <f t="shared" ca="1" si="21"/>
        <v>5.2550975927045506E-3</v>
      </c>
      <c r="AE47" s="1"/>
      <c r="AF47" s="1">
        <f t="shared" ca="1" si="22"/>
        <v>0.72709773926161003</v>
      </c>
      <c r="AG47" s="1">
        <f t="shared" ca="1" si="23"/>
        <v>226</v>
      </c>
      <c r="AH47" s="1">
        <f t="shared" ca="1" si="24"/>
        <v>3.0847058726171639E-4</v>
      </c>
    </row>
    <row r="48" spans="2:34" x14ac:dyDescent="0.25">
      <c r="B48">
        <f t="shared" ca="1" si="0"/>
        <v>897</v>
      </c>
      <c r="C48">
        <f t="shared" ca="1" si="1"/>
        <v>30</v>
      </c>
      <c r="D48">
        <f t="shared" ca="1" si="2"/>
        <v>3.9052823695933492E-2</v>
      </c>
      <c r="F48" s="1">
        <f t="shared" ca="1" si="3"/>
        <v>21</v>
      </c>
      <c r="G48" s="1">
        <f t="shared" ca="1" si="4"/>
        <v>15</v>
      </c>
      <c r="H48" s="1">
        <f t="shared" ca="1" si="5"/>
        <v>10</v>
      </c>
      <c r="I48" s="1"/>
      <c r="J48" s="1">
        <f t="shared" ca="1" si="6"/>
        <v>29</v>
      </c>
      <c r="K48" s="1">
        <f t="shared" ca="1" si="7"/>
        <v>2.6592727979722817</v>
      </c>
      <c r="L48" s="1">
        <f t="shared" ca="1" si="8"/>
        <v>14</v>
      </c>
      <c r="M48" s="1"/>
      <c r="N48" s="1">
        <f t="shared" ca="1" si="9"/>
        <v>435</v>
      </c>
      <c r="O48" s="1">
        <f t="shared" ca="1" si="10"/>
        <v>37</v>
      </c>
      <c r="P48" s="1"/>
      <c r="Q48" s="1">
        <f t="shared" ca="1" si="11"/>
        <v>3.6391442318106848</v>
      </c>
      <c r="R48" s="1">
        <f t="shared" ca="1" si="12"/>
        <v>1009</v>
      </c>
      <c r="S48" s="1"/>
      <c r="T48" s="1">
        <f t="shared" ca="1" si="13"/>
        <v>0.15126525950039094</v>
      </c>
      <c r="U48" s="1">
        <f t="shared" ca="1" si="14"/>
        <v>189</v>
      </c>
      <c r="V48" s="1">
        <f t="shared" ca="1" si="15"/>
        <v>47</v>
      </c>
      <c r="W48" s="1"/>
      <c r="X48" s="1">
        <f t="shared" ca="1" si="16"/>
        <v>5.2911822372140342</v>
      </c>
      <c r="Y48" s="1">
        <f t="shared" ca="1" si="17"/>
        <v>0.79316968470911653</v>
      </c>
      <c r="Z48" s="1">
        <f t="shared" ca="1" si="18"/>
        <v>1698</v>
      </c>
      <c r="AB48" s="1">
        <f t="shared" ca="1" si="19"/>
        <v>0.80881894560989032</v>
      </c>
      <c r="AC48" s="1">
        <f t="shared" ca="1" si="20"/>
        <v>246</v>
      </c>
      <c r="AD48" s="1">
        <f t="shared" ca="1" si="21"/>
        <v>2.7611057395718791E-4</v>
      </c>
      <c r="AE48" s="1"/>
      <c r="AF48" s="1">
        <f t="shared" ca="1" si="22"/>
        <v>0.34503825675302557</v>
      </c>
      <c r="AG48" s="1">
        <f t="shared" ca="1" si="23"/>
        <v>356</v>
      </c>
      <c r="AH48" s="1">
        <f t="shared" ca="1" si="24"/>
        <v>1.7337143978242965E-4</v>
      </c>
    </row>
    <row r="49" spans="2:34" x14ac:dyDescent="0.25">
      <c r="B49">
        <f t="shared" ca="1" si="0"/>
        <v>148</v>
      </c>
      <c r="C49">
        <f t="shared" ca="1" si="1"/>
        <v>10</v>
      </c>
      <c r="D49">
        <f t="shared" ca="1" si="2"/>
        <v>0.13343451454808619</v>
      </c>
      <c r="F49" s="1">
        <f t="shared" ca="1" si="3"/>
        <v>6</v>
      </c>
      <c r="G49" s="1">
        <f t="shared" ca="1" si="4"/>
        <v>7</v>
      </c>
      <c r="H49" s="1">
        <f t="shared" ca="1" si="5"/>
        <v>5</v>
      </c>
      <c r="I49" s="1"/>
      <c r="J49" s="1">
        <f t="shared" ca="1" si="6"/>
        <v>27</v>
      </c>
      <c r="K49" s="1">
        <f t="shared" ca="1" si="7"/>
        <v>1.9523513763584071</v>
      </c>
      <c r="L49" s="1">
        <f t="shared" ca="1" si="8"/>
        <v>18</v>
      </c>
      <c r="M49" s="1"/>
      <c r="N49" s="1">
        <f t="shared" ca="1" si="9"/>
        <v>769</v>
      </c>
      <c r="O49" s="1">
        <f t="shared" ca="1" si="10"/>
        <v>7</v>
      </c>
      <c r="P49" s="1"/>
      <c r="Q49" s="1">
        <f t="shared" ca="1" si="11"/>
        <v>4.9908461119429797</v>
      </c>
      <c r="R49" s="1">
        <f t="shared" ca="1" si="12"/>
        <v>833</v>
      </c>
      <c r="S49" s="1"/>
      <c r="T49" s="1">
        <f t="shared" ca="1" si="13"/>
        <v>7.1220582498632834E-2</v>
      </c>
      <c r="U49" s="1">
        <f t="shared" ca="1" si="14"/>
        <v>236</v>
      </c>
      <c r="V49" s="1">
        <f t="shared" ca="1" si="15"/>
        <v>43</v>
      </c>
      <c r="W49" s="1"/>
      <c r="X49" s="1">
        <f t="shared" ca="1" si="16"/>
        <v>7.9374909226432493</v>
      </c>
      <c r="Y49" s="1">
        <f t="shared" ca="1" si="17"/>
        <v>0.36396843670775741</v>
      </c>
      <c r="Z49" s="1">
        <f t="shared" ca="1" si="18"/>
        <v>1056</v>
      </c>
      <c r="AB49" s="1">
        <f t="shared" ca="1" si="19"/>
        <v>0.49463663773380773</v>
      </c>
      <c r="AC49" s="1">
        <f t="shared" ca="1" si="20"/>
        <v>940</v>
      </c>
      <c r="AD49" s="1">
        <f t="shared" ca="1" si="21"/>
        <v>1.8005913276853767E-3</v>
      </c>
      <c r="AE49" s="1"/>
      <c r="AF49" s="1">
        <f t="shared" ca="1" si="22"/>
        <v>0.74136352341267642</v>
      </c>
      <c r="AG49" s="1">
        <f t="shared" ca="1" si="23"/>
        <v>313</v>
      </c>
      <c r="AH49" s="1">
        <f t="shared" ca="1" si="24"/>
        <v>6.7908984618111328E-3</v>
      </c>
    </row>
    <row r="50" spans="2:34" x14ac:dyDescent="0.25">
      <c r="B50">
        <f t="shared" ca="1" si="0"/>
        <v>651</v>
      </c>
      <c r="C50">
        <f t="shared" ca="1" si="1"/>
        <v>5</v>
      </c>
      <c r="D50">
        <f t="shared" ca="1" si="2"/>
        <v>0.21126949502662548</v>
      </c>
      <c r="F50" s="1">
        <f t="shared" ca="1" si="3"/>
        <v>34</v>
      </c>
      <c r="G50" s="1">
        <f t="shared" ca="1" si="4"/>
        <v>15</v>
      </c>
      <c r="H50" s="1">
        <f t="shared" ca="1" si="5"/>
        <v>4</v>
      </c>
      <c r="I50" s="1"/>
      <c r="J50" s="1">
        <f t="shared" ca="1" si="6"/>
        <v>7</v>
      </c>
      <c r="K50" s="1">
        <f t="shared" ca="1" si="7"/>
        <v>1.9177143266528494</v>
      </c>
      <c r="L50" s="1">
        <f t="shared" ca="1" si="8"/>
        <v>31</v>
      </c>
      <c r="M50" s="1"/>
      <c r="N50" s="1">
        <f t="shared" ca="1" si="9"/>
        <v>272</v>
      </c>
      <c r="O50" s="1">
        <f t="shared" ca="1" si="10"/>
        <v>18</v>
      </c>
      <c r="P50" s="1"/>
      <c r="Q50" s="1">
        <f t="shared" ca="1" si="11"/>
        <v>5.8236193610459452E-2</v>
      </c>
      <c r="R50" s="1">
        <f t="shared" ca="1" si="12"/>
        <v>583</v>
      </c>
      <c r="S50" s="1"/>
      <c r="T50" s="1">
        <f t="shared" ca="1" si="13"/>
        <v>2.9321876511709005E-2</v>
      </c>
      <c r="U50" s="1">
        <f t="shared" ca="1" si="14"/>
        <v>134</v>
      </c>
      <c r="V50" s="1">
        <f t="shared" ca="1" si="15"/>
        <v>49</v>
      </c>
      <c r="W50" s="1"/>
      <c r="X50" s="1">
        <f t="shared" ca="1" si="16"/>
        <v>7.4075258787545781</v>
      </c>
      <c r="Y50" s="1">
        <f t="shared" ca="1" si="17"/>
        <v>0.35211111017474267</v>
      </c>
      <c r="Z50" s="1">
        <f t="shared" ca="1" si="18"/>
        <v>981</v>
      </c>
      <c r="AB50" s="1">
        <f t="shared" ca="1" si="19"/>
        <v>0.69194902543033543</v>
      </c>
      <c r="AC50" s="1">
        <f t="shared" ca="1" si="20"/>
        <v>118</v>
      </c>
      <c r="AD50" s="1">
        <f t="shared" ca="1" si="21"/>
        <v>6.3647688473801242E-3</v>
      </c>
      <c r="AE50" s="1"/>
      <c r="AF50" s="1">
        <f t="shared" ca="1" si="22"/>
        <v>0.17228043234487611</v>
      </c>
      <c r="AG50" s="1">
        <f t="shared" ca="1" si="23"/>
        <v>327</v>
      </c>
      <c r="AH50" s="1">
        <f t="shared" ca="1" si="24"/>
        <v>8.5870968108873718E-3</v>
      </c>
    </row>
    <row r="51" spans="2:34" x14ac:dyDescent="0.25">
      <c r="B51">
        <f t="shared" ca="1" si="0"/>
        <v>15</v>
      </c>
      <c r="C51">
        <f t="shared" ca="1" si="1"/>
        <v>46</v>
      </c>
      <c r="D51">
        <f t="shared" ca="1" si="2"/>
        <v>0.19896923372871325</v>
      </c>
      <c r="F51" s="1">
        <f t="shared" ca="1" si="3"/>
        <v>40</v>
      </c>
      <c r="G51" s="1">
        <f t="shared" ca="1" si="4"/>
        <v>12</v>
      </c>
      <c r="H51" s="1">
        <f t="shared" ca="1" si="5"/>
        <v>1</v>
      </c>
      <c r="I51" s="1"/>
      <c r="J51" s="1">
        <f t="shared" ca="1" si="6"/>
        <v>31</v>
      </c>
      <c r="K51" s="1">
        <f t="shared" ca="1" si="7"/>
        <v>2.5979775176061199</v>
      </c>
      <c r="L51" s="1">
        <f t="shared" ca="1" si="8"/>
        <v>23</v>
      </c>
      <c r="M51" s="1"/>
      <c r="N51" s="1">
        <f t="shared" ca="1" si="9"/>
        <v>276</v>
      </c>
      <c r="O51" s="1">
        <f t="shared" ca="1" si="10"/>
        <v>11</v>
      </c>
      <c r="P51" s="1"/>
      <c r="Q51" s="1">
        <f t="shared" ca="1" si="11"/>
        <v>3.1377900092517512</v>
      </c>
      <c r="R51" s="1">
        <f t="shared" ca="1" si="12"/>
        <v>1037</v>
      </c>
      <c r="S51" s="1"/>
      <c r="T51" s="1">
        <f t="shared" ca="1" si="13"/>
        <v>8.337524870446629E-2</v>
      </c>
      <c r="U51" s="1">
        <f t="shared" ca="1" si="14"/>
        <v>243</v>
      </c>
      <c r="V51" s="1">
        <f t="shared" ca="1" si="15"/>
        <v>18</v>
      </c>
      <c r="W51" s="1"/>
      <c r="X51" s="1">
        <f t="shared" ca="1" si="16"/>
        <v>2.4586150665165118</v>
      </c>
      <c r="Y51" s="1">
        <f t="shared" ca="1" si="17"/>
        <v>0.31344207990971473</v>
      </c>
      <c r="Z51" s="1">
        <f t="shared" ca="1" si="18"/>
        <v>1832</v>
      </c>
      <c r="AB51" s="1">
        <f t="shared" ca="1" si="19"/>
        <v>0.37721968977603682</v>
      </c>
      <c r="AC51" s="1">
        <f t="shared" ca="1" si="20"/>
        <v>478</v>
      </c>
      <c r="AD51" s="1">
        <f t="shared" ca="1" si="21"/>
        <v>4.491668273232682E-3</v>
      </c>
      <c r="AE51" s="1"/>
      <c r="AF51" s="1">
        <f t="shared" ca="1" si="22"/>
        <v>0.48265506649936885</v>
      </c>
      <c r="AG51" s="1">
        <f t="shared" ca="1" si="23"/>
        <v>165</v>
      </c>
      <c r="AH51" s="1">
        <f t="shared" ca="1" si="24"/>
        <v>9.1027503541464931E-3</v>
      </c>
    </row>
    <row r="52" spans="2:34" x14ac:dyDescent="0.25">
      <c r="B52">
        <f t="shared" ca="1" si="0"/>
        <v>852</v>
      </c>
      <c r="C52">
        <f t="shared" ca="1" si="1"/>
        <v>15</v>
      </c>
      <c r="D52">
        <f t="shared" ca="1" si="2"/>
        <v>0.21068482164284713</v>
      </c>
      <c r="F52" s="1">
        <f t="shared" ca="1" si="3"/>
        <v>44</v>
      </c>
      <c r="G52" s="1">
        <f t="shared" ca="1" si="4"/>
        <v>24</v>
      </c>
      <c r="H52" s="1">
        <f t="shared" ca="1" si="5"/>
        <v>10</v>
      </c>
      <c r="I52" s="1"/>
      <c r="J52" s="1">
        <f t="shared" ca="1" si="6"/>
        <v>38</v>
      </c>
      <c r="K52" s="1">
        <f t="shared" ca="1" si="7"/>
        <v>1.3633860965540054</v>
      </c>
      <c r="L52" s="1">
        <f t="shared" ca="1" si="8"/>
        <v>7</v>
      </c>
      <c r="M52" s="1"/>
      <c r="N52" s="1">
        <f t="shared" ca="1" si="9"/>
        <v>710</v>
      </c>
      <c r="O52" s="1">
        <f t="shared" ca="1" si="10"/>
        <v>10</v>
      </c>
      <c r="P52" s="1"/>
      <c r="Q52" s="1">
        <f t="shared" ca="1" si="11"/>
        <v>3.899996104054523</v>
      </c>
      <c r="R52" s="1">
        <f t="shared" ca="1" si="12"/>
        <v>864</v>
      </c>
      <c r="S52" s="1"/>
      <c r="T52" s="1">
        <f t="shared" ca="1" si="13"/>
        <v>4.2981121215625424E-2</v>
      </c>
      <c r="U52" s="1">
        <f t="shared" ca="1" si="14"/>
        <v>100</v>
      </c>
      <c r="V52" s="1">
        <f t="shared" ca="1" si="15"/>
        <v>8</v>
      </c>
      <c r="W52" s="1"/>
      <c r="X52" s="1">
        <f t="shared" ca="1" si="16"/>
        <v>5.7938114872009043</v>
      </c>
      <c r="Y52" s="1">
        <f t="shared" ca="1" si="17"/>
        <v>0.92100254003800908</v>
      </c>
      <c r="Z52" s="1">
        <f t="shared" ca="1" si="18"/>
        <v>268</v>
      </c>
      <c r="AB52" s="1">
        <f t="shared" ca="1" si="19"/>
        <v>0.53125690886920551</v>
      </c>
      <c r="AC52" s="1">
        <f t="shared" ca="1" si="20"/>
        <v>356</v>
      </c>
      <c r="AD52" s="1">
        <f t="shared" ca="1" si="21"/>
        <v>8.0099924221620697E-3</v>
      </c>
      <c r="AE52" s="1"/>
      <c r="AF52" s="1">
        <f t="shared" ca="1" si="22"/>
        <v>0.30633067665736446</v>
      </c>
      <c r="AG52" s="1">
        <f t="shared" ca="1" si="23"/>
        <v>376</v>
      </c>
      <c r="AH52" s="1">
        <f t="shared" ca="1" si="24"/>
        <v>5.9245969276636081E-3</v>
      </c>
    </row>
    <row r="53" spans="2:34" x14ac:dyDescent="0.25">
      <c r="B53">
        <f t="shared" ca="1" si="0"/>
        <v>403</v>
      </c>
      <c r="C53">
        <f t="shared" ca="1" si="1"/>
        <v>21</v>
      </c>
      <c r="D53">
        <f t="shared" ca="1" si="2"/>
        <v>0.17897086462140288</v>
      </c>
      <c r="F53" s="1">
        <f t="shared" ca="1" si="3"/>
        <v>8</v>
      </c>
      <c r="G53" s="1">
        <f t="shared" ca="1" si="4"/>
        <v>24</v>
      </c>
      <c r="H53" s="1">
        <f t="shared" ca="1" si="5"/>
        <v>15</v>
      </c>
      <c r="I53" s="1"/>
      <c r="J53" s="1">
        <f t="shared" ca="1" si="6"/>
        <v>36</v>
      </c>
      <c r="K53" s="1">
        <f t="shared" ca="1" si="7"/>
        <v>2.0052839760393253</v>
      </c>
      <c r="L53" s="1">
        <f t="shared" ca="1" si="8"/>
        <v>2</v>
      </c>
      <c r="M53" s="1"/>
      <c r="N53" s="1">
        <f t="shared" ca="1" si="9"/>
        <v>69</v>
      </c>
      <c r="O53" s="1">
        <f t="shared" ca="1" si="10"/>
        <v>40</v>
      </c>
      <c r="P53" s="1"/>
      <c r="Q53" s="1">
        <f t="shared" ca="1" si="11"/>
        <v>1.2540800580378824</v>
      </c>
      <c r="R53" s="1">
        <f t="shared" ca="1" si="12"/>
        <v>389</v>
      </c>
      <c r="S53" s="1"/>
      <c r="T53" s="1">
        <f t="shared" ca="1" si="13"/>
        <v>8.5101665481711247E-2</v>
      </c>
      <c r="U53" s="1">
        <f t="shared" ca="1" si="14"/>
        <v>296</v>
      </c>
      <c r="V53" s="1">
        <f t="shared" ca="1" si="15"/>
        <v>27</v>
      </c>
      <c r="W53" s="1"/>
      <c r="X53" s="1">
        <f t="shared" ca="1" si="16"/>
        <v>3.9421900820953182</v>
      </c>
      <c r="Y53" s="1">
        <f t="shared" ca="1" si="17"/>
        <v>0.16053357924717299</v>
      </c>
      <c r="Z53" s="1">
        <f t="shared" ca="1" si="18"/>
        <v>1770</v>
      </c>
      <c r="AB53" s="1">
        <f t="shared" ca="1" si="19"/>
        <v>0.41725819726800129</v>
      </c>
      <c r="AC53" s="1">
        <f t="shared" ca="1" si="20"/>
        <v>148</v>
      </c>
      <c r="AD53" s="1">
        <f t="shared" ca="1" si="21"/>
        <v>7.7482199178999381E-3</v>
      </c>
      <c r="AE53" s="1"/>
      <c r="AF53" s="1">
        <f t="shared" ca="1" si="22"/>
        <v>0.37552274271764474</v>
      </c>
      <c r="AG53" s="1">
        <f t="shared" ca="1" si="23"/>
        <v>645</v>
      </c>
      <c r="AH53" s="1">
        <f t="shared" ca="1" si="24"/>
        <v>2.2356706588993612E-3</v>
      </c>
    </row>
    <row r="54" spans="2:34" x14ac:dyDescent="0.25">
      <c r="B54">
        <f t="shared" ca="1" si="0"/>
        <v>944</v>
      </c>
      <c r="C54">
        <f t="shared" ca="1" si="1"/>
        <v>37</v>
      </c>
      <c r="D54">
        <f t="shared" ca="1" si="2"/>
        <v>0.29587652491878941</v>
      </c>
      <c r="F54" s="1">
        <f t="shared" ca="1" si="3"/>
        <v>51</v>
      </c>
      <c r="G54" s="1">
        <f t="shared" ca="1" si="4"/>
        <v>21</v>
      </c>
      <c r="H54" s="1">
        <f t="shared" ca="1" si="5"/>
        <v>15</v>
      </c>
      <c r="I54" s="1"/>
      <c r="J54" s="1">
        <f t="shared" ca="1" si="6"/>
        <v>2</v>
      </c>
      <c r="K54" s="1">
        <f t="shared" ca="1" si="7"/>
        <v>2.8669958681942038</v>
      </c>
      <c r="L54" s="1">
        <f t="shared" ca="1" si="8"/>
        <v>29</v>
      </c>
      <c r="M54" s="1"/>
      <c r="N54" s="1">
        <f t="shared" ca="1" si="9"/>
        <v>674</v>
      </c>
      <c r="O54" s="1">
        <f t="shared" ca="1" si="10"/>
        <v>16</v>
      </c>
      <c r="P54" s="1"/>
      <c r="Q54" s="1">
        <f t="shared" ca="1" si="11"/>
        <v>2.9332706906070221</v>
      </c>
      <c r="R54" s="1">
        <f t="shared" ca="1" si="12"/>
        <v>777</v>
      </c>
      <c r="S54" s="1"/>
      <c r="T54" s="1">
        <f t="shared" ca="1" si="13"/>
        <v>5.7611818108914581E-2</v>
      </c>
      <c r="U54" s="1">
        <f t="shared" ca="1" si="14"/>
        <v>382</v>
      </c>
      <c r="V54" s="1">
        <f t="shared" ca="1" si="15"/>
        <v>14</v>
      </c>
      <c r="W54" s="1"/>
      <c r="X54" s="1">
        <f t="shared" ca="1" si="16"/>
        <v>4.4007710944516703</v>
      </c>
      <c r="Y54" s="1">
        <f t="shared" ca="1" si="17"/>
        <v>0.2985402447083132</v>
      </c>
      <c r="Z54" s="1">
        <f t="shared" ca="1" si="18"/>
        <v>1569</v>
      </c>
      <c r="AB54" s="1">
        <f t="shared" ca="1" si="19"/>
        <v>0.17136040689846299</v>
      </c>
      <c r="AC54" s="1">
        <f t="shared" ca="1" si="20"/>
        <v>629</v>
      </c>
      <c r="AD54" s="1">
        <f t="shared" ca="1" si="21"/>
        <v>9.673072072660327E-3</v>
      </c>
      <c r="AE54" s="1"/>
      <c r="AF54" s="1">
        <f t="shared" ca="1" si="22"/>
        <v>0.47313032108352338</v>
      </c>
      <c r="AG54" s="1">
        <f t="shared" ca="1" si="23"/>
        <v>449</v>
      </c>
      <c r="AH54" s="1">
        <f t="shared" ca="1" si="24"/>
        <v>1.0758864441374051E-3</v>
      </c>
    </row>
    <row r="55" spans="2:34" x14ac:dyDescent="0.25">
      <c r="B55">
        <f t="shared" ca="1" si="0"/>
        <v>713</v>
      </c>
      <c r="C55">
        <f t="shared" ca="1" si="1"/>
        <v>35</v>
      </c>
      <c r="D55">
        <f t="shared" ca="1" si="2"/>
        <v>7.7726838605423898E-2</v>
      </c>
      <c r="F55" s="1">
        <f t="shared" ca="1" si="3"/>
        <v>47</v>
      </c>
      <c r="G55" s="1">
        <f t="shared" ca="1" si="4"/>
        <v>22</v>
      </c>
      <c r="H55" s="1">
        <f t="shared" ca="1" si="5"/>
        <v>15</v>
      </c>
      <c r="I55" s="1"/>
      <c r="J55" s="1">
        <f t="shared" ca="1" si="6"/>
        <v>6</v>
      </c>
      <c r="K55" s="1">
        <f t="shared" ca="1" si="7"/>
        <v>1.8731427648377839</v>
      </c>
      <c r="L55" s="1">
        <f t="shared" ca="1" si="8"/>
        <v>20</v>
      </c>
      <c r="M55" s="1"/>
      <c r="N55" s="1">
        <f t="shared" ca="1" si="9"/>
        <v>94</v>
      </c>
      <c r="O55" s="1">
        <f t="shared" ca="1" si="10"/>
        <v>11</v>
      </c>
      <c r="P55" s="1"/>
      <c r="Q55" s="1">
        <f t="shared" ca="1" si="11"/>
        <v>4.3467175316803282</v>
      </c>
      <c r="R55" s="1">
        <f t="shared" ca="1" si="12"/>
        <v>636</v>
      </c>
      <c r="S55" s="1"/>
      <c r="T55" s="1">
        <f t="shared" ca="1" si="13"/>
        <v>9.3451559186327388E-2</v>
      </c>
      <c r="U55" s="1">
        <f t="shared" ca="1" si="14"/>
        <v>409</v>
      </c>
      <c r="V55" s="1">
        <f t="shared" ca="1" si="15"/>
        <v>39</v>
      </c>
      <c r="W55" s="1"/>
      <c r="X55" s="1">
        <f t="shared" ca="1" si="16"/>
        <v>2.7974095338268827</v>
      </c>
      <c r="Y55" s="1">
        <f t="shared" ca="1" si="17"/>
        <v>0.28001618680529922</v>
      </c>
      <c r="Z55" s="1">
        <f t="shared" ca="1" si="18"/>
        <v>233</v>
      </c>
      <c r="AB55" s="1">
        <f t="shared" ca="1" si="19"/>
        <v>8.58046255609934E-2</v>
      </c>
      <c r="AC55" s="1">
        <f t="shared" ca="1" si="20"/>
        <v>379</v>
      </c>
      <c r="AD55" s="1">
        <f t="shared" ca="1" si="21"/>
        <v>4.3534191749634082E-3</v>
      </c>
      <c r="AE55" s="1"/>
      <c r="AF55" s="1">
        <f t="shared" ca="1" si="22"/>
        <v>0.59465059176796853</v>
      </c>
      <c r="AG55" s="1">
        <f t="shared" ca="1" si="23"/>
        <v>746</v>
      </c>
      <c r="AH55" s="1">
        <f t="shared" ca="1" si="24"/>
        <v>8.1539873157526668E-3</v>
      </c>
    </row>
    <row r="56" spans="2:34" x14ac:dyDescent="0.25">
      <c r="B56">
        <f t="shared" ca="1" si="0"/>
        <v>387</v>
      </c>
      <c r="C56">
        <f t="shared" ca="1" si="1"/>
        <v>28</v>
      </c>
      <c r="D56">
        <f t="shared" ca="1" si="2"/>
        <v>4.7151736686068237E-2</v>
      </c>
      <c r="F56" s="1">
        <f t="shared" ca="1" si="3"/>
        <v>43</v>
      </c>
      <c r="G56" s="1">
        <f t="shared" ca="1" si="4"/>
        <v>28</v>
      </c>
      <c r="H56" s="1">
        <f t="shared" ca="1" si="5"/>
        <v>4</v>
      </c>
      <c r="I56" s="1"/>
      <c r="J56" s="1">
        <f t="shared" ca="1" si="6"/>
        <v>23</v>
      </c>
      <c r="K56" s="1">
        <f t="shared" ca="1" si="7"/>
        <v>2.7255100513485404</v>
      </c>
      <c r="L56" s="1">
        <f t="shared" ca="1" si="8"/>
        <v>33</v>
      </c>
      <c r="M56" s="1"/>
      <c r="N56" s="1">
        <f t="shared" ca="1" si="9"/>
        <v>29</v>
      </c>
      <c r="O56" s="1">
        <f t="shared" ca="1" si="10"/>
        <v>20</v>
      </c>
      <c r="P56" s="1"/>
      <c r="Q56" s="1">
        <f t="shared" ca="1" si="11"/>
        <v>0.1527579140632653</v>
      </c>
      <c r="R56" s="1">
        <f t="shared" ca="1" si="12"/>
        <v>1027</v>
      </c>
      <c r="S56" s="1"/>
      <c r="T56" s="1">
        <f t="shared" ca="1" si="13"/>
        <v>9.0673036856407832E-2</v>
      </c>
      <c r="U56" s="1">
        <f t="shared" ca="1" si="14"/>
        <v>138</v>
      </c>
      <c r="V56" s="1">
        <f t="shared" ca="1" si="15"/>
        <v>8</v>
      </c>
      <c r="W56" s="1"/>
      <c r="X56" s="1">
        <f t="shared" ca="1" si="16"/>
        <v>0.67348274752474169</v>
      </c>
      <c r="Y56" s="1">
        <f t="shared" ca="1" si="17"/>
        <v>0.75613368658558411</v>
      </c>
      <c r="Z56" s="1">
        <f t="shared" ca="1" si="18"/>
        <v>1326</v>
      </c>
      <c r="AB56" s="1">
        <f t="shared" ca="1" si="19"/>
        <v>0.63969382770423988</v>
      </c>
      <c r="AC56" s="1">
        <f t="shared" ca="1" si="20"/>
        <v>144</v>
      </c>
      <c r="AD56" s="1">
        <f t="shared" ca="1" si="21"/>
        <v>7.4116363535657332E-3</v>
      </c>
      <c r="AE56" s="1"/>
      <c r="AF56" s="1">
        <f t="shared" ca="1" si="22"/>
        <v>0.59724034738751708</v>
      </c>
      <c r="AG56" s="1">
        <f t="shared" ca="1" si="23"/>
        <v>129</v>
      </c>
      <c r="AH56" s="1">
        <f t="shared" ca="1" si="24"/>
        <v>7.1786237447817817E-3</v>
      </c>
    </row>
    <row r="57" spans="2:34" x14ac:dyDescent="0.25">
      <c r="B57">
        <f t="shared" ca="1" si="0"/>
        <v>400</v>
      </c>
      <c r="C57">
        <f t="shared" ca="1" si="1"/>
        <v>46</v>
      </c>
      <c r="D57">
        <f t="shared" ca="1" si="2"/>
        <v>7.9043969391491997E-2</v>
      </c>
      <c r="F57" s="1">
        <f t="shared" ca="1" si="3"/>
        <v>10</v>
      </c>
      <c r="G57" s="1">
        <f t="shared" ca="1" si="4"/>
        <v>11</v>
      </c>
      <c r="H57" s="1">
        <f t="shared" ca="1" si="5"/>
        <v>8</v>
      </c>
      <c r="I57" s="1"/>
      <c r="J57" s="1">
        <f t="shared" ca="1" si="6"/>
        <v>32</v>
      </c>
      <c r="K57" s="1">
        <f t="shared" ca="1" si="7"/>
        <v>2.1332102590956961</v>
      </c>
      <c r="L57" s="1">
        <f t="shared" ca="1" si="8"/>
        <v>20</v>
      </c>
      <c r="M57" s="1"/>
      <c r="N57" s="1">
        <f t="shared" ca="1" si="9"/>
        <v>910</v>
      </c>
      <c r="O57" s="1">
        <f t="shared" ca="1" si="10"/>
        <v>39</v>
      </c>
      <c r="P57" s="1"/>
      <c r="Q57" s="1">
        <f t="shared" ca="1" si="11"/>
        <v>3.4721829232052728</v>
      </c>
      <c r="R57" s="1">
        <f t="shared" ca="1" si="12"/>
        <v>208</v>
      </c>
      <c r="S57" s="1"/>
      <c r="T57" s="1">
        <f t="shared" ca="1" si="13"/>
        <v>3.0610203852382271E-2</v>
      </c>
      <c r="U57" s="1">
        <f t="shared" ca="1" si="14"/>
        <v>166</v>
      </c>
      <c r="V57" s="1">
        <f t="shared" ca="1" si="15"/>
        <v>18</v>
      </c>
      <c r="W57" s="1"/>
      <c r="X57" s="1">
        <f t="shared" ca="1" si="16"/>
        <v>2.5534823597327079</v>
      </c>
      <c r="Y57" s="1">
        <f t="shared" ca="1" si="17"/>
        <v>0.90785218765307762</v>
      </c>
      <c r="Z57" s="1">
        <f t="shared" ca="1" si="18"/>
        <v>937</v>
      </c>
      <c r="AB57" s="1">
        <f t="shared" ca="1" si="19"/>
        <v>0.15419065469529394</v>
      </c>
      <c r="AC57" s="1">
        <f t="shared" ca="1" si="20"/>
        <v>911</v>
      </c>
      <c r="AD57" s="1">
        <f t="shared" ca="1" si="21"/>
        <v>3.7179129997188987E-3</v>
      </c>
      <c r="AE57" s="1"/>
      <c r="AF57" s="1">
        <f t="shared" ca="1" si="22"/>
        <v>0.54810611595876413</v>
      </c>
      <c r="AG57" s="1">
        <f t="shared" ca="1" si="23"/>
        <v>157</v>
      </c>
      <c r="AH57" s="1">
        <f t="shared" ca="1" si="24"/>
        <v>8.684597635704493E-3</v>
      </c>
    </row>
    <row r="58" spans="2:34" x14ac:dyDescent="0.25">
      <c r="B58">
        <f t="shared" ca="1" si="0"/>
        <v>922</v>
      </c>
      <c r="C58">
        <f t="shared" ca="1" si="1"/>
        <v>41</v>
      </c>
      <c r="D58">
        <f t="shared" ca="1" si="2"/>
        <v>8.3154255673338617E-2</v>
      </c>
      <c r="F58" s="1">
        <f t="shared" ca="1" si="3"/>
        <v>23</v>
      </c>
      <c r="G58" s="1">
        <f t="shared" ca="1" si="4"/>
        <v>10</v>
      </c>
      <c r="H58" s="1">
        <f t="shared" ca="1" si="5"/>
        <v>1</v>
      </c>
      <c r="I58" s="1"/>
      <c r="J58" s="1">
        <f t="shared" ca="1" si="6"/>
        <v>7</v>
      </c>
      <c r="K58" s="1">
        <f t="shared" ca="1" si="7"/>
        <v>1.9382377168959068</v>
      </c>
      <c r="L58" s="1">
        <f t="shared" ca="1" si="8"/>
        <v>24</v>
      </c>
      <c r="M58" s="1"/>
      <c r="N58" s="1">
        <f t="shared" ca="1" si="9"/>
        <v>355</v>
      </c>
      <c r="O58" s="1">
        <f t="shared" ca="1" si="10"/>
        <v>45</v>
      </c>
      <c r="P58" s="1"/>
      <c r="Q58" s="1">
        <f t="shared" ca="1" si="11"/>
        <v>0.90270508913006242</v>
      </c>
      <c r="R58" s="1">
        <f t="shared" ca="1" si="12"/>
        <v>530</v>
      </c>
      <c r="S58" s="1"/>
      <c r="T58" s="1">
        <f t="shared" ca="1" si="13"/>
        <v>9.6103207358070056E-2</v>
      </c>
      <c r="U58" s="1">
        <f t="shared" ca="1" si="14"/>
        <v>187</v>
      </c>
      <c r="V58" s="1">
        <f t="shared" ca="1" si="15"/>
        <v>27</v>
      </c>
      <c r="W58" s="1"/>
      <c r="X58" s="1">
        <f t="shared" ca="1" si="16"/>
        <v>0.46219179204737282</v>
      </c>
      <c r="Y58" s="1">
        <f t="shared" ca="1" si="17"/>
        <v>0.67661745298766773</v>
      </c>
      <c r="Z58" s="1">
        <f t="shared" ca="1" si="18"/>
        <v>1933</v>
      </c>
      <c r="AB58" s="1">
        <f t="shared" ca="1" si="19"/>
        <v>0.87481104012201016</v>
      </c>
      <c r="AC58" s="1">
        <f t="shared" ca="1" si="20"/>
        <v>642</v>
      </c>
      <c r="AD58" s="1">
        <f t="shared" ca="1" si="21"/>
        <v>6.491236128222052E-3</v>
      </c>
      <c r="AE58" s="1"/>
      <c r="AF58" s="1">
        <f t="shared" ca="1" si="22"/>
        <v>0.36200568840769065</v>
      </c>
      <c r="AG58" s="1">
        <f t="shared" ca="1" si="23"/>
        <v>930</v>
      </c>
      <c r="AH58" s="1">
        <f t="shared" ca="1" si="24"/>
        <v>3.172553264384662E-3</v>
      </c>
    </row>
    <row r="59" spans="2:34" x14ac:dyDescent="0.25">
      <c r="B59">
        <f t="shared" ca="1" si="0"/>
        <v>255</v>
      </c>
      <c r="C59">
        <f t="shared" ca="1" si="1"/>
        <v>31</v>
      </c>
      <c r="D59">
        <f t="shared" ca="1" si="2"/>
        <v>3.5615144829240344E-2</v>
      </c>
      <c r="F59" s="1">
        <f t="shared" ca="1" si="3"/>
        <v>49</v>
      </c>
      <c r="G59" s="1">
        <f t="shared" ca="1" si="4"/>
        <v>25</v>
      </c>
      <c r="H59" s="1">
        <f t="shared" ca="1" si="5"/>
        <v>10</v>
      </c>
      <c r="I59" s="1"/>
      <c r="J59" s="1">
        <f t="shared" ca="1" si="6"/>
        <v>14</v>
      </c>
      <c r="K59" s="1">
        <f t="shared" ca="1" si="7"/>
        <v>1.4582456492279818</v>
      </c>
      <c r="L59" s="1">
        <f t="shared" ca="1" si="8"/>
        <v>33</v>
      </c>
      <c r="M59" s="1"/>
      <c r="N59" s="1">
        <f t="shared" ca="1" si="9"/>
        <v>284</v>
      </c>
      <c r="O59" s="1">
        <f t="shared" ca="1" si="10"/>
        <v>37</v>
      </c>
      <c r="P59" s="1"/>
      <c r="Q59" s="1">
        <f t="shared" ca="1" si="11"/>
        <v>2.9606514650958982</v>
      </c>
      <c r="R59" s="1">
        <f t="shared" ca="1" si="12"/>
        <v>703</v>
      </c>
      <c r="S59" s="1"/>
      <c r="T59" s="1">
        <f t="shared" ca="1" si="13"/>
        <v>3.2394904082099545E-2</v>
      </c>
      <c r="U59" s="1">
        <f t="shared" ca="1" si="14"/>
        <v>129</v>
      </c>
      <c r="V59" s="1">
        <f t="shared" ca="1" si="15"/>
        <v>35</v>
      </c>
      <c r="W59" s="1"/>
      <c r="X59" s="1">
        <f t="shared" ca="1" si="16"/>
        <v>9.6591462468110532</v>
      </c>
      <c r="Y59" s="1">
        <f t="shared" ca="1" si="17"/>
        <v>0.65702744509555533</v>
      </c>
      <c r="Z59" s="1">
        <f t="shared" ca="1" si="18"/>
        <v>946</v>
      </c>
      <c r="AB59" s="1">
        <f t="shared" ca="1" si="19"/>
        <v>0.27569767122504413</v>
      </c>
      <c r="AC59" s="1">
        <f t="shared" ca="1" si="20"/>
        <v>307</v>
      </c>
      <c r="AD59" s="1">
        <f t="shared" ca="1" si="21"/>
        <v>4.570697661919183E-3</v>
      </c>
      <c r="AE59" s="1"/>
      <c r="AF59" s="1">
        <f t="shared" ca="1" si="22"/>
        <v>0.67528598679189566</v>
      </c>
      <c r="AG59" s="1">
        <f t="shared" ca="1" si="23"/>
        <v>869</v>
      </c>
      <c r="AH59" s="1">
        <f t="shared" ca="1" si="24"/>
        <v>1.7214171077335005E-3</v>
      </c>
    </row>
    <row r="60" spans="2:34" x14ac:dyDescent="0.25">
      <c r="B60">
        <f t="shared" ca="1" si="0"/>
        <v>136</v>
      </c>
      <c r="C60">
        <f t="shared" ca="1" si="1"/>
        <v>41</v>
      </c>
      <c r="D60">
        <f t="shared" ca="1" si="2"/>
        <v>0.22755323314636405</v>
      </c>
      <c r="F60" s="1">
        <f t="shared" ca="1" si="3"/>
        <v>4</v>
      </c>
      <c r="G60" s="1">
        <f t="shared" ca="1" si="4"/>
        <v>23</v>
      </c>
      <c r="H60" s="1">
        <f t="shared" ca="1" si="5"/>
        <v>7</v>
      </c>
      <c r="I60" s="1"/>
      <c r="J60" s="1">
        <f t="shared" ca="1" si="6"/>
        <v>8</v>
      </c>
      <c r="K60" s="1">
        <f t="shared" ca="1" si="7"/>
        <v>1.0240167324915697</v>
      </c>
      <c r="L60" s="1">
        <f t="shared" ca="1" si="8"/>
        <v>27</v>
      </c>
      <c r="M60" s="1"/>
      <c r="N60" s="1">
        <f t="shared" ca="1" si="9"/>
        <v>644</v>
      </c>
      <c r="O60" s="1">
        <f t="shared" ca="1" si="10"/>
        <v>15</v>
      </c>
      <c r="P60" s="1"/>
      <c r="Q60" s="1">
        <f t="shared" ca="1" si="11"/>
        <v>2.8689444171410625</v>
      </c>
      <c r="R60" s="1">
        <f t="shared" ca="1" si="12"/>
        <v>776</v>
      </c>
      <c r="S60" s="1"/>
      <c r="T60" s="1">
        <f t="shared" ca="1" si="13"/>
        <v>0.16714166603222089</v>
      </c>
      <c r="U60" s="1">
        <f t="shared" ca="1" si="14"/>
        <v>204</v>
      </c>
      <c r="V60" s="1">
        <f t="shared" ca="1" si="15"/>
        <v>29</v>
      </c>
      <c r="W60" s="1"/>
      <c r="X60" s="1">
        <f t="shared" ca="1" si="16"/>
        <v>4.5433371214591141</v>
      </c>
      <c r="Y60" s="1">
        <f t="shared" ca="1" si="17"/>
        <v>6.2321319061055411E-2</v>
      </c>
      <c r="Z60" s="1">
        <f t="shared" ca="1" si="18"/>
        <v>1461</v>
      </c>
      <c r="AB60" s="1">
        <f t="shared" ca="1" si="19"/>
        <v>0.92370910572715281</v>
      </c>
      <c r="AC60" s="1">
        <f t="shared" ca="1" si="20"/>
        <v>110</v>
      </c>
      <c r="AD60" s="1">
        <f t="shared" ca="1" si="21"/>
        <v>6.0448981475466135E-4</v>
      </c>
      <c r="AE60" s="1"/>
      <c r="AF60" s="1">
        <f t="shared" ca="1" si="22"/>
        <v>0.57604499212453264</v>
      </c>
      <c r="AG60" s="1">
        <f t="shared" ca="1" si="23"/>
        <v>353</v>
      </c>
      <c r="AH60" s="1">
        <f t="shared" ca="1" si="24"/>
        <v>1.6971674005875534E-3</v>
      </c>
    </row>
    <row r="61" spans="2:34" x14ac:dyDescent="0.25">
      <c r="B61">
        <f t="shared" ca="1" si="0"/>
        <v>825</v>
      </c>
      <c r="C61">
        <f t="shared" ca="1" si="1"/>
        <v>49</v>
      </c>
      <c r="D61">
        <f t="shared" ca="1" si="2"/>
        <v>3.022373458830227E-2</v>
      </c>
      <c r="F61" s="1">
        <f t="shared" ca="1" si="3"/>
        <v>45</v>
      </c>
      <c r="G61" s="1">
        <f t="shared" ca="1" si="4"/>
        <v>29</v>
      </c>
      <c r="H61" s="1">
        <f t="shared" ca="1" si="5"/>
        <v>9</v>
      </c>
      <c r="I61" s="1"/>
      <c r="J61" s="1">
        <f t="shared" ca="1" si="6"/>
        <v>4</v>
      </c>
      <c r="K61" s="1">
        <f t="shared" ca="1" si="7"/>
        <v>2.8264856760797157</v>
      </c>
      <c r="L61" s="1">
        <f t="shared" ca="1" si="8"/>
        <v>14</v>
      </c>
      <c r="M61" s="1"/>
      <c r="N61" s="1">
        <f t="shared" ca="1" si="9"/>
        <v>872</v>
      </c>
      <c r="O61" s="1">
        <f t="shared" ca="1" si="10"/>
        <v>33</v>
      </c>
      <c r="P61" s="1"/>
      <c r="Q61" s="1">
        <f t="shared" ca="1" si="11"/>
        <v>1.3343788780659234</v>
      </c>
      <c r="R61" s="1">
        <f t="shared" ca="1" si="12"/>
        <v>815</v>
      </c>
      <c r="S61" s="1"/>
      <c r="T61" s="1">
        <f t="shared" ca="1" si="13"/>
        <v>0.1208312721493256</v>
      </c>
      <c r="U61" s="1">
        <f t="shared" ca="1" si="14"/>
        <v>184</v>
      </c>
      <c r="V61" s="1">
        <f t="shared" ca="1" si="15"/>
        <v>52</v>
      </c>
      <c r="W61" s="1"/>
      <c r="X61" s="1">
        <f t="shared" ca="1" si="16"/>
        <v>8.1761715098587082</v>
      </c>
      <c r="Y61" s="1">
        <f t="shared" ca="1" si="17"/>
        <v>0.74731244876583003</v>
      </c>
      <c r="Z61" s="1">
        <f t="shared" ca="1" si="18"/>
        <v>791</v>
      </c>
      <c r="AB61" s="1">
        <f t="shared" ca="1" si="19"/>
        <v>0.95652199977974128</v>
      </c>
      <c r="AC61" s="1">
        <f t="shared" ca="1" si="20"/>
        <v>164</v>
      </c>
      <c r="AD61" s="1">
        <f t="shared" ca="1" si="21"/>
        <v>6.4283273430801001E-3</v>
      </c>
      <c r="AE61" s="1"/>
      <c r="AF61" s="1">
        <f t="shared" ca="1" si="22"/>
        <v>0.74396539636800618</v>
      </c>
      <c r="AG61" s="1">
        <f t="shared" ca="1" si="23"/>
        <v>770</v>
      </c>
      <c r="AH61" s="1">
        <f t="shared" ca="1" si="24"/>
        <v>6.0394323728983458E-3</v>
      </c>
    </row>
    <row r="62" spans="2:34" x14ac:dyDescent="0.25">
      <c r="B62">
        <f t="shared" ca="1" si="0"/>
        <v>458</v>
      </c>
      <c r="C62">
        <f t="shared" ca="1" si="1"/>
        <v>49</v>
      </c>
      <c r="D62">
        <f t="shared" ca="1" si="2"/>
        <v>7.7319999943337533E-2</v>
      </c>
      <c r="F62" s="1">
        <f t="shared" ca="1" si="3"/>
        <v>43</v>
      </c>
      <c r="G62" s="1">
        <f t="shared" ca="1" si="4"/>
        <v>21</v>
      </c>
      <c r="H62" s="1">
        <f t="shared" ca="1" si="5"/>
        <v>13</v>
      </c>
      <c r="I62" s="1"/>
      <c r="J62" s="1">
        <f t="shared" ca="1" si="6"/>
        <v>28</v>
      </c>
      <c r="K62" s="1">
        <f t="shared" ca="1" si="7"/>
        <v>2.3094706683930393</v>
      </c>
      <c r="L62" s="1">
        <f t="shared" ca="1" si="8"/>
        <v>32</v>
      </c>
      <c r="M62" s="1"/>
      <c r="N62" s="1">
        <f t="shared" ca="1" si="9"/>
        <v>927</v>
      </c>
      <c r="O62" s="1">
        <f t="shared" ca="1" si="10"/>
        <v>30</v>
      </c>
      <c r="P62" s="1"/>
      <c r="Q62" s="1">
        <f t="shared" ca="1" si="11"/>
        <v>2.3950122036947561</v>
      </c>
      <c r="R62" s="1">
        <f t="shared" ca="1" si="12"/>
        <v>741</v>
      </c>
      <c r="S62" s="1"/>
      <c r="T62" s="1">
        <f t="shared" ca="1" si="13"/>
        <v>8.5235598221455502E-2</v>
      </c>
      <c r="U62" s="1">
        <f t="shared" ca="1" si="14"/>
        <v>337</v>
      </c>
      <c r="V62" s="1">
        <f t="shared" ca="1" si="15"/>
        <v>32</v>
      </c>
      <c r="W62" s="1"/>
      <c r="X62" s="1">
        <f t="shared" ca="1" si="16"/>
        <v>6.9729837662546688</v>
      </c>
      <c r="Y62" s="1">
        <f t="shared" ca="1" si="17"/>
        <v>0.49671892448773169</v>
      </c>
      <c r="Z62" s="1">
        <f t="shared" ca="1" si="18"/>
        <v>203</v>
      </c>
      <c r="AB62" s="1">
        <f t="shared" ca="1" si="19"/>
        <v>0.76603692720282179</v>
      </c>
      <c r="AC62" s="1">
        <f t="shared" ca="1" si="20"/>
        <v>785</v>
      </c>
      <c r="AD62" s="1">
        <f t="shared" ca="1" si="21"/>
        <v>4.0968528580586873E-3</v>
      </c>
      <c r="AE62" s="1"/>
      <c r="AF62" s="1">
        <f t="shared" ca="1" si="22"/>
        <v>0.16211732692661293</v>
      </c>
      <c r="AG62" s="1">
        <f t="shared" ca="1" si="23"/>
        <v>922</v>
      </c>
      <c r="AH62" s="1">
        <f t="shared" ca="1" si="24"/>
        <v>2.0387162617336151E-3</v>
      </c>
    </row>
    <row r="63" spans="2:34" x14ac:dyDescent="0.25">
      <c r="B63">
        <f t="shared" ca="1" si="0"/>
        <v>441</v>
      </c>
      <c r="C63">
        <f t="shared" ca="1" si="1"/>
        <v>42</v>
      </c>
      <c r="D63">
        <f t="shared" ca="1" si="2"/>
        <v>0.22655728411387716</v>
      </c>
      <c r="F63" s="1">
        <f t="shared" ca="1" si="3"/>
        <v>39</v>
      </c>
      <c r="G63" s="1">
        <f t="shared" ca="1" si="4"/>
        <v>7</v>
      </c>
      <c r="H63" s="1">
        <f t="shared" ca="1" si="5"/>
        <v>2</v>
      </c>
      <c r="I63" s="1"/>
      <c r="J63" s="1">
        <f t="shared" ca="1" si="6"/>
        <v>16</v>
      </c>
      <c r="K63" s="1">
        <f t="shared" ca="1" si="7"/>
        <v>1.1261523402979721</v>
      </c>
      <c r="L63" s="1">
        <f t="shared" ca="1" si="8"/>
        <v>9</v>
      </c>
      <c r="M63" s="1"/>
      <c r="N63" s="1">
        <f t="shared" ca="1" si="9"/>
        <v>543</v>
      </c>
      <c r="O63" s="1">
        <f t="shared" ca="1" si="10"/>
        <v>25</v>
      </c>
      <c r="P63" s="1"/>
      <c r="Q63" s="1">
        <f t="shared" ca="1" si="11"/>
        <v>2.6927254294301277</v>
      </c>
      <c r="R63" s="1">
        <f t="shared" ca="1" si="12"/>
        <v>377</v>
      </c>
      <c r="S63" s="1"/>
      <c r="T63" s="1">
        <f t="shared" ca="1" si="13"/>
        <v>1.1890061530732403E-2</v>
      </c>
      <c r="U63" s="1">
        <f t="shared" ca="1" si="14"/>
        <v>161</v>
      </c>
      <c r="V63" s="1">
        <f t="shared" ca="1" si="15"/>
        <v>7</v>
      </c>
      <c r="W63" s="1"/>
      <c r="X63" s="1">
        <f t="shared" ca="1" si="16"/>
        <v>9.0377522229658886</v>
      </c>
      <c r="Y63" s="1">
        <f t="shared" ca="1" si="17"/>
        <v>0.73239522512731436</v>
      </c>
      <c r="Z63" s="1">
        <f t="shared" ca="1" si="18"/>
        <v>983</v>
      </c>
      <c r="AB63" s="1">
        <f t="shared" ca="1" si="19"/>
        <v>0.10458632524161124</v>
      </c>
      <c r="AC63" s="1">
        <f t="shared" ca="1" si="20"/>
        <v>585</v>
      </c>
      <c r="AD63" s="1">
        <f t="shared" ca="1" si="21"/>
        <v>6.1737674493539786E-3</v>
      </c>
      <c r="AE63" s="1"/>
      <c r="AF63" s="1">
        <f t="shared" ca="1" si="22"/>
        <v>0.84972193113600392</v>
      </c>
      <c r="AG63" s="1">
        <f t="shared" ca="1" si="23"/>
        <v>620</v>
      </c>
      <c r="AH63" s="1">
        <f t="shared" ca="1" si="24"/>
        <v>1.8447219176056062E-3</v>
      </c>
    </row>
    <row r="64" spans="2:34" x14ac:dyDescent="0.25">
      <c r="B64">
        <f t="shared" ca="1" si="0"/>
        <v>767</v>
      </c>
      <c r="C64">
        <f t="shared" ca="1" si="1"/>
        <v>35</v>
      </c>
      <c r="D64">
        <f t="shared" ca="1" si="2"/>
        <v>8.7371287387940574E-2</v>
      </c>
      <c r="F64" s="1">
        <f t="shared" ca="1" si="3"/>
        <v>24</v>
      </c>
      <c r="G64" s="1">
        <f t="shared" ca="1" si="4"/>
        <v>6</v>
      </c>
      <c r="H64" s="1">
        <f t="shared" ca="1" si="5"/>
        <v>12</v>
      </c>
      <c r="I64" s="1"/>
      <c r="J64" s="1">
        <f t="shared" ca="1" si="6"/>
        <v>29</v>
      </c>
      <c r="K64" s="1">
        <f t="shared" ca="1" si="7"/>
        <v>2.5908227197339659</v>
      </c>
      <c r="L64" s="1">
        <f t="shared" ca="1" si="8"/>
        <v>32</v>
      </c>
      <c r="M64" s="1"/>
      <c r="N64" s="1">
        <f t="shared" ca="1" si="9"/>
        <v>852</v>
      </c>
      <c r="O64" s="1">
        <f t="shared" ca="1" si="10"/>
        <v>48</v>
      </c>
      <c r="P64" s="1"/>
      <c r="Q64" s="1">
        <f t="shared" ca="1" si="11"/>
        <v>1.4334536592550979</v>
      </c>
      <c r="R64" s="1">
        <f t="shared" ca="1" si="12"/>
        <v>898</v>
      </c>
      <c r="S64" s="1"/>
      <c r="T64" s="1">
        <f t="shared" ca="1" si="13"/>
        <v>0.15804351317750728</v>
      </c>
      <c r="U64" s="1">
        <f t="shared" ca="1" si="14"/>
        <v>253</v>
      </c>
      <c r="V64" s="1">
        <f t="shared" ca="1" si="15"/>
        <v>7</v>
      </c>
      <c r="W64" s="1"/>
      <c r="X64" s="1">
        <f t="shared" ca="1" si="16"/>
        <v>1.1166240255066318</v>
      </c>
      <c r="Y64" s="1">
        <f t="shared" ca="1" si="17"/>
        <v>0.33728936458063985</v>
      </c>
      <c r="Z64" s="1">
        <f t="shared" ca="1" si="18"/>
        <v>1780</v>
      </c>
      <c r="AB64" s="1">
        <f t="shared" ca="1" si="19"/>
        <v>0.12136070170877486</v>
      </c>
      <c r="AC64" s="1">
        <f t="shared" ca="1" si="20"/>
        <v>576</v>
      </c>
      <c r="AD64" s="1">
        <f t="shared" ca="1" si="21"/>
        <v>2.8892991377022399E-3</v>
      </c>
      <c r="AE64" s="1"/>
      <c r="AF64" s="1">
        <f t="shared" ca="1" si="22"/>
        <v>0.26096535876893001</v>
      </c>
      <c r="AG64" s="1">
        <f t="shared" ca="1" si="23"/>
        <v>728</v>
      </c>
      <c r="AH64" s="1">
        <f t="shared" ca="1" si="24"/>
        <v>5.2676169648081935E-3</v>
      </c>
    </row>
    <row r="65" spans="2:34" x14ac:dyDescent="0.25">
      <c r="B65">
        <f t="shared" ca="1" si="0"/>
        <v>194</v>
      </c>
      <c r="C65">
        <f t="shared" ca="1" si="1"/>
        <v>38</v>
      </c>
      <c r="D65">
        <f t="shared" ca="1" si="2"/>
        <v>0.17019060522016768</v>
      </c>
      <c r="F65" s="1">
        <f t="shared" ca="1" si="3"/>
        <v>38</v>
      </c>
      <c r="G65" s="1">
        <f t="shared" ca="1" si="4"/>
        <v>15</v>
      </c>
      <c r="H65" s="1">
        <f t="shared" ca="1" si="5"/>
        <v>8</v>
      </c>
      <c r="I65" s="1"/>
      <c r="J65" s="1">
        <f t="shared" ca="1" si="6"/>
        <v>29</v>
      </c>
      <c r="K65" s="1">
        <f t="shared" ca="1" si="7"/>
        <v>2.3887941742292833</v>
      </c>
      <c r="L65" s="1">
        <f t="shared" ca="1" si="8"/>
        <v>19</v>
      </c>
      <c r="M65" s="1"/>
      <c r="N65" s="1">
        <f t="shared" ca="1" si="9"/>
        <v>52</v>
      </c>
      <c r="O65" s="1">
        <f t="shared" ca="1" si="10"/>
        <v>49</v>
      </c>
      <c r="P65" s="1"/>
      <c r="Q65" s="1">
        <f t="shared" ca="1" si="11"/>
        <v>4.2703181070394534</v>
      </c>
      <c r="R65" s="1">
        <f t="shared" ca="1" si="12"/>
        <v>624</v>
      </c>
      <c r="S65" s="1"/>
      <c r="T65" s="1">
        <f t="shared" ca="1" si="13"/>
        <v>0.10269160260334034</v>
      </c>
      <c r="U65" s="1">
        <f t="shared" ca="1" si="14"/>
        <v>363</v>
      </c>
      <c r="V65" s="1">
        <f t="shared" ca="1" si="15"/>
        <v>46</v>
      </c>
      <c r="W65" s="1"/>
      <c r="X65" s="1">
        <f t="shared" ca="1" si="16"/>
        <v>1.7797545275783879</v>
      </c>
      <c r="Y65" s="1">
        <f t="shared" ca="1" si="17"/>
        <v>0.87390165579497892</v>
      </c>
      <c r="Z65" s="1">
        <f t="shared" ca="1" si="18"/>
        <v>831</v>
      </c>
      <c r="AB65" s="1">
        <f t="shared" ca="1" si="19"/>
        <v>7.3613590469834067E-2</v>
      </c>
      <c r="AC65" s="1">
        <f t="shared" ca="1" si="20"/>
        <v>415</v>
      </c>
      <c r="AD65" s="1">
        <f t="shared" ca="1" si="21"/>
        <v>6.3986451205318314E-4</v>
      </c>
      <c r="AE65" s="1"/>
      <c r="AF65" s="1">
        <f t="shared" ca="1" si="22"/>
        <v>0.85074989289051606</v>
      </c>
      <c r="AG65" s="1">
        <f t="shared" ca="1" si="23"/>
        <v>404</v>
      </c>
      <c r="AH65" s="1">
        <f t="shared" ca="1" si="24"/>
        <v>5.2262514328804072E-3</v>
      </c>
    </row>
    <row r="66" spans="2:34" x14ac:dyDescent="0.25">
      <c r="B66">
        <f t="shared" ca="1" si="0"/>
        <v>906</v>
      </c>
      <c r="C66">
        <f t="shared" ca="1" si="1"/>
        <v>42</v>
      </c>
      <c r="D66">
        <f t="shared" ca="1" si="2"/>
        <v>0.1288772360016992</v>
      </c>
      <c r="F66" s="1">
        <f t="shared" ca="1" si="3"/>
        <v>51</v>
      </c>
      <c r="G66" s="1">
        <f t="shared" ca="1" si="4"/>
        <v>26</v>
      </c>
      <c r="H66" s="1">
        <f t="shared" ca="1" si="5"/>
        <v>12</v>
      </c>
      <c r="I66" s="1"/>
      <c r="J66" s="1">
        <f t="shared" ca="1" si="6"/>
        <v>20</v>
      </c>
      <c r="K66" s="1">
        <f t="shared" ca="1" si="7"/>
        <v>1.8636845247416252</v>
      </c>
      <c r="L66" s="1">
        <f t="shared" ca="1" si="8"/>
        <v>32</v>
      </c>
      <c r="M66" s="1"/>
      <c r="N66" s="1">
        <f t="shared" ca="1" si="9"/>
        <v>832</v>
      </c>
      <c r="O66" s="1">
        <f t="shared" ca="1" si="10"/>
        <v>8</v>
      </c>
      <c r="P66" s="1"/>
      <c r="Q66" s="1">
        <f t="shared" ca="1" si="11"/>
        <v>2.3290818552727188</v>
      </c>
      <c r="R66" s="1">
        <f t="shared" ca="1" si="12"/>
        <v>924</v>
      </c>
      <c r="S66" s="1"/>
      <c r="T66" s="1">
        <f t="shared" ca="1" si="13"/>
        <v>5.7491164786305116E-2</v>
      </c>
      <c r="U66" s="1">
        <f t="shared" ca="1" si="14"/>
        <v>389</v>
      </c>
      <c r="V66" s="1">
        <f t="shared" ca="1" si="15"/>
        <v>30</v>
      </c>
      <c r="W66" s="1"/>
      <c r="X66" s="1">
        <f t="shared" ca="1" si="16"/>
        <v>8.5515032748699582</v>
      </c>
      <c r="Y66" s="1">
        <f t="shared" ca="1" si="17"/>
        <v>0.31323275106594639</v>
      </c>
      <c r="Z66" s="1">
        <f t="shared" ca="1" si="18"/>
        <v>1980</v>
      </c>
      <c r="AB66" s="1">
        <f t="shared" ca="1" si="19"/>
        <v>3.5810384012601337E-2</v>
      </c>
      <c r="AC66" s="1">
        <f t="shared" ca="1" si="20"/>
        <v>470</v>
      </c>
      <c r="AD66" s="1">
        <f t="shared" ca="1" si="21"/>
        <v>7.5631970335774132E-3</v>
      </c>
      <c r="AE66" s="1"/>
      <c r="AF66" s="1">
        <f t="shared" ca="1" si="22"/>
        <v>0.24405148340873703</v>
      </c>
      <c r="AG66" s="1">
        <f t="shared" ca="1" si="23"/>
        <v>332</v>
      </c>
      <c r="AH66" s="1">
        <f t="shared" ca="1" si="24"/>
        <v>6.747915823373243E-3</v>
      </c>
    </row>
    <row r="67" spans="2:34" x14ac:dyDescent="0.25">
      <c r="B67">
        <f t="shared" ca="1" si="0"/>
        <v>816</v>
      </c>
      <c r="C67">
        <f t="shared" ca="1" si="1"/>
        <v>33</v>
      </c>
      <c r="D67">
        <f t="shared" ca="1" si="2"/>
        <v>0.27422095756026654</v>
      </c>
      <c r="F67" s="1">
        <f t="shared" ca="1" si="3"/>
        <v>44</v>
      </c>
      <c r="G67" s="1">
        <f t="shared" ca="1" si="4"/>
        <v>28</v>
      </c>
      <c r="H67" s="1">
        <f t="shared" ca="1" si="5"/>
        <v>12</v>
      </c>
      <c r="I67" s="1"/>
      <c r="J67" s="1">
        <f t="shared" ca="1" si="6"/>
        <v>38</v>
      </c>
      <c r="K67" s="1">
        <f t="shared" ca="1" si="7"/>
        <v>2.581147610705445</v>
      </c>
      <c r="L67" s="1">
        <f t="shared" ca="1" si="8"/>
        <v>4</v>
      </c>
      <c r="M67" s="1"/>
      <c r="N67" s="1">
        <f t="shared" ca="1" si="9"/>
        <v>38</v>
      </c>
      <c r="O67" s="1">
        <f t="shared" ca="1" si="10"/>
        <v>35</v>
      </c>
      <c r="P67" s="1"/>
      <c r="Q67" s="1">
        <f t="shared" ca="1" si="11"/>
        <v>1.8905453820519587</v>
      </c>
      <c r="R67" s="1">
        <f t="shared" ca="1" si="12"/>
        <v>1071</v>
      </c>
      <c r="S67" s="1"/>
      <c r="T67" s="1">
        <f t="shared" ca="1" si="13"/>
        <v>3.0095437218171275E-2</v>
      </c>
      <c r="U67" s="1">
        <f t="shared" ca="1" si="14"/>
        <v>219</v>
      </c>
      <c r="V67" s="1">
        <f t="shared" ca="1" si="15"/>
        <v>28</v>
      </c>
      <c r="W67" s="1"/>
      <c r="X67" s="1">
        <f t="shared" ca="1" si="16"/>
        <v>4.0412061669378403</v>
      </c>
      <c r="Y67" s="1">
        <f t="shared" ca="1" si="17"/>
        <v>0.5086006957873348</v>
      </c>
      <c r="Z67" s="1">
        <f t="shared" ca="1" si="18"/>
        <v>1103</v>
      </c>
      <c r="AB67" s="1">
        <f t="shared" ca="1" si="19"/>
        <v>0.88952116542935333</v>
      </c>
      <c r="AC67" s="1">
        <f t="shared" ca="1" si="20"/>
        <v>651</v>
      </c>
      <c r="AD67" s="1">
        <f t="shared" ca="1" si="21"/>
        <v>4.7712969178576713E-3</v>
      </c>
      <c r="AE67" s="1"/>
      <c r="AF67" s="1">
        <f t="shared" ca="1" si="22"/>
        <v>0.88038031794331995</v>
      </c>
      <c r="AG67" s="1">
        <f t="shared" ca="1" si="23"/>
        <v>210</v>
      </c>
      <c r="AH67" s="1">
        <f t="shared" ca="1" si="24"/>
        <v>2.3620673554086854E-3</v>
      </c>
    </row>
    <row r="68" spans="2:34" x14ac:dyDescent="0.25">
      <c r="B68">
        <f t="shared" ref="B68:B131" ca="1" si="25">RANDBETWEEN(15,1000)</f>
        <v>511</v>
      </c>
      <c r="C68">
        <f t="shared" ref="C68:C131" ca="1" si="26">RANDBETWEEN(2,52)</f>
        <v>2</v>
      </c>
      <c r="D68">
        <f t="shared" ref="D68:D131" ca="1" si="27">RAND()*(0.3-0.01)+0.01</f>
        <v>0.14210140690587358</v>
      </c>
      <c r="F68" s="1">
        <f t="shared" ref="F68:F131" ca="1" si="28">RANDBETWEEN(2,52)</f>
        <v>4</v>
      </c>
      <c r="G68" s="1">
        <f t="shared" ref="G68:G131" ca="1" si="29">RANDBETWEEN(2,30)</f>
        <v>24</v>
      </c>
      <c r="H68" s="1">
        <f t="shared" ref="H68:H131" ca="1" si="30">RANDBETWEEN(1,15)</f>
        <v>1</v>
      </c>
      <c r="I68" s="1"/>
      <c r="J68" s="1">
        <f t="shared" ref="J68:J131" ca="1" si="31">RANDBETWEEN(1,39)</f>
        <v>13</v>
      </c>
      <c r="K68" s="1">
        <f t="shared" ref="K68:K131" ca="1" si="32">RAND()*(3-1)+1</f>
        <v>1.25633126719194</v>
      </c>
      <c r="L68" s="1">
        <f t="shared" ref="L68:L131" ca="1" si="33">RANDBETWEEN(2,35)</f>
        <v>3</v>
      </c>
      <c r="M68" s="1"/>
      <c r="N68" s="1">
        <f t="shared" ref="N68:N131" ca="1" si="34">RANDBETWEEN(15,1000)</f>
        <v>368</v>
      </c>
      <c r="O68" s="1">
        <f t="shared" ref="O68:O131" ca="1" si="35">RANDBETWEEN(2,52)</f>
        <v>15</v>
      </c>
      <c r="P68" s="1"/>
      <c r="Q68" s="1">
        <f t="shared" ref="Q68:Q131" ca="1" si="36">RAND()*(5-0.01)+0.01</f>
        <v>3.016315072606274</v>
      </c>
      <c r="R68" s="1">
        <f t="shared" ref="R68:R131" ca="1" si="37">RANDBETWEEN(200,1200)</f>
        <v>376</v>
      </c>
      <c r="S68" s="1"/>
      <c r="T68" s="1">
        <f t="shared" ref="T68:T131" ca="1" si="38">RAND()*(0.2-0.01)+0.01</f>
        <v>0.19551187011535895</v>
      </c>
      <c r="U68" s="1">
        <f t="shared" ref="U68:U131" ca="1" si="39">RANDBETWEEN(50,450)</f>
        <v>247</v>
      </c>
      <c r="V68" s="1">
        <f t="shared" ref="V68:V131" ca="1" si="40">RANDBETWEEN(2,52)</f>
        <v>3</v>
      </c>
      <c r="W68" s="1"/>
      <c r="X68" s="1">
        <f t="shared" ref="X68:X131" ca="1" si="41">RAND()*(10-0.01)+0.01</f>
        <v>3.4169637753188842</v>
      </c>
      <c r="Y68" s="1">
        <f t="shared" ref="Y68:Y131" ca="1" si="42">RAND()*(1-0.0001)+0.0001</f>
        <v>6.7619457882777859E-2</v>
      </c>
      <c r="Z68" s="1">
        <f t="shared" ref="Z68:Z131" ca="1" si="43">RANDBETWEEN(100,2000)</f>
        <v>264</v>
      </c>
      <c r="AB68" s="1">
        <f t="shared" ref="AB68:AB131" ca="1" si="44">RAND()*(1-0.0001)+0.0001</f>
        <v>0.24608346696263902</v>
      </c>
      <c r="AC68" s="1">
        <f t="shared" ref="AC68:AC131" ca="1" si="45">RANDBETWEEN(100,1000)</f>
        <v>469</v>
      </c>
      <c r="AD68" s="1">
        <f t="shared" ref="AD68:AD131" ca="1" si="46">RAND()*(0.01-0.00001)+0.00001</f>
        <v>1.2835709407438248E-4</v>
      </c>
      <c r="AE68" s="1"/>
      <c r="AF68" s="1">
        <f t="shared" ref="AF68:AF131" ca="1" si="47">RAND()*(0.9-0.1)+0.1</f>
        <v>0.72617740144182841</v>
      </c>
      <c r="AG68" s="1">
        <f t="shared" ref="AG68:AG131" ca="1" si="48">RANDBETWEEN(100,1000)</f>
        <v>304</v>
      </c>
      <c r="AH68" s="1">
        <f t="shared" ref="AH68:AH131" ca="1" si="49">RAND()*(0.01-0.00001)+0.00001</f>
        <v>1.1993436285171251E-3</v>
      </c>
    </row>
    <row r="69" spans="2:34" x14ac:dyDescent="0.25">
      <c r="B69">
        <f t="shared" ca="1" si="25"/>
        <v>296</v>
      </c>
      <c r="C69">
        <f t="shared" ca="1" si="26"/>
        <v>25</v>
      </c>
      <c r="D69">
        <f t="shared" ca="1" si="27"/>
        <v>5.4159041733505747E-2</v>
      </c>
      <c r="F69" s="1">
        <f t="shared" ca="1" si="28"/>
        <v>23</v>
      </c>
      <c r="G69" s="1">
        <f t="shared" ca="1" si="29"/>
        <v>15</v>
      </c>
      <c r="H69" s="1">
        <f t="shared" ca="1" si="30"/>
        <v>10</v>
      </c>
      <c r="I69" s="1"/>
      <c r="J69" s="1">
        <f t="shared" ca="1" si="31"/>
        <v>25</v>
      </c>
      <c r="K69" s="1">
        <f t="shared" ca="1" si="32"/>
        <v>1.51820483542498</v>
      </c>
      <c r="L69" s="1">
        <f t="shared" ca="1" si="33"/>
        <v>34</v>
      </c>
      <c r="M69" s="1"/>
      <c r="N69" s="1">
        <f t="shared" ca="1" si="34"/>
        <v>412</v>
      </c>
      <c r="O69" s="1">
        <f t="shared" ca="1" si="35"/>
        <v>39</v>
      </c>
      <c r="P69" s="1"/>
      <c r="Q69" s="1">
        <f t="shared" ca="1" si="36"/>
        <v>1.2346498496859388</v>
      </c>
      <c r="R69" s="1">
        <f t="shared" ca="1" si="37"/>
        <v>228</v>
      </c>
      <c r="S69" s="1"/>
      <c r="T69" s="1">
        <f t="shared" ca="1" si="38"/>
        <v>9.1883238801601139E-2</v>
      </c>
      <c r="U69" s="1">
        <f t="shared" ca="1" si="39"/>
        <v>305</v>
      </c>
      <c r="V69" s="1">
        <f t="shared" ca="1" si="40"/>
        <v>18</v>
      </c>
      <c r="W69" s="1"/>
      <c r="X69" s="1">
        <f t="shared" ca="1" si="41"/>
        <v>1.6902945667042324</v>
      </c>
      <c r="Y69" s="1">
        <f t="shared" ca="1" si="42"/>
        <v>0.9135573369743476</v>
      </c>
      <c r="Z69" s="1">
        <f t="shared" ca="1" si="43"/>
        <v>1245</v>
      </c>
      <c r="AB69" s="1">
        <f t="shared" ca="1" si="44"/>
        <v>0.16464842328609799</v>
      </c>
      <c r="AC69" s="1">
        <f t="shared" ca="1" si="45"/>
        <v>858</v>
      </c>
      <c r="AD69" s="1">
        <f t="shared" ca="1" si="46"/>
        <v>3.4876330408060806E-4</v>
      </c>
      <c r="AE69" s="1"/>
      <c r="AF69" s="1">
        <f t="shared" ca="1" si="47"/>
        <v>0.27191780207399924</v>
      </c>
      <c r="AG69" s="1">
        <f t="shared" ca="1" si="48"/>
        <v>764</v>
      </c>
      <c r="AH69" s="1">
        <f t="shared" ca="1" si="49"/>
        <v>3.5017335866456781E-3</v>
      </c>
    </row>
    <row r="70" spans="2:34" x14ac:dyDescent="0.25">
      <c r="B70">
        <f t="shared" ca="1" si="25"/>
        <v>625</v>
      </c>
      <c r="C70">
        <f t="shared" ca="1" si="26"/>
        <v>9</v>
      </c>
      <c r="D70">
        <f t="shared" ca="1" si="27"/>
        <v>0.21630141275584774</v>
      </c>
      <c r="F70" s="1">
        <f t="shared" ca="1" si="28"/>
        <v>9</v>
      </c>
      <c r="G70" s="1">
        <f t="shared" ca="1" si="29"/>
        <v>11</v>
      </c>
      <c r="H70" s="1">
        <f t="shared" ca="1" si="30"/>
        <v>11</v>
      </c>
      <c r="I70" s="1"/>
      <c r="J70" s="1">
        <f t="shared" ca="1" si="31"/>
        <v>11</v>
      </c>
      <c r="K70" s="1">
        <f t="shared" ca="1" si="32"/>
        <v>2.0905621606443221</v>
      </c>
      <c r="L70" s="1">
        <f t="shared" ca="1" si="33"/>
        <v>6</v>
      </c>
      <c r="M70" s="1"/>
      <c r="N70" s="1">
        <f t="shared" ca="1" si="34"/>
        <v>223</v>
      </c>
      <c r="O70" s="1">
        <f t="shared" ca="1" si="35"/>
        <v>47</v>
      </c>
      <c r="P70" s="1"/>
      <c r="Q70" s="1">
        <f t="shared" ca="1" si="36"/>
        <v>0.45336744229266168</v>
      </c>
      <c r="R70" s="1">
        <f t="shared" ca="1" si="37"/>
        <v>832</v>
      </c>
      <c r="S70" s="1"/>
      <c r="T70" s="1">
        <f t="shared" ca="1" si="38"/>
        <v>1.6980709269820767E-2</v>
      </c>
      <c r="U70" s="1">
        <f t="shared" ca="1" si="39"/>
        <v>301</v>
      </c>
      <c r="V70" s="1">
        <f t="shared" ca="1" si="40"/>
        <v>41</v>
      </c>
      <c r="W70" s="1"/>
      <c r="X70" s="1">
        <f t="shared" ca="1" si="41"/>
        <v>7.6105097602720102</v>
      </c>
      <c r="Y70" s="1">
        <f t="shared" ca="1" si="42"/>
        <v>0.18555862456465014</v>
      </c>
      <c r="Z70" s="1">
        <f t="shared" ca="1" si="43"/>
        <v>678</v>
      </c>
      <c r="AB70" s="1">
        <f t="shared" ca="1" si="44"/>
        <v>0.38069733175201548</v>
      </c>
      <c r="AC70" s="1">
        <f t="shared" ca="1" si="45"/>
        <v>732</v>
      </c>
      <c r="AD70" s="1">
        <f t="shared" ca="1" si="46"/>
        <v>2.0798539862954052E-3</v>
      </c>
      <c r="AE70" s="1"/>
      <c r="AF70" s="1">
        <f t="shared" ca="1" si="47"/>
        <v>0.87213842961329879</v>
      </c>
      <c r="AG70" s="1">
        <f t="shared" ca="1" si="48"/>
        <v>658</v>
      </c>
      <c r="AH70" s="1">
        <f t="shared" ca="1" si="49"/>
        <v>7.5541029438097812E-3</v>
      </c>
    </row>
    <row r="71" spans="2:34" x14ac:dyDescent="0.25">
      <c r="B71">
        <f t="shared" ca="1" si="25"/>
        <v>505</v>
      </c>
      <c r="C71">
        <f t="shared" ca="1" si="26"/>
        <v>8</v>
      </c>
      <c r="D71">
        <f t="shared" ca="1" si="27"/>
        <v>0.15080363451491727</v>
      </c>
      <c r="F71" s="1">
        <f t="shared" ca="1" si="28"/>
        <v>30</v>
      </c>
      <c r="G71" s="1">
        <f t="shared" ca="1" si="29"/>
        <v>17</v>
      </c>
      <c r="H71" s="1">
        <f t="shared" ca="1" si="30"/>
        <v>6</v>
      </c>
      <c r="I71" s="1"/>
      <c r="J71" s="1">
        <f t="shared" ca="1" si="31"/>
        <v>33</v>
      </c>
      <c r="K71" s="1">
        <f t="shared" ca="1" si="32"/>
        <v>1.0617102353192982</v>
      </c>
      <c r="L71" s="1">
        <f t="shared" ca="1" si="33"/>
        <v>3</v>
      </c>
      <c r="M71" s="1"/>
      <c r="N71" s="1">
        <f t="shared" ca="1" si="34"/>
        <v>853</v>
      </c>
      <c r="O71" s="1">
        <f t="shared" ca="1" si="35"/>
        <v>35</v>
      </c>
      <c r="P71" s="1"/>
      <c r="Q71" s="1">
        <f t="shared" ca="1" si="36"/>
        <v>1.5265933644235281</v>
      </c>
      <c r="R71" s="1">
        <f t="shared" ca="1" si="37"/>
        <v>1079</v>
      </c>
      <c r="S71" s="1"/>
      <c r="T71" s="1">
        <f t="shared" ca="1" si="38"/>
        <v>6.3315216732006199E-2</v>
      </c>
      <c r="U71" s="1">
        <f t="shared" ca="1" si="39"/>
        <v>429</v>
      </c>
      <c r="V71" s="1">
        <f t="shared" ca="1" si="40"/>
        <v>3</v>
      </c>
      <c r="W71" s="1"/>
      <c r="X71" s="1">
        <f t="shared" ca="1" si="41"/>
        <v>9.1799832456853743</v>
      </c>
      <c r="Y71" s="1">
        <f t="shared" ca="1" si="42"/>
        <v>0.96373437027161335</v>
      </c>
      <c r="Z71" s="1">
        <f t="shared" ca="1" si="43"/>
        <v>1975</v>
      </c>
      <c r="AB71" s="1">
        <f t="shared" ca="1" si="44"/>
        <v>0.49971202492379302</v>
      </c>
      <c r="AC71" s="1">
        <f t="shared" ca="1" si="45"/>
        <v>472</v>
      </c>
      <c r="AD71" s="1">
        <f t="shared" ca="1" si="46"/>
        <v>3.6756379027906494E-3</v>
      </c>
      <c r="AE71" s="1"/>
      <c r="AF71" s="1">
        <f t="shared" ca="1" si="47"/>
        <v>0.15726462191390544</v>
      </c>
      <c r="AG71" s="1">
        <f t="shared" ca="1" si="48"/>
        <v>185</v>
      </c>
      <c r="AH71" s="1">
        <f t="shared" ca="1" si="49"/>
        <v>5.2876364264053755E-3</v>
      </c>
    </row>
    <row r="72" spans="2:34" x14ac:dyDescent="0.25">
      <c r="B72">
        <f t="shared" ca="1" si="25"/>
        <v>890</v>
      </c>
      <c r="C72">
        <f t="shared" ca="1" si="26"/>
        <v>11</v>
      </c>
      <c r="D72">
        <f t="shared" ca="1" si="27"/>
        <v>0.11576913136218461</v>
      </c>
      <c r="F72" s="1">
        <f t="shared" ca="1" si="28"/>
        <v>15</v>
      </c>
      <c r="G72" s="1">
        <f t="shared" ca="1" si="29"/>
        <v>3</v>
      </c>
      <c r="H72" s="1">
        <f t="shared" ca="1" si="30"/>
        <v>14</v>
      </c>
      <c r="I72" s="1"/>
      <c r="J72" s="1">
        <f t="shared" ca="1" si="31"/>
        <v>4</v>
      </c>
      <c r="K72" s="1">
        <f t="shared" ca="1" si="32"/>
        <v>1.235918511170456</v>
      </c>
      <c r="L72" s="1">
        <f t="shared" ca="1" si="33"/>
        <v>23</v>
      </c>
      <c r="M72" s="1"/>
      <c r="N72" s="1">
        <f t="shared" ca="1" si="34"/>
        <v>496</v>
      </c>
      <c r="O72" s="1">
        <f t="shared" ca="1" si="35"/>
        <v>49</v>
      </c>
      <c r="P72" s="1"/>
      <c r="Q72" s="1">
        <f t="shared" ca="1" si="36"/>
        <v>4.8173468759610554</v>
      </c>
      <c r="R72" s="1">
        <f t="shared" ca="1" si="37"/>
        <v>240</v>
      </c>
      <c r="S72" s="1"/>
      <c r="T72" s="1">
        <f t="shared" ca="1" si="38"/>
        <v>0.10206680963818825</v>
      </c>
      <c r="U72" s="1">
        <f t="shared" ca="1" si="39"/>
        <v>263</v>
      </c>
      <c r="V72" s="1">
        <f t="shared" ca="1" si="40"/>
        <v>34</v>
      </c>
      <c r="W72" s="1"/>
      <c r="X72" s="1">
        <f t="shared" ca="1" si="41"/>
        <v>9.293218757292399</v>
      </c>
      <c r="Y72" s="1">
        <f t="shared" ca="1" si="42"/>
        <v>0.19430500016000768</v>
      </c>
      <c r="Z72" s="1">
        <f t="shared" ca="1" si="43"/>
        <v>1031</v>
      </c>
      <c r="AB72" s="1">
        <f t="shared" ca="1" si="44"/>
        <v>0.36107090904481454</v>
      </c>
      <c r="AC72" s="1">
        <f t="shared" ca="1" si="45"/>
        <v>769</v>
      </c>
      <c r="AD72" s="1">
        <f t="shared" ca="1" si="46"/>
        <v>3.7604649274871936E-3</v>
      </c>
      <c r="AE72" s="1"/>
      <c r="AF72" s="1">
        <f t="shared" ca="1" si="47"/>
        <v>0.42477702785755522</v>
      </c>
      <c r="AG72" s="1">
        <f t="shared" ca="1" si="48"/>
        <v>421</v>
      </c>
      <c r="AH72" s="1">
        <f t="shared" ca="1" si="49"/>
        <v>5.3323864275667916E-3</v>
      </c>
    </row>
    <row r="73" spans="2:34" x14ac:dyDescent="0.25">
      <c r="B73">
        <f t="shared" ca="1" si="25"/>
        <v>894</v>
      </c>
      <c r="C73">
        <f t="shared" ca="1" si="26"/>
        <v>16</v>
      </c>
      <c r="D73">
        <f t="shared" ca="1" si="27"/>
        <v>0.18886711750696619</v>
      </c>
      <c r="F73" s="1">
        <f t="shared" ca="1" si="28"/>
        <v>50</v>
      </c>
      <c r="G73" s="1">
        <f t="shared" ca="1" si="29"/>
        <v>21</v>
      </c>
      <c r="H73" s="1">
        <f t="shared" ca="1" si="30"/>
        <v>9</v>
      </c>
      <c r="I73" s="1"/>
      <c r="J73" s="1">
        <f t="shared" ca="1" si="31"/>
        <v>1</v>
      </c>
      <c r="K73" s="1">
        <f t="shared" ca="1" si="32"/>
        <v>2.8667928754565826</v>
      </c>
      <c r="L73" s="1">
        <f t="shared" ca="1" si="33"/>
        <v>31</v>
      </c>
      <c r="M73" s="1"/>
      <c r="N73" s="1">
        <f t="shared" ca="1" si="34"/>
        <v>837</v>
      </c>
      <c r="O73" s="1">
        <f t="shared" ca="1" si="35"/>
        <v>29</v>
      </c>
      <c r="P73" s="1"/>
      <c r="Q73" s="1">
        <f t="shared" ca="1" si="36"/>
        <v>0.42116733365597259</v>
      </c>
      <c r="R73" s="1">
        <f t="shared" ca="1" si="37"/>
        <v>941</v>
      </c>
      <c r="S73" s="1"/>
      <c r="T73" s="1">
        <f t="shared" ca="1" si="38"/>
        <v>7.3535766819128726E-2</v>
      </c>
      <c r="U73" s="1">
        <f t="shared" ca="1" si="39"/>
        <v>223</v>
      </c>
      <c r="V73" s="1">
        <f t="shared" ca="1" si="40"/>
        <v>28</v>
      </c>
      <c r="W73" s="1"/>
      <c r="X73" s="1">
        <f t="shared" ca="1" si="41"/>
        <v>8.9959317083329673E-2</v>
      </c>
      <c r="Y73" s="1">
        <f t="shared" ca="1" si="42"/>
        <v>0.12078808144986174</v>
      </c>
      <c r="Z73" s="1">
        <f t="shared" ca="1" si="43"/>
        <v>1630</v>
      </c>
      <c r="AB73" s="1">
        <f t="shared" ca="1" si="44"/>
        <v>0.1863349099925303</v>
      </c>
      <c r="AC73" s="1">
        <f t="shared" ca="1" si="45"/>
        <v>642</v>
      </c>
      <c r="AD73" s="1">
        <f t="shared" ca="1" si="46"/>
        <v>9.3255655196232638E-3</v>
      </c>
      <c r="AE73" s="1"/>
      <c r="AF73" s="1">
        <f t="shared" ca="1" si="47"/>
        <v>0.57224488542179219</v>
      </c>
      <c r="AG73" s="1">
        <f t="shared" ca="1" si="48"/>
        <v>694</v>
      </c>
      <c r="AH73" s="1">
        <f t="shared" ca="1" si="49"/>
        <v>1.5607746029199048E-3</v>
      </c>
    </row>
    <row r="74" spans="2:34" x14ac:dyDescent="0.25">
      <c r="B74">
        <f t="shared" ca="1" si="25"/>
        <v>1000</v>
      </c>
      <c r="C74">
        <f t="shared" ca="1" si="26"/>
        <v>10</v>
      </c>
      <c r="D74">
        <f t="shared" ca="1" si="27"/>
        <v>0.27307453819521238</v>
      </c>
      <c r="F74" s="1">
        <f t="shared" ca="1" si="28"/>
        <v>17</v>
      </c>
      <c r="G74" s="1">
        <f t="shared" ca="1" si="29"/>
        <v>15</v>
      </c>
      <c r="H74" s="1">
        <f t="shared" ca="1" si="30"/>
        <v>13</v>
      </c>
      <c r="I74" s="1"/>
      <c r="J74" s="1">
        <f t="shared" ca="1" si="31"/>
        <v>18</v>
      </c>
      <c r="K74" s="1">
        <f t="shared" ca="1" si="32"/>
        <v>1.7383878673084727</v>
      </c>
      <c r="L74" s="1">
        <f t="shared" ca="1" si="33"/>
        <v>16</v>
      </c>
      <c r="M74" s="1"/>
      <c r="N74" s="1">
        <f t="shared" ca="1" si="34"/>
        <v>970</v>
      </c>
      <c r="O74" s="1">
        <f t="shared" ca="1" si="35"/>
        <v>37</v>
      </c>
      <c r="P74" s="1"/>
      <c r="Q74" s="1">
        <f t="shared" ca="1" si="36"/>
        <v>2.7756324078442987</v>
      </c>
      <c r="R74" s="1">
        <f t="shared" ca="1" si="37"/>
        <v>936</v>
      </c>
      <c r="S74" s="1"/>
      <c r="T74" s="1">
        <f t="shared" ca="1" si="38"/>
        <v>0.11064892933072089</v>
      </c>
      <c r="U74" s="1">
        <f t="shared" ca="1" si="39"/>
        <v>307</v>
      </c>
      <c r="V74" s="1">
        <f t="shared" ca="1" si="40"/>
        <v>25</v>
      </c>
      <c r="W74" s="1"/>
      <c r="X74" s="1">
        <f t="shared" ca="1" si="41"/>
        <v>6.3795714625212625</v>
      </c>
      <c r="Y74" s="1">
        <f t="shared" ca="1" si="42"/>
        <v>0.73653727175787853</v>
      </c>
      <c r="Z74" s="1">
        <f t="shared" ca="1" si="43"/>
        <v>749</v>
      </c>
      <c r="AB74" s="1">
        <f t="shared" ca="1" si="44"/>
        <v>0.61392648226147561</v>
      </c>
      <c r="AC74" s="1">
        <f t="shared" ca="1" si="45"/>
        <v>169</v>
      </c>
      <c r="AD74" s="1">
        <f t="shared" ca="1" si="46"/>
        <v>3.7795721227708145E-3</v>
      </c>
      <c r="AE74" s="1"/>
      <c r="AF74" s="1">
        <f t="shared" ca="1" si="47"/>
        <v>0.85389250277160411</v>
      </c>
      <c r="AG74" s="1">
        <f t="shared" ca="1" si="48"/>
        <v>428</v>
      </c>
      <c r="AH74" s="1">
        <f t="shared" ca="1" si="49"/>
        <v>8.1054861760600332E-3</v>
      </c>
    </row>
    <row r="75" spans="2:34" x14ac:dyDescent="0.25">
      <c r="B75">
        <f t="shared" ca="1" si="25"/>
        <v>486</v>
      </c>
      <c r="C75">
        <f t="shared" ca="1" si="26"/>
        <v>15</v>
      </c>
      <c r="D75">
        <f t="shared" ca="1" si="27"/>
        <v>0.22355530319466549</v>
      </c>
      <c r="F75" s="1">
        <f t="shared" ca="1" si="28"/>
        <v>19</v>
      </c>
      <c r="G75" s="1">
        <f t="shared" ca="1" si="29"/>
        <v>11</v>
      </c>
      <c r="H75" s="1">
        <f t="shared" ca="1" si="30"/>
        <v>4</v>
      </c>
      <c r="I75" s="1"/>
      <c r="J75" s="1">
        <f t="shared" ca="1" si="31"/>
        <v>18</v>
      </c>
      <c r="K75" s="1">
        <f t="shared" ca="1" si="32"/>
        <v>2.7547317350995413</v>
      </c>
      <c r="L75" s="1">
        <f t="shared" ca="1" si="33"/>
        <v>2</v>
      </c>
      <c r="M75" s="1"/>
      <c r="N75" s="1">
        <f t="shared" ca="1" si="34"/>
        <v>250</v>
      </c>
      <c r="O75" s="1">
        <f t="shared" ca="1" si="35"/>
        <v>12</v>
      </c>
      <c r="P75" s="1"/>
      <c r="Q75" s="1">
        <f t="shared" ca="1" si="36"/>
        <v>0.28028584264379475</v>
      </c>
      <c r="R75" s="1">
        <f t="shared" ca="1" si="37"/>
        <v>1130</v>
      </c>
      <c r="S75" s="1"/>
      <c r="T75" s="1">
        <f t="shared" ca="1" si="38"/>
        <v>7.3753041784259746E-2</v>
      </c>
      <c r="U75" s="1">
        <f t="shared" ca="1" si="39"/>
        <v>116</v>
      </c>
      <c r="V75" s="1">
        <f t="shared" ca="1" si="40"/>
        <v>19</v>
      </c>
      <c r="W75" s="1"/>
      <c r="X75" s="1">
        <f t="shared" ca="1" si="41"/>
        <v>5.2464993749262998</v>
      </c>
      <c r="Y75" s="1">
        <f t="shared" ca="1" si="42"/>
        <v>0.43923610564215454</v>
      </c>
      <c r="Z75" s="1">
        <f t="shared" ca="1" si="43"/>
        <v>1400</v>
      </c>
      <c r="AB75" s="1">
        <f t="shared" ca="1" si="44"/>
        <v>0.94066269030783634</v>
      </c>
      <c r="AC75" s="1">
        <f t="shared" ca="1" si="45"/>
        <v>569</v>
      </c>
      <c r="AD75" s="1">
        <f t="shared" ca="1" si="46"/>
        <v>8.7663761442517956E-3</v>
      </c>
      <c r="AE75" s="1"/>
      <c r="AF75" s="1">
        <f t="shared" ca="1" si="47"/>
        <v>0.47379580683224132</v>
      </c>
      <c r="AG75" s="1">
        <f t="shared" ca="1" si="48"/>
        <v>214</v>
      </c>
      <c r="AH75" s="1">
        <f t="shared" ca="1" si="49"/>
        <v>4.1005972294439379E-3</v>
      </c>
    </row>
    <row r="76" spans="2:34" x14ac:dyDescent="0.25">
      <c r="B76">
        <f t="shared" ca="1" si="25"/>
        <v>242</v>
      </c>
      <c r="C76">
        <f t="shared" ca="1" si="26"/>
        <v>30</v>
      </c>
      <c r="D76">
        <f t="shared" ca="1" si="27"/>
        <v>8.285116350226944E-2</v>
      </c>
      <c r="F76" s="1">
        <f t="shared" ca="1" si="28"/>
        <v>35</v>
      </c>
      <c r="G76" s="1">
        <f t="shared" ca="1" si="29"/>
        <v>17</v>
      </c>
      <c r="H76" s="1">
        <f t="shared" ca="1" si="30"/>
        <v>2</v>
      </c>
      <c r="I76" s="1"/>
      <c r="J76" s="1">
        <f t="shared" ca="1" si="31"/>
        <v>16</v>
      </c>
      <c r="K76" s="1">
        <f t="shared" ca="1" si="32"/>
        <v>1.4167846447984513</v>
      </c>
      <c r="L76" s="1">
        <f t="shared" ca="1" si="33"/>
        <v>8</v>
      </c>
      <c r="M76" s="1"/>
      <c r="N76" s="1">
        <f t="shared" ca="1" si="34"/>
        <v>456</v>
      </c>
      <c r="O76" s="1">
        <f t="shared" ca="1" si="35"/>
        <v>40</v>
      </c>
      <c r="P76" s="1"/>
      <c r="Q76" s="1">
        <f t="shared" ca="1" si="36"/>
        <v>2.9968498354482311</v>
      </c>
      <c r="R76" s="1">
        <f t="shared" ca="1" si="37"/>
        <v>782</v>
      </c>
      <c r="S76" s="1"/>
      <c r="T76" s="1">
        <f t="shared" ca="1" si="38"/>
        <v>1.1025280714787792E-2</v>
      </c>
      <c r="U76" s="1">
        <f t="shared" ca="1" si="39"/>
        <v>244</v>
      </c>
      <c r="V76" s="1">
        <f t="shared" ca="1" si="40"/>
        <v>6</v>
      </c>
      <c r="W76" s="1"/>
      <c r="X76" s="1">
        <f t="shared" ca="1" si="41"/>
        <v>6.9494219871378462</v>
      </c>
      <c r="Y76" s="1">
        <f t="shared" ca="1" si="42"/>
        <v>0.82771465259053356</v>
      </c>
      <c r="Z76" s="1">
        <f t="shared" ca="1" si="43"/>
        <v>1089</v>
      </c>
      <c r="AB76" s="1">
        <f t="shared" ca="1" si="44"/>
        <v>0.25205385988911788</v>
      </c>
      <c r="AC76" s="1">
        <f t="shared" ca="1" si="45"/>
        <v>241</v>
      </c>
      <c r="AD76" s="1">
        <f t="shared" ca="1" si="46"/>
        <v>4.3066083687259366E-4</v>
      </c>
      <c r="AE76" s="1"/>
      <c r="AF76" s="1">
        <f t="shared" ca="1" si="47"/>
        <v>0.60639038498678421</v>
      </c>
      <c r="AG76" s="1">
        <f t="shared" ca="1" si="48"/>
        <v>398</v>
      </c>
      <c r="AH76" s="1">
        <f t="shared" ca="1" si="49"/>
        <v>3.8236092329586124E-3</v>
      </c>
    </row>
    <row r="77" spans="2:34" x14ac:dyDescent="0.25">
      <c r="B77">
        <f t="shared" ca="1" si="25"/>
        <v>688</v>
      </c>
      <c r="C77">
        <f t="shared" ca="1" si="26"/>
        <v>21</v>
      </c>
      <c r="D77">
        <f t="shared" ca="1" si="27"/>
        <v>0.2279668407630572</v>
      </c>
      <c r="F77" s="1">
        <f t="shared" ca="1" si="28"/>
        <v>12</v>
      </c>
      <c r="G77" s="1">
        <f t="shared" ca="1" si="29"/>
        <v>6</v>
      </c>
      <c r="H77" s="1">
        <f t="shared" ca="1" si="30"/>
        <v>11</v>
      </c>
      <c r="I77" s="1"/>
      <c r="J77" s="1">
        <f t="shared" ca="1" si="31"/>
        <v>1</v>
      </c>
      <c r="K77" s="1">
        <f t="shared" ca="1" si="32"/>
        <v>2.6207561892027806</v>
      </c>
      <c r="L77" s="1">
        <f t="shared" ca="1" si="33"/>
        <v>11</v>
      </c>
      <c r="M77" s="1"/>
      <c r="N77" s="1">
        <f t="shared" ca="1" si="34"/>
        <v>386</v>
      </c>
      <c r="O77" s="1">
        <f t="shared" ca="1" si="35"/>
        <v>49</v>
      </c>
      <c r="P77" s="1"/>
      <c r="Q77" s="1">
        <f t="shared" ca="1" si="36"/>
        <v>3.3187424183901526</v>
      </c>
      <c r="R77" s="1">
        <f t="shared" ca="1" si="37"/>
        <v>1124</v>
      </c>
      <c r="S77" s="1"/>
      <c r="T77" s="1">
        <f t="shared" ca="1" si="38"/>
        <v>0.10169097649950096</v>
      </c>
      <c r="U77" s="1">
        <f t="shared" ca="1" si="39"/>
        <v>251</v>
      </c>
      <c r="V77" s="1">
        <f t="shared" ca="1" si="40"/>
        <v>23</v>
      </c>
      <c r="W77" s="1"/>
      <c r="X77" s="1">
        <f t="shared" ca="1" si="41"/>
        <v>6.1969811736271616</v>
      </c>
      <c r="Y77" s="1">
        <f t="shared" ca="1" si="42"/>
        <v>0.6578500551015396</v>
      </c>
      <c r="Z77" s="1">
        <f t="shared" ca="1" si="43"/>
        <v>1457</v>
      </c>
      <c r="AB77" s="1">
        <f t="shared" ca="1" si="44"/>
        <v>0.96225814966529954</v>
      </c>
      <c r="AC77" s="1">
        <f t="shared" ca="1" si="45"/>
        <v>750</v>
      </c>
      <c r="AD77" s="1">
        <f t="shared" ca="1" si="46"/>
        <v>1.6691088071169446E-3</v>
      </c>
      <c r="AE77" s="1"/>
      <c r="AF77" s="1">
        <f t="shared" ca="1" si="47"/>
        <v>0.27523884626136885</v>
      </c>
      <c r="AG77" s="1">
        <f t="shared" ca="1" si="48"/>
        <v>459</v>
      </c>
      <c r="AH77" s="1">
        <f t="shared" ca="1" si="49"/>
        <v>4.1017939473964966E-3</v>
      </c>
    </row>
    <row r="78" spans="2:34" x14ac:dyDescent="0.25">
      <c r="B78">
        <f t="shared" ca="1" si="25"/>
        <v>70</v>
      </c>
      <c r="C78">
        <f t="shared" ca="1" si="26"/>
        <v>13</v>
      </c>
      <c r="D78">
        <f t="shared" ca="1" si="27"/>
        <v>0.2099905969591529</v>
      </c>
      <c r="F78" s="1">
        <f t="shared" ca="1" si="28"/>
        <v>38</v>
      </c>
      <c r="G78" s="1">
        <f t="shared" ca="1" si="29"/>
        <v>26</v>
      </c>
      <c r="H78" s="1">
        <f t="shared" ca="1" si="30"/>
        <v>15</v>
      </c>
      <c r="I78" s="1"/>
      <c r="J78" s="1">
        <f t="shared" ca="1" si="31"/>
        <v>3</v>
      </c>
      <c r="K78" s="1">
        <f t="shared" ca="1" si="32"/>
        <v>2.799088732314269</v>
      </c>
      <c r="L78" s="1">
        <f t="shared" ca="1" si="33"/>
        <v>22</v>
      </c>
      <c r="M78" s="1"/>
      <c r="N78" s="1">
        <f t="shared" ca="1" si="34"/>
        <v>784</v>
      </c>
      <c r="O78" s="1">
        <f t="shared" ca="1" si="35"/>
        <v>19</v>
      </c>
      <c r="P78" s="1"/>
      <c r="Q78" s="1">
        <f t="shared" ca="1" si="36"/>
        <v>0.35810795251881461</v>
      </c>
      <c r="R78" s="1">
        <f t="shared" ca="1" si="37"/>
        <v>1124</v>
      </c>
      <c r="S78" s="1"/>
      <c r="T78" s="1">
        <f t="shared" ca="1" si="38"/>
        <v>8.1586285631526353E-2</v>
      </c>
      <c r="U78" s="1">
        <f t="shared" ca="1" si="39"/>
        <v>166</v>
      </c>
      <c r="V78" s="1">
        <f t="shared" ca="1" si="40"/>
        <v>10</v>
      </c>
      <c r="W78" s="1"/>
      <c r="X78" s="1">
        <f t="shared" ca="1" si="41"/>
        <v>2.9610427431819071</v>
      </c>
      <c r="Y78" s="1">
        <f t="shared" ca="1" si="42"/>
        <v>0.51414687589706465</v>
      </c>
      <c r="Z78" s="1">
        <f t="shared" ca="1" si="43"/>
        <v>1215</v>
      </c>
      <c r="AB78" s="1">
        <f t="shared" ca="1" si="44"/>
        <v>0.19282371784194585</v>
      </c>
      <c r="AC78" s="1">
        <f t="shared" ca="1" si="45"/>
        <v>901</v>
      </c>
      <c r="AD78" s="1">
        <f t="shared" ca="1" si="46"/>
        <v>8.1846575889860121E-5</v>
      </c>
      <c r="AE78" s="1"/>
      <c r="AF78" s="1">
        <f t="shared" ca="1" si="47"/>
        <v>0.55732619814308748</v>
      </c>
      <c r="AG78" s="1">
        <f t="shared" ca="1" si="48"/>
        <v>426</v>
      </c>
      <c r="AH78" s="1">
        <f t="shared" ca="1" si="49"/>
        <v>6.5449543959174641E-3</v>
      </c>
    </row>
    <row r="79" spans="2:34" x14ac:dyDescent="0.25">
      <c r="B79">
        <f t="shared" ca="1" si="25"/>
        <v>717</v>
      </c>
      <c r="C79">
        <f t="shared" ca="1" si="26"/>
        <v>19</v>
      </c>
      <c r="D79">
        <f t="shared" ca="1" si="27"/>
        <v>7.3937032154687471E-2</v>
      </c>
      <c r="F79" s="1">
        <f t="shared" ca="1" si="28"/>
        <v>30</v>
      </c>
      <c r="G79" s="1">
        <f t="shared" ca="1" si="29"/>
        <v>25</v>
      </c>
      <c r="H79" s="1">
        <f t="shared" ca="1" si="30"/>
        <v>5</v>
      </c>
      <c r="I79" s="1"/>
      <c r="J79" s="1">
        <f t="shared" ca="1" si="31"/>
        <v>12</v>
      </c>
      <c r="K79" s="1">
        <f t="shared" ca="1" si="32"/>
        <v>1.9727748145602477</v>
      </c>
      <c r="L79" s="1">
        <f t="shared" ca="1" si="33"/>
        <v>13</v>
      </c>
      <c r="M79" s="1"/>
      <c r="N79" s="1">
        <f t="shared" ca="1" si="34"/>
        <v>335</v>
      </c>
      <c r="O79" s="1">
        <f t="shared" ca="1" si="35"/>
        <v>24</v>
      </c>
      <c r="P79" s="1"/>
      <c r="Q79" s="1">
        <f t="shared" ca="1" si="36"/>
        <v>4.4453152435826615</v>
      </c>
      <c r="R79" s="1">
        <f t="shared" ca="1" si="37"/>
        <v>1160</v>
      </c>
      <c r="S79" s="1"/>
      <c r="T79" s="1">
        <f t="shared" ca="1" si="38"/>
        <v>5.387451584187012E-2</v>
      </c>
      <c r="U79" s="1">
        <f t="shared" ca="1" si="39"/>
        <v>161</v>
      </c>
      <c r="V79" s="1">
        <f t="shared" ca="1" si="40"/>
        <v>20</v>
      </c>
      <c r="W79" s="1"/>
      <c r="X79" s="1">
        <f t="shared" ca="1" si="41"/>
        <v>3.6198774186983624</v>
      </c>
      <c r="Y79" s="1">
        <f t="shared" ca="1" si="42"/>
        <v>0.84657199267456507</v>
      </c>
      <c r="Z79" s="1">
        <f t="shared" ca="1" si="43"/>
        <v>1516</v>
      </c>
      <c r="AB79" s="1">
        <f t="shared" ca="1" si="44"/>
        <v>0.16588899422018066</v>
      </c>
      <c r="AC79" s="1">
        <f t="shared" ca="1" si="45"/>
        <v>160</v>
      </c>
      <c r="AD79" s="1">
        <f t="shared" ca="1" si="46"/>
        <v>1.1592048647376175E-3</v>
      </c>
      <c r="AE79" s="1"/>
      <c r="AF79" s="1">
        <f t="shared" ca="1" si="47"/>
        <v>0.89340985519827487</v>
      </c>
      <c r="AG79" s="1">
        <f t="shared" ca="1" si="48"/>
        <v>989</v>
      </c>
      <c r="AH79" s="1">
        <f t="shared" ca="1" si="49"/>
        <v>8.0141322869759883E-3</v>
      </c>
    </row>
    <row r="80" spans="2:34" x14ac:dyDescent="0.25">
      <c r="B80">
        <f t="shared" ca="1" si="25"/>
        <v>768</v>
      </c>
      <c r="C80">
        <f t="shared" ca="1" si="26"/>
        <v>34</v>
      </c>
      <c r="D80">
        <f t="shared" ca="1" si="27"/>
        <v>0.10884344920068928</v>
      </c>
      <c r="F80" s="1">
        <f t="shared" ca="1" si="28"/>
        <v>26</v>
      </c>
      <c r="G80" s="1">
        <f t="shared" ca="1" si="29"/>
        <v>23</v>
      </c>
      <c r="H80" s="1">
        <f t="shared" ca="1" si="30"/>
        <v>2</v>
      </c>
      <c r="I80" s="1"/>
      <c r="J80" s="1">
        <f t="shared" ca="1" si="31"/>
        <v>4</v>
      </c>
      <c r="K80" s="1">
        <f t="shared" ca="1" si="32"/>
        <v>2.2161050466298269</v>
      </c>
      <c r="L80" s="1">
        <f t="shared" ca="1" si="33"/>
        <v>8</v>
      </c>
      <c r="M80" s="1"/>
      <c r="N80" s="1">
        <f t="shared" ca="1" si="34"/>
        <v>734</v>
      </c>
      <c r="O80" s="1">
        <f t="shared" ca="1" si="35"/>
        <v>45</v>
      </c>
      <c r="P80" s="1"/>
      <c r="Q80" s="1">
        <f t="shared" ca="1" si="36"/>
        <v>2.4463538261668822</v>
      </c>
      <c r="R80" s="1">
        <f t="shared" ca="1" si="37"/>
        <v>652</v>
      </c>
      <c r="S80" s="1"/>
      <c r="T80" s="1">
        <f t="shared" ca="1" si="38"/>
        <v>0.14014338308923507</v>
      </c>
      <c r="U80" s="1">
        <f t="shared" ca="1" si="39"/>
        <v>119</v>
      </c>
      <c r="V80" s="1">
        <f t="shared" ca="1" si="40"/>
        <v>45</v>
      </c>
      <c r="W80" s="1"/>
      <c r="X80" s="1">
        <f t="shared" ca="1" si="41"/>
        <v>6.3157743502539123</v>
      </c>
      <c r="Y80" s="1">
        <f t="shared" ca="1" si="42"/>
        <v>0.30225891586163239</v>
      </c>
      <c r="Z80" s="1">
        <f t="shared" ca="1" si="43"/>
        <v>1066</v>
      </c>
      <c r="AB80" s="1">
        <f t="shared" ca="1" si="44"/>
        <v>0.41142913532170683</v>
      </c>
      <c r="AC80" s="1">
        <f t="shared" ca="1" si="45"/>
        <v>215</v>
      </c>
      <c r="AD80" s="1">
        <f t="shared" ca="1" si="46"/>
        <v>3.1864133746931818E-3</v>
      </c>
      <c r="AE80" s="1"/>
      <c r="AF80" s="1">
        <f t="shared" ca="1" si="47"/>
        <v>0.22554764014233852</v>
      </c>
      <c r="AG80" s="1">
        <f t="shared" ca="1" si="48"/>
        <v>140</v>
      </c>
      <c r="AH80" s="1">
        <f t="shared" ca="1" si="49"/>
        <v>9.5361501935812588E-3</v>
      </c>
    </row>
    <row r="81" spans="2:34" x14ac:dyDescent="0.25">
      <c r="B81">
        <f t="shared" ca="1" si="25"/>
        <v>724</v>
      </c>
      <c r="C81">
        <f t="shared" ca="1" si="26"/>
        <v>27</v>
      </c>
      <c r="D81">
        <f t="shared" ca="1" si="27"/>
        <v>2.0453395360043487E-2</v>
      </c>
      <c r="F81" s="1">
        <f t="shared" ca="1" si="28"/>
        <v>9</v>
      </c>
      <c r="G81" s="1">
        <f t="shared" ca="1" si="29"/>
        <v>6</v>
      </c>
      <c r="H81" s="1">
        <f t="shared" ca="1" si="30"/>
        <v>14</v>
      </c>
      <c r="I81" s="1"/>
      <c r="J81" s="1">
        <f t="shared" ca="1" si="31"/>
        <v>34</v>
      </c>
      <c r="K81" s="1">
        <f t="shared" ca="1" si="32"/>
        <v>1.7542783736417744</v>
      </c>
      <c r="L81" s="1">
        <f t="shared" ca="1" si="33"/>
        <v>31</v>
      </c>
      <c r="M81" s="1"/>
      <c r="N81" s="1">
        <f t="shared" ca="1" si="34"/>
        <v>737</v>
      </c>
      <c r="O81" s="1">
        <f t="shared" ca="1" si="35"/>
        <v>28</v>
      </c>
      <c r="P81" s="1"/>
      <c r="Q81" s="1">
        <f t="shared" ca="1" si="36"/>
        <v>4.2811075748426672</v>
      </c>
      <c r="R81" s="1">
        <f t="shared" ca="1" si="37"/>
        <v>1058</v>
      </c>
      <c r="S81" s="1"/>
      <c r="T81" s="1">
        <f t="shared" ca="1" si="38"/>
        <v>8.7433988694191986E-2</v>
      </c>
      <c r="U81" s="1">
        <f t="shared" ca="1" si="39"/>
        <v>258</v>
      </c>
      <c r="V81" s="1">
        <f t="shared" ca="1" si="40"/>
        <v>22</v>
      </c>
      <c r="W81" s="1"/>
      <c r="X81" s="1">
        <f t="shared" ca="1" si="41"/>
        <v>8.4358343536545473</v>
      </c>
      <c r="Y81" s="1">
        <f t="shared" ca="1" si="42"/>
        <v>0.14823591673000172</v>
      </c>
      <c r="Z81" s="1">
        <f t="shared" ca="1" si="43"/>
        <v>1437</v>
      </c>
      <c r="AB81" s="1">
        <f t="shared" ca="1" si="44"/>
        <v>0.86689544497465776</v>
      </c>
      <c r="AC81" s="1">
        <f t="shared" ca="1" si="45"/>
        <v>412</v>
      </c>
      <c r="AD81" s="1">
        <f t="shared" ca="1" si="46"/>
        <v>9.6450339314346715E-3</v>
      </c>
      <c r="AE81" s="1"/>
      <c r="AF81" s="1">
        <f t="shared" ca="1" si="47"/>
        <v>0.36434246206149845</v>
      </c>
      <c r="AG81" s="1">
        <f t="shared" ca="1" si="48"/>
        <v>182</v>
      </c>
      <c r="AH81" s="1">
        <f t="shared" ca="1" si="49"/>
        <v>7.1626761673962702E-3</v>
      </c>
    </row>
    <row r="82" spans="2:34" x14ac:dyDescent="0.25">
      <c r="B82">
        <f t="shared" ca="1" si="25"/>
        <v>152</v>
      </c>
      <c r="C82">
        <f t="shared" ca="1" si="26"/>
        <v>4</v>
      </c>
      <c r="D82">
        <f t="shared" ca="1" si="27"/>
        <v>6.7720429246381511E-2</v>
      </c>
      <c r="F82" s="1">
        <f t="shared" ca="1" si="28"/>
        <v>38</v>
      </c>
      <c r="G82" s="1">
        <f t="shared" ca="1" si="29"/>
        <v>4</v>
      </c>
      <c r="H82" s="1">
        <f t="shared" ca="1" si="30"/>
        <v>11</v>
      </c>
      <c r="I82" s="1"/>
      <c r="J82" s="1">
        <f t="shared" ca="1" si="31"/>
        <v>4</v>
      </c>
      <c r="K82" s="1">
        <f t="shared" ca="1" si="32"/>
        <v>2.1122176835276028</v>
      </c>
      <c r="L82" s="1">
        <f t="shared" ca="1" si="33"/>
        <v>13</v>
      </c>
      <c r="M82" s="1"/>
      <c r="N82" s="1">
        <f t="shared" ca="1" si="34"/>
        <v>605</v>
      </c>
      <c r="O82" s="1">
        <f t="shared" ca="1" si="35"/>
        <v>45</v>
      </c>
      <c r="P82" s="1"/>
      <c r="Q82" s="1">
        <f t="shared" ca="1" si="36"/>
        <v>1.8802368786295212</v>
      </c>
      <c r="R82" s="1">
        <f t="shared" ca="1" si="37"/>
        <v>299</v>
      </c>
      <c r="S82" s="1"/>
      <c r="T82" s="1">
        <f t="shared" ca="1" si="38"/>
        <v>0.1877635844640958</v>
      </c>
      <c r="U82" s="1">
        <f t="shared" ca="1" si="39"/>
        <v>345</v>
      </c>
      <c r="V82" s="1">
        <f t="shared" ca="1" si="40"/>
        <v>37</v>
      </c>
      <c r="W82" s="1"/>
      <c r="X82" s="1">
        <f t="shared" ca="1" si="41"/>
        <v>0.86810008552485562</v>
      </c>
      <c r="Y82" s="1">
        <f t="shared" ca="1" si="42"/>
        <v>8.9431018404129828E-2</v>
      </c>
      <c r="Z82" s="1">
        <f t="shared" ca="1" si="43"/>
        <v>1970</v>
      </c>
      <c r="AB82" s="1">
        <f t="shared" ca="1" si="44"/>
        <v>3.6013253007005794E-2</v>
      </c>
      <c r="AC82" s="1">
        <f t="shared" ca="1" si="45"/>
        <v>898</v>
      </c>
      <c r="AD82" s="1">
        <f t="shared" ca="1" si="46"/>
        <v>9.3387976255300091E-3</v>
      </c>
      <c r="AE82" s="1"/>
      <c r="AF82" s="1">
        <f t="shared" ca="1" si="47"/>
        <v>0.65452240409465889</v>
      </c>
      <c r="AG82" s="1">
        <f t="shared" ca="1" si="48"/>
        <v>757</v>
      </c>
      <c r="AH82" s="1">
        <f t="shared" ca="1" si="49"/>
        <v>4.6203386373107353E-3</v>
      </c>
    </row>
    <row r="83" spans="2:34" x14ac:dyDescent="0.25">
      <c r="B83">
        <f t="shared" ca="1" si="25"/>
        <v>387</v>
      </c>
      <c r="C83">
        <f t="shared" ca="1" si="26"/>
        <v>4</v>
      </c>
      <c r="D83">
        <f t="shared" ca="1" si="27"/>
        <v>2.4385664100948778E-2</v>
      </c>
      <c r="F83" s="1">
        <f t="shared" ca="1" si="28"/>
        <v>43</v>
      </c>
      <c r="G83" s="1">
        <f t="shared" ca="1" si="29"/>
        <v>26</v>
      </c>
      <c r="H83" s="1">
        <f t="shared" ca="1" si="30"/>
        <v>14</v>
      </c>
      <c r="I83" s="1"/>
      <c r="J83" s="1">
        <f t="shared" ca="1" si="31"/>
        <v>14</v>
      </c>
      <c r="K83" s="1">
        <f t="shared" ca="1" si="32"/>
        <v>2.1927603670363798</v>
      </c>
      <c r="L83" s="1">
        <f t="shared" ca="1" si="33"/>
        <v>27</v>
      </c>
      <c r="M83" s="1"/>
      <c r="N83" s="1">
        <f t="shared" ca="1" si="34"/>
        <v>629</v>
      </c>
      <c r="O83" s="1">
        <f t="shared" ca="1" si="35"/>
        <v>14</v>
      </c>
      <c r="P83" s="1"/>
      <c r="Q83" s="1">
        <f t="shared" ca="1" si="36"/>
        <v>3.1937358800544806</v>
      </c>
      <c r="R83" s="1">
        <f t="shared" ca="1" si="37"/>
        <v>667</v>
      </c>
      <c r="S83" s="1"/>
      <c r="T83" s="1">
        <f t="shared" ca="1" si="38"/>
        <v>6.3221033018180328E-2</v>
      </c>
      <c r="U83" s="1">
        <f t="shared" ca="1" si="39"/>
        <v>291</v>
      </c>
      <c r="V83" s="1">
        <f t="shared" ca="1" si="40"/>
        <v>52</v>
      </c>
      <c r="W83" s="1"/>
      <c r="X83" s="1">
        <f t="shared" ca="1" si="41"/>
        <v>9.0682324629404771</v>
      </c>
      <c r="Y83" s="1">
        <f t="shared" ca="1" si="42"/>
        <v>0.12365058483607139</v>
      </c>
      <c r="Z83" s="1">
        <f t="shared" ca="1" si="43"/>
        <v>353</v>
      </c>
      <c r="AB83" s="1">
        <f t="shared" ca="1" si="44"/>
        <v>0.7353309760805451</v>
      </c>
      <c r="AC83" s="1">
        <f t="shared" ca="1" si="45"/>
        <v>225</v>
      </c>
      <c r="AD83" s="1">
        <f t="shared" ca="1" si="46"/>
        <v>3.9007224292957453E-3</v>
      </c>
      <c r="AE83" s="1"/>
      <c r="AF83" s="1">
        <f t="shared" ca="1" si="47"/>
        <v>0.68913605928711574</v>
      </c>
      <c r="AG83" s="1">
        <f t="shared" ca="1" si="48"/>
        <v>763</v>
      </c>
      <c r="AH83" s="1">
        <f t="shared" ca="1" si="49"/>
        <v>3.4440405894423198E-3</v>
      </c>
    </row>
    <row r="84" spans="2:34" x14ac:dyDescent="0.25">
      <c r="B84">
        <f t="shared" ca="1" si="25"/>
        <v>464</v>
      </c>
      <c r="C84">
        <f t="shared" ca="1" si="26"/>
        <v>31</v>
      </c>
      <c r="D84">
        <f t="shared" ca="1" si="27"/>
        <v>4.7918228980605632E-2</v>
      </c>
      <c r="F84" s="1">
        <f t="shared" ca="1" si="28"/>
        <v>5</v>
      </c>
      <c r="G84" s="1">
        <f t="shared" ca="1" si="29"/>
        <v>23</v>
      </c>
      <c r="H84" s="1">
        <f t="shared" ca="1" si="30"/>
        <v>7</v>
      </c>
      <c r="I84" s="1"/>
      <c r="J84" s="1">
        <f t="shared" ca="1" si="31"/>
        <v>36</v>
      </c>
      <c r="K84" s="1">
        <f t="shared" ca="1" si="32"/>
        <v>1.6706923844970576</v>
      </c>
      <c r="L84" s="1">
        <f t="shared" ca="1" si="33"/>
        <v>20</v>
      </c>
      <c r="M84" s="1"/>
      <c r="N84" s="1">
        <f t="shared" ca="1" si="34"/>
        <v>289</v>
      </c>
      <c r="O84" s="1">
        <f t="shared" ca="1" si="35"/>
        <v>43</v>
      </c>
      <c r="P84" s="1"/>
      <c r="Q84" s="1">
        <f t="shared" ca="1" si="36"/>
        <v>2.7276177429348913</v>
      </c>
      <c r="R84" s="1">
        <f t="shared" ca="1" si="37"/>
        <v>1040</v>
      </c>
      <c r="S84" s="1"/>
      <c r="T84" s="1">
        <f t="shared" ca="1" si="38"/>
        <v>0.11924715760064052</v>
      </c>
      <c r="U84" s="1">
        <f t="shared" ca="1" si="39"/>
        <v>151</v>
      </c>
      <c r="V84" s="1">
        <f t="shared" ca="1" si="40"/>
        <v>12</v>
      </c>
      <c r="W84" s="1"/>
      <c r="X84" s="1">
        <f t="shared" ca="1" si="41"/>
        <v>1.7676369397022187</v>
      </c>
      <c r="Y84" s="1">
        <f t="shared" ca="1" si="42"/>
        <v>0.79044886910086931</v>
      </c>
      <c r="Z84" s="1">
        <f t="shared" ca="1" si="43"/>
        <v>814</v>
      </c>
      <c r="AB84" s="1">
        <f t="shared" ca="1" si="44"/>
        <v>0.87215848393605577</v>
      </c>
      <c r="AC84" s="1">
        <f t="shared" ca="1" si="45"/>
        <v>847</v>
      </c>
      <c r="AD84" s="1">
        <f t="shared" ca="1" si="46"/>
        <v>5.5986691256289451E-4</v>
      </c>
      <c r="AE84" s="1"/>
      <c r="AF84" s="1">
        <f t="shared" ca="1" si="47"/>
        <v>0.69567585832643697</v>
      </c>
      <c r="AG84" s="1">
        <f t="shared" ca="1" si="48"/>
        <v>536</v>
      </c>
      <c r="AH84" s="1">
        <f t="shared" ca="1" si="49"/>
        <v>7.3308012225737264E-3</v>
      </c>
    </row>
    <row r="85" spans="2:34" x14ac:dyDescent="0.25">
      <c r="B85">
        <f t="shared" ca="1" si="25"/>
        <v>294</v>
      </c>
      <c r="C85">
        <f t="shared" ca="1" si="26"/>
        <v>36</v>
      </c>
      <c r="D85">
        <f t="shared" ca="1" si="27"/>
        <v>0.25949745722453627</v>
      </c>
      <c r="F85" s="1">
        <f t="shared" ca="1" si="28"/>
        <v>16</v>
      </c>
      <c r="G85" s="1">
        <f t="shared" ca="1" si="29"/>
        <v>2</v>
      </c>
      <c r="H85" s="1">
        <f t="shared" ca="1" si="30"/>
        <v>10</v>
      </c>
      <c r="I85" s="1"/>
      <c r="J85" s="1">
        <f t="shared" ca="1" si="31"/>
        <v>13</v>
      </c>
      <c r="K85" s="1">
        <f t="shared" ca="1" si="32"/>
        <v>2.0415575999846007</v>
      </c>
      <c r="L85" s="1">
        <f t="shared" ca="1" si="33"/>
        <v>3</v>
      </c>
      <c r="M85" s="1"/>
      <c r="N85" s="1">
        <f t="shared" ca="1" si="34"/>
        <v>809</v>
      </c>
      <c r="O85" s="1">
        <f t="shared" ca="1" si="35"/>
        <v>33</v>
      </c>
      <c r="P85" s="1"/>
      <c r="Q85" s="1">
        <f t="shared" ca="1" si="36"/>
        <v>0.66578390787360398</v>
      </c>
      <c r="R85" s="1">
        <f t="shared" ca="1" si="37"/>
        <v>326</v>
      </c>
      <c r="S85" s="1"/>
      <c r="T85" s="1">
        <f t="shared" ca="1" si="38"/>
        <v>0.13524069677906561</v>
      </c>
      <c r="U85" s="1">
        <f t="shared" ca="1" si="39"/>
        <v>310</v>
      </c>
      <c r="V85" s="1">
        <f t="shared" ca="1" si="40"/>
        <v>31</v>
      </c>
      <c r="W85" s="1"/>
      <c r="X85" s="1">
        <f t="shared" ca="1" si="41"/>
        <v>5.2724572465410393</v>
      </c>
      <c r="Y85" s="1">
        <f t="shared" ca="1" si="42"/>
        <v>6.3052895421762803E-2</v>
      </c>
      <c r="Z85" s="1">
        <f t="shared" ca="1" si="43"/>
        <v>1630</v>
      </c>
      <c r="AB85" s="1">
        <f t="shared" ca="1" si="44"/>
        <v>0.36617550331735521</v>
      </c>
      <c r="AC85" s="1">
        <f t="shared" ca="1" si="45"/>
        <v>774</v>
      </c>
      <c r="AD85" s="1">
        <f t="shared" ca="1" si="46"/>
        <v>6.5412611396985934E-3</v>
      </c>
      <c r="AE85" s="1"/>
      <c r="AF85" s="1">
        <f t="shared" ca="1" si="47"/>
        <v>0.29986840571413709</v>
      </c>
      <c r="AG85" s="1">
        <f t="shared" ca="1" si="48"/>
        <v>960</v>
      </c>
      <c r="AH85" s="1">
        <f t="shared" ca="1" si="49"/>
        <v>7.8197838112987264E-3</v>
      </c>
    </row>
    <row r="86" spans="2:34" x14ac:dyDescent="0.25">
      <c r="B86">
        <f t="shared" ca="1" si="25"/>
        <v>266</v>
      </c>
      <c r="C86">
        <f t="shared" ca="1" si="26"/>
        <v>17</v>
      </c>
      <c r="D86">
        <f t="shared" ca="1" si="27"/>
        <v>0.14100541092016461</v>
      </c>
      <c r="F86" s="1">
        <f t="shared" ca="1" si="28"/>
        <v>44</v>
      </c>
      <c r="G86" s="1">
        <f t="shared" ca="1" si="29"/>
        <v>27</v>
      </c>
      <c r="H86" s="1">
        <f t="shared" ca="1" si="30"/>
        <v>9</v>
      </c>
      <c r="I86" s="1"/>
      <c r="J86" s="1">
        <f t="shared" ca="1" si="31"/>
        <v>2</v>
      </c>
      <c r="K86" s="1">
        <f t="shared" ca="1" si="32"/>
        <v>2.2455240636598885</v>
      </c>
      <c r="L86" s="1">
        <f t="shared" ca="1" si="33"/>
        <v>5</v>
      </c>
      <c r="M86" s="1"/>
      <c r="N86" s="1">
        <f t="shared" ca="1" si="34"/>
        <v>786</v>
      </c>
      <c r="O86" s="1">
        <f t="shared" ca="1" si="35"/>
        <v>6</v>
      </c>
      <c r="P86" s="1"/>
      <c r="Q86" s="1">
        <f t="shared" ca="1" si="36"/>
        <v>0.20380993912496456</v>
      </c>
      <c r="R86" s="1">
        <f t="shared" ca="1" si="37"/>
        <v>370</v>
      </c>
      <c r="S86" s="1"/>
      <c r="T86" s="1">
        <f t="shared" ca="1" si="38"/>
        <v>6.1802875732857025E-2</v>
      </c>
      <c r="U86" s="1">
        <f t="shared" ca="1" si="39"/>
        <v>172</v>
      </c>
      <c r="V86" s="1">
        <f t="shared" ca="1" si="40"/>
        <v>44</v>
      </c>
      <c r="W86" s="1"/>
      <c r="X86" s="1">
        <f t="shared" ca="1" si="41"/>
        <v>9.7057516381193505</v>
      </c>
      <c r="Y86" s="1">
        <f t="shared" ca="1" si="42"/>
        <v>9.3285035949599693E-2</v>
      </c>
      <c r="Z86" s="1">
        <f t="shared" ca="1" si="43"/>
        <v>1955</v>
      </c>
      <c r="AB86" s="1">
        <f t="shared" ca="1" si="44"/>
        <v>0.84684336086127976</v>
      </c>
      <c r="AC86" s="1">
        <f t="shared" ca="1" si="45"/>
        <v>297</v>
      </c>
      <c r="AD86" s="1">
        <f t="shared" ca="1" si="46"/>
        <v>1.7525683646949096E-3</v>
      </c>
      <c r="AE86" s="1"/>
      <c r="AF86" s="1">
        <f t="shared" ca="1" si="47"/>
        <v>0.79826146690250122</v>
      </c>
      <c r="AG86" s="1">
        <f t="shared" ca="1" si="48"/>
        <v>878</v>
      </c>
      <c r="AH86" s="1">
        <f t="shared" ca="1" si="49"/>
        <v>3.6953454492382131E-3</v>
      </c>
    </row>
    <row r="87" spans="2:34" x14ac:dyDescent="0.25">
      <c r="B87">
        <f t="shared" ca="1" si="25"/>
        <v>319</v>
      </c>
      <c r="C87">
        <f t="shared" ca="1" si="26"/>
        <v>29</v>
      </c>
      <c r="D87">
        <f t="shared" ca="1" si="27"/>
        <v>0.15057416006641991</v>
      </c>
      <c r="F87" s="1">
        <f t="shared" ca="1" si="28"/>
        <v>5</v>
      </c>
      <c r="G87" s="1">
        <f t="shared" ca="1" si="29"/>
        <v>4</v>
      </c>
      <c r="H87" s="1">
        <f t="shared" ca="1" si="30"/>
        <v>15</v>
      </c>
      <c r="I87" s="1"/>
      <c r="J87" s="1">
        <f t="shared" ca="1" si="31"/>
        <v>2</v>
      </c>
      <c r="K87" s="1">
        <f t="shared" ca="1" si="32"/>
        <v>2.9585568124982835</v>
      </c>
      <c r="L87" s="1">
        <f t="shared" ca="1" si="33"/>
        <v>26</v>
      </c>
      <c r="M87" s="1"/>
      <c r="N87" s="1">
        <f t="shared" ca="1" si="34"/>
        <v>70</v>
      </c>
      <c r="O87" s="1">
        <f t="shared" ca="1" si="35"/>
        <v>47</v>
      </c>
      <c r="P87" s="1"/>
      <c r="Q87" s="1">
        <f t="shared" ca="1" si="36"/>
        <v>0.14685819853542251</v>
      </c>
      <c r="R87" s="1">
        <f t="shared" ca="1" si="37"/>
        <v>413</v>
      </c>
      <c r="S87" s="1"/>
      <c r="T87" s="1">
        <f t="shared" ca="1" si="38"/>
        <v>0.1406930676850181</v>
      </c>
      <c r="U87" s="1">
        <f t="shared" ca="1" si="39"/>
        <v>388</v>
      </c>
      <c r="V87" s="1">
        <f t="shared" ca="1" si="40"/>
        <v>41</v>
      </c>
      <c r="W87" s="1"/>
      <c r="X87" s="1">
        <f t="shared" ca="1" si="41"/>
        <v>9.8563645118530836</v>
      </c>
      <c r="Y87" s="1">
        <f t="shared" ca="1" si="42"/>
        <v>0.36606523812700625</v>
      </c>
      <c r="Z87" s="1">
        <f t="shared" ca="1" si="43"/>
        <v>1589</v>
      </c>
      <c r="AB87" s="1">
        <f t="shared" ca="1" si="44"/>
        <v>0.57811498313119758</v>
      </c>
      <c r="AC87" s="1">
        <f t="shared" ca="1" si="45"/>
        <v>859</v>
      </c>
      <c r="AD87" s="1">
        <f t="shared" ca="1" si="46"/>
        <v>7.5767847486421088E-3</v>
      </c>
      <c r="AE87" s="1"/>
      <c r="AF87" s="1">
        <f t="shared" ca="1" si="47"/>
        <v>0.67198994895933961</v>
      </c>
      <c r="AG87" s="1">
        <f t="shared" ca="1" si="48"/>
        <v>109</v>
      </c>
      <c r="AH87" s="1">
        <f t="shared" ca="1" si="49"/>
        <v>5.7968659989044271E-3</v>
      </c>
    </row>
    <row r="88" spans="2:34" x14ac:dyDescent="0.25">
      <c r="B88">
        <f t="shared" ca="1" si="25"/>
        <v>953</v>
      </c>
      <c r="C88">
        <f t="shared" ca="1" si="26"/>
        <v>9</v>
      </c>
      <c r="D88">
        <f t="shared" ca="1" si="27"/>
        <v>0.12105305583269656</v>
      </c>
      <c r="F88" s="1">
        <f t="shared" ca="1" si="28"/>
        <v>38</v>
      </c>
      <c r="G88" s="1">
        <f t="shared" ca="1" si="29"/>
        <v>6</v>
      </c>
      <c r="H88" s="1">
        <f t="shared" ca="1" si="30"/>
        <v>11</v>
      </c>
      <c r="I88" s="1"/>
      <c r="J88" s="1">
        <f t="shared" ca="1" si="31"/>
        <v>16</v>
      </c>
      <c r="K88" s="1">
        <f t="shared" ca="1" si="32"/>
        <v>2.6671231765857302</v>
      </c>
      <c r="L88" s="1">
        <f t="shared" ca="1" si="33"/>
        <v>9</v>
      </c>
      <c r="M88" s="1"/>
      <c r="N88" s="1">
        <f t="shared" ca="1" si="34"/>
        <v>755</v>
      </c>
      <c r="O88" s="1">
        <f t="shared" ca="1" si="35"/>
        <v>51</v>
      </c>
      <c r="P88" s="1"/>
      <c r="Q88" s="1">
        <f t="shared" ca="1" si="36"/>
        <v>3.9621333054744956</v>
      </c>
      <c r="R88" s="1">
        <f t="shared" ca="1" si="37"/>
        <v>1093</v>
      </c>
      <c r="S88" s="1"/>
      <c r="T88" s="1">
        <f t="shared" ca="1" si="38"/>
        <v>0.1489440512190571</v>
      </c>
      <c r="U88" s="1">
        <f t="shared" ca="1" si="39"/>
        <v>233</v>
      </c>
      <c r="V88" s="1">
        <f t="shared" ca="1" si="40"/>
        <v>7</v>
      </c>
      <c r="W88" s="1"/>
      <c r="X88" s="1">
        <f t="shared" ca="1" si="41"/>
        <v>5.3410045204986858</v>
      </c>
      <c r="Y88" s="1">
        <f t="shared" ca="1" si="42"/>
        <v>0.42175661744760584</v>
      </c>
      <c r="Z88" s="1">
        <f t="shared" ca="1" si="43"/>
        <v>761</v>
      </c>
      <c r="AB88" s="1">
        <f t="shared" ca="1" si="44"/>
        <v>4.9762084795640905E-2</v>
      </c>
      <c r="AC88" s="1">
        <f t="shared" ca="1" si="45"/>
        <v>929</v>
      </c>
      <c r="AD88" s="1">
        <f t="shared" ca="1" si="46"/>
        <v>1.8744004338198323E-3</v>
      </c>
      <c r="AE88" s="1"/>
      <c r="AF88" s="1">
        <f t="shared" ca="1" si="47"/>
        <v>0.49899290453192313</v>
      </c>
      <c r="AG88" s="1">
        <f t="shared" ca="1" si="48"/>
        <v>117</v>
      </c>
      <c r="AH88" s="1">
        <f t="shared" ca="1" si="49"/>
        <v>3.4218898037838377E-3</v>
      </c>
    </row>
    <row r="89" spans="2:34" x14ac:dyDescent="0.25">
      <c r="B89">
        <f t="shared" ca="1" si="25"/>
        <v>36</v>
      </c>
      <c r="C89">
        <f t="shared" ca="1" si="26"/>
        <v>48</v>
      </c>
      <c r="D89">
        <f t="shared" ca="1" si="27"/>
        <v>1.4131715551716328E-2</v>
      </c>
      <c r="F89" s="1">
        <f t="shared" ca="1" si="28"/>
        <v>9</v>
      </c>
      <c r="G89" s="1">
        <f t="shared" ca="1" si="29"/>
        <v>16</v>
      </c>
      <c r="H89" s="1">
        <f t="shared" ca="1" si="30"/>
        <v>14</v>
      </c>
      <c r="I89" s="1"/>
      <c r="J89" s="1">
        <f t="shared" ca="1" si="31"/>
        <v>28</v>
      </c>
      <c r="K89" s="1">
        <f t="shared" ca="1" si="32"/>
        <v>1.0500143560664559</v>
      </c>
      <c r="L89" s="1">
        <f t="shared" ca="1" si="33"/>
        <v>2</v>
      </c>
      <c r="M89" s="1"/>
      <c r="N89" s="1">
        <f t="shared" ca="1" si="34"/>
        <v>349</v>
      </c>
      <c r="O89" s="1">
        <f t="shared" ca="1" si="35"/>
        <v>20</v>
      </c>
      <c r="P89" s="1"/>
      <c r="Q89" s="1">
        <f t="shared" ca="1" si="36"/>
        <v>1.1651432763303973</v>
      </c>
      <c r="R89" s="1">
        <f t="shared" ca="1" si="37"/>
        <v>964</v>
      </c>
      <c r="S89" s="1"/>
      <c r="T89" s="1">
        <f t="shared" ca="1" si="38"/>
        <v>2.8436167856881141E-2</v>
      </c>
      <c r="U89" s="1">
        <f t="shared" ca="1" si="39"/>
        <v>361</v>
      </c>
      <c r="V89" s="1">
        <f t="shared" ca="1" si="40"/>
        <v>29</v>
      </c>
      <c r="W89" s="1"/>
      <c r="X89" s="1">
        <f t="shared" ca="1" si="41"/>
        <v>0.97089024043774841</v>
      </c>
      <c r="Y89" s="1">
        <f t="shared" ca="1" si="42"/>
        <v>0.33525228295685633</v>
      </c>
      <c r="Z89" s="1">
        <f t="shared" ca="1" si="43"/>
        <v>527</v>
      </c>
      <c r="AB89" s="1">
        <f t="shared" ca="1" si="44"/>
        <v>0.75592239607962586</v>
      </c>
      <c r="AC89" s="1">
        <f t="shared" ca="1" si="45"/>
        <v>920</v>
      </c>
      <c r="AD89" s="1">
        <f t="shared" ca="1" si="46"/>
        <v>6.6645865642832279E-3</v>
      </c>
      <c r="AE89" s="1"/>
      <c r="AF89" s="1">
        <f t="shared" ca="1" si="47"/>
        <v>0.5493378787303288</v>
      </c>
      <c r="AG89" s="1">
        <f t="shared" ca="1" si="48"/>
        <v>360</v>
      </c>
      <c r="AH89" s="1">
        <f t="shared" ca="1" si="49"/>
        <v>9.7024994737336546E-3</v>
      </c>
    </row>
    <row r="90" spans="2:34" x14ac:dyDescent="0.25">
      <c r="B90">
        <f t="shared" ca="1" si="25"/>
        <v>904</v>
      </c>
      <c r="C90">
        <f t="shared" ca="1" si="26"/>
        <v>23</v>
      </c>
      <c r="D90">
        <f t="shared" ca="1" si="27"/>
        <v>0.17953285828010956</v>
      </c>
      <c r="F90" s="1">
        <f t="shared" ca="1" si="28"/>
        <v>41</v>
      </c>
      <c r="G90" s="1">
        <f t="shared" ca="1" si="29"/>
        <v>11</v>
      </c>
      <c r="H90" s="1">
        <f t="shared" ca="1" si="30"/>
        <v>14</v>
      </c>
      <c r="I90" s="1"/>
      <c r="J90" s="1">
        <f t="shared" ca="1" si="31"/>
        <v>16</v>
      </c>
      <c r="K90" s="1">
        <f t="shared" ca="1" si="32"/>
        <v>2.022270375620828</v>
      </c>
      <c r="L90" s="1">
        <f t="shared" ca="1" si="33"/>
        <v>17</v>
      </c>
      <c r="M90" s="1"/>
      <c r="N90" s="1">
        <f t="shared" ca="1" si="34"/>
        <v>507</v>
      </c>
      <c r="O90" s="1">
        <f t="shared" ca="1" si="35"/>
        <v>44</v>
      </c>
      <c r="P90" s="1"/>
      <c r="Q90" s="1">
        <f t="shared" ca="1" si="36"/>
        <v>4.5042408141404033</v>
      </c>
      <c r="R90" s="1">
        <f t="shared" ca="1" si="37"/>
        <v>873</v>
      </c>
      <c r="S90" s="1"/>
      <c r="T90" s="1">
        <f t="shared" ca="1" si="38"/>
        <v>0.11839302733927438</v>
      </c>
      <c r="U90" s="1">
        <f t="shared" ca="1" si="39"/>
        <v>117</v>
      </c>
      <c r="V90" s="1">
        <f t="shared" ca="1" si="40"/>
        <v>3</v>
      </c>
      <c r="W90" s="1"/>
      <c r="X90" s="1">
        <f t="shared" ca="1" si="41"/>
        <v>6.9787610311872488</v>
      </c>
      <c r="Y90" s="1">
        <f t="shared" ca="1" si="42"/>
        <v>0.2448123405598541</v>
      </c>
      <c r="Z90" s="1">
        <f t="shared" ca="1" si="43"/>
        <v>1819</v>
      </c>
      <c r="AB90" s="1">
        <f t="shared" ca="1" si="44"/>
        <v>0.55486324490916483</v>
      </c>
      <c r="AC90" s="1">
        <f t="shared" ca="1" si="45"/>
        <v>248</v>
      </c>
      <c r="AD90" s="1">
        <f t="shared" ca="1" si="46"/>
        <v>4.5476323811091717E-4</v>
      </c>
      <c r="AE90" s="1"/>
      <c r="AF90" s="1">
        <f t="shared" ca="1" si="47"/>
        <v>0.42442993044124167</v>
      </c>
      <c r="AG90" s="1">
        <f t="shared" ca="1" si="48"/>
        <v>848</v>
      </c>
      <c r="AH90" s="1">
        <f t="shared" ca="1" si="49"/>
        <v>5.6365971568514382E-3</v>
      </c>
    </row>
    <row r="91" spans="2:34" x14ac:dyDescent="0.25">
      <c r="B91">
        <f t="shared" ca="1" si="25"/>
        <v>810</v>
      </c>
      <c r="C91">
        <f t="shared" ca="1" si="26"/>
        <v>20</v>
      </c>
      <c r="D91">
        <f t="shared" ca="1" si="27"/>
        <v>0.23080782561323743</v>
      </c>
      <c r="F91" s="1">
        <f t="shared" ca="1" si="28"/>
        <v>51</v>
      </c>
      <c r="G91" s="1">
        <f t="shared" ca="1" si="29"/>
        <v>11</v>
      </c>
      <c r="H91" s="1">
        <f t="shared" ca="1" si="30"/>
        <v>3</v>
      </c>
      <c r="I91" s="1"/>
      <c r="J91" s="1">
        <f t="shared" ca="1" si="31"/>
        <v>16</v>
      </c>
      <c r="K91" s="1">
        <f t="shared" ca="1" si="32"/>
        <v>2.6135329655709976</v>
      </c>
      <c r="L91" s="1">
        <f t="shared" ca="1" si="33"/>
        <v>15</v>
      </c>
      <c r="M91" s="1"/>
      <c r="N91" s="1">
        <f t="shared" ca="1" si="34"/>
        <v>485</v>
      </c>
      <c r="O91" s="1">
        <f t="shared" ca="1" si="35"/>
        <v>24</v>
      </c>
      <c r="P91" s="1"/>
      <c r="Q91" s="1">
        <f t="shared" ca="1" si="36"/>
        <v>4.378236436353439</v>
      </c>
      <c r="R91" s="1">
        <f t="shared" ca="1" si="37"/>
        <v>444</v>
      </c>
      <c r="S91" s="1"/>
      <c r="T91" s="1">
        <f t="shared" ca="1" si="38"/>
        <v>9.3295579008073268E-2</v>
      </c>
      <c r="U91" s="1">
        <f t="shared" ca="1" si="39"/>
        <v>159</v>
      </c>
      <c r="V91" s="1">
        <f t="shared" ca="1" si="40"/>
        <v>31</v>
      </c>
      <c r="W91" s="1"/>
      <c r="X91" s="1">
        <f t="shared" ca="1" si="41"/>
        <v>1.884655501546993</v>
      </c>
      <c r="Y91" s="1">
        <f t="shared" ca="1" si="42"/>
        <v>0.45521438761056987</v>
      </c>
      <c r="Z91" s="1">
        <f t="shared" ca="1" si="43"/>
        <v>1805</v>
      </c>
      <c r="AB91" s="1">
        <f t="shared" ca="1" si="44"/>
        <v>0.89627602418555741</v>
      </c>
      <c r="AC91" s="1">
        <f t="shared" ca="1" si="45"/>
        <v>909</v>
      </c>
      <c r="AD91" s="1">
        <f t="shared" ca="1" si="46"/>
        <v>4.08457664033133E-3</v>
      </c>
      <c r="AE91" s="1"/>
      <c r="AF91" s="1">
        <f t="shared" ca="1" si="47"/>
        <v>0.77361720591221406</v>
      </c>
      <c r="AG91" s="1">
        <f t="shared" ca="1" si="48"/>
        <v>235</v>
      </c>
      <c r="AH91" s="1">
        <f t="shared" ca="1" si="49"/>
        <v>7.3026005042230958E-3</v>
      </c>
    </row>
    <row r="92" spans="2:34" x14ac:dyDescent="0.25">
      <c r="B92">
        <f t="shared" ca="1" si="25"/>
        <v>158</v>
      </c>
      <c r="C92">
        <f t="shared" ca="1" si="26"/>
        <v>12</v>
      </c>
      <c r="D92">
        <f t="shared" ca="1" si="27"/>
        <v>6.6833641830928478E-2</v>
      </c>
      <c r="F92" s="1">
        <f t="shared" ca="1" si="28"/>
        <v>22</v>
      </c>
      <c r="G92" s="1">
        <f t="shared" ca="1" si="29"/>
        <v>17</v>
      </c>
      <c r="H92" s="1">
        <f t="shared" ca="1" si="30"/>
        <v>3</v>
      </c>
      <c r="I92" s="1"/>
      <c r="J92" s="1">
        <f t="shared" ca="1" si="31"/>
        <v>30</v>
      </c>
      <c r="K92" s="1">
        <f t="shared" ca="1" si="32"/>
        <v>2.2865445864200362</v>
      </c>
      <c r="L92" s="1">
        <f t="shared" ca="1" si="33"/>
        <v>20</v>
      </c>
      <c r="M92" s="1"/>
      <c r="N92" s="1">
        <f t="shared" ca="1" si="34"/>
        <v>286</v>
      </c>
      <c r="O92" s="1">
        <f t="shared" ca="1" si="35"/>
        <v>28</v>
      </c>
      <c r="P92" s="1"/>
      <c r="Q92" s="1">
        <f t="shared" ca="1" si="36"/>
        <v>3.4120517213913799</v>
      </c>
      <c r="R92" s="1">
        <f t="shared" ca="1" si="37"/>
        <v>1122</v>
      </c>
      <c r="S92" s="1"/>
      <c r="T92" s="1">
        <f t="shared" ca="1" si="38"/>
        <v>2.647150030389718E-2</v>
      </c>
      <c r="U92" s="1">
        <f t="shared" ca="1" si="39"/>
        <v>419</v>
      </c>
      <c r="V92" s="1">
        <f t="shared" ca="1" si="40"/>
        <v>4</v>
      </c>
      <c r="W92" s="1"/>
      <c r="X92" s="1">
        <f t="shared" ca="1" si="41"/>
        <v>8.9307344511991058</v>
      </c>
      <c r="Y92" s="1">
        <f t="shared" ca="1" si="42"/>
        <v>0.6986258901884097</v>
      </c>
      <c r="Z92" s="1">
        <f t="shared" ca="1" si="43"/>
        <v>473</v>
      </c>
      <c r="AB92" s="1">
        <f t="shared" ca="1" si="44"/>
        <v>0.91369209815074681</v>
      </c>
      <c r="AC92" s="1">
        <f t="shared" ca="1" si="45"/>
        <v>355</v>
      </c>
      <c r="AD92" s="1">
        <f t="shared" ca="1" si="46"/>
        <v>5.43762763521362E-3</v>
      </c>
      <c r="AE92" s="1"/>
      <c r="AF92" s="1">
        <f t="shared" ca="1" si="47"/>
        <v>0.21903514029340221</v>
      </c>
      <c r="AG92" s="1">
        <f t="shared" ca="1" si="48"/>
        <v>284</v>
      </c>
      <c r="AH92" s="1">
        <f t="shared" ca="1" si="49"/>
        <v>8.9811646493274475E-3</v>
      </c>
    </row>
    <row r="93" spans="2:34" x14ac:dyDescent="0.25">
      <c r="B93">
        <f t="shared" ca="1" si="25"/>
        <v>103</v>
      </c>
      <c r="C93">
        <f t="shared" ca="1" si="26"/>
        <v>40</v>
      </c>
      <c r="D93">
        <f t="shared" ca="1" si="27"/>
        <v>0.15653803620455678</v>
      </c>
      <c r="F93" s="1">
        <f t="shared" ca="1" si="28"/>
        <v>33</v>
      </c>
      <c r="G93" s="1">
        <f t="shared" ca="1" si="29"/>
        <v>27</v>
      </c>
      <c r="H93" s="1">
        <f t="shared" ca="1" si="30"/>
        <v>4</v>
      </c>
      <c r="I93" s="1"/>
      <c r="J93" s="1">
        <f t="shared" ca="1" si="31"/>
        <v>16</v>
      </c>
      <c r="K93" s="1">
        <f t="shared" ca="1" si="32"/>
        <v>2.1900519385410346</v>
      </c>
      <c r="L93" s="1">
        <f t="shared" ca="1" si="33"/>
        <v>7</v>
      </c>
      <c r="M93" s="1"/>
      <c r="N93" s="1">
        <f t="shared" ca="1" si="34"/>
        <v>94</v>
      </c>
      <c r="O93" s="1">
        <f t="shared" ca="1" si="35"/>
        <v>37</v>
      </c>
      <c r="P93" s="1"/>
      <c r="Q93" s="1">
        <f t="shared" ca="1" si="36"/>
        <v>3.8982826268983377</v>
      </c>
      <c r="R93" s="1">
        <f t="shared" ca="1" si="37"/>
        <v>347</v>
      </c>
      <c r="S93" s="1"/>
      <c r="T93" s="1">
        <f t="shared" ca="1" si="38"/>
        <v>0.11797321654464633</v>
      </c>
      <c r="U93" s="1">
        <f t="shared" ca="1" si="39"/>
        <v>70</v>
      </c>
      <c r="V93" s="1">
        <f t="shared" ca="1" si="40"/>
        <v>16</v>
      </c>
      <c r="W93" s="1"/>
      <c r="X93" s="1">
        <f t="shared" ca="1" si="41"/>
        <v>6.7938691082533769</v>
      </c>
      <c r="Y93" s="1">
        <f t="shared" ca="1" si="42"/>
        <v>0.84090578311468756</v>
      </c>
      <c r="Z93" s="1">
        <f t="shared" ca="1" si="43"/>
        <v>221</v>
      </c>
      <c r="AB93" s="1">
        <f t="shared" ca="1" si="44"/>
        <v>0.97242829127826302</v>
      </c>
      <c r="AC93" s="1">
        <f t="shared" ca="1" si="45"/>
        <v>452</v>
      </c>
      <c r="AD93" s="1">
        <f t="shared" ca="1" si="46"/>
        <v>2.2059869767707658E-4</v>
      </c>
      <c r="AE93" s="1"/>
      <c r="AF93" s="1">
        <f t="shared" ca="1" si="47"/>
        <v>0.10351400047797191</v>
      </c>
      <c r="AG93" s="1">
        <f t="shared" ca="1" si="48"/>
        <v>423</v>
      </c>
      <c r="AH93" s="1">
        <f t="shared" ca="1" si="49"/>
        <v>3.2253760407771181E-3</v>
      </c>
    </row>
    <row r="94" spans="2:34" x14ac:dyDescent="0.25">
      <c r="B94">
        <f t="shared" ca="1" si="25"/>
        <v>275</v>
      </c>
      <c r="C94">
        <f t="shared" ca="1" si="26"/>
        <v>43</v>
      </c>
      <c r="D94">
        <f t="shared" ca="1" si="27"/>
        <v>0.14101145721154404</v>
      </c>
      <c r="F94" s="1">
        <f t="shared" ca="1" si="28"/>
        <v>6</v>
      </c>
      <c r="G94" s="1">
        <f t="shared" ca="1" si="29"/>
        <v>11</v>
      </c>
      <c r="H94" s="1">
        <f t="shared" ca="1" si="30"/>
        <v>5</v>
      </c>
      <c r="I94" s="1"/>
      <c r="J94" s="1">
        <f t="shared" ca="1" si="31"/>
        <v>37</v>
      </c>
      <c r="K94" s="1">
        <f t="shared" ca="1" si="32"/>
        <v>2.1325871431972101</v>
      </c>
      <c r="L94" s="1">
        <f t="shared" ca="1" si="33"/>
        <v>11</v>
      </c>
      <c r="M94" s="1"/>
      <c r="N94" s="1">
        <f t="shared" ca="1" si="34"/>
        <v>306</v>
      </c>
      <c r="O94" s="1">
        <f t="shared" ca="1" si="35"/>
        <v>38</v>
      </c>
      <c r="P94" s="1"/>
      <c r="Q94" s="1">
        <f t="shared" ca="1" si="36"/>
        <v>4.4788666523044753</v>
      </c>
      <c r="R94" s="1">
        <f t="shared" ca="1" si="37"/>
        <v>346</v>
      </c>
      <c r="S94" s="1"/>
      <c r="T94" s="1">
        <f t="shared" ca="1" si="38"/>
        <v>3.3170860122371741E-2</v>
      </c>
      <c r="U94" s="1">
        <f t="shared" ca="1" si="39"/>
        <v>309</v>
      </c>
      <c r="V94" s="1">
        <f t="shared" ca="1" si="40"/>
        <v>47</v>
      </c>
      <c r="W94" s="1"/>
      <c r="X94" s="1">
        <f t="shared" ca="1" si="41"/>
        <v>9.7021738126398578</v>
      </c>
      <c r="Y94" s="1">
        <f t="shared" ca="1" si="42"/>
        <v>0.95718059802277711</v>
      </c>
      <c r="Z94" s="1">
        <f t="shared" ca="1" si="43"/>
        <v>1162</v>
      </c>
      <c r="AB94" s="1">
        <f t="shared" ca="1" si="44"/>
        <v>0.55424481635170653</v>
      </c>
      <c r="AC94" s="1">
        <f t="shared" ca="1" si="45"/>
        <v>626</v>
      </c>
      <c r="AD94" s="1">
        <f t="shared" ca="1" si="46"/>
        <v>3.9565621564950516E-3</v>
      </c>
      <c r="AE94" s="1"/>
      <c r="AF94" s="1">
        <f t="shared" ca="1" si="47"/>
        <v>0.11423559261858857</v>
      </c>
      <c r="AG94" s="1">
        <f t="shared" ca="1" si="48"/>
        <v>858</v>
      </c>
      <c r="AH94" s="1">
        <f t="shared" ca="1" si="49"/>
        <v>1.946209872689777E-3</v>
      </c>
    </row>
    <row r="95" spans="2:34" x14ac:dyDescent="0.25">
      <c r="B95">
        <f t="shared" ca="1" si="25"/>
        <v>242</v>
      </c>
      <c r="C95">
        <f t="shared" ca="1" si="26"/>
        <v>25</v>
      </c>
      <c r="D95">
        <f t="shared" ca="1" si="27"/>
        <v>7.4360962097064859E-2</v>
      </c>
      <c r="F95" s="1">
        <f t="shared" ca="1" si="28"/>
        <v>2</v>
      </c>
      <c r="G95" s="1">
        <f t="shared" ca="1" si="29"/>
        <v>10</v>
      </c>
      <c r="H95" s="1">
        <f t="shared" ca="1" si="30"/>
        <v>14</v>
      </c>
      <c r="I95" s="1"/>
      <c r="J95" s="1">
        <f t="shared" ca="1" si="31"/>
        <v>10</v>
      </c>
      <c r="K95" s="1">
        <f t="shared" ca="1" si="32"/>
        <v>1.1894404996668961</v>
      </c>
      <c r="L95" s="1">
        <f t="shared" ca="1" si="33"/>
        <v>21</v>
      </c>
      <c r="M95" s="1"/>
      <c r="N95" s="1">
        <f t="shared" ca="1" si="34"/>
        <v>304</v>
      </c>
      <c r="O95" s="1">
        <f t="shared" ca="1" si="35"/>
        <v>18</v>
      </c>
      <c r="P95" s="1"/>
      <c r="Q95" s="1">
        <f t="shared" ca="1" si="36"/>
        <v>2.4424795229760208</v>
      </c>
      <c r="R95" s="1">
        <f t="shared" ca="1" si="37"/>
        <v>1179</v>
      </c>
      <c r="S95" s="1"/>
      <c r="T95" s="1">
        <f t="shared" ca="1" si="38"/>
        <v>4.2006391455472039E-2</v>
      </c>
      <c r="U95" s="1">
        <f t="shared" ca="1" si="39"/>
        <v>364</v>
      </c>
      <c r="V95" s="1">
        <f t="shared" ca="1" si="40"/>
        <v>10</v>
      </c>
      <c r="W95" s="1"/>
      <c r="X95" s="1">
        <f t="shared" ca="1" si="41"/>
        <v>8.3094929808763247</v>
      </c>
      <c r="Y95" s="1">
        <f t="shared" ca="1" si="42"/>
        <v>0.91154689925314658</v>
      </c>
      <c r="Z95" s="1">
        <f t="shared" ca="1" si="43"/>
        <v>1119</v>
      </c>
      <c r="AB95" s="1">
        <f t="shared" ca="1" si="44"/>
        <v>0.15105230992220803</v>
      </c>
      <c r="AC95" s="1">
        <f t="shared" ca="1" si="45"/>
        <v>845</v>
      </c>
      <c r="AD95" s="1">
        <f t="shared" ca="1" si="46"/>
        <v>6.5606626363289349E-3</v>
      </c>
      <c r="AE95" s="1"/>
      <c r="AF95" s="1">
        <f t="shared" ca="1" si="47"/>
        <v>0.71506144964025908</v>
      </c>
      <c r="AG95" s="1">
        <f t="shared" ca="1" si="48"/>
        <v>668</v>
      </c>
      <c r="AH95" s="1">
        <f t="shared" ca="1" si="49"/>
        <v>4.2416882140558429E-3</v>
      </c>
    </row>
    <row r="96" spans="2:34" x14ac:dyDescent="0.25">
      <c r="B96">
        <f t="shared" ca="1" si="25"/>
        <v>963</v>
      </c>
      <c r="C96">
        <f t="shared" ca="1" si="26"/>
        <v>24</v>
      </c>
      <c r="D96">
        <f t="shared" ca="1" si="27"/>
        <v>0.23151969106917308</v>
      </c>
      <c r="F96" s="1">
        <f t="shared" ca="1" si="28"/>
        <v>43</v>
      </c>
      <c r="G96" s="1">
        <f t="shared" ca="1" si="29"/>
        <v>2</v>
      </c>
      <c r="H96" s="1">
        <f t="shared" ca="1" si="30"/>
        <v>5</v>
      </c>
      <c r="I96" s="1"/>
      <c r="J96" s="1">
        <f t="shared" ca="1" si="31"/>
        <v>33</v>
      </c>
      <c r="K96" s="1">
        <f t="shared" ca="1" si="32"/>
        <v>2.4395944381171537</v>
      </c>
      <c r="L96" s="1">
        <f t="shared" ca="1" si="33"/>
        <v>3</v>
      </c>
      <c r="M96" s="1"/>
      <c r="N96" s="1">
        <f t="shared" ca="1" si="34"/>
        <v>99</v>
      </c>
      <c r="O96" s="1">
        <f t="shared" ca="1" si="35"/>
        <v>34</v>
      </c>
      <c r="P96" s="1"/>
      <c r="Q96" s="1">
        <f t="shared" ca="1" si="36"/>
        <v>4.0947580201435052</v>
      </c>
      <c r="R96" s="1">
        <f t="shared" ca="1" si="37"/>
        <v>747</v>
      </c>
      <c r="S96" s="1"/>
      <c r="T96" s="1">
        <f t="shared" ca="1" si="38"/>
        <v>0.17126612802843494</v>
      </c>
      <c r="U96" s="1">
        <f t="shared" ca="1" si="39"/>
        <v>418</v>
      </c>
      <c r="V96" s="1">
        <f t="shared" ca="1" si="40"/>
        <v>35</v>
      </c>
      <c r="W96" s="1"/>
      <c r="X96" s="1">
        <f t="shared" ca="1" si="41"/>
        <v>9.5126165312802886</v>
      </c>
      <c r="Y96" s="1">
        <f t="shared" ca="1" si="42"/>
        <v>0.63920207896020531</v>
      </c>
      <c r="Z96" s="1">
        <f t="shared" ca="1" si="43"/>
        <v>1103</v>
      </c>
      <c r="AB96" s="1">
        <f t="shared" ca="1" si="44"/>
        <v>0.49564707217566994</v>
      </c>
      <c r="AC96" s="1">
        <f t="shared" ca="1" si="45"/>
        <v>103</v>
      </c>
      <c r="AD96" s="1">
        <f t="shared" ca="1" si="46"/>
        <v>1.9710289053820854E-3</v>
      </c>
      <c r="AE96" s="1"/>
      <c r="AF96" s="1">
        <f t="shared" ca="1" si="47"/>
        <v>0.55963886572506583</v>
      </c>
      <c r="AG96" s="1">
        <f t="shared" ca="1" si="48"/>
        <v>456</v>
      </c>
      <c r="AH96" s="1">
        <f t="shared" ca="1" si="49"/>
        <v>6.8644430803879147E-3</v>
      </c>
    </row>
    <row r="97" spans="2:34" x14ac:dyDescent="0.25">
      <c r="B97">
        <f t="shared" ca="1" si="25"/>
        <v>336</v>
      </c>
      <c r="C97">
        <f t="shared" ca="1" si="26"/>
        <v>13</v>
      </c>
      <c r="D97">
        <f t="shared" ca="1" si="27"/>
        <v>9.4729134113402738E-2</v>
      </c>
      <c r="F97" s="1">
        <f t="shared" ca="1" si="28"/>
        <v>16</v>
      </c>
      <c r="G97" s="1">
        <f t="shared" ca="1" si="29"/>
        <v>10</v>
      </c>
      <c r="H97" s="1">
        <f t="shared" ca="1" si="30"/>
        <v>10</v>
      </c>
      <c r="I97" s="1"/>
      <c r="J97" s="1">
        <f t="shared" ca="1" si="31"/>
        <v>18</v>
      </c>
      <c r="K97" s="1">
        <f t="shared" ca="1" si="32"/>
        <v>2.7826733669407058</v>
      </c>
      <c r="L97" s="1">
        <f t="shared" ca="1" si="33"/>
        <v>4</v>
      </c>
      <c r="M97" s="1"/>
      <c r="N97" s="1">
        <f t="shared" ca="1" si="34"/>
        <v>349</v>
      </c>
      <c r="O97" s="1">
        <f t="shared" ca="1" si="35"/>
        <v>9</v>
      </c>
      <c r="P97" s="1"/>
      <c r="Q97" s="1">
        <f t="shared" ca="1" si="36"/>
        <v>3.6213037110590349</v>
      </c>
      <c r="R97" s="1">
        <f t="shared" ca="1" si="37"/>
        <v>567</v>
      </c>
      <c r="S97" s="1"/>
      <c r="T97" s="1">
        <f t="shared" ca="1" si="38"/>
        <v>2.8277681070537151E-2</v>
      </c>
      <c r="U97" s="1">
        <f t="shared" ca="1" si="39"/>
        <v>406</v>
      </c>
      <c r="V97" s="1">
        <f t="shared" ca="1" si="40"/>
        <v>23</v>
      </c>
      <c r="W97" s="1"/>
      <c r="X97" s="1">
        <f t="shared" ca="1" si="41"/>
        <v>5.6358230781958385</v>
      </c>
      <c r="Y97" s="1">
        <f t="shared" ca="1" si="42"/>
        <v>0.25124163411577294</v>
      </c>
      <c r="Z97" s="1">
        <f t="shared" ca="1" si="43"/>
        <v>511</v>
      </c>
      <c r="AB97" s="1">
        <f t="shared" ca="1" si="44"/>
        <v>0.78339199987617825</v>
      </c>
      <c r="AC97" s="1">
        <f t="shared" ca="1" si="45"/>
        <v>568</v>
      </c>
      <c r="AD97" s="1">
        <f t="shared" ca="1" si="46"/>
        <v>9.1260617078670371E-3</v>
      </c>
      <c r="AE97" s="1"/>
      <c r="AF97" s="1">
        <f t="shared" ca="1" si="47"/>
        <v>0.83003955641492877</v>
      </c>
      <c r="AG97" s="1">
        <f t="shared" ca="1" si="48"/>
        <v>837</v>
      </c>
      <c r="AH97" s="1">
        <f t="shared" ca="1" si="49"/>
        <v>9.739537956177621E-3</v>
      </c>
    </row>
    <row r="98" spans="2:34" x14ac:dyDescent="0.25">
      <c r="B98">
        <f t="shared" ca="1" si="25"/>
        <v>368</v>
      </c>
      <c r="C98">
        <f t="shared" ca="1" si="26"/>
        <v>47</v>
      </c>
      <c r="D98">
        <f t="shared" ca="1" si="27"/>
        <v>8.4546312267419016E-2</v>
      </c>
      <c r="F98" s="1">
        <f t="shared" ca="1" si="28"/>
        <v>45</v>
      </c>
      <c r="G98" s="1">
        <f t="shared" ca="1" si="29"/>
        <v>6</v>
      </c>
      <c r="H98" s="1">
        <f t="shared" ca="1" si="30"/>
        <v>7</v>
      </c>
      <c r="I98" s="1"/>
      <c r="J98" s="1">
        <f t="shared" ca="1" si="31"/>
        <v>23</v>
      </c>
      <c r="K98" s="1">
        <f t="shared" ca="1" si="32"/>
        <v>1.2323312914589268</v>
      </c>
      <c r="L98" s="1">
        <f t="shared" ca="1" si="33"/>
        <v>6</v>
      </c>
      <c r="M98" s="1"/>
      <c r="N98" s="1">
        <f t="shared" ca="1" si="34"/>
        <v>439</v>
      </c>
      <c r="O98" s="1">
        <f t="shared" ca="1" si="35"/>
        <v>11</v>
      </c>
      <c r="P98" s="1"/>
      <c r="Q98" s="1">
        <f t="shared" ca="1" si="36"/>
        <v>2.0488864848539632</v>
      </c>
      <c r="R98" s="1">
        <f t="shared" ca="1" si="37"/>
        <v>335</v>
      </c>
      <c r="S98" s="1"/>
      <c r="T98" s="1">
        <f t="shared" ca="1" si="38"/>
        <v>6.0751262013749752E-2</v>
      </c>
      <c r="U98" s="1">
        <f t="shared" ca="1" si="39"/>
        <v>80</v>
      </c>
      <c r="V98" s="1">
        <f t="shared" ca="1" si="40"/>
        <v>30</v>
      </c>
      <c r="W98" s="1"/>
      <c r="X98" s="1">
        <f t="shared" ca="1" si="41"/>
        <v>2.5824776429303404</v>
      </c>
      <c r="Y98" s="1">
        <f t="shared" ca="1" si="42"/>
        <v>0.59549937606256431</v>
      </c>
      <c r="Z98" s="1">
        <f t="shared" ca="1" si="43"/>
        <v>1595</v>
      </c>
      <c r="AB98" s="1">
        <f t="shared" ca="1" si="44"/>
        <v>1.6589877458808761E-2</v>
      </c>
      <c r="AC98" s="1">
        <f t="shared" ca="1" si="45"/>
        <v>780</v>
      </c>
      <c r="AD98" s="1">
        <f t="shared" ca="1" si="46"/>
        <v>6.8869455439337533E-3</v>
      </c>
      <c r="AE98" s="1"/>
      <c r="AF98" s="1">
        <f t="shared" ca="1" si="47"/>
        <v>0.77425424685273869</v>
      </c>
      <c r="AG98" s="1">
        <f t="shared" ca="1" si="48"/>
        <v>983</v>
      </c>
      <c r="AH98" s="1">
        <f t="shared" ca="1" si="49"/>
        <v>4.8087596462657468E-3</v>
      </c>
    </row>
    <row r="99" spans="2:34" x14ac:dyDescent="0.25">
      <c r="B99">
        <f t="shared" ca="1" si="25"/>
        <v>789</v>
      </c>
      <c r="C99">
        <f t="shared" ca="1" si="26"/>
        <v>51</v>
      </c>
      <c r="D99">
        <f t="shared" ca="1" si="27"/>
        <v>7.6745955278515673E-2</v>
      </c>
      <c r="F99" s="1">
        <f t="shared" ca="1" si="28"/>
        <v>25</v>
      </c>
      <c r="G99" s="1">
        <f t="shared" ca="1" si="29"/>
        <v>30</v>
      </c>
      <c r="H99" s="1">
        <f t="shared" ca="1" si="30"/>
        <v>13</v>
      </c>
      <c r="I99" s="1"/>
      <c r="J99" s="1">
        <f t="shared" ca="1" si="31"/>
        <v>26</v>
      </c>
      <c r="K99" s="1">
        <f t="shared" ca="1" si="32"/>
        <v>2.8462049676776542</v>
      </c>
      <c r="L99" s="1">
        <f t="shared" ca="1" si="33"/>
        <v>15</v>
      </c>
      <c r="M99" s="1"/>
      <c r="N99" s="1">
        <f t="shared" ca="1" si="34"/>
        <v>492</v>
      </c>
      <c r="O99" s="1">
        <f t="shared" ca="1" si="35"/>
        <v>19</v>
      </c>
      <c r="P99" s="1"/>
      <c r="Q99" s="1">
        <f t="shared" ca="1" si="36"/>
        <v>3.5000943455259148</v>
      </c>
      <c r="R99" s="1">
        <f t="shared" ca="1" si="37"/>
        <v>832</v>
      </c>
      <c r="S99" s="1"/>
      <c r="T99" s="1">
        <f t="shared" ca="1" si="38"/>
        <v>3.660388454819425E-2</v>
      </c>
      <c r="U99" s="1">
        <f t="shared" ca="1" si="39"/>
        <v>384</v>
      </c>
      <c r="V99" s="1">
        <f t="shared" ca="1" si="40"/>
        <v>3</v>
      </c>
      <c r="W99" s="1"/>
      <c r="X99" s="1">
        <f t="shared" ca="1" si="41"/>
        <v>8.2530739581067145</v>
      </c>
      <c r="Y99" s="1">
        <f t="shared" ca="1" si="42"/>
        <v>8.6361722202878299E-2</v>
      </c>
      <c r="Z99" s="1">
        <f t="shared" ca="1" si="43"/>
        <v>1404</v>
      </c>
      <c r="AB99" s="1">
        <f t="shared" ca="1" si="44"/>
        <v>0.53668789140678919</v>
      </c>
      <c r="AC99" s="1">
        <f t="shared" ca="1" si="45"/>
        <v>644</v>
      </c>
      <c r="AD99" s="1">
        <f t="shared" ca="1" si="46"/>
        <v>5.6810231912457357E-4</v>
      </c>
      <c r="AE99" s="1"/>
      <c r="AF99" s="1">
        <f t="shared" ca="1" si="47"/>
        <v>0.21638318480096805</v>
      </c>
      <c r="AG99" s="1">
        <f t="shared" ca="1" si="48"/>
        <v>655</v>
      </c>
      <c r="AH99" s="1">
        <f t="shared" ca="1" si="49"/>
        <v>6.1524433119106454E-3</v>
      </c>
    </row>
    <row r="100" spans="2:34" x14ac:dyDescent="0.25">
      <c r="B100">
        <f t="shared" ca="1" si="25"/>
        <v>924</v>
      </c>
      <c r="C100">
        <f t="shared" ca="1" si="26"/>
        <v>2</v>
      </c>
      <c r="D100">
        <f t="shared" ca="1" si="27"/>
        <v>5.5717560608912316E-2</v>
      </c>
      <c r="F100" s="1">
        <f t="shared" ca="1" si="28"/>
        <v>8</v>
      </c>
      <c r="G100" s="1">
        <f t="shared" ca="1" si="29"/>
        <v>28</v>
      </c>
      <c r="H100" s="1">
        <f t="shared" ca="1" si="30"/>
        <v>10</v>
      </c>
      <c r="I100" s="1"/>
      <c r="J100" s="1">
        <f t="shared" ca="1" si="31"/>
        <v>34</v>
      </c>
      <c r="K100" s="1">
        <f t="shared" ca="1" si="32"/>
        <v>2.3174177371770868</v>
      </c>
      <c r="L100" s="1">
        <f t="shared" ca="1" si="33"/>
        <v>9</v>
      </c>
      <c r="M100" s="1"/>
      <c r="N100" s="1">
        <f t="shared" ca="1" si="34"/>
        <v>165</v>
      </c>
      <c r="O100" s="1">
        <f t="shared" ca="1" si="35"/>
        <v>44</v>
      </c>
      <c r="P100" s="1"/>
      <c r="Q100" s="1">
        <f t="shared" ca="1" si="36"/>
        <v>1.5987175386832642</v>
      </c>
      <c r="R100" s="1">
        <f t="shared" ca="1" si="37"/>
        <v>679</v>
      </c>
      <c r="S100" s="1"/>
      <c r="T100" s="1">
        <f t="shared" ca="1" si="38"/>
        <v>7.8712752659262683E-2</v>
      </c>
      <c r="U100" s="1">
        <f t="shared" ca="1" si="39"/>
        <v>206</v>
      </c>
      <c r="V100" s="1">
        <f t="shared" ca="1" si="40"/>
        <v>37</v>
      </c>
      <c r="W100" s="1"/>
      <c r="X100" s="1">
        <f t="shared" ca="1" si="41"/>
        <v>8.3319635735970063</v>
      </c>
      <c r="Y100" s="1">
        <f t="shared" ca="1" si="42"/>
        <v>0.9790143878753802</v>
      </c>
      <c r="Z100" s="1">
        <f t="shared" ca="1" si="43"/>
        <v>1528</v>
      </c>
      <c r="AB100" s="1">
        <f t="shared" ca="1" si="44"/>
        <v>0.9334048236455017</v>
      </c>
      <c r="AC100" s="1">
        <f t="shared" ca="1" si="45"/>
        <v>801</v>
      </c>
      <c r="AD100" s="1">
        <f t="shared" ca="1" si="46"/>
        <v>8.4774059040163465E-3</v>
      </c>
      <c r="AE100" s="1"/>
      <c r="AF100" s="1">
        <f t="shared" ca="1" si="47"/>
        <v>0.23849135794300036</v>
      </c>
      <c r="AG100" s="1">
        <f t="shared" ca="1" si="48"/>
        <v>248</v>
      </c>
      <c r="AH100" s="1">
        <f t="shared" ca="1" si="49"/>
        <v>1.5962091025694652E-3</v>
      </c>
    </row>
    <row r="101" spans="2:34" x14ac:dyDescent="0.25">
      <c r="B101">
        <f t="shared" ca="1" si="25"/>
        <v>870</v>
      </c>
      <c r="C101">
        <f t="shared" ca="1" si="26"/>
        <v>26</v>
      </c>
      <c r="D101">
        <f t="shared" ca="1" si="27"/>
        <v>0.11532838588678503</v>
      </c>
      <c r="F101" s="1">
        <f t="shared" ca="1" si="28"/>
        <v>28</v>
      </c>
      <c r="G101" s="1">
        <f t="shared" ca="1" si="29"/>
        <v>14</v>
      </c>
      <c r="H101" s="1">
        <f t="shared" ca="1" si="30"/>
        <v>2</v>
      </c>
      <c r="I101" s="1"/>
      <c r="J101" s="1">
        <f t="shared" ca="1" si="31"/>
        <v>38</v>
      </c>
      <c r="K101" s="1">
        <f t="shared" ca="1" si="32"/>
        <v>1.1857015210865613</v>
      </c>
      <c r="L101" s="1">
        <f t="shared" ca="1" si="33"/>
        <v>26</v>
      </c>
      <c r="M101" s="1"/>
      <c r="N101" s="1">
        <f t="shared" ca="1" si="34"/>
        <v>303</v>
      </c>
      <c r="O101" s="1">
        <f t="shared" ca="1" si="35"/>
        <v>12</v>
      </c>
      <c r="P101" s="1"/>
      <c r="Q101" s="1">
        <f t="shared" ca="1" si="36"/>
        <v>3.9696827151120719</v>
      </c>
      <c r="R101" s="1">
        <f t="shared" ca="1" si="37"/>
        <v>449</v>
      </c>
      <c r="S101" s="1"/>
      <c r="T101" s="1">
        <f t="shared" ca="1" si="38"/>
        <v>0.1161964710495573</v>
      </c>
      <c r="U101" s="1">
        <f t="shared" ca="1" si="39"/>
        <v>193</v>
      </c>
      <c r="V101" s="1">
        <f t="shared" ca="1" si="40"/>
        <v>39</v>
      </c>
      <c r="W101" s="1"/>
      <c r="X101" s="1">
        <f t="shared" ca="1" si="41"/>
        <v>6.1817591086372188</v>
      </c>
      <c r="Y101" s="1">
        <f t="shared" ca="1" si="42"/>
        <v>0.23908237110087718</v>
      </c>
      <c r="Z101" s="1">
        <f t="shared" ca="1" si="43"/>
        <v>437</v>
      </c>
      <c r="AB101" s="1">
        <f t="shared" ca="1" si="44"/>
        <v>0.5220225614543299</v>
      </c>
      <c r="AC101" s="1">
        <f t="shared" ca="1" si="45"/>
        <v>309</v>
      </c>
      <c r="AD101" s="1">
        <f t="shared" ca="1" si="46"/>
        <v>5.4127040559251117E-3</v>
      </c>
      <c r="AE101" s="1"/>
      <c r="AF101" s="1">
        <f t="shared" ca="1" si="47"/>
        <v>0.74187916168819545</v>
      </c>
      <c r="AG101" s="1">
        <f t="shared" ca="1" si="48"/>
        <v>932</v>
      </c>
      <c r="AH101" s="1">
        <f t="shared" ca="1" si="49"/>
        <v>6.98903191704686E-3</v>
      </c>
    </row>
    <row r="102" spans="2:34" x14ac:dyDescent="0.25">
      <c r="B102">
        <f t="shared" ca="1" si="25"/>
        <v>843</v>
      </c>
      <c r="C102">
        <f t="shared" ca="1" si="26"/>
        <v>23</v>
      </c>
      <c r="D102">
        <f t="shared" ca="1" si="27"/>
        <v>1.9135910932794823E-2</v>
      </c>
      <c r="F102" s="1">
        <f t="shared" ca="1" si="28"/>
        <v>2</v>
      </c>
      <c r="G102" s="1">
        <f t="shared" ca="1" si="29"/>
        <v>24</v>
      </c>
      <c r="H102" s="1">
        <f t="shared" ca="1" si="30"/>
        <v>1</v>
      </c>
      <c r="I102" s="1"/>
      <c r="J102" s="1">
        <f t="shared" ca="1" si="31"/>
        <v>23</v>
      </c>
      <c r="K102" s="1">
        <f t="shared" ca="1" si="32"/>
        <v>2.1396928357822991</v>
      </c>
      <c r="L102" s="1">
        <f t="shared" ca="1" si="33"/>
        <v>5</v>
      </c>
      <c r="M102" s="1"/>
      <c r="N102" s="1">
        <f t="shared" ca="1" si="34"/>
        <v>371</v>
      </c>
      <c r="O102" s="1">
        <f t="shared" ca="1" si="35"/>
        <v>10</v>
      </c>
      <c r="P102" s="1"/>
      <c r="Q102" s="1">
        <f t="shared" ca="1" si="36"/>
        <v>3.5452184706220851</v>
      </c>
      <c r="R102" s="1">
        <f t="shared" ca="1" si="37"/>
        <v>304</v>
      </c>
      <c r="S102" s="1"/>
      <c r="T102" s="1">
        <f t="shared" ca="1" si="38"/>
        <v>1.2707654058352658E-2</v>
      </c>
      <c r="U102" s="1">
        <f t="shared" ca="1" si="39"/>
        <v>214</v>
      </c>
      <c r="V102" s="1">
        <f t="shared" ca="1" si="40"/>
        <v>27</v>
      </c>
      <c r="W102" s="1"/>
      <c r="X102" s="1">
        <f t="shared" ca="1" si="41"/>
        <v>5.2468332038629919</v>
      </c>
      <c r="Y102" s="1">
        <f t="shared" ca="1" si="42"/>
        <v>0.74102048564543122</v>
      </c>
      <c r="Z102" s="1">
        <f t="shared" ca="1" si="43"/>
        <v>1950</v>
      </c>
      <c r="AB102" s="1">
        <f t="shared" ca="1" si="44"/>
        <v>0.83475344506913784</v>
      </c>
      <c r="AC102" s="1">
        <f t="shared" ca="1" si="45"/>
        <v>835</v>
      </c>
      <c r="AD102" s="1">
        <f t="shared" ca="1" si="46"/>
        <v>2.9629352264655385E-4</v>
      </c>
      <c r="AE102" s="1"/>
      <c r="AF102" s="1">
        <f t="shared" ca="1" si="47"/>
        <v>0.58654361107255049</v>
      </c>
      <c r="AG102" s="1">
        <f t="shared" ca="1" si="48"/>
        <v>197</v>
      </c>
      <c r="AH102" s="1">
        <f t="shared" ca="1" si="49"/>
        <v>4.6914347054950326E-3</v>
      </c>
    </row>
    <row r="103" spans="2:34" x14ac:dyDescent="0.25">
      <c r="B103">
        <f t="shared" ca="1" si="25"/>
        <v>58</v>
      </c>
      <c r="C103">
        <f t="shared" ca="1" si="26"/>
        <v>33</v>
      </c>
      <c r="D103">
        <f t="shared" ca="1" si="27"/>
        <v>0.27225663155598906</v>
      </c>
      <c r="F103" s="1">
        <f t="shared" ca="1" si="28"/>
        <v>46</v>
      </c>
      <c r="G103" s="1">
        <f t="shared" ca="1" si="29"/>
        <v>30</v>
      </c>
      <c r="H103" s="1">
        <f t="shared" ca="1" si="30"/>
        <v>7</v>
      </c>
      <c r="I103" s="1"/>
      <c r="J103" s="1">
        <f t="shared" ca="1" si="31"/>
        <v>23</v>
      </c>
      <c r="K103" s="1">
        <f t="shared" ca="1" si="32"/>
        <v>2.4875347027459496</v>
      </c>
      <c r="L103" s="1">
        <f t="shared" ca="1" si="33"/>
        <v>12</v>
      </c>
      <c r="M103" s="1"/>
      <c r="N103" s="1">
        <f t="shared" ca="1" si="34"/>
        <v>419</v>
      </c>
      <c r="O103" s="1">
        <f t="shared" ca="1" si="35"/>
        <v>30</v>
      </c>
      <c r="P103" s="1"/>
      <c r="Q103" s="1">
        <f t="shared" ca="1" si="36"/>
        <v>0.10799382988594428</v>
      </c>
      <c r="R103" s="1">
        <f t="shared" ca="1" si="37"/>
        <v>1005</v>
      </c>
      <c r="S103" s="1"/>
      <c r="T103" s="1">
        <f t="shared" ca="1" si="38"/>
        <v>2.8803875941976746E-2</v>
      </c>
      <c r="U103" s="1">
        <f t="shared" ca="1" si="39"/>
        <v>403</v>
      </c>
      <c r="V103" s="1">
        <f t="shared" ca="1" si="40"/>
        <v>18</v>
      </c>
      <c r="W103" s="1"/>
      <c r="X103" s="1">
        <f t="shared" ca="1" si="41"/>
        <v>2.765098866813311</v>
      </c>
      <c r="Y103" s="1">
        <f t="shared" ca="1" si="42"/>
        <v>0.7391035268225431</v>
      </c>
      <c r="Z103" s="1">
        <f t="shared" ca="1" si="43"/>
        <v>697</v>
      </c>
      <c r="AB103" s="1">
        <f t="shared" ca="1" si="44"/>
        <v>0.74315782415463083</v>
      </c>
      <c r="AC103" s="1">
        <f t="shared" ca="1" si="45"/>
        <v>835</v>
      </c>
      <c r="AD103" s="1">
        <f t="shared" ca="1" si="46"/>
        <v>7.4184160577473346E-4</v>
      </c>
      <c r="AE103" s="1"/>
      <c r="AF103" s="1">
        <f t="shared" ca="1" si="47"/>
        <v>0.38152417753340873</v>
      </c>
      <c r="AG103" s="1">
        <f t="shared" ca="1" si="48"/>
        <v>469</v>
      </c>
      <c r="AH103" s="1">
        <f t="shared" ca="1" si="49"/>
        <v>3.7625049521880704E-3</v>
      </c>
    </row>
    <row r="104" spans="2:34" x14ac:dyDescent="0.25">
      <c r="B104">
        <f t="shared" ca="1" si="25"/>
        <v>326</v>
      </c>
      <c r="C104">
        <f t="shared" ca="1" si="26"/>
        <v>49</v>
      </c>
      <c r="D104">
        <f t="shared" ca="1" si="27"/>
        <v>0.19931588865965741</v>
      </c>
      <c r="F104" s="1">
        <f t="shared" ca="1" si="28"/>
        <v>21</v>
      </c>
      <c r="G104" s="1">
        <f t="shared" ca="1" si="29"/>
        <v>27</v>
      </c>
      <c r="H104" s="1">
        <f t="shared" ca="1" si="30"/>
        <v>9</v>
      </c>
      <c r="I104" s="1"/>
      <c r="J104" s="1">
        <f t="shared" ca="1" si="31"/>
        <v>13</v>
      </c>
      <c r="K104" s="1">
        <f t="shared" ca="1" si="32"/>
        <v>2.36271000949142</v>
      </c>
      <c r="L104" s="1">
        <f t="shared" ca="1" si="33"/>
        <v>28</v>
      </c>
      <c r="M104" s="1"/>
      <c r="N104" s="1">
        <f t="shared" ca="1" si="34"/>
        <v>581</v>
      </c>
      <c r="O104" s="1">
        <f t="shared" ca="1" si="35"/>
        <v>8</v>
      </c>
      <c r="P104" s="1"/>
      <c r="Q104" s="1">
        <f t="shared" ca="1" si="36"/>
        <v>1.5108926412588446</v>
      </c>
      <c r="R104" s="1">
        <f t="shared" ca="1" si="37"/>
        <v>628</v>
      </c>
      <c r="S104" s="1"/>
      <c r="T104" s="1">
        <f t="shared" ca="1" si="38"/>
        <v>0.10571629492859085</v>
      </c>
      <c r="U104" s="1">
        <f t="shared" ca="1" si="39"/>
        <v>177</v>
      </c>
      <c r="V104" s="1">
        <f t="shared" ca="1" si="40"/>
        <v>10</v>
      </c>
      <c r="W104" s="1"/>
      <c r="X104" s="1">
        <f t="shared" ca="1" si="41"/>
        <v>7.9258532478116486</v>
      </c>
      <c r="Y104" s="1">
        <f t="shared" ca="1" si="42"/>
        <v>0.94989844959462655</v>
      </c>
      <c r="Z104" s="1">
        <f t="shared" ca="1" si="43"/>
        <v>1914</v>
      </c>
      <c r="AB104" s="1">
        <f t="shared" ca="1" si="44"/>
        <v>3.1516070706640691E-2</v>
      </c>
      <c r="AC104" s="1">
        <f t="shared" ca="1" si="45"/>
        <v>817</v>
      </c>
      <c r="AD104" s="1">
        <f t="shared" ca="1" si="46"/>
        <v>1.1552878092989034E-3</v>
      </c>
      <c r="AE104" s="1"/>
      <c r="AF104" s="1">
        <f t="shared" ca="1" si="47"/>
        <v>0.3368163829838966</v>
      </c>
      <c r="AG104" s="1">
        <f t="shared" ca="1" si="48"/>
        <v>661</v>
      </c>
      <c r="AH104" s="1">
        <f t="shared" ca="1" si="49"/>
        <v>3.6675523659080618E-3</v>
      </c>
    </row>
    <row r="105" spans="2:34" x14ac:dyDescent="0.25">
      <c r="B105">
        <f t="shared" ca="1" si="25"/>
        <v>230</v>
      </c>
      <c r="C105">
        <f t="shared" ca="1" si="26"/>
        <v>30</v>
      </c>
      <c r="D105">
        <f t="shared" ca="1" si="27"/>
        <v>0.23629225591523814</v>
      </c>
      <c r="F105" s="1">
        <f t="shared" ca="1" si="28"/>
        <v>27</v>
      </c>
      <c r="G105" s="1">
        <f t="shared" ca="1" si="29"/>
        <v>11</v>
      </c>
      <c r="H105" s="1">
        <f t="shared" ca="1" si="30"/>
        <v>9</v>
      </c>
      <c r="I105" s="1"/>
      <c r="J105" s="1">
        <f t="shared" ca="1" si="31"/>
        <v>34</v>
      </c>
      <c r="K105" s="1">
        <f t="shared" ca="1" si="32"/>
        <v>1.4688795771099599</v>
      </c>
      <c r="L105" s="1">
        <f t="shared" ca="1" si="33"/>
        <v>16</v>
      </c>
      <c r="M105" s="1"/>
      <c r="N105" s="1">
        <f t="shared" ca="1" si="34"/>
        <v>71</v>
      </c>
      <c r="O105" s="1">
        <f t="shared" ca="1" si="35"/>
        <v>24</v>
      </c>
      <c r="P105" s="1"/>
      <c r="Q105" s="1">
        <f t="shared" ca="1" si="36"/>
        <v>0.45492339052132408</v>
      </c>
      <c r="R105" s="1">
        <f t="shared" ca="1" si="37"/>
        <v>527</v>
      </c>
      <c r="S105" s="1"/>
      <c r="T105" s="1">
        <f t="shared" ca="1" si="38"/>
        <v>0.13400447655196909</v>
      </c>
      <c r="U105" s="1">
        <f t="shared" ca="1" si="39"/>
        <v>433</v>
      </c>
      <c r="V105" s="1">
        <f t="shared" ca="1" si="40"/>
        <v>44</v>
      </c>
      <c r="W105" s="1"/>
      <c r="X105" s="1">
        <f t="shared" ca="1" si="41"/>
        <v>5.8102825926845645</v>
      </c>
      <c r="Y105" s="1">
        <f t="shared" ca="1" si="42"/>
        <v>0.346619146785409</v>
      </c>
      <c r="Z105" s="1">
        <f t="shared" ca="1" si="43"/>
        <v>1667</v>
      </c>
      <c r="AB105" s="1">
        <f t="shared" ca="1" si="44"/>
        <v>0.72543391415132374</v>
      </c>
      <c r="AC105" s="1">
        <f t="shared" ca="1" si="45"/>
        <v>943</v>
      </c>
      <c r="AD105" s="1">
        <f t="shared" ca="1" si="46"/>
        <v>8.7132263142683487E-4</v>
      </c>
      <c r="AE105" s="1"/>
      <c r="AF105" s="1">
        <f t="shared" ca="1" si="47"/>
        <v>0.3014561111087114</v>
      </c>
      <c r="AG105" s="1">
        <f t="shared" ca="1" si="48"/>
        <v>144</v>
      </c>
      <c r="AH105" s="1">
        <f t="shared" ca="1" si="49"/>
        <v>3.194006733160502E-3</v>
      </c>
    </row>
    <row r="106" spans="2:34" x14ac:dyDescent="0.25">
      <c r="B106">
        <f t="shared" ca="1" si="25"/>
        <v>661</v>
      </c>
      <c r="C106">
        <f t="shared" ca="1" si="26"/>
        <v>42</v>
      </c>
      <c r="D106">
        <f t="shared" ca="1" si="27"/>
        <v>7.9738885089498002E-2</v>
      </c>
      <c r="F106" s="1">
        <f t="shared" ca="1" si="28"/>
        <v>44</v>
      </c>
      <c r="G106" s="1">
        <f t="shared" ca="1" si="29"/>
        <v>18</v>
      </c>
      <c r="H106" s="1">
        <f t="shared" ca="1" si="30"/>
        <v>14</v>
      </c>
      <c r="I106" s="1"/>
      <c r="J106" s="1">
        <f t="shared" ca="1" si="31"/>
        <v>29</v>
      </c>
      <c r="K106" s="1">
        <f t="shared" ca="1" si="32"/>
        <v>2.757835893798652</v>
      </c>
      <c r="L106" s="1">
        <f t="shared" ca="1" si="33"/>
        <v>33</v>
      </c>
      <c r="M106" s="1"/>
      <c r="N106" s="1">
        <f t="shared" ca="1" si="34"/>
        <v>745</v>
      </c>
      <c r="O106" s="1">
        <f t="shared" ca="1" si="35"/>
        <v>12</v>
      </c>
      <c r="P106" s="1"/>
      <c r="Q106" s="1">
        <f t="shared" ca="1" si="36"/>
        <v>2.882166094329798</v>
      </c>
      <c r="R106" s="1">
        <f t="shared" ca="1" si="37"/>
        <v>935</v>
      </c>
      <c r="S106" s="1"/>
      <c r="T106" s="1">
        <f t="shared" ca="1" si="38"/>
        <v>0.15944579163392386</v>
      </c>
      <c r="U106" s="1">
        <f t="shared" ca="1" si="39"/>
        <v>420</v>
      </c>
      <c r="V106" s="1">
        <f t="shared" ca="1" si="40"/>
        <v>42</v>
      </c>
      <c r="W106" s="1"/>
      <c r="X106" s="1">
        <f t="shared" ca="1" si="41"/>
        <v>7.9977736520912952</v>
      </c>
      <c r="Y106" s="1">
        <f t="shared" ca="1" si="42"/>
        <v>0.5766270399949468</v>
      </c>
      <c r="Z106" s="1">
        <f t="shared" ca="1" si="43"/>
        <v>1665</v>
      </c>
      <c r="AB106" s="1">
        <f t="shared" ca="1" si="44"/>
        <v>0.15449708032468989</v>
      </c>
      <c r="AC106" s="1">
        <f t="shared" ca="1" si="45"/>
        <v>819</v>
      </c>
      <c r="AD106" s="1">
        <f t="shared" ca="1" si="46"/>
        <v>6.5052375932848931E-3</v>
      </c>
      <c r="AE106" s="1"/>
      <c r="AF106" s="1">
        <f t="shared" ca="1" si="47"/>
        <v>0.37127434942118176</v>
      </c>
      <c r="AG106" s="1">
        <f t="shared" ca="1" si="48"/>
        <v>398</v>
      </c>
      <c r="AH106" s="1">
        <f t="shared" ca="1" si="49"/>
        <v>2.272010004758452E-3</v>
      </c>
    </row>
    <row r="107" spans="2:34" x14ac:dyDescent="0.25">
      <c r="B107">
        <f t="shared" ca="1" si="25"/>
        <v>846</v>
      </c>
      <c r="C107">
        <f t="shared" ca="1" si="26"/>
        <v>7</v>
      </c>
      <c r="D107">
        <f t="shared" ca="1" si="27"/>
        <v>0.14464010795830867</v>
      </c>
      <c r="F107" s="1">
        <f t="shared" ca="1" si="28"/>
        <v>2</v>
      </c>
      <c r="G107" s="1">
        <f t="shared" ca="1" si="29"/>
        <v>9</v>
      </c>
      <c r="H107" s="1">
        <f t="shared" ca="1" si="30"/>
        <v>4</v>
      </c>
      <c r="I107" s="1"/>
      <c r="J107" s="1">
        <f t="shared" ca="1" si="31"/>
        <v>24</v>
      </c>
      <c r="K107" s="1">
        <f t="shared" ca="1" si="32"/>
        <v>2.1131753551257138</v>
      </c>
      <c r="L107" s="1">
        <f t="shared" ca="1" si="33"/>
        <v>27</v>
      </c>
      <c r="M107" s="1"/>
      <c r="N107" s="1">
        <f t="shared" ca="1" si="34"/>
        <v>589</v>
      </c>
      <c r="O107" s="1">
        <f t="shared" ca="1" si="35"/>
        <v>9</v>
      </c>
      <c r="P107" s="1"/>
      <c r="Q107" s="1">
        <f t="shared" ca="1" si="36"/>
        <v>1.1463324991313393</v>
      </c>
      <c r="R107" s="1">
        <f t="shared" ca="1" si="37"/>
        <v>593</v>
      </c>
      <c r="S107" s="1"/>
      <c r="T107" s="1">
        <f t="shared" ca="1" si="38"/>
        <v>0.13861515187281659</v>
      </c>
      <c r="U107" s="1">
        <f t="shared" ca="1" si="39"/>
        <v>358</v>
      </c>
      <c r="V107" s="1">
        <f t="shared" ca="1" si="40"/>
        <v>31</v>
      </c>
      <c r="W107" s="1"/>
      <c r="X107" s="1">
        <f t="shared" ca="1" si="41"/>
        <v>5.5190678120642556</v>
      </c>
      <c r="Y107" s="1">
        <f t="shared" ca="1" si="42"/>
        <v>0.44135926958541982</v>
      </c>
      <c r="Z107" s="1">
        <f t="shared" ca="1" si="43"/>
        <v>914</v>
      </c>
      <c r="AB107" s="1">
        <f t="shared" ca="1" si="44"/>
        <v>0.34501604131038488</v>
      </c>
      <c r="AC107" s="1">
        <f t="shared" ca="1" si="45"/>
        <v>309</v>
      </c>
      <c r="AD107" s="1">
        <f t="shared" ca="1" si="46"/>
        <v>1.0961474485025914E-3</v>
      </c>
      <c r="AE107" s="1"/>
      <c r="AF107" s="1">
        <f t="shared" ca="1" si="47"/>
        <v>0.45707082721052139</v>
      </c>
      <c r="AG107" s="1">
        <f t="shared" ca="1" si="48"/>
        <v>291</v>
      </c>
      <c r="AH107" s="1">
        <f t="shared" ca="1" si="49"/>
        <v>7.0973180403002744E-3</v>
      </c>
    </row>
    <row r="108" spans="2:34" x14ac:dyDescent="0.25">
      <c r="B108">
        <f t="shared" ca="1" si="25"/>
        <v>947</v>
      </c>
      <c r="C108">
        <f t="shared" ca="1" si="26"/>
        <v>25</v>
      </c>
      <c r="D108">
        <f t="shared" ca="1" si="27"/>
        <v>0.19466116833363722</v>
      </c>
      <c r="F108" s="1">
        <f t="shared" ca="1" si="28"/>
        <v>19</v>
      </c>
      <c r="G108" s="1">
        <f t="shared" ca="1" si="29"/>
        <v>25</v>
      </c>
      <c r="H108" s="1">
        <f t="shared" ca="1" si="30"/>
        <v>15</v>
      </c>
      <c r="I108" s="1"/>
      <c r="J108" s="1">
        <f t="shared" ca="1" si="31"/>
        <v>38</v>
      </c>
      <c r="K108" s="1">
        <f t="shared" ca="1" si="32"/>
        <v>1.1197496991444138</v>
      </c>
      <c r="L108" s="1">
        <f t="shared" ca="1" si="33"/>
        <v>2</v>
      </c>
      <c r="M108" s="1"/>
      <c r="N108" s="1">
        <f t="shared" ca="1" si="34"/>
        <v>283</v>
      </c>
      <c r="O108" s="1">
        <f t="shared" ca="1" si="35"/>
        <v>40</v>
      </c>
      <c r="P108" s="1"/>
      <c r="Q108" s="1">
        <f t="shared" ca="1" si="36"/>
        <v>4.8465097395013528</v>
      </c>
      <c r="R108" s="1">
        <f t="shared" ca="1" si="37"/>
        <v>266</v>
      </c>
      <c r="S108" s="1"/>
      <c r="T108" s="1">
        <f t="shared" ca="1" si="38"/>
        <v>0.11735315024201931</v>
      </c>
      <c r="U108" s="1">
        <f t="shared" ca="1" si="39"/>
        <v>90</v>
      </c>
      <c r="V108" s="1">
        <f t="shared" ca="1" si="40"/>
        <v>8</v>
      </c>
      <c r="W108" s="1"/>
      <c r="X108" s="1">
        <f t="shared" ca="1" si="41"/>
        <v>3.2672645239748239</v>
      </c>
      <c r="Y108" s="1">
        <f t="shared" ca="1" si="42"/>
        <v>0.31046760951103747</v>
      </c>
      <c r="Z108" s="1">
        <f t="shared" ca="1" si="43"/>
        <v>1477</v>
      </c>
      <c r="AB108" s="1">
        <f t="shared" ca="1" si="44"/>
        <v>0.35108764796043668</v>
      </c>
      <c r="AC108" s="1">
        <f t="shared" ca="1" si="45"/>
        <v>411</v>
      </c>
      <c r="AD108" s="1">
        <f t="shared" ca="1" si="46"/>
        <v>3.684689270024639E-3</v>
      </c>
      <c r="AE108" s="1"/>
      <c r="AF108" s="1">
        <f t="shared" ca="1" si="47"/>
        <v>0.20497677381974563</v>
      </c>
      <c r="AG108" s="1">
        <f t="shared" ca="1" si="48"/>
        <v>609</v>
      </c>
      <c r="AH108" s="1">
        <f t="shared" ca="1" si="49"/>
        <v>7.4203000429536965E-3</v>
      </c>
    </row>
    <row r="109" spans="2:34" x14ac:dyDescent="0.25">
      <c r="B109">
        <f t="shared" ca="1" si="25"/>
        <v>145</v>
      </c>
      <c r="C109">
        <f t="shared" ca="1" si="26"/>
        <v>39</v>
      </c>
      <c r="D109">
        <f t="shared" ca="1" si="27"/>
        <v>8.2925145135217232E-2</v>
      </c>
      <c r="F109" s="1">
        <f t="shared" ca="1" si="28"/>
        <v>10</v>
      </c>
      <c r="G109" s="1">
        <f t="shared" ca="1" si="29"/>
        <v>25</v>
      </c>
      <c r="H109" s="1">
        <f t="shared" ca="1" si="30"/>
        <v>2</v>
      </c>
      <c r="I109" s="1"/>
      <c r="J109" s="1">
        <f t="shared" ca="1" si="31"/>
        <v>26</v>
      </c>
      <c r="K109" s="1">
        <f t="shared" ca="1" si="32"/>
        <v>2.3084107052076335</v>
      </c>
      <c r="L109" s="1">
        <f t="shared" ca="1" si="33"/>
        <v>2</v>
      </c>
      <c r="M109" s="1"/>
      <c r="N109" s="1">
        <f t="shared" ca="1" si="34"/>
        <v>464</v>
      </c>
      <c r="O109" s="1">
        <f t="shared" ca="1" si="35"/>
        <v>21</v>
      </c>
      <c r="P109" s="1"/>
      <c r="Q109" s="1">
        <f t="shared" ca="1" si="36"/>
        <v>1.6713068181747321</v>
      </c>
      <c r="R109" s="1">
        <f t="shared" ca="1" si="37"/>
        <v>540</v>
      </c>
      <c r="S109" s="1"/>
      <c r="T109" s="1">
        <f t="shared" ca="1" si="38"/>
        <v>7.3397476845424789E-2</v>
      </c>
      <c r="U109" s="1">
        <f t="shared" ca="1" si="39"/>
        <v>163</v>
      </c>
      <c r="V109" s="1">
        <f t="shared" ca="1" si="40"/>
        <v>24</v>
      </c>
      <c r="W109" s="1"/>
      <c r="X109" s="1">
        <f t="shared" ca="1" si="41"/>
        <v>6.0620314536117217</v>
      </c>
      <c r="Y109" s="1">
        <f t="shared" ca="1" si="42"/>
        <v>0.5660761549612211</v>
      </c>
      <c r="Z109" s="1">
        <f t="shared" ca="1" si="43"/>
        <v>1799</v>
      </c>
      <c r="AB109" s="1">
        <f t="shared" ca="1" si="44"/>
        <v>0.71886261360002524</v>
      </c>
      <c r="AC109" s="1">
        <f t="shared" ca="1" si="45"/>
        <v>298</v>
      </c>
      <c r="AD109" s="1">
        <f t="shared" ca="1" si="46"/>
        <v>8.2753645019045582E-3</v>
      </c>
      <c r="AE109" s="1"/>
      <c r="AF109" s="1">
        <f t="shared" ca="1" si="47"/>
        <v>0.53589540979687222</v>
      </c>
      <c r="AG109" s="1">
        <f t="shared" ca="1" si="48"/>
        <v>134</v>
      </c>
      <c r="AH109" s="1">
        <f t="shared" ca="1" si="49"/>
        <v>7.6893153240367319E-3</v>
      </c>
    </row>
    <row r="110" spans="2:34" x14ac:dyDescent="0.25">
      <c r="B110">
        <f t="shared" ca="1" si="25"/>
        <v>962</v>
      </c>
      <c r="C110">
        <f t="shared" ca="1" si="26"/>
        <v>52</v>
      </c>
      <c r="D110">
        <f t="shared" ca="1" si="27"/>
        <v>0.28537885066672414</v>
      </c>
      <c r="F110" s="1">
        <f t="shared" ca="1" si="28"/>
        <v>28</v>
      </c>
      <c r="G110" s="1">
        <f t="shared" ca="1" si="29"/>
        <v>30</v>
      </c>
      <c r="H110" s="1">
        <f t="shared" ca="1" si="30"/>
        <v>7</v>
      </c>
      <c r="I110" s="1"/>
      <c r="J110" s="1">
        <f t="shared" ca="1" si="31"/>
        <v>36</v>
      </c>
      <c r="K110" s="1">
        <f t="shared" ca="1" si="32"/>
        <v>2.9263737853691856</v>
      </c>
      <c r="L110" s="1">
        <f t="shared" ca="1" si="33"/>
        <v>6</v>
      </c>
      <c r="M110" s="1"/>
      <c r="N110" s="1">
        <f t="shared" ca="1" si="34"/>
        <v>948</v>
      </c>
      <c r="O110" s="1">
        <f t="shared" ca="1" si="35"/>
        <v>44</v>
      </c>
      <c r="P110" s="1"/>
      <c r="Q110" s="1">
        <f t="shared" ca="1" si="36"/>
        <v>1.3358980237521558</v>
      </c>
      <c r="R110" s="1">
        <f t="shared" ca="1" si="37"/>
        <v>836</v>
      </c>
      <c r="S110" s="1"/>
      <c r="T110" s="1">
        <f t="shared" ca="1" si="38"/>
        <v>3.4003088525264971E-2</v>
      </c>
      <c r="U110" s="1">
        <f t="shared" ca="1" si="39"/>
        <v>257</v>
      </c>
      <c r="V110" s="1">
        <f t="shared" ca="1" si="40"/>
        <v>35</v>
      </c>
      <c r="W110" s="1"/>
      <c r="X110" s="1">
        <f t="shared" ca="1" si="41"/>
        <v>3.3445220045915338</v>
      </c>
      <c r="Y110" s="1">
        <f t="shared" ca="1" si="42"/>
        <v>0.40627498577223992</v>
      </c>
      <c r="Z110" s="1">
        <f t="shared" ca="1" si="43"/>
        <v>1592</v>
      </c>
      <c r="AB110" s="1">
        <f t="shared" ca="1" si="44"/>
        <v>0.24451333716731347</v>
      </c>
      <c r="AC110" s="1">
        <f t="shared" ca="1" si="45"/>
        <v>546</v>
      </c>
      <c r="AD110" s="1">
        <f t="shared" ca="1" si="46"/>
        <v>4.7747302419132347E-3</v>
      </c>
      <c r="AE110" s="1"/>
      <c r="AF110" s="1">
        <f t="shared" ca="1" si="47"/>
        <v>0.23786245350425991</v>
      </c>
      <c r="AG110" s="1">
        <f t="shared" ca="1" si="48"/>
        <v>930</v>
      </c>
      <c r="AH110" s="1">
        <f t="shared" ca="1" si="49"/>
        <v>3.7255127796856882E-3</v>
      </c>
    </row>
    <row r="111" spans="2:34" x14ac:dyDescent="0.25">
      <c r="B111">
        <f t="shared" ca="1" si="25"/>
        <v>974</v>
      </c>
      <c r="C111">
        <f t="shared" ca="1" si="26"/>
        <v>48</v>
      </c>
      <c r="D111">
        <f t="shared" ca="1" si="27"/>
        <v>0.18648107668246217</v>
      </c>
      <c r="F111" s="1">
        <f t="shared" ca="1" si="28"/>
        <v>9</v>
      </c>
      <c r="G111" s="1">
        <f t="shared" ca="1" si="29"/>
        <v>5</v>
      </c>
      <c r="H111" s="1">
        <f t="shared" ca="1" si="30"/>
        <v>4</v>
      </c>
      <c r="I111" s="1"/>
      <c r="J111" s="1">
        <f t="shared" ca="1" si="31"/>
        <v>7</v>
      </c>
      <c r="K111" s="1">
        <f t="shared" ca="1" si="32"/>
        <v>1.7680992655283407</v>
      </c>
      <c r="L111" s="1">
        <f t="shared" ca="1" si="33"/>
        <v>15</v>
      </c>
      <c r="M111" s="1"/>
      <c r="N111" s="1">
        <f t="shared" ca="1" si="34"/>
        <v>891</v>
      </c>
      <c r="O111" s="1">
        <f t="shared" ca="1" si="35"/>
        <v>16</v>
      </c>
      <c r="P111" s="1"/>
      <c r="Q111" s="1">
        <f t="shared" ca="1" si="36"/>
        <v>2.5370857514943856</v>
      </c>
      <c r="R111" s="1">
        <f t="shared" ca="1" si="37"/>
        <v>1139</v>
      </c>
      <c r="S111" s="1"/>
      <c r="T111" s="1">
        <f t="shared" ca="1" si="38"/>
        <v>7.8448628120794242E-2</v>
      </c>
      <c r="U111" s="1">
        <f t="shared" ca="1" si="39"/>
        <v>141</v>
      </c>
      <c r="V111" s="1">
        <f t="shared" ca="1" si="40"/>
        <v>24</v>
      </c>
      <c r="W111" s="1"/>
      <c r="X111" s="1">
        <f t="shared" ca="1" si="41"/>
        <v>6.427276848800263</v>
      </c>
      <c r="Y111" s="1">
        <f t="shared" ca="1" si="42"/>
        <v>0.30777074075072958</v>
      </c>
      <c r="Z111" s="1">
        <f t="shared" ca="1" si="43"/>
        <v>230</v>
      </c>
      <c r="AB111" s="1">
        <f t="shared" ca="1" si="44"/>
        <v>0.83721861758901339</v>
      </c>
      <c r="AC111" s="1">
        <f t="shared" ca="1" si="45"/>
        <v>635</v>
      </c>
      <c r="AD111" s="1">
        <f t="shared" ca="1" si="46"/>
        <v>4.873330406746105E-3</v>
      </c>
      <c r="AE111" s="1"/>
      <c r="AF111" s="1">
        <f t="shared" ca="1" si="47"/>
        <v>0.56483871649202244</v>
      </c>
      <c r="AG111" s="1">
        <f t="shared" ca="1" si="48"/>
        <v>169</v>
      </c>
      <c r="AH111" s="1">
        <f t="shared" ca="1" si="49"/>
        <v>7.7735632947571491E-3</v>
      </c>
    </row>
    <row r="112" spans="2:34" x14ac:dyDescent="0.25">
      <c r="B112">
        <f t="shared" ca="1" si="25"/>
        <v>961</v>
      </c>
      <c r="C112">
        <f t="shared" ca="1" si="26"/>
        <v>44</v>
      </c>
      <c r="D112">
        <f t="shared" ca="1" si="27"/>
        <v>0.25373381458334809</v>
      </c>
      <c r="F112" s="1">
        <f t="shared" ca="1" si="28"/>
        <v>8</v>
      </c>
      <c r="G112" s="1">
        <f t="shared" ca="1" si="29"/>
        <v>9</v>
      </c>
      <c r="H112" s="1">
        <f t="shared" ca="1" si="30"/>
        <v>8</v>
      </c>
      <c r="I112" s="1"/>
      <c r="J112" s="1">
        <f t="shared" ca="1" si="31"/>
        <v>36</v>
      </c>
      <c r="K112" s="1">
        <f t="shared" ca="1" si="32"/>
        <v>1.9639122927134471</v>
      </c>
      <c r="L112" s="1">
        <f t="shared" ca="1" si="33"/>
        <v>10</v>
      </c>
      <c r="M112" s="1"/>
      <c r="N112" s="1">
        <f t="shared" ca="1" si="34"/>
        <v>760</v>
      </c>
      <c r="O112" s="1">
        <f t="shared" ca="1" si="35"/>
        <v>16</v>
      </c>
      <c r="P112" s="1"/>
      <c r="Q112" s="1">
        <f t="shared" ca="1" si="36"/>
        <v>4.7511187451047645</v>
      </c>
      <c r="R112" s="1">
        <f t="shared" ca="1" si="37"/>
        <v>811</v>
      </c>
      <c r="S112" s="1"/>
      <c r="T112" s="1">
        <f t="shared" ca="1" si="38"/>
        <v>0.16472538468681361</v>
      </c>
      <c r="U112" s="1">
        <f t="shared" ca="1" si="39"/>
        <v>185</v>
      </c>
      <c r="V112" s="1">
        <f t="shared" ca="1" si="40"/>
        <v>42</v>
      </c>
      <c r="W112" s="1"/>
      <c r="X112" s="1">
        <f t="shared" ca="1" si="41"/>
        <v>1.6501277843076703</v>
      </c>
      <c r="Y112" s="1">
        <f t="shared" ca="1" si="42"/>
        <v>0.3768851534876877</v>
      </c>
      <c r="Z112" s="1">
        <f t="shared" ca="1" si="43"/>
        <v>1535</v>
      </c>
      <c r="AB112" s="1">
        <f t="shared" ca="1" si="44"/>
        <v>0.1104545600633331</v>
      </c>
      <c r="AC112" s="1">
        <f t="shared" ca="1" si="45"/>
        <v>619</v>
      </c>
      <c r="AD112" s="1">
        <f t="shared" ca="1" si="46"/>
        <v>6.0298257426098052E-3</v>
      </c>
      <c r="AE112" s="1"/>
      <c r="AF112" s="1">
        <f t="shared" ca="1" si="47"/>
        <v>0.15208267139550566</v>
      </c>
      <c r="AG112" s="1">
        <f t="shared" ca="1" si="48"/>
        <v>191</v>
      </c>
      <c r="AH112" s="1">
        <f t="shared" ca="1" si="49"/>
        <v>3.1949960737303156E-3</v>
      </c>
    </row>
    <row r="113" spans="2:34" x14ac:dyDescent="0.25">
      <c r="B113">
        <f t="shared" ca="1" si="25"/>
        <v>737</v>
      </c>
      <c r="C113">
        <f t="shared" ca="1" si="26"/>
        <v>17</v>
      </c>
      <c r="D113">
        <f t="shared" ca="1" si="27"/>
        <v>0.18571237067752061</v>
      </c>
      <c r="F113" s="1">
        <f t="shared" ca="1" si="28"/>
        <v>36</v>
      </c>
      <c r="G113" s="1">
        <f t="shared" ca="1" si="29"/>
        <v>15</v>
      </c>
      <c r="H113" s="1">
        <f t="shared" ca="1" si="30"/>
        <v>4</v>
      </c>
      <c r="I113" s="1"/>
      <c r="J113" s="1">
        <f t="shared" ca="1" si="31"/>
        <v>27</v>
      </c>
      <c r="K113" s="1">
        <f t="shared" ca="1" si="32"/>
        <v>1.8082305102156726</v>
      </c>
      <c r="L113" s="1">
        <f t="shared" ca="1" si="33"/>
        <v>20</v>
      </c>
      <c r="M113" s="1"/>
      <c r="N113" s="1">
        <f t="shared" ca="1" si="34"/>
        <v>453</v>
      </c>
      <c r="O113" s="1">
        <f t="shared" ca="1" si="35"/>
        <v>48</v>
      </c>
      <c r="P113" s="1"/>
      <c r="Q113" s="1">
        <f t="shared" ca="1" si="36"/>
        <v>3.8254957471979965</v>
      </c>
      <c r="R113" s="1">
        <f t="shared" ca="1" si="37"/>
        <v>445</v>
      </c>
      <c r="S113" s="1"/>
      <c r="T113" s="1">
        <f t="shared" ca="1" si="38"/>
        <v>2.8085561265792924E-2</v>
      </c>
      <c r="U113" s="1">
        <f t="shared" ca="1" si="39"/>
        <v>195</v>
      </c>
      <c r="V113" s="1">
        <f t="shared" ca="1" si="40"/>
        <v>22</v>
      </c>
      <c r="W113" s="1"/>
      <c r="X113" s="1">
        <f t="shared" ca="1" si="41"/>
        <v>5.0583278861593994</v>
      </c>
      <c r="Y113" s="1">
        <f t="shared" ca="1" si="42"/>
        <v>0.37475730301405852</v>
      </c>
      <c r="Z113" s="1">
        <f t="shared" ca="1" si="43"/>
        <v>862</v>
      </c>
      <c r="AB113" s="1">
        <f t="shared" ca="1" si="44"/>
        <v>0.83482334077949227</v>
      </c>
      <c r="AC113" s="1">
        <f t="shared" ca="1" si="45"/>
        <v>443</v>
      </c>
      <c r="AD113" s="1">
        <f t="shared" ca="1" si="46"/>
        <v>7.665438413057969E-3</v>
      </c>
      <c r="AE113" s="1"/>
      <c r="AF113" s="1">
        <f t="shared" ca="1" si="47"/>
        <v>0.32509450703296505</v>
      </c>
      <c r="AG113" s="1">
        <f t="shared" ca="1" si="48"/>
        <v>486</v>
      </c>
      <c r="AH113" s="1">
        <f t="shared" ca="1" si="49"/>
        <v>6.9974295804726208E-3</v>
      </c>
    </row>
    <row r="114" spans="2:34" x14ac:dyDescent="0.25">
      <c r="B114">
        <f t="shared" ca="1" si="25"/>
        <v>633</v>
      </c>
      <c r="C114">
        <f t="shared" ca="1" si="26"/>
        <v>2</v>
      </c>
      <c r="D114">
        <f t="shared" ca="1" si="27"/>
        <v>0.10135715724843318</v>
      </c>
      <c r="F114" s="1">
        <f t="shared" ca="1" si="28"/>
        <v>49</v>
      </c>
      <c r="G114" s="1">
        <f t="shared" ca="1" si="29"/>
        <v>25</v>
      </c>
      <c r="H114" s="1">
        <f t="shared" ca="1" si="30"/>
        <v>4</v>
      </c>
      <c r="I114" s="1"/>
      <c r="J114" s="1">
        <f t="shared" ca="1" si="31"/>
        <v>34</v>
      </c>
      <c r="K114" s="1">
        <f t="shared" ca="1" si="32"/>
        <v>1.0071337915988312</v>
      </c>
      <c r="L114" s="1">
        <f t="shared" ca="1" si="33"/>
        <v>10</v>
      </c>
      <c r="M114" s="1"/>
      <c r="N114" s="1">
        <f t="shared" ca="1" si="34"/>
        <v>163</v>
      </c>
      <c r="O114" s="1">
        <f t="shared" ca="1" si="35"/>
        <v>6</v>
      </c>
      <c r="P114" s="1"/>
      <c r="Q114" s="1">
        <f t="shared" ca="1" si="36"/>
        <v>0.30049682074057193</v>
      </c>
      <c r="R114" s="1">
        <f t="shared" ca="1" si="37"/>
        <v>1015</v>
      </c>
      <c r="S114" s="1"/>
      <c r="T114" s="1">
        <f t="shared" ca="1" si="38"/>
        <v>9.5410015898334422E-2</v>
      </c>
      <c r="U114" s="1">
        <f t="shared" ca="1" si="39"/>
        <v>86</v>
      </c>
      <c r="V114" s="1">
        <f t="shared" ca="1" si="40"/>
        <v>33</v>
      </c>
      <c r="W114" s="1"/>
      <c r="X114" s="1">
        <f t="shared" ca="1" si="41"/>
        <v>8.0550899980784809</v>
      </c>
      <c r="Y114" s="1">
        <f t="shared" ca="1" si="42"/>
        <v>0.3527003210976225</v>
      </c>
      <c r="Z114" s="1">
        <f t="shared" ca="1" si="43"/>
        <v>1276</v>
      </c>
      <c r="AB114" s="1">
        <f t="shared" ca="1" si="44"/>
        <v>0.15875913645142026</v>
      </c>
      <c r="AC114" s="1">
        <f t="shared" ca="1" si="45"/>
        <v>163</v>
      </c>
      <c r="AD114" s="1">
        <f t="shared" ca="1" si="46"/>
        <v>6.211494976800026E-3</v>
      </c>
      <c r="AE114" s="1"/>
      <c r="AF114" s="1">
        <f t="shared" ca="1" si="47"/>
        <v>0.56661301218004712</v>
      </c>
      <c r="AG114" s="1">
        <f t="shared" ca="1" si="48"/>
        <v>713</v>
      </c>
      <c r="AH114" s="1">
        <f t="shared" ca="1" si="49"/>
        <v>6.9621278439621287E-3</v>
      </c>
    </row>
    <row r="115" spans="2:34" x14ac:dyDescent="0.25">
      <c r="B115">
        <f t="shared" ca="1" si="25"/>
        <v>268</v>
      </c>
      <c r="C115">
        <f t="shared" ca="1" si="26"/>
        <v>34</v>
      </c>
      <c r="D115">
        <f t="shared" ca="1" si="27"/>
        <v>0.11683857569180961</v>
      </c>
      <c r="F115" s="1">
        <f t="shared" ca="1" si="28"/>
        <v>33</v>
      </c>
      <c r="G115" s="1">
        <f t="shared" ca="1" si="29"/>
        <v>22</v>
      </c>
      <c r="H115" s="1">
        <f t="shared" ca="1" si="30"/>
        <v>1</v>
      </c>
      <c r="I115" s="1"/>
      <c r="J115" s="1">
        <f t="shared" ca="1" si="31"/>
        <v>11</v>
      </c>
      <c r="K115" s="1">
        <f t="shared" ca="1" si="32"/>
        <v>1.616760931881928</v>
      </c>
      <c r="L115" s="1">
        <f t="shared" ca="1" si="33"/>
        <v>35</v>
      </c>
      <c r="M115" s="1"/>
      <c r="N115" s="1">
        <f t="shared" ca="1" si="34"/>
        <v>997</v>
      </c>
      <c r="O115" s="1">
        <f t="shared" ca="1" si="35"/>
        <v>13</v>
      </c>
      <c r="P115" s="1"/>
      <c r="Q115" s="1">
        <f t="shared" ca="1" si="36"/>
        <v>4.1729385185634156</v>
      </c>
      <c r="R115" s="1">
        <f t="shared" ca="1" si="37"/>
        <v>791</v>
      </c>
      <c r="S115" s="1"/>
      <c r="T115" s="1">
        <f t="shared" ca="1" si="38"/>
        <v>0.17758145460438962</v>
      </c>
      <c r="U115" s="1">
        <f t="shared" ca="1" si="39"/>
        <v>293</v>
      </c>
      <c r="V115" s="1">
        <f t="shared" ca="1" si="40"/>
        <v>19</v>
      </c>
      <c r="W115" s="1"/>
      <c r="X115" s="1">
        <f t="shared" ca="1" si="41"/>
        <v>6.0659539484174028</v>
      </c>
      <c r="Y115" s="1">
        <f t="shared" ca="1" si="42"/>
        <v>0.65882320450204135</v>
      </c>
      <c r="Z115" s="1">
        <f t="shared" ca="1" si="43"/>
        <v>1189</v>
      </c>
      <c r="AB115" s="1">
        <f t="shared" ca="1" si="44"/>
        <v>0.50112258589738956</v>
      </c>
      <c r="AC115" s="1">
        <f t="shared" ca="1" si="45"/>
        <v>150</v>
      </c>
      <c r="AD115" s="1">
        <f t="shared" ca="1" si="46"/>
        <v>5.212959273077764E-3</v>
      </c>
      <c r="AE115" s="1"/>
      <c r="AF115" s="1">
        <f t="shared" ca="1" si="47"/>
        <v>0.79260004236237147</v>
      </c>
      <c r="AG115" s="1">
        <f t="shared" ca="1" si="48"/>
        <v>309</v>
      </c>
      <c r="AH115" s="1">
        <f t="shared" ca="1" si="49"/>
        <v>7.1280637097901299E-3</v>
      </c>
    </row>
    <row r="116" spans="2:34" x14ac:dyDescent="0.25">
      <c r="B116">
        <f t="shared" ca="1" si="25"/>
        <v>916</v>
      </c>
      <c r="C116">
        <f t="shared" ca="1" si="26"/>
        <v>43</v>
      </c>
      <c r="D116">
        <f t="shared" ca="1" si="27"/>
        <v>0.15731505288264863</v>
      </c>
      <c r="F116" s="1">
        <f t="shared" ca="1" si="28"/>
        <v>47</v>
      </c>
      <c r="G116" s="1">
        <f t="shared" ca="1" si="29"/>
        <v>16</v>
      </c>
      <c r="H116" s="1">
        <f t="shared" ca="1" si="30"/>
        <v>8</v>
      </c>
      <c r="I116" s="1"/>
      <c r="J116" s="1">
        <f t="shared" ca="1" si="31"/>
        <v>5</v>
      </c>
      <c r="K116" s="1">
        <f t="shared" ca="1" si="32"/>
        <v>1.1591916978904591</v>
      </c>
      <c r="L116" s="1">
        <f t="shared" ca="1" si="33"/>
        <v>35</v>
      </c>
      <c r="M116" s="1"/>
      <c r="N116" s="1">
        <f t="shared" ca="1" si="34"/>
        <v>244</v>
      </c>
      <c r="O116" s="1">
        <f t="shared" ca="1" si="35"/>
        <v>4</v>
      </c>
      <c r="P116" s="1"/>
      <c r="Q116" s="1">
        <f t="shared" ca="1" si="36"/>
        <v>3.6199039056921102E-2</v>
      </c>
      <c r="R116" s="1">
        <f t="shared" ca="1" si="37"/>
        <v>220</v>
      </c>
      <c r="S116" s="1"/>
      <c r="T116" s="1">
        <f t="shared" ca="1" si="38"/>
        <v>0.13524226323164951</v>
      </c>
      <c r="U116" s="1">
        <f t="shared" ca="1" si="39"/>
        <v>102</v>
      </c>
      <c r="V116" s="1">
        <f t="shared" ca="1" si="40"/>
        <v>20</v>
      </c>
      <c r="W116" s="1"/>
      <c r="X116" s="1">
        <f t="shared" ca="1" si="41"/>
        <v>6.2935015183338079</v>
      </c>
      <c r="Y116" s="1">
        <f t="shared" ca="1" si="42"/>
        <v>7.8220698054750362E-2</v>
      </c>
      <c r="Z116" s="1">
        <f t="shared" ca="1" si="43"/>
        <v>1544</v>
      </c>
      <c r="AB116" s="1">
        <f t="shared" ca="1" si="44"/>
        <v>0.67669421294867849</v>
      </c>
      <c r="AC116" s="1">
        <f t="shared" ca="1" si="45"/>
        <v>442</v>
      </c>
      <c r="AD116" s="1">
        <f t="shared" ca="1" si="46"/>
        <v>9.1906810125545694E-3</v>
      </c>
      <c r="AE116" s="1"/>
      <c r="AF116" s="1">
        <f t="shared" ca="1" si="47"/>
        <v>0.1017991979108973</v>
      </c>
      <c r="AG116" s="1">
        <f t="shared" ca="1" si="48"/>
        <v>452</v>
      </c>
      <c r="AH116" s="1">
        <f t="shared" ca="1" si="49"/>
        <v>7.0164083286746049E-3</v>
      </c>
    </row>
    <row r="117" spans="2:34" x14ac:dyDescent="0.25">
      <c r="B117">
        <f t="shared" ca="1" si="25"/>
        <v>77</v>
      </c>
      <c r="C117">
        <f t="shared" ca="1" si="26"/>
        <v>43</v>
      </c>
      <c r="D117">
        <f t="shared" ca="1" si="27"/>
        <v>0.28141711647113749</v>
      </c>
      <c r="F117" s="1">
        <f t="shared" ca="1" si="28"/>
        <v>17</v>
      </c>
      <c r="G117" s="1">
        <f t="shared" ca="1" si="29"/>
        <v>18</v>
      </c>
      <c r="H117" s="1">
        <f t="shared" ca="1" si="30"/>
        <v>6</v>
      </c>
      <c r="I117" s="1"/>
      <c r="J117" s="1">
        <f t="shared" ca="1" si="31"/>
        <v>1</v>
      </c>
      <c r="K117" s="1">
        <f t="shared" ca="1" si="32"/>
        <v>2.4087284487400202</v>
      </c>
      <c r="L117" s="1">
        <f t="shared" ca="1" si="33"/>
        <v>4</v>
      </c>
      <c r="M117" s="1"/>
      <c r="N117" s="1">
        <f t="shared" ca="1" si="34"/>
        <v>190</v>
      </c>
      <c r="O117" s="1">
        <f t="shared" ca="1" si="35"/>
        <v>44</v>
      </c>
      <c r="P117" s="1"/>
      <c r="Q117" s="1">
        <f t="shared" ca="1" si="36"/>
        <v>4.9415038327629297</v>
      </c>
      <c r="R117" s="1">
        <f t="shared" ca="1" si="37"/>
        <v>467</v>
      </c>
      <c r="S117" s="1"/>
      <c r="T117" s="1">
        <f t="shared" ca="1" si="38"/>
        <v>1.519375132700081E-2</v>
      </c>
      <c r="U117" s="1">
        <f t="shared" ca="1" si="39"/>
        <v>348</v>
      </c>
      <c r="V117" s="1">
        <f t="shared" ca="1" si="40"/>
        <v>21</v>
      </c>
      <c r="W117" s="1"/>
      <c r="X117" s="1">
        <f t="shared" ca="1" si="41"/>
        <v>4.1870102333001551</v>
      </c>
      <c r="Y117" s="1">
        <f t="shared" ca="1" si="42"/>
        <v>0.64664561347585481</v>
      </c>
      <c r="Z117" s="1">
        <f t="shared" ca="1" si="43"/>
        <v>702</v>
      </c>
      <c r="AB117" s="1">
        <f t="shared" ca="1" si="44"/>
        <v>0.72283987733755273</v>
      </c>
      <c r="AC117" s="1">
        <f t="shared" ca="1" si="45"/>
        <v>842</v>
      </c>
      <c r="AD117" s="1">
        <f t="shared" ca="1" si="46"/>
        <v>7.6136940497950247E-3</v>
      </c>
      <c r="AE117" s="1"/>
      <c r="AF117" s="1">
        <f t="shared" ca="1" si="47"/>
        <v>0.54911875155078271</v>
      </c>
      <c r="AG117" s="1">
        <f t="shared" ca="1" si="48"/>
        <v>332</v>
      </c>
      <c r="AH117" s="1">
        <f t="shared" ca="1" si="49"/>
        <v>9.175682273170541E-3</v>
      </c>
    </row>
    <row r="118" spans="2:34" x14ac:dyDescent="0.25">
      <c r="B118">
        <f t="shared" ca="1" si="25"/>
        <v>769</v>
      </c>
      <c r="C118">
        <f t="shared" ca="1" si="26"/>
        <v>14</v>
      </c>
      <c r="D118">
        <f t="shared" ca="1" si="27"/>
        <v>8.882110641172769E-2</v>
      </c>
      <c r="F118" s="1">
        <f t="shared" ca="1" si="28"/>
        <v>50</v>
      </c>
      <c r="G118" s="1">
        <f t="shared" ca="1" si="29"/>
        <v>26</v>
      </c>
      <c r="H118" s="1">
        <f t="shared" ca="1" si="30"/>
        <v>4</v>
      </c>
      <c r="I118" s="1"/>
      <c r="J118" s="1">
        <f t="shared" ca="1" si="31"/>
        <v>34</v>
      </c>
      <c r="K118" s="1">
        <f t="shared" ca="1" si="32"/>
        <v>1.175284931797409</v>
      </c>
      <c r="L118" s="1">
        <f t="shared" ca="1" si="33"/>
        <v>27</v>
      </c>
      <c r="M118" s="1"/>
      <c r="N118" s="1">
        <f t="shared" ca="1" si="34"/>
        <v>471</v>
      </c>
      <c r="O118" s="1">
        <f t="shared" ca="1" si="35"/>
        <v>41</v>
      </c>
      <c r="P118" s="1"/>
      <c r="Q118" s="1">
        <f t="shared" ca="1" si="36"/>
        <v>1.049875431821506</v>
      </c>
      <c r="R118" s="1">
        <f t="shared" ca="1" si="37"/>
        <v>942</v>
      </c>
      <c r="S118" s="1"/>
      <c r="T118" s="1">
        <f t="shared" ca="1" si="38"/>
        <v>9.7195428406960133E-2</v>
      </c>
      <c r="U118" s="1">
        <f t="shared" ca="1" si="39"/>
        <v>319</v>
      </c>
      <c r="V118" s="1">
        <f t="shared" ca="1" si="40"/>
        <v>10</v>
      </c>
      <c r="W118" s="1"/>
      <c r="X118" s="1">
        <f t="shared" ca="1" si="41"/>
        <v>0.10811010899036431</v>
      </c>
      <c r="Y118" s="1">
        <f t="shared" ca="1" si="42"/>
        <v>0.72462603147367666</v>
      </c>
      <c r="Z118" s="1">
        <f t="shared" ca="1" si="43"/>
        <v>1689</v>
      </c>
      <c r="AB118" s="1">
        <f t="shared" ca="1" si="44"/>
        <v>0.66002851348741887</v>
      </c>
      <c r="AC118" s="1">
        <f t="shared" ca="1" si="45"/>
        <v>197</v>
      </c>
      <c r="AD118" s="1">
        <f t="shared" ca="1" si="46"/>
        <v>9.193863441230141E-3</v>
      </c>
      <c r="AE118" s="1"/>
      <c r="AF118" s="1">
        <f t="shared" ca="1" si="47"/>
        <v>0.16717858033950483</v>
      </c>
      <c r="AG118" s="1">
        <f t="shared" ca="1" si="48"/>
        <v>785</v>
      </c>
      <c r="AH118" s="1">
        <f t="shared" ca="1" si="49"/>
        <v>4.6227314078971914E-3</v>
      </c>
    </row>
    <row r="119" spans="2:34" x14ac:dyDescent="0.25">
      <c r="B119">
        <f t="shared" ca="1" si="25"/>
        <v>829</v>
      </c>
      <c r="C119">
        <f t="shared" ca="1" si="26"/>
        <v>13</v>
      </c>
      <c r="D119">
        <f t="shared" ca="1" si="27"/>
        <v>4.4378235356230984E-2</v>
      </c>
      <c r="F119" s="1">
        <f t="shared" ca="1" si="28"/>
        <v>3</v>
      </c>
      <c r="G119" s="1">
        <f t="shared" ca="1" si="29"/>
        <v>10</v>
      </c>
      <c r="H119" s="1">
        <f t="shared" ca="1" si="30"/>
        <v>15</v>
      </c>
      <c r="I119" s="1"/>
      <c r="J119" s="1">
        <f t="shared" ca="1" si="31"/>
        <v>19</v>
      </c>
      <c r="K119" s="1">
        <f t="shared" ca="1" si="32"/>
        <v>1.574100897945194</v>
      </c>
      <c r="L119" s="1">
        <f t="shared" ca="1" si="33"/>
        <v>19</v>
      </c>
      <c r="M119" s="1"/>
      <c r="N119" s="1">
        <f t="shared" ca="1" si="34"/>
        <v>760</v>
      </c>
      <c r="O119" s="1">
        <f t="shared" ca="1" si="35"/>
        <v>39</v>
      </c>
      <c r="P119" s="1"/>
      <c r="Q119" s="1">
        <f t="shared" ca="1" si="36"/>
        <v>1.3113399602703757</v>
      </c>
      <c r="R119" s="1">
        <f t="shared" ca="1" si="37"/>
        <v>210</v>
      </c>
      <c r="S119" s="1"/>
      <c r="T119" s="1">
        <f t="shared" ca="1" si="38"/>
        <v>0.16309038568167311</v>
      </c>
      <c r="U119" s="1">
        <f t="shared" ca="1" si="39"/>
        <v>295</v>
      </c>
      <c r="V119" s="1">
        <f t="shared" ca="1" si="40"/>
        <v>2</v>
      </c>
      <c r="W119" s="1"/>
      <c r="X119" s="1">
        <f t="shared" ca="1" si="41"/>
        <v>5.854588505483</v>
      </c>
      <c r="Y119" s="1">
        <f t="shared" ca="1" si="42"/>
        <v>3.2364991944850582E-2</v>
      </c>
      <c r="Z119" s="1">
        <f t="shared" ca="1" si="43"/>
        <v>849</v>
      </c>
      <c r="AB119" s="1">
        <f t="shared" ca="1" si="44"/>
        <v>0.72150877342765007</v>
      </c>
      <c r="AC119" s="1">
        <f t="shared" ca="1" si="45"/>
        <v>189</v>
      </c>
      <c r="AD119" s="1">
        <f t="shared" ca="1" si="46"/>
        <v>3.7505613218682989E-3</v>
      </c>
      <c r="AE119" s="1"/>
      <c r="AF119" s="1">
        <f t="shared" ca="1" si="47"/>
        <v>0.35664220510543543</v>
      </c>
      <c r="AG119" s="1">
        <f t="shared" ca="1" si="48"/>
        <v>575</v>
      </c>
      <c r="AH119" s="1">
        <f t="shared" ca="1" si="49"/>
        <v>8.4176519903043714E-3</v>
      </c>
    </row>
    <row r="120" spans="2:34" x14ac:dyDescent="0.25">
      <c r="B120">
        <f t="shared" ca="1" si="25"/>
        <v>469</v>
      </c>
      <c r="C120">
        <f t="shared" ca="1" si="26"/>
        <v>41</v>
      </c>
      <c r="D120">
        <f t="shared" ca="1" si="27"/>
        <v>0.25120781652440871</v>
      </c>
      <c r="F120" s="1">
        <f t="shared" ca="1" si="28"/>
        <v>13</v>
      </c>
      <c r="G120" s="1">
        <f t="shared" ca="1" si="29"/>
        <v>10</v>
      </c>
      <c r="H120" s="1">
        <f t="shared" ca="1" si="30"/>
        <v>4</v>
      </c>
      <c r="I120" s="1"/>
      <c r="J120" s="1">
        <f t="shared" ca="1" si="31"/>
        <v>27</v>
      </c>
      <c r="K120" s="1">
        <f t="shared" ca="1" si="32"/>
        <v>1.9519277013149274</v>
      </c>
      <c r="L120" s="1">
        <f t="shared" ca="1" si="33"/>
        <v>8</v>
      </c>
      <c r="M120" s="1"/>
      <c r="N120" s="1">
        <f t="shared" ca="1" si="34"/>
        <v>238</v>
      </c>
      <c r="O120" s="1">
        <f t="shared" ca="1" si="35"/>
        <v>42</v>
      </c>
      <c r="P120" s="1"/>
      <c r="Q120" s="1">
        <f t="shared" ca="1" si="36"/>
        <v>3.3326414262234079</v>
      </c>
      <c r="R120" s="1">
        <f t="shared" ca="1" si="37"/>
        <v>1130</v>
      </c>
      <c r="S120" s="1"/>
      <c r="T120" s="1">
        <f t="shared" ca="1" si="38"/>
        <v>7.4133322291736706E-2</v>
      </c>
      <c r="U120" s="1">
        <f t="shared" ca="1" si="39"/>
        <v>268</v>
      </c>
      <c r="V120" s="1">
        <f t="shared" ca="1" si="40"/>
        <v>11</v>
      </c>
      <c r="W120" s="1"/>
      <c r="X120" s="1">
        <f t="shared" ca="1" si="41"/>
        <v>7.6340601725556123</v>
      </c>
      <c r="Y120" s="1">
        <f t="shared" ca="1" si="42"/>
        <v>5.6469489951120923E-2</v>
      </c>
      <c r="Z120" s="1">
        <f t="shared" ca="1" si="43"/>
        <v>957</v>
      </c>
      <c r="AB120" s="1">
        <f t="shared" ca="1" si="44"/>
        <v>0.41609865337640167</v>
      </c>
      <c r="AC120" s="1">
        <f t="shared" ca="1" si="45"/>
        <v>931</v>
      </c>
      <c r="AD120" s="1">
        <f t="shared" ca="1" si="46"/>
        <v>2.3534453171638208E-3</v>
      </c>
      <c r="AE120" s="1"/>
      <c r="AF120" s="1">
        <f t="shared" ca="1" si="47"/>
        <v>0.72143997460245657</v>
      </c>
      <c r="AG120" s="1">
        <f t="shared" ca="1" si="48"/>
        <v>693</v>
      </c>
      <c r="AH120" s="1">
        <f t="shared" ca="1" si="49"/>
        <v>2.6404641349809222E-3</v>
      </c>
    </row>
    <row r="121" spans="2:34" x14ac:dyDescent="0.25">
      <c r="B121">
        <f t="shared" ca="1" si="25"/>
        <v>920</v>
      </c>
      <c r="C121">
        <f t="shared" ca="1" si="26"/>
        <v>46</v>
      </c>
      <c r="D121">
        <f t="shared" ca="1" si="27"/>
        <v>0.18729527314565581</v>
      </c>
      <c r="F121" s="1">
        <f t="shared" ca="1" si="28"/>
        <v>31</v>
      </c>
      <c r="G121" s="1">
        <f t="shared" ca="1" si="29"/>
        <v>17</v>
      </c>
      <c r="H121" s="1">
        <f t="shared" ca="1" si="30"/>
        <v>5</v>
      </c>
      <c r="I121" s="1"/>
      <c r="J121" s="1">
        <f t="shared" ca="1" si="31"/>
        <v>22</v>
      </c>
      <c r="K121" s="1">
        <f t="shared" ca="1" si="32"/>
        <v>1.7568052679095956</v>
      </c>
      <c r="L121" s="1">
        <f t="shared" ca="1" si="33"/>
        <v>4</v>
      </c>
      <c r="M121" s="1"/>
      <c r="N121" s="1">
        <f t="shared" ca="1" si="34"/>
        <v>104</v>
      </c>
      <c r="O121" s="1">
        <f t="shared" ca="1" si="35"/>
        <v>29</v>
      </c>
      <c r="P121" s="1"/>
      <c r="Q121" s="1">
        <f t="shared" ca="1" si="36"/>
        <v>3.1585233154465744</v>
      </c>
      <c r="R121" s="1">
        <f t="shared" ca="1" si="37"/>
        <v>1060</v>
      </c>
      <c r="S121" s="1"/>
      <c r="T121" s="1">
        <f t="shared" ca="1" si="38"/>
        <v>0.12938525493319777</v>
      </c>
      <c r="U121" s="1">
        <f t="shared" ca="1" si="39"/>
        <v>392</v>
      </c>
      <c r="V121" s="1">
        <f t="shared" ca="1" si="40"/>
        <v>16</v>
      </c>
      <c r="W121" s="1"/>
      <c r="X121" s="1">
        <f t="shared" ca="1" si="41"/>
        <v>2.3368146215709449</v>
      </c>
      <c r="Y121" s="1">
        <f t="shared" ca="1" si="42"/>
        <v>1.3530558729396914E-2</v>
      </c>
      <c r="Z121" s="1">
        <f t="shared" ca="1" si="43"/>
        <v>732</v>
      </c>
      <c r="AB121" s="1">
        <f t="shared" ca="1" si="44"/>
        <v>0.95767117900970555</v>
      </c>
      <c r="AC121" s="1">
        <f t="shared" ca="1" si="45"/>
        <v>466</v>
      </c>
      <c r="AD121" s="1">
        <f t="shared" ca="1" si="46"/>
        <v>7.8020586212478073E-3</v>
      </c>
      <c r="AE121" s="1"/>
      <c r="AF121" s="1">
        <f t="shared" ca="1" si="47"/>
        <v>0.79799673522421466</v>
      </c>
      <c r="AG121" s="1">
        <f t="shared" ca="1" si="48"/>
        <v>129</v>
      </c>
      <c r="AH121" s="1">
        <f t="shared" ca="1" si="49"/>
        <v>7.676375934140848E-3</v>
      </c>
    </row>
    <row r="122" spans="2:34" x14ac:dyDescent="0.25">
      <c r="B122">
        <f t="shared" ca="1" si="25"/>
        <v>809</v>
      </c>
      <c r="C122">
        <f t="shared" ca="1" si="26"/>
        <v>19</v>
      </c>
      <c r="D122">
        <f t="shared" ca="1" si="27"/>
        <v>0.20215262861714903</v>
      </c>
      <c r="F122" s="1">
        <f t="shared" ca="1" si="28"/>
        <v>35</v>
      </c>
      <c r="G122" s="1">
        <f t="shared" ca="1" si="29"/>
        <v>21</v>
      </c>
      <c r="H122" s="1">
        <f t="shared" ca="1" si="30"/>
        <v>5</v>
      </c>
      <c r="I122" s="1"/>
      <c r="J122" s="1">
        <f t="shared" ca="1" si="31"/>
        <v>22</v>
      </c>
      <c r="K122" s="1">
        <f t="shared" ca="1" si="32"/>
        <v>1.7028513248289268</v>
      </c>
      <c r="L122" s="1">
        <f t="shared" ca="1" si="33"/>
        <v>21</v>
      </c>
      <c r="M122" s="1"/>
      <c r="N122" s="1">
        <f t="shared" ca="1" si="34"/>
        <v>655</v>
      </c>
      <c r="O122" s="1">
        <f t="shared" ca="1" si="35"/>
        <v>45</v>
      </c>
      <c r="P122" s="1"/>
      <c r="Q122" s="1">
        <f t="shared" ca="1" si="36"/>
        <v>4.369526364068621E-2</v>
      </c>
      <c r="R122" s="1">
        <f t="shared" ca="1" si="37"/>
        <v>549</v>
      </c>
      <c r="S122" s="1"/>
      <c r="T122" s="1">
        <f t="shared" ca="1" si="38"/>
        <v>0.12051197119322375</v>
      </c>
      <c r="U122" s="1">
        <f t="shared" ca="1" si="39"/>
        <v>320</v>
      </c>
      <c r="V122" s="1">
        <f t="shared" ca="1" si="40"/>
        <v>3</v>
      </c>
      <c r="W122" s="1"/>
      <c r="X122" s="1">
        <f t="shared" ca="1" si="41"/>
        <v>6.5222120433859239</v>
      </c>
      <c r="Y122" s="1">
        <f t="shared" ca="1" si="42"/>
        <v>0.82795476993508799</v>
      </c>
      <c r="Z122" s="1">
        <f t="shared" ca="1" si="43"/>
        <v>1620</v>
      </c>
      <c r="AB122" s="1">
        <f t="shared" ca="1" si="44"/>
        <v>0.51836807612771041</v>
      </c>
      <c r="AC122" s="1">
        <f t="shared" ca="1" si="45"/>
        <v>246</v>
      </c>
      <c r="AD122" s="1">
        <f t="shared" ca="1" si="46"/>
        <v>6.2511501503545132E-3</v>
      </c>
      <c r="AE122" s="1"/>
      <c r="AF122" s="1">
        <f t="shared" ca="1" si="47"/>
        <v>0.39023064345018721</v>
      </c>
      <c r="AG122" s="1">
        <f t="shared" ca="1" si="48"/>
        <v>181</v>
      </c>
      <c r="AH122" s="1">
        <f t="shared" ca="1" si="49"/>
        <v>7.2674147872906951E-3</v>
      </c>
    </row>
    <row r="123" spans="2:34" x14ac:dyDescent="0.25">
      <c r="B123">
        <f t="shared" ca="1" si="25"/>
        <v>124</v>
      </c>
      <c r="C123">
        <f t="shared" ca="1" si="26"/>
        <v>5</v>
      </c>
      <c r="D123">
        <f t="shared" ca="1" si="27"/>
        <v>0.13354040802792588</v>
      </c>
      <c r="F123" s="1">
        <f t="shared" ca="1" si="28"/>
        <v>34</v>
      </c>
      <c r="G123" s="1">
        <f t="shared" ca="1" si="29"/>
        <v>21</v>
      </c>
      <c r="H123" s="1">
        <f t="shared" ca="1" si="30"/>
        <v>10</v>
      </c>
      <c r="I123" s="1"/>
      <c r="J123" s="1">
        <f t="shared" ca="1" si="31"/>
        <v>35</v>
      </c>
      <c r="K123" s="1">
        <f t="shared" ca="1" si="32"/>
        <v>2.1008692943007103</v>
      </c>
      <c r="L123" s="1">
        <f t="shared" ca="1" si="33"/>
        <v>30</v>
      </c>
      <c r="M123" s="1"/>
      <c r="N123" s="1">
        <f t="shared" ca="1" si="34"/>
        <v>672</v>
      </c>
      <c r="O123" s="1">
        <f t="shared" ca="1" si="35"/>
        <v>25</v>
      </c>
      <c r="P123" s="1"/>
      <c r="Q123" s="1">
        <f t="shared" ca="1" si="36"/>
        <v>2.7574136555491213</v>
      </c>
      <c r="R123" s="1">
        <f t="shared" ca="1" si="37"/>
        <v>973</v>
      </c>
      <c r="S123" s="1"/>
      <c r="T123" s="1">
        <f t="shared" ca="1" si="38"/>
        <v>3.2165353339456478E-2</v>
      </c>
      <c r="U123" s="1">
        <f t="shared" ca="1" si="39"/>
        <v>99</v>
      </c>
      <c r="V123" s="1">
        <f t="shared" ca="1" si="40"/>
        <v>42</v>
      </c>
      <c r="W123" s="1"/>
      <c r="X123" s="1">
        <f t="shared" ca="1" si="41"/>
        <v>8.2471402576667749</v>
      </c>
      <c r="Y123" s="1">
        <f t="shared" ca="1" si="42"/>
        <v>0.84758449375115352</v>
      </c>
      <c r="Z123" s="1">
        <f t="shared" ca="1" si="43"/>
        <v>918</v>
      </c>
      <c r="AB123" s="1">
        <f t="shared" ca="1" si="44"/>
        <v>0.79201601772699814</v>
      </c>
      <c r="AC123" s="1">
        <f t="shared" ca="1" si="45"/>
        <v>269</v>
      </c>
      <c r="AD123" s="1">
        <f t="shared" ca="1" si="46"/>
        <v>4.3281140799267077E-3</v>
      </c>
      <c r="AE123" s="1"/>
      <c r="AF123" s="1">
        <f t="shared" ca="1" si="47"/>
        <v>0.10530468072643782</v>
      </c>
      <c r="AG123" s="1">
        <f t="shared" ca="1" si="48"/>
        <v>339</v>
      </c>
      <c r="AH123" s="1">
        <f t="shared" ca="1" si="49"/>
        <v>8.4395842773774086E-4</v>
      </c>
    </row>
    <row r="124" spans="2:34" x14ac:dyDescent="0.25">
      <c r="B124">
        <f t="shared" ca="1" si="25"/>
        <v>524</v>
      </c>
      <c r="C124">
        <f t="shared" ca="1" si="26"/>
        <v>46</v>
      </c>
      <c r="D124">
        <f t="shared" ca="1" si="27"/>
        <v>0.14560087967491672</v>
      </c>
      <c r="F124" s="1">
        <f t="shared" ca="1" si="28"/>
        <v>3</v>
      </c>
      <c r="G124" s="1">
        <f t="shared" ca="1" si="29"/>
        <v>21</v>
      </c>
      <c r="H124" s="1">
        <f t="shared" ca="1" si="30"/>
        <v>2</v>
      </c>
      <c r="I124" s="1"/>
      <c r="J124" s="1">
        <f t="shared" ca="1" si="31"/>
        <v>10</v>
      </c>
      <c r="K124" s="1">
        <f t="shared" ca="1" si="32"/>
        <v>1.0170124262091911</v>
      </c>
      <c r="L124" s="1">
        <f t="shared" ca="1" si="33"/>
        <v>7</v>
      </c>
      <c r="M124" s="1"/>
      <c r="N124" s="1">
        <f t="shared" ca="1" si="34"/>
        <v>57</v>
      </c>
      <c r="O124" s="1">
        <f t="shared" ca="1" si="35"/>
        <v>4</v>
      </c>
      <c r="P124" s="1"/>
      <c r="Q124" s="1">
        <f t="shared" ca="1" si="36"/>
        <v>1.7400939294198066</v>
      </c>
      <c r="R124" s="1">
        <f t="shared" ca="1" si="37"/>
        <v>217</v>
      </c>
      <c r="S124" s="1"/>
      <c r="T124" s="1">
        <f t="shared" ca="1" si="38"/>
        <v>0.14884266230886989</v>
      </c>
      <c r="U124" s="1">
        <f t="shared" ca="1" si="39"/>
        <v>341</v>
      </c>
      <c r="V124" s="1">
        <f t="shared" ca="1" si="40"/>
        <v>47</v>
      </c>
      <c r="W124" s="1"/>
      <c r="X124" s="1">
        <f t="shared" ca="1" si="41"/>
        <v>1.8004117423737134</v>
      </c>
      <c r="Y124" s="1">
        <f t="shared" ca="1" si="42"/>
        <v>0.89376391550580958</v>
      </c>
      <c r="Z124" s="1">
        <f t="shared" ca="1" si="43"/>
        <v>594</v>
      </c>
      <c r="AB124" s="1">
        <f t="shared" ca="1" si="44"/>
        <v>4.2819892163054943E-2</v>
      </c>
      <c r="AC124" s="1">
        <f t="shared" ca="1" si="45"/>
        <v>634</v>
      </c>
      <c r="AD124" s="1">
        <f t="shared" ca="1" si="46"/>
        <v>7.0912972166317133E-3</v>
      </c>
      <c r="AE124" s="1"/>
      <c r="AF124" s="1">
        <f t="shared" ca="1" si="47"/>
        <v>0.35634860942385638</v>
      </c>
      <c r="AG124" s="1">
        <f t="shared" ca="1" si="48"/>
        <v>844</v>
      </c>
      <c r="AH124" s="1">
        <f t="shared" ca="1" si="49"/>
        <v>8.3442473012730698E-3</v>
      </c>
    </row>
    <row r="125" spans="2:34" x14ac:dyDescent="0.25">
      <c r="B125">
        <f t="shared" ca="1" si="25"/>
        <v>47</v>
      </c>
      <c r="C125">
        <f t="shared" ca="1" si="26"/>
        <v>40</v>
      </c>
      <c r="D125">
        <f t="shared" ca="1" si="27"/>
        <v>0.16635924988653064</v>
      </c>
      <c r="F125" s="1">
        <f t="shared" ca="1" si="28"/>
        <v>7</v>
      </c>
      <c r="G125" s="1">
        <f t="shared" ca="1" si="29"/>
        <v>23</v>
      </c>
      <c r="H125" s="1">
        <f t="shared" ca="1" si="30"/>
        <v>1</v>
      </c>
      <c r="I125" s="1"/>
      <c r="J125" s="1">
        <f t="shared" ca="1" si="31"/>
        <v>39</v>
      </c>
      <c r="K125" s="1">
        <f t="shared" ca="1" si="32"/>
        <v>2.5750413410708219</v>
      </c>
      <c r="L125" s="1">
        <f t="shared" ca="1" si="33"/>
        <v>30</v>
      </c>
      <c r="M125" s="1"/>
      <c r="N125" s="1">
        <f t="shared" ca="1" si="34"/>
        <v>836</v>
      </c>
      <c r="O125" s="1">
        <f t="shared" ca="1" si="35"/>
        <v>20</v>
      </c>
      <c r="P125" s="1"/>
      <c r="Q125" s="1">
        <f t="shared" ca="1" si="36"/>
        <v>1.8819811550134238</v>
      </c>
      <c r="R125" s="1">
        <f t="shared" ca="1" si="37"/>
        <v>542</v>
      </c>
      <c r="S125" s="1"/>
      <c r="T125" s="1">
        <f t="shared" ca="1" si="38"/>
        <v>0.12835946466094095</v>
      </c>
      <c r="U125" s="1">
        <f t="shared" ca="1" si="39"/>
        <v>131</v>
      </c>
      <c r="V125" s="1">
        <f t="shared" ca="1" si="40"/>
        <v>16</v>
      </c>
      <c r="W125" s="1"/>
      <c r="X125" s="1">
        <f t="shared" ca="1" si="41"/>
        <v>7.6266901325659004</v>
      </c>
      <c r="Y125" s="1">
        <f t="shared" ca="1" si="42"/>
        <v>0.54654780190259222</v>
      </c>
      <c r="Z125" s="1">
        <f t="shared" ca="1" si="43"/>
        <v>1341</v>
      </c>
      <c r="AB125" s="1">
        <f t="shared" ca="1" si="44"/>
        <v>0.89728903545301864</v>
      </c>
      <c r="AC125" s="1">
        <f t="shared" ca="1" si="45"/>
        <v>393</v>
      </c>
      <c r="AD125" s="1">
        <f t="shared" ca="1" si="46"/>
        <v>8.6891329890136371E-3</v>
      </c>
      <c r="AE125" s="1"/>
      <c r="AF125" s="1">
        <f t="shared" ca="1" si="47"/>
        <v>0.77366534096099004</v>
      </c>
      <c r="AG125" s="1">
        <f t="shared" ca="1" si="48"/>
        <v>339</v>
      </c>
      <c r="AH125" s="1">
        <f t="shared" ca="1" si="49"/>
        <v>5.6007282350277118E-3</v>
      </c>
    </row>
    <row r="126" spans="2:34" x14ac:dyDescent="0.25">
      <c r="B126">
        <f t="shared" ca="1" si="25"/>
        <v>916</v>
      </c>
      <c r="C126">
        <f t="shared" ca="1" si="26"/>
        <v>46</v>
      </c>
      <c r="D126">
        <f t="shared" ca="1" si="27"/>
        <v>0.25088346931398714</v>
      </c>
      <c r="F126" s="1">
        <f t="shared" ca="1" si="28"/>
        <v>22</v>
      </c>
      <c r="G126" s="1">
        <f t="shared" ca="1" si="29"/>
        <v>7</v>
      </c>
      <c r="H126" s="1">
        <f t="shared" ca="1" si="30"/>
        <v>5</v>
      </c>
      <c r="I126" s="1"/>
      <c r="J126" s="1">
        <f t="shared" ca="1" si="31"/>
        <v>5</v>
      </c>
      <c r="K126" s="1">
        <f t="shared" ca="1" si="32"/>
        <v>2.230393329231759</v>
      </c>
      <c r="L126" s="1">
        <f t="shared" ca="1" si="33"/>
        <v>27</v>
      </c>
      <c r="M126" s="1"/>
      <c r="N126" s="1">
        <f t="shared" ca="1" si="34"/>
        <v>158</v>
      </c>
      <c r="O126" s="1">
        <f t="shared" ca="1" si="35"/>
        <v>11</v>
      </c>
      <c r="P126" s="1"/>
      <c r="Q126" s="1">
        <f t="shared" ca="1" si="36"/>
        <v>3.8879521689218057</v>
      </c>
      <c r="R126" s="1">
        <f t="shared" ca="1" si="37"/>
        <v>608</v>
      </c>
      <c r="S126" s="1"/>
      <c r="T126" s="1">
        <f t="shared" ca="1" si="38"/>
        <v>2.6308675667497596E-2</v>
      </c>
      <c r="U126" s="1">
        <f t="shared" ca="1" si="39"/>
        <v>71</v>
      </c>
      <c r="V126" s="1">
        <f t="shared" ca="1" si="40"/>
        <v>27</v>
      </c>
      <c r="W126" s="1"/>
      <c r="X126" s="1">
        <f t="shared" ca="1" si="41"/>
        <v>8.7597252752938957</v>
      </c>
      <c r="Y126" s="1">
        <f t="shared" ca="1" si="42"/>
        <v>0.18487026929640024</v>
      </c>
      <c r="Z126" s="1">
        <f t="shared" ca="1" si="43"/>
        <v>1728</v>
      </c>
      <c r="AB126" s="1">
        <f t="shared" ca="1" si="44"/>
        <v>0.13583647597653045</v>
      </c>
      <c r="AC126" s="1">
        <f t="shared" ca="1" si="45"/>
        <v>735</v>
      </c>
      <c r="AD126" s="1">
        <f t="shared" ca="1" si="46"/>
        <v>8.7637266699596705E-3</v>
      </c>
      <c r="AE126" s="1"/>
      <c r="AF126" s="1">
        <f t="shared" ca="1" si="47"/>
        <v>0.21809522261023756</v>
      </c>
      <c r="AG126" s="1">
        <f t="shared" ca="1" si="48"/>
        <v>391</v>
      </c>
      <c r="AH126" s="1">
        <f t="shared" ca="1" si="49"/>
        <v>8.7529527842542428E-3</v>
      </c>
    </row>
    <row r="127" spans="2:34" x14ac:dyDescent="0.25">
      <c r="B127">
        <f t="shared" ca="1" si="25"/>
        <v>983</v>
      </c>
      <c r="C127">
        <f t="shared" ca="1" si="26"/>
        <v>51</v>
      </c>
      <c r="D127">
        <f t="shared" ca="1" si="27"/>
        <v>0.12246255263121041</v>
      </c>
      <c r="F127" s="1">
        <f t="shared" ca="1" si="28"/>
        <v>33</v>
      </c>
      <c r="G127" s="1">
        <f t="shared" ca="1" si="29"/>
        <v>5</v>
      </c>
      <c r="H127" s="1">
        <f t="shared" ca="1" si="30"/>
        <v>9</v>
      </c>
      <c r="I127" s="1"/>
      <c r="J127" s="1">
        <f t="shared" ca="1" si="31"/>
        <v>3</v>
      </c>
      <c r="K127" s="1">
        <f t="shared" ca="1" si="32"/>
        <v>1.9298144288789747</v>
      </c>
      <c r="L127" s="1">
        <f t="shared" ca="1" si="33"/>
        <v>5</v>
      </c>
      <c r="M127" s="1"/>
      <c r="N127" s="1">
        <f t="shared" ca="1" si="34"/>
        <v>244</v>
      </c>
      <c r="O127" s="1">
        <f t="shared" ca="1" si="35"/>
        <v>14</v>
      </c>
      <c r="P127" s="1"/>
      <c r="Q127" s="1">
        <f t="shared" ca="1" si="36"/>
        <v>2.1137938733799535</v>
      </c>
      <c r="R127" s="1">
        <f t="shared" ca="1" si="37"/>
        <v>1026</v>
      </c>
      <c r="S127" s="1"/>
      <c r="T127" s="1">
        <f t="shared" ca="1" si="38"/>
        <v>8.1089299393252087E-2</v>
      </c>
      <c r="U127" s="1">
        <f t="shared" ca="1" si="39"/>
        <v>246</v>
      </c>
      <c r="V127" s="1">
        <f t="shared" ca="1" si="40"/>
        <v>41</v>
      </c>
      <c r="W127" s="1"/>
      <c r="X127" s="1">
        <f t="shared" ca="1" si="41"/>
        <v>8.1291188182108733</v>
      </c>
      <c r="Y127" s="1">
        <f t="shared" ca="1" si="42"/>
        <v>0.11645600567373091</v>
      </c>
      <c r="Z127" s="1">
        <f t="shared" ca="1" si="43"/>
        <v>1166</v>
      </c>
      <c r="AB127" s="1">
        <f t="shared" ca="1" si="44"/>
        <v>0.8787793000541122</v>
      </c>
      <c r="AC127" s="1">
        <f t="shared" ca="1" si="45"/>
        <v>477</v>
      </c>
      <c r="AD127" s="1">
        <f t="shared" ca="1" si="46"/>
        <v>9.6421831723655128E-3</v>
      </c>
      <c r="AE127" s="1"/>
      <c r="AF127" s="1">
        <f t="shared" ca="1" si="47"/>
        <v>0.77908085680384953</v>
      </c>
      <c r="AG127" s="1">
        <f t="shared" ca="1" si="48"/>
        <v>677</v>
      </c>
      <c r="AH127" s="1">
        <f t="shared" ca="1" si="49"/>
        <v>7.2520366327908431E-3</v>
      </c>
    </row>
    <row r="128" spans="2:34" x14ac:dyDescent="0.25">
      <c r="B128">
        <f t="shared" ca="1" si="25"/>
        <v>711</v>
      </c>
      <c r="C128">
        <f t="shared" ca="1" si="26"/>
        <v>43</v>
      </c>
      <c r="D128">
        <f t="shared" ca="1" si="27"/>
        <v>0.21081459857832471</v>
      </c>
      <c r="F128" s="1">
        <f t="shared" ca="1" si="28"/>
        <v>40</v>
      </c>
      <c r="G128" s="1">
        <f t="shared" ca="1" si="29"/>
        <v>6</v>
      </c>
      <c r="H128" s="1">
        <f t="shared" ca="1" si="30"/>
        <v>9</v>
      </c>
      <c r="I128" s="1"/>
      <c r="J128" s="1">
        <f t="shared" ca="1" si="31"/>
        <v>21</v>
      </c>
      <c r="K128" s="1">
        <f t="shared" ca="1" si="32"/>
        <v>1.1414155914393684</v>
      </c>
      <c r="L128" s="1">
        <f t="shared" ca="1" si="33"/>
        <v>15</v>
      </c>
      <c r="M128" s="1"/>
      <c r="N128" s="1">
        <f t="shared" ca="1" si="34"/>
        <v>255</v>
      </c>
      <c r="O128" s="1">
        <f t="shared" ca="1" si="35"/>
        <v>47</v>
      </c>
      <c r="P128" s="1"/>
      <c r="Q128" s="1">
        <f t="shared" ca="1" si="36"/>
        <v>2.4613058545161657</v>
      </c>
      <c r="R128" s="1">
        <f t="shared" ca="1" si="37"/>
        <v>610</v>
      </c>
      <c r="S128" s="1"/>
      <c r="T128" s="1">
        <f t="shared" ca="1" si="38"/>
        <v>0.14644538410733599</v>
      </c>
      <c r="U128" s="1">
        <f t="shared" ca="1" si="39"/>
        <v>118</v>
      </c>
      <c r="V128" s="1">
        <f t="shared" ca="1" si="40"/>
        <v>46</v>
      </c>
      <c r="W128" s="1"/>
      <c r="X128" s="1">
        <f t="shared" ca="1" si="41"/>
        <v>0.19277239585256362</v>
      </c>
      <c r="Y128" s="1">
        <f t="shared" ca="1" si="42"/>
        <v>0.57773357970521466</v>
      </c>
      <c r="Z128" s="1">
        <f t="shared" ca="1" si="43"/>
        <v>866</v>
      </c>
      <c r="AB128" s="1">
        <f t="shared" ca="1" si="44"/>
        <v>0.66527386049839932</v>
      </c>
      <c r="AC128" s="1">
        <f t="shared" ca="1" si="45"/>
        <v>972</v>
      </c>
      <c r="AD128" s="1">
        <f t="shared" ca="1" si="46"/>
        <v>9.3702988363719014E-3</v>
      </c>
      <c r="AE128" s="1"/>
      <c r="AF128" s="1">
        <f t="shared" ca="1" si="47"/>
        <v>0.80013069429676609</v>
      </c>
      <c r="AG128" s="1">
        <f t="shared" ca="1" si="48"/>
        <v>644</v>
      </c>
      <c r="AH128" s="1">
        <f t="shared" ca="1" si="49"/>
        <v>4.803077346905796E-3</v>
      </c>
    </row>
    <row r="129" spans="2:34" x14ac:dyDescent="0.25">
      <c r="B129">
        <f t="shared" ca="1" si="25"/>
        <v>210</v>
      </c>
      <c r="C129">
        <f t="shared" ca="1" si="26"/>
        <v>41</v>
      </c>
      <c r="D129">
        <f t="shared" ca="1" si="27"/>
        <v>9.9227059231564552E-2</v>
      </c>
      <c r="F129" s="1">
        <f t="shared" ca="1" si="28"/>
        <v>11</v>
      </c>
      <c r="G129" s="1">
        <f t="shared" ca="1" si="29"/>
        <v>18</v>
      </c>
      <c r="H129" s="1">
        <f t="shared" ca="1" si="30"/>
        <v>13</v>
      </c>
      <c r="I129" s="1"/>
      <c r="J129" s="1">
        <f t="shared" ca="1" si="31"/>
        <v>39</v>
      </c>
      <c r="K129" s="1">
        <f t="shared" ca="1" si="32"/>
        <v>1.4718690185708649</v>
      </c>
      <c r="L129" s="1">
        <f t="shared" ca="1" si="33"/>
        <v>26</v>
      </c>
      <c r="M129" s="1"/>
      <c r="N129" s="1">
        <f t="shared" ca="1" si="34"/>
        <v>480</v>
      </c>
      <c r="O129" s="1">
        <f t="shared" ca="1" si="35"/>
        <v>6</v>
      </c>
      <c r="P129" s="1"/>
      <c r="Q129" s="1">
        <f t="shared" ca="1" si="36"/>
        <v>0.13600594426056564</v>
      </c>
      <c r="R129" s="1">
        <f t="shared" ca="1" si="37"/>
        <v>590</v>
      </c>
      <c r="S129" s="1"/>
      <c r="T129" s="1">
        <f t="shared" ca="1" si="38"/>
        <v>0.15795035676999455</v>
      </c>
      <c r="U129" s="1">
        <f t="shared" ca="1" si="39"/>
        <v>97</v>
      </c>
      <c r="V129" s="1">
        <f t="shared" ca="1" si="40"/>
        <v>42</v>
      </c>
      <c r="W129" s="1"/>
      <c r="X129" s="1">
        <f t="shared" ca="1" si="41"/>
        <v>1.5280742851205971</v>
      </c>
      <c r="Y129" s="1">
        <f t="shared" ca="1" si="42"/>
        <v>9.4894402875780645E-2</v>
      </c>
      <c r="Z129" s="1">
        <f t="shared" ca="1" si="43"/>
        <v>1146</v>
      </c>
      <c r="AB129" s="1">
        <f t="shared" ca="1" si="44"/>
        <v>0.5892651290907982</v>
      </c>
      <c r="AC129" s="1">
        <f t="shared" ca="1" si="45"/>
        <v>372</v>
      </c>
      <c r="AD129" s="1">
        <f t="shared" ca="1" si="46"/>
        <v>1.0580359713048509E-3</v>
      </c>
      <c r="AE129" s="1"/>
      <c r="AF129" s="1">
        <f t="shared" ca="1" si="47"/>
        <v>0.13343160947615607</v>
      </c>
      <c r="AG129" s="1">
        <f t="shared" ca="1" si="48"/>
        <v>565</v>
      </c>
      <c r="AH129" s="1">
        <f t="shared" ca="1" si="49"/>
        <v>3.9697294424815132E-3</v>
      </c>
    </row>
    <row r="130" spans="2:34" x14ac:dyDescent="0.25">
      <c r="B130">
        <f t="shared" ca="1" si="25"/>
        <v>837</v>
      </c>
      <c r="C130">
        <f t="shared" ca="1" si="26"/>
        <v>35</v>
      </c>
      <c r="D130">
        <f t="shared" ca="1" si="27"/>
        <v>1.5510606778500207E-2</v>
      </c>
      <c r="F130" s="1">
        <f t="shared" ca="1" si="28"/>
        <v>18</v>
      </c>
      <c r="G130" s="1">
        <f t="shared" ca="1" si="29"/>
        <v>6</v>
      </c>
      <c r="H130" s="1">
        <f t="shared" ca="1" si="30"/>
        <v>13</v>
      </c>
      <c r="I130" s="1"/>
      <c r="J130" s="1">
        <f t="shared" ca="1" si="31"/>
        <v>9</v>
      </c>
      <c r="K130" s="1">
        <f t="shared" ca="1" si="32"/>
        <v>2.0356735894249738</v>
      </c>
      <c r="L130" s="1">
        <f t="shared" ca="1" si="33"/>
        <v>6</v>
      </c>
      <c r="M130" s="1"/>
      <c r="N130" s="1">
        <f t="shared" ca="1" si="34"/>
        <v>452</v>
      </c>
      <c r="O130" s="1">
        <f t="shared" ca="1" si="35"/>
        <v>28</v>
      </c>
      <c r="P130" s="1"/>
      <c r="Q130" s="1">
        <f t="shared" ca="1" si="36"/>
        <v>0.54814403576428472</v>
      </c>
      <c r="R130" s="1">
        <f t="shared" ca="1" si="37"/>
        <v>396</v>
      </c>
      <c r="S130" s="1"/>
      <c r="T130" s="1">
        <f t="shared" ca="1" si="38"/>
        <v>8.2467228400835882E-2</v>
      </c>
      <c r="U130" s="1">
        <f t="shared" ca="1" si="39"/>
        <v>371</v>
      </c>
      <c r="V130" s="1">
        <f t="shared" ca="1" si="40"/>
        <v>49</v>
      </c>
      <c r="W130" s="1"/>
      <c r="X130" s="1">
        <f t="shared" ca="1" si="41"/>
        <v>3.994832236883834</v>
      </c>
      <c r="Y130" s="1">
        <f t="shared" ca="1" si="42"/>
        <v>0.46793864365115295</v>
      </c>
      <c r="Z130" s="1">
        <f t="shared" ca="1" si="43"/>
        <v>1304</v>
      </c>
      <c r="AB130" s="1">
        <f t="shared" ca="1" si="44"/>
        <v>0.14511644710575586</v>
      </c>
      <c r="AC130" s="1">
        <f t="shared" ca="1" si="45"/>
        <v>580</v>
      </c>
      <c r="AD130" s="1">
        <f t="shared" ca="1" si="46"/>
        <v>7.761576132228061E-3</v>
      </c>
      <c r="AE130" s="1"/>
      <c r="AF130" s="1">
        <f t="shared" ca="1" si="47"/>
        <v>0.32402972506278882</v>
      </c>
      <c r="AG130" s="1">
        <f t="shared" ca="1" si="48"/>
        <v>256</v>
      </c>
      <c r="AH130" s="1">
        <f t="shared" ca="1" si="49"/>
        <v>4.9779242008891359E-3</v>
      </c>
    </row>
    <row r="131" spans="2:34" x14ac:dyDescent="0.25">
      <c r="B131">
        <f t="shared" ca="1" si="25"/>
        <v>404</v>
      </c>
      <c r="C131">
        <f t="shared" ca="1" si="26"/>
        <v>36</v>
      </c>
      <c r="D131">
        <f t="shared" ca="1" si="27"/>
        <v>9.0415522273971108E-2</v>
      </c>
      <c r="F131" s="1">
        <f t="shared" ca="1" si="28"/>
        <v>8</v>
      </c>
      <c r="G131" s="1">
        <f t="shared" ca="1" si="29"/>
        <v>4</v>
      </c>
      <c r="H131" s="1">
        <f t="shared" ca="1" si="30"/>
        <v>10</v>
      </c>
      <c r="I131" s="1"/>
      <c r="J131" s="1">
        <f t="shared" ca="1" si="31"/>
        <v>27</v>
      </c>
      <c r="K131" s="1">
        <f t="shared" ca="1" si="32"/>
        <v>1.5291318527189615</v>
      </c>
      <c r="L131" s="1">
        <f t="shared" ca="1" si="33"/>
        <v>33</v>
      </c>
      <c r="M131" s="1"/>
      <c r="N131" s="1">
        <f t="shared" ca="1" si="34"/>
        <v>286</v>
      </c>
      <c r="O131" s="1">
        <f t="shared" ca="1" si="35"/>
        <v>47</v>
      </c>
      <c r="P131" s="1"/>
      <c r="Q131" s="1">
        <f t="shared" ca="1" si="36"/>
        <v>2.6259954314269689</v>
      </c>
      <c r="R131" s="1">
        <f t="shared" ca="1" si="37"/>
        <v>840</v>
      </c>
      <c r="S131" s="1"/>
      <c r="T131" s="1">
        <f t="shared" ca="1" si="38"/>
        <v>0.19320816834941415</v>
      </c>
      <c r="U131" s="1">
        <f t="shared" ca="1" si="39"/>
        <v>316</v>
      </c>
      <c r="V131" s="1">
        <f t="shared" ca="1" si="40"/>
        <v>42</v>
      </c>
      <c r="W131" s="1"/>
      <c r="X131" s="1">
        <f t="shared" ca="1" si="41"/>
        <v>0.6222626228304744</v>
      </c>
      <c r="Y131" s="1">
        <f t="shared" ca="1" si="42"/>
        <v>0.85669509863696192</v>
      </c>
      <c r="Z131" s="1">
        <f t="shared" ca="1" si="43"/>
        <v>1573</v>
      </c>
      <c r="AB131" s="1">
        <f t="shared" ca="1" si="44"/>
        <v>0.90248553423874478</v>
      </c>
      <c r="AC131" s="1">
        <f t="shared" ca="1" si="45"/>
        <v>102</v>
      </c>
      <c r="AD131" s="1">
        <f t="shared" ca="1" si="46"/>
        <v>6.4812011560690802E-3</v>
      </c>
      <c r="AE131" s="1"/>
      <c r="AF131" s="1">
        <f t="shared" ca="1" si="47"/>
        <v>0.25844876565976138</v>
      </c>
      <c r="AG131" s="1">
        <f t="shared" ca="1" si="48"/>
        <v>343</v>
      </c>
      <c r="AH131" s="1">
        <f t="shared" ca="1" si="49"/>
        <v>5.5808850029099152E-3</v>
      </c>
    </row>
    <row r="132" spans="2:34" x14ac:dyDescent="0.25">
      <c r="B132">
        <f t="shared" ref="B132:B195" ca="1" si="50">RANDBETWEEN(15,1000)</f>
        <v>260</v>
      </c>
      <c r="C132">
        <f t="shared" ref="C132:C195" ca="1" si="51">RANDBETWEEN(2,52)</f>
        <v>2</v>
      </c>
      <c r="D132">
        <f t="shared" ref="D132:D195" ca="1" si="52">RAND()*(0.3-0.01)+0.01</f>
        <v>0.24398154941356998</v>
      </c>
      <c r="F132" s="1">
        <f t="shared" ref="F132:F195" ca="1" si="53">RANDBETWEEN(2,52)</f>
        <v>20</v>
      </c>
      <c r="G132" s="1">
        <f t="shared" ref="G132:G195" ca="1" si="54">RANDBETWEEN(2,30)</f>
        <v>23</v>
      </c>
      <c r="H132" s="1">
        <f t="shared" ref="H132:H195" ca="1" si="55">RANDBETWEEN(1,15)</f>
        <v>15</v>
      </c>
      <c r="I132" s="1"/>
      <c r="J132" s="1">
        <f t="shared" ref="J132:J195" ca="1" si="56">RANDBETWEEN(1,39)</f>
        <v>23</v>
      </c>
      <c r="K132" s="1">
        <f t="shared" ref="K132:K195" ca="1" si="57">RAND()*(3-1)+1</f>
        <v>2.5253366481400379</v>
      </c>
      <c r="L132" s="1">
        <f t="shared" ref="L132:L195" ca="1" si="58">RANDBETWEEN(2,35)</f>
        <v>12</v>
      </c>
      <c r="M132" s="1"/>
      <c r="N132" s="1">
        <f t="shared" ref="N132:N195" ca="1" si="59">RANDBETWEEN(15,1000)</f>
        <v>856</v>
      </c>
      <c r="O132" s="1">
        <f t="shared" ref="O132:O195" ca="1" si="60">RANDBETWEEN(2,52)</f>
        <v>51</v>
      </c>
      <c r="P132" s="1"/>
      <c r="Q132" s="1">
        <f t="shared" ref="Q132:Q195" ca="1" si="61">RAND()*(5-0.01)+0.01</f>
        <v>1.0752303787277642</v>
      </c>
      <c r="R132" s="1">
        <f t="shared" ref="R132:R195" ca="1" si="62">RANDBETWEEN(200,1200)</f>
        <v>1041</v>
      </c>
      <c r="S132" s="1"/>
      <c r="T132" s="1">
        <f t="shared" ref="T132:T195" ca="1" si="63">RAND()*(0.2-0.01)+0.01</f>
        <v>7.3655317196277714E-2</v>
      </c>
      <c r="U132" s="1">
        <f t="shared" ref="U132:U195" ca="1" si="64">RANDBETWEEN(50,450)</f>
        <v>151</v>
      </c>
      <c r="V132" s="1">
        <f t="shared" ref="V132:V195" ca="1" si="65">RANDBETWEEN(2,52)</f>
        <v>5</v>
      </c>
      <c r="W132" s="1"/>
      <c r="X132" s="1">
        <f t="shared" ref="X132:X195" ca="1" si="66">RAND()*(10-0.01)+0.01</f>
        <v>7.7170856476052396</v>
      </c>
      <c r="Y132" s="1">
        <f t="shared" ref="Y132:Y195" ca="1" si="67">RAND()*(1-0.0001)+0.0001</f>
        <v>0.12437329522939387</v>
      </c>
      <c r="Z132" s="1">
        <f t="shared" ref="Z132:Z195" ca="1" si="68">RANDBETWEEN(100,2000)</f>
        <v>1581</v>
      </c>
      <c r="AB132" s="1">
        <f t="shared" ref="AB132:AB195" ca="1" si="69">RAND()*(1-0.0001)+0.0001</f>
        <v>0.76642246969666727</v>
      </c>
      <c r="AC132" s="1">
        <f t="shared" ref="AC132:AC195" ca="1" si="70">RANDBETWEEN(100,1000)</f>
        <v>319</v>
      </c>
      <c r="AD132" s="1">
        <f t="shared" ref="AD132:AD195" ca="1" si="71">RAND()*(0.01-0.00001)+0.00001</f>
        <v>5.8435304423203581E-4</v>
      </c>
      <c r="AE132" s="1"/>
      <c r="AF132" s="1">
        <f t="shared" ref="AF132:AF195" ca="1" si="72">RAND()*(0.9-0.1)+0.1</f>
        <v>0.66011533622149066</v>
      </c>
      <c r="AG132" s="1">
        <f t="shared" ref="AG132:AG195" ca="1" si="73">RANDBETWEEN(100,1000)</f>
        <v>785</v>
      </c>
      <c r="AH132" s="1">
        <f t="shared" ref="AH132:AH195" ca="1" si="74">RAND()*(0.01-0.00001)+0.00001</f>
        <v>4.8067454394770106E-3</v>
      </c>
    </row>
    <row r="133" spans="2:34" x14ac:dyDescent="0.25">
      <c r="B133">
        <f t="shared" ca="1" si="50"/>
        <v>195</v>
      </c>
      <c r="C133">
        <f t="shared" ca="1" si="51"/>
        <v>28</v>
      </c>
      <c r="D133">
        <f t="shared" ca="1" si="52"/>
        <v>0.25768918476607361</v>
      </c>
      <c r="F133" s="1">
        <f t="shared" ca="1" si="53"/>
        <v>31</v>
      </c>
      <c r="G133" s="1">
        <f t="shared" ca="1" si="54"/>
        <v>17</v>
      </c>
      <c r="H133" s="1">
        <f t="shared" ca="1" si="55"/>
        <v>14</v>
      </c>
      <c r="I133" s="1"/>
      <c r="J133" s="1">
        <f t="shared" ca="1" si="56"/>
        <v>20</v>
      </c>
      <c r="K133" s="1">
        <f t="shared" ca="1" si="57"/>
        <v>1.3182102538775944</v>
      </c>
      <c r="L133" s="1">
        <f t="shared" ca="1" si="58"/>
        <v>34</v>
      </c>
      <c r="M133" s="1"/>
      <c r="N133" s="1">
        <f t="shared" ca="1" si="59"/>
        <v>570</v>
      </c>
      <c r="O133" s="1">
        <f t="shared" ca="1" si="60"/>
        <v>51</v>
      </c>
      <c r="P133" s="1"/>
      <c r="Q133" s="1">
        <f t="shared" ca="1" si="61"/>
        <v>3.6020506815216518</v>
      </c>
      <c r="R133" s="1">
        <f t="shared" ca="1" si="62"/>
        <v>739</v>
      </c>
      <c r="S133" s="1"/>
      <c r="T133" s="1">
        <f t="shared" ca="1" si="63"/>
        <v>0.18678008392047313</v>
      </c>
      <c r="U133" s="1">
        <f t="shared" ca="1" si="64"/>
        <v>282</v>
      </c>
      <c r="V133" s="1">
        <f t="shared" ca="1" si="65"/>
        <v>25</v>
      </c>
      <c r="W133" s="1"/>
      <c r="X133" s="1">
        <f t="shared" ca="1" si="66"/>
        <v>1.4926793164020318</v>
      </c>
      <c r="Y133" s="1">
        <f t="shared" ca="1" si="67"/>
        <v>0.72860777730764403</v>
      </c>
      <c r="Z133" s="1">
        <f t="shared" ca="1" si="68"/>
        <v>189</v>
      </c>
      <c r="AB133" s="1">
        <f t="shared" ca="1" si="69"/>
        <v>0.36795178510949789</v>
      </c>
      <c r="AC133" s="1">
        <f t="shared" ca="1" si="70"/>
        <v>123</v>
      </c>
      <c r="AD133" s="1">
        <f t="shared" ca="1" si="71"/>
        <v>4.6578269111288558E-3</v>
      </c>
      <c r="AE133" s="1"/>
      <c r="AF133" s="1">
        <f t="shared" ca="1" si="72"/>
        <v>0.51368918859284352</v>
      </c>
      <c r="AG133" s="1">
        <f t="shared" ca="1" si="73"/>
        <v>987</v>
      </c>
      <c r="AH133" s="1">
        <f t="shared" ca="1" si="74"/>
        <v>9.4776646841692909E-3</v>
      </c>
    </row>
    <row r="134" spans="2:34" x14ac:dyDescent="0.25">
      <c r="B134">
        <f t="shared" ca="1" si="50"/>
        <v>517</v>
      </c>
      <c r="C134">
        <f t="shared" ca="1" si="51"/>
        <v>26</v>
      </c>
      <c r="D134">
        <f t="shared" ca="1" si="52"/>
        <v>0.16632572144342214</v>
      </c>
      <c r="F134" s="1">
        <f t="shared" ca="1" si="53"/>
        <v>4</v>
      </c>
      <c r="G134" s="1">
        <f t="shared" ca="1" si="54"/>
        <v>23</v>
      </c>
      <c r="H134" s="1">
        <f t="shared" ca="1" si="55"/>
        <v>3</v>
      </c>
      <c r="I134" s="1"/>
      <c r="J134" s="1">
        <f t="shared" ca="1" si="56"/>
        <v>32</v>
      </c>
      <c r="K134" s="1">
        <f t="shared" ca="1" si="57"/>
        <v>2.2512325044625046</v>
      </c>
      <c r="L134" s="1">
        <f t="shared" ca="1" si="58"/>
        <v>25</v>
      </c>
      <c r="M134" s="1"/>
      <c r="N134" s="1">
        <f t="shared" ca="1" si="59"/>
        <v>946</v>
      </c>
      <c r="O134" s="1">
        <f t="shared" ca="1" si="60"/>
        <v>7</v>
      </c>
      <c r="P134" s="1"/>
      <c r="Q134" s="1">
        <f t="shared" ca="1" si="61"/>
        <v>3.3568863917295859</v>
      </c>
      <c r="R134" s="1">
        <f t="shared" ca="1" si="62"/>
        <v>304</v>
      </c>
      <c r="S134" s="1"/>
      <c r="T134" s="1">
        <f t="shared" ca="1" si="63"/>
        <v>0.14105417125252243</v>
      </c>
      <c r="U134" s="1">
        <f t="shared" ca="1" si="64"/>
        <v>166</v>
      </c>
      <c r="V134" s="1">
        <f t="shared" ca="1" si="65"/>
        <v>25</v>
      </c>
      <c r="W134" s="1"/>
      <c r="X134" s="1">
        <f t="shared" ca="1" si="66"/>
        <v>0.50176064721388347</v>
      </c>
      <c r="Y134" s="1">
        <f t="shared" ca="1" si="67"/>
        <v>8.6035479571155565E-2</v>
      </c>
      <c r="Z134" s="1">
        <f t="shared" ca="1" si="68"/>
        <v>1787</v>
      </c>
      <c r="AB134" s="1">
        <f t="shared" ca="1" si="69"/>
        <v>0.44868440952291644</v>
      </c>
      <c r="AC134" s="1">
        <f t="shared" ca="1" si="70"/>
        <v>405</v>
      </c>
      <c r="AD134" s="1">
        <f t="shared" ca="1" si="71"/>
        <v>1.3446331320662651E-3</v>
      </c>
      <c r="AE134" s="1"/>
      <c r="AF134" s="1">
        <f t="shared" ca="1" si="72"/>
        <v>0.44477392420178286</v>
      </c>
      <c r="AG134" s="1">
        <f t="shared" ca="1" si="73"/>
        <v>891</v>
      </c>
      <c r="AH134" s="1">
        <f t="shared" ca="1" si="74"/>
        <v>1.6656457485382449E-3</v>
      </c>
    </row>
    <row r="135" spans="2:34" x14ac:dyDescent="0.25">
      <c r="B135">
        <f t="shared" ca="1" si="50"/>
        <v>261</v>
      </c>
      <c r="C135">
        <f t="shared" ca="1" si="51"/>
        <v>33</v>
      </c>
      <c r="D135">
        <f t="shared" ca="1" si="52"/>
        <v>0.20674413193111649</v>
      </c>
      <c r="F135" s="1">
        <f t="shared" ca="1" si="53"/>
        <v>22</v>
      </c>
      <c r="G135" s="1">
        <f t="shared" ca="1" si="54"/>
        <v>9</v>
      </c>
      <c r="H135" s="1">
        <f t="shared" ca="1" si="55"/>
        <v>15</v>
      </c>
      <c r="I135" s="1"/>
      <c r="J135" s="1">
        <f t="shared" ca="1" si="56"/>
        <v>2</v>
      </c>
      <c r="K135" s="1">
        <f t="shared" ca="1" si="57"/>
        <v>2.5838815635315697</v>
      </c>
      <c r="L135" s="1">
        <f t="shared" ca="1" si="58"/>
        <v>12</v>
      </c>
      <c r="M135" s="1"/>
      <c r="N135" s="1">
        <f t="shared" ca="1" si="59"/>
        <v>743</v>
      </c>
      <c r="O135" s="1">
        <f t="shared" ca="1" si="60"/>
        <v>21</v>
      </c>
      <c r="P135" s="1"/>
      <c r="Q135" s="1">
        <f t="shared" ca="1" si="61"/>
        <v>0.90202150118935465</v>
      </c>
      <c r="R135" s="1">
        <f t="shared" ca="1" si="62"/>
        <v>367</v>
      </c>
      <c r="S135" s="1"/>
      <c r="T135" s="1">
        <f t="shared" ca="1" si="63"/>
        <v>0.12369803060587162</v>
      </c>
      <c r="U135" s="1">
        <f t="shared" ca="1" si="64"/>
        <v>449</v>
      </c>
      <c r="V135" s="1">
        <f t="shared" ca="1" si="65"/>
        <v>50</v>
      </c>
      <c r="W135" s="1"/>
      <c r="X135" s="1">
        <f t="shared" ca="1" si="66"/>
        <v>8.4216288599716425</v>
      </c>
      <c r="Y135" s="1">
        <f t="shared" ca="1" si="67"/>
        <v>7.2331165900451258E-2</v>
      </c>
      <c r="Z135" s="1">
        <f t="shared" ca="1" si="68"/>
        <v>1145</v>
      </c>
      <c r="AB135" s="1">
        <f t="shared" ca="1" si="69"/>
        <v>0.91354429225987344</v>
      </c>
      <c r="AC135" s="1">
        <f t="shared" ca="1" si="70"/>
        <v>328</v>
      </c>
      <c r="AD135" s="1">
        <f t="shared" ca="1" si="71"/>
        <v>9.7256675702274333E-3</v>
      </c>
      <c r="AE135" s="1"/>
      <c r="AF135" s="1">
        <f t="shared" ca="1" si="72"/>
        <v>0.41648759211861597</v>
      </c>
      <c r="AG135" s="1">
        <f t="shared" ca="1" si="73"/>
        <v>863</v>
      </c>
      <c r="AH135" s="1">
        <f t="shared" ca="1" si="74"/>
        <v>8.9120507911038729E-3</v>
      </c>
    </row>
    <row r="136" spans="2:34" x14ac:dyDescent="0.25">
      <c r="B136">
        <f t="shared" ca="1" si="50"/>
        <v>903</v>
      </c>
      <c r="C136">
        <f t="shared" ca="1" si="51"/>
        <v>46</v>
      </c>
      <c r="D136">
        <f t="shared" ca="1" si="52"/>
        <v>7.528591380590495E-2</v>
      </c>
      <c r="F136" s="1">
        <f t="shared" ca="1" si="53"/>
        <v>43</v>
      </c>
      <c r="G136" s="1">
        <f t="shared" ca="1" si="54"/>
        <v>26</v>
      </c>
      <c r="H136" s="1">
        <f t="shared" ca="1" si="55"/>
        <v>8</v>
      </c>
      <c r="I136" s="1"/>
      <c r="J136" s="1">
        <f t="shared" ca="1" si="56"/>
        <v>11</v>
      </c>
      <c r="K136" s="1">
        <f t="shared" ca="1" si="57"/>
        <v>1.9587046399832073</v>
      </c>
      <c r="L136" s="1">
        <f t="shared" ca="1" si="58"/>
        <v>21</v>
      </c>
      <c r="M136" s="1"/>
      <c r="N136" s="1">
        <f t="shared" ca="1" si="59"/>
        <v>399</v>
      </c>
      <c r="O136" s="1">
        <f t="shared" ca="1" si="60"/>
        <v>15</v>
      </c>
      <c r="P136" s="1"/>
      <c r="Q136" s="1">
        <f t="shared" ca="1" si="61"/>
        <v>0.69032372838614198</v>
      </c>
      <c r="R136" s="1">
        <f t="shared" ca="1" si="62"/>
        <v>443</v>
      </c>
      <c r="S136" s="1"/>
      <c r="T136" s="1">
        <f t="shared" ca="1" si="63"/>
        <v>0.13782029357226069</v>
      </c>
      <c r="U136" s="1">
        <f t="shared" ca="1" si="64"/>
        <v>410</v>
      </c>
      <c r="V136" s="1">
        <f t="shared" ca="1" si="65"/>
        <v>51</v>
      </c>
      <c r="W136" s="1"/>
      <c r="X136" s="1">
        <f t="shared" ca="1" si="66"/>
        <v>3.0757488633239576</v>
      </c>
      <c r="Y136" s="1">
        <f t="shared" ca="1" si="67"/>
        <v>0.72991473098593829</v>
      </c>
      <c r="Z136" s="1">
        <f t="shared" ca="1" si="68"/>
        <v>1283</v>
      </c>
      <c r="AB136" s="1">
        <f t="shared" ca="1" si="69"/>
        <v>0.84083950699224119</v>
      </c>
      <c r="AC136" s="1">
        <f t="shared" ca="1" si="70"/>
        <v>506</v>
      </c>
      <c r="AD136" s="1">
        <f t="shared" ca="1" si="71"/>
        <v>5.4789987515106069E-3</v>
      </c>
      <c r="AE136" s="1"/>
      <c r="AF136" s="1">
        <f t="shared" ca="1" si="72"/>
        <v>0.12549554552136552</v>
      </c>
      <c r="AG136" s="1">
        <f t="shared" ca="1" si="73"/>
        <v>463</v>
      </c>
      <c r="AH136" s="1">
        <f t="shared" ca="1" si="74"/>
        <v>7.9832811229440873E-3</v>
      </c>
    </row>
    <row r="137" spans="2:34" x14ac:dyDescent="0.25">
      <c r="B137">
        <f t="shared" ca="1" si="50"/>
        <v>663</v>
      </c>
      <c r="C137">
        <f t="shared" ca="1" si="51"/>
        <v>28</v>
      </c>
      <c r="D137">
        <f t="shared" ca="1" si="52"/>
        <v>8.0908080121130974E-2</v>
      </c>
      <c r="F137" s="1">
        <f t="shared" ca="1" si="53"/>
        <v>33</v>
      </c>
      <c r="G137" s="1">
        <f t="shared" ca="1" si="54"/>
        <v>7</v>
      </c>
      <c r="H137" s="1">
        <f t="shared" ca="1" si="55"/>
        <v>4</v>
      </c>
      <c r="I137" s="1"/>
      <c r="J137" s="1">
        <f t="shared" ca="1" si="56"/>
        <v>29</v>
      </c>
      <c r="K137" s="1">
        <f t="shared" ca="1" si="57"/>
        <v>2.2054947687467852</v>
      </c>
      <c r="L137" s="1">
        <f t="shared" ca="1" si="58"/>
        <v>27</v>
      </c>
      <c r="M137" s="1"/>
      <c r="N137" s="1">
        <f t="shared" ca="1" si="59"/>
        <v>614</v>
      </c>
      <c r="O137" s="1">
        <f t="shared" ca="1" si="60"/>
        <v>31</v>
      </c>
      <c r="P137" s="1"/>
      <c r="Q137" s="1">
        <f t="shared" ca="1" si="61"/>
        <v>4.6233466875990459</v>
      </c>
      <c r="R137" s="1">
        <f t="shared" ca="1" si="62"/>
        <v>1171</v>
      </c>
      <c r="S137" s="1"/>
      <c r="T137" s="1">
        <f t="shared" ca="1" si="63"/>
        <v>9.0483552243461107E-2</v>
      </c>
      <c r="U137" s="1">
        <f t="shared" ca="1" si="64"/>
        <v>331</v>
      </c>
      <c r="V137" s="1">
        <f t="shared" ca="1" si="65"/>
        <v>33</v>
      </c>
      <c r="W137" s="1"/>
      <c r="X137" s="1">
        <f t="shared" ca="1" si="66"/>
        <v>9.2651027448482939</v>
      </c>
      <c r="Y137" s="1">
        <f t="shared" ca="1" si="67"/>
        <v>2.1582154411143407E-2</v>
      </c>
      <c r="Z137" s="1">
        <f t="shared" ca="1" si="68"/>
        <v>226</v>
      </c>
      <c r="AB137" s="1">
        <f t="shared" ca="1" si="69"/>
        <v>0.52089162292320834</v>
      </c>
      <c r="AC137" s="1">
        <f t="shared" ca="1" si="70"/>
        <v>624</v>
      </c>
      <c r="AD137" s="1">
        <f t="shared" ca="1" si="71"/>
        <v>4.5922417253591802E-3</v>
      </c>
      <c r="AE137" s="1"/>
      <c r="AF137" s="1">
        <f t="shared" ca="1" si="72"/>
        <v>0.33534615064767959</v>
      </c>
      <c r="AG137" s="1">
        <f t="shared" ca="1" si="73"/>
        <v>374</v>
      </c>
      <c r="AH137" s="1">
        <f t="shared" ca="1" si="74"/>
        <v>5.2608096226863131E-3</v>
      </c>
    </row>
    <row r="138" spans="2:34" x14ac:dyDescent="0.25">
      <c r="B138">
        <f t="shared" ca="1" si="50"/>
        <v>641</v>
      </c>
      <c r="C138">
        <f t="shared" ca="1" si="51"/>
        <v>11</v>
      </c>
      <c r="D138">
        <f t="shared" ca="1" si="52"/>
        <v>0.18251131604942231</v>
      </c>
      <c r="F138" s="1">
        <f t="shared" ca="1" si="53"/>
        <v>38</v>
      </c>
      <c r="G138" s="1">
        <f t="shared" ca="1" si="54"/>
        <v>9</v>
      </c>
      <c r="H138" s="1">
        <f t="shared" ca="1" si="55"/>
        <v>9</v>
      </c>
      <c r="I138" s="1"/>
      <c r="J138" s="1">
        <f t="shared" ca="1" si="56"/>
        <v>29</v>
      </c>
      <c r="K138" s="1">
        <f t="shared" ca="1" si="57"/>
        <v>2.079806822010561</v>
      </c>
      <c r="L138" s="1">
        <f t="shared" ca="1" si="58"/>
        <v>9</v>
      </c>
      <c r="M138" s="1"/>
      <c r="N138" s="1">
        <f t="shared" ca="1" si="59"/>
        <v>946</v>
      </c>
      <c r="O138" s="1">
        <f t="shared" ca="1" si="60"/>
        <v>7</v>
      </c>
      <c r="P138" s="1"/>
      <c r="Q138" s="1">
        <f t="shared" ca="1" si="61"/>
        <v>3.7701780080162277</v>
      </c>
      <c r="R138" s="1">
        <f t="shared" ca="1" si="62"/>
        <v>967</v>
      </c>
      <c r="S138" s="1"/>
      <c r="T138" s="1">
        <f t="shared" ca="1" si="63"/>
        <v>0.14866777703971518</v>
      </c>
      <c r="U138" s="1">
        <f t="shared" ca="1" si="64"/>
        <v>186</v>
      </c>
      <c r="V138" s="1">
        <f t="shared" ca="1" si="65"/>
        <v>40</v>
      </c>
      <c r="W138" s="1"/>
      <c r="X138" s="1">
        <f t="shared" ca="1" si="66"/>
        <v>3.1973903794620364</v>
      </c>
      <c r="Y138" s="1">
        <f t="shared" ca="1" si="67"/>
        <v>0.97067798167880559</v>
      </c>
      <c r="Z138" s="1">
        <f t="shared" ca="1" si="68"/>
        <v>339</v>
      </c>
      <c r="AB138" s="1">
        <f t="shared" ca="1" si="69"/>
        <v>0.76811768269779912</v>
      </c>
      <c r="AC138" s="1">
        <f t="shared" ca="1" si="70"/>
        <v>810</v>
      </c>
      <c r="AD138" s="1">
        <f t="shared" ca="1" si="71"/>
        <v>3.3567809299295029E-3</v>
      </c>
      <c r="AE138" s="1"/>
      <c r="AF138" s="1">
        <f t="shared" ca="1" si="72"/>
        <v>0.23963773735322524</v>
      </c>
      <c r="AG138" s="1">
        <f t="shared" ca="1" si="73"/>
        <v>853</v>
      </c>
      <c r="AH138" s="1">
        <f t="shared" ca="1" si="74"/>
        <v>5.0982787600204098E-3</v>
      </c>
    </row>
    <row r="139" spans="2:34" x14ac:dyDescent="0.25">
      <c r="B139">
        <f t="shared" ca="1" si="50"/>
        <v>243</v>
      </c>
      <c r="C139">
        <f t="shared" ca="1" si="51"/>
        <v>39</v>
      </c>
      <c r="D139">
        <f t="shared" ca="1" si="52"/>
        <v>0.23633770030342977</v>
      </c>
      <c r="F139" s="1">
        <f t="shared" ca="1" si="53"/>
        <v>45</v>
      </c>
      <c r="G139" s="1">
        <f t="shared" ca="1" si="54"/>
        <v>27</v>
      </c>
      <c r="H139" s="1">
        <f t="shared" ca="1" si="55"/>
        <v>6</v>
      </c>
      <c r="I139" s="1"/>
      <c r="J139" s="1">
        <f t="shared" ca="1" si="56"/>
        <v>37</v>
      </c>
      <c r="K139" s="1">
        <f t="shared" ca="1" si="57"/>
        <v>1.3282406674919105</v>
      </c>
      <c r="L139" s="1">
        <f t="shared" ca="1" si="58"/>
        <v>11</v>
      </c>
      <c r="M139" s="1"/>
      <c r="N139" s="1">
        <f t="shared" ca="1" si="59"/>
        <v>109</v>
      </c>
      <c r="O139" s="1">
        <f t="shared" ca="1" si="60"/>
        <v>6</v>
      </c>
      <c r="P139" s="1"/>
      <c r="Q139" s="1">
        <f t="shared" ca="1" si="61"/>
        <v>0.96791874324181815</v>
      </c>
      <c r="R139" s="1">
        <f t="shared" ca="1" si="62"/>
        <v>1183</v>
      </c>
      <c r="S139" s="1"/>
      <c r="T139" s="1">
        <f t="shared" ca="1" si="63"/>
        <v>4.6489119808243135E-2</v>
      </c>
      <c r="U139" s="1">
        <f t="shared" ca="1" si="64"/>
        <v>212</v>
      </c>
      <c r="V139" s="1">
        <f t="shared" ca="1" si="65"/>
        <v>3</v>
      </c>
      <c r="W139" s="1"/>
      <c r="X139" s="1">
        <f t="shared" ca="1" si="66"/>
        <v>2.7079992502714414</v>
      </c>
      <c r="Y139" s="1">
        <f t="shared" ca="1" si="67"/>
        <v>0.29719115749760505</v>
      </c>
      <c r="Z139" s="1">
        <f t="shared" ca="1" si="68"/>
        <v>1750</v>
      </c>
      <c r="AB139" s="1">
        <f t="shared" ca="1" si="69"/>
        <v>0.91361277136441732</v>
      </c>
      <c r="AC139" s="1">
        <f t="shared" ca="1" si="70"/>
        <v>106</v>
      </c>
      <c r="AD139" s="1">
        <f t="shared" ca="1" si="71"/>
        <v>6.8844398970900958E-3</v>
      </c>
      <c r="AE139" s="1"/>
      <c r="AF139" s="1">
        <f t="shared" ca="1" si="72"/>
        <v>0.39163176584101878</v>
      </c>
      <c r="AG139" s="1">
        <f t="shared" ca="1" si="73"/>
        <v>457</v>
      </c>
      <c r="AH139" s="1">
        <f t="shared" ca="1" si="74"/>
        <v>1.9251176827981933E-3</v>
      </c>
    </row>
    <row r="140" spans="2:34" x14ac:dyDescent="0.25">
      <c r="B140">
        <f t="shared" ca="1" si="50"/>
        <v>29</v>
      </c>
      <c r="C140">
        <f t="shared" ca="1" si="51"/>
        <v>15</v>
      </c>
      <c r="D140">
        <f t="shared" ca="1" si="52"/>
        <v>4.6836224665505674E-2</v>
      </c>
      <c r="F140" s="1">
        <f t="shared" ca="1" si="53"/>
        <v>29</v>
      </c>
      <c r="G140" s="1">
        <f t="shared" ca="1" si="54"/>
        <v>8</v>
      </c>
      <c r="H140" s="1">
        <f t="shared" ca="1" si="55"/>
        <v>3</v>
      </c>
      <c r="I140" s="1"/>
      <c r="J140" s="1">
        <f t="shared" ca="1" si="56"/>
        <v>22</v>
      </c>
      <c r="K140" s="1">
        <f t="shared" ca="1" si="57"/>
        <v>1.6094520165503923</v>
      </c>
      <c r="L140" s="1">
        <f t="shared" ca="1" si="58"/>
        <v>3</v>
      </c>
      <c r="M140" s="1"/>
      <c r="N140" s="1">
        <f t="shared" ca="1" si="59"/>
        <v>865</v>
      </c>
      <c r="O140" s="1">
        <f t="shared" ca="1" si="60"/>
        <v>20</v>
      </c>
      <c r="P140" s="1"/>
      <c r="Q140" s="1">
        <f t="shared" ca="1" si="61"/>
        <v>4.3410269614338466</v>
      </c>
      <c r="R140" s="1">
        <f t="shared" ca="1" si="62"/>
        <v>613</v>
      </c>
      <c r="S140" s="1"/>
      <c r="T140" s="1">
        <f t="shared" ca="1" si="63"/>
        <v>0.10626659944049487</v>
      </c>
      <c r="U140" s="1">
        <f t="shared" ca="1" si="64"/>
        <v>83</v>
      </c>
      <c r="V140" s="1">
        <f t="shared" ca="1" si="65"/>
        <v>43</v>
      </c>
      <c r="W140" s="1"/>
      <c r="X140" s="1">
        <f t="shared" ca="1" si="66"/>
        <v>2.3018868056333268</v>
      </c>
      <c r="Y140" s="1">
        <f t="shared" ca="1" si="67"/>
        <v>0.51042679795787538</v>
      </c>
      <c r="Z140" s="1">
        <f t="shared" ca="1" si="68"/>
        <v>1354</v>
      </c>
      <c r="AB140" s="1">
        <f t="shared" ca="1" si="69"/>
        <v>0.34168689723435447</v>
      </c>
      <c r="AC140" s="1">
        <f t="shared" ca="1" si="70"/>
        <v>804</v>
      </c>
      <c r="AD140" s="1">
        <f t="shared" ca="1" si="71"/>
        <v>8.0308699740754153E-3</v>
      </c>
      <c r="AE140" s="1"/>
      <c r="AF140" s="1">
        <f t="shared" ca="1" si="72"/>
        <v>0.1641215880022612</v>
      </c>
      <c r="AG140" s="1">
        <f t="shared" ca="1" si="73"/>
        <v>124</v>
      </c>
      <c r="AH140" s="1">
        <f t="shared" ca="1" si="74"/>
        <v>9.2829011408315592E-4</v>
      </c>
    </row>
    <row r="141" spans="2:34" x14ac:dyDescent="0.25">
      <c r="B141">
        <f t="shared" ca="1" si="50"/>
        <v>188</v>
      </c>
      <c r="C141">
        <f t="shared" ca="1" si="51"/>
        <v>48</v>
      </c>
      <c r="D141">
        <f t="shared" ca="1" si="52"/>
        <v>0.10671265129224471</v>
      </c>
      <c r="F141" s="1">
        <f t="shared" ca="1" si="53"/>
        <v>46</v>
      </c>
      <c r="G141" s="1">
        <f t="shared" ca="1" si="54"/>
        <v>27</v>
      </c>
      <c r="H141" s="1">
        <f t="shared" ca="1" si="55"/>
        <v>12</v>
      </c>
      <c r="I141" s="1"/>
      <c r="J141" s="1">
        <f t="shared" ca="1" si="56"/>
        <v>18</v>
      </c>
      <c r="K141" s="1">
        <f t="shared" ca="1" si="57"/>
        <v>2.6328576812676974</v>
      </c>
      <c r="L141" s="1">
        <f t="shared" ca="1" si="58"/>
        <v>7</v>
      </c>
      <c r="M141" s="1"/>
      <c r="N141" s="1">
        <f t="shared" ca="1" si="59"/>
        <v>931</v>
      </c>
      <c r="O141" s="1">
        <f t="shared" ca="1" si="60"/>
        <v>44</v>
      </c>
      <c r="P141" s="1"/>
      <c r="Q141" s="1">
        <f t="shared" ca="1" si="61"/>
        <v>3.9636071280246736</v>
      </c>
      <c r="R141" s="1">
        <f t="shared" ca="1" si="62"/>
        <v>346</v>
      </c>
      <c r="S141" s="1"/>
      <c r="T141" s="1">
        <f t="shared" ca="1" si="63"/>
        <v>6.3163415416802121E-2</v>
      </c>
      <c r="U141" s="1">
        <f t="shared" ca="1" si="64"/>
        <v>330</v>
      </c>
      <c r="V141" s="1">
        <f t="shared" ca="1" si="65"/>
        <v>40</v>
      </c>
      <c r="W141" s="1"/>
      <c r="X141" s="1">
        <f t="shared" ca="1" si="66"/>
        <v>0.98008102720325141</v>
      </c>
      <c r="Y141" s="1">
        <f t="shared" ca="1" si="67"/>
        <v>0.25035349975953897</v>
      </c>
      <c r="Z141" s="1">
        <f t="shared" ca="1" si="68"/>
        <v>129</v>
      </c>
      <c r="AB141" s="1">
        <f t="shared" ca="1" si="69"/>
        <v>0.8085615393937724</v>
      </c>
      <c r="AC141" s="1">
        <f t="shared" ca="1" si="70"/>
        <v>205</v>
      </c>
      <c r="AD141" s="1">
        <f t="shared" ca="1" si="71"/>
        <v>1.0928849080629772E-3</v>
      </c>
      <c r="AE141" s="1"/>
      <c r="AF141" s="1">
        <f t="shared" ca="1" si="72"/>
        <v>0.51935526762083617</v>
      </c>
      <c r="AG141" s="1">
        <f t="shared" ca="1" si="73"/>
        <v>424</v>
      </c>
      <c r="AH141" s="1">
        <f t="shared" ca="1" si="74"/>
        <v>7.3516027295237743E-3</v>
      </c>
    </row>
    <row r="142" spans="2:34" x14ac:dyDescent="0.25">
      <c r="B142">
        <f t="shared" ca="1" si="50"/>
        <v>556</v>
      </c>
      <c r="C142">
        <f t="shared" ca="1" si="51"/>
        <v>20</v>
      </c>
      <c r="D142">
        <f t="shared" ca="1" si="52"/>
        <v>0.10944294412834613</v>
      </c>
      <c r="F142" s="1">
        <f t="shared" ca="1" si="53"/>
        <v>34</v>
      </c>
      <c r="G142" s="1">
        <f t="shared" ca="1" si="54"/>
        <v>21</v>
      </c>
      <c r="H142" s="1">
        <f t="shared" ca="1" si="55"/>
        <v>6</v>
      </c>
      <c r="I142" s="1"/>
      <c r="J142" s="1">
        <f t="shared" ca="1" si="56"/>
        <v>34</v>
      </c>
      <c r="K142" s="1">
        <f t="shared" ca="1" si="57"/>
        <v>1.9148907634739918</v>
      </c>
      <c r="L142" s="1">
        <f t="shared" ca="1" si="58"/>
        <v>18</v>
      </c>
      <c r="M142" s="1"/>
      <c r="N142" s="1">
        <f t="shared" ca="1" si="59"/>
        <v>526</v>
      </c>
      <c r="O142" s="1">
        <f t="shared" ca="1" si="60"/>
        <v>28</v>
      </c>
      <c r="P142" s="1"/>
      <c r="Q142" s="1">
        <f t="shared" ca="1" si="61"/>
        <v>4.6812613726134167</v>
      </c>
      <c r="R142" s="1">
        <f t="shared" ca="1" si="62"/>
        <v>417</v>
      </c>
      <c r="S142" s="1"/>
      <c r="T142" s="1">
        <f t="shared" ca="1" si="63"/>
        <v>0.10536716067068143</v>
      </c>
      <c r="U142" s="1">
        <f t="shared" ca="1" si="64"/>
        <v>196</v>
      </c>
      <c r="V142" s="1">
        <f t="shared" ca="1" si="65"/>
        <v>9</v>
      </c>
      <c r="W142" s="1"/>
      <c r="X142" s="1">
        <f t="shared" ca="1" si="66"/>
        <v>6.7759637868986538</v>
      </c>
      <c r="Y142" s="1">
        <f t="shared" ca="1" si="67"/>
        <v>0.16634229049116292</v>
      </c>
      <c r="Z142" s="1">
        <f t="shared" ca="1" si="68"/>
        <v>1853</v>
      </c>
      <c r="AB142" s="1">
        <f t="shared" ca="1" si="69"/>
        <v>0.7490808977242488</v>
      </c>
      <c r="AC142" s="1">
        <f t="shared" ca="1" si="70"/>
        <v>836</v>
      </c>
      <c r="AD142" s="1">
        <f t="shared" ca="1" si="71"/>
        <v>3.4476272812817787E-3</v>
      </c>
      <c r="AE142" s="1"/>
      <c r="AF142" s="1">
        <f t="shared" ca="1" si="72"/>
        <v>0.8393209140298088</v>
      </c>
      <c r="AG142" s="1">
        <f t="shared" ca="1" si="73"/>
        <v>514</v>
      </c>
      <c r="AH142" s="1">
        <f t="shared" ca="1" si="74"/>
        <v>6.6717574457711695E-3</v>
      </c>
    </row>
    <row r="143" spans="2:34" x14ac:dyDescent="0.25">
      <c r="B143">
        <f t="shared" ca="1" si="50"/>
        <v>771</v>
      </c>
      <c r="C143">
        <f t="shared" ca="1" si="51"/>
        <v>6</v>
      </c>
      <c r="D143">
        <f t="shared" ca="1" si="52"/>
        <v>0.249369838910452</v>
      </c>
      <c r="F143" s="1">
        <f t="shared" ca="1" si="53"/>
        <v>35</v>
      </c>
      <c r="G143" s="1">
        <f t="shared" ca="1" si="54"/>
        <v>5</v>
      </c>
      <c r="H143" s="1">
        <f t="shared" ca="1" si="55"/>
        <v>15</v>
      </c>
      <c r="I143" s="1"/>
      <c r="J143" s="1">
        <f t="shared" ca="1" si="56"/>
        <v>6</v>
      </c>
      <c r="K143" s="1">
        <f t="shared" ca="1" si="57"/>
        <v>1.5128530813635392</v>
      </c>
      <c r="L143" s="1">
        <f t="shared" ca="1" si="58"/>
        <v>5</v>
      </c>
      <c r="M143" s="1"/>
      <c r="N143" s="1">
        <f t="shared" ca="1" si="59"/>
        <v>946</v>
      </c>
      <c r="O143" s="1">
        <f t="shared" ca="1" si="60"/>
        <v>5</v>
      </c>
      <c r="P143" s="1"/>
      <c r="Q143" s="1">
        <f t="shared" ca="1" si="61"/>
        <v>1.8224288130857604</v>
      </c>
      <c r="R143" s="1">
        <f t="shared" ca="1" si="62"/>
        <v>958</v>
      </c>
      <c r="S143" s="1"/>
      <c r="T143" s="1">
        <f t="shared" ca="1" si="63"/>
        <v>2.2822685293419267E-2</v>
      </c>
      <c r="U143" s="1">
        <f t="shared" ca="1" si="64"/>
        <v>273</v>
      </c>
      <c r="V143" s="1">
        <f t="shared" ca="1" si="65"/>
        <v>9</v>
      </c>
      <c r="W143" s="1"/>
      <c r="X143" s="1">
        <f t="shared" ca="1" si="66"/>
        <v>2.9408899149182486</v>
      </c>
      <c r="Y143" s="1">
        <f t="shared" ca="1" si="67"/>
        <v>0.98694203259446944</v>
      </c>
      <c r="Z143" s="1">
        <f t="shared" ca="1" si="68"/>
        <v>1395</v>
      </c>
      <c r="AB143" s="1">
        <f t="shared" ca="1" si="69"/>
        <v>0.12803609813958255</v>
      </c>
      <c r="AC143" s="1">
        <f t="shared" ca="1" si="70"/>
        <v>414</v>
      </c>
      <c r="AD143" s="1">
        <f t="shared" ca="1" si="71"/>
        <v>9.7929142804733787E-3</v>
      </c>
      <c r="AE143" s="1"/>
      <c r="AF143" s="1">
        <f t="shared" ca="1" si="72"/>
        <v>0.35489239751806367</v>
      </c>
      <c r="AG143" s="1">
        <f t="shared" ca="1" si="73"/>
        <v>688</v>
      </c>
      <c r="AH143" s="1">
        <f t="shared" ca="1" si="74"/>
        <v>2.0091732523762123E-3</v>
      </c>
    </row>
    <row r="144" spans="2:34" x14ac:dyDescent="0.25">
      <c r="B144">
        <f t="shared" ca="1" si="50"/>
        <v>825</v>
      </c>
      <c r="C144">
        <f t="shared" ca="1" si="51"/>
        <v>46</v>
      </c>
      <c r="D144">
        <f t="shared" ca="1" si="52"/>
        <v>0.18572284821713558</v>
      </c>
      <c r="F144" s="1">
        <f t="shared" ca="1" si="53"/>
        <v>52</v>
      </c>
      <c r="G144" s="1">
        <f t="shared" ca="1" si="54"/>
        <v>29</v>
      </c>
      <c r="H144" s="1">
        <f t="shared" ca="1" si="55"/>
        <v>4</v>
      </c>
      <c r="I144" s="1"/>
      <c r="J144" s="1">
        <f t="shared" ca="1" si="56"/>
        <v>5</v>
      </c>
      <c r="K144" s="1">
        <f t="shared" ca="1" si="57"/>
        <v>1.7396048239682569</v>
      </c>
      <c r="L144" s="1">
        <f t="shared" ca="1" si="58"/>
        <v>19</v>
      </c>
      <c r="M144" s="1"/>
      <c r="N144" s="1">
        <f t="shared" ca="1" si="59"/>
        <v>662</v>
      </c>
      <c r="O144" s="1">
        <f t="shared" ca="1" si="60"/>
        <v>24</v>
      </c>
      <c r="P144" s="1"/>
      <c r="Q144" s="1">
        <f t="shared" ca="1" si="61"/>
        <v>1.3024604448590869</v>
      </c>
      <c r="R144" s="1">
        <f t="shared" ca="1" si="62"/>
        <v>466</v>
      </c>
      <c r="S144" s="1"/>
      <c r="T144" s="1">
        <f t="shared" ca="1" si="63"/>
        <v>0.12028781894103889</v>
      </c>
      <c r="U144" s="1">
        <f t="shared" ca="1" si="64"/>
        <v>332</v>
      </c>
      <c r="V144" s="1">
        <f t="shared" ca="1" si="65"/>
        <v>10</v>
      </c>
      <c r="W144" s="1"/>
      <c r="X144" s="1">
        <f t="shared" ca="1" si="66"/>
        <v>2.5986588326343618</v>
      </c>
      <c r="Y144" s="1">
        <f t="shared" ca="1" si="67"/>
        <v>0.84264288758768247</v>
      </c>
      <c r="Z144" s="1">
        <f t="shared" ca="1" si="68"/>
        <v>1430</v>
      </c>
      <c r="AB144" s="1">
        <f t="shared" ca="1" si="69"/>
        <v>0.46153761991074355</v>
      </c>
      <c r="AC144" s="1">
        <f t="shared" ca="1" si="70"/>
        <v>993</v>
      </c>
      <c r="AD144" s="1">
        <f t="shared" ca="1" si="71"/>
        <v>1.3131494662078369E-3</v>
      </c>
      <c r="AE144" s="1"/>
      <c r="AF144" s="1">
        <f t="shared" ca="1" si="72"/>
        <v>0.25150596702598382</v>
      </c>
      <c r="AG144" s="1">
        <f t="shared" ca="1" si="73"/>
        <v>514</v>
      </c>
      <c r="AH144" s="1">
        <f t="shared" ca="1" si="74"/>
        <v>2.1317513118214921E-3</v>
      </c>
    </row>
    <row r="145" spans="2:34" x14ac:dyDescent="0.25">
      <c r="B145">
        <f t="shared" ca="1" si="50"/>
        <v>334</v>
      </c>
      <c r="C145">
        <f t="shared" ca="1" si="51"/>
        <v>28</v>
      </c>
      <c r="D145">
        <f t="shared" ca="1" si="52"/>
        <v>0.29645574752630266</v>
      </c>
      <c r="F145" s="1">
        <f t="shared" ca="1" si="53"/>
        <v>27</v>
      </c>
      <c r="G145" s="1">
        <f t="shared" ca="1" si="54"/>
        <v>24</v>
      </c>
      <c r="H145" s="1">
        <f t="shared" ca="1" si="55"/>
        <v>6</v>
      </c>
      <c r="I145" s="1"/>
      <c r="J145" s="1">
        <f t="shared" ca="1" si="56"/>
        <v>31</v>
      </c>
      <c r="K145" s="1">
        <f t="shared" ca="1" si="57"/>
        <v>2.2705408683482089</v>
      </c>
      <c r="L145" s="1">
        <f t="shared" ca="1" si="58"/>
        <v>19</v>
      </c>
      <c r="M145" s="1"/>
      <c r="N145" s="1">
        <f t="shared" ca="1" si="59"/>
        <v>507</v>
      </c>
      <c r="O145" s="1">
        <f t="shared" ca="1" si="60"/>
        <v>16</v>
      </c>
      <c r="P145" s="1"/>
      <c r="Q145" s="1">
        <f t="shared" ca="1" si="61"/>
        <v>2.7011015273232291</v>
      </c>
      <c r="R145" s="1">
        <f t="shared" ca="1" si="62"/>
        <v>907</v>
      </c>
      <c r="S145" s="1"/>
      <c r="T145" s="1">
        <f t="shared" ca="1" si="63"/>
        <v>0.12441344202857428</v>
      </c>
      <c r="U145" s="1">
        <f t="shared" ca="1" si="64"/>
        <v>91</v>
      </c>
      <c r="V145" s="1">
        <f t="shared" ca="1" si="65"/>
        <v>42</v>
      </c>
      <c r="W145" s="1"/>
      <c r="X145" s="1">
        <f t="shared" ca="1" si="66"/>
        <v>0.44466591761861002</v>
      </c>
      <c r="Y145" s="1">
        <f t="shared" ca="1" si="67"/>
        <v>0.72414489046979957</v>
      </c>
      <c r="Z145" s="1">
        <f t="shared" ca="1" si="68"/>
        <v>875</v>
      </c>
      <c r="AB145" s="1">
        <f t="shared" ca="1" si="69"/>
        <v>0.62520463015297945</v>
      </c>
      <c r="AC145" s="1">
        <f t="shared" ca="1" si="70"/>
        <v>520</v>
      </c>
      <c r="AD145" s="1">
        <f t="shared" ca="1" si="71"/>
        <v>1.5622794814449819E-3</v>
      </c>
      <c r="AE145" s="1"/>
      <c r="AF145" s="1">
        <f t="shared" ca="1" si="72"/>
        <v>0.86368118433124064</v>
      </c>
      <c r="AG145" s="1">
        <f t="shared" ca="1" si="73"/>
        <v>103</v>
      </c>
      <c r="AH145" s="1">
        <f t="shared" ca="1" si="74"/>
        <v>5.4476285160460474E-3</v>
      </c>
    </row>
    <row r="146" spans="2:34" x14ac:dyDescent="0.25">
      <c r="B146">
        <f t="shared" ca="1" si="50"/>
        <v>491</v>
      </c>
      <c r="C146">
        <f t="shared" ca="1" si="51"/>
        <v>49</v>
      </c>
      <c r="D146">
        <f t="shared" ca="1" si="52"/>
        <v>0.25617188467034985</v>
      </c>
      <c r="F146" s="1">
        <f t="shared" ca="1" si="53"/>
        <v>37</v>
      </c>
      <c r="G146" s="1">
        <f t="shared" ca="1" si="54"/>
        <v>15</v>
      </c>
      <c r="H146" s="1">
        <f t="shared" ca="1" si="55"/>
        <v>7</v>
      </c>
      <c r="I146" s="1"/>
      <c r="J146" s="1">
        <f t="shared" ca="1" si="56"/>
        <v>18</v>
      </c>
      <c r="K146" s="1">
        <f t="shared" ca="1" si="57"/>
        <v>1.5779823878305437</v>
      </c>
      <c r="L146" s="1">
        <f t="shared" ca="1" si="58"/>
        <v>16</v>
      </c>
      <c r="M146" s="1"/>
      <c r="N146" s="1">
        <f t="shared" ca="1" si="59"/>
        <v>932</v>
      </c>
      <c r="O146" s="1">
        <f t="shared" ca="1" si="60"/>
        <v>14</v>
      </c>
      <c r="P146" s="1"/>
      <c r="Q146" s="1">
        <f t="shared" ca="1" si="61"/>
        <v>4.9381661720827426</v>
      </c>
      <c r="R146" s="1">
        <f t="shared" ca="1" si="62"/>
        <v>830</v>
      </c>
      <c r="S146" s="1"/>
      <c r="T146" s="1">
        <f t="shared" ca="1" si="63"/>
        <v>2.0067719548604524E-2</v>
      </c>
      <c r="U146" s="1">
        <f t="shared" ca="1" si="64"/>
        <v>336</v>
      </c>
      <c r="V146" s="1">
        <f t="shared" ca="1" si="65"/>
        <v>38</v>
      </c>
      <c r="W146" s="1"/>
      <c r="X146" s="1">
        <f t="shared" ca="1" si="66"/>
        <v>3.5074743593036382</v>
      </c>
      <c r="Y146" s="1">
        <f t="shared" ca="1" si="67"/>
        <v>0.80391054066475798</v>
      </c>
      <c r="Z146" s="1">
        <f t="shared" ca="1" si="68"/>
        <v>1187</v>
      </c>
      <c r="AB146" s="1">
        <f t="shared" ca="1" si="69"/>
        <v>0.39359134690356123</v>
      </c>
      <c r="AC146" s="1">
        <f t="shared" ca="1" si="70"/>
        <v>224</v>
      </c>
      <c r="AD146" s="1">
        <f t="shared" ca="1" si="71"/>
        <v>6.4215806771194496E-3</v>
      </c>
      <c r="AE146" s="1"/>
      <c r="AF146" s="1">
        <f t="shared" ca="1" si="72"/>
        <v>0.72530515011195762</v>
      </c>
      <c r="AG146" s="1">
        <f t="shared" ca="1" si="73"/>
        <v>106</v>
      </c>
      <c r="AH146" s="1">
        <f t="shared" ca="1" si="74"/>
        <v>6.3020510190828659E-3</v>
      </c>
    </row>
    <row r="147" spans="2:34" x14ac:dyDescent="0.25">
      <c r="B147">
        <f t="shared" ca="1" si="50"/>
        <v>336</v>
      </c>
      <c r="C147">
        <f t="shared" ca="1" si="51"/>
        <v>50</v>
      </c>
      <c r="D147">
        <f t="shared" ca="1" si="52"/>
        <v>0.12771325604190908</v>
      </c>
      <c r="F147" s="1">
        <f t="shared" ca="1" si="53"/>
        <v>14</v>
      </c>
      <c r="G147" s="1">
        <f t="shared" ca="1" si="54"/>
        <v>6</v>
      </c>
      <c r="H147" s="1">
        <f t="shared" ca="1" si="55"/>
        <v>14</v>
      </c>
      <c r="I147" s="1"/>
      <c r="J147" s="1">
        <f t="shared" ca="1" si="56"/>
        <v>27</v>
      </c>
      <c r="K147" s="1">
        <f t="shared" ca="1" si="57"/>
        <v>2.316248733158849</v>
      </c>
      <c r="L147" s="1">
        <f t="shared" ca="1" si="58"/>
        <v>12</v>
      </c>
      <c r="M147" s="1"/>
      <c r="N147" s="1">
        <f t="shared" ca="1" si="59"/>
        <v>486</v>
      </c>
      <c r="O147" s="1">
        <f t="shared" ca="1" si="60"/>
        <v>52</v>
      </c>
      <c r="P147" s="1"/>
      <c r="Q147" s="1">
        <f t="shared" ca="1" si="61"/>
        <v>3.1603299424515705</v>
      </c>
      <c r="R147" s="1">
        <f t="shared" ca="1" si="62"/>
        <v>727</v>
      </c>
      <c r="S147" s="1"/>
      <c r="T147" s="1">
        <f t="shared" ca="1" si="63"/>
        <v>0.11306201887189113</v>
      </c>
      <c r="U147" s="1">
        <f t="shared" ca="1" si="64"/>
        <v>387</v>
      </c>
      <c r="V147" s="1">
        <f t="shared" ca="1" si="65"/>
        <v>45</v>
      </c>
      <c r="W147" s="1"/>
      <c r="X147" s="1">
        <f t="shared" ca="1" si="66"/>
        <v>8.8780756486948889</v>
      </c>
      <c r="Y147" s="1">
        <f t="shared" ca="1" si="67"/>
        <v>0.1325680362019114</v>
      </c>
      <c r="Z147" s="1">
        <f t="shared" ca="1" si="68"/>
        <v>859</v>
      </c>
      <c r="AB147" s="1">
        <f t="shared" ca="1" si="69"/>
        <v>0.40347274770670755</v>
      </c>
      <c r="AC147" s="1">
        <f t="shared" ca="1" si="70"/>
        <v>758</v>
      </c>
      <c r="AD147" s="1">
        <f t="shared" ca="1" si="71"/>
        <v>1.4095647071300304E-3</v>
      </c>
      <c r="AE147" s="1"/>
      <c r="AF147" s="1">
        <f t="shared" ca="1" si="72"/>
        <v>0.8064859736331329</v>
      </c>
      <c r="AG147" s="1">
        <f t="shared" ca="1" si="73"/>
        <v>189</v>
      </c>
      <c r="AH147" s="1">
        <f t="shared" ca="1" si="74"/>
        <v>8.6069709737984553E-3</v>
      </c>
    </row>
    <row r="148" spans="2:34" x14ac:dyDescent="0.25">
      <c r="B148">
        <f t="shared" ca="1" si="50"/>
        <v>934</v>
      </c>
      <c r="C148">
        <f t="shared" ca="1" si="51"/>
        <v>21</v>
      </c>
      <c r="D148">
        <f t="shared" ca="1" si="52"/>
        <v>0.24800612409811151</v>
      </c>
      <c r="F148" s="1">
        <f t="shared" ca="1" si="53"/>
        <v>2</v>
      </c>
      <c r="G148" s="1">
        <f t="shared" ca="1" si="54"/>
        <v>24</v>
      </c>
      <c r="H148" s="1">
        <f t="shared" ca="1" si="55"/>
        <v>5</v>
      </c>
      <c r="I148" s="1"/>
      <c r="J148" s="1">
        <f t="shared" ca="1" si="56"/>
        <v>1</v>
      </c>
      <c r="K148" s="1">
        <f t="shared" ca="1" si="57"/>
        <v>2.8556453491547074</v>
      </c>
      <c r="L148" s="1">
        <f t="shared" ca="1" si="58"/>
        <v>16</v>
      </c>
      <c r="M148" s="1"/>
      <c r="N148" s="1">
        <f t="shared" ca="1" si="59"/>
        <v>269</v>
      </c>
      <c r="O148" s="1">
        <f t="shared" ca="1" si="60"/>
        <v>28</v>
      </c>
      <c r="P148" s="1"/>
      <c r="Q148" s="1">
        <f t="shared" ca="1" si="61"/>
        <v>1.347359221903744</v>
      </c>
      <c r="R148" s="1">
        <f t="shared" ca="1" si="62"/>
        <v>669</v>
      </c>
      <c r="S148" s="1"/>
      <c r="T148" s="1">
        <f t="shared" ca="1" si="63"/>
        <v>3.7254980323060558E-2</v>
      </c>
      <c r="U148" s="1">
        <f t="shared" ca="1" si="64"/>
        <v>428</v>
      </c>
      <c r="V148" s="1">
        <f t="shared" ca="1" si="65"/>
        <v>40</v>
      </c>
      <c r="W148" s="1"/>
      <c r="X148" s="1">
        <f t="shared" ca="1" si="66"/>
        <v>2.413866761421525</v>
      </c>
      <c r="Y148" s="1">
        <f t="shared" ca="1" si="67"/>
        <v>0.5579797067287402</v>
      </c>
      <c r="Z148" s="1">
        <f t="shared" ca="1" si="68"/>
        <v>487</v>
      </c>
      <c r="AB148" s="1">
        <f t="shared" ca="1" si="69"/>
        <v>0.49749363299890603</v>
      </c>
      <c r="AC148" s="1">
        <f t="shared" ca="1" si="70"/>
        <v>935</v>
      </c>
      <c r="AD148" s="1">
        <f t="shared" ca="1" si="71"/>
        <v>6.4074099684791677E-3</v>
      </c>
      <c r="AE148" s="1"/>
      <c r="AF148" s="1">
        <f t="shared" ca="1" si="72"/>
        <v>0.66715977862516451</v>
      </c>
      <c r="AG148" s="1">
        <f t="shared" ca="1" si="73"/>
        <v>586</v>
      </c>
      <c r="AH148" s="1">
        <f t="shared" ca="1" si="74"/>
        <v>3.2704516337170239E-3</v>
      </c>
    </row>
    <row r="149" spans="2:34" x14ac:dyDescent="0.25">
      <c r="B149">
        <f t="shared" ca="1" si="50"/>
        <v>143</v>
      </c>
      <c r="C149">
        <f t="shared" ca="1" si="51"/>
        <v>39</v>
      </c>
      <c r="D149">
        <f t="shared" ca="1" si="52"/>
        <v>7.8433119673493895E-2</v>
      </c>
      <c r="F149" s="1">
        <f t="shared" ca="1" si="53"/>
        <v>2</v>
      </c>
      <c r="G149" s="1">
        <f t="shared" ca="1" si="54"/>
        <v>12</v>
      </c>
      <c r="H149" s="1">
        <f t="shared" ca="1" si="55"/>
        <v>5</v>
      </c>
      <c r="I149" s="1"/>
      <c r="J149" s="1">
        <f t="shared" ca="1" si="56"/>
        <v>13</v>
      </c>
      <c r="K149" s="1">
        <f t="shared" ca="1" si="57"/>
        <v>1.69274483808707</v>
      </c>
      <c r="L149" s="1">
        <f t="shared" ca="1" si="58"/>
        <v>24</v>
      </c>
      <c r="M149" s="1"/>
      <c r="N149" s="1">
        <f t="shared" ca="1" si="59"/>
        <v>24</v>
      </c>
      <c r="O149" s="1">
        <f t="shared" ca="1" si="60"/>
        <v>16</v>
      </c>
      <c r="P149" s="1"/>
      <c r="Q149" s="1">
        <f t="shared" ca="1" si="61"/>
        <v>1.356402886515117</v>
      </c>
      <c r="R149" s="1">
        <f t="shared" ca="1" si="62"/>
        <v>305</v>
      </c>
      <c r="S149" s="1"/>
      <c r="T149" s="1">
        <f t="shared" ca="1" si="63"/>
        <v>0.13760610971266282</v>
      </c>
      <c r="U149" s="1">
        <f t="shared" ca="1" si="64"/>
        <v>104</v>
      </c>
      <c r="V149" s="1">
        <f t="shared" ca="1" si="65"/>
        <v>52</v>
      </c>
      <c r="W149" s="1"/>
      <c r="X149" s="1">
        <f t="shared" ca="1" si="66"/>
        <v>9.2629092371501951</v>
      </c>
      <c r="Y149" s="1">
        <f t="shared" ca="1" si="67"/>
        <v>0.66456100309175026</v>
      </c>
      <c r="Z149" s="1">
        <f t="shared" ca="1" si="68"/>
        <v>1118</v>
      </c>
      <c r="AB149" s="1">
        <f t="shared" ca="1" si="69"/>
        <v>0.74902111229526225</v>
      </c>
      <c r="AC149" s="1">
        <f t="shared" ca="1" si="70"/>
        <v>498</v>
      </c>
      <c r="AD149" s="1">
        <f t="shared" ca="1" si="71"/>
        <v>2.8898339373743896E-3</v>
      </c>
      <c r="AE149" s="1"/>
      <c r="AF149" s="1">
        <f t="shared" ca="1" si="72"/>
        <v>0.5368769158521326</v>
      </c>
      <c r="AG149" s="1">
        <f t="shared" ca="1" si="73"/>
        <v>940</v>
      </c>
      <c r="AH149" s="1">
        <f t="shared" ca="1" si="74"/>
        <v>7.2591642832289527E-3</v>
      </c>
    </row>
    <row r="150" spans="2:34" x14ac:dyDescent="0.25">
      <c r="B150">
        <f t="shared" ca="1" si="50"/>
        <v>835</v>
      </c>
      <c r="C150">
        <f t="shared" ca="1" si="51"/>
        <v>7</v>
      </c>
      <c r="D150">
        <f t="shared" ca="1" si="52"/>
        <v>0.25538674445544218</v>
      </c>
      <c r="F150" s="1">
        <f t="shared" ca="1" si="53"/>
        <v>2</v>
      </c>
      <c r="G150" s="1">
        <f t="shared" ca="1" si="54"/>
        <v>19</v>
      </c>
      <c r="H150" s="1">
        <f t="shared" ca="1" si="55"/>
        <v>14</v>
      </c>
      <c r="I150" s="1"/>
      <c r="J150" s="1">
        <f t="shared" ca="1" si="56"/>
        <v>25</v>
      </c>
      <c r="K150" s="1">
        <f t="shared" ca="1" si="57"/>
        <v>1.5090949517561574</v>
      </c>
      <c r="L150" s="1">
        <f t="shared" ca="1" si="58"/>
        <v>33</v>
      </c>
      <c r="M150" s="1"/>
      <c r="N150" s="1">
        <f t="shared" ca="1" si="59"/>
        <v>845</v>
      </c>
      <c r="O150" s="1">
        <f t="shared" ca="1" si="60"/>
        <v>19</v>
      </c>
      <c r="P150" s="1"/>
      <c r="Q150" s="1">
        <f t="shared" ca="1" si="61"/>
        <v>2.2021402178069684</v>
      </c>
      <c r="R150" s="1">
        <f t="shared" ca="1" si="62"/>
        <v>284</v>
      </c>
      <c r="S150" s="1"/>
      <c r="T150" s="1">
        <f t="shared" ca="1" si="63"/>
        <v>0.13862416969828648</v>
      </c>
      <c r="U150" s="1">
        <f t="shared" ca="1" si="64"/>
        <v>131</v>
      </c>
      <c r="V150" s="1">
        <f t="shared" ca="1" si="65"/>
        <v>36</v>
      </c>
      <c r="W150" s="1"/>
      <c r="X150" s="1">
        <f t="shared" ca="1" si="66"/>
        <v>6.3436825156240912</v>
      </c>
      <c r="Y150" s="1">
        <f t="shared" ca="1" si="67"/>
        <v>0.19676641916672544</v>
      </c>
      <c r="Z150" s="1">
        <f t="shared" ca="1" si="68"/>
        <v>1594</v>
      </c>
      <c r="AB150" s="1">
        <f t="shared" ca="1" si="69"/>
        <v>8.1650066386992459E-2</v>
      </c>
      <c r="AC150" s="1">
        <f t="shared" ca="1" si="70"/>
        <v>526</v>
      </c>
      <c r="AD150" s="1">
        <f t="shared" ca="1" si="71"/>
        <v>7.1023929068740931E-3</v>
      </c>
      <c r="AE150" s="1"/>
      <c r="AF150" s="1">
        <f t="shared" ca="1" si="72"/>
        <v>0.71956077552142383</v>
      </c>
      <c r="AG150" s="1">
        <f t="shared" ca="1" si="73"/>
        <v>507</v>
      </c>
      <c r="AH150" s="1">
        <f t="shared" ca="1" si="74"/>
        <v>9.0854108924713437E-3</v>
      </c>
    </row>
    <row r="151" spans="2:34" x14ac:dyDescent="0.25">
      <c r="B151">
        <f t="shared" ca="1" si="50"/>
        <v>371</v>
      </c>
      <c r="C151">
        <f t="shared" ca="1" si="51"/>
        <v>31</v>
      </c>
      <c r="D151">
        <f t="shared" ca="1" si="52"/>
        <v>0.23464685065881496</v>
      </c>
      <c r="F151" s="1">
        <f t="shared" ca="1" si="53"/>
        <v>28</v>
      </c>
      <c r="G151" s="1">
        <f t="shared" ca="1" si="54"/>
        <v>13</v>
      </c>
      <c r="H151" s="1">
        <f t="shared" ca="1" si="55"/>
        <v>5</v>
      </c>
      <c r="I151" s="1"/>
      <c r="J151" s="1">
        <f t="shared" ca="1" si="56"/>
        <v>36</v>
      </c>
      <c r="K151" s="1">
        <f t="shared" ca="1" si="57"/>
        <v>1.0563863355148735</v>
      </c>
      <c r="L151" s="1">
        <f t="shared" ca="1" si="58"/>
        <v>21</v>
      </c>
      <c r="M151" s="1"/>
      <c r="N151" s="1">
        <f t="shared" ca="1" si="59"/>
        <v>533</v>
      </c>
      <c r="O151" s="1">
        <f t="shared" ca="1" si="60"/>
        <v>18</v>
      </c>
      <c r="P151" s="1"/>
      <c r="Q151" s="1">
        <f t="shared" ca="1" si="61"/>
        <v>4.7794147030833924</v>
      </c>
      <c r="R151" s="1">
        <f t="shared" ca="1" si="62"/>
        <v>359</v>
      </c>
      <c r="S151" s="1"/>
      <c r="T151" s="1">
        <f t="shared" ca="1" si="63"/>
        <v>0.16528762431211388</v>
      </c>
      <c r="U151" s="1">
        <f t="shared" ca="1" si="64"/>
        <v>432</v>
      </c>
      <c r="V151" s="1">
        <f t="shared" ca="1" si="65"/>
        <v>40</v>
      </c>
      <c r="W151" s="1"/>
      <c r="X151" s="1">
        <f t="shared" ca="1" si="66"/>
        <v>9.923474872392859</v>
      </c>
      <c r="Y151" s="1">
        <f t="shared" ca="1" si="67"/>
        <v>0.28889463250223446</v>
      </c>
      <c r="Z151" s="1">
        <f t="shared" ca="1" si="68"/>
        <v>124</v>
      </c>
      <c r="AB151" s="1">
        <f t="shared" ca="1" si="69"/>
        <v>0.14282184299740536</v>
      </c>
      <c r="AC151" s="1">
        <f t="shared" ca="1" si="70"/>
        <v>327</v>
      </c>
      <c r="AD151" s="1">
        <f t="shared" ca="1" si="71"/>
        <v>5.7169365977940648E-3</v>
      </c>
      <c r="AE151" s="1"/>
      <c r="AF151" s="1">
        <f t="shared" ca="1" si="72"/>
        <v>0.66449691216961415</v>
      </c>
      <c r="AG151" s="1">
        <f t="shared" ca="1" si="73"/>
        <v>355</v>
      </c>
      <c r="AH151" s="1">
        <f t="shared" ca="1" si="74"/>
        <v>7.4535798862911447E-3</v>
      </c>
    </row>
    <row r="152" spans="2:34" x14ac:dyDescent="0.25">
      <c r="B152">
        <f t="shared" ca="1" si="50"/>
        <v>315</v>
      </c>
      <c r="C152">
        <f t="shared" ca="1" si="51"/>
        <v>48</v>
      </c>
      <c r="D152">
        <f t="shared" ca="1" si="52"/>
        <v>0.22891218005076627</v>
      </c>
      <c r="F152" s="1">
        <f t="shared" ca="1" si="53"/>
        <v>20</v>
      </c>
      <c r="G152" s="1">
        <f t="shared" ca="1" si="54"/>
        <v>12</v>
      </c>
      <c r="H152" s="1">
        <f t="shared" ca="1" si="55"/>
        <v>11</v>
      </c>
      <c r="I152" s="1"/>
      <c r="J152" s="1">
        <f t="shared" ca="1" si="56"/>
        <v>23</v>
      </c>
      <c r="K152" s="1">
        <f t="shared" ca="1" si="57"/>
        <v>2.4914880342524057</v>
      </c>
      <c r="L152" s="1">
        <f t="shared" ca="1" si="58"/>
        <v>22</v>
      </c>
      <c r="M152" s="1"/>
      <c r="N152" s="1">
        <f t="shared" ca="1" si="59"/>
        <v>655</v>
      </c>
      <c r="O152" s="1">
        <f t="shared" ca="1" si="60"/>
        <v>41</v>
      </c>
      <c r="P152" s="1"/>
      <c r="Q152" s="1">
        <f t="shared" ca="1" si="61"/>
        <v>1.8902656141796297</v>
      </c>
      <c r="R152" s="1">
        <f t="shared" ca="1" si="62"/>
        <v>328</v>
      </c>
      <c r="S152" s="1"/>
      <c r="T152" s="1">
        <f t="shared" ca="1" si="63"/>
        <v>7.7534404999007461E-2</v>
      </c>
      <c r="U152" s="1">
        <f t="shared" ca="1" si="64"/>
        <v>185</v>
      </c>
      <c r="V152" s="1">
        <f t="shared" ca="1" si="65"/>
        <v>12</v>
      </c>
      <c r="W152" s="1"/>
      <c r="X152" s="1">
        <f t="shared" ca="1" si="66"/>
        <v>6.322481368764568</v>
      </c>
      <c r="Y152" s="1">
        <f t="shared" ca="1" si="67"/>
        <v>0.69638967293364384</v>
      </c>
      <c r="Z152" s="1">
        <f t="shared" ca="1" si="68"/>
        <v>212</v>
      </c>
      <c r="AB152" s="1">
        <f t="shared" ca="1" si="69"/>
        <v>0.2013380617421765</v>
      </c>
      <c r="AC152" s="1">
        <f t="shared" ca="1" si="70"/>
        <v>931</v>
      </c>
      <c r="AD152" s="1">
        <f t="shared" ca="1" si="71"/>
        <v>3.0018502928310588E-3</v>
      </c>
      <c r="AE152" s="1"/>
      <c r="AF152" s="1">
        <f t="shared" ca="1" si="72"/>
        <v>0.4473242389006491</v>
      </c>
      <c r="AG152" s="1">
        <f t="shared" ca="1" si="73"/>
        <v>460</v>
      </c>
      <c r="AH152" s="1">
        <f t="shared" ca="1" si="74"/>
        <v>4.0549126626101308E-3</v>
      </c>
    </row>
    <row r="153" spans="2:34" x14ac:dyDescent="0.25">
      <c r="B153">
        <f t="shared" ca="1" si="50"/>
        <v>679</v>
      </c>
      <c r="C153">
        <f t="shared" ca="1" si="51"/>
        <v>10</v>
      </c>
      <c r="D153">
        <f t="shared" ca="1" si="52"/>
        <v>5.2526942519544643E-2</v>
      </c>
      <c r="F153" s="1">
        <f t="shared" ca="1" si="53"/>
        <v>11</v>
      </c>
      <c r="G153" s="1">
        <f t="shared" ca="1" si="54"/>
        <v>13</v>
      </c>
      <c r="H153" s="1">
        <f t="shared" ca="1" si="55"/>
        <v>4</v>
      </c>
      <c r="I153" s="1"/>
      <c r="J153" s="1">
        <f t="shared" ca="1" si="56"/>
        <v>38</v>
      </c>
      <c r="K153" s="1">
        <f t="shared" ca="1" si="57"/>
        <v>2.4555108770388401</v>
      </c>
      <c r="L153" s="1">
        <f t="shared" ca="1" si="58"/>
        <v>12</v>
      </c>
      <c r="M153" s="1"/>
      <c r="N153" s="1">
        <f t="shared" ca="1" si="59"/>
        <v>258</v>
      </c>
      <c r="O153" s="1">
        <f t="shared" ca="1" si="60"/>
        <v>25</v>
      </c>
      <c r="P153" s="1"/>
      <c r="Q153" s="1">
        <f t="shared" ca="1" si="61"/>
        <v>4.4371091865461425</v>
      </c>
      <c r="R153" s="1">
        <f t="shared" ca="1" si="62"/>
        <v>569</v>
      </c>
      <c r="S153" s="1"/>
      <c r="T153" s="1">
        <f t="shared" ca="1" si="63"/>
        <v>0.14481507325042348</v>
      </c>
      <c r="U153" s="1">
        <f t="shared" ca="1" si="64"/>
        <v>374</v>
      </c>
      <c r="V153" s="1">
        <f t="shared" ca="1" si="65"/>
        <v>43</v>
      </c>
      <c r="W153" s="1"/>
      <c r="X153" s="1">
        <f t="shared" ca="1" si="66"/>
        <v>0.46059557504819626</v>
      </c>
      <c r="Y153" s="1">
        <f t="shared" ca="1" si="67"/>
        <v>0.56129872740694053</v>
      </c>
      <c r="Z153" s="1">
        <f t="shared" ca="1" si="68"/>
        <v>249</v>
      </c>
      <c r="AB153" s="1">
        <f t="shared" ca="1" si="69"/>
        <v>0.37388101514401173</v>
      </c>
      <c r="AC153" s="1">
        <f t="shared" ca="1" si="70"/>
        <v>691</v>
      </c>
      <c r="AD153" s="1">
        <f t="shared" ca="1" si="71"/>
        <v>7.735748943440158E-4</v>
      </c>
      <c r="AE153" s="1"/>
      <c r="AF153" s="1">
        <f t="shared" ca="1" si="72"/>
        <v>0.45090228063585369</v>
      </c>
      <c r="AG153" s="1">
        <f t="shared" ca="1" si="73"/>
        <v>996</v>
      </c>
      <c r="AH153" s="1">
        <f t="shared" ca="1" si="74"/>
        <v>2.4262199255241312E-3</v>
      </c>
    </row>
    <row r="154" spans="2:34" x14ac:dyDescent="0.25">
      <c r="B154">
        <f t="shared" ca="1" si="50"/>
        <v>829</v>
      </c>
      <c r="C154">
        <f t="shared" ca="1" si="51"/>
        <v>39</v>
      </c>
      <c r="D154">
        <f t="shared" ca="1" si="52"/>
        <v>5.3930002245988838E-2</v>
      </c>
      <c r="F154" s="1">
        <f t="shared" ca="1" si="53"/>
        <v>2</v>
      </c>
      <c r="G154" s="1">
        <f t="shared" ca="1" si="54"/>
        <v>12</v>
      </c>
      <c r="H154" s="1">
        <f t="shared" ca="1" si="55"/>
        <v>12</v>
      </c>
      <c r="I154" s="1"/>
      <c r="J154" s="1">
        <f t="shared" ca="1" si="56"/>
        <v>1</v>
      </c>
      <c r="K154" s="1">
        <f t="shared" ca="1" si="57"/>
        <v>2.3656091159900994</v>
      </c>
      <c r="L154" s="1">
        <f t="shared" ca="1" si="58"/>
        <v>21</v>
      </c>
      <c r="M154" s="1"/>
      <c r="N154" s="1">
        <f t="shared" ca="1" si="59"/>
        <v>916</v>
      </c>
      <c r="O154" s="1">
        <f t="shared" ca="1" si="60"/>
        <v>50</v>
      </c>
      <c r="P154" s="1"/>
      <c r="Q154" s="1">
        <f t="shared" ca="1" si="61"/>
        <v>0.3297276131891082</v>
      </c>
      <c r="R154" s="1">
        <f t="shared" ca="1" si="62"/>
        <v>1061</v>
      </c>
      <c r="S154" s="1"/>
      <c r="T154" s="1">
        <f t="shared" ca="1" si="63"/>
        <v>0.12868631106249134</v>
      </c>
      <c r="U154" s="1">
        <f t="shared" ca="1" si="64"/>
        <v>365</v>
      </c>
      <c r="V154" s="1">
        <f t="shared" ca="1" si="65"/>
        <v>39</v>
      </c>
      <c r="W154" s="1"/>
      <c r="X154" s="1">
        <f t="shared" ca="1" si="66"/>
        <v>6.4168907378737936</v>
      </c>
      <c r="Y154" s="1">
        <f t="shared" ca="1" si="67"/>
        <v>0.21697246441324844</v>
      </c>
      <c r="Z154" s="1">
        <f t="shared" ca="1" si="68"/>
        <v>1368</v>
      </c>
      <c r="AB154" s="1">
        <f t="shared" ca="1" si="69"/>
        <v>0.65687090162177886</v>
      </c>
      <c r="AC154" s="1">
        <f t="shared" ca="1" si="70"/>
        <v>474</v>
      </c>
      <c r="AD154" s="1">
        <f t="shared" ca="1" si="71"/>
        <v>6.5121837970918174E-3</v>
      </c>
      <c r="AE154" s="1"/>
      <c r="AF154" s="1">
        <f t="shared" ca="1" si="72"/>
        <v>0.46243100196179332</v>
      </c>
      <c r="AG154" s="1">
        <f t="shared" ca="1" si="73"/>
        <v>163</v>
      </c>
      <c r="AH154" s="1">
        <f t="shared" ca="1" si="74"/>
        <v>2.1400260115335269E-3</v>
      </c>
    </row>
    <row r="155" spans="2:34" x14ac:dyDescent="0.25">
      <c r="B155">
        <f t="shared" ca="1" si="50"/>
        <v>703</v>
      </c>
      <c r="C155">
        <f t="shared" ca="1" si="51"/>
        <v>46</v>
      </c>
      <c r="D155">
        <f t="shared" ca="1" si="52"/>
        <v>0.23233865442890983</v>
      </c>
      <c r="F155" s="1">
        <f t="shared" ca="1" si="53"/>
        <v>42</v>
      </c>
      <c r="G155" s="1">
        <f t="shared" ca="1" si="54"/>
        <v>22</v>
      </c>
      <c r="H155" s="1">
        <f t="shared" ca="1" si="55"/>
        <v>6</v>
      </c>
      <c r="I155" s="1"/>
      <c r="J155" s="1">
        <f t="shared" ca="1" si="56"/>
        <v>31</v>
      </c>
      <c r="K155" s="1">
        <f t="shared" ca="1" si="57"/>
        <v>1.7175356634072798</v>
      </c>
      <c r="L155" s="1">
        <f t="shared" ca="1" si="58"/>
        <v>19</v>
      </c>
      <c r="M155" s="1"/>
      <c r="N155" s="1">
        <f t="shared" ca="1" si="59"/>
        <v>730</v>
      </c>
      <c r="O155" s="1">
        <f t="shared" ca="1" si="60"/>
        <v>50</v>
      </c>
      <c r="P155" s="1"/>
      <c r="Q155" s="1">
        <f t="shared" ca="1" si="61"/>
        <v>4.0926831810011874</v>
      </c>
      <c r="R155" s="1">
        <f t="shared" ca="1" si="62"/>
        <v>665</v>
      </c>
      <c r="S155" s="1"/>
      <c r="T155" s="1">
        <f t="shared" ca="1" si="63"/>
        <v>0.11156071210708167</v>
      </c>
      <c r="U155" s="1">
        <f t="shared" ca="1" si="64"/>
        <v>106</v>
      </c>
      <c r="V155" s="1">
        <f t="shared" ca="1" si="65"/>
        <v>3</v>
      </c>
      <c r="W155" s="1"/>
      <c r="X155" s="1">
        <f t="shared" ca="1" si="66"/>
        <v>0.54133036895871478</v>
      </c>
      <c r="Y155" s="1">
        <f t="shared" ca="1" si="67"/>
        <v>0.79714401428339865</v>
      </c>
      <c r="Z155" s="1">
        <f t="shared" ca="1" si="68"/>
        <v>1925</v>
      </c>
      <c r="AB155" s="1">
        <f t="shared" ca="1" si="69"/>
        <v>0.45206878475901302</v>
      </c>
      <c r="AC155" s="1">
        <f t="shared" ca="1" si="70"/>
        <v>655</v>
      </c>
      <c r="AD155" s="1">
        <f t="shared" ca="1" si="71"/>
        <v>4.8594506285849258E-3</v>
      </c>
      <c r="AE155" s="1"/>
      <c r="AF155" s="1">
        <f t="shared" ca="1" si="72"/>
        <v>0.31767352131194782</v>
      </c>
      <c r="AG155" s="1">
        <f t="shared" ca="1" si="73"/>
        <v>493</v>
      </c>
      <c r="AH155" s="1">
        <f t="shared" ca="1" si="74"/>
        <v>8.2094933038308632E-3</v>
      </c>
    </row>
    <row r="156" spans="2:34" x14ac:dyDescent="0.25">
      <c r="B156">
        <f t="shared" ca="1" si="50"/>
        <v>15</v>
      </c>
      <c r="C156">
        <f t="shared" ca="1" si="51"/>
        <v>17</v>
      </c>
      <c r="D156">
        <f t="shared" ca="1" si="52"/>
        <v>5.3152802416381491E-2</v>
      </c>
      <c r="F156" s="1">
        <f t="shared" ca="1" si="53"/>
        <v>45</v>
      </c>
      <c r="G156" s="1">
        <f t="shared" ca="1" si="54"/>
        <v>4</v>
      </c>
      <c r="H156" s="1">
        <f t="shared" ca="1" si="55"/>
        <v>10</v>
      </c>
      <c r="I156" s="1"/>
      <c r="J156" s="1">
        <f t="shared" ca="1" si="56"/>
        <v>27</v>
      </c>
      <c r="K156" s="1">
        <f t="shared" ca="1" si="57"/>
        <v>1.6069718786518463</v>
      </c>
      <c r="L156" s="1">
        <f t="shared" ca="1" si="58"/>
        <v>25</v>
      </c>
      <c r="M156" s="1"/>
      <c r="N156" s="1">
        <f t="shared" ca="1" si="59"/>
        <v>343</v>
      </c>
      <c r="O156" s="1">
        <f t="shared" ca="1" si="60"/>
        <v>4</v>
      </c>
      <c r="P156" s="1"/>
      <c r="Q156" s="1">
        <f t="shared" ca="1" si="61"/>
        <v>1.2502196080908474</v>
      </c>
      <c r="R156" s="1">
        <f t="shared" ca="1" si="62"/>
        <v>711</v>
      </c>
      <c r="S156" s="1"/>
      <c r="T156" s="1">
        <f t="shared" ca="1" si="63"/>
        <v>9.301337843121299E-2</v>
      </c>
      <c r="U156" s="1">
        <f t="shared" ca="1" si="64"/>
        <v>208</v>
      </c>
      <c r="V156" s="1">
        <f t="shared" ca="1" si="65"/>
        <v>46</v>
      </c>
      <c r="W156" s="1"/>
      <c r="X156" s="1">
        <f t="shared" ca="1" si="66"/>
        <v>8.5420824799070534</v>
      </c>
      <c r="Y156" s="1">
        <f t="shared" ca="1" si="67"/>
        <v>0.80632467779237549</v>
      </c>
      <c r="Z156" s="1">
        <f t="shared" ca="1" si="68"/>
        <v>912</v>
      </c>
      <c r="AB156" s="1">
        <f t="shared" ca="1" si="69"/>
        <v>0.1508455144143564</v>
      </c>
      <c r="AC156" s="1">
        <f t="shared" ca="1" si="70"/>
        <v>997</v>
      </c>
      <c r="AD156" s="1">
        <f t="shared" ca="1" si="71"/>
        <v>7.9933432643041584E-3</v>
      </c>
      <c r="AE156" s="1"/>
      <c r="AF156" s="1">
        <f t="shared" ca="1" si="72"/>
        <v>0.36921579266337301</v>
      </c>
      <c r="AG156" s="1">
        <f t="shared" ca="1" si="73"/>
        <v>264</v>
      </c>
      <c r="AH156" s="1">
        <f t="shared" ca="1" si="74"/>
        <v>4.67798598744067E-3</v>
      </c>
    </row>
    <row r="157" spans="2:34" x14ac:dyDescent="0.25">
      <c r="B157">
        <f t="shared" ca="1" si="50"/>
        <v>566</v>
      </c>
      <c r="C157">
        <f t="shared" ca="1" si="51"/>
        <v>39</v>
      </c>
      <c r="D157">
        <f t="shared" ca="1" si="52"/>
        <v>0.16390540929258082</v>
      </c>
      <c r="F157" s="1">
        <f t="shared" ca="1" si="53"/>
        <v>39</v>
      </c>
      <c r="G157" s="1">
        <f t="shared" ca="1" si="54"/>
        <v>22</v>
      </c>
      <c r="H157" s="1">
        <f t="shared" ca="1" si="55"/>
        <v>9</v>
      </c>
      <c r="I157" s="1"/>
      <c r="J157" s="1">
        <f t="shared" ca="1" si="56"/>
        <v>9</v>
      </c>
      <c r="K157" s="1">
        <f t="shared" ca="1" si="57"/>
        <v>1.4161462786324528</v>
      </c>
      <c r="L157" s="1">
        <f t="shared" ca="1" si="58"/>
        <v>35</v>
      </c>
      <c r="M157" s="1"/>
      <c r="N157" s="1">
        <f t="shared" ca="1" si="59"/>
        <v>978</v>
      </c>
      <c r="O157" s="1">
        <f t="shared" ca="1" si="60"/>
        <v>25</v>
      </c>
      <c r="P157" s="1"/>
      <c r="Q157" s="1">
        <f t="shared" ca="1" si="61"/>
        <v>1.7432043876120851</v>
      </c>
      <c r="R157" s="1">
        <f t="shared" ca="1" si="62"/>
        <v>865</v>
      </c>
      <c r="S157" s="1"/>
      <c r="T157" s="1">
        <f t="shared" ca="1" si="63"/>
        <v>2.9396313925115221E-2</v>
      </c>
      <c r="U157" s="1">
        <f t="shared" ca="1" si="64"/>
        <v>96</v>
      </c>
      <c r="V157" s="1">
        <f t="shared" ca="1" si="65"/>
        <v>11</v>
      </c>
      <c r="W157" s="1"/>
      <c r="X157" s="1">
        <f t="shared" ca="1" si="66"/>
        <v>5.0883241921916937</v>
      </c>
      <c r="Y157" s="1">
        <f t="shared" ca="1" si="67"/>
        <v>0.84991647921167923</v>
      </c>
      <c r="Z157" s="1">
        <f t="shared" ca="1" si="68"/>
        <v>632</v>
      </c>
      <c r="AB157" s="1">
        <f t="shared" ca="1" si="69"/>
        <v>0.30204677916032491</v>
      </c>
      <c r="AC157" s="1">
        <f t="shared" ca="1" si="70"/>
        <v>355</v>
      </c>
      <c r="AD157" s="1">
        <f t="shared" ca="1" si="71"/>
        <v>2.2942549171925422E-4</v>
      </c>
      <c r="AE157" s="1"/>
      <c r="AF157" s="1">
        <f t="shared" ca="1" si="72"/>
        <v>0.84077982135907925</v>
      </c>
      <c r="AG157" s="1">
        <f t="shared" ca="1" si="73"/>
        <v>992</v>
      </c>
      <c r="AH157" s="1">
        <f t="shared" ca="1" si="74"/>
        <v>9.6451164750345451E-3</v>
      </c>
    </row>
    <row r="158" spans="2:34" x14ac:dyDescent="0.25">
      <c r="B158">
        <f t="shared" ca="1" si="50"/>
        <v>71</v>
      </c>
      <c r="C158">
        <f t="shared" ca="1" si="51"/>
        <v>20</v>
      </c>
      <c r="D158">
        <f t="shared" ca="1" si="52"/>
        <v>4.5365251084612285E-2</v>
      </c>
      <c r="F158" s="1">
        <f t="shared" ca="1" si="53"/>
        <v>19</v>
      </c>
      <c r="G158" s="1">
        <f t="shared" ca="1" si="54"/>
        <v>21</v>
      </c>
      <c r="H158" s="1">
        <f t="shared" ca="1" si="55"/>
        <v>6</v>
      </c>
      <c r="I158" s="1"/>
      <c r="J158" s="1">
        <f t="shared" ca="1" si="56"/>
        <v>16</v>
      </c>
      <c r="K158" s="1">
        <f t="shared" ca="1" si="57"/>
        <v>1.5975479520208786</v>
      </c>
      <c r="L158" s="1">
        <f t="shared" ca="1" si="58"/>
        <v>21</v>
      </c>
      <c r="M158" s="1"/>
      <c r="N158" s="1">
        <f t="shared" ca="1" si="59"/>
        <v>288</v>
      </c>
      <c r="O158" s="1">
        <f t="shared" ca="1" si="60"/>
        <v>39</v>
      </c>
      <c r="P158" s="1"/>
      <c r="Q158" s="1">
        <f t="shared" ca="1" si="61"/>
        <v>4.3691107030671406</v>
      </c>
      <c r="R158" s="1">
        <f t="shared" ca="1" si="62"/>
        <v>702</v>
      </c>
      <c r="S158" s="1"/>
      <c r="T158" s="1">
        <f t="shared" ca="1" si="63"/>
        <v>2.8909802437732994E-2</v>
      </c>
      <c r="U158" s="1">
        <f t="shared" ca="1" si="64"/>
        <v>104</v>
      </c>
      <c r="V158" s="1">
        <f t="shared" ca="1" si="65"/>
        <v>13</v>
      </c>
      <c r="W158" s="1"/>
      <c r="X158" s="1">
        <f t="shared" ca="1" si="66"/>
        <v>5.6837064137484701</v>
      </c>
      <c r="Y158" s="1">
        <f t="shared" ca="1" si="67"/>
        <v>0.12295032847872497</v>
      </c>
      <c r="Z158" s="1">
        <f t="shared" ca="1" si="68"/>
        <v>1987</v>
      </c>
      <c r="AB158" s="1">
        <f t="shared" ca="1" si="69"/>
        <v>0.7100344423020486</v>
      </c>
      <c r="AC158" s="1">
        <f t="shared" ca="1" si="70"/>
        <v>921</v>
      </c>
      <c r="AD158" s="1">
        <f t="shared" ca="1" si="71"/>
        <v>5.3515293507518649E-3</v>
      </c>
      <c r="AE158" s="1"/>
      <c r="AF158" s="1">
        <f t="shared" ca="1" si="72"/>
        <v>0.41564403017408658</v>
      </c>
      <c r="AG158" s="1">
        <f t="shared" ca="1" si="73"/>
        <v>853</v>
      </c>
      <c r="AH158" s="1">
        <f t="shared" ca="1" si="74"/>
        <v>4.5873451623865488E-4</v>
      </c>
    </row>
    <row r="159" spans="2:34" x14ac:dyDescent="0.25">
      <c r="B159">
        <f t="shared" ca="1" si="50"/>
        <v>631</v>
      </c>
      <c r="C159">
        <f t="shared" ca="1" si="51"/>
        <v>21</v>
      </c>
      <c r="D159">
        <f t="shared" ca="1" si="52"/>
        <v>0.19832448756682697</v>
      </c>
      <c r="F159" s="1">
        <f t="shared" ca="1" si="53"/>
        <v>39</v>
      </c>
      <c r="G159" s="1">
        <f t="shared" ca="1" si="54"/>
        <v>5</v>
      </c>
      <c r="H159" s="1">
        <f t="shared" ca="1" si="55"/>
        <v>5</v>
      </c>
      <c r="I159" s="1"/>
      <c r="J159" s="1">
        <f t="shared" ca="1" si="56"/>
        <v>17</v>
      </c>
      <c r="K159" s="1">
        <f t="shared" ca="1" si="57"/>
        <v>2.2537597720640781</v>
      </c>
      <c r="L159" s="1">
        <f t="shared" ca="1" si="58"/>
        <v>4</v>
      </c>
      <c r="M159" s="1"/>
      <c r="N159" s="1">
        <f t="shared" ca="1" si="59"/>
        <v>997</v>
      </c>
      <c r="O159" s="1">
        <f t="shared" ca="1" si="60"/>
        <v>33</v>
      </c>
      <c r="P159" s="1"/>
      <c r="Q159" s="1">
        <f t="shared" ca="1" si="61"/>
        <v>0.43303606294225955</v>
      </c>
      <c r="R159" s="1">
        <f t="shared" ca="1" si="62"/>
        <v>1004</v>
      </c>
      <c r="S159" s="1"/>
      <c r="T159" s="1">
        <f t="shared" ca="1" si="63"/>
        <v>0.13055641242882202</v>
      </c>
      <c r="U159" s="1">
        <f t="shared" ca="1" si="64"/>
        <v>85</v>
      </c>
      <c r="V159" s="1">
        <f t="shared" ca="1" si="65"/>
        <v>7</v>
      </c>
      <c r="W159" s="1"/>
      <c r="X159" s="1">
        <f t="shared" ca="1" si="66"/>
        <v>3.8334262415097027</v>
      </c>
      <c r="Y159" s="1">
        <f t="shared" ca="1" si="67"/>
        <v>0.58903694638737492</v>
      </c>
      <c r="Z159" s="1">
        <f t="shared" ca="1" si="68"/>
        <v>1553</v>
      </c>
      <c r="AB159" s="1">
        <f t="shared" ca="1" si="69"/>
        <v>0.7381294278346251</v>
      </c>
      <c r="AC159" s="1">
        <f t="shared" ca="1" si="70"/>
        <v>899</v>
      </c>
      <c r="AD159" s="1">
        <f t="shared" ca="1" si="71"/>
        <v>3.4040483664874548E-3</v>
      </c>
      <c r="AE159" s="1"/>
      <c r="AF159" s="1">
        <f t="shared" ca="1" si="72"/>
        <v>0.58724632419596012</v>
      </c>
      <c r="AG159" s="1">
        <f t="shared" ca="1" si="73"/>
        <v>122</v>
      </c>
      <c r="AH159" s="1">
        <f t="shared" ca="1" si="74"/>
        <v>6.0356939330223729E-3</v>
      </c>
    </row>
    <row r="160" spans="2:34" x14ac:dyDescent="0.25">
      <c r="B160">
        <f t="shared" ca="1" si="50"/>
        <v>718</v>
      </c>
      <c r="C160">
        <f t="shared" ca="1" si="51"/>
        <v>17</v>
      </c>
      <c r="D160">
        <f t="shared" ca="1" si="52"/>
        <v>0.16060881760994936</v>
      </c>
      <c r="F160" s="1">
        <f t="shared" ca="1" si="53"/>
        <v>12</v>
      </c>
      <c r="G160" s="1">
        <f t="shared" ca="1" si="54"/>
        <v>21</v>
      </c>
      <c r="H160" s="1">
        <f t="shared" ca="1" si="55"/>
        <v>12</v>
      </c>
      <c r="I160" s="1"/>
      <c r="J160" s="1">
        <f t="shared" ca="1" si="56"/>
        <v>20</v>
      </c>
      <c r="K160" s="1">
        <f t="shared" ca="1" si="57"/>
        <v>2.9375441587937789</v>
      </c>
      <c r="L160" s="1">
        <f t="shared" ca="1" si="58"/>
        <v>25</v>
      </c>
      <c r="M160" s="1"/>
      <c r="N160" s="1">
        <f t="shared" ca="1" si="59"/>
        <v>322</v>
      </c>
      <c r="O160" s="1">
        <f t="shared" ca="1" si="60"/>
        <v>27</v>
      </c>
      <c r="P160" s="1"/>
      <c r="Q160" s="1">
        <f t="shared" ca="1" si="61"/>
        <v>1.8557723184948491</v>
      </c>
      <c r="R160" s="1">
        <f t="shared" ca="1" si="62"/>
        <v>1047</v>
      </c>
      <c r="S160" s="1"/>
      <c r="T160" s="1">
        <f t="shared" ca="1" si="63"/>
        <v>5.3272038524713794E-2</v>
      </c>
      <c r="U160" s="1">
        <f t="shared" ca="1" si="64"/>
        <v>235</v>
      </c>
      <c r="V160" s="1">
        <f t="shared" ca="1" si="65"/>
        <v>8</v>
      </c>
      <c r="W160" s="1"/>
      <c r="X160" s="1">
        <f t="shared" ca="1" si="66"/>
        <v>2.668593747296927</v>
      </c>
      <c r="Y160" s="1">
        <f t="shared" ca="1" si="67"/>
        <v>0.98832603433080957</v>
      </c>
      <c r="Z160" s="1">
        <f t="shared" ca="1" si="68"/>
        <v>1696</v>
      </c>
      <c r="AB160" s="1">
        <f t="shared" ca="1" si="69"/>
        <v>0.63992405830259913</v>
      </c>
      <c r="AC160" s="1">
        <f t="shared" ca="1" si="70"/>
        <v>961</v>
      </c>
      <c r="AD160" s="1">
        <f t="shared" ca="1" si="71"/>
        <v>9.3008797052928586E-3</v>
      </c>
      <c r="AE160" s="1"/>
      <c r="AF160" s="1">
        <f t="shared" ca="1" si="72"/>
        <v>0.34712786335304135</v>
      </c>
      <c r="AG160" s="1">
        <f t="shared" ca="1" si="73"/>
        <v>617</v>
      </c>
      <c r="AH160" s="1">
        <f t="shared" ca="1" si="74"/>
        <v>7.132730619948781E-3</v>
      </c>
    </row>
    <row r="161" spans="2:34" x14ac:dyDescent="0.25">
      <c r="B161">
        <f t="shared" ca="1" si="50"/>
        <v>528</v>
      </c>
      <c r="C161">
        <f t="shared" ca="1" si="51"/>
        <v>30</v>
      </c>
      <c r="D161">
        <f t="shared" ca="1" si="52"/>
        <v>9.350709203465786E-2</v>
      </c>
      <c r="F161" s="1">
        <f t="shared" ca="1" si="53"/>
        <v>38</v>
      </c>
      <c r="G161" s="1">
        <f t="shared" ca="1" si="54"/>
        <v>8</v>
      </c>
      <c r="H161" s="1">
        <f t="shared" ca="1" si="55"/>
        <v>10</v>
      </c>
      <c r="I161" s="1"/>
      <c r="J161" s="1">
        <f t="shared" ca="1" si="56"/>
        <v>19</v>
      </c>
      <c r="K161" s="1">
        <f t="shared" ca="1" si="57"/>
        <v>2.3811693235801412</v>
      </c>
      <c r="L161" s="1">
        <f t="shared" ca="1" si="58"/>
        <v>12</v>
      </c>
      <c r="M161" s="1"/>
      <c r="N161" s="1">
        <f t="shared" ca="1" si="59"/>
        <v>70</v>
      </c>
      <c r="O161" s="1">
        <f t="shared" ca="1" si="60"/>
        <v>28</v>
      </c>
      <c r="P161" s="1"/>
      <c r="Q161" s="1">
        <f t="shared" ca="1" si="61"/>
        <v>3.2580828059765814</v>
      </c>
      <c r="R161" s="1">
        <f t="shared" ca="1" si="62"/>
        <v>656</v>
      </c>
      <c r="S161" s="1"/>
      <c r="T161" s="1">
        <f t="shared" ca="1" si="63"/>
        <v>5.8739061499052399E-2</v>
      </c>
      <c r="U161" s="1">
        <f t="shared" ca="1" si="64"/>
        <v>176</v>
      </c>
      <c r="V161" s="1">
        <f t="shared" ca="1" si="65"/>
        <v>17</v>
      </c>
      <c r="W161" s="1"/>
      <c r="X161" s="1">
        <f t="shared" ca="1" si="66"/>
        <v>0.80478230343818968</v>
      </c>
      <c r="Y161" s="1">
        <f t="shared" ca="1" si="67"/>
        <v>0.20360217370437947</v>
      </c>
      <c r="Z161" s="1">
        <f t="shared" ca="1" si="68"/>
        <v>1506</v>
      </c>
      <c r="AB161" s="1">
        <f t="shared" ca="1" si="69"/>
        <v>2.1131653711955984E-2</v>
      </c>
      <c r="AC161" s="1">
        <f t="shared" ca="1" si="70"/>
        <v>275</v>
      </c>
      <c r="AD161" s="1">
        <f t="shared" ca="1" si="71"/>
        <v>7.9945620138896917E-3</v>
      </c>
      <c r="AE161" s="1"/>
      <c r="AF161" s="1">
        <f t="shared" ca="1" si="72"/>
        <v>0.2144234550156747</v>
      </c>
      <c r="AG161" s="1">
        <f t="shared" ca="1" si="73"/>
        <v>671</v>
      </c>
      <c r="AH161" s="1">
        <f t="shared" ca="1" si="74"/>
        <v>3.2140880974832679E-3</v>
      </c>
    </row>
    <row r="162" spans="2:34" x14ac:dyDescent="0.25">
      <c r="B162">
        <f t="shared" ca="1" si="50"/>
        <v>755</v>
      </c>
      <c r="C162">
        <f t="shared" ca="1" si="51"/>
        <v>28</v>
      </c>
      <c r="D162">
        <f t="shared" ca="1" si="52"/>
        <v>0.24257858159446941</v>
      </c>
      <c r="F162" s="1">
        <f t="shared" ca="1" si="53"/>
        <v>28</v>
      </c>
      <c r="G162" s="1">
        <f t="shared" ca="1" si="54"/>
        <v>20</v>
      </c>
      <c r="H162" s="1">
        <f t="shared" ca="1" si="55"/>
        <v>7</v>
      </c>
      <c r="I162" s="1"/>
      <c r="J162" s="1">
        <f t="shared" ca="1" si="56"/>
        <v>22</v>
      </c>
      <c r="K162" s="1">
        <f t="shared" ca="1" si="57"/>
        <v>1.7343394407468042</v>
      </c>
      <c r="L162" s="1">
        <f t="shared" ca="1" si="58"/>
        <v>9</v>
      </c>
      <c r="M162" s="1"/>
      <c r="N162" s="1">
        <f t="shared" ca="1" si="59"/>
        <v>82</v>
      </c>
      <c r="O162" s="1">
        <f t="shared" ca="1" si="60"/>
        <v>42</v>
      </c>
      <c r="P162" s="1"/>
      <c r="Q162" s="1">
        <f t="shared" ca="1" si="61"/>
        <v>4.8681747522732923</v>
      </c>
      <c r="R162" s="1">
        <f t="shared" ca="1" si="62"/>
        <v>464</v>
      </c>
      <c r="S162" s="1"/>
      <c r="T162" s="1">
        <f t="shared" ca="1" si="63"/>
        <v>0.12092386200373503</v>
      </c>
      <c r="U162" s="1">
        <f t="shared" ca="1" si="64"/>
        <v>387</v>
      </c>
      <c r="V162" s="1">
        <f t="shared" ca="1" si="65"/>
        <v>9</v>
      </c>
      <c r="W162" s="1"/>
      <c r="X162" s="1">
        <f t="shared" ca="1" si="66"/>
        <v>2.2869909681783982</v>
      </c>
      <c r="Y162" s="1">
        <f t="shared" ca="1" si="67"/>
        <v>3.943581899863139E-2</v>
      </c>
      <c r="Z162" s="1">
        <f t="shared" ca="1" si="68"/>
        <v>230</v>
      </c>
      <c r="AB162" s="1">
        <f t="shared" ca="1" si="69"/>
        <v>0.32736432085894929</v>
      </c>
      <c r="AC162" s="1">
        <f t="shared" ca="1" si="70"/>
        <v>876</v>
      </c>
      <c r="AD162" s="1">
        <f t="shared" ca="1" si="71"/>
        <v>6.6053302615647405E-4</v>
      </c>
      <c r="AE162" s="1"/>
      <c r="AF162" s="1">
        <f t="shared" ca="1" si="72"/>
        <v>0.12457044549086077</v>
      </c>
      <c r="AG162" s="1">
        <f t="shared" ca="1" si="73"/>
        <v>961</v>
      </c>
      <c r="AH162" s="1">
        <f t="shared" ca="1" si="74"/>
        <v>5.4128480461299025E-3</v>
      </c>
    </row>
    <row r="163" spans="2:34" x14ac:dyDescent="0.25">
      <c r="B163">
        <f t="shared" ca="1" si="50"/>
        <v>247</v>
      </c>
      <c r="C163">
        <f t="shared" ca="1" si="51"/>
        <v>39</v>
      </c>
      <c r="D163">
        <f t="shared" ca="1" si="52"/>
        <v>0.15979773199678615</v>
      </c>
      <c r="F163" s="1">
        <f t="shared" ca="1" si="53"/>
        <v>19</v>
      </c>
      <c r="G163" s="1">
        <f t="shared" ca="1" si="54"/>
        <v>21</v>
      </c>
      <c r="H163" s="1">
        <f t="shared" ca="1" si="55"/>
        <v>5</v>
      </c>
      <c r="I163" s="1"/>
      <c r="J163" s="1">
        <f t="shared" ca="1" si="56"/>
        <v>1</v>
      </c>
      <c r="K163" s="1">
        <f t="shared" ca="1" si="57"/>
        <v>2.4407415097636935</v>
      </c>
      <c r="L163" s="1">
        <f t="shared" ca="1" si="58"/>
        <v>25</v>
      </c>
      <c r="M163" s="1"/>
      <c r="N163" s="1">
        <f t="shared" ca="1" si="59"/>
        <v>477</v>
      </c>
      <c r="O163" s="1">
        <f t="shared" ca="1" si="60"/>
        <v>48</v>
      </c>
      <c r="P163" s="1"/>
      <c r="Q163" s="1">
        <f t="shared" ca="1" si="61"/>
        <v>3.9880889899558505</v>
      </c>
      <c r="R163" s="1">
        <f t="shared" ca="1" si="62"/>
        <v>964</v>
      </c>
      <c r="S163" s="1"/>
      <c r="T163" s="1">
        <f t="shared" ca="1" si="63"/>
        <v>9.6625610180523749E-2</v>
      </c>
      <c r="U163" s="1">
        <f t="shared" ca="1" si="64"/>
        <v>84</v>
      </c>
      <c r="V163" s="1">
        <f t="shared" ca="1" si="65"/>
        <v>50</v>
      </c>
      <c r="W163" s="1"/>
      <c r="X163" s="1">
        <f t="shared" ca="1" si="66"/>
        <v>2.9754930709293625</v>
      </c>
      <c r="Y163" s="1">
        <f t="shared" ca="1" si="67"/>
        <v>0.63098912217591996</v>
      </c>
      <c r="Z163" s="1">
        <f t="shared" ca="1" si="68"/>
        <v>226</v>
      </c>
      <c r="AB163" s="1">
        <f t="shared" ca="1" si="69"/>
        <v>0.49929232518118466</v>
      </c>
      <c r="AC163" s="1">
        <f t="shared" ca="1" si="70"/>
        <v>225</v>
      </c>
      <c r="AD163" s="1">
        <f t="shared" ca="1" si="71"/>
        <v>4.6390917334907271E-3</v>
      </c>
      <c r="AE163" s="1"/>
      <c r="AF163" s="1">
        <f t="shared" ca="1" si="72"/>
        <v>0.28280377009952701</v>
      </c>
      <c r="AG163" s="1">
        <f t="shared" ca="1" si="73"/>
        <v>976</v>
      </c>
      <c r="AH163" s="1">
        <f t="shared" ca="1" si="74"/>
        <v>3.3274072708441897E-4</v>
      </c>
    </row>
    <row r="164" spans="2:34" x14ac:dyDescent="0.25">
      <c r="B164">
        <f t="shared" ca="1" si="50"/>
        <v>974</v>
      </c>
      <c r="C164">
        <f t="shared" ca="1" si="51"/>
        <v>12</v>
      </c>
      <c r="D164">
        <f t="shared" ca="1" si="52"/>
        <v>0.25726152100004457</v>
      </c>
      <c r="F164" s="1">
        <f t="shared" ca="1" si="53"/>
        <v>19</v>
      </c>
      <c r="G164" s="1">
        <f t="shared" ca="1" si="54"/>
        <v>17</v>
      </c>
      <c r="H164" s="1">
        <f t="shared" ca="1" si="55"/>
        <v>15</v>
      </c>
      <c r="I164" s="1"/>
      <c r="J164" s="1">
        <f t="shared" ca="1" si="56"/>
        <v>1</v>
      </c>
      <c r="K164" s="1">
        <f t="shared" ca="1" si="57"/>
        <v>2.8200823031914544</v>
      </c>
      <c r="L164" s="1">
        <f t="shared" ca="1" si="58"/>
        <v>4</v>
      </c>
      <c r="M164" s="1"/>
      <c r="N164" s="1">
        <f t="shared" ca="1" si="59"/>
        <v>841</v>
      </c>
      <c r="O164" s="1">
        <f t="shared" ca="1" si="60"/>
        <v>29</v>
      </c>
      <c r="P164" s="1"/>
      <c r="Q164" s="1">
        <f t="shared" ca="1" si="61"/>
        <v>0.93636543283222762</v>
      </c>
      <c r="R164" s="1">
        <f t="shared" ca="1" si="62"/>
        <v>895</v>
      </c>
      <c r="S164" s="1"/>
      <c r="T164" s="1">
        <f t="shared" ca="1" si="63"/>
        <v>0.17702020315165065</v>
      </c>
      <c r="U164" s="1">
        <f t="shared" ca="1" si="64"/>
        <v>64</v>
      </c>
      <c r="V164" s="1">
        <f t="shared" ca="1" si="65"/>
        <v>24</v>
      </c>
      <c r="W164" s="1"/>
      <c r="X164" s="1">
        <f t="shared" ca="1" si="66"/>
        <v>8.8145625879620635</v>
      </c>
      <c r="Y164" s="1">
        <f t="shared" ca="1" si="67"/>
        <v>0.36191296666702855</v>
      </c>
      <c r="Z164" s="1">
        <f t="shared" ca="1" si="68"/>
        <v>305</v>
      </c>
      <c r="AB164" s="1">
        <f t="shared" ca="1" si="69"/>
        <v>0.2082727845228699</v>
      </c>
      <c r="AC164" s="1">
        <f t="shared" ca="1" si="70"/>
        <v>558</v>
      </c>
      <c r="AD164" s="1">
        <f t="shared" ca="1" si="71"/>
        <v>3.2418628280035185E-3</v>
      </c>
      <c r="AE164" s="1"/>
      <c r="AF164" s="1">
        <f t="shared" ca="1" si="72"/>
        <v>0.73569265077846713</v>
      </c>
      <c r="AG164" s="1">
        <f t="shared" ca="1" si="73"/>
        <v>161</v>
      </c>
      <c r="AH164" s="1">
        <f t="shared" ca="1" si="74"/>
        <v>8.0549572762416248E-3</v>
      </c>
    </row>
    <row r="165" spans="2:34" x14ac:dyDescent="0.25">
      <c r="B165">
        <f t="shared" ca="1" si="50"/>
        <v>85</v>
      </c>
      <c r="C165">
        <f t="shared" ca="1" si="51"/>
        <v>8</v>
      </c>
      <c r="D165">
        <f t="shared" ca="1" si="52"/>
        <v>0.19813112743089684</v>
      </c>
      <c r="F165" s="1">
        <f t="shared" ca="1" si="53"/>
        <v>5</v>
      </c>
      <c r="G165" s="1">
        <f t="shared" ca="1" si="54"/>
        <v>18</v>
      </c>
      <c r="H165" s="1">
        <f t="shared" ca="1" si="55"/>
        <v>2</v>
      </c>
      <c r="I165" s="1"/>
      <c r="J165" s="1">
        <f t="shared" ca="1" si="56"/>
        <v>5</v>
      </c>
      <c r="K165" s="1">
        <f t="shared" ca="1" si="57"/>
        <v>1.4665118725324886</v>
      </c>
      <c r="L165" s="1">
        <f t="shared" ca="1" si="58"/>
        <v>31</v>
      </c>
      <c r="M165" s="1"/>
      <c r="N165" s="1">
        <f t="shared" ca="1" si="59"/>
        <v>573</v>
      </c>
      <c r="O165" s="1">
        <f t="shared" ca="1" si="60"/>
        <v>30</v>
      </c>
      <c r="P165" s="1"/>
      <c r="Q165" s="1">
        <f t="shared" ca="1" si="61"/>
        <v>0.45555209332996749</v>
      </c>
      <c r="R165" s="1">
        <f t="shared" ca="1" si="62"/>
        <v>359</v>
      </c>
      <c r="S165" s="1"/>
      <c r="T165" s="1">
        <f t="shared" ca="1" si="63"/>
        <v>9.8071694409602422E-2</v>
      </c>
      <c r="U165" s="1">
        <f t="shared" ca="1" si="64"/>
        <v>299</v>
      </c>
      <c r="V165" s="1">
        <f t="shared" ca="1" si="65"/>
        <v>26</v>
      </c>
      <c r="W165" s="1"/>
      <c r="X165" s="1">
        <f t="shared" ca="1" si="66"/>
        <v>5.1335610001633256</v>
      </c>
      <c r="Y165" s="1">
        <f t="shared" ca="1" si="67"/>
        <v>0.6604730352748942</v>
      </c>
      <c r="Z165" s="1">
        <f t="shared" ca="1" si="68"/>
        <v>1182</v>
      </c>
      <c r="AB165" s="1">
        <f t="shared" ca="1" si="69"/>
        <v>0.4670226882881483</v>
      </c>
      <c r="AC165" s="1">
        <f t="shared" ca="1" si="70"/>
        <v>775</v>
      </c>
      <c r="AD165" s="1">
        <f t="shared" ca="1" si="71"/>
        <v>1.7439203038757693E-3</v>
      </c>
      <c r="AE165" s="1"/>
      <c r="AF165" s="1">
        <f t="shared" ca="1" si="72"/>
        <v>0.5966273598599583</v>
      </c>
      <c r="AG165" s="1">
        <f t="shared" ca="1" si="73"/>
        <v>901</v>
      </c>
      <c r="AH165" s="1">
        <f t="shared" ca="1" si="74"/>
        <v>6.1437717097649631E-3</v>
      </c>
    </row>
    <row r="166" spans="2:34" x14ac:dyDescent="0.25">
      <c r="B166">
        <f t="shared" ca="1" si="50"/>
        <v>264</v>
      </c>
      <c r="C166">
        <f t="shared" ca="1" si="51"/>
        <v>29</v>
      </c>
      <c r="D166">
        <f t="shared" ca="1" si="52"/>
        <v>2.7444397246668382E-2</v>
      </c>
      <c r="F166" s="1">
        <f t="shared" ca="1" si="53"/>
        <v>36</v>
      </c>
      <c r="G166" s="1">
        <f t="shared" ca="1" si="54"/>
        <v>20</v>
      </c>
      <c r="H166" s="1">
        <f t="shared" ca="1" si="55"/>
        <v>2</v>
      </c>
      <c r="I166" s="1"/>
      <c r="J166" s="1">
        <f t="shared" ca="1" si="56"/>
        <v>31</v>
      </c>
      <c r="K166" s="1">
        <f t="shared" ca="1" si="57"/>
        <v>1.4777523878350975</v>
      </c>
      <c r="L166" s="1">
        <f t="shared" ca="1" si="58"/>
        <v>16</v>
      </c>
      <c r="M166" s="1"/>
      <c r="N166" s="1">
        <f t="shared" ca="1" si="59"/>
        <v>175</v>
      </c>
      <c r="O166" s="1">
        <f t="shared" ca="1" si="60"/>
        <v>35</v>
      </c>
      <c r="P166" s="1"/>
      <c r="Q166" s="1">
        <f t="shared" ca="1" si="61"/>
        <v>3.2834943606202964</v>
      </c>
      <c r="R166" s="1">
        <f t="shared" ca="1" si="62"/>
        <v>817</v>
      </c>
      <c r="S166" s="1"/>
      <c r="T166" s="1">
        <f t="shared" ca="1" si="63"/>
        <v>0.11529547121183147</v>
      </c>
      <c r="U166" s="1">
        <f t="shared" ca="1" si="64"/>
        <v>389</v>
      </c>
      <c r="V166" s="1">
        <f t="shared" ca="1" si="65"/>
        <v>12</v>
      </c>
      <c r="W166" s="1"/>
      <c r="X166" s="1">
        <f t="shared" ca="1" si="66"/>
        <v>1.5914788542364302</v>
      </c>
      <c r="Y166" s="1">
        <f t="shared" ca="1" si="67"/>
        <v>0.11440522914283012</v>
      </c>
      <c r="Z166" s="1">
        <f t="shared" ca="1" si="68"/>
        <v>1544</v>
      </c>
      <c r="AB166" s="1">
        <f t="shared" ca="1" si="69"/>
        <v>0.11594545536094174</v>
      </c>
      <c r="AC166" s="1">
        <f t="shared" ca="1" si="70"/>
        <v>826</v>
      </c>
      <c r="AD166" s="1">
        <f t="shared" ca="1" si="71"/>
        <v>1.8953635525435056E-4</v>
      </c>
      <c r="AE166" s="1"/>
      <c r="AF166" s="1">
        <f t="shared" ca="1" si="72"/>
        <v>0.17702768710037234</v>
      </c>
      <c r="AG166" s="1">
        <f t="shared" ca="1" si="73"/>
        <v>769</v>
      </c>
      <c r="AH166" s="1">
        <f t="shared" ca="1" si="74"/>
        <v>1.2070102215689326E-3</v>
      </c>
    </row>
    <row r="167" spans="2:34" x14ac:dyDescent="0.25">
      <c r="B167">
        <f t="shared" ca="1" si="50"/>
        <v>896</v>
      </c>
      <c r="C167">
        <f t="shared" ca="1" si="51"/>
        <v>11</v>
      </c>
      <c r="D167">
        <f t="shared" ca="1" si="52"/>
        <v>0.26216061936687018</v>
      </c>
      <c r="F167" s="1">
        <f t="shared" ca="1" si="53"/>
        <v>26</v>
      </c>
      <c r="G167" s="1">
        <f t="shared" ca="1" si="54"/>
        <v>10</v>
      </c>
      <c r="H167" s="1">
        <f t="shared" ca="1" si="55"/>
        <v>11</v>
      </c>
      <c r="I167" s="1"/>
      <c r="J167" s="1">
        <f t="shared" ca="1" si="56"/>
        <v>39</v>
      </c>
      <c r="K167" s="1">
        <f t="shared" ca="1" si="57"/>
        <v>1.556138860571104</v>
      </c>
      <c r="L167" s="1">
        <f t="shared" ca="1" si="58"/>
        <v>23</v>
      </c>
      <c r="M167" s="1"/>
      <c r="N167" s="1">
        <f t="shared" ca="1" si="59"/>
        <v>543</v>
      </c>
      <c r="O167" s="1">
        <f t="shared" ca="1" si="60"/>
        <v>45</v>
      </c>
      <c r="P167" s="1"/>
      <c r="Q167" s="1">
        <f t="shared" ca="1" si="61"/>
        <v>4.4776381313368212</v>
      </c>
      <c r="R167" s="1">
        <f t="shared" ca="1" si="62"/>
        <v>944</v>
      </c>
      <c r="S167" s="1"/>
      <c r="T167" s="1">
        <f t="shared" ca="1" si="63"/>
        <v>0.1168801838452509</v>
      </c>
      <c r="U167" s="1">
        <f t="shared" ca="1" si="64"/>
        <v>430</v>
      </c>
      <c r="V167" s="1">
        <f t="shared" ca="1" si="65"/>
        <v>38</v>
      </c>
      <c r="W167" s="1"/>
      <c r="X167" s="1">
        <f t="shared" ca="1" si="66"/>
        <v>2.6336778528385913</v>
      </c>
      <c r="Y167" s="1">
        <f t="shared" ca="1" si="67"/>
        <v>0.72481424159336461</v>
      </c>
      <c r="Z167" s="1">
        <f t="shared" ca="1" si="68"/>
        <v>1145</v>
      </c>
      <c r="AB167" s="1">
        <f t="shared" ca="1" si="69"/>
        <v>0.60869822960840225</v>
      </c>
      <c r="AC167" s="1">
        <f t="shared" ca="1" si="70"/>
        <v>965</v>
      </c>
      <c r="AD167" s="1">
        <f t="shared" ca="1" si="71"/>
        <v>6.1834610406225304E-4</v>
      </c>
      <c r="AE167" s="1"/>
      <c r="AF167" s="1">
        <f t="shared" ca="1" si="72"/>
        <v>0.29952018605678399</v>
      </c>
      <c r="AG167" s="1">
        <f t="shared" ca="1" si="73"/>
        <v>198</v>
      </c>
      <c r="AH167" s="1">
        <f t="shared" ca="1" si="74"/>
        <v>4.1867094985633627E-3</v>
      </c>
    </row>
    <row r="168" spans="2:34" x14ac:dyDescent="0.25">
      <c r="B168">
        <f t="shared" ca="1" si="50"/>
        <v>357</v>
      </c>
      <c r="C168">
        <f t="shared" ca="1" si="51"/>
        <v>3</v>
      </c>
      <c r="D168">
        <f t="shared" ca="1" si="52"/>
        <v>0.20821127841567483</v>
      </c>
      <c r="F168" s="1">
        <f t="shared" ca="1" si="53"/>
        <v>16</v>
      </c>
      <c r="G168" s="1">
        <f t="shared" ca="1" si="54"/>
        <v>10</v>
      </c>
      <c r="H168" s="1">
        <f t="shared" ca="1" si="55"/>
        <v>1</v>
      </c>
      <c r="I168" s="1"/>
      <c r="J168" s="1">
        <f t="shared" ca="1" si="56"/>
        <v>26</v>
      </c>
      <c r="K168" s="1">
        <f t="shared" ca="1" si="57"/>
        <v>1.7195209190474321</v>
      </c>
      <c r="L168" s="1">
        <f t="shared" ca="1" si="58"/>
        <v>31</v>
      </c>
      <c r="M168" s="1"/>
      <c r="N168" s="1">
        <f t="shared" ca="1" si="59"/>
        <v>770</v>
      </c>
      <c r="O168" s="1">
        <f t="shared" ca="1" si="60"/>
        <v>49</v>
      </c>
      <c r="P168" s="1"/>
      <c r="Q168" s="1">
        <f t="shared" ca="1" si="61"/>
        <v>4.95602296534343</v>
      </c>
      <c r="R168" s="1">
        <f t="shared" ca="1" si="62"/>
        <v>400</v>
      </c>
      <c r="S168" s="1"/>
      <c r="T168" s="1">
        <f t="shared" ca="1" si="63"/>
        <v>8.0178809131915968E-2</v>
      </c>
      <c r="U168" s="1">
        <f t="shared" ca="1" si="64"/>
        <v>173</v>
      </c>
      <c r="V168" s="1">
        <f t="shared" ca="1" si="65"/>
        <v>42</v>
      </c>
      <c r="W168" s="1"/>
      <c r="X168" s="1">
        <f t="shared" ca="1" si="66"/>
        <v>8.9329546629715999</v>
      </c>
      <c r="Y168" s="1">
        <f t="shared" ca="1" si="67"/>
        <v>0.7119153177655777</v>
      </c>
      <c r="Z168" s="1">
        <f t="shared" ca="1" si="68"/>
        <v>1065</v>
      </c>
      <c r="AB168" s="1">
        <f t="shared" ca="1" si="69"/>
        <v>0.84090750756996657</v>
      </c>
      <c r="AC168" s="1">
        <f t="shared" ca="1" si="70"/>
        <v>539</v>
      </c>
      <c r="AD168" s="1">
        <f t="shared" ca="1" si="71"/>
        <v>6.3140109503957561E-3</v>
      </c>
      <c r="AE168" s="1"/>
      <c r="AF168" s="1">
        <f t="shared" ca="1" si="72"/>
        <v>0.20451891227672414</v>
      </c>
      <c r="AG168" s="1">
        <f t="shared" ca="1" si="73"/>
        <v>700</v>
      </c>
      <c r="AH168" s="1">
        <f t="shared" ca="1" si="74"/>
        <v>2.5701202897838605E-3</v>
      </c>
    </row>
    <row r="169" spans="2:34" x14ac:dyDescent="0.25">
      <c r="B169">
        <f t="shared" ca="1" si="50"/>
        <v>498</v>
      </c>
      <c r="C169">
        <f t="shared" ca="1" si="51"/>
        <v>31</v>
      </c>
      <c r="D169">
        <f t="shared" ca="1" si="52"/>
        <v>0.12301210608264772</v>
      </c>
      <c r="F169" s="1">
        <f t="shared" ca="1" si="53"/>
        <v>25</v>
      </c>
      <c r="G169" s="1">
        <f t="shared" ca="1" si="54"/>
        <v>15</v>
      </c>
      <c r="H169" s="1">
        <f t="shared" ca="1" si="55"/>
        <v>12</v>
      </c>
      <c r="I169" s="1"/>
      <c r="J169" s="1">
        <f t="shared" ca="1" si="56"/>
        <v>26</v>
      </c>
      <c r="K169" s="1">
        <f t="shared" ca="1" si="57"/>
        <v>2.3535799646569995</v>
      </c>
      <c r="L169" s="1">
        <f t="shared" ca="1" si="58"/>
        <v>20</v>
      </c>
      <c r="M169" s="1"/>
      <c r="N169" s="1">
        <f t="shared" ca="1" si="59"/>
        <v>847</v>
      </c>
      <c r="O169" s="1">
        <f t="shared" ca="1" si="60"/>
        <v>19</v>
      </c>
      <c r="P169" s="1"/>
      <c r="Q169" s="1">
        <f t="shared" ca="1" si="61"/>
        <v>1.7436047387490432</v>
      </c>
      <c r="R169" s="1">
        <f t="shared" ca="1" si="62"/>
        <v>574</v>
      </c>
      <c r="S169" s="1"/>
      <c r="T169" s="1">
        <f t="shared" ca="1" si="63"/>
        <v>7.3779432795804692E-2</v>
      </c>
      <c r="U169" s="1">
        <f t="shared" ca="1" si="64"/>
        <v>150</v>
      </c>
      <c r="V169" s="1">
        <f t="shared" ca="1" si="65"/>
        <v>47</v>
      </c>
      <c r="W169" s="1"/>
      <c r="X169" s="1">
        <f t="shared" ca="1" si="66"/>
        <v>1.2212199332255695</v>
      </c>
      <c r="Y169" s="1">
        <f t="shared" ca="1" si="67"/>
        <v>0.37251449502276363</v>
      </c>
      <c r="Z169" s="1">
        <f t="shared" ca="1" si="68"/>
        <v>950</v>
      </c>
      <c r="AB169" s="1">
        <f t="shared" ca="1" si="69"/>
        <v>8.069388559891455E-2</v>
      </c>
      <c r="AC169" s="1">
        <f t="shared" ca="1" si="70"/>
        <v>581</v>
      </c>
      <c r="AD169" s="1">
        <f t="shared" ca="1" si="71"/>
        <v>4.8978511111031813E-3</v>
      </c>
      <c r="AE169" s="1"/>
      <c r="AF169" s="1">
        <f t="shared" ca="1" si="72"/>
        <v>0.21139348933878824</v>
      </c>
      <c r="AG169" s="1">
        <f t="shared" ca="1" si="73"/>
        <v>310</v>
      </c>
      <c r="AH169" s="1">
        <f t="shared" ca="1" si="74"/>
        <v>2.9025309037680287E-3</v>
      </c>
    </row>
    <row r="170" spans="2:34" x14ac:dyDescent="0.25">
      <c r="B170">
        <f t="shared" ca="1" si="50"/>
        <v>739</v>
      </c>
      <c r="C170">
        <f t="shared" ca="1" si="51"/>
        <v>5</v>
      </c>
      <c r="D170">
        <f t="shared" ca="1" si="52"/>
        <v>1.3841001172571249E-2</v>
      </c>
      <c r="F170" s="1">
        <f t="shared" ca="1" si="53"/>
        <v>12</v>
      </c>
      <c r="G170" s="1">
        <f t="shared" ca="1" si="54"/>
        <v>11</v>
      </c>
      <c r="H170" s="1">
        <f t="shared" ca="1" si="55"/>
        <v>2</v>
      </c>
      <c r="I170" s="1"/>
      <c r="J170" s="1">
        <f t="shared" ca="1" si="56"/>
        <v>33</v>
      </c>
      <c r="K170" s="1">
        <f t="shared" ca="1" si="57"/>
        <v>1.4773586930021005</v>
      </c>
      <c r="L170" s="1">
        <f t="shared" ca="1" si="58"/>
        <v>16</v>
      </c>
      <c r="M170" s="1"/>
      <c r="N170" s="1">
        <f t="shared" ca="1" si="59"/>
        <v>908</v>
      </c>
      <c r="O170" s="1">
        <f t="shared" ca="1" si="60"/>
        <v>11</v>
      </c>
      <c r="P170" s="1"/>
      <c r="Q170" s="1">
        <f t="shared" ca="1" si="61"/>
        <v>1.964848627993413</v>
      </c>
      <c r="R170" s="1">
        <f t="shared" ca="1" si="62"/>
        <v>1178</v>
      </c>
      <c r="S170" s="1"/>
      <c r="T170" s="1">
        <f t="shared" ca="1" si="63"/>
        <v>2.2318533608833152E-2</v>
      </c>
      <c r="U170" s="1">
        <f t="shared" ca="1" si="64"/>
        <v>126</v>
      </c>
      <c r="V170" s="1">
        <f t="shared" ca="1" si="65"/>
        <v>5</v>
      </c>
      <c r="W170" s="1"/>
      <c r="X170" s="1">
        <f t="shared" ca="1" si="66"/>
        <v>6.8852012131981741</v>
      </c>
      <c r="Y170" s="1">
        <f t="shared" ca="1" si="67"/>
        <v>0.53602915338279755</v>
      </c>
      <c r="Z170" s="1">
        <f t="shared" ca="1" si="68"/>
        <v>327</v>
      </c>
      <c r="AB170" s="1">
        <f t="shared" ca="1" si="69"/>
        <v>0.38267309944774147</v>
      </c>
      <c r="AC170" s="1">
        <f t="shared" ca="1" si="70"/>
        <v>119</v>
      </c>
      <c r="AD170" s="1">
        <f t="shared" ca="1" si="71"/>
        <v>7.9962603757661958E-3</v>
      </c>
      <c r="AE170" s="1"/>
      <c r="AF170" s="1">
        <f t="shared" ca="1" si="72"/>
        <v>0.15916510782664473</v>
      </c>
      <c r="AG170" s="1">
        <f t="shared" ca="1" si="73"/>
        <v>907</v>
      </c>
      <c r="AH170" s="1">
        <f t="shared" ca="1" si="74"/>
        <v>6.0188329378938104E-3</v>
      </c>
    </row>
    <row r="171" spans="2:34" x14ac:dyDescent="0.25">
      <c r="B171">
        <f t="shared" ca="1" si="50"/>
        <v>64</v>
      </c>
      <c r="C171">
        <f t="shared" ca="1" si="51"/>
        <v>35</v>
      </c>
      <c r="D171">
        <f t="shared" ca="1" si="52"/>
        <v>0.26165671828431447</v>
      </c>
      <c r="F171" s="1">
        <f t="shared" ca="1" si="53"/>
        <v>25</v>
      </c>
      <c r="G171" s="1">
        <f t="shared" ca="1" si="54"/>
        <v>25</v>
      </c>
      <c r="H171" s="1">
        <f t="shared" ca="1" si="55"/>
        <v>6</v>
      </c>
      <c r="I171" s="1"/>
      <c r="J171" s="1">
        <f t="shared" ca="1" si="56"/>
        <v>3</v>
      </c>
      <c r="K171" s="1">
        <f t="shared" ca="1" si="57"/>
        <v>2.2196766082899266</v>
      </c>
      <c r="L171" s="1">
        <f t="shared" ca="1" si="58"/>
        <v>17</v>
      </c>
      <c r="M171" s="1"/>
      <c r="N171" s="1">
        <f t="shared" ca="1" si="59"/>
        <v>152</v>
      </c>
      <c r="O171" s="1">
        <f t="shared" ca="1" si="60"/>
        <v>10</v>
      </c>
      <c r="P171" s="1"/>
      <c r="Q171" s="1">
        <f t="shared" ca="1" si="61"/>
        <v>2.2620981042154122</v>
      </c>
      <c r="R171" s="1">
        <f t="shared" ca="1" si="62"/>
        <v>1130</v>
      </c>
      <c r="S171" s="1"/>
      <c r="T171" s="1">
        <f t="shared" ca="1" si="63"/>
        <v>0.17877752719543655</v>
      </c>
      <c r="U171" s="1">
        <f t="shared" ca="1" si="64"/>
        <v>218</v>
      </c>
      <c r="V171" s="1">
        <f t="shared" ca="1" si="65"/>
        <v>43</v>
      </c>
      <c r="W171" s="1"/>
      <c r="X171" s="1">
        <f t="shared" ca="1" si="66"/>
        <v>9.4861103202568113</v>
      </c>
      <c r="Y171" s="1">
        <f t="shared" ca="1" si="67"/>
        <v>0.43360755993148919</v>
      </c>
      <c r="Z171" s="1">
        <f t="shared" ca="1" si="68"/>
        <v>238</v>
      </c>
      <c r="AB171" s="1">
        <f t="shared" ca="1" si="69"/>
        <v>0.5721451434507886</v>
      </c>
      <c r="AC171" s="1">
        <f t="shared" ca="1" si="70"/>
        <v>830</v>
      </c>
      <c r="AD171" s="1">
        <f t="shared" ca="1" si="71"/>
        <v>5.2160427712804802E-3</v>
      </c>
      <c r="AE171" s="1"/>
      <c r="AF171" s="1">
        <f t="shared" ca="1" si="72"/>
        <v>0.58395975031271541</v>
      </c>
      <c r="AG171" s="1">
        <f t="shared" ca="1" si="73"/>
        <v>404</v>
      </c>
      <c r="AH171" s="1">
        <f t="shared" ca="1" si="74"/>
        <v>5.5193227974531661E-3</v>
      </c>
    </row>
    <row r="172" spans="2:34" x14ac:dyDescent="0.25">
      <c r="B172">
        <f t="shared" ca="1" si="50"/>
        <v>124</v>
      </c>
      <c r="C172">
        <f t="shared" ca="1" si="51"/>
        <v>4</v>
      </c>
      <c r="D172">
        <f t="shared" ca="1" si="52"/>
        <v>0.1099882779374933</v>
      </c>
      <c r="F172" s="1">
        <f t="shared" ca="1" si="53"/>
        <v>45</v>
      </c>
      <c r="G172" s="1">
        <f t="shared" ca="1" si="54"/>
        <v>30</v>
      </c>
      <c r="H172" s="1">
        <f t="shared" ca="1" si="55"/>
        <v>3</v>
      </c>
      <c r="I172" s="1"/>
      <c r="J172" s="1">
        <f t="shared" ca="1" si="56"/>
        <v>5</v>
      </c>
      <c r="K172" s="1">
        <f t="shared" ca="1" si="57"/>
        <v>2.2518668738027383</v>
      </c>
      <c r="L172" s="1">
        <f t="shared" ca="1" si="58"/>
        <v>12</v>
      </c>
      <c r="M172" s="1"/>
      <c r="N172" s="1">
        <f t="shared" ca="1" si="59"/>
        <v>773</v>
      </c>
      <c r="O172" s="1">
        <f t="shared" ca="1" si="60"/>
        <v>39</v>
      </c>
      <c r="P172" s="1"/>
      <c r="Q172" s="1">
        <f t="shared" ca="1" si="61"/>
        <v>4.5228712625785459</v>
      </c>
      <c r="R172" s="1">
        <f t="shared" ca="1" si="62"/>
        <v>553</v>
      </c>
      <c r="S172" s="1"/>
      <c r="T172" s="1">
        <f t="shared" ca="1" si="63"/>
        <v>0.18789046944254056</v>
      </c>
      <c r="U172" s="1">
        <f t="shared" ca="1" si="64"/>
        <v>255</v>
      </c>
      <c r="V172" s="1">
        <f t="shared" ca="1" si="65"/>
        <v>43</v>
      </c>
      <c r="W172" s="1"/>
      <c r="X172" s="1">
        <f t="shared" ca="1" si="66"/>
        <v>2.4106767295663487</v>
      </c>
      <c r="Y172" s="1">
        <f t="shared" ca="1" si="67"/>
        <v>0.59692531846324925</v>
      </c>
      <c r="Z172" s="1">
        <f t="shared" ca="1" si="68"/>
        <v>608</v>
      </c>
      <c r="AB172" s="1">
        <f t="shared" ca="1" si="69"/>
        <v>0.75428376624882232</v>
      </c>
      <c r="AC172" s="1">
        <f t="shared" ca="1" si="70"/>
        <v>629</v>
      </c>
      <c r="AD172" s="1">
        <f t="shared" ca="1" si="71"/>
        <v>2.6167681328834705E-3</v>
      </c>
      <c r="AE172" s="1"/>
      <c r="AF172" s="1">
        <f t="shared" ca="1" si="72"/>
        <v>0.67374022389646315</v>
      </c>
      <c r="AG172" s="1">
        <f t="shared" ca="1" si="73"/>
        <v>247</v>
      </c>
      <c r="AH172" s="1">
        <f t="shared" ca="1" si="74"/>
        <v>7.2685981824940947E-3</v>
      </c>
    </row>
    <row r="173" spans="2:34" x14ac:dyDescent="0.25">
      <c r="B173">
        <f t="shared" ca="1" si="50"/>
        <v>41</v>
      </c>
      <c r="C173">
        <f t="shared" ca="1" si="51"/>
        <v>39</v>
      </c>
      <c r="D173">
        <f t="shared" ca="1" si="52"/>
        <v>0.16002893582214525</v>
      </c>
      <c r="F173" s="1">
        <f t="shared" ca="1" si="53"/>
        <v>16</v>
      </c>
      <c r="G173" s="1">
        <f t="shared" ca="1" si="54"/>
        <v>29</v>
      </c>
      <c r="H173" s="1">
        <f t="shared" ca="1" si="55"/>
        <v>14</v>
      </c>
      <c r="I173" s="1"/>
      <c r="J173" s="1">
        <f t="shared" ca="1" si="56"/>
        <v>28</v>
      </c>
      <c r="K173" s="1">
        <f t="shared" ca="1" si="57"/>
        <v>1.1286253977904854</v>
      </c>
      <c r="L173" s="1">
        <f t="shared" ca="1" si="58"/>
        <v>35</v>
      </c>
      <c r="M173" s="1"/>
      <c r="N173" s="1">
        <f t="shared" ca="1" si="59"/>
        <v>344</v>
      </c>
      <c r="O173" s="1">
        <f t="shared" ca="1" si="60"/>
        <v>17</v>
      </c>
      <c r="P173" s="1"/>
      <c r="Q173" s="1">
        <f t="shared" ca="1" si="61"/>
        <v>2.0902979377783271</v>
      </c>
      <c r="R173" s="1">
        <f t="shared" ca="1" si="62"/>
        <v>1023</v>
      </c>
      <c r="S173" s="1"/>
      <c r="T173" s="1">
        <f t="shared" ca="1" si="63"/>
        <v>5.8979391434963967E-2</v>
      </c>
      <c r="U173" s="1">
        <f t="shared" ca="1" si="64"/>
        <v>80</v>
      </c>
      <c r="V173" s="1">
        <f t="shared" ca="1" si="65"/>
        <v>13</v>
      </c>
      <c r="W173" s="1"/>
      <c r="X173" s="1">
        <f t="shared" ca="1" si="66"/>
        <v>9.467143985292882</v>
      </c>
      <c r="Y173" s="1">
        <f t="shared" ca="1" si="67"/>
        <v>0.58115094719260807</v>
      </c>
      <c r="Z173" s="1">
        <f t="shared" ca="1" si="68"/>
        <v>965</v>
      </c>
      <c r="AB173" s="1">
        <f t="shared" ca="1" si="69"/>
        <v>0.10215204447564988</v>
      </c>
      <c r="AC173" s="1">
        <f t="shared" ca="1" si="70"/>
        <v>568</v>
      </c>
      <c r="AD173" s="1">
        <f t="shared" ca="1" si="71"/>
        <v>1.7690420121767006E-3</v>
      </c>
      <c r="AE173" s="1"/>
      <c r="AF173" s="1">
        <f t="shared" ca="1" si="72"/>
        <v>0.21311108347972008</v>
      </c>
      <c r="AG173" s="1">
        <f t="shared" ca="1" si="73"/>
        <v>763</v>
      </c>
      <c r="AH173" s="1">
        <f t="shared" ca="1" si="74"/>
        <v>6.1503744181035398E-3</v>
      </c>
    </row>
    <row r="174" spans="2:34" x14ac:dyDescent="0.25">
      <c r="B174">
        <f t="shared" ca="1" si="50"/>
        <v>857</v>
      </c>
      <c r="C174">
        <f t="shared" ca="1" si="51"/>
        <v>19</v>
      </c>
      <c r="D174">
        <f t="shared" ca="1" si="52"/>
        <v>0.28417905680892236</v>
      </c>
      <c r="F174" s="1">
        <f t="shared" ca="1" si="53"/>
        <v>47</v>
      </c>
      <c r="G174" s="1">
        <f t="shared" ca="1" si="54"/>
        <v>20</v>
      </c>
      <c r="H174" s="1">
        <f t="shared" ca="1" si="55"/>
        <v>11</v>
      </c>
      <c r="I174" s="1"/>
      <c r="J174" s="1">
        <f t="shared" ca="1" si="56"/>
        <v>24</v>
      </c>
      <c r="K174" s="1">
        <f t="shared" ca="1" si="57"/>
        <v>1.1504137438766244</v>
      </c>
      <c r="L174" s="1">
        <f t="shared" ca="1" si="58"/>
        <v>21</v>
      </c>
      <c r="M174" s="1"/>
      <c r="N174" s="1">
        <f t="shared" ca="1" si="59"/>
        <v>370</v>
      </c>
      <c r="O174" s="1">
        <f t="shared" ca="1" si="60"/>
        <v>10</v>
      </c>
      <c r="P174" s="1"/>
      <c r="Q174" s="1">
        <f t="shared" ca="1" si="61"/>
        <v>2.3893096356695862</v>
      </c>
      <c r="R174" s="1">
        <f t="shared" ca="1" si="62"/>
        <v>1187</v>
      </c>
      <c r="S174" s="1"/>
      <c r="T174" s="1">
        <f t="shared" ca="1" si="63"/>
        <v>6.3538932723423189E-2</v>
      </c>
      <c r="U174" s="1">
        <f t="shared" ca="1" si="64"/>
        <v>189</v>
      </c>
      <c r="V174" s="1">
        <f t="shared" ca="1" si="65"/>
        <v>49</v>
      </c>
      <c r="W174" s="1"/>
      <c r="X174" s="1">
        <f t="shared" ca="1" si="66"/>
        <v>4.4586736610758075</v>
      </c>
      <c r="Y174" s="1">
        <f t="shared" ca="1" si="67"/>
        <v>0.17128858836473135</v>
      </c>
      <c r="Z174" s="1">
        <f t="shared" ca="1" si="68"/>
        <v>613</v>
      </c>
      <c r="AB174" s="1">
        <f t="shared" ca="1" si="69"/>
        <v>0.37841056945252771</v>
      </c>
      <c r="AC174" s="1">
        <f t="shared" ca="1" si="70"/>
        <v>493</v>
      </c>
      <c r="AD174" s="1">
        <f t="shared" ca="1" si="71"/>
        <v>3.8912411377674621E-3</v>
      </c>
      <c r="AE174" s="1"/>
      <c r="AF174" s="1">
        <f t="shared" ca="1" si="72"/>
        <v>0.57413585579100446</v>
      </c>
      <c r="AG174" s="1">
        <f t="shared" ca="1" si="73"/>
        <v>556</v>
      </c>
      <c r="AH174" s="1">
        <f t="shared" ca="1" si="74"/>
        <v>1.1478934237112042E-3</v>
      </c>
    </row>
    <row r="175" spans="2:34" x14ac:dyDescent="0.25">
      <c r="B175">
        <f t="shared" ca="1" si="50"/>
        <v>280</v>
      </c>
      <c r="C175">
        <f t="shared" ca="1" si="51"/>
        <v>5</v>
      </c>
      <c r="D175">
        <f t="shared" ca="1" si="52"/>
        <v>0.22657938266138014</v>
      </c>
      <c r="F175" s="1">
        <f t="shared" ca="1" si="53"/>
        <v>45</v>
      </c>
      <c r="G175" s="1">
        <f t="shared" ca="1" si="54"/>
        <v>11</v>
      </c>
      <c r="H175" s="1">
        <f t="shared" ca="1" si="55"/>
        <v>13</v>
      </c>
      <c r="I175" s="1"/>
      <c r="J175" s="1">
        <f t="shared" ca="1" si="56"/>
        <v>15</v>
      </c>
      <c r="K175" s="1">
        <f t="shared" ca="1" si="57"/>
        <v>1.9527990782934934</v>
      </c>
      <c r="L175" s="1">
        <f t="shared" ca="1" si="58"/>
        <v>13</v>
      </c>
      <c r="M175" s="1"/>
      <c r="N175" s="1">
        <f t="shared" ca="1" si="59"/>
        <v>372</v>
      </c>
      <c r="O175" s="1">
        <f t="shared" ca="1" si="60"/>
        <v>47</v>
      </c>
      <c r="P175" s="1"/>
      <c r="Q175" s="1">
        <f t="shared" ca="1" si="61"/>
        <v>2.7342296278420406</v>
      </c>
      <c r="R175" s="1">
        <f t="shared" ca="1" si="62"/>
        <v>550</v>
      </c>
      <c r="S175" s="1"/>
      <c r="T175" s="1">
        <f t="shared" ca="1" si="63"/>
        <v>6.8506055502930319E-2</v>
      </c>
      <c r="U175" s="1">
        <f t="shared" ca="1" si="64"/>
        <v>430</v>
      </c>
      <c r="V175" s="1">
        <f t="shared" ca="1" si="65"/>
        <v>14</v>
      </c>
      <c r="W175" s="1"/>
      <c r="X175" s="1">
        <f t="shared" ca="1" si="66"/>
        <v>3.7800011709364432</v>
      </c>
      <c r="Y175" s="1">
        <f t="shared" ca="1" si="67"/>
        <v>6.7907934223634073E-2</v>
      </c>
      <c r="Z175" s="1">
        <f t="shared" ca="1" si="68"/>
        <v>1170</v>
      </c>
      <c r="AB175" s="1">
        <f t="shared" ca="1" si="69"/>
        <v>8.0316776547815806E-3</v>
      </c>
      <c r="AC175" s="1">
        <f t="shared" ca="1" si="70"/>
        <v>419</v>
      </c>
      <c r="AD175" s="1">
        <f t="shared" ca="1" si="71"/>
        <v>3.5332665864375883E-3</v>
      </c>
      <c r="AE175" s="1"/>
      <c r="AF175" s="1">
        <f t="shared" ca="1" si="72"/>
        <v>0.79532812941372399</v>
      </c>
      <c r="AG175" s="1">
        <f t="shared" ca="1" si="73"/>
        <v>753</v>
      </c>
      <c r="AH175" s="1">
        <f t="shared" ca="1" si="74"/>
        <v>6.335378655205972E-3</v>
      </c>
    </row>
    <row r="176" spans="2:34" x14ac:dyDescent="0.25">
      <c r="B176">
        <f t="shared" ca="1" si="50"/>
        <v>753</v>
      </c>
      <c r="C176">
        <f t="shared" ca="1" si="51"/>
        <v>28</v>
      </c>
      <c r="D176">
        <f t="shared" ca="1" si="52"/>
        <v>4.2493330504532127E-2</v>
      </c>
      <c r="F176" s="1">
        <f t="shared" ca="1" si="53"/>
        <v>9</v>
      </c>
      <c r="G176" s="1">
        <f t="shared" ca="1" si="54"/>
        <v>20</v>
      </c>
      <c r="H176" s="1">
        <f t="shared" ca="1" si="55"/>
        <v>8</v>
      </c>
      <c r="I176" s="1"/>
      <c r="J176" s="1">
        <f t="shared" ca="1" si="56"/>
        <v>15</v>
      </c>
      <c r="K176" s="1">
        <f t="shared" ca="1" si="57"/>
        <v>1.6478183460368827</v>
      </c>
      <c r="L176" s="1">
        <f t="shared" ca="1" si="58"/>
        <v>16</v>
      </c>
      <c r="M176" s="1"/>
      <c r="N176" s="1">
        <f t="shared" ca="1" si="59"/>
        <v>956</v>
      </c>
      <c r="O176" s="1">
        <f t="shared" ca="1" si="60"/>
        <v>16</v>
      </c>
      <c r="P176" s="1"/>
      <c r="Q176" s="1">
        <f t="shared" ca="1" si="61"/>
        <v>4.4326127023307569</v>
      </c>
      <c r="R176" s="1">
        <f t="shared" ca="1" si="62"/>
        <v>1198</v>
      </c>
      <c r="S176" s="1"/>
      <c r="T176" s="1">
        <f t="shared" ca="1" si="63"/>
        <v>0.16485586057605675</v>
      </c>
      <c r="U176" s="1">
        <f t="shared" ca="1" si="64"/>
        <v>217</v>
      </c>
      <c r="V176" s="1">
        <f t="shared" ca="1" si="65"/>
        <v>4</v>
      </c>
      <c r="W176" s="1"/>
      <c r="X176" s="1">
        <f t="shared" ca="1" si="66"/>
        <v>1.092339736220953</v>
      </c>
      <c r="Y176" s="1">
        <f t="shared" ca="1" si="67"/>
        <v>0.44275350720510348</v>
      </c>
      <c r="Z176" s="1">
        <f t="shared" ca="1" si="68"/>
        <v>1845</v>
      </c>
      <c r="AB176" s="1">
        <f t="shared" ca="1" si="69"/>
        <v>0.17967283794542385</v>
      </c>
      <c r="AC176" s="1">
        <f t="shared" ca="1" si="70"/>
        <v>944</v>
      </c>
      <c r="AD176" s="1">
        <f t="shared" ca="1" si="71"/>
        <v>7.1629664438381448E-3</v>
      </c>
      <c r="AE176" s="1"/>
      <c r="AF176" s="1">
        <f t="shared" ca="1" si="72"/>
        <v>0.49561961866322501</v>
      </c>
      <c r="AG176" s="1">
        <f t="shared" ca="1" si="73"/>
        <v>750</v>
      </c>
      <c r="AH176" s="1">
        <f t="shared" ca="1" si="74"/>
        <v>7.2473937397630681E-3</v>
      </c>
    </row>
    <row r="177" spans="2:34" x14ac:dyDescent="0.25">
      <c r="B177">
        <f t="shared" ca="1" si="50"/>
        <v>641</v>
      </c>
      <c r="C177">
        <f t="shared" ca="1" si="51"/>
        <v>35</v>
      </c>
      <c r="D177">
        <f t="shared" ca="1" si="52"/>
        <v>0.15015682216427365</v>
      </c>
      <c r="F177" s="1">
        <f t="shared" ca="1" si="53"/>
        <v>11</v>
      </c>
      <c r="G177" s="1">
        <f t="shared" ca="1" si="54"/>
        <v>15</v>
      </c>
      <c r="H177" s="1">
        <f t="shared" ca="1" si="55"/>
        <v>15</v>
      </c>
      <c r="I177" s="1"/>
      <c r="J177" s="1">
        <f t="shared" ca="1" si="56"/>
        <v>11</v>
      </c>
      <c r="K177" s="1">
        <f t="shared" ca="1" si="57"/>
        <v>1.0194312524376803</v>
      </c>
      <c r="L177" s="1">
        <f t="shared" ca="1" si="58"/>
        <v>26</v>
      </c>
      <c r="M177" s="1"/>
      <c r="N177" s="1">
        <f t="shared" ca="1" si="59"/>
        <v>570</v>
      </c>
      <c r="O177" s="1">
        <f t="shared" ca="1" si="60"/>
        <v>15</v>
      </c>
      <c r="P177" s="1"/>
      <c r="Q177" s="1">
        <f t="shared" ca="1" si="61"/>
        <v>1.6629355667352659</v>
      </c>
      <c r="R177" s="1">
        <f t="shared" ca="1" si="62"/>
        <v>539</v>
      </c>
      <c r="S177" s="1"/>
      <c r="T177" s="1">
        <f t="shared" ca="1" si="63"/>
        <v>2.7468438012014408E-2</v>
      </c>
      <c r="U177" s="1">
        <f t="shared" ca="1" si="64"/>
        <v>258</v>
      </c>
      <c r="V177" s="1">
        <f t="shared" ca="1" si="65"/>
        <v>7</v>
      </c>
      <c r="W177" s="1"/>
      <c r="X177" s="1">
        <f t="shared" ca="1" si="66"/>
        <v>0.77156118166612164</v>
      </c>
      <c r="Y177" s="1">
        <f t="shared" ca="1" si="67"/>
        <v>0.85997398289800031</v>
      </c>
      <c r="Z177" s="1">
        <f t="shared" ca="1" si="68"/>
        <v>319</v>
      </c>
      <c r="AB177" s="1">
        <f t="shared" ca="1" si="69"/>
        <v>0.3901529722528097</v>
      </c>
      <c r="AC177" s="1">
        <f t="shared" ca="1" si="70"/>
        <v>806</v>
      </c>
      <c r="AD177" s="1">
        <f t="shared" ca="1" si="71"/>
        <v>5.3681857687646606E-3</v>
      </c>
      <c r="AE177" s="1"/>
      <c r="AF177" s="1">
        <f t="shared" ca="1" si="72"/>
        <v>0.29442240102873313</v>
      </c>
      <c r="AG177" s="1">
        <f t="shared" ca="1" si="73"/>
        <v>170</v>
      </c>
      <c r="AH177" s="1">
        <f t="shared" ca="1" si="74"/>
        <v>6.5296997420478961E-3</v>
      </c>
    </row>
    <row r="178" spans="2:34" x14ac:dyDescent="0.25">
      <c r="B178">
        <f t="shared" ca="1" si="50"/>
        <v>765</v>
      </c>
      <c r="C178">
        <f t="shared" ca="1" si="51"/>
        <v>35</v>
      </c>
      <c r="D178">
        <f t="shared" ca="1" si="52"/>
        <v>8.054078381418045E-2</v>
      </c>
      <c r="F178" s="1">
        <f t="shared" ca="1" si="53"/>
        <v>37</v>
      </c>
      <c r="G178" s="1">
        <f t="shared" ca="1" si="54"/>
        <v>21</v>
      </c>
      <c r="H178" s="1">
        <f t="shared" ca="1" si="55"/>
        <v>12</v>
      </c>
      <c r="I178" s="1"/>
      <c r="J178" s="1">
        <f t="shared" ca="1" si="56"/>
        <v>33</v>
      </c>
      <c r="K178" s="1">
        <f t="shared" ca="1" si="57"/>
        <v>2.069708594199906</v>
      </c>
      <c r="L178" s="1">
        <f t="shared" ca="1" si="58"/>
        <v>28</v>
      </c>
      <c r="M178" s="1"/>
      <c r="N178" s="1">
        <f t="shared" ca="1" si="59"/>
        <v>901</v>
      </c>
      <c r="O178" s="1">
        <f t="shared" ca="1" si="60"/>
        <v>21</v>
      </c>
      <c r="P178" s="1"/>
      <c r="Q178" s="1">
        <f t="shared" ca="1" si="61"/>
        <v>1.6967001927181997</v>
      </c>
      <c r="R178" s="1">
        <f t="shared" ca="1" si="62"/>
        <v>540</v>
      </c>
      <c r="S178" s="1"/>
      <c r="T178" s="1">
        <f t="shared" ca="1" si="63"/>
        <v>0.16698673364068539</v>
      </c>
      <c r="U178" s="1">
        <f t="shared" ca="1" si="64"/>
        <v>412</v>
      </c>
      <c r="V178" s="1">
        <f t="shared" ca="1" si="65"/>
        <v>25</v>
      </c>
      <c r="W178" s="1"/>
      <c r="X178" s="1">
        <f t="shared" ca="1" si="66"/>
        <v>9.8703748194241854</v>
      </c>
      <c r="Y178" s="1">
        <f t="shared" ca="1" si="67"/>
        <v>0.30752573994764149</v>
      </c>
      <c r="Z178" s="1">
        <f t="shared" ca="1" si="68"/>
        <v>1055</v>
      </c>
      <c r="AB178" s="1">
        <f t="shared" ca="1" si="69"/>
        <v>0.27193022762531394</v>
      </c>
      <c r="AC178" s="1">
        <f t="shared" ca="1" si="70"/>
        <v>100</v>
      </c>
      <c r="AD178" s="1">
        <f t="shared" ca="1" si="71"/>
        <v>8.2906529890434885E-3</v>
      </c>
      <c r="AE178" s="1"/>
      <c r="AF178" s="1">
        <f t="shared" ca="1" si="72"/>
        <v>0.65149668966177443</v>
      </c>
      <c r="AG178" s="1">
        <f t="shared" ca="1" si="73"/>
        <v>726</v>
      </c>
      <c r="AH178" s="1">
        <f t="shared" ca="1" si="74"/>
        <v>5.0638850951686539E-3</v>
      </c>
    </row>
    <row r="179" spans="2:34" x14ac:dyDescent="0.25">
      <c r="B179">
        <f t="shared" ca="1" si="50"/>
        <v>845</v>
      </c>
      <c r="C179">
        <f t="shared" ca="1" si="51"/>
        <v>44</v>
      </c>
      <c r="D179">
        <f t="shared" ca="1" si="52"/>
        <v>0.24254153172653753</v>
      </c>
      <c r="F179" s="1">
        <f t="shared" ca="1" si="53"/>
        <v>2</v>
      </c>
      <c r="G179" s="1">
        <f t="shared" ca="1" si="54"/>
        <v>8</v>
      </c>
      <c r="H179" s="1">
        <f t="shared" ca="1" si="55"/>
        <v>6</v>
      </c>
      <c r="I179" s="1"/>
      <c r="J179" s="1">
        <f t="shared" ca="1" si="56"/>
        <v>25</v>
      </c>
      <c r="K179" s="1">
        <f t="shared" ca="1" si="57"/>
        <v>1.0740447669999984</v>
      </c>
      <c r="L179" s="1">
        <f t="shared" ca="1" si="58"/>
        <v>20</v>
      </c>
      <c r="M179" s="1"/>
      <c r="N179" s="1">
        <f t="shared" ca="1" si="59"/>
        <v>572</v>
      </c>
      <c r="O179" s="1">
        <f t="shared" ca="1" si="60"/>
        <v>9</v>
      </c>
      <c r="P179" s="1"/>
      <c r="Q179" s="1">
        <f t="shared" ca="1" si="61"/>
        <v>3.6762094250647097</v>
      </c>
      <c r="R179" s="1">
        <f t="shared" ca="1" si="62"/>
        <v>507</v>
      </c>
      <c r="S179" s="1"/>
      <c r="T179" s="1">
        <f t="shared" ca="1" si="63"/>
        <v>0.18666060603280149</v>
      </c>
      <c r="U179" s="1">
        <f t="shared" ca="1" si="64"/>
        <v>108</v>
      </c>
      <c r="V179" s="1">
        <f t="shared" ca="1" si="65"/>
        <v>41</v>
      </c>
      <c r="W179" s="1"/>
      <c r="X179" s="1">
        <f t="shared" ca="1" si="66"/>
        <v>7.8931479953938952</v>
      </c>
      <c r="Y179" s="1">
        <f t="shared" ca="1" si="67"/>
        <v>0.71651756122266042</v>
      </c>
      <c r="Z179" s="1">
        <f t="shared" ca="1" si="68"/>
        <v>633</v>
      </c>
      <c r="AB179" s="1">
        <f t="shared" ca="1" si="69"/>
        <v>0.44721713440354971</v>
      </c>
      <c r="AC179" s="1">
        <f t="shared" ca="1" si="70"/>
        <v>477</v>
      </c>
      <c r="AD179" s="1">
        <f t="shared" ca="1" si="71"/>
        <v>8.9610288220274541E-3</v>
      </c>
      <c r="AE179" s="1"/>
      <c r="AF179" s="1">
        <f t="shared" ca="1" si="72"/>
        <v>0.10625033739138789</v>
      </c>
      <c r="AG179" s="1">
        <f t="shared" ca="1" si="73"/>
        <v>427</v>
      </c>
      <c r="AH179" s="1">
        <f t="shared" ca="1" si="74"/>
        <v>6.1103411725152226E-3</v>
      </c>
    </row>
    <row r="180" spans="2:34" x14ac:dyDescent="0.25">
      <c r="B180">
        <f t="shared" ca="1" si="50"/>
        <v>643</v>
      </c>
      <c r="C180">
        <f t="shared" ca="1" si="51"/>
        <v>18</v>
      </c>
      <c r="D180">
        <f t="shared" ca="1" si="52"/>
        <v>0.2398910367231171</v>
      </c>
      <c r="F180" s="1">
        <f t="shared" ca="1" si="53"/>
        <v>34</v>
      </c>
      <c r="G180" s="1">
        <f t="shared" ca="1" si="54"/>
        <v>5</v>
      </c>
      <c r="H180" s="1">
        <f t="shared" ca="1" si="55"/>
        <v>5</v>
      </c>
      <c r="I180" s="1"/>
      <c r="J180" s="1">
        <f t="shared" ca="1" si="56"/>
        <v>1</v>
      </c>
      <c r="K180" s="1">
        <f t="shared" ca="1" si="57"/>
        <v>1.024903755887645</v>
      </c>
      <c r="L180" s="1">
        <f t="shared" ca="1" si="58"/>
        <v>18</v>
      </c>
      <c r="M180" s="1"/>
      <c r="N180" s="1">
        <f t="shared" ca="1" si="59"/>
        <v>121</v>
      </c>
      <c r="O180" s="1">
        <f t="shared" ca="1" si="60"/>
        <v>45</v>
      </c>
      <c r="P180" s="1"/>
      <c r="Q180" s="1">
        <f t="shared" ca="1" si="61"/>
        <v>2.4075383453041104</v>
      </c>
      <c r="R180" s="1">
        <f t="shared" ca="1" si="62"/>
        <v>838</v>
      </c>
      <c r="S180" s="1"/>
      <c r="T180" s="1">
        <f t="shared" ca="1" si="63"/>
        <v>9.5911335942294965E-2</v>
      </c>
      <c r="U180" s="1">
        <f t="shared" ca="1" si="64"/>
        <v>298</v>
      </c>
      <c r="V180" s="1">
        <f t="shared" ca="1" si="65"/>
        <v>52</v>
      </c>
      <c r="W180" s="1"/>
      <c r="X180" s="1">
        <f t="shared" ca="1" si="66"/>
        <v>2.0866092441669402</v>
      </c>
      <c r="Y180" s="1">
        <f t="shared" ca="1" si="67"/>
        <v>0.2359217556775918</v>
      </c>
      <c r="Z180" s="1">
        <f t="shared" ca="1" si="68"/>
        <v>1977</v>
      </c>
      <c r="AB180" s="1">
        <f t="shared" ca="1" si="69"/>
        <v>2.9680242239866591E-2</v>
      </c>
      <c r="AC180" s="1">
        <f t="shared" ca="1" si="70"/>
        <v>455</v>
      </c>
      <c r="AD180" s="1">
        <f t="shared" ca="1" si="71"/>
        <v>2.3289779016197731E-3</v>
      </c>
      <c r="AE180" s="1"/>
      <c r="AF180" s="1">
        <f t="shared" ca="1" si="72"/>
        <v>0.34903117437007047</v>
      </c>
      <c r="AG180" s="1">
        <f t="shared" ca="1" si="73"/>
        <v>970</v>
      </c>
      <c r="AH180" s="1">
        <f t="shared" ca="1" si="74"/>
        <v>5.392495105688731E-3</v>
      </c>
    </row>
    <row r="181" spans="2:34" x14ac:dyDescent="0.25">
      <c r="B181">
        <f t="shared" ca="1" si="50"/>
        <v>668</v>
      </c>
      <c r="C181">
        <f t="shared" ca="1" si="51"/>
        <v>21</v>
      </c>
      <c r="D181">
        <f t="shared" ca="1" si="52"/>
        <v>0.22111114125961354</v>
      </c>
      <c r="F181" s="1">
        <f t="shared" ca="1" si="53"/>
        <v>9</v>
      </c>
      <c r="G181" s="1">
        <f t="shared" ca="1" si="54"/>
        <v>30</v>
      </c>
      <c r="H181" s="1">
        <f t="shared" ca="1" si="55"/>
        <v>10</v>
      </c>
      <c r="I181" s="1"/>
      <c r="J181" s="1">
        <f t="shared" ca="1" si="56"/>
        <v>23</v>
      </c>
      <c r="K181" s="1">
        <f t="shared" ca="1" si="57"/>
        <v>1.884810847425932</v>
      </c>
      <c r="L181" s="1">
        <f t="shared" ca="1" si="58"/>
        <v>7</v>
      </c>
      <c r="M181" s="1"/>
      <c r="N181" s="1">
        <f t="shared" ca="1" si="59"/>
        <v>137</v>
      </c>
      <c r="O181" s="1">
        <f t="shared" ca="1" si="60"/>
        <v>50</v>
      </c>
      <c r="P181" s="1"/>
      <c r="Q181" s="1">
        <f t="shared" ca="1" si="61"/>
        <v>1.1650886292685183</v>
      </c>
      <c r="R181" s="1">
        <f t="shared" ca="1" si="62"/>
        <v>912</v>
      </c>
      <c r="S181" s="1"/>
      <c r="T181" s="1">
        <f t="shared" ca="1" si="63"/>
        <v>0.13716463322002276</v>
      </c>
      <c r="U181" s="1">
        <f t="shared" ca="1" si="64"/>
        <v>312</v>
      </c>
      <c r="V181" s="1">
        <f t="shared" ca="1" si="65"/>
        <v>18</v>
      </c>
      <c r="W181" s="1"/>
      <c r="X181" s="1">
        <f t="shared" ca="1" si="66"/>
        <v>4.0348483009829108</v>
      </c>
      <c r="Y181" s="1">
        <f t="shared" ca="1" si="67"/>
        <v>7.2991387405836786E-2</v>
      </c>
      <c r="Z181" s="1">
        <f t="shared" ca="1" si="68"/>
        <v>268</v>
      </c>
      <c r="AB181" s="1">
        <f t="shared" ca="1" si="69"/>
        <v>0.24968215371084077</v>
      </c>
      <c r="AC181" s="1">
        <f t="shared" ca="1" si="70"/>
        <v>532</v>
      </c>
      <c r="AD181" s="1">
        <f t="shared" ca="1" si="71"/>
        <v>6.5539450879832355E-3</v>
      </c>
      <c r="AE181" s="1"/>
      <c r="AF181" s="1">
        <f t="shared" ca="1" si="72"/>
        <v>0.39219385711475896</v>
      </c>
      <c r="AG181" s="1">
        <f t="shared" ca="1" si="73"/>
        <v>214</v>
      </c>
      <c r="AH181" s="1">
        <f t="shared" ca="1" si="74"/>
        <v>8.2951374269895316E-3</v>
      </c>
    </row>
    <row r="182" spans="2:34" x14ac:dyDescent="0.25">
      <c r="B182">
        <f t="shared" ca="1" si="50"/>
        <v>584</v>
      </c>
      <c r="C182">
        <f t="shared" ca="1" si="51"/>
        <v>49</v>
      </c>
      <c r="D182">
        <f t="shared" ca="1" si="52"/>
        <v>0.24567382486678468</v>
      </c>
      <c r="F182" s="1">
        <f t="shared" ca="1" si="53"/>
        <v>48</v>
      </c>
      <c r="G182" s="1">
        <f t="shared" ca="1" si="54"/>
        <v>24</v>
      </c>
      <c r="H182" s="1">
        <f t="shared" ca="1" si="55"/>
        <v>13</v>
      </c>
      <c r="I182" s="1"/>
      <c r="J182" s="1">
        <f t="shared" ca="1" si="56"/>
        <v>12</v>
      </c>
      <c r="K182" s="1">
        <f t="shared" ca="1" si="57"/>
        <v>1.8994036364170312</v>
      </c>
      <c r="L182" s="1">
        <f t="shared" ca="1" si="58"/>
        <v>21</v>
      </c>
      <c r="M182" s="1"/>
      <c r="N182" s="1">
        <f t="shared" ca="1" si="59"/>
        <v>959</v>
      </c>
      <c r="O182" s="1">
        <f t="shared" ca="1" si="60"/>
        <v>50</v>
      </c>
      <c r="P182" s="1"/>
      <c r="Q182" s="1">
        <f t="shared" ca="1" si="61"/>
        <v>2.8116759328378351</v>
      </c>
      <c r="R182" s="1">
        <f t="shared" ca="1" si="62"/>
        <v>421</v>
      </c>
      <c r="S182" s="1"/>
      <c r="T182" s="1">
        <f t="shared" ca="1" si="63"/>
        <v>0.19514404327849078</v>
      </c>
      <c r="U182" s="1">
        <f t="shared" ca="1" si="64"/>
        <v>114</v>
      </c>
      <c r="V182" s="1">
        <f t="shared" ca="1" si="65"/>
        <v>36</v>
      </c>
      <c r="W182" s="1"/>
      <c r="X182" s="1">
        <f t="shared" ca="1" si="66"/>
        <v>6.4328213577858229</v>
      </c>
      <c r="Y182" s="1">
        <f t="shared" ca="1" si="67"/>
        <v>0.37596115760629645</v>
      </c>
      <c r="Z182" s="1">
        <f t="shared" ca="1" si="68"/>
        <v>1525</v>
      </c>
      <c r="AB182" s="1">
        <f t="shared" ca="1" si="69"/>
        <v>0.6036073412000329</v>
      </c>
      <c r="AC182" s="1">
        <f t="shared" ca="1" si="70"/>
        <v>496</v>
      </c>
      <c r="AD182" s="1">
        <f t="shared" ca="1" si="71"/>
        <v>6.9521816558161227E-3</v>
      </c>
      <c r="AE182" s="1"/>
      <c r="AF182" s="1">
        <f t="shared" ca="1" si="72"/>
        <v>0.34294020579310908</v>
      </c>
      <c r="AG182" s="1">
        <f t="shared" ca="1" si="73"/>
        <v>866</v>
      </c>
      <c r="AH182" s="1">
        <f t="shared" ca="1" si="74"/>
        <v>4.2085776259097891E-3</v>
      </c>
    </row>
    <row r="183" spans="2:34" x14ac:dyDescent="0.25">
      <c r="B183">
        <f t="shared" ca="1" si="50"/>
        <v>786</v>
      </c>
      <c r="C183">
        <f t="shared" ca="1" si="51"/>
        <v>23</v>
      </c>
      <c r="D183">
        <f t="shared" ca="1" si="52"/>
        <v>9.159083432576974E-2</v>
      </c>
      <c r="F183" s="1">
        <f t="shared" ca="1" si="53"/>
        <v>21</v>
      </c>
      <c r="G183" s="1">
        <f t="shared" ca="1" si="54"/>
        <v>2</v>
      </c>
      <c r="H183" s="1">
        <f t="shared" ca="1" si="55"/>
        <v>14</v>
      </c>
      <c r="I183" s="1"/>
      <c r="J183" s="1">
        <f t="shared" ca="1" si="56"/>
        <v>26</v>
      </c>
      <c r="K183" s="1">
        <f t="shared" ca="1" si="57"/>
        <v>1.7396369658093294</v>
      </c>
      <c r="L183" s="1">
        <f t="shared" ca="1" si="58"/>
        <v>19</v>
      </c>
      <c r="M183" s="1"/>
      <c r="N183" s="1">
        <f t="shared" ca="1" si="59"/>
        <v>98</v>
      </c>
      <c r="O183" s="1">
        <f t="shared" ca="1" si="60"/>
        <v>13</v>
      </c>
      <c r="P183" s="1"/>
      <c r="Q183" s="1">
        <f t="shared" ca="1" si="61"/>
        <v>2.3336410708409066</v>
      </c>
      <c r="R183" s="1">
        <f t="shared" ca="1" si="62"/>
        <v>975</v>
      </c>
      <c r="S183" s="1"/>
      <c r="T183" s="1">
        <f t="shared" ca="1" si="63"/>
        <v>5.899596479782504E-2</v>
      </c>
      <c r="U183" s="1">
        <f t="shared" ca="1" si="64"/>
        <v>428</v>
      </c>
      <c r="V183" s="1">
        <f t="shared" ca="1" si="65"/>
        <v>12</v>
      </c>
      <c r="W183" s="1"/>
      <c r="X183" s="1">
        <f t="shared" ca="1" si="66"/>
        <v>7.3777023088633484</v>
      </c>
      <c r="Y183" s="1">
        <f t="shared" ca="1" si="67"/>
        <v>0.93608149159791276</v>
      </c>
      <c r="Z183" s="1">
        <f t="shared" ca="1" si="68"/>
        <v>1958</v>
      </c>
      <c r="AB183" s="1">
        <f t="shared" ca="1" si="69"/>
        <v>0.50582064301447072</v>
      </c>
      <c r="AC183" s="1">
        <f t="shared" ca="1" si="70"/>
        <v>553</v>
      </c>
      <c r="AD183" s="1">
        <f t="shared" ca="1" si="71"/>
        <v>4.0006239187853074E-3</v>
      </c>
      <c r="AE183" s="1"/>
      <c r="AF183" s="1">
        <f t="shared" ca="1" si="72"/>
        <v>0.73717515537747169</v>
      </c>
      <c r="AG183" s="1">
        <f t="shared" ca="1" si="73"/>
        <v>530</v>
      </c>
      <c r="AH183" s="1">
        <f t="shared" ca="1" si="74"/>
        <v>7.298321772892572E-3</v>
      </c>
    </row>
    <row r="184" spans="2:34" x14ac:dyDescent="0.25">
      <c r="B184">
        <f t="shared" ca="1" si="50"/>
        <v>233</v>
      </c>
      <c r="C184">
        <f t="shared" ca="1" si="51"/>
        <v>6</v>
      </c>
      <c r="D184">
        <f t="shared" ca="1" si="52"/>
        <v>0.17661071592505642</v>
      </c>
      <c r="F184" s="1">
        <f t="shared" ca="1" si="53"/>
        <v>23</v>
      </c>
      <c r="G184" s="1">
        <f t="shared" ca="1" si="54"/>
        <v>17</v>
      </c>
      <c r="H184" s="1">
        <f t="shared" ca="1" si="55"/>
        <v>2</v>
      </c>
      <c r="I184" s="1"/>
      <c r="J184" s="1">
        <f t="shared" ca="1" si="56"/>
        <v>9</v>
      </c>
      <c r="K184" s="1">
        <f t="shared" ca="1" si="57"/>
        <v>1.0884881212545283</v>
      </c>
      <c r="L184" s="1">
        <f t="shared" ca="1" si="58"/>
        <v>16</v>
      </c>
      <c r="M184" s="1"/>
      <c r="N184" s="1">
        <f t="shared" ca="1" si="59"/>
        <v>380</v>
      </c>
      <c r="O184" s="1">
        <f t="shared" ca="1" si="60"/>
        <v>51</v>
      </c>
      <c r="P184" s="1"/>
      <c r="Q184" s="1">
        <f t="shared" ca="1" si="61"/>
        <v>1.4737761615418594</v>
      </c>
      <c r="R184" s="1">
        <f t="shared" ca="1" si="62"/>
        <v>1159</v>
      </c>
      <c r="S184" s="1"/>
      <c r="T184" s="1">
        <f t="shared" ca="1" si="63"/>
        <v>4.6569107630854638E-2</v>
      </c>
      <c r="U184" s="1">
        <f t="shared" ca="1" si="64"/>
        <v>435</v>
      </c>
      <c r="V184" s="1">
        <f t="shared" ca="1" si="65"/>
        <v>23</v>
      </c>
      <c r="W184" s="1"/>
      <c r="X184" s="1">
        <f t="shared" ca="1" si="66"/>
        <v>2.2205379221047137</v>
      </c>
      <c r="Y184" s="1">
        <f t="shared" ca="1" si="67"/>
        <v>0.29914981976567973</v>
      </c>
      <c r="Z184" s="1">
        <f t="shared" ca="1" si="68"/>
        <v>200</v>
      </c>
      <c r="AB184" s="1">
        <f t="shared" ca="1" si="69"/>
        <v>0.63210616488501425</v>
      </c>
      <c r="AC184" s="1">
        <f t="shared" ca="1" si="70"/>
        <v>310</v>
      </c>
      <c r="AD184" s="1">
        <f t="shared" ca="1" si="71"/>
        <v>1.7656770425199507E-3</v>
      </c>
      <c r="AE184" s="1"/>
      <c r="AF184" s="1">
        <f t="shared" ca="1" si="72"/>
        <v>0.59574643811584471</v>
      </c>
      <c r="AG184" s="1">
        <f t="shared" ca="1" si="73"/>
        <v>690</v>
      </c>
      <c r="AH184" s="1">
        <f t="shared" ca="1" si="74"/>
        <v>4.0864875205848285E-3</v>
      </c>
    </row>
    <row r="185" spans="2:34" x14ac:dyDescent="0.25">
      <c r="B185">
        <f t="shared" ca="1" si="50"/>
        <v>703</v>
      </c>
      <c r="C185">
        <f t="shared" ca="1" si="51"/>
        <v>38</v>
      </c>
      <c r="D185">
        <f t="shared" ca="1" si="52"/>
        <v>0.12301206439969176</v>
      </c>
      <c r="F185" s="1">
        <f t="shared" ca="1" si="53"/>
        <v>14</v>
      </c>
      <c r="G185" s="1">
        <f t="shared" ca="1" si="54"/>
        <v>26</v>
      </c>
      <c r="H185" s="1">
        <f t="shared" ca="1" si="55"/>
        <v>11</v>
      </c>
      <c r="I185" s="1"/>
      <c r="J185" s="1">
        <f t="shared" ca="1" si="56"/>
        <v>18</v>
      </c>
      <c r="K185" s="1">
        <f t="shared" ca="1" si="57"/>
        <v>1.5941763342393509</v>
      </c>
      <c r="L185" s="1">
        <f t="shared" ca="1" si="58"/>
        <v>34</v>
      </c>
      <c r="M185" s="1"/>
      <c r="N185" s="1">
        <f t="shared" ca="1" si="59"/>
        <v>198</v>
      </c>
      <c r="O185" s="1">
        <f t="shared" ca="1" si="60"/>
        <v>8</v>
      </c>
      <c r="P185" s="1"/>
      <c r="Q185" s="1">
        <f t="shared" ca="1" si="61"/>
        <v>3.9611725484917408</v>
      </c>
      <c r="R185" s="1">
        <f t="shared" ca="1" si="62"/>
        <v>343</v>
      </c>
      <c r="S185" s="1"/>
      <c r="T185" s="1">
        <f t="shared" ca="1" si="63"/>
        <v>0.12776344165997638</v>
      </c>
      <c r="U185" s="1">
        <f t="shared" ca="1" si="64"/>
        <v>431</v>
      </c>
      <c r="V185" s="1">
        <f t="shared" ca="1" si="65"/>
        <v>35</v>
      </c>
      <c r="W185" s="1"/>
      <c r="X185" s="1">
        <f t="shared" ca="1" si="66"/>
        <v>0.43515236340110186</v>
      </c>
      <c r="Y185" s="1">
        <f t="shared" ca="1" si="67"/>
        <v>0.57067719354924573</v>
      </c>
      <c r="Z185" s="1">
        <f t="shared" ca="1" si="68"/>
        <v>1507</v>
      </c>
      <c r="AB185" s="1">
        <f t="shared" ca="1" si="69"/>
        <v>0.44314539774227923</v>
      </c>
      <c r="AC185" s="1">
        <f t="shared" ca="1" si="70"/>
        <v>639</v>
      </c>
      <c r="AD185" s="1">
        <f t="shared" ca="1" si="71"/>
        <v>1.3193287996925471E-4</v>
      </c>
      <c r="AE185" s="1"/>
      <c r="AF185" s="1">
        <f t="shared" ca="1" si="72"/>
        <v>0.37590674924429657</v>
      </c>
      <c r="AG185" s="1">
        <f t="shared" ca="1" si="73"/>
        <v>797</v>
      </c>
      <c r="AH185" s="1">
        <f t="shared" ca="1" si="74"/>
        <v>5.0675091243104252E-3</v>
      </c>
    </row>
    <row r="186" spans="2:34" x14ac:dyDescent="0.25">
      <c r="B186">
        <f t="shared" ca="1" si="50"/>
        <v>185</v>
      </c>
      <c r="C186">
        <f t="shared" ca="1" si="51"/>
        <v>32</v>
      </c>
      <c r="D186">
        <f t="shared" ca="1" si="52"/>
        <v>4.5770408316032699E-2</v>
      </c>
      <c r="F186" s="1">
        <f t="shared" ca="1" si="53"/>
        <v>20</v>
      </c>
      <c r="G186" s="1">
        <f t="shared" ca="1" si="54"/>
        <v>30</v>
      </c>
      <c r="H186" s="1">
        <f t="shared" ca="1" si="55"/>
        <v>12</v>
      </c>
      <c r="I186" s="1"/>
      <c r="J186" s="1">
        <f t="shared" ca="1" si="56"/>
        <v>20</v>
      </c>
      <c r="K186" s="1">
        <f t="shared" ca="1" si="57"/>
        <v>2.1646595318824806</v>
      </c>
      <c r="L186" s="1">
        <f t="shared" ca="1" si="58"/>
        <v>23</v>
      </c>
      <c r="M186" s="1"/>
      <c r="N186" s="1">
        <f t="shared" ca="1" si="59"/>
        <v>492</v>
      </c>
      <c r="O186" s="1">
        <f t="shared" ca="1" si="60"/>
        <v>11</v>
      </c>
      <c r="P186" s="1"/>
      <c r="Q186" s="1">
        <f t="shared" ca="1" si="61"/>
        <v>1.8465373671680794</v>
      </c>
      <c r="R186" s="1">
        <f t="shared" ca="1" si="62"/>
        <v>1121</v>
      </c>
      <c r="S186" s="1"/>
      <c r="T186" s="1">
        <f t="shared" ca="1" si="63"/>
        <v>0.11386033372908594</v>
      </c>
      <c r="U186" s="1">
        <f t="shared" ca="1" si="64"/>
        <v>142</v>
      </c>
      <c r="V186" s="1">
        <f t="shared" ca="1" si="65"/>
        <v>34</v>
      </c>
      <c r="W186" s="1"/>
      <c r="X186" s="1">
        <f t="shared" ca="1" si="66"/>
        <v>3.5312970741895566</v>
      </c>
      <c r="Y186" s="1">
        <f t="shared" ca="1" si="67"/>
        <v>0.86394177664754601</v>
      </c>
      <c r="Z186" s="1">
        <f t="shared" ca="1" si="68"/>
        <v>186</v>
      </c>
      <c r="AB186" s="1">
        <f t="shared" ca="1" si="69"/>
        <v>0.61700218131167073</v>
      </c>
      <c r="AC186" s="1">
        <f t="shared" ca="1" si="70"/>
        <v>302</v>
      </c>
      <c r="AD186" s="1">
        <f t="shared" ca="1" si="71"/>
        <v>2.3094385379047338E-3</v>
      </c>
      <c r="AE186" s="1"/>
      <c r="AF186" s="1">
        <f t="shared" ca="1" si="72"/>
        <v>0.78482001764455467</v>
      </c>
      <c r="AG186" s="1">
        <f t="shared" ca="1" si="73"/>
        <v>990</v>
      </c>
      <c r="AH186" s="1">
        <f t="shared" ca="1" si="74"/>
        <v>5.8076480576394153E-3</v>
      </c>
    </row>
    <row r="187" spans="2:34" x14ac:dyDescent="0.25">
      <c r="B187">
        <f t="shared" ca="1" si="50"/>
        <v>279</v>
      </c>
      <c r="C187">
        <f t="shared" ca="1" si="51"/>
        <v>29</v>
      </c>
      <c r="D187">
        <f t="shared" ca="1" si="52"/>
        <v>0.21682614241122861</v>
      </c>
      <c r="F187" s="1">
        <f t="shared" ca="1" si="53"/>
        <v>3</v>
      </c>
      <c r="G187" s="1">
        <f t="shared" ca="1" si="54"/>
        <v>16</v>
      </c>
      <c r="H187" s="1">
        <f t="shared" ca="1" si="55"/>
        <v>2</v>
      </c>
      <c r="I187" s="1"/>
      <c r="J187" s="1">
        <f t="shared" ca="1" si="56"/>
        <v>31</v>
      </c>
      <c r="K187" s="1">
        <f t="shared" ca="1" si="57"/>
        <v>2.9689670768368872</v>
      </c>
      <c r="L187" s="1">
        <f t="shared" ca="1" si="58"/>
        <v>20</v>
      </c>
      <c r="M187" s="1"/>
      <c r="N187" s="1">
        <f t="shared" ca="1" si="59"/>
        <v>381</v>
      </c>
      <c r="O187" s="1">
        <f t="shared" ca="1" si="60"/>
        <v>44</v>
      </c>
      <c r="P187" s="1"/>
      <c r="Q187" s="1">
        <f t="shared" ca="1" si="61"/>
        <v>0.84451486659579555</v>
      </c>
      <c r="R187" s="1">
        <f t="shared" ca="1" si="62"/>
        <v>878</v>
      </c>
      <c r="S187" s="1"/>
      <c r="T187" s="1">
        <f t="shared" ca="1" si="63"/>
        <v>1.095332074825923E-2</v>
      </c>
      <c r="U187" s="1">
        <f t="shared" ca="1" si="64"/>
        <v>260</v>
      </c>
      <c r="V187" s="1">
        <f t="shared" ca="1" si="65"/>
        <v>6</v>
      </c>
      <c r="W187" s="1"/>
      <c r="X187" s="1">
        <f t="shared" ca="1" si="66"/>
        <v>7.5147385347448576</v>
      </c>
      <c r="Y187" s="1">
        <f t="shared" ca="1" si="67"/>
        <v>0.5348300709046625</v>
      </c>
      <c r="Z187" s="1">
        <f t="shared" ca="1" si="68"/>
        <v>203</v>
      </c>
      <c r="AB187" s="1">
        <f t="shared" ca="1" si="69"/>
        <v>0.10620332427058776</v>
      </c>
      <c r="AC187" s="1">
        <f t="shared" ca="1" si="70"/>
        <v>611</v>
      </c>
      <c r="AD187" s="1">
        <f t="shared" ca="1" si="71"/>
        <v>1.9232643230726075E-4</v>
      </c>
      <c r="AE187" s="1"/>
      <c r="AF187" s="1">
        <f t="shared" ca="1" si="72"/>
        <v>0.63406180130640899</v>
      </c>
      <c r="AG187" s="1">
        <f t="shared" ca="1" si="73"/>
        <v>749</v>
      </c>
      <c r="AH187" s="1">
        <f t="shared" ca="1" si="74"/>
        <v>5.1969258793619676E-3</v>
      </c>
    </row>
    <row r="188" spans="2:34" x14ac:dyDescent="0.25">
      <c r="B188">
        <f t="shared" ca="1" si="50"/>
        <v>933</v>
      </c>
      <c r="C188">
        <f t="shared" ca="1" si="51"/>
        <v>34</v>
      </c>
      <c r="D188">
        <f t="shared" ca="1" si="52"/>
        <v>0.28914160986395865</v>
      </c>
      <c r="F188" s="1">
        <f t="shared" ca="1" si="53"/>
        <v>31</v>
      </c>
      <c r="G188" s="1">
        <f t="shared" ca="1" si="54"/>
        <v>27</v>
      </c>
      <c r="H188" s="1">
        <f t="shared" ca="1" si="55"/>
        <v>10</v>
      </c>
      <c r="I188" s="1"/>
      <c r="J188" s="1">
        <f t="shared" ca="1" si="56"/>
        <v>9</v>
      </c>
      <c r="K188" s="1">
        <f t="shared" ca="1" si="57"/>
        <v>2.4519969633142602</v>
      </c>
      <c r="L188" s="1">
        <f t="shared" ca="1" si="58"/>
        <v>31</v>
      </c>
      <c r="M188" s="1"/>
      <c r="N188" s="1">
        <f t="shared" ca="1" si="59"/>
        <v>779</v>
      </c>
      <c r="O188" s="1">
        <f t="shared" ca="1" si="60"/>
        <v>30</v>
      </c>
      <c r="P188" s="1"/>
      <c r="Q188" s="1">
        <f t="shared" ca="1" si="61"/>
        <v>3.5436737244646737</v>
      </c>
      <c r="R188" s="1">
        <f t="shared" ca="1" si="62"/>
        <v>871</v>
      </c>
      <c r="S188" s="1"/>
      <c r="T188" s="1">
        <f t="shared" ca="1" si="63"/>
        <v>0.16092171616686793</v>
      </c>
      <c r="U188" s="1">
        <f t="shared" ca="1" si="64"/>
        <v>124</v>
      </c>
      <c r="V188" s="1">
        <f t="shared" ca="1" si="65"/>
        <v>33</v>
      </c>
      <c r="W188" s="1"/>
      <c r="X188" s="1">
        <f t="shared" ca="1" si="66"/>
        <v>2.1470525837164534</v>
      </c>
      <c r="Y188" s="1">
        <f t="shared" ca="1" si="67"/>
        <v>0.51013955987428816</v>
      </c>
      <c r="Z188" s="1">
        <f t="shared" ca="1" si="68"/>
        <v>775</v>
      </c>
      <c r="AB188" s="1">
        <f t="shared" ca="1" si="69"/>
        <v>0.49967649188210872</v>
      </c>
      <c r="AC188" s="1">
        <f t="shared" ca="1" si="70"/>
        <v>440</v>
      </c>
      <c r="AD188" s="1">
        <f t="shared" ca="1" si="71"/>
        <v>7.1661158601463255E-3</v>
      </c>
      <c r="AE188" s="1"/>
      <c r="AF188" s="1">
        <f t="shared" ca="1" si="72"/>
        <v>0.45862101989512793</v>
      </c>
      <c r="AG188" s="1">
        <f t="shared" ca="1" si="73"/>
        <v>973</v>
      </c>
      <c r="AH188" s="1">
        <f t="shared" ca="1" si="74"/>
        <v>9.5081145292660266E-3</v>
      </c>
    </row>
    <row r="189" spans="2:34" x14ac:dyDescent="0.25">
      <c r="B189">
        <f t="shared" ca="1" si="50"/>
        <v>828</v>
      </c>
      <c r="C189">
        <f t="shared" ca="1" si="51"/>
        <v>20</v>
      </c>
      <c r="D189">
        <f t="shared" ca="1" si="52"/>
        <v>0.16876940415700967</v>
      </c>
      <c r="F189" s="1">
        <f t="shared" ca="1" si="53"/>
        <v>16</v>
      </c>
      <c r="G189" s="1">
        <f t="shared" ca="1" si="54"/>
        <v>5</v>
      </c>
      <c r="H189" s="1">
        <f t="shared" ca="1" si="55"/>
        <v>1</v>
      </c>
      <c r="I189" s="1"/>
      <c r="J189" s="1">
        <f t="shared" ca="1" si="56"/>
        <v>6</v>
      </c>
      <c r="K189" s="1">
        <f t="shared" ca="1" si="57"/>
        <v>2.8296284338365023</v>
      </c>
      <c r="L189" s="1">
        <f t="shared" ca="1" si="58"/>
        <v>31</v>
      </c>
      <c r="M189" s="1"/>
      <c r="N189" s="1">
        <f t="shared" ca="1" si="59"/>
        <v>438</v>
      </c>
      <c r="O189" s="1">
        <f t="shared" ca="1" si="60"/>
        <v>15</v>
      </c>
      <c r="P189" s="1"/>
      <c r="Q189" s="1">
        <f t="shared" ca="1" si="61"/>
        <v>1.8071342094226002</v>
      </c>
      <c r="R189" s="1">
        <f t="shared" ca="1" si="62"/>
        <v>1006</v>
      </c>
      <c r="S189" s="1"/>
      <c r="T189" s="1">
        <f t="shared" ca="1" si="63"/>
        <v>0.18730489002007572</v>
      </c>
      <c r="U189" s="1">
        <f t="shared" ca="1" si="64"/>
        <v>107</v>
      </c>
      <c r="V189" s="1">
        <f t="shared" ca="1" si="65"/>
        <v>14</v>
      </c>
      <c r="W189" s="1"/>
      <c r="X189" s="1">
        <f t="shared" ca="1" si="66"/>
        <v>0.12864501967336212</v>
      </c>
      <c r="Y189" s="1">
        <f t="shared" ca="1" si="67"/>
        <v>0.46833940395803653</v>
      </c>
      <c r="Z189" s="1">
        <f t="shared" ca="1" si="68"/>
        <v>1827</v>
      </c>
      <c r="AB189" s="1">
        <f t="shared" ca="1" si="69"/>
        <v>0.69992112851449895</v>
      </c>
      <c r="AC189" s="1">
        <f t="shared" ca="1" si="70"/>
        <v>814</v>
      </c>
      <c r="AD189" s="1">
        <f t="shared" ca="1" si="71"/>
        <v>4.7745053077675502E-3</v>
      </c>
      <c r="AE189" s="1"/>
      <c r="AF189" s="1">
        <f t="shared" ca="1" si="72"/>
        <v>0.64405354664294445</v>
      </c>
      <c r="AG189" s="1">
        <f t="shared" ca="1" si="73"/>
        <v>700</v>
      </c>
      <c r="AH189" s="1">
        <f t="shared" ca="1" si="74"/>
        <v>3.067834408941665E-3</v>
      </c>
    </row>
    <row r="190" spans="2:34" x14ac:dyDescent="0.25">
      <c r="B190">
        <f t="shared" ca="1" si="50"/>
        <v>395</v>
      </c>
      <c r="C190">
        <f t="shared" ca="1" si="51"/>
        <v>16</v>
      </c>
      <c r="D190">
        <f t="shared" ca="1" si="52"/>
        <v>7.6315997161949353E-2</v>
      </c>
      <c r="F190" s="1">
        <f t="shared" ca="1" si="53"/>
        <v>4</v>
      </c>
      <c r="G190" s="1">
        <f t="shared" ca="1" si="54"/>
        <v>23</v>
      </c>
      <c r="H190" s="1">
        <f t="shared" ca="1" si="55"/>
        <v>5</v>
      </c>
      <c r="I190" s="1"/>
      <c r="J190" s="1">
        <f t="shared" ca="1" si="56"/>
        <v>5</v>
      </c>
      <c r="K190" s="1">
        <f t="shared" ca="1" si="57"/>
        <v>2.3638500104324773</v>
      </c>
      <c r="L190" s="1">
        <f t="shared" ca="1" si="58"/>
        <v>25</v>
      </c>
      <c r="M190" s="1"/>
      <c r="N190" s="1">
        <f t="shared" ca="1" si="59"/>
        <v>576</v>
      </c>
      <c r="O190" s="1">
        <f t="shared" ca="1" si="60"/>
        <v>8</v>
      </c>
      <c r="P190" s="1"/>
      <c r="Q190" s="1">
        <f t="shared" ca="1" si="61"/>
        <v>1.263761534152166</v>
      </c>
      <c r="R190" s="1">
        <f t="shared" ca="1" si="62"/>
        <v>1079</v>
      </c>
      <c r="S190" s="1"/>
      <c r="T190" s="1">
        <f t="shared" ca="1" si="63"/>
        <v>6.3631670098965101E-2</v>
      </c>
      <c r="U190" s="1">
        <f t="shared" ca="1" si="64"/>
        <v>246</v>
      </c>
      <c r="V190" s="1">
        <f t="shared" ca="1" si="65"/>
        <v>20</v>
      </c>
      <c r="W190" s="1"/>
      <c r="X190" s="1">
        <f t="shared" ca="1" si="66"/>
        <v>3.8736962546218159</v>
      </c>
      <c r="Y190" s="1">
        <f t="shared" ca="1" si="67"/>
        <v>0.94904337670798555</v>
      </c>
      <c r="Z190" s="1">
        <f t="shared" ca="1" si="68"/>
        <v>1345</v>
      </c>
      <c r="AB190" s="1">
        <f t="shared" ca="1" si="69"/>
        <v>0.66162263680500755</v>
      </c>
      <c r="AC190" s="1">
        <f t="shared" ca="1" si="70"/>
        <v>757</v>
      </c>
      <c r="AD190" s="1">
        <f t="shared" ca="1" si="71"/>
        <v>2.99430356281302E-3</v>
      </c>
      <c r="AE190" s="1"/>
      <c r="AF190" s="1">
        <f t="shared" ca="1" si="72"/>
        <v>0.53218649353411507</v>
      </c>
      <c r="AG190" s="1">
        <f t="shared" ca="1" si="73"/>
        <v>483</v>
      </c>
      <c r="AH190" s="1">
        <f t="shared" ca="1" si="74"/>
        <v>5.3810752561792592E-3</v>
      </c>
    </row>
    <row r="191" spans="2:34" x14ac:dyDescent="0.25">
      <c r="B191">
        <f t="shared" ca="1" si="50"/>
        <v>74</v>
      </c>
      <c r="C191">
        <f t="shared" ca="1" si="51"/>
        <v>27</v>
      </c>
      <c r="D191">
        <f t="shared" ca="1" si="52"/>
        <v>0.18294916334408973</v>
      </c>
      <c r="F191" s="1">
        <f t="shared" ca="1" si="53"/>
        <v>11</v>
      </c>
      <c r="G191" s="1">
        <f t="shared" ca="1" si="54"/>
        <v>14</v>
      </c>
      <c r="H191" s="1">
        <f t="shared" ca="1" si="55"/>
        <v>6</v>
      </c>
      <c r="I191" s="1"/>
      <c r="J191" s="1">
        <f t="shared" ca="1" si="56"/>
        <v>21</v>
      </c>
      <c r="K191" s="1">
        <f t="shared" ca="1" si="57"/>
        <v>1.9254113050384341</v>
      </c>
      <c r="L191" s="1">
        <f t="shared" ca="1" si="58"/>
        <v>14</v>
      </c>
      <c r="M191" s="1"/>
      <c r="N191" s="1">
        <f t="shared" ca="1" si="59"/>
        <v>369</v>
      </c>
      <c r="O191" s="1">
        <f t="shared" ca="1" si="60"/>
        <v>41</v>
      </c>
      <c r="P191" s="1"/>
      <c r="Q191" s="1">
        <f t="shared" ca="1" si="61"/>
        <v>1.5026963684421266</v>
      </c>
      <c r="R191" s="1">
        <f t="shared" ca="1" si="62"/>
        <v>762</v>
      </c>
      <c r="S191" s="1"/>
      <c r="T191" s="1">
        <f t="shared" ca="1" si="63"/>
        <v>1.1940904098174563E-2</v>
      </c>
      <c r="U191" s="1">
        <f t="shared" ca="1" si="64"/>
        <v>169</v>
      </c>
      <c r="V191" s="1">
        <f t="shared" ca="1" si="65"/>
        <v>46</v>
      </c>
      <c r="W191" s="1"/>
      <c r="X191" s="1">
        <f t="shared" ca="1" si="66"/>
        <v>7.9455032471465046</v>
      </c>
      <c r="Y191" s="1">
        <f t="shared" ca="1" si="67"/>
        <v>0.89503948096584551</v>
      </c>
      <c r="Z191" s="1">
        <f t="shared" ca="1" si="68"/>
        <v>387</v>
      </c>
      <c r="AB191" s="1">
        <f t="shared" ca="1" si="69"/>
        <v>0.99988419486475699</v>
      </c>
      <c r="AC191" s="1">
        <f t="shared" ca="1" si="70"/>
        <v>673</v>
      </c>
      <c r="AD191" s="1">
        <f t="shared" ca="1" si="71"/>
        <v>2.5733575213020272E-3</v>
      </c>
      <c r="AE191" s="1"/>
      <c r="AF191" s="1">
        <f t="shared" ca="1" si="72"/>
        <v>0.27323840300940239</v>
      </c>
      <c r="AG191" s="1">
        <f t="shared" ca="1" si="73"/>
        <v>691</v>
      </c>
      <c r="AH191" s="1">
        <f t="shared" ca="1" si="74"/>
        <v>6.235495926981842E-4</v>
      </c>
    </row>
    <row r="192" spans="2:34" x14ac:dyDescent="0.25">
      <c r="B192">
        <f t="shared" ca="1" si="50"/>
        <v>218</v>
      </c>
      <c r="C192">
        <f t="shared" ca="1" si="51"/>
        <v>34</v>
      </c>
      <c r="D192">
        <f t="shared" ca="1" si="52"/>
        <v>0.12412196922898439</v>
      </c>
      <c r="F192" s="1">
        <f t="shared" ca="1" si="53"/>
        <v>35</v>
      </c>
      <c r="G192" s="1">
        <f t="shared" ca="1" si="54"/>
        <v>20</v>
      </c>
      <c r="H192" s="1">
        <f t="shared" ca="1" si="55"/>
        <v>8</v>
      </c>
      <c r="I192" s="1"/>
      <c r="J192" s="1">
        <f t="shared" ca="1" si="56"/>
        <v>25</v>
      </c>
      <c r="K192" s="1">
        <f t="shared" ca="1" si="57"/>
        <v>2.9566652981951522</v>
      </c>
      <c r="L192" s="1">
        <f t="shared" ca="1" si="58"/>
        <v>13</v>
      </c>
      <c r="M192" s="1"/>
      <c r="N192" s="1">
        <f t="shared" ca="1" si="59"/>
        <v>803</v>
      </c>
      <c r="O192" s="1">
        <f t="shared" ca="1" si="60"/>
        <v>51</v>
      </c>
      <c r="P192" s="1"/>
      <c r="Q192" s="1">
        <f t="shared" ca="1" si="61"/>
        <v>1.1696143296157571</v>
      </c>
      <c r="R192" s="1">
        <f t="shared" ca="1" si="62"/>
        <v>891</v>
      </c>
      <c r="S192" s="1"/>
      <c r="T192" s="1">
        <f t="shared" ca="1" si="63"/>
        <v>9.0993766043709221E-2</v>
      </c>
      <c r="U192" s="1">
        <f t="shared" ca="1" si="64"/>
        <v>92</v>
      </c>
      <c r="V192" s="1">
        <f t="shared" ca="1" si="65"/>
        <v>44</v>
      </c>
      <c r="W192" s="1"/>
      <c r="X192" s="1">
        <f t="shared" ca="1" si="66"/>
        <v>0.65829618380203792</v>
      </c>
      <c r="Y192" s="1">
        <f t="shared" ca="1" si="67"/>
        <v>0.6260858567745653</v>
      </c>
      <c r="Z192" s="1">
        <f t="shared" ca="1" si="68"/>
        <v>941</v>
      </c>
      <c r="AB192" s="1">
        <f t="shared" ca="1" si="69"/>
        <v>0.1802440327200745</v>
      </c>
      <c r="AC192" s="1">
        <f t="shared" ca="1" si="70"/>
        <v>228</v>
      </c>
      <c r="AD192" s="1">
        <f t="shared" ca="1" si="71"/>
        <v>7.6486002320139516E-3</v>
      </c>
      <c r="AE192" s="1"/>
      <c r="AF192" s="1">
        <f t="shared" ca="1" si="72"/>
        <v>0.33923002878717068</v>
      </c>
      <c r="AG192" s="1">
        <f t="shared" ca="1" si="73"/>
        <v>172</v>
      </c>
      <c r="AH192" s="1">
        <f t="shared" ca="1" si="74"/>
        <v>7.2474019258670795E-4</v>
      </c>
    </row>
    <row r="193" spans="2:34" x14ac:dyDescent="0.25">
      <c r="B193">
        <f t="shared" ca="1" si="50"/>
        <v>192</v>
      </c>
      <c r="C193">
        <f t="shared" ca="1" si="51"/>
        <v>4</v>
      </c>
      <c r="D193">
        <f t="shared" ca="1" si="52"/>
        <v>0.22574838647256198</v>
      </c>
      <c r="F193" s="1">
        <f t="shared" ca="1" si="53"/>
        <v>5</v>
      </c>
      <c r="G193" s="1">
        <f t="shared" ca="1" si="54"/>
        <v>9</v>
      </c>
      <c r="H193" s="1">
        <f t="shared" ca="1" si="55"/>
        <v>6</v>
      </c>
      <c r="I193" s="1"/>
      <c r="J193" s="1">
        <f t="shared" ca="1" si="56"/>
        <v>34</v>
      </c>
      <c r="K193" s="1">
        <f t="shared" ca="1" si="57"/>
        <v>2.2686759944302572</v>
      </c>
      <c r="L193" s="1">
        <f t="shared" ca="1" si="58"/>
        <v>15</v>
      </c>
      <c r="M193" s="1"/>
      <c r="N193" s="1">
        <f t="shared" ca="1" si="59"/>
        <v>451</v>
      </c>
      <c r="O193" s="1">
        <f t="shared" ca="1" si="60"/>
        <v>24</v>
      </c>
      <c r="P193" s="1"/>
      <c r="Q193" s="1">
        <f t="shared" ca="1" si="61"/>
        <v>0.91778787952436158</v>
      </c>
      <c r="R193" s="1">
        <f t="shared" ca="1" si="62"/>
        <v>451</v>
      </c>
      <c r="S193" s="1"/>
      <c r="T193" s="1">
        <f t="shared" ca="1" si="63"/>
        <v>0.13854004539147388</v>
      </c>
      <c r="U193" s="1">
        <f t="shared" ca="1" si="64"/>
        <v>436</v>
      </c>
      <c r="V193" s="1">
        <f t="shared" ca="1" si="65"/>
        <v>37</v>
      </c>
      <c r="W193" s="1"/>
      <c r="X193" s="1">
        <f t="shared" ca="1" si="66"/>
        <v>1.4975934168412965</v>
      </c>
      <c r="Y193" s="1">
        <f t="shared" ca="1" si="67"/>
        <v>0.80204753507363413</v>
      </c>
      <c r="Z193" s="1">
        <f t="shared" ca="1" si="68"/>
        <v>371</v>
      </c>
      <c r="AB193" s="1">
        <f t="shared" ca="1" si="69"/>
        <v>0.69191618058982485</v>
      </c>
      <c r="AC193" s="1">
        <f t="shared" ca="1" si="70"/>
        <v>489</v>
      </c>
      <c r="AD193" s="1">
        <f t="shared" ca="1" si="71"/>
        <v>9.369246936468718E-3</v>
      </c>
      <c r="AE193" s="1"/>
      <c r="AF193" s="1">
        <f t="shared" ca="1" si="72"/>
        <v>0.35615232679982256</v>
      </c>
      <c r="AG193" s="1">
        <f t="shared" ca="1" si="73"/>
        <v>828</v>
      </c>
      <c r="AH193" s="1">
        <f t="shared" ca="1" si="74"/>
        <v>2.4424341770193036E-3</v>
      </c>
    </row>
    <row r="194" spans="2:34" x14ac:dyDescent="0.25">
      <c r="B194">
        <f t="shared" ca="1" si="50"/>
        <v>938</v>
      </c>
      <c r="C194">
        <f t="shared" ca="1" si="51"/>
        <v>24</v>
      </c>
      <c r="D194">
        <f t="shared" ca="1" si="52"/>
        <v>0.29710521474364243</v>
      </c>
      <c r="F194" s="1">
        <f t="shared" ca="1" si="53"/>
        <v>48</v>
      </c>
      <c r="G194" s="1">
        <f t="shared" ca="1" si="54"/>
        <v>3</v>
      </c>
      <c r="H194" s="1">
        <f t="shared" ca="1" si="55"/>
        <v>6</v>
      </c>
      <c r="I194" s="1"/>
      <c r="J194" s="1">
        <f t="shared" ca="1" si="56"/>
        <v>38</v>
      </c>
      <c r="K194" s="1">
        <f t="shared" ca="1" si="57"/>
        <v>2.411582520565883</v>
      </c>
      <c r="L194" s="1">
        <f t="shared" ca="1" si="58"/>
        <v>35</v>
      </c>
      <c r="M194" s="1"/>
      <c r="N194" s="1">
        <f t="shared" ca="1" si="59"/>
        <v>343</v>
      </c>
      <c r="O194" s="1">
        <f t="shared" ca="1" si="60"/>
        <v>42</v>
      </c>
      <c r="P194" s="1"/>
      <c r="Q194" s="1">
        <f t="shared" ca="1" si="61"/>
        <v>0.49259547893215699</v>
      </c>
      <c r="R194" s="1">
        <f t="shared" ca="1" si="62"/>
        <v>1163</v>
      </c>
      <c r="S194" s="1"/>
      <c r="T194" s="1">
        <f t="shared" ca="1" si="63"/>
        <v>4.0652747366694317E-2</v>
      </c>
      <c r="U194" s="1">
        <f t="shared" ca="1" si="64"/>
        <v>106</v>
      </c>
      <c r="V194" s="1">
        <f t="shared" ca="1" si="65"/>
        <v>12</v>
      </c>
      <c r="W194" s="1"/>
      <c r="X194" s="1">
        <f t="shared" ca="1" si="66"/>
        <v>3.8982824987635949</v>
      </c>
      <c r="Y194" s="1">
        <f t="shared" ca="1" si="67"/>
        <v>0.68915276783246504</v>
      </c>
      <c r="Z194" s="1">
        <f t="shared" ca="1" si="68"/>
        <v>1556</v>
      </c>
      <c r="AB194" s="1">
        <f t="shared" ca="1" si="69"/>
        <v>0.38845502854145764</v>
      </c>
      <c r="AC194" s="1">
        <f t="shared" ca="1" si="70"/>
        <v>575</v>
      </c>
      <c r="AD194" s="1">
        <f t="shared" ca="1" si="71"/>
        <v>5.2568138165613888E-3</v>
      </c>
      <c r="AE194" s="1"/>
      <c r="AF194" s="1">
        <f t="shared" ca="1" si="72"/>
        <v>0.4011259031528146</v>
      </c>
      <c r="AG194" s="1">
        <f t="shared" ca="1" si="73"/>
        <v>722</v>
      </c>
      <c r="AH194" s="1">
        <f t="shared" ca="1" si="74"/>
        <v>5.8303995238950877E-4</v>
      </c>
    </row>
    <row r="195" spans="2:34" x14ac:dyDescent="0.25">
      <c r="B195">
        <f t="shared" ca="1" si="50"/>
        <v>644</v>
      </c>
      <c r="C195">
        <f t="shared" ca="1" si="51"/>
        <v>26</v>
      </c>
      <c r="D195">
        <f t="shared" ca="1" si="52"/>
        <v>5.2106038360153949E-2</v>
      </c>
      <c r="F195" s="1">
        <f t="shared" ca="1" si="53"/>
        <v>10</v>
      </c>
      <c r="G195" s="1">
        <f t="shared" ca="1" si="54"/>
        <v>18</v>
      </c>
      <c r="H195" s="1">
        <f t="shared" ca="1" si="55"/>
        <v>15</v>
      </c>
      <c r="I195" s="1"/>
      <c r="J195" s="1">
        <f t="shared" ca="1" si="56"/>
        <v>33</v>
      </c>
      <c r="K195" s="1">
        <f t="shared" ca="1" si="57"/>
        <v>2.3954052547845937</v>
      </c>
      <c r="L195" s="1">
        <f t="shared" ca="1" si="58"/>
        <v>15</v>
      </c>
      <c r="M195" s="1"/>
      <c r="N195" s="1">
        <f t="shared" ca="1" si="59"/>
        <v>941</v>
      </c>
      <c r="O195" s="1">
        <f t="shared" ca="1" si="60"/>
        <v>3</v>
      </c>
      <c r="P195" s="1"/>
      <c r="Q195" s="1">
        <f t="shared" ca="1" si="61"/>
        <v>1.4416356792812086</v>
      </c>
      <c r="R195" s="1">
        <f t="shared" ca="1" si="62"/>
        <v>908</v>
      </c>
      <c r="S195" s="1"/>
      <c r="T195" s="1">
        <f t="shared" ca="1" si="63"/>
        <v>0.14937386753264009</v>
      </c>
      <c r="U195" s="1">
        <f t="shared" ca="1" si="64"/>
        <v>126</v>
      </c>
      <c r="V195" s="1">
        <f t="shared" ca="1" si="65"/>
        <v>8</v>
      </c>
      <c r="W195" s="1"/>
      <c r="X195" s="1">
        <f t="shared" ca="1" si="66"/>
        <v>3.8181512275338321</v>
      </c>
      <c r="Y195" s="1">
        <f t="shared" ca="1" si="67"/>
        <v>0.60817092761733904</v>
      </c>
      <c r="Z195" s="1">
        <f t="shared" ca="1" si="68"/>
        <v>290</v>
      </c>
      <c r="AB195" s="1">
        <f t="shared" ca="1" si="69"/>
        <v>3.6405233211150981E-2</v>
      </c>
      <c r="AC195" s="1">
        <f t="shared" ca="1" si="70"/>
        <v>211</v>
      </c>
      <c r="AD195" s="1">
        <f t="shared" ca="1" si="71"/>
        <v>9.5239784174803201E-3</v>
      </c>
      <c r="AE195" s="1"/>
      <c r="AF195" s="1">
        <f t="shared" ca="1" si="72"/>
        <v>0.80622901167753469</v>
      </c>
      <c r="AG195" s="1">
        <f t="shared" ca="1" si="73"/>
        <v>792</v>
      </c>
      <c r="AH195" s="1">
        <f t="shared" ca="1" si="74"/>
        <v>4.6003345559821659E-3</v>
      </c>
    </row>
    <row r="196" spans="2:34" x14ac:dyDescent="0.25">
      <c r="B196">
        <f t="shared" ref="B196:B202" ca="1" si="75">RANDBETWEEN(15,1000)</f>
        <v>111</v>
      </c>
      <c r="C196">
        <f t="shared" ref="C196:C202" ca="1" si="76">RANDBETWEEN(2,52)</f>
        <v>12</v>
      </c>
      <c r="D196">
        <f t="shared" ref="D196:D202" ca="1" si="77">RAND()*(0.3-0.01)+0.01</f>
        <v>0.23171977098628144</v>
      </c>
      <c r="F196" s="1">
        <f t="shared" ref="F196:F202" ca="1" si="78">RANDBETWEEN(2,52)</f>
        <v>12</v>
      </c>
      <c r="G196" s="1">
        <f t="shared" ref="G196:G202" ca="1" si="79">RANDBETWEEN(2,30)</f>
        <v>3</v>
      </c>
      <c r="H196" s="1">
        <f t="shared" ref="H196:H202" ca="1" si="80">RANDBETWEEN(1,15)</f>
        <v>3</v>
      </c>
      <c r="I196" s="1"/>
      <c r="J196" s="1">
        <f t="shared" ref="J196:J202" ca="1" si="81">RANDBETWEEN(1,39)</f>
        <v>16</v>
      </c>
      <c r="K196" s="1">
        <f t="shared" ref="K196:K202" ca="1" si="82">RAND()*(3-1)+1</f>
        <v>1.0451818691033046</v>
      </c>
      <c r="L196" s="1">
        <f t="shared" ref="L196:L202" ca="1" si="83">RANDBETWEEN(2,35)</f>
        <v>4</v>
      </c>
      <c r="M196" s="1"/>
      <c r="N196" s="1">
        <f t="shared" ref="N196:N202" ca="1" si="84">RANDBETWEEN(15,1000)</f>
        <v>423</v>
      </c>
      <c r="O196" s="1">
        <f t="shared" ref="O196:O202" ca="1" si="85">RANDBETWEEN(2,52)</f>
        <v>5</v>
      </c>
      <c r="P196" s="1"/>
      <c r="Q196" s="1">
        <f t="shared" ref="Q196:Q202" ca="1" si="86">RAND()*(5-0.01)+0.01</f>
        <v>0.78299605035190034</v>
      </c>
      <c r="R196" s="1">
        <f t="shared" ref="R196:R202" ca="1" si="87">RANDBETWEEN(200,1200)</f>
        <v>737</v>
      </c>
      <c r="S196" s="1"/>
      <c r="T196" s="1">
        <f t="shared" ref="T196:T202" ca="1" si="88">RAND()*(0.2-0.01)+0.01</f>
        <v>0.11999223123364992</v>
      </c>
      <c r="U196" s="1">
        <f t="shared" ref="U196:U202" ca="1" si="89">RANDBETWEEN(50,450)</f>
        <v>84</v>
      </c>
      <c r="V196" s="1">
        <f t="shared" ref="V196:V202" ca="1" si="90">RANDBETWEEN(2,52)</f>
        <v>26</v>
      </c>
      <c r="W196" s="1"/>
      <c r="X196" s="1">
        <f t="shared" ref="X196:X202" ca="1" si="91">RAND()*(10-0.01)+0.01</f>
        <v>7.7549993577097522</v>
      </c>
      <c r="Y196" s="1">
        <f t="shared" ref="Y196:Y202" ca="1" si="92">RAND()*(1-0.0001)+0.0001</f>
        <v>0.34182370876176116</v>
      </c>
      <c r="Z196" s="1">
        <f t="shared" ref="Z196:Z202" ca="1" si="93">RANDBETWEEN(100,2000)</f>
        <v>1398</v>
      </c>
      <c r="AB196" s="1">
        <f t="shared" ref="AB196:AB202" ca="1" si="94">RAND()*(1-0.0001)+0.0001</f>
        <v>0.96806350018935561</v>
      </c>
      <c r="AC196" s="1">
        <f t="shared" ref="AC196:AC202" ca="1" si="95">RANDBETWEEN(100,1000)</f>
        <v>771</v>
      </c>
      <c r="AD196" s="1">
        <f t="shared" ref="AD196:AD202" ca="1" si="96">RAND()*(0.01-0.00001)+0.00001</f>
        <v>1.5137218151116956E-3</v>
      </c>
      <c r="AE196" s="1"/>
      <c r="AF196" s="1">
        <f t="shared" ref="AF196:AF202" ca="1" si="97">RAND()*(0.9-0.1)+0.1</f>
        <v>0.1148919514429264</v>
      </c>
      <c r="AG196" s="1">
        <f t="shared" ref="AG196:AG202" ca="1" si="98">RANDBETWEEN(100,1000)</f>
        <v>581</v>
      </c>
      <c r="AH196" s="1">
        <f t="shared" ref="AH196:AH202" ca="1" si="99">RAND()*(0.01-0.00001)+0.00001</f>
        <v>5.3682028790434828E-3</v>
      </c>
    </row>
    <row r="197" spans="2:34" x14ac:dyDescent="0.25">
      <c r="B197">
        <f t="shared" ca="1" si="75"/>
        <v>801</v>
      </c>
      <c r="C197">
        <f t="shared" ca="1" si="76"/>
        <v>15</v>
      </c>
      <c r="D197">
        <f t="shared" ca="1" si="77"/>
        <v>0.12346659857901369</v>
      </c>
      <c r="F197" s="1">
        <f t="shared" ca="1" si="78"/>
        <v>13</v>
      </c>
      <c r="G197" s="1">
        <f t="shared" ca="1" si="79"/>
        <v>15</v>
      </c>
      <c r="H197" s="1">
        <f t="shared" ca="1" si="80"/>
        <v>7</v>
      </c>
      <c r="I197" s="1"/>
      <c r="J197" s="1">
        <f t="shared" ca="1" si="81"/>
        <v>15</v>
      </c>
      <c r="K197" s="1">
        <f t="shared" ca="1" si="82"/>
        <v>1.988131154751595</v>
      </c>
      <c r="L197" s="1">
        <f t="shared" ca="1" si="83"/>
        <v>6</v>
      </c>
      <c r="M197" s="1"/>
      <c r="N197" s="1">
        <f t="shared" ca="1" si="84"/>
        <v>973</v>
      </c>
      <c r="O197" s="1">
        <f t="shared" ca="1" si="85"/>
        <v>5</v>
      </c>
      <c r="P197" s="1"/>
      <c r="Q197" s="1">
        <f t="shared" ca="1" si="86"/>
        <v>2.4687295750860074</v>
      </c>
      <c r="R197" s="1">
        <f t="shared" ca="1" si="87"/>
        <v>496</v>
      </c>
      <c r="S197" s="1"/>
      <c r="T197" s="1">
        <f t="shared" ca="1" si="88"/>
        <v>8.2099864971039729E-2</v>
      </c>
      <c r="U197" s="1">
        <f t="shared" ca="1" si="89"/>
        <v>351</v>
      </c>
      <c r="V197" s="1">
        <f t="shared" ca="1" si="90"/>
        <v>47</v>
      </c>
      <c r="W197" s="1"/>
      <c r="X197" s="1">
        <f t="shared" ca="1" si="91"/>
        <v>7.3172733611285015</v>
      </c>
      <c r="Y197" s="1">
        <f t="shared" ca="1" si="92"/>
        <v>0.34854023219157598</v>
      </c>
      <c r="Z197" s="1">
        <f t="shared" ca="1" si="93"/>
        <v>740</v>
      </c>
      <c r="AB197" s="1">
        <f t="shared" ca="1" si="94"/>
        <v>0.45353756152208174</v>
      </c>
      <c r="AC197" s="1">
        <f t="shared" ca="1" si="95"/>
        <v>346</v>
      </c>
      <c r="AD197" s="1">
        <f t="shared" ca="1" si="96"/>
        <v>3.8515963666919113E-3</v>
      </c>
      <c r="AE197" s="1"/>
      <c r="AF197" s="1">
        <f t="shared" ca="1" si="97"/>
        <v>0.41059780067785034</v>
      </c>
      <c r="AG197" s="1">
        <f t="shared" ca="1" si="98"/>
        <v>757</v>
      </c>
      <c r="AH197" s="1">
        <f t="shared" ca="1" si="99"/>
        <v>3.7148597489923049E-3</v>
      </c>
    </row>
    <row r="198" spans="2:34" x14ac:dyDescent="0.25">
      <c r="B198">
        <f t="shared" ca="1" si="75"/>
        <v>785</v>
      </c>
      <c r="C198">
        <f t="shared" ca="1" si="76"/>
        <v>27</v>
      </c>
      <c r="D198">
        <f t="shared" ca="1" si="77"/>
        <v>0.13824533919866241</v>
      </c>
      <c r="F198" s="1">
        <f t="shared" ca="1" si="78"/>
        <v>8</v>
      </c>
      <c r="G198" s="1">
        <f t="shared" ca="1" si="79"/>
        <v>15</v>
      </c>
      <c r="H198" s="1">
        <f t="shared" ca="1" si="80"/>
        <v>2</v>
      </c>
      <c r="I198" s="1"/>
      <c r="J198" s="1">
        <f t="shared" ca="1" si="81"/>
        <v>7</v>
      </c>
      <c r="K198" s="1">
        <f t="shared" ca="1" si="82"/>
        <v>1.8187431948004205</v>
      </c>
      <c r="L198" s="1">
        <f t="shared" ca="1" si="83"/>
        <v>3</v>
      </c>
      <c r="M198" s="1"/>
      <c r="N198" s="1">
        <f t="shared" ca="1" si="84"/>
        <v>582</v>
      </c>
      <c r="O198" s="1">
        <f t="shared" ca="1" si="85"/>
        <v>40</v>
      </c>
      <c r="P198" s="1"/>
      <c r="Q198" s="1">
        <f t="shared" ca="1" si="86"/>
        <v>1.9941583544945223</v>
      </c>
      <c r="R198" s="1">
        <f t="shared" ca="1" si="87"/>
        <v>506</v>
      </c>
      <c r="S198" s="1"/>
      <c r="T198" s="1">
        <f t="shared" ca="1" si="88"/>
        <v>9.6616272133677031E-2</v>
      </c>
      <c r="U198" s="1">
        <f t="shared" ca="1" si="89"/>
        <v>255</v>
      </c>
      <c r="V198" s="1">
        <f t="shared" ca="1" si="90"/>
        <v>8</v>
      </c>
      <c r="W198" s="1"/>
      <c r="X198" s="1">
        <f t="shared" ca="1" si="91"/>
        <v>6.7873806358557607</v>
      </c>
      <c r="Y198" s="1">
        <f t="shared" ca="1" si="92"/>
        <v>0.59105755061748422</v>
      </c>
      <c r="Z198" s="1">
        <f t="shared" ca="1" si="93"/>
        <v>1702</v>
      </c>
      <c r="AB198" s="1">
        <f t="shared" ca="1" si="94"/>
        <v>0.22667646101696384</v>
      </c>
      <c r="AC198" s="1">
        <f t="shared" ca="1" si="95"/>
        <v>244</v>
      </c>
      <c r="AD198" s="1">
        <f t="shared" ca="1" si="96"/>
        <v>5.7882822921220814E-3</v>
      </c>
      <c r="AE198" s="1"/>
      <c r="AF198" s="1">
        <f t="shared" ca="1" si="97"/>
        <v>0.35586868624982493</v>
      </c>
      <c r="AG198" s="1">
        <f t="shared" ca="1" si="98"/>
        <v>1000</v>
      </c>
      <c r="AH198" s="1">
        <f t="shared" ca="1" si="99"/>
        <v>3.0734775203479464E-3</v>
      </c>
    </row>
    <row r="199" spans="2:34" x14ac:dyDescent="0.25">
      <c r="B199">
        <f t="shared" ca="1" si="75"/>
        <v>115</v>
      </c>
      <c r="C199">
        <f t="shared" ca="1" si="76"/>
        <v>47</v>
      </c>
      <c r="D199">
        <f t="shared" ca="1" si="77"/>
        <v>8.8466136578928253E-2</v>
      </c>
      <c r="F199" s="1">
        <f t="shared" ca="1" si="78"/>
        <v>5</v>
      </c>
      <c r="G199" s="1">
        <f t="shared" ca="1" si="79"/>
        <v>11</v>
      </c>
      <c r="H199" s="1">
        <f t="shared" ca="1" si="80"/>
        <v>12</v>
      </c>
      <c r="I199" s="1"/>
      <c r="J199" s="1">
        <f t="shared" ca="1" si="81"/>
        <v>19</v>
      </c>
      <c r="K199" s="1">
        <f t="shared" ca="1" si="82"/>
        <v>1.8728084639329932</v>
      </c>
      <c r="L199" s="1">
        <f t="shared" ca="1" si="83"/>
        <v>34</v>
      </c>
      <c r="M199" s="1"/>
      <c r="N199" s="1">
        <f t="shared" ca="1" si="84"/>
        <v>214</v>
      </c>
      <c r="O199" s="1">
        <f t="shared" ca="1" si="85"/>
        <v>52</v>
      </c>
      <c r="P199" s="1"/>
      <c r="Q199" s="1">
        <f t="shared" ca="1" si="86"/>
        <v>3.49189450073751</v>
      </c>
      <c r="R199" s="1">
        <f t="shared" ca="1" si="87"/>
        <v>518</v>
      </c>
      <c r="S199" s="1"/>
      <c r="T199" s="1">
        <f t="shared" ca="1" si="88"/>
        <v>0.10843549997330405</v>
      </c>
      <c r="U199" s="1">
        <f t="shared" ca="1" si="89"/>
        <v>58</v>
      </c>
      <c r="V199" s="1">
        <f t="shared" ca="1" si="90"/>
        <v>26</v>
      </c>
      <c r="W199" s="1"/>
      <c r="X199" s="1">
        <f t="shared" ca="1" si="91"/>
        <v>5.6126225595322579</v>
      </c>
      <c r="Y199" s="1">
        <f t="shared" ca="1" si="92"/>
        <v>0.65045182919450795</v>
      </c>
      <c r="Z199" s="1">
        <f t="shared" ca="1" si="93"/>
        <v>1631</v>
      </c>
      <c r="AB199" s="1">
        <f t="shared" ca="1" si="94"/>
        <v>0.20350426472691888</v>
      </c>
      <c r="AC199" s="1">
        <f t="shared" ca="1" si="95"/>
        <v>481</v>
      </c>
      <c r="AD199" s="1">
        <f t="shared" ca="1" si="96"/>
        <v>2.2202044888178308E-3</v>
      </c>
      <c r="AE199" s="1"/>
      <c r="AF199" s="1">
        <f t="shared" ca="1" si="97"/>
        <v>0.3378590099385983</v>
      </c>
      <c r="AG199" s="1">
        <f t="shared" ca="1" si="98"/>
        <v>522</v>
      </c>
      <c r="AH199" s="1">
        <f t="shared" ca="1" si="99"/>
        <v>2.4996020501591751E-3</v>
      </c>
    </row>
    <row r="200" spans="2:34" x14ac:dyDescent="0.25">
      <c r="B200">
        <f t="shared" ca="1" si="75"/>
        <v>108</v>
      </c>
      <c r="C200">
        <f t="shared" ca="1" si="76"/>
        <v>6</v>
      </c>
      <c r="D200">
        <f t="shared" ca="1" si="77"/>
        <v>0.24062517119395013</v>
      </c>
      <c r="F200" s="1">
        <f t="shared" ca="1" si="78"/>
        <v>13</v>
      </c>
      <c r="G200" s="1">
        <f t="shared" ca="1" si="79"/>
        <v>28</v>
      </c>
      <c r="H200" s="1">
        <f t="shared" ca="1" si="80"/>
        <v>4</v>
      </c>
      <c r="I200" s="1"/>
      <c r="J200" s="1">
        <f t="shared" ca="1" si="81"/>
        <v>7</v>
      </c>
      <c r="K200" s="1">
        <f t="shared" ca="1" si="82"/>
        <v>2.6611856511758294</v>
      </c>
      <c r="L200" s="1">
        <f t="shared" ca="1" si="83"/>
        <v>26</v>
      </c>
      <c r="M200" s="1"/>
      <c r="N200" s="1">
        <f t="shared" ca="1" si="84"/>
        <v>87</v>
      </c>
      <c r="O200" s="1">
        <f t="shared" ca="1" si="85"/>
        <v>13</v>
      </c>
      <c r="P200" s="1"/>
      <c r="Q200" s="1">
        <f t="shared" ca="1" si="86"/>
        <v>2.6364923106421467</v>
      </c>
      <c r="R200" s="1">
        <f t="shared" ca="1" si="87"/>
        <v>387</v>
      </c>
      <c r="S200" s="1"/>
      <c r="T200" s="1">
        <f t="shared" ca="1" si="88"/>
        <v>0.12103605110548102</v>
      </c>
      <c r="U200" s="1">
        <f t="shared" ca="1" si="89"/>
        <v>355</v>
      </c>
      <c r="V200" s="1">
        <f t="shared" ca="1" si="90"/>
        <v>25</v>
      </c>
      <c r="W200" s="1"/>
      <c r="X200" s="1">
        <f t="shared" ca="1" si="91"/>
        <v>8.2612858976804784</v>
      </c>
      <c r="Y200" s="1">
        <f t="shared" ca="1" si="92"/>
        <v>0.12587303824865537</v>
      </c>
      <c r="Z200" s="1">
        <f t="shared" ca="1" si="93"/>
        <v>1772</v>
      </c>
      <c r="AB200" s="1">
        <f t="shared" ca="1" si="94"/>
        <v>0.19758514674705621</v>
      </c>
      <c r="AC200" s="1">
        <f t="shared" ca="1" si="95"/>
        <v>899</v>
      </c>
      <c r="AD200" s="1">
        <f t="shared" ca="1" si="96"/>
        <v>3.2742101197657182E-3</v>
      </c>
      <c r="AE200" s="1"/>
      <c r="AF200" s="1">
        <f t="shared" ca="1" si="97"/>
        <v>0.61745153347010873</v>
      </c>
      <c r="AG200" s="1">
        <f t="shared" ca="1" si="98"/>
        <v>844</v>
      </c>
      <c r="AH200" s="1">
        <f t="shared" ca="1" si="99"/>
        <v>7.8994574619286068E-3</v>
      </c>
    </row>
    <row r="201" spans="2:34" x14ac:dyDescent="0.25">
      <c r="B201">
        <f t="shared" ca="1" si="75"/>
        <v>729</v>
      </c>
      <c r="C201">
        <f t="shared" ca="1" si="76"/>
        <v>20</v>
      </c>
      <c r="D201">
        <f t="shared" ca="1" si="77"/>
        <v>0.19968608698130133</v>
      </c>
      <c r="F201" s="1">
        <f t="shared" ca="1" si="78"/>
        <v>5</v>
      </c>
      <c r="G201" s="1">
        <f t="shared" ca="1" si="79"/>
        <v>8</v>
      </c>
      <c r="H201" s="1">
        <f t="shared" ca="1" si="80"/>
        <v>7</v>
      </c>
      <c r="I201" s="1"/>
      <c r="J201" s="1">
        <f t="shared" ca="1" si="81"/>
        <v>27</v>
      </c>
      <c r="K201" s="1">
        <f t="shared" ca="1" si="82"/>
        <v>1.3919611682602542</v>
      </c>
      <c r="L201" s="1">
        <f t="shared" ca="1" si="83"/>
        <v>4</v>
      </c>
      <c r="M201" s="1"/>
      <c r="N201" s="1">
        <f t="shared" ca="1" si="84"/>
        <v>540</v>
      </c>
      <c r="O201" s="1">
        <f t="shared" ca="1" si="85"/>
        <v>13</v>
      </c>
      <c r="P201" s="1"/>
      <c r="Q201" s="1">
        <f t="shared" ca="1" si="86"/>
        <v>1.7884092795236903</v>
      </c>
      <c r="R201" s="1">
        <f t="shared" ca="1" si="87"/>
        <v>734</v>
      </c>
      <c r="S201" s="1"/>
      <c r="T201" s="1">
        <f t="shared" ca="1" si="88"/>
        <v>8.933069499346627E-2</v>
      </c>
      <c r="U201" s="1">
        <f t="shared" ca="1" si="89"/>
        <v>360</v>
      </c>
      <c r="V201" s="1">
        <f t="shared" ca="1" si="90"/>
        <v>31</v>
      </c>
      <c r="W201" s="1"/>
      <c r="X201" s="1">
        <f t="shared" ca="1" si="91"/>
        <v>3.1773124135840902</v>
      </c>
      <c r="Y201" s="1">
        <f t="shared" ca="1" si="92"/>
        <v>0.90402431893711421</v>
      </c>
      <c r="Z201" s="1">
        <f t="shared" ca="1" si="93"/>
        <v>1856</v>
      </c>
      <c r="AB201" s="1">
        <f t="shared" ca="1" si="94"/>
        <v>0.25354423139129562</v>
      </c>
      <c r="AC201" s="1">
        <f t="shared" ca="1" si="95"/>
        <v>344</v>
      </c>
      <c r="AD201" s="1">
        <f t="shared" ca="1" si="96"/>
        <v>4.851034229949612E-3</v>
      </c>
      <c r="AE201" s="1"/>
      <c r="AF201" s="1">
        <f t="shared" ca="1" si="97"/>
        <v>0.38166440314623451</v>
      </c>
      <c r="AG201" s="1">
        <f t="shared" ca="1" si="98"/>
        <v>878</v>
      </c>
      <c r="AH201" s="1">
        <f t="shared" ca="1" si="99"/>
        <v>6.0960499503361102E-3</v>
      </c>
    </row>
    <row r="202" spans="2:34" x14ac:dyDescent="0.25">
      <c r="B202">
        <f t="shared" ca="1" si="75"/>
        <v>184</v>
      </c>
      <c r="C202">
        <f t="shared" ca="1" si="76"/>
        <v>29</v>
      </c>
      <c r="D202">
        <f t="shared" ca="1" si="77"/>
        <v>0.28744437900674086</v>
      </c>
      <c r="F202" s="1">
        <f t="shared" ca="1" si="78"/>
        <v>37</v>
      </c>
      <c r="G202" s="1">
        <f t="shared" ca="1" si="79"/>
        <v>13</v>
      </c>
      <c r="H202" s="1">
        <f t="shared" ca="1" si="80"/>
        <v>2</v>
      </c>
      <c r="I202" s="1"/>
      <c r="J202" s="1">
        <f t="shared" ca="1" si="81"/>
        <v>4</v>
      </c>
      <c r="K202" s="1">
        <f t="shared" ca="1" si="82"/>
        <v>1.4000226368036879</v>
      </c>
      <c r="L202" s="1">
        <f t="shared" ca="1" si="83"/>
        <v>26</v>
      </c>
      <c r="M202" s="1"/>
      <c r="N202" s="1">
        <f t="shared" ca="1" si="84"/>
        <v>119</v>
      </c>
      <c r="O202" s="1">
        <f t="shared" ca="1" si="85"/>
        <v>45</v>
      </c>
      <c r="P202" s="1"/>
      <c r="Q202" s="1">
        <f t="shared" ca="1" si="86"/>
        <v>2.4670234603536225</v>
      </c>
      <c r="R202" s="1">
        <f t="shared" ca="1" si="87"/>
        <v>568</v>
      </c>
      <c r="S202" s="1"/>
      <c r="T202" s="1">
        <f t="shared" ca="1" si="88"/>
        <v>2.1017955221230088E-2</v>
      </c>
      <c r="U202" s="1">
        <f t="shared" ca="1" si="89"/>
        <v>218</v>
      </c>
      <c r="V202" s="1">
        <f t="shared" ca="1" si="90"/>
        <v>17</v>
      </c>
      <c r="W202" s="1"/>
      <c r="X202" s="1">
        <f t="shared" ca="1" si="91"/>
        <v>6.7517210875940998</v>
      </c>
      <c r="Y202" s="1">
        <f t="shared" ca="1" si="92"/>
        <v>0.21612575844372178</v>
      </c>
      <c r="Z202" s="1">
        <f t="shared" ca="1" si="93"/>
        <v>455</v>
      </c>
      <c r="AB202" s="1">
        <f t="shared" ca="1" si="94"/>
        <v>0.82951856951398495</v>
      </c>
      <c r="AC202" s="1">
        <f t="shared" ca="1" si="95"/>
        <v>551</v>
      </c>
      <c r="AD202" s="1">
        <f t="shared" ca="1" si="96"/>
        <v>9.7685997000519099E-3</v>
      </c>
      <c r="AE202" s="1"/>
      <c r="AF202" s="1">
        <f t="shared" ca="1" si="97"/>
        <v>0.4307646492267948</v>
      </c>
      <c r="AG202" s="1">
        <f t="shared" ca="1" si="98"/>
        <v>726</v>
      </c>
      <c r="AH202" s="1">
        <f t="shared" ca="1" si="99"/>
        <v>3.6310276044512497E-3</v>
      </c>
    </row>
  </sheetData>
  <mergeCells count="9">
    <mergeCell ref="AB1:AD1"/>
    <mergeCell ref="AF1:AH1"/>
    <mergeCell ref="T1:V1"/>
    <mergeCell ref="X1:Z1"/>
    <mergeCell ref="B1:D1"/>
    <mergeCell ref="F1:H1"/>
    <mergeCell ref="J1:L1"/>
    <mergeCell ref="N1:O1"/>
    <mergeCell ref="Q1:R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Moradian</dc:creator>
  <cp:lastModifiedBy>Sam Moradian</cp:lastModifiedBy>
  <dcterms:created xsi:type="dcterms:W3CDTF">2015-06-05T18:17:20Z</dcterms:created>
  <dcterms:modified xsi:type="dcterms:W3CDTF">2026-04-11T08:39:02Z</dcterms:modified>
</cp:coreProperties>
</file>