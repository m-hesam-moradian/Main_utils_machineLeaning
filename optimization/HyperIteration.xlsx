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Sam\Desktop\ML\optimization\"/>
    </mc:Choice>
  </mc:AlternateContent>
  <xr:revisionPtr revIDLastSave="0" documentId="13_ncr:1_{0C8FD021-B437-4951-8C04-E9D58C03A94B}" xr6:coauthVersionLast="47" xr6:coauthVersionMax="47" xr10:uidLastSave="{00000000-0000-0000-0000-000000000000}"/>
  <bookViews>
    <workbookView xWindow="-120" yWindow="-120" windowWidth="19440" windowHeight="115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" i="1" l="1"/>
  <c r="K4" i="1"/>
  <c r="L4" i="1"/>
  <c r="N4" i="1"/>
  <c r="O4" i="1"/>
  <c r="Q4" i="1"/>
  <c r="R4" i="1"/>
  <c r="T4" i="1"/>
  <c r="U4" i="1"/>
  <c r="V4" i="1"/>
  <c r="X4" i="1"/>
  <c r="Y4" i="1"/>
  <c r="Z4" i="1"/>
  <c r="J5" i="1"/>
  <c r="K5" i="1"/>
  <c r="L5" i="1"/>
  <c r="N5" i="1"/>
  <c r="O5" i="1"/>
  <c r="Q5" i="1"/>
  <c r="R5" i="1"/>
  <c r="T5" i="1"/>
  <c r="U5" i="1"/>
  <c r="V5" i="1"/>
  <c r="X5" i="1"/>
  <c r="Y5" i="1"/>
  <c r="Z5" i="1"/>
  <c r="J6" i="1"/>
  <c r="K6" i="1"/>
  <c r="L6" i="1"/>
  <c r="N6" i="1"/>
  <c r="O6" i="1"/>
  <c r="Q6" i="1"/>
  <c r="R6" i="1"/>
  <c r="T6" i="1"/>
  <c r="U6" i="1"/>
  <c r="V6" i="1"/>
  <c r="X6" i="1"/>
  <c r="Y6" i="1"/>
  <c r="Z6" i="1"/>
  <c r="J7" i="1"/>
  <c r="K7" i="1"/>
  <c r="L7" i="1"/>
  <c r="N7" i="1"/>
  <c r="O7" i="1"/>
  <c r="Q7" i="1"/>
  <c r="R7" i="1"/>
  <c r="T7" i="1"/>
  <c r="U7" i="1"/>
  <c r="V7" i="1"/>
  <c r="X7" i="1"/>
  <c r="Y7" i="1"/>
  <c r="Z7" i="1"/>
  <c r="J8" i="1"/>
  <c r="K8" i="1"/>
  <c r="L8" i="1"/>
  <c r="N8" i="1"/>
  <c r="O8" i="1"/>
  <c r="Q8" i="1"/>
  <c r="R8" i="1"/>
  <c r="T8" i="1"/>
  <c r="U8" i="1"/>
  <c r="V8" i="1"/>
  <c r="X8" i="1"/>
  <c r="Y8" i="1"/>
  <c r="Z8" i="1"/>
  <c r="J9" i="1"/>
  <c r="K9" i="1"/>
  <c r="L9" i="1"/>
  <c r="N9" i="1"/>
  <c r="O9" i="1"/>
  <c r="Q9" i="1"/>
  <c r="R9" i="1"/>
  <c r="T9" i="1"/>
  <c r="U9" i="1"/>
  <c r="V9" i="1"/>
  <c r="X9" i="1"/>
  <c r="Y9" i="1"/>
  <c r="Z9" i="1"/>
  <c r="J10" i="1"/>
  <c r="K10" i="1"/>
  <c r="L10" i="1"/>
  <c r="N10" i="1"/>
  <c r="O10" i="1"/>
  <c r="Q10" i="1"/>
  <c r="R10" i="1"/>
  <c r="T10" i="1"/>
  <c r="U10" i="1"/>
  <c r="V10" i="1"/>
  <c r="X10" i="1"/>
  <c r="Y10" i="1"/>
  <c r="Z10" i="1"/>
  <c r="J11" i="1"/>
  <c r="K11" i="1"/>
  <c r="L11" i="1"/>
  <c r="N11" i="1"/>
  <c r="O11" i="1"/>
  <c r="Q11" i="1"/>
  <c r="R11" i="1"/>
  <c r="T11" i="1"/>
  <c r="U11" i="1"/>
  <c r="V11" i="1"/>
  <c r="X11" i="1"/>
  <c r="Y11" i="1"/>
  <c r="Z11" i="1"/>
  <c r="J12" i="1"/>
  <c r="K12" i="1"/>
  <c r="L12" i="1"/>
  <c r="N12" i="1"/>
  <c r="O12" i="1"/>
  <c r="Q12" i="1"/>
  <c r="R12" i="1"/>
  <c r="T12" i="1"/>
  <c r="U12" i="1"/>
  <c r="V12" i="1"/>
  <c r="X12" i="1"/>
  <c r="Y12" i="1"/>
  <c r="Z12" i="1"/>
  <c r="J13" i="1"/>
  <c r="K13" i="1"/>
  <c r="L13" i="1"/>
  <c r="N13" i="1"/>
  <c r="O13" i="1"/>
  <c r="Q13" i="1"/>
  <c r="R13" i="1"/>
  <c r="T13" i="1"/>
  <c r="U13" i="1"/>
  <c r="V13" i="1"/>
  <c r="X13" i="1"/>
  <c r="Y13" i="1"/>
  <c r="Z13" i="1"/>
  <c r="J14" i="1"/>
  <c r="K14" i="1"/>
  <c r="L14" i="1"/>
  <c r="N14" i="1"/>
  <c r="O14" i="1"/>
  <c r="Q14" i="1"/>
  <c r="R14" i="1"/>
  <c r="T14" i="1"/>
  <c r="U14" i="1"/>
  <c r="V14" i="1"/>
  <c r="X14" i="1"/>
  <c r="Y14" i="1"/>
  <c r="Z14" i="1"/>
  <c r="J15" i="1"/>
  <c r="K15" i="1"/>
  <c r="L15" i="1"/>
  <c r="N15" i="1"/>
  <c r="O15" i="1"/>
  <c r="Q15" i="1"/>
  <c r="R15" i="1"/>
  <c r="T15" i="1"/>
  <c r="U15" i="1"/>
  <c r="V15" i="1"/>
  <c r="X15" i="1"/>
  <c r="Y15" i="1"/>
  <c r="Z15" i="1"/>
  <c r="J16" i="1"/>
  <c r="K16" i="1"/>
  <c r="L16" i="1"/>
  <c r="N16" i="1"/>
  <c r="O16" i="1"/>
  <c r="Q16" i="1"/>
  <c r="R16" i="1"/>
  <c r="T16" i="1"/>
  <c r="U16" i="1"/>
  <c r="V16" i="1"/>
  <c r="X16" i="1"/>
  <c r="Y16" i="1"/>
  <c r="Z16" i="1"/>
  <c r="J17" i="1"/>
  <c r="K17" i="1"/>
  <c r="L17" i="1"/>
  <c r="N17" i="1"/>
  <c r="O17" i="1"/>
  <c r="Q17" i="1"/>
  <c r="R17" i="1"/>
  <c r="T17" i="1"/>
  <c r="U17" i="1"/>
  <c r="V17" i="1"/>
  <c r="X17" i="1"/>
  <c r="Y17" i="1"/>
  <c r="Z17" i="1"/>
  <c r="J18" i="1"/>
  <c r="K18" i="1"/>
  <c r="L18" i="1"/>
  <c r="N18" i="1"/>
  <c r="O18" i="1"/>
  <c r="Q18" i="1"/>
  <c r="R18" i="1"/>
  <c r="T18" i="1"/>
  <c r="U18" i="1"/>
  <c r="V18" i="1"/>
  <c r="X18" i="1"/>
  <c r="Y18" i="1"/>
  <c r="Z18" i="1"/>
  <c r="J19" i="1"/>
  <c r="K19" i="1"/>
  <c r="L19" i="1"/>
  <c r="N19" i="1"/>
  <c r="O19" i="1"/>
  <c r="Q19" i="1"/>
  <c r="R19" i="1"/>
  <c r="T19" i="1"/>
  <c r="U19" i="1"/>
  <c r="V19" i="1"/>
  <c r="X19" i="1"/>
  <c r="Y19" i="1"/>
  <c r="Z19" i="1"/>
  <c r="J20" i="1"/>
  <c r="K20" i="1"/>
  <c r="L20" i="1"/>
  <c r="N20" i="1"/>
  <c r="O20" i="1"/>
  <c r="Q20" i="1"/>
  <c r="R20" i="1"/>
  <c r="T20" i="1"/>
  <c r="U20" i="1"/>
  <c r="V20" i="1"/>
  <c r="X20" i="1"/>
  <c r="Y20" i="1"/>
  <c r="Z20" i="1"/>
  <c r="J21" i="1"/>
  <c r="K21" i="1"/>
  <c r="L21" i="1"/>
  <c r="N21" i="1"/>
  <c r="O21" i="1"/>
  <c r="Q21" i="1"/>
  <c r="R21" i="1"/>
  <c r="T21" i="1"/>
  <c r="U21" i="1"/>
  <c r="V21" i="1"/>
  <c r="X21" i="1"/>
  <c r="Y21" i="1"/>
  <c r="Z21" i="1"/>
  <c r="J22" i="1"/>
  <c r="K22" i="1"/>
  <c r="L22" i="1"/>
  <c r="N22" i="1"/>
  <c r="O22" i="1"/>
  <c r="Q22" i="1"/>
  <c r="R22" i="1"/>
  <c r="T22" i="1"/>
  <c r="U22" i="1"/>
  <c r="V22" i="1"/>
  <c r="X22" i="1"/>
  <c r="Y22" i="1"/>
  <c r="Z22" i="1"/>
  <c r="J23" i="1"/>
  <c r="K23" i="1"/>
  <c r="L23" i="1"/>
  <c r="N23" i="1"/>
  <c r="O23" i="1"/>
  <c r="Q23" i="1"/>
  <c r="R23" i="1"/>
  <c r="T23" i="1"/>
  <c r="U23" i="1"/>
  <c r="V23" i="1"/>
  <c r="X23" i="1"/>
  <c r="Y23" i="1"/>
  <c r="Z23" i="1"/>
  <c r="J24" i="1"/>
  <c r="K24" i="1"/>
  <c r="L24" i="1"/>
  <c r="N24" i="1"/>
  <c r="O24" i="1"/>
  <c r="Q24" i="1"/>
  <c r="R24" i="1"/>
  <c r="T24" i="1"/>
  <c r="U24" i="1"/>
  <c r="V24" i="1"/>
  <c r="X24" i="1"/>
  <c r="Y24" i="1"/>
  <c r="Z24" i="1"/>
  <c r="J25" i="1"/>
  <c r="K25" i="1"/>
  <c r="L25" i="1"/>
  <c r="N25" i="1"/>
  <c r="O25" i="1"/>
  <c r="Q25" i="1"/>
  <c r="R25" i="1"/>
  <c r="T25" i="1"/>
  <c r="U25" i="1"/>
  <c r="V25" i="1"/>
  <c r="X25" i="1"/>
  <c r="Y25" i="1"/>
  <c r="Z25" i="1"/>
  <c r="J26" i="1"/>
  <c r="K26" i="1"/>
  <c r="L26" i="1"/>
  <c r="N26" i="1"/>
  <c r="O26" i="1"/>
  <c r="Q26" i="1"/>
  <c r="R26" i="1"/>
  <c r="T26" i="1"/>
  <c r="U26" i="1"/>
  <c r="V26" i="1"/>
  <c r="X26" i="1"/>
  <c r="Y26" i="1"/>
  <c r="Z26" i="1"/>
  <c r="J27" i="1"/>
  <c r="K27" i="1"/>
  <c r="L27" i="1"/>
  <c r="N27" i="1"/>
  <c r="O27" i="1"/>
  <c r="Q27" i="1"/>
  <c r="R27" i="1"/>
  <c r="T27" i="1"/>
  <c r="U27" i="1"/>
  <c r="V27" i="1"/>
  <c r="X27" i="1"/>
  <c r="Y27" i="1"/>
  <c r="Z27" i="1"/>
  <c r="J28" i="1"/>
  <c r="K28" i="1"/>
  <c r="L28" i="1"/>
  <c r="N28" i="1"/>
  <c r="O28" i="1"/>
  <c r="Q28" i="1"/>
  <c r="R28" i="1"/>
  <c r="T28" i="1"/>
  <c r="U28" i="1"/>
  <c r="V28" i="1"/>
  <c r="X28" i="1"/>
  <c r="Y28" i="1"/>
  <c r="Z28" i="1"/>
  <c r="J29" i="1"/>
  <c r="K29" i="1"/>
  <c r="L29" i="1"/>
  <c r="N29" i="1"/>
  <c r="O29" i="1"/>
  <c r="Q29" i="1"/>
  <c r="R29" i="1"/>
  <c r="T29" i="1"/>
  <c r="U29" i="1"/>
  <c r="V29" i="1"/>
  <c r="X29" i="1"/>
  <c r="Y29" i="1"/>
  <c r="Z29" i="1"/>
  <c r="J30" i="1"/>
  <c r="K30" i="1"/>
  <c r="L30" i="1"/>
  <c r="N30" i="1"/>
  <c r="O30" i="1"/>
  <c r="Q30" i="1"/>
  <c r="R30" i="1"/>
  <c r="T30" i="1"/>
  <c r="U30" i="1"/>
  <c r="V30" i="1"/>
  <c r="X30" i="1"/>
  <c r="Y30" i="1"/>
  <c r="Z30" i="1"/>
  <c r="J31" i="1"/>
  <c r="K31" i="1"/>
  <c r="L31" i="1"/>
  <c r="N31" i="1"/>
  <c r="O31" i="1"/>
  <c r="Q31" i="1"/>
  <c r="R31" i="1"/>
  <c r="T31" i="1"/>
  <c r="U31" i="1"/>
  <c r="V31" i="1"/>
  <c r="X31" i="1"/>
  <c r="Y31" i="1"/>
  <c r="Z31" i="1"/>
  <c r="J32" i="1"/>
  <c r="K32" i="1"/>
  <c r="L32" i="1"/>
  <c r="N32" i="1"/>
  <c r="O32" i="1"/>
  <c r="Q32" i="1"/>
  <c r="R32" i="1"/>
  <c r="T32" i="1"/>
  <c r="U32" i="1"/>
  <c r="V32" i="1"/>
  <c r="X32" i="1"/>
  <c r="Y32" i="1"/>
  <c r="Z32" i="1"/>
  <c r="J33" i="1"/>
  <c r="K33" i="1"/>
  <c r="L33" i="1"/>
  <c r="N33" i="1"/>
  <c r="O33" i="1"/>
  <c r="Q33" i="1"/>
  <c r="R33" i="1"/>
  <c r="T33" i="1"/>
  <c r="U33" i="1"/>
  <c r="V33" i="1"/>
  <c r="X33" i="1"/>
  <c r="Y33" i="1"/>
  <c r="Z33" i="1"/>
  <c r="J34" i="1"/>
  <c r="K34" i="1"/>
  <c r="L34" i="1"/>
  <c r="N34" i="1"/>
  <c r="O34" i="1"/>
  <c r="Q34" i="1"/>
  <c r="R34" i="1"/>
  <c r="T34" i="1"/>
  <c r="U34" i="1"/>
  <c r="V34" i="1"/>
  <c r="X34" i="1"/>
  <c r="Y34" i="1"/>
  <c r="Z34" i="1"/>
  <c r="J35" i="1"/>
  <c r="K35" i="1"/>
  <c r="L35" i="1"/>
  <c r="N35" i="1"/>
  <c r="O35" i="1"/>
  <c r="Q35" i="1"/>
  <c r="R35" i="1"/>
  <c r="T35" i="1"/>
  <c r="U35" i="1"/>
  <c r="V35" i="1"/>
  <c r="X35" i="1"/>
  <c r="Y35" i="1"/>
  <c r="Z35" i="1"/>
  <c r="J36" i="1"/>
  <c r="K36" i="1"/>
  <c r="L36" i="1"/>
  <c r="N36" i="1"/>
  <c r="O36" i="1"/>
  <c r="Q36" i="1"/>
  <c r="R36" i="1"/>
  <c r="T36" i="1"/>
  <c r="U36" i="1"/>
  <c r="V36" i="1"/>
  <c r="X36" i="1"/>
  <c r="Y36" i="1"/>
  <c r="Z36" i="1"/>
  <c r="J37" i="1"/>
  <c r="K37" i="1"/>
  <c r="L37" i="1"/>
  <c r="N37" i="1"/>
  <c r="O37" i="1"/>
  <c r="Q37" i="1"/>
  <c r="R37" i="1"/>
  <c r="T37" i="1"/>
  <c r="U37" i="1"/>
  <c r="V37" i="1"/>
  <c r="X37" i="1"/>
  <c r="Y37" i="1"/>
  <c r="Z37" i="1"/>
  <c r="J38" i="1"/>
  <c r="K38" i="1"/>
  <c r="L38" i="1"/>
  <c r="N38" i="1"/>
  <c r="O38" i="1"/>
  <c r="Q38" i="1"/>
  <c r="R38" i="1"/>
  <c r="T38" i="1"/>
  <c r="U38" i="1"/>
  <c r="V38" i="1"/>
  <c r="X38" i="1"/>
  <c r="Y38" i="1"/>
  <c r="Z38" i="1"/>
  <c r="J39" i="1"/>
  <c r="K39" i="1"/>
  <c r="L39" i="1"/>
  <c r="N39" i="1"/>
  <c r="O39" i="1"/>
  <c r="Q39" i="1"/>
  <c r="R39" i="1"/>
  <c r="T39" i="1"/>
  <c r="U39" i="1"/>
  <c r="V39" i="1"/>
  <c r="X39" i="1"/>
  <c r="Y39" i="1"/>
  <c r="Z39" i="1"/>
  <c r="J40" i="1"/>
  <c r="K40" i="1"/>
  <c r="L40" i="1"/>
  <c r="N40" i="1"/>
  <c r="O40" i="1"/>
  <c r="Q40" i="1"/>
  <c r="R40" i="1"/>
  <c r="T40" i="1"/>
  <c r="U40" i="1"/>
  <c r="V40" i="1"/>
  <c r="X40" i="1"/>
  <c r="Y40" i="1"/>
  <c r="Z40" i="1"/>
  <c r="J41" i="1"/>
  <c r="K41" i="1"/>
  <c r="L41" i="1"/>
  <c r="N41" i="1"/>
  <c r="O41" i="1"/>
  <c r="Q41" i="1"/>
  <c r="R41" i="1"/>
  <c r="T41" i="1"/>
  <c r="U41" i="1"/>
  <c r="V41" i="1"/>
  <c r="X41" i="1"/>
  <c r="Y41" i="1"/>
  <c r="Z41" i="1"/>
  <c r="J42" i="1"/>
  <c r="K42" i="1"/>
  <c r="L42" i="1"/>
  <c r="N42" i="1"/>
  <c r="O42" i="1"/>
  <c r="Q42" i="1"/>
  <c r="R42" i="1"/>
  <c r="T42" i="1"/>
  <c r="U42" i="1"/>
  <c r="V42" i="1"/>
  <c r="X42" i="1"/>
  <c r="Y42" i="1"/>
  <c r="Z42" i="1"/>
  <c r="J43" i="1"/>
  <c r="K43" i="1"/>
  <c r="L43" i="1"/>
  <c r="N43" i="1"/>
  <c r="O43" i="1"/>
  <c r="Q43" i="1"/>
  <c r="R43" i="1"/>
  <c r="T43" i="1"/>
  <c r="U43" i="1"/>
  <c r="V43" i="1"/>
  <c r="X43" i="1"/>
  <c r="Y43" i="1"/>
  <c r="Z43" i="1"/>
  <c r="J44" i="1"/>
  <c r="K44" i="1"/>
  <c r="L44" i="1"/>
  <c r="N44" i="1"/>
  <c r="O44" i="1"/>
  <c r="Q44" i="1"/>
  <c r="R44" i="1"/>
  <c r="T44" i="1"/>
  <c r="U44" i="1"/>
  <c r="V44" i="1"/>
  <c r="X44" i="1"/>
  <c r="Y44" i="1"/>
  <c r="Z44" i="1"/>
  <c r="J45" i="1"/>
  <c r="K45" i="1"/>
  <c r="L45" i="1"/>
  <c r="N45" i="1"/>
  <c r="O45" i="1"/>
  <c r="Q45" i="1"/>
  <c r="R45" i="1"/>
  <c r="T45" i="1"/>
  <c r="U45" i="1"/>
  <c r="V45" i="1"/>
  <c r="X45" i="1"/>
  <c r="Y45" i="1"/>
  <c r="Z45" i="1"/>
  <c r="J46" i="1"/>
  <c r="K46" i="1"/>
  <c r="L46" i="1"/>
  <c r="N46" i="1"/>
  <c r="O46" i="1"/>
  <c r="Q46" i="1"/>
  <c r="R46" i="1"/>
  <c r="T46" i="1"/>
  <c r="U46" i="1"/>
  <c r="V46" i="1"/>
  <c r="X46" i="1"/>
  <c r="Y46" i="1"/>
  <c r="Z46" i="1"/>
  <c r="J47" i="1"/>
  <c r="K47" i="1"/>
  <c r="L47" i="1"/>
  <c r="N47" i="1"/>
  <c r="O47" i="1"/>
  <c r="Q47" i="1"/>
  <c r="R47" i="1"/>
  <c r="T47" i="1"/>
  <c r="U47" i="1"/>
  <c r="V47" i="1"/>
  <c r="X47" i="1"/>
  <c r="Y47" i="1"/>
  <c r="Z47" i="1"/>
  <c r="J48" i="1"/>
  <c r="K48" i="1"/>
  <c r="L48" i="1"/>
  <c r="N48" i="1"/>
  <c r="O48" i="1"/>
  <c r="Q48" i="1"/>
  <c r="R48" i="1"/>
  <c r="T48" i="1"/>
  <c r="U48" i="1"/>
  <c r="V48" i="1"/>
  <c r="X48" i="1"/>
  <c r="Y48" i="1"/>
  <c r="Z48" i="1"/>
  <c r="J49" i="1"/>
  <c r="K49" i="1"/>
  <c r="L49" i="1"/>
  <c r="N49" i="1"/>
  <c r="O49" i="1"/>
  <c r="Q49" i="1"/>
  <c r="R49" i="1"/>
  <c r="T49" i="1"/>
  <c r="U49" i="1"/>
  <c r="V49" i="1"/>
  <c r="X49" i="1"/>
  <c r="Y49" i="1"/>
  <c r="Z49" i="1"/>
  <c r="J50" i="1"/>
  <c r="K50" i="1"/>
  <c r="L50" i="1"/>
  <c r="N50" i="1"/>
  <c r="O50" i="1"/>
  <c r="Q50" i="1"/>
  <c r="R50" i="1"/>
  <c r="T50" i="1"/>
  <c r="U50" i="1"/>
  <c r="V50" i="1"/>
  <c r="X50" i="1"/>
  <c r="Y50" i="1"/>
  <c r="Z50" i="1"/>
  <c r="J51" i="1"/>
  <c r="K51" i="1"/>
  <c r="L51" i="1"/>
  <c r="N51" i="1"/>
  <c r="O51" i="1"/>
  <c r="Q51" i="1"/>
  <c r="R51" i="1"/>
  <c r="T51" i="1"/>
  <c r="U51" i="1"/>
  <c r="V51" i="1"/>
  <c r="X51" i="1"/>
  <c r="Y51" i="1"/>
  <c r="Z51" i="1"/>
  <c r="J52" i="1"/>
  <c r="K52" i="1"/>
  <c r="L52" i="1"/>
  <c r="N52" i="1"/>
  <c r="O52" i="1"/>
  <c r="Q52" i="1"/>
  <c r="R52" i="1"/>
  <c r="T52" i="1"/>
  <c r="U52" i="1"/>
  <c r="V52" i="1"/>
  <c r="X52" i="1"/>
  <c r="Y52" i="1"/>
  <c r="Z52" i="1"/>
  <c r="J53" i="1"/>
  <c r="K53" i="1"/>
  <c r="L53" i="1"/>
  <c r="N53" i="1"/>
  <c r="O53" i="1"/>
  <c r="Q53" i="1"/>
  <c r="R53" i="1"/>
  <c r="T53" i="1"/>
  <c r="U53" i="1"/>
  <c r="V53" i="1"/>
  <c r="X53" i="1"/>
  <c r="Y53" i="1"/>
  <c r="Z53" i="1"/>
  <c r="J54" i="1"/>
  <c r="K54" i="1"/>
  <c r="L54" i="1"/>
  <c r="N54" i="1"/>
  <c r="O54" i="1"/>
  <c r="Q54" i="1"/>
  <c r="R54" i="1"/>
  <c r="T54" i="1"/>
  <c r="U54" i="1"/>
  <c r="V54" i="1"/>
  <c r="X54" i="1"/>
  <c r="Y54" i="1"/>
  <c r="Z54" i="1"/>
  <c r="J55" i="1"/>
  <c r="K55" i="1"/>
  <c r="L55" i="1"/>
  <c r="N55" i="1"/>
  <c r="O55" i="1"/>
  <c r="Q55" i="1"/>
  <c r="R55" i="1"/>
  <c r="T55" i="1"/>
  <c r="U55" i="1"/>
  <c r="V55" i="1"/>
  <c r="X55" i="1"/>
  <c r="Y55" i="1"/>
  <c r="Z55" i="1"/>
  <c r="J56" i="1"/>
  <c r="K56" i="1"/>
  <c r="L56" i="1"/>
  <c r="N56" i="1"/>
  <c r="O56" i="1"/>
  <c r="Q56" i="1"/>
  <c r="R56" i="1"/>
  <c r="T56" i="1"/>
  <c r="U56" i="1"/>
  <c r="V56" i="1"/>
  <c r="X56" i="1"/>
  <c r="Y56" i="1"/>
  <c r="Z56" i="1"/>
  <c r="J57" i="1"/>
  <c r="K57" i="1"/>
  <c r="L57" i="1"/>
  <c r="N57" i="1"/>
  <c r="O57" i="1"/>
  <c r="Q57" i="1"/>
  <c r="R57" i="1"/>
  <c r="T57" i="1"/>
  <c r="U57" i="1"/>
  <c r="V57" i="1"/>
  <c r="X57" i="1"/>
  <c r="Y57" i="1"/>
  <c r="Z57" i="1"/>
  <c r="J58" i="1"/>
  <c r="K58" i="1"/>
  <c r="L58" i="1"/>
  <c r="N58" i="1"/>
  <c r="O58" i="1"/>
  <c r="Q58" i="1"/>
  <c r="R58" i="1"/>
  <c r="T58" i="1"/>
  <c r="U58" i="1"/>
  <c r="V58" i="1"/>
  <c r="X58" i="1"/>
  <c r="Y58" i="1"/>
  <c r="Z58" i="1"/>
  <c r="J59" i="1"/>
  <c r="K59" i="1"/>
  <c r="L59" i="1"/>
  <c r="N59" i="1"/>
  <c r="O59" i="1"/>
  <c r="Q59" i="1"/>
  <c r="R59" i="1"/>
  <c r="T59" i="1"/>
  <c r="U59" i="1"/>
  <c r="V59" i="1"/>
  <c r="X59" i="1"/>
  <c r="Y59" i="1"/>
  <c r="Z59" i="1"/>
  <c r="J60" i="1"/>
  <c r="K60" i="1"/>
  <c r="L60" i="1"/>
  <c r="N60" i="1"/>
  <c r="O60" i="1"/>
  <c r="Q60" i="1"/>
  <c r="R60" i="1"/>
  <c r="T60" i="1"/>
  <c r="U60" i="1"/>
  <c r="V60" i="1"/>
  <c r="X60" i="1"/>
  <c r="Y60" i="1"/>
  <c r="Z60" i="1"/>
  <c r="J61" i="1"/>
  <c r="K61" i="1"/>
  <c r="L61" i="1"/>
  <c r="N61" i="1"/>
  <c r="O61" i="1"/>
  <c r="Q61" i="1"/>
  <c r="R61" i="1"/>
  <c r="T61" i="1"/>
  <c r="U61" i="1"/>
  <c r="V61" i="1"/>
  <c r="X61" i="1"/>
  <c r="Y61" i="1"/>
  <c r="Z61" i="1"/>
  <c r="J62" i="1"/>
  <c r="K62" i="1"/>
  <c r="L62" i="1"/>
  <c r="N62" i="1"/>
  <c r="O62" i="1"/>
  <c r="Q62" i="1"/>
  <c r="R62" i="1"/>
  <c r="T62" i="1"/>
  <c r="U62" i="1"/>
  <c r="V62" i="1"/>
  <c r="X62" i="1"/>
  <c r="Y62" i="1"/>
  <c r="Z62" i="1"/>
  <c r="J63" i="1"/>
  <c r="K63" i="1"/>
  <c r="L63" i="1"/>
  <c r="N63" i="1"/>
  <c r="O63" i="1"/>
  <c r="Q63" i="1"/>
  <c r="R63" i="1"/>
  <c r="T63" i="1"/>
  <c r="U63" i="1"/>
  <c r="V63" i="1"/>
  <c r="X63" i="1"/>
  <c r="Y63" i="1"/>
  <c r="Z63" i="1"/>
  <c r="J64" i="1"/>
  <c r="K64" i="1"/>
  <c r="L64" i="1"/>
  <c r="N64" i="1"/>
  <c r="O64" i="1"/>
  <c r="Q64" i="1"/>
  <c r="R64" i="1"/>
  <c r="T64" i="1"/>
  <c r="U64" i="1"/>
  <c r="V64" i="1"/>
  <c r="X64" i="1"/>
  <c r="Y64" i="1"/>
  <c r="Z64" i="1"/>
  <c r="J65" i="1"/>
  <c r="K65" i="1"/>
  <c r="L65" i="1"/>
  <c r="N65" i="1"/>
  <c r="O65" i="1"/>
  <c r="Q65" i="1"/>
  <c r="R65" i="1"/>
  <c r="T65" i="1"/>
  <c r="U65" i="1"/>
  <c r="V65" i="1"/>
  <c r="X65" i="1"/>
  <c r="Y65" i="1"/>
  <c r="Z65" i="1"/>
  <c r="J66" i="1"/>
  <c r="K66" i="1"/>
  <c r="L66" i="1"/>
  <c r="N66" i="1"/>
  <c r="O66" i="1"/>
  <c r="Q66" i="1"/>
  <c r="R66" i="1"/>
  <c r="T66" i="1"/>
  <c r="U66" i="1"/>
  <c r="V66" i="1"/>
  <c r="X66" i="1"/>
  <c r="Y66" i="1"/>
  <c r="Z66" i="1"/>
  <c r="J67" i="1"/>
  <c r="K67" i="1"/>
  <c r="L67" i="1"/>
  <c r="N67" i="1"/>
  <c r="O67" i="1"/>
  <c r="Q67" i="1"/>
  <c r="R67" i="1"/>
  <c r="T67" i="1"/>
  <c r="U67" i="1"/>
  <c r="V67" i="1"/>
  <c r="X67" i="1"/>
  <c r="Y67" i="1"/>
  <c r="Z67" i="1"/>
  <c r="J68" i="1"/>
  <c r="K68" i="1"/>
  <c r="L68" i="1"/>
  <c r="N68" i="1"/>
  <c r="O68" i="1"/>
  <c r="Q68" i="1"/>
  <c r="R68" i="1"/>
  <c r="T68" i="1"/>
  <c r="U68" i="1"/>
  <c r="V68" i="1"/>
  <c r="X68" i="1"/>
  <c r="Y68" i="1"/>
  <c r="Z68" i="1"/>
  <c r="J69" i="1"/>
  <c r="K69" i="1"/>
  <c r="L69" i="1"/>
  <c r="N69" i="1"/>
  <c r="O69" i="1"/>
  <c r="Q69" i="1"/>
  <c r="R69" i="1"/>
  <c r="T69" i="1"/>
  <c r="U69" i="1"/>
  <c r="V69" i="1"/>
  <c r="X69" i="1"/>
  <c r="Y69" i="1"/>
  <c r="Z69" i="1"/>
  <c r="J70" i="1"/>
  <c r="K70" i="1"/>
  <c r="L70" i="1"/>
  <c r="N70" i="1"/>
  <c r="O70" i="1"/>
  <c r="Q70" i="1"/>
  <c r="R70" i="1"/>
  <c r="T70" i="1"/>
  <c r="U70" i="1"/>
  <c r="V70" i="1"/>
  <c r="X70" i="1"/>
  <c r="Y70" i="1"/>
  <c r="Z70" i="1"/>
  <c r="J71" i="1"/>
  <c r="K71" i="1"/>
  <c r="L71" i="1"/>
  <c r="N71" i="1"/>
  <c r="O71" i="1"/>
  <c r="Q71" i="1"/>
  <c r="R71" i="1"/>
  <c r="T71" i="1"/>
  <c r="U71" i="1"/>
  <c r="V71" i="1"/>
  <c r="X71" i="1"/>
  <c r="Y71" i="1"/>
  <c r="Z71" i="1"/>
  <c r="J72" i="1"/>
  <c r="K72" i="1"/>
  <c r="L72" i="1"/>
  <c r="N72" i="1"/>
  <c r="O72" i="1"/>
  <c r="Q72" i="1"/>
  <c r="R72" i="1"/>
  <c r="T72" i="1"/>
  <c r="U72" i="1"/>
  <c r="V72" i="1"/>
  <c r="X72" i="1"/>
  <c r="Y72" i="1"/>
  <c r="Z72" i="1"/>
  <c r="J73" i="1"/>
  <c r="K73" i="1"/>
  <c r="L73" i="1"/>
  <c r="N73" i="1"/>
  <c r="O73" i="1"/>
  <c r="Q73" i="1"/>
  <c r="R73" i="1"/>
  <c r="T73" i="1"/>
  <c r="U73" i="1"/>
  <c r="V73" i="1"/>
  <c r="X73" i="1"/>
  <c r="Y73" i="1"/>
  <c r="Z73" i="1"/>
  <c r="J74" i="1"/>
  <c r="K74" i="1"/>
  <c r="L74" i="1"/>
  <c r="N74" i="1"/>
  <c r="O74" i="1"/>
  <c r="Q74" i="1"/>
  <c r="R74" i="1"/>
  <c r="T74" i="1"/>
  <c r="U74" i="1"/>
  <c r="V74" i="1"/>
  <c r="X74" i="1"/>
  <c r="Y74" i="1"/>
  <c r="Z74" i="1"/>
  <c r="J75" i="1"/>
  <c r="K75" i="1"/>
  <c r="L75" i="1"/>
  <c r="N75" i="1"/>
  <c r="O75" i="1"/>
  <c r="Q75" i="1"/>
  <c r="R75" i="1"/>
  <c r="T75" i="1"/>
  <c r="U75" i="1"/>
  <c r="V75" i="1"/>
  <c r="X75" i="1"/>
  <c r="Y75" i="1"/>
  <c r="Z75" i="1"/>
  <c r="J76" i="1"/>
  <c r="K76" i="1"/>
  <c r="L76" i="1"/>
  <c r="N76" i="1"/>
  <c r="O76" i="1"/>
  <c r="Q76" i="1"/>
  <c r="R76" i="1"/>
  <c r="T76" i="1"/>
  <c r="U76" i="1"/>
  <c r="V76" i="1"/>
  <c r="X76" i="1"/>
  <c r="Y76" i="1"/>
  <c r="Z76" i="1"/>
  <c r="J77" i="1"/>
  <c r="K77" i="1"/>
  <c r="L77" i="1"/>
  <c r="N77" i="1"/>
  <c r="O77" i="1"/>
  <c r="Q77" i="1"/>
  <c r="R77" i="1"/>
  <c r="T77" i="1"/>
  <c r="U77" i="1"/>
  <c r="V77" i="1"/>
  <c r="X77" i="1"/>
  <c r="Y77" i="1"/>
  <c r="Z77" i="1"/>
  <c r="J78" i="1"/>
  <c r="K78" i="1"/>
  <c r="L78" i="1"/>
  <c r="N78" i="1"/>
  <c r="O78" i="1"/>
  <c r="Q78" i="1"/>
  <c r="R78" i="1"/>
  <c r="T78" i="1"/>
  <c r="U78" i="1"/>
  <c r="V78" i="1"/>
  <c r="X78" i="1"/>
  <c r="Y78" i="1"/>
  <c r="Z78" i="1"/>
  <c r="J79" i="1"/>
  <c r="K79" i="1"/>
  <c r="L79" i="1"/>
  <c r="N79" i="1"/>
  <c r="O79" i="1"/>
  <c r="Q79" i="1"/>
  <c r="R79" i="1"/>
  <c r="T79" i="1"/>
  <c r="U79" i="1"/>
  <c r="V79" i="1"/>
  <c r="X79" i="1"/>
  <c r="Y79" i="1"/>
  <c r="Z79" i="1"/>
  <c r="J80" i="1"/>
  <c r="K80" i="1"/>
  <c r="L80" i="1"/>
  <c r="N80" i="1"/>
  <c r="O80" i="1"/>
  <c r="Q80" i="1"/>
  <c r="R80" i="1"/>
  <c r="T80" i="1"/>
  <c r="U80" i="1"/>
  <c r="V80" i="1"/>
  <c r="X80" i="1"/>
  <c r="Y80" i="1"/>
  <c r="Z80" i="1"/>
  <c r="J81" i="1"/>
  <c r="K81" i="1"/>
  <c r="L81" i="1"/>
  <c r="N81" i="1"/>
  <c r="O81" i="1"/>
  <c r="Q81" i="1"/>
  <c r="R81" i="1"/>
  <c r="T81" i="1"/>
  <c r="U81" i="1"/>
  <c r="V81" i="1"/>
  <c r="X81" i="1"/>
  <c r="Y81" i="1"/>
  <c r="Z81" i="1"/>
  <c r="J82" i="1"/>
  <c r="K82" i="1"/>
  <c r="L82" i="1"/>
  <c r="N82" i="1"/>
  <c r="O82" i="1"/>
  <c r="Q82" i="1"/>
  <c r="R82" i="1"/>
  <c r="T82" i="1"/>
  <c r="U82" i="1"/>
  <c r="V82" i="1"/>
  <c r="X82" i="1"/>
  <c r="Y82" i="1"/>
  <c r="Z82" i="1"/>
  <c r="J83" i="1"/>
  <c r="K83" i="1"/>
  <c r="L83" i="1"/>
  <c r="N83" i="1"/>
  <c r="O83" i="1"/>
  <c r="Q83" i="1"/>
  <c r="R83" i="1"/>
  <c r="T83" i="1"/>
  <c r="U83" i="1"/>
  <c r="V83" i="1"/>
  <c r="X83" i="1"/>
  <c r="Y83" i="1"/>
  <c r="Z83" i="1"/>
  <c r="J84" i="1"/>
  <c r="K84" i="1"/>
  <c r="L84" i="1"/>
  <c r="N84" i="1"/>
  <c r="O84" i="1"/>
  <c r="Q84" i="1"/>
  <c r="R84" i="1"/>
  <c r="T84" i="1"/>
  <c r="U84" i="1"/>
  <c r="V84" i="1"/>
  <c r="X84" i="1"/>
  <c r="Y84" i="1"/>
  <c r="Z84" i="1"/>
  <c r="J85" i="1"/>
  <c r="K85" i="1"/>
  <c r="L85" i="1"/>
  <c r="N85" i="1"/>
  <c r="O85" i="1"/>
  <c r="Q85" i="1"/>
  <c r="R85" i="1"/>
  <c r="T85" i="1"/>
  <c r="U85" i="1"/>
  <c r="V85" i="1"/>
  <c r="X85" i="1"/>
  <c r="Y85" i="1"/>
  <c r="Z85" i="1"/>
  <c r="J86" i="1"/>
  <c r="K86" i="1"/>
  <c r="L86" i="1"/>
  <c r="N86" i="1"/>
  <c r="O86" i="1"/>
  <c r="Q86" i="1"/>
  <c r="R86" i="1"/>
  <c r="T86" i="1"/>
  <c r="U86" i="1"/>
  <c r="V86" i="1"/>
  <c r="X86" i="1"/>
  <c r="Y86" i="1"/>
  <c r="Z86" i="1"/>
  <c r="J87" i="1"/>
  <c r="K87" i="1"/>
  <c r="L87" i="1"/>
  <c r="N87" i="1"/>
  <c r="O87" i="1"/>
  <c r="Q87" i="1"/>
  <c r="R87" i="1"/>
  <c r="T87" i="1"/>
  <c r="U87" i="1"/>
  <c r="V87" i="1"/>
  <c r="X87" i="1"/>
  <c r="Y87" i="1"/>
  <c r="Z87" i="1"/>
  <c r="J88" i="1"/>
  <c r="K88" i="1"/>
  <c r="L88" i="1"/>
  <c r="N88" i="1"/>
  <c r="O88" i="1"/>
  <c r="Q88" i="1"/>
  <c r="R88" i="1"/>
  <c r="T88" i="1"/>
  <c r="U88" i="1"/>
  <c r="V88" i="1"/>
  <c r="X88" i="1"/>
  <c r="Y88" i="1"/>
  <c r="Z88" i="1"/>
  <c r="J89" i="1"/>
  <c r="K89" i="1"/>
  <c r="L89" i="1"/>
  <c r="N89" i="1"/>
  <c r="O89" i="1"/>
  <c r="Q89" i="1"/>
  <c r="R89" i="1"/>
  <c r="T89" i="1"/>
  <c r="U89" i="1"/>
  <c r="V89" i="1"/>
  <c r="X89" i="1"/>
  <c r="Y89" i="1"/>
  <c r="Z89" i="1"/>
  <c r="J90" i="1"/>
  <c r="K90" i="1"/>
  <c r="L90" i="1"/>
  <c r="N90" i="1"/>
  <c r="O90" i="1"/>
  <c r="Q90" i="1"/>
  <c r="R90" i="1"/>
  <c r="T90" i="1"/>
  <c r="U90" i="1"/>
  <c r="V90" i="1"/>
  <c r="X90" i="1"/>
  <c r="Y90" i="1"/>
  <c r="Z90" i="1"/>
  <c r="J91" i="1"/>
  <c r="K91" i="1"/>
  <c r="L91" i="1"/>
  <c r="N91" i="1"/>
  <c r="O91" i="1"/>
  <c r="Q91" i="1"/>
  <c r="R91" i="1"/>
  <c r="T91" i="1"/>
  <c r="U91" i="1"/>
  <c r="V91" i="1"/>
  <c r="X91" i="1"/>
  <c r="Y91" i="1"/>
  <c r="Z91" i="1"/>
  <c r="J92" i="1"/>
  <c r="K92" i="1"/>
  <c r="L92" i="1"/>
  <c r="N92" i="1"/>
  <c r="O92" i="1"/>
  <c r="Q92" i="1"/>
  <c r="R92" i="1"/>
  <c r="T92" i="1"/>
  <c r="U92" i="1"/>
  <c r="V92" i="1"/>
  <c r="X92" i="1"/>
  <c r="Y92" i="1"/>
  <c r="Z92" i="1"/>
  <c r="J93" i="1"/>
  <c r="K93" i="1"/>
  <c r="L93" i="1"/>
  <c r="N93" i="1"/>
  <c r="O93" i="1"/>
  <c r="Q93" i="1"/>
  <c r="R93" i="1"/>
  <c r="T93" i="1"/>
  <c r="U93" i="1"/>
  <c r="V93" i="1"/>
  <c r="X93" i="1"/>
  <c r="Y93" i="1"/>
  <c r="Z93" i="1"/>
  <c r="J94" i="1"/>
  <c r="K94" i="1"/>
  <c r="L94" i="1"/>
  <c r="N94" i="1"/>
  <c r="O94" i="1"/>
  <c r="Q94" i="1"/>
  <c r="R94" i="1"/>
  <c r="T94" i="1"/>
  <c r="U94" i="1"/>
  <c r="V94" i="1"/>
  <c r="X94" i="1"/>
  <c r="Y94" i="1"/>
  <c r="Z94" i="1"/>
  <c r="J95" i="1"/>
  <c r="K95" i="1"/>
  <c r="L95" i="1"/>
  <c r="N95" i="1"/>
  <c r="O95" i="1"/>
  <c r="Q95" i="1"/>
  <c r="R95" i="1"/>
  <c r="T95" i="1"/>
  <c r="U95" i="1"/>
  <c r="V95" i="1"/>
  <c r="X95" i="1"/>
  <c r="Y95" i="1"/>
  <c r="Z95" i="1"/>
  <c r="J96" i="1"/>
  <c r="K96" i="1"/>
  <c r="L96" i="1"/>
  <c r="N96" i="1"/>
  <c r="O96" i="1"/>
  <c r="Q96" i="1"/>
  <c r="R96" i="1"/>
  <c r="T96" i="1"/>
  <c r="U96" i="1"/>
  <c r="V96" i="1"/>
  <c r="X96" i="1"/>
  <c r="Y96" i="1"/>
  <c r="Z96" i="1"/>
  <c r="J97" i="1"/>
  <c r="K97" i="1"/>
  <c r="L97" i="1"/>
  <c r="N97" i="1"/>
  <c r="O97" i="1"/>
  <c r="Q97" i="1"/>
  <c r="R97" i="1"/>
  <c r="T97" i="1"/>
  <c r="U97" i="1"/>
  <c r="V97" i="1"/>
  <c r="X97" i="1"/>
  <c r="Y97" i="1"/>
  <c r="Z97" i="1"/>
  <c r="J98" i="1"/>
  <c r="K98" i="1"/>
  <c r="L98" i="1"/>
  <c r="N98" i="1"/>
  <c r="O98" i="1"/>
  <c r="Q98" i="1"/>
  <c r="R98" i="1"/>
  <c r="T98" i="1"/>
  <c r="U98" i="1"/>
  <c r="V98" i="1"/>
  <c r="X98" i="1"/>
  <c r="Y98" i="1"/>
  <c r="Z98" i="1"/>
  <c r="J99" i="1"/>
  <c r="K99" i="1"/>
  <c r="L99" i="1"/>
  <c r="N99" i="1"/>
  <c r="O99" i="1"/>
  <c r="Q99" i="1"/>
  <c r="R99" i="1"/>
  <c r="T99" i="1"/>
  <c r="U99" i="1"/>
  <c r="V99" i="1"/>
  <c r="X99" i="1"/>
  <c r="Y99" i="1"/>
  <c r="Z99" i="1"/>
  <c r="J100" i="1"/>
  <c r="K100" i="1"/>
  <c r="L100" i="1"/>
  <c r="N100" i="1"/>
  <c r="O100" i="1"/>
  <c r="Q100" i="1"/>
  <c r="R100" i="1"/>
  <c r="T100" i="1"/>
  <c r="U100" i="1"/>
  <c r="V100" i="1"/>
  <c r="X100" i="1"/>
  <c r="Y100" i="1"/>
  <c r="Z100" i="1"/>
  <c r="J101" i="1"/>
  <c r="K101" i="1"/>
  <c r="L101" i="1"/>
  <c r="N101" i="1"/>
  <c r="O101" i="1"/>
  <c r="Q101" i="1"/>
  <c r="R101" i="1"/>
  <c r="T101" i="1"/>
  <c r="U101" i="1"/>
  <c r="V101" i="1"/>
  <c r="X101" i="1"/>
  <c r="Y101" i="1"/>
  <c r="Z101" i="1"/>
  <c r="J102" i="1"/>
  <c r="K102" i="1"/>
  <c r="L102" i="1"/>
  <c r="N102" i="1"/>
  <c r="O102" i="1"/>
  <c r="Q102" i="1"/>
  <c r="R102" i="1"/>
  <c r="T102" i="1"/>
  <c r="U102" i="1"/>
  <c r="V102" i="1"/>
  <c r="X102" i="1"/>
  <c r="Y102" i="1"/>
  <c r="Z102" i="1"/>
  <c r="J103" i="1"/>
  <c r="K103" i="1"/>
  <c r="L103" i="1"/>
  <c r="N103" i="1"/>
  <c r="O103" i="1"/>
  <c r="Q103" i="1"/>
  <c r="R103" i="1"/>
  <c r="T103" i="1"/>
  <c r="U103" i="1"/>
  <c r="V103" i="1"/>
  <c r="X103" i="1"/>
  <c r="Y103" i="1"/>
  <c r="Z103" i="1"/>
  <c r="J104" i="1"/>
  <c r="K104" i="1"/>
  <c r="L104" i="1"/>
  <c r="N104" i="1"/>
  <c r="O104" i="1"/>
  <c r="Q104" i="1"/>
  <c r="R104" i="1"/>
  <c r="T104" i="1"/>
  <c r="U104" i="1"/>
  <c r="V104" i="1"/>
  <c r="X104" i="1"/>
  <c r="Y104" i="1"/>
  <c r="Z104" i="1"/>
  <c r="J105" i="1"/>
  <c r="K105" i="1"/>
  <c r="L105" i="1"/>
  <c r="N105" i="1"/>
  <c r="O105" i="1"/>
  <c r="Q105" i="1"/>
  <c r="R105" i="1"/>
  <c r="T105" i="1"/>
  <c r="U105" i="1"/>
  <c r="V105" i="1"/>
  <c r="X105" i="1"/>
  <c r="Y105" i="1"/>
  <c r="Z105" i="1"/>
  <c r="J106" i="1"/>
  <c r="K106" i="1"/>
  <c r="L106" i="1"/>
  <c r="N106" i="1"/>
  <c r="O106" i="1"/>
  <c r="Q106" i="1"/>
  <c r="R106" i="1"/>
  <c r="T106" i="1"/>
  <c r="U106" i="1"/>
  <c r="V106" i="1"/>
  <c r="X106" i="1"/>
  <c r="Y106" i="1"/>
  <c r="Z106" i="1"/>
  <c r="J107" i="1"/>
  <c r="K107" i="1"/>
  <c r="L107" i="1"/>
  <c r="N107" i="1"/>
  <c r="O107" i="1"/>
  <c r="Q107" i="1"/>
  <c r="R107" i="1"/>
  <c r="T107" i="1"/>
  <c r="U107" i="1"/>
  <c r="V107" i="1"/>
  <c r="X107" i="1"/>
  <c r="Y107" i="1"/>
  <c r="Z107" i="1"/>
  <c r="J108" i="1"/>
  <c r="K108" i="1"/>
  <c r="L108" i="1"/>
  <c r="N108" i="1"/>
  <c r="O108" i="1"/>
  <c r="Q108" i="1"/>
  <c r="R108" i="1"/>
  <c r="T108" i="1"/>
  <c r="U108" i="1"/>
  <c r="V108" i="1"/>
  <c r="X108" i="1"/>
  <c r="Y108" i="1"/>
  <c r="Z108" i="1"/>
  <c r="J109" i="1"/>
  <c r="K109" i="1"/>
  <c r="L109" i="1"/>
  <c r="N109" i="1"/>
  <c r="O109" i="1"/>
  <c r="Q109" i="1"/>
  <c r="R109" i="1"/>
  <c r="T109" i="1"/>
  <c r="U109" i="1"/>
  <c r="V109" i="1"/>
  <c r="X109" i="1"/>
  <c r="Y109" i="1"/>
  <c r="Z109" i="1"/>
  <c r="J110" i="1"/>
  <c r="K110" i="1"/>
  <c r="L110" i="1"/>
  <c r="N110" i="1"/>
  <c r="O110" i="1"/>
  <c r="Q110" i="1"/>
  <c r="R110" i="1"/>
  <c r="T110" i="1"/>
  <c r="U110" i="1"/>
  <c r="V110" i="1"/>
  <c r="X110" i="1"/>
  <c r="Y110" i="1"/>
  <c r="Z110" i="1"/>
  <c r="J111" i="1"/>
  <c r="K111" i="1"/>
  <c r="L111" i="1"/>
  <c r="N111" i="1"/>
  <c r="O111" i="1"/>
  <c r="Q111" i="1"/>
  <c r="R111" i="1"/>
  <c r="T111" i="1"/>
  <c r="U111" i="1"/>
  <c r="V111" i="1"/>
  <c r="X111" i="1"/>
  <c r="Y111" i="1"/>
  <c r="Z111" i="1"/>
  <c r="J112" i="1"/>
  <c r="K112" i="1"/>
  <c r="L112" i="1"/>
  <c r="N112" i="1"/>
  <c r="O112" i="1"/>
  <c r="Q112" i="1"/>
  <c r="R112" i="1"/>
  <c r="T112" i="1"/>
  <c r="U112" i="1"/>
  <c r="V112" i="1"/>
  <c r="X112" i="1"/>
  <c r="Y112" i="1"/>
  <c r="Z112" i="1"/>
  <c r="J113" i="1"/>
  <c r="K113" i="1"/>
  <c r="L113" i="1"/>
  <c r="N113" i="1"/>
  <c r="O113" i="1"/>
  <c r="Q113" i="1"/>
  <c r="R113" i="1"/>
  <c r="T113" i="1"/>
  <c r="U113" i="1"/>
  <c r="V113" i="1"/>
  <c r="X113" i="1"/>
  <c r="Y113" i="1"/>
  <c r="Z113" i="1"/>
  <c r="J114" i="1"/>
  <c r="K114" i="1"/>
  <c r="L114" i="1"/>
  <c r="N114" i="1"/>
  <c r="O114" i="1"/>
  <c r="Q114" i="1"/>
  <c r="R114" i="1"/>
  <c r="T114" i="1"/>
  <c r="U114" i="1"/>
  <c r="V114" i="1"/>
  <c r="X114" i="1"/>
  <c r="Y114" i="1"/>
  <c r="Z114" i="1"/>
  <c r="J115" i="1"/>
  <c r="K115" i="1"/>
  <c r="L115" i="1"/>
  <c r="N115" i="1"/>
  <c r="O115" i="1"/>
  <c r="Q115" i="1"/>
  <c r="R115" i="1"/>
  <c r="T115" i="1"/>
  <c r="U115" i="1"/>
  <c r="V115" i="1"/>
  <c r="X115" i="1"/>
  <c r="Y115" i="1"/>
  <c r="Z115" i="1"/>
  <c r="J116" i="1"/>
  <c r="K116" i="1"/>
  <c r="L116" i="1"/>
  <c r="N116" i="1"/>
  <c r="O116" i="1"/>
  <c r="Q116" i="1"/>
  <c r="R116" i="1"/>
  <c r="T116" i="1"/>
  <c r="U116" i="1"/>
  <c r="V116" i="1"/>
  <c r="X116" i="1"/>
  <c r="Y116" i="1"/>
  <c r="Z116" i="1"/>
  <c r="J117" i="1"/>
  <c r="K117" i="1"/>
  <c r="L117" i="1"/>
  <c r="N117" i="1"/>
  <c r="O117" i="1"/>
  <c r="Q117" i="1"/>
  <c r="R117" i="1"/>
  <c r="T117" i="1"/>
  <c r="U117" i="1"/>
  <c r="V117" i="1"/>
  <c r="X117" i="1"/>
  <c r="Y117" i="1"/>
  <c r="Z117" i="1"/>
  <c r="J118" i="1"/>
  <c r="K118" i="1"/>
  <c r="L118" i="1"/>
  <c r="N118" i="1"/>
  <c r="O118" i="1"/>
  <c r="Q118" i="1"/>
  <c r="R118" i="1"/>
  <c r="T118" i="1"/>
  <c r="U118" i="1"/>
  <c r="V118" i="1"/>
  <c r="X118" i="1"/>
  <c r="Y118" i="1"/>
  <c r="Z118" i="1"/>
  <c r="J119" i="1"/>
  <c r="K119" i="1"/>
  <c r="L119" i="1"/>
  <c r="N119" i="1"/>
  <c r="O119" i="1"/>
  <c r="Q119" i="1"/>
  <c r="R119" i="1"/>
  <c r="T119" i="1"/>
  <c r="U119" i="1"/>
  <c r="V119" i="1"/>
  <c r="X119" i="1"/>
  <c r="Y119" i="1"/>
  <c r="Z119" i="1"/>
  <c r="J120" i="1"/>
  <c r="K120" i="1"/>
  <c r="L120" i="1"/>
  <c r="N120" i="1"/>
  <c r="O120" i="1"/>
  <c r="Q120" i="1"/>
  <c r="R120" i="1"/>
  <c r="T120" i="1"/>
  <c r="U120" i="1"/>
  <c r="V120" i="1"/>
  <c r="X120" i="1"/>
  <c r="Y120" i="1"/>
  <c r="Z120" i="1"/>
  <c r="J121" i="1"/>
  <c r="K121" i="1"/>
  <c r="L121" i="1"/>
  <c r="N121" i="1"/>
  <c r="O121" i="1"/>
  <c r="Q121" i="1"/>
  <c r="R121" i="1"/>
  <c r="T121" i="1"/>
  <c r="U121" i="1"/>
  <c r="V121" i="1"/>
  <c r="X121" i="1"/>
  <c r="Y121" i="1"/>
  <c r="Z121" i="1"/>
  <c r="J122" i="1"/>
  <c r="K122" i="1"/>
  <c r="L122" i="1"/>
  <c r="N122" i="1"/>
  <c r="O122" i="1"/>
  <c r="Q122" i="1"/>
  <c r="R122" i="1"/>
  <c r="T122" i="1"/>
  <c r="U122" i="1"/>
  <c r="V122" i="1"/>
  <c r="X122" i="1"/>
  <c r="Y122" i="1"/>
  <c r="Z122" i="1"/>
  <c r="J123" i="1"/>
  <c r="K123" i="1"/>
  <c r="L123" i="1"/>
  <c r="N123" i="1"/>
  <c r="O123" i="1"/>
  <c r="Q123" i="1"/>
  <c r="R123" i="1"/>
  <c r="T123" i="1"/>
  <c r="U123" i="1"/>
  <c r="V123" i="1"/>
  <c r="X123" i="1"/>
  <c r="Y123" i="1"/>
  <c r="Z123" i="1"/>
  <c r="J124" i="1"/>
  <c r="K124" i="1"/>
  <c r="L124" i="1"/>
  <c r="N124" i="1"/>
  <c r="O124" i="1"/>
  <c r="Q124" i="1"/>
  <c r="R124" i="1"/>
  <c r="T124" i="1"/>
  <c r="U124" i="1"/>
  <c r="V124" i="1"/>
  <c r="X124" i="1"/>
  <c r="Y124" i="1"/>
  <c r="Z124" i="1"/>
  <c r="J125" i="1"/>
  <c r="K125" i="1"/>
  <c r="L125" i="1"/>
  <c r="N125" i="1"/>
  <c r="O125" i="1"/>
  <c r="Q125" i="1"/>
  <c r="R125" i="1"/>
  <c r="T125" i="1"/>
  <c r="U125" i="1"/>
  <c r="V125" i="1"/>
  <c r="X125" i="1"/>
  <c r="Y125" i="1"/>
  <c r="Z125" i="1"/>
  <c r="J126" i="1"/>
  <c r="K126" i="1"/>
  <c r="L126" i="1"/>
  <c r="N126" i="1"/>
  <c r="O126" i="1"/>
  <c r="Q126" i="1"/>
  <c r="R126" i="1"/>
  <c r="T126" i="1"/>
  <c r="U126" i="1"/>
  <c r="V126" i="1"/>
  <c r="X126" i="1"/>
  <c r="Y126" i="1"/>
  <c r="Z126" i="1"/>
  <c r="J127" i="1"/>
  <c r="K127" i="1"/>
  <c r="L127" i="1"/>
  <c r="N127" i="1"/>
  <c r="O127" i="1"/>
  <c r="Q127" i="1"/>
  <c r="R127" i="1"/>
  <c r="T127" i="1"/>
  <c r="U127" i="1"/>
  <c r="V127" i="1"/>
  <c r="X127" i="1"/>
  <c r="Y127" i="1"/>
  <c r="Z127" i="1"/>
  <c r="J128" i="1"/>
  <c r="K128" i="1"/>
  <c r="L128" i="1"/>
  <c r="N128" i="1"/>
  <c r="O128" i="1"/>
  <c r="Q128" i="1"/>
  <c r="R128" i="1"/>
  <c r="T128" i="1"/>
  <c r="U128" i="1"/>
  <c r="V128" i="1"/>
  <c r="X128" i="1"/>
  <c r="Y128" i="1"/>
  <c r="Z128" i="1"/>
  <c r="J129" i="1"/>
  <c r="K129" i="1"/>
  <c r="L129" i="1"/>
  <c r="N129" i="1"/>
  <c r="O129" i="1"/>
  <c r="Q129" i="1"/>
  <c r="R129" i="1"/>
  <c r="T129" i="1"/>
  <c r="U129" i="1"/>
  <c r="V129" i="1"/>
  <c r="X129" i="1"/>
  <c r="Y129" i="1"/>
  <c r="Z129" i="1"/>
  <c r="J130" i="1"/>
  <c r="K130" i="1"/>
  <c r="L130" i="1"/>
  <c r="N130" i="1"/>
  <c r="O130" i="1"/>
  <c r="Q130" i="1"/>
  <c r="R130" i="1"/>
  <c r="T130" i="1"/>
  <c r="U130" i="1"/>
  <c r="V130" i="1"/>
  <c r="X130" i="1"/>
  <c r="Y130" i="1"/>
  <c r="Z130" i="1"/>
  <c r="J131" i="1"/>
  <c r="K131" i="1"/>
  <c r="L131" i="1"/>
  <c r="N131" i="1"/>
  <c r="O131" i="1"/>
  <c r="Q131" i="1"/>
  <c r="R131" i="1"/>
  <c r="T131" i="1"/>
  <c r="U131" i="1"/>
  <c r="V131" i="1"/>
  <c r="X131" i="1"/>
  <c r="Y131" i="1"/>
  <c r="Z131" i="1"/>
  <c r="J132" i="1"/>
  <c r="K132" i="1"/>
  <c r="L132" i="1"/>
  <c r="N132" i="1"/>
  <c r="O132" i="1"/>
  <c r="Q132" i="1"/>
  <c r="R132" i="1"/>
  <c r="T132" i="1"/>
  <c r="U132" i="1"/>
  <c r="V132" i="1"/>
  <c r="X132" i="1"/>
  <c r="Y132" i="1"/>
  <c r="Z132" i="1"/>
  <c r="J133" i="1"/>
  <c r="K133" i="1"/>
  <c r="L133" i="1"/>
  <c r="N133" i="1"/>
  <c r="O133" i="1"/>
  <c r="Q133" i="1"/>
  <c r="R133" i="1"/>
  <c r="T133" i="1"/>
  <c r="U133" i="1"/>
  <c r="V133" i="1"/>
  <c r="X133" i="1"/>
  <c r="Y133" i="1"/>
  <c r="Z133" i="1"/>
  <c r="J134" i="1"/>
  <c r="K134" i="1"/>
  <c r="L134" i="1"/>
  <c r="N134" i="1"/>
  <c r="O134" i="1"/>
  <c r="Q134" i="1"/>
  <c r="R134" i="1"/>
  <c r="T134" i="1"/>
  <c r="U134" i="1"/>
  <c r="V134" i="1"/>
  <c r="X134" i="1"/>
  <c r="Y134" i="1"/>
  <c r="Z134" i="1"/>
  <c r="J135" i="1"/>
  <c r="K135" i="1"/>
  <c r="L135" i="1"/>
  <c r="N135" i="1"/>
  <c r="O135" i="1"/>
  <c r="Q135" i="1"/>
  <c r="R135" i="1"/>
  <c r="T135" i="1"/>
  <c r="U135" i="1"/>
  <c r="V135" i="1"/>
  <c r="X135" i="1"/>
  <c r="Y135" i="1"/>
  <c r="Z135" i="1"/>
  <c r="J136" i="1"/>
  <c r="K136" i="1"/>
  <c r="L136" i="1"/>
  <c r="N136" i="1"/>
  <c r="O136" i="1"/>
  <c r="Q136" i="1"/>
  <c r="R136" i="1"/>
  <c r="T136" i="1"/>
  <c r="U136" i="1"/>
  <c r="V136" i="1"/>
  <c r="X136" i="1"/>
  <c r="Y136" i="1"/>
  <c r="Z136" i="1"/>
  <c r="J137" i="1"/>
  <c r="K137" i="1"/>
  <c r="L137" i="1"/>
  <c r="N137" i="1"/>
  <c r="O137" i="1"/>
  <c r="Q137" i="1"/>
  <c r="R137" i="1"/>
  <c r="T137" i="1"/>
  <c r="U137" i="1"/>
  <c r="V137" i="1"/>
  <c r="X137" i="1"/>
  <c r="Y137" i="1"/>
  <c r="Z137" i="1"/>
  <c r="J138" i="1"/>
  <c r="K138" i="1"/>
  <c r="L138" i="1"/>
  <c r="N138" i="1"/>
  <c r="O138" i="1"/>
  <c r="Q138" i="1"/>
  <c r="R138" i="1"/>
  <c r="T138" i="1"/>
  <c r="U138" i="1"/>
  <c r="V138" i="1"/>
  <c r="X138" i="1"/>
  <c r="Y138" i="1"/>
  <c r="Z138" i="1"/>
  <c r="J139" i="1"/>
  <c r="K139" i="1"/>
  <c r="L139" i="1"/>
  <c r="N139" i="1"/>
  <c r="O139" i="1"/>
  <c r="Q139" i="1"/>
  <c r="R139" i="1"/>
  <c r="T139" i="1"/>
  <c r="U139" i="1"/>
  <c r="V139" i="1"/>
  <c r="X139" i="1"/>
  <c r="Y139" i="1"/>
  <c r="Z139" i="1"/>
  <c r="J140" i="1"/>
  <c r="K140" i="1"/>
  <c r="L140" i="1"/>
  <c r="N140" i="1"/>
  <c r="O140" i="1"/>
  <c r="Q140" i="1"/>
  <c r="R140" i="1"/>
  <c r="T140" i="1"/>
  <c r="U140" i="1"/>
  <c r="V140" i="1"/>
  <c r="X140" i="1"/>
  <c r="Y140" i="1"/>
  <c r="Z140" i="1"/>
  <c r="J141" i="1"/>
  <c r="K141" i="1"/>
  <c r="L141" i="1"/>
  <c r="N141" i="1"/>
  <c r="O141" i="1"/>
  <c r="Q141" i="1"/>
  <c r="R141" i="1"/>
  <c r="T141" i="1"/>
  <c r="U141" i="1"/>
  <c r="V141" i="1"/>
  <c r="X141" i="1"/>
  <c r="Y141" i="1"/>
  <c r="Z141" i="1"/>
  <c r="J142" i="1"/>
  <c r="K142" i="1"/>
  <c r="L142" i="1"/>
  <c r="N142" i="1"/>
  <c r="O142" i="1"/>
  <c r="Q142" i="1"/>
  <c r="R142" i="1"/>
  <c r="T142" i="1"/>
  <c r="U142" i="1"/>
  <c r="V142" i="1"/>
  <c r="X142" i="1"/>
  <c r="Y142" i="1"/>
  <c r="Z142" i="1"/>
  <c r="J143" i="1"/>
  <c r="K143" i="1"/>
  <c r="L143" i="1"/>
  <c r="N143" i="1"/>
  <c r="O143" i="1"/>
  <c r="Q143" i="1"/>
  <c r="R143" i="1"/>
  <c r="T143" i="1"/>
  <c r="U143" i="1"/>
  <c r="V143" i="1"/>
  <c r="X143" i="1"/>
  <c r="Y143" i="1"/>
  <c r="Z143" i="1"/>
  <c r="J144" i="1"/>
  <c r="K144" i="1"/>
  <c r="L144" i="1"/>
  <c r="N144" i="1"/>
  <c r="O144" i="1"/>
  <c r="Q144" i="1"/>
  <c r="R144" i="1"/>
  <c r="T144" i="1"/>
  <c r="U144" i="1"/>
  <c r="V144" i="1"/>
  <c r="X144" i="1"/>
  <c r="Y144" i="1"/>
  <c r="Z144" i="1"/>
  <c r="J145" i="1"/>
  <c r="K145" i="1"/>
  <c r="L145" i="1"/>
  <c r="N145" i="1"/>
  <c r="O145" i="1"/>
  <c r="Q145" i="1"/>
  <c r="R145" i="1"/>
  <c r="T145" i="1"/>
  <c r="U145" i="1"/>
  <c r="V145" i="1"/>
  <c r="X145" i="1"/>
  <c r="Y145" i="1"/>
  <c r="Z145" i="1"/>
  <c r="J146" i="1"/>
  <c r="K146" i="1"/>
  <c r="L146" i="1"/>
  <c r="N146" i="1"/>
  <c r="O146" i="1"/>
  <c r="Q146" i="1"/>
  <c r="R146" i="1"/>
  <c r="T146" i="1"/>
  <c r="U146" i="1"/>
  <c r="V146" i="1"/>
  <c r="X146" i="1"/>
  <c r="Y146" i="1"/>
  <c r="Z146" i="1"/>
  <c r="J147" i="1"/>
  <c r="K147" i="1"/>
  <c r="L147" i="1"/>
  <c r="N147" i="1"/>
  <c r="O147" i="1"/>
  <c r="Q147" i="1"/>
  <c r="R147" i="1"/>
  <c r="T147" i="1"/>
  <c r="U147" i="1"/>
  <c r="V147" i="1"/>
  <c r="X147" i="1"/>
  <c r="Y147" i="1"/>
  <c r="Z147" i="1"/>
  <c r="J148" i="1"/>
  <c r="K148" i="1"/>
  <c r="L148" i="1"/>
  <c r="N148" i="1"/>
  <c r="O148" i="1"/>
  <c r="Q148" i="1"/>
  <c r="R148" i="1"/>
  <c r="T148" i="1"/>
  <c r="U148" i="1"/>
  <c r="V148" i="1"/>
  <c r="X148" i="1"/>
  <c r="Y148" i="1"/>
  <c r="Z148" i="1"/>
  <c r="J149" i="1"/>
  <c r="K149" i="1"/>
  <c r="L149" i="1"/>
  <c r="N149" i="1"/>
  <c r="O149" i="1"/>
  <c r="Q149" i="1"/>
  <c r="R149" i="1"/>
  <c r="T149" i="1"/>
  <c r="U149" i="1"/>
  <c r="V149" i="1"/>
  <c r="X149" i="1"/>
  <c r="Y149" i="1"/>
  <c r="Z149" i="1"/>
  <c r="J150" i="1"/>
  <c r="K150" i="1"/>
  <c r="L150" i="1"/>
  <c r="N150" i="1"/>
  <c r="O150" i="1"/>
  <c r="Q150" i="1"/>
  <c r="R150" i="1"/>
  <c r="T150" i="1"/>
  <c r="U150" i="1"/>
  <c r="V150" i="1"/>
  <c r="X150" i="1"/>
  <c r="Y150" i="1"/>
  <c r="Z150" i="1"/>
  <c r="J151" i="1"/>
  <c r="K151" i="1"/>
  <c r="L151" i="1"/>
  <c r="N151" i="1"/>
  <c r="O151" i="1"/>
  <c r="Q151" i="1"/>
  <c r="R151" i="1"/>
  <c r="T151" i="1"/>
  <c r="U151" i="1"/>
  <c r="V151" i="1"/>
  <c r="X151" i="1"/>
  <c r="Y151" i="1"/>
  <c r="Z151" i="1"/>
  <c r="J152" i="1"/>
  <c r="K152" i="1"/>
  <c r="L152" i="1"/>
  <c r="N152" i="1"/>
  <c r="O152" i="1"/>
  <c r="Q152" i="1"/>
  <c r="R152" i="1"/>
  <c r="T152" i="1"/>
  <c r="U152" i="1"/>
  <c r="V152" i="1"/>
  <c r="X152" i="1"/>
  <c r="Y152" i="1"/>
  <c r="Z152" i="1"/>
  <c r="J153" i="1"/>
  <c r="K153" i="1"/>
  <c r="L153" i="1"/>
  <c r="N153" i="1"/>
  <c r="O153" i="1"/>
  <c r="Q153" i="1"/>
  <c r="R153" i="1"/>
  <c r="T153" i="1"/>
  <c r="U153" i="1"/>
  <c r="V153" i="1"/>
  <c r="X153" i="1"/>
  <c r="Y153" i="1"/>
  <c r="Z153" i="1"/>
  <c r="J154" i="1"/>
  <c r="K154" i="1"/>
  <c r="L154" i="1"/>
  <c r="N154" i="1"/>
  <c r="O154" i="1"/>
  <c r="Q154" i="1"/>
  <c r="R154" i="1"/>
  <c r="T154" i="1"/>
  <c r="U154" i="1"/>
  <c r="V154" i="1"/>
  <c r="X154" i="1"/>
  <c r="Y154" i="1"/>
  <c r="Z154" i="1"/>
  <c r="J155" i="1"/>
  <c r="K155" i="1"/>
  <c r="L155" i="1"/>
  <c r="N155" i="1"/>
  <c r="O155" i="1"/>
  <c r="Q155" i="1"/>
  <c r="R155" i="1"/>
  <c r="T155" i="1"/>
  <c r="U155" i="1"/>
  <c r="V155" i="1"/>
  <c r="X155" i="1"/>
  <c r="Y155" i="1"/>
  <c r="Z155" i="1"/>
  <c r="J156" i="1"/>
  <c r="K156" i="1"/>
  <c r="L156" i="1"/>
  <c r="N156" i="1"/>
  <c r="O156" i="1"/>
  <c r="Q156" i="1"/>
  <c r="R156" i="1"/>
  <c r="T156" i="1"/>
  <c r="U156" i="1"/>
  <c r="V156" i="1"/>
  <c r="X156" i="1"/>
  <c r="Y156" i="1"/>
  <c r="Z156" i="1"/>
  <c r="J157" i="1"/>
  <c r="K157" i="1"/>
  <c r="L157" i="1"/>
  <c r="N157" i="1"/>
  <c r="O157" i="1"/>
  <c r="Q157" i="1"/>
  <c r="R157" i="1"/>
  <c r="T157" i="1"/>
  <c r="U157" i="1"/>
  <c r="V157" i="1"/>
  <c r="X157" i="1"/>
  <c r="Y157" i="1"/>
  <c r="Z157" i="1"/>
  <c r="J158" i="1"/>
  <c r="K158" i="1"/>
  <c r="L158" i="1"/>
  <c r="N158" i="1"/>
  <c r="O158" i="1"/>
  <c r="Q158" i="1"/>
  <c r="R158" i="1"/>
  <c r="T158" i="1"/>
  <c r="U158" i="1"/>
  <c r="V158" i="1"/>
  <c r="X158" i="1"/>
  <c r="Y158" i="1"/>
  <c r="Z158" i="1"/>
  <c r="J159" i="1"/>
  <c r="K159" i="1"/>
  <c r="L159" i="1"/>
  <c r="N159" i="1"/>
  <c r="O159" i="1"/>
  <c r="Q159" i="1"/>
  <c r="R159" i="1"/>
  <c r="T159" i="1"/>
  <c r="U159" i="1"/>
  <c r="V159" i="1"/>
  <c r="X159" i="1"/>
  <c r="Y159" i="1"/>
  <c r="Z159" i="1"/>
  <c r="J160" i="1"/>
  <c r="K160" i="1"/>
  <c r="L160" i="1"/>
  <c r="N160" i="1"/>
  <c r="O160" i="1"/>
  <c r="Q160" i="1"/>
  <c r="R160" i="1"/>
  <c r="T160" i="1"/>
  <c r="U160" i="1"/>
  <c r="V160" i="1"/>
  <c r="X160" i="1"/>
  <c r="Y160" i="1"/>
  <c r="Z160" i="1"/>
  <c r="J161" i="1"/>
  <c r="K161" i="1"/>
  <c r="L161" i="1"/>
  <c r="N161" i="1"/>
  <c r="O161" i="1"/>
  <c r="Q161" i="1"/>
  <c r="R161" i="1"/>
  <c r="T161" i="1"/>
  <c r="U161" i="1"/>
  <c r="V161" i="1"/>
  <c r="X161" i="1"/>
  <c r="Y161" i="1"/>
  <c r="Z161" i="1"/>
  <c r="J162" i="1"/>
  <c r="K162" i="1"/>
  <c r="L162" i="1"/>
  <c r="N162" i="1"/>
  <c r="O162" i="1"/>
  <c r="Q162" i="1"/>
  <c r="R162" i="1"/>
  <c r="T162" i="1"/>
  <c r="U162" i="1"/>
  <c r="V162" i="1"/>
  <c r="X162" i="1"/>
  <c r="Y162" i="1"/>
  <c r="Z162" i="1"/>
  <c r="J163" i="1"/>
  <c r="K163" i="1"/>
  <c r="L163" i="1"/>
  <c r="N163" i="1"/>
  <c r="O163" i="1"/>
  <c r="Q163" i="1"/>
  <c r="R163" i="1"/>
  <c r="T163" i="1"/>
  <c r="U163" i="1"/>
  <c r="V163" i="1"/>
  <c r="X163" i="1"/>
  <c r="Y163" i="1"/>
  <c r="Z163" i="1"/>
  <c r="J164" i="1"/>
  <c r="K164" i="1"/>
  <c r="L164" i="1"/>
  <c r="N164" i="1"/>
  <c r="O164" i="1"/>
  <c r="Q164" i="1"/>
  <c r="R164" i="1"/>
  <c r="T164" i="1"/>
  <c r="U164" i="1"/>
  <c r="V164" i="1"/>
  <c r="X164" i="1"/>
  <c r="Y164" i="1"/>
  <c r="Z164" i="1"/>
  <c r="J165" i="1"/>
  <c r="K165" i="1"/>
  <c r="L165" i="1"/>
  <c r="N165" i="1"/>
  <c r="O165" i="1"/>
  <c r="Q165" i="1"/>
  <c r="R165" i="1"/>
  <c r="T165" i="1"/>
  <c r="U165" i="1"/>
  <c r="V165" i="1"/>
  <c r="X165" i="1"/>
  <c r="Y165" i="1"/>
  <c r="Z165" i="1"/>
  <c r="J166" i="1"/>
  <c r="K166" i="1"/>
  <c r="L166" i="1"/>
  <c r="N166" i="1"/>
  <c r="O166" i="1"/>
  <c r="Q166" i="1"/>
  <c r="R166" i="1"/>
  <c r="T166" i="1"/>
  <c r="U166" i="1"/>
  <c r="V166" i="1"/>
  <c r="X166" i="1"/>
  <c r="Y166" i="1"/>
  <c r="Z166" i="1"/>
  <c r="J167" i="1"/>
  <c r="K167" i="1"/>
  <c r="L167" i="1"/>
  <c r="N167" i="1"/>
  <c r="O167" i="1"/>
  <c r="Q167" i="1"/>
  <c r="R167" i="1"/>
  <c r="T167" i="1"/>
  <c r="U167" i="1"/>
  <c r="V167" i="1"/>
  <c r="X167" i="1"/>
  <c r="Y167" i="1"/>
  <c r="Z167" i="1"/>
  <c r="J168" i="1"/>
  <c r="K168" i="1"/>
  <c r="L168" i="1"/>
  <c r="N168" i="1"/>
  <c r="O168" i="1"/>
  <c r="Q168" i="1"/>
  <c r="R168" i="1"/>
  <c r="T168" i="1"/>
  <c r="U168" i="1"/>
  <c r="V168" i="1"/>
  <c r="X168" i="1"/>
  <c r="Y168" i="1"/>
  <c r="Z168" i="1"/>
  <c r="J169" i="1"/>
  <c r="K169" i="1"/>
  <c r="L169" i="1"/>
  <c r="N169" i="1"/>
  <c r="O169" i="1"/>
  <c r="Q169" i="1"/>
  <c r="R169" i="1"/>
  <c r="T169" i="1"/>
  <c r="U169" i="1"/>
  <c r="V169" i="1"/>
  <c r="X169" i="1"/>
  <c r="Y169" i="1"/>
  <c r="Z169" i="1"/>
  <c r="J170" i="1"/>
  <c r="K170" i="1"/>
  <c r="L170" i="1"/>
  <c r="N170" i="1"/>
  <c r="O170" i="1"/>
  <c r="Q170" i="1"/>
  <c r="R170" i="1"/>
  <c r="T170" i="1"/>
  <c r="U170" i="1"/>
  <c r="V170" i="1"/>
  <c r="X170" i="1"/>
  <c r="Y170" i="1"/>
  <c r="Z170" i="1"/>
  <c r="J171" i="1"/>
  <c r="K171" i="1"/>
  <c r="L171" i="1"/>
  <c r="N171" i="1"/>
  <c r="O171" i="1"/>
  <c r="Q171" i="1"/>
  <c r="R171" i="1"/>
  <c r="T171" i="1"/>
  <c r="U171" i="1"/>
  <c r="V171" i="1"/>
  <c r="X171" i="1"/>
  <c r="Y171" i="1"/>
  <c r="Z171" i="1"/>
  <c r="J172" i="1"/>
  <c r="K172" i="1"/>
  <c r="L172" i="1"/>
  <c r="N172" i="1"/>
  <c r="O172" i="1"/>
  <c r="Q172" i="1"/>
  <c r="R172" i="1"/>
  <c r="T172" i="1"/>
  <c r="U172" i="1"/>
  <c r="V172" i="1"/>
  <c r="X172" i="1"/>
  <c r="Y172" i="1"/>
  <c r="Z172" i="1"/>
  <c r="J173" i="1"/>
  <c r="K173" i="1"/>
  <c r="L173" i="1"/>
  <c r="N173" i="1"/>
  <c r="O173" i="1"/>
  <c r="Q173" i="1"/>
  <c r="R173" i="1"/>
  <c r="T173" i="1"/>
  <c r="U173" i="1"/>
  <c r="V173" i="1"/>
  <c r="X173" i="1"/>
  <c r="Y173" i="1"/>
  <c r="Z173" i="1"/>
  <c r="J174" i="1"/>
  <c r="K174" i="1"/>
  <c r="L174" i="1"/>
  <c r="N174" i="1"/>
  <c r="O174" i="1"/>
  <c r="Q174" i="1"/>
  <c r="R174" i="1"/>
  <c r="T174" i="1"/>
  <c r="U174" i="1"/>
  <c r="V174" i="1"/>
  <c r="X174" i="1"/>
  <c r="Y174" i="1"/>
  <c r="Z174" i="1"/>
  <c r="J175" i="1"/>
  <c r="K175" i="1"/>
  <c r="L175" i="1"/>
  <c r="N175" i="1"/>
  <c r="O175" i="1"/>
  <c r="Q175" i="1"/>
  <c r="R175" i="1"/>
  <c r="T175" i="1"/>
  <c r="U175" i="1"/>
  <c r="V175" i="1"/>
  <c r="X175" i="1"/>
  <c r="Y175" i="1"/>
  <c r="Z175" i="1"/>
  <c r="J176" i="1"/>
  <c r="K176" i="1"/>
  <c r="L176" i="1"/>
  <c r="N176" i="1"/>
  <c r="O176" i="1"/>
  <c r="Q176" i="1"/>
  <c r="R176" i="1"/>
  <c r="T176" i="1"/>
  <c r="U176" i="1"/>
  <c r="V176" i="1"/>
  <c r="X176" i="1"/>
  <c r="Y176" i="1"/>
  <c r="Z176" i="1"/>
  <c r="J177" i="1"/>
  <c r="K177" i="1"/>
  <c r="L177" i="1"/>
  <c r="N177" i="1"/>
  <c r="O177" i="1"/>
  <c r="Q177" i="1"/>
  <c r="R177" i="1"/>
  <c r="T177" i="1"/>
  <c r="U177" i="1"/>
  <c r="V177" i="1"/>
  <c r="X177" i="1"/>
  <c r="Y177" i="1"/>
  <c r="Z177" i="1"/>
  <c r="J178" i="1"/>
  <c r="K178" i="1"/>
  <c r="L178" i="1"/>
  <c r="N178" i="1"/>
  <c r="O178" i="1"/>
  <c r="Q178" i="1"/>
  <c r="R178" i="1"/>
  <c r="T178" i="1"/>
  <c r="U178" i="1"/>
  <c r="V178" i="1"/>
  <c r="X178" i="1"/>
  <c r="Y178" i="1"/>
  <c r="Z178" i="1"/>
  <c r="J179" i="1"/>
  <c r="K179" i="1"/>
  <c r="L179" i="1"/>
  <c r="N179" i="1"/>
  <c r="O179" i="1"/>
  <c r="Q179" i="1"/>
  <c r="R179" i="1"/>
  <c r="T179" i="1"/>
  <c r="U179" i="1"/>
  <c r="V179" i="1"/>
  <c r="X179" i="1"/>
  <c r="Y179" i="1"/>
  <c r="Z179" i="1"/>
  <c r="J180" i="1"/>
  <c r="K180" i="1"/>
  <c r="L180" i="1"/>
  <c r="N180" i="1"/>
  <c r="O180" i="1"/>
  <c r="Q180" i="1"/>
  <c r="R180" i="1"/>
  <c r="T180" i="1"/>
  <c r="U180" i="1"/>
  <c r="V180" i="1"/>
  <c r="X180" i="1"/>
  <c r="Y180" i="1"/>
  <c r="Z180" i="1"/>
  <c r="J181" i="1"/>
  <c r="K181" i="1"/>
  <c r="L181" i="1"/>
  <c r="N181" i="1"/>
  <c r="O181" i="1"/>
  <c r="Q181" i="1"/>
  <c r="R181" i="1"/>
  <c r="T181" i="1"/>
  <c r="U181" i="1"/>
  <c r="V181" i="1"/>
  <c r="X181" i="1"/>
  <c r="Y181" i="1"/>
  <c r="Z181" i="1"/>
  <c r="J182" i="1"/>
  <c r="K182" i="1"/>
  <c r="L182" i="1"/>
  <c r="N182" i="1"/>
  <c r="O182" i="1"/>
  <c r="Q182" i="1"/>
  <c r="R182" i="1"/>
  <c r="T182" i="1"/>
  <c r="U182" i="1"/>
  <c r="V182" i="1"/>
  <c r="X182" i="1"/>
  <c r="Y182" i="1"/>
  <c r="Z182" i="1"/>
  <c r="J183" i="1"/>
  <c r="K183" i="1"/>
  <c r="L183" i="1"/>
  <c r="N183" i="1"/>
  <c r="O183" i="1"/>
  <c r="Q183" i="1"/>
  <c r="R183" i="1"/>
  <c r="T183" i="1"/>
  <c r="U183" i="1"/>
  <c r="V183" i="1"/>
  <c r="X183" i="1"/>
  <c r="Y183" i="1"/>
  <c r="Z183" i="1"/>
  <c r="J184" i="1"/>
  <c r="K184" i="1"/>
  <c r="L184" i="1"/>
  <c r="N184" i="1"/>
  <c r="O184" i="1"/>
  <c r="Q184" i="1"/>
  <c r="R184" i="1"/>
  <c r="T184" i="1"/>
  <c r="U184" i="1"/>
  <c r="V184" i="1"/>
  <c r="X184" i="1"/>
  <c r="Y184" i="1"/>
  <c r="Z184" i="1"/>
  <c r="J185" i="1"/>
  <c r="K185" i="1"/>
  <c r="L185" i="1"/>
  <c r="N185" i="1"/>
  <c r="O185" i="1"/>
  <c r="Q185" i="1"/>
  <c r="R185" i="1"/>
  <c r="T185" i="1"/>
  <c r="U185" i="1"/>
  <c r="V185" i="1"/>
  <c r="X185" i="1"/>
  <c r="Y185" i="1"/>
  <c r="Z185" i="1"/>
  <c r="J186" i="1"/>
  <c r="K186" i="1"/>
  <c r="L186" i="1"/>
  <c r="N186" i="1"/>
  <c r="O186" i="1"/>
  <c r="Q186" i="1"/>
  <c r="R186" i="1"/>
  <c r="T186" i="1"/>
  <c r="U186" i="1"/>
  <c r="V186" i="1"/>
  <c r="X186" i="1"/>
  <c r="Y186" i="1"/>
  <c r="Z186" i="1"/>
  <c r="J187" i="1"/>
  <c r="K187" i="1"/>
  <c r="L187" i="1"/>
  <c r="N187" i="1"/>
  <c r="O187" i="1"/>
  <c r="Q187" i="1"/>
  <c r="R187" i="1"/>
  <c r="T187" i="1"/>
  <c r="U187" i="1"/>
  <c r="V187" i="1"/>
  <c r="X187" i="1"/>
  <c r="Y187" i="1"/>
  <c r="Z187" i="1"/>
  <c r="J188" i="1"/>
  <c r="K188" i="1"/>
  <c r="L188" i="1"/>
  <c r="N188" i="1"/>
  <c r="O188" i="1"/>
  <c r="Q188" i="1"/>
  <c r="R188" i="1"/>
  <c r="T188" i="1"/>
  <c r="U188" i="1"/>
  <c r="V188" i="1"/>
  <c r="X188" i="1"/>
  <c r="Y188" i="1"/>
  <c r="Z188" i="1"/>
  <c r="J189" i="1"/>
  <c r="K189" i="1"/>
  <c r="L189" i="1"/>
  <c r="N189" i="1"/>
  <c r="O189" i="1"/>
  <c r="Q189" i="1"/>
  <c r="R189" i="1"/>
  <c r="T189" i="1"/>
  <c r="U189" i="1"/>
  <c r="V189" i="1"/>
  <c r="X189" i="1"/>
  <c r="Y189" i="1"/>
  <c r="Z189" i="1"/>
  <c r="J190" i="1"/>
  <c r="K190" i="1"/>
  <c r="L190" i="1"/>
  <c r="N190" i="1"/>
  <c r="O190" i="1"/>
  <c r="Q190" i="1"/>
  <c r="R190" i="1"/>
  <c r="T190" i="1"/>
  <c r="U190" i="1"/>
  <c r="V190" i="1"/>
  <c r="X190" i="1"/>
  <c r="Y190" i="1"/>
  <c r="Z190" i="1"/>
  <c r="J191" i="1"/>
  <c r="K191" i="1"/>
  <c r="L191" i="1"/>
  <c r="N191" i="1"/>
  <c r="O191" i="1"/>
  <c r="Q191" i="1"/>
  <c r="R191" i="1"/>
  <c r="T191" i="1"/>
  <c r="U191" i="1"/>
  <c r="V191" i="1"/>
  <c r="X191" i="1"/>
  <c r="Y191" i="1"/>
  <c r="Z191" i="1"/>
  <c r="J192" i="1"/>
  <c r="K192" i="1"/>
  <c r="L192" i="1"/>
  <c r="N192" i="1"/>
  <c r="O192" i="1"/>
  <c r="Q192" i="1"/>
  <c r="R192" i="1"/>
  <c r="T192" i="1"/>
  <c r="U192" i="1"/>
  <c r="V192" i="1"/>
  <c r="X192" i="1"/>
  <c r="Y192" i="1"/>
  <c r="Z192" i="1"/>
  <c r="J193" i="1"/>
  <c r="K193" i="1"/>
  <c r="L193" i="1"/>
  <c r="N193" i="1"/>
  <c r="O193" i="1"/>
  <c r="Q193" i="1"/>
  <c r="R193" i="1"/>
  <c r="T193" i="1"/>
  <c r="U193" i="1"/>
  <c r="V193" i="1"/>
  <c r="X193" i="1"/>
  <c r="Y193" i="1"/>
  <c r="Z193" i="1"/>
  <c r="J194" i="1"/>
  <c r="K194" i="1"/>
  <c r="L194" i="1"/>
  <c r="N194" i="1"/>
  <c r="O194" i="1"/>
  <c r="Q194" i="1"/>
  <c r="R194" i="1"/>
  <c r="T194" i="1"/>
  <c r="U194" i="1"/>
  <c r="V194" i="1"/>
  <c r="X194" i="1"/>
  <c r="Y194" i="1"/>
  <c r="Z194" i="1"/>
  <c r="J195" i="1"/>
  <c r="K195" i="1"/>
  <c r="L195" i="1"/>
  <c r="N195" i="1"/>
  <c r="O195" i="1"/>
  <c r="Q195" i="1"/>
  <c r="R195" i="1"/>
  <c r="T195" i="1"/>
  <c r="U195" i="1"/>
  <c r="V195" i="1"/>
  <c r="X195" i="1"/>
  <c r="Y195" i="1"/>
  <c r="Z195" i="1"/>
  <c r="J196" i="1"/>
  <c r="K196" i="1"/>
  <c r="L196" i="1"/>
  <c r="N196" i="1"/>
  <c r="O196" i="1"/>
  <c r="Q196" i="1"/>
  <c r="R196" i="1"/>
  <c r="T196" i="1"/>
  <c r="U196" i="1"/>
  <c r="V196" i="1"/>
  <c r="X196" i="1"/>
  <c r="Y196" i="1"/>
  <c r="Z196" i="1"/>
  <c r="J197" i="1"/>
  <c r="K197" i="1"/>
  <c r="L197" i="1"/>
  <c r="N197" i="1"/>
  <c r="O197" i="1"/>
  <c r="Q197" i="1"/>
  <c r="R197" i="1"/>
  <c r="T197" i="1"/>
  <c r="U197" i="1"/>
  <c r="V197" i="1"/>
  <c r="X197" i="1"/>
  <c r="Y197" i="1"/>
  <c r="Z197" i="1"/>
  <c r="J198" i="1"/>
  <c r="K198" i="1"/>
  <c r="L198" i="1"/>
  <c r="N198" i="1"/>
  <c r="O198" i="1"/>
  <c r="Q198" i="1"/>
  <c r="R198" i="1"/>
  <c r="T198" i="1"/>
  <c r="U198" i="1"/>
  <c r="V198" i="1"/>
  <c r="X198" i="1"/>
  <c r="Y198" i="1"/>
  <c r="Z198" i="1"/>
  <c r="J199" i="1"/>
  <c r="K199" i="1"/>
  <c r="L199" i="1"/>
  <c r="N199" i="1"/>
  <c r="O199" i="1"/>
  <c r="Q199" i="1"/>
  <c r="R199" i="1"/>
  <c r="T199" i="1"/>
  <c r="U199" i="1"/>
  <c r="V199" i="1"/>
  <c r="X199" i="1"/>
  <c r="Y199" i="1"/>
  <c r="Z199" i="1"/>
  <c r="J200" i="1"/>
  <c r="K200" i="1"/>
  <c r="L200" i="1"/>
  <c r="N200" i="1"/>
  <c r="O200" i="1"/>
  <c r="Q200" i="1"/>
  <c r="R200" i="1"/>
  <c r="T200" i="1"/>
  <c r="U200" i="1"/>
  <c r="V200" i="1"/>
  <c r="X200" i="1"/>
  <c r="Y200" i="1"/>
  <c r="Z200" i="1"/>
  <c r="J201" i="1"/>
  <c r="K201" i="1"/>
  <c r="L201" i="1"/>
  <c r="N201" i="1"/>
  <c r="O201" i="1"/>
  <c r="Q201" i="1"/>
  <c r="R201" i="1"/>
  <c r="T201" i="1"/>
  <c r="U201" i="1"/>
  <c r="V201" i="1"/>
  <c r="X201" i="1"/>
  <c r="Y201" i="1"/>
  <c r="Z201" i="1"/>
  <c r="J202" i="1"/>
  <c r="K202" i="1"/>
  <c r="L202" i="1"/>
  <c r="N202" i="1"/>
  <c r="O202" i="1"/>
  <c r="Q202" i="1"/>
  <c r="R202" i="1"/>
  <c r="T202" i="1"/>
  <c r="U202" i="1"/>
  <c r="V202" i="1"/>
  <c r="X202" i="1"/>
  <c r="Y202" i="1"/>
  <c r="Z202" i="1"/>
  <c r="Z3" i="1"/>
  <c r="Y3" i="1"/>
  <c r="X3" i="1"/>
  <c r="R3" i="1"/>
  <c r="Q3" i="1"/>
  <c r="O3" i="1"/>
  <c r="N3" i="1"/>
  <c r="L3" i="1"/>
  <c r="K3" i="1"/>
  <c r="J3" i="1"/>
  <c r="F4" i="1"/>
  <c r="G4" i="1"/>
  <c r="H4" i="1"/>
  <c r="F5" i="1"/>
  <c r="G5" i="1"/>
  <c r="H5" i="1"/>
  <c r="F6" i="1"/>
  <c r="G6" i="1"/>
  <c r="H6" i="1"/>
  <c r="F7" i="1"/>
  <c r="G7" i="1"/>
  <c r="H7" i="1"/>
  <c r="F8" i="1"/>
  <c r="G8" i="1"/>
  <c r="H8" i="1"/>
  <c r="F9" i="1"/>
  <c r="G9" i="1"/>
  <c r="H9" i="1"/>
  <c r="F10" i="1"/>
  <c r="G10" i="1"/>
  <c r="H10" i="1"/>
  <c r="F11" i="1"/>
  <c r="G11" i="1"/>
  <c r="H11" i="1"/>
  <c r="F12" i="1"/>
  <c r="G12" i="1"/>
  <c r="H12" i="1"/>
  <c r="F13" i="1"/>
  <c r="G13" i="1"/>
  <c r="H13" i="1"/>
  <c r="F14" i="1"/>
  <c r="G14" i="1"/>
  <c r="H14" i="1"/>
  <c r="F15" i="1"/>
  <c r="G15" i="1"/>
  <c r="H15" i="1"/>
  <c r="F16" i="1"/>
  <c r="G16" i="1"/>
  <c r="H16" i="1"/>
  <c r="F17" i="1"/>
  <c r="G17" i="1"/>
  <c r="H17" i="1"/>
  <c r="F18" i="1"/>
  <c r="G18" i="1"/>
  <c r="H18" i="1"/>
  <c r="F19" i="1"/>
  <c r="G19" i="1"/>
  <c r="H19" i="1"/>
  <c r="F20" i="1"/>
  <c r="G20" i="1"/>
  <c r="H20" i="1"/>
  <c r="F21" i="1"/>
  <c r="G21" i="1"/>
  <c r="H21" i="1"/>
  <c r="F22" i="1"/>
  <c r="G22" i="1"/>
  <c r="H22" i="1"/>
  <c r="F23" i="1"/>
  <c r="G23" i="1"/>
  <c r="H23" i="1"/>
  <c r="F24" i="1"/>
  <c r="G24" i="1"/>
  <c r="H24" i="1"/>
  <c r="F25" i="1"/>
  <c r="G25" i="1"/>
  <c r="H25" i="1"/>
  <c r="F26" i="1"/>
  <c r="G26" i="1"/>
  <c r="H26" i="1"/>
  <c r="F27" i="1"/>
  <c r="G27" i="1"/>
  <c r="H27" i="1"/>
  <c r="F28" i="1"/>
  <c r="G28" i="1"/>
  <c r="H28" i="1"/>
  <c r="F29" i="1"/>
  <c r="G29" i="1"/>
  <c r="H29" i="1"/>
  <c r="F30" i="1"/>
  <c r="G30" i="1"/>
  <c r="H30" i="1"/>
  <c r="F31" i="1"/>
  <c r="G31" i="1"/>
  <c r="H31" i="1"/>
  <c r="F32" i="1"/>
  <c r="G32" i="1"/>
  <c r="H32" i="1"/>
  <c r="F33" i="1"/>
  <c r="G33" i="1"/>
  <c r="H33" i="1"/>
  <c r="F34" i="1"/>
  <c r="G34" i="1"/>
  <c r="H34" i="1"/>
  <c r="F35" i="1"/>
  <c r="G35" i="1"/>
  <c r="H35" i="1"/>
  <c r="F36" i="1"/>
  <c r="G36" i="1"/>
  <c r="H36" i="1"/>
  <c r="F37" i="1"/>
  <c r="G37" i="1"/>
  <c r="H37" i="1"/>
  <c r="F38" i="1"/>
  <c r="G38" i="1"/>
  <c r="H38" i="1"/>
  <c r="F39" i="1"/>
  <c r="G39" i="1"/>
  <c r="H39" i="1"/>
  <c r="F40" i="1"/>
  <c r="G40" i="1"/>
  <c r="H40" i="1"/>
  <c r="F41" i="1"/>
  <c r="G41" i="1"/>
  <c r="H41" i="1"/>
  <c r="F42" i="1"/>
  <c r="G42" i="1"/>
  <c r="H42" i="1"/>
  <c r="F43" i="1"/>
  <c r="G43" i="1"/>
  <c r="H43" i="1"/>
  <c r="F44" i="1"/>
  <c r="G44" i="1"/>
  <c r="H44" i="1"/>
  <c r="F45" i="1"/>
  <c r="G45" i="1"/>
  <c r="H45" i="1"/>
  <c r="F46" i="1"/>
  <c r="G46" i="1"/>
  <c r="H46" i="1"/>
  <c r="F47" i="1"/>
  <c r="G47" i="1"/>
  <c r="H47" i="1"/>
  <c r="F48" i="1"/>
  <c r="G48" i="1"/>
  <c r="H48" i="1"/>
  <c r="F49" i="1"/>
  <c r="G49" i="1"/>
  <c r="H49" i="1"/>
  <c r="F50" i="1"/>
  <c r="G50" i="1"/>
  <c r="H50" i="1"/>
  <c r="F51" i="1"/>
  <c r="G51" i="1"/>
  <c r="H51" i="1"/>
  <c r="F52" i="1"/>
  <c r="G52" i="1"/>
  <c r="H52" i="1"/>
  <c r="F53" i="1"/>
  <c r="G53" i="1"/>
  <c r="H53" i="1"/>
  <c r="F54" i="1"/>
  <c r="G54" i="1"/>
  <c r="H54" i="1"/>
  <c r="F55" i="1"/>
  <c r="G55" i="1"/>
  <c r="H55" i="1"/>
  <c r="F56" i="1"/>
  <c r="G56" i="1"/>
  <c r="H56" i="1"/>
  <c r="F57" i="1"/>
  <c r="G57" i="1"/>
  <c r="H57" i="1"/>
  <c r="F58" i="1"/>
  <c r="G58" i="1"/>
  <c r="H58" i="1"/>
  <c r="F59" i="1"/>
  <c r="G59" i="1"/>
  <c r="H59" i="1"/>
  <c r="F60" i="1"/>
  <c r="G60" i="1"/>
  <c r="H60" i="1"/>
  <c r="F61" i="1"/>
  <c r="G61" i="1"/>
  <c r="H61" i="1"/>
  <c r="F62" i="1"/>
  <c r="G62" i="1"/>
  <c r="H62" i="1"/>
  <c r="F63" i="1"/>
  <c r="G63" i="1"/>
  <c r="H63" i="1"/>
  <c r="F64" i="1"/>
  <c r="G64" i="1"/>
  <c r="H64" i="1"/>
  <c r="F65" i="1"/>
  <c r="G65" i="1"/>
  <c r="H65" i="1"/>
  <c r="F66" i="1"/>
  <c r="G66" i="1"/>
  <c r="H66" i="1"/>
  <c r="F67" i="1"/>
  <c r="G67" i="1"/>
  <c r="H67" i="1"/>
  <c r="F68" i="1"/>
  <c r="G68" i="1"/>
  <c r="H68" i="1"/>
  <c r="F69" i="1"/>
  <c r="G69" i="1"/>
  <c r="H69" i="1"/>
  <c r="F70" i="1"/>
  <c r="G70" i="1"/>
  <c r="H70" i="1"/>
  <c r="F71" i="1"/>
  <c r="G71" i="1"/>
  <c r="H71" i="1"/>
  <c r="F72" i="1"/>
  <c r="G72" i="1"/>
  <c r="H72" i="1"/>
  <c r="F73" i="1"/>
  <c r="G73" i="1"/>
  <c r="H73" i="1"/>
  <c r="F74" i="1"/>
  <c r="G74" i="1"/>
  <c r="H74" i="1"/>
  <c r="F75" i="1"/>
  <c r="G75" i="1"/>
  <c r="H75" i="1"/>
  <c r="F76" i="1"/>
  <c r="G76" i="1"/>
  <c r="H76" i="1"/>
  <c r="F77" i="1"/>
  <c r="G77" i="1"/>
  <c r="H77" i="1"/>
  <c r="F78" i="1"/>
  <c r="G78" i="1"/>
  <c r="H78" i="1"/>
  <c r="F79" i="1"/>
  <c r="G79" i="1"/>
  <c r="H79" i="1"/>
  <c r="F80" i="1"/>
  <c r="G80" i="1"/>
  <c r="H80" i="1"/>
  <c r="F81" i="1"/>
  <c r="G81" i="1"/>
  <c r="H81" i="1"/>
  <c r="F82" i="1"/>
  <c r="G82" i="1"/>
  <c r="H82" i="1"/>
  <c r="F83" i="1"/>
  <c r="G83" i="1"/>
  <c r="H83" i="1"/>
  <c r="F84" i="1"/>
  <c r="G84" i="1"/>
  <c r="H84" i="1"/>
  <c r="F85" i="1"/>
  <c r="G85" i="1"/>
  <c r="H85" i="1"/>
  <c r="F86" i="1"/>
  <c r="G86" i="1"/>
  <c r="H86" i="1"/>
  <c r="F87" i="1"/>
  <c r="G87" i="1"/>
  <c r="H87" i="1"/>
  <c r="F88" i="1"/>
  <c r="G88" i="1"/>
  <c r="H88" i="1"/>
  <c r="F89" i="1"/>
  <c r="G89" i="1"/>
  <c r="H89" i="1"/>
  <c r="F90" i="1"/>
  <c r="G90" i="1"/>
  <c r="H90" i="1"/>
  <c r="F91" i="1"/>
  <c r="G91" i="1"/>
  <c r="H91" i="1"/>
  <c r="F92" i="1"/>
  <c r="G92" i="1"/>
  <c r="H92" i="1"/>
  <c r="F93" i="1"/>
  <c r="G93" i="1"/>
  <c r="H93" i="1"/>
  <c r="F94" i="1"/>
  <c r="G94" i="1"/>
  <c r="H94" i="1"/>
  <c r="F95" i="1"/>
  <c r="G95" i="1"/>
  <c r="H95" i="1"/>
  <c r="F96" i="1"/>
  <c r="G96" i="1"/>
  <c r="H96" i="1"/>
  <c r="F97" i="1"/>
  <c r="G97" i="1"/>
  <c r="H97" i="1"/>
  <c r="F98" i="1"/>
  <c r="G98" i="1"/>
  <c r="H98" i="1"/>
  <c r="F99" i="1"/>
  <c r="G99" i="1"/>
  <c r="H99" i="1"/>
  <c r="F100" i="1"/>
  <c r="G100" i="1"/>
  <c r="H100" i="1"/>
  <c r="F101" i="1"/>
  <c r="G101" i="1"/>
  <c r="H101" i="1"/>
  <c r="F102" i="1"/>
  <c r="G102" i="1"/>
  <c r="H102" i="1"/>
  <c r="F103" i="1"/>
  <c r="G103" i="1"/>
  <c r="H103" i="1"/>
  <c r="F104" i="1"/>
  <c r="G104" i="1"/>
  <c r="H104" i="1"/>
  <c r="F105" i="1"/>
  <c r="G105" i="1"/>
  <c r="H105" i="1"/>
  <c r="F106" i="1"/>
  <c r="G106" i="1"/>
  <c r="H106" i="1"/>
  <c r="F107" i="1"/>
  <c r="G107" i="1"/>
  <c r="H107" i="1"/>
  <c r="F108" i="1"/>
  <c r="G108" i="1"/>
  <c r="H108" i="1"/>
  <c r="F109" i="1"/>
  <c r="G109" i="1"/>
  <c r="H109" i="1"/>
  <c r="F110" i="1"/>
  <c r="G110" i="1"/>
  <c r="H110" i="1"/>
  <c r="F111" i="1"/>
  <c r="G111" i="1"/>
  <c r="H111" i="1"/>
  <c r="F112" i="1"/>
  <c r="G112" i="1"/>
  <c r="H112" i="1"/>
  <c r="F113" i="1"/>
  <c r="G113" i="1"/>
  <c r="H113" i="1"/>
  <c r="F114" i="1"/>
  <c r="G114" i="1"/>
  <c r="H114" i="1"/>
  <c r="F115" i="1"/>
  <c r="G115" i="1"/>
  <c r="H115" i="1"/>
  <c r="F116" i="1"/>
  <c r="G116" i="1"/>
  <c r="H116" i="1"/>
  <c r="F117" i="1"/>
  <c r="G117" i="1"/>
  <c r="H117" i="1"/>
  <c r="F118" i="1"/>
  <c r="G118" i="1"/>
  <c r="H118" i="1"/>
  <c r="F119" i="1"/>
  <c r="G119" i="1"/>
  <c r="H119" i="1"/>
  <c r="F120" i="1"/>
  <c r="G120" i="1"/>
  <c r="H120" i="1"/>
  <c r="F121" i="1"/>
  <c r="G121" i="1"/>
  <c r="H121" i="1"/>
  <c r="F122" i="1"/>
  <c r="G122" i="1"/>
  <c r="H122" i="1"/>
  <c r="F123" i="1"/>
  <c r="G123" i="1"/>
  <c r="H123" i="1"/>
  <c r="F124" i="1"/>
  <c r="G124" i="1"/>
  <c r="H124" i="1"/>
  <c r="F125" i="1"/>
  <c r="G125" i="1"/>
  <c r="H125" i="1"/>
  <c r="F126" i="1"/>
  <c r="G126" i="1"/>
  <c r="H126" i="1"/>
  <c r="F127" i="1"/>
  <c r="G127" i="1"/>
  <c r="H127" i="1"/>
  <c r="F128" i="1"/>
  <c r="G128" i="1"/>
  <c r="H128" i="1"/>
  <c r="F129" i="1"/>
  <c r="G129" i="1"/>
  <c r="H129" i="1"/>
  <c r="F130" i="1"/>
  <c r="G130" i="1"/>
  <c r="H130" i="1"/>
  <c r="F131" i="1"/>
  <c r="G131" i="1"/>
  <c r="H131" i="1"/>
  <c r="F132" i="1"/>
  <c r="G132" i="1"/>
  <c r="H132" i="1"/>
  <c r="F133" i="1"/>
  <c r="G133" i="1"/>
  <c r="H133" i="1"/>
  <c r="F134" i="1"/>
  <c r="G134" i="1"/>
  <c r="H134" i="1"/>
  <c r="F135" i="1"/>
  <c r="G135" i="1"/>
  <c r="H135" i="1"/>
  <c r="F136" i="1"/>
  <c r="G136" i="1"/>
  <c r="H136" i="1"/>
  <c r="F137" i="1"/>
  <c r="G137" i="1"/>
  <c r="H137" i="1"/>
  <c r="F138" i="1"/>
  <c r="G138" i="1"/>
  <c r="H138" i="1"/>
  <c r="F139" i="1"/>
  <c r="G139" i="1"/>
  <c r="H139" i="1"/>
  <c r="F140" i="1"/>
  <c r="G140" i="1"/>
  <c r="H140" i="1"/>
  <c r="F141" i="1"/>
  <c r="G141" i="1"/>
  <c r="H141" i="1"/>
  <c r="F142" i="1"/>
  <c r="G142" i="1"/>
  <c r="H142" i="1"/>
  <c r="F143" i="1"/>
  <c r="G143" i="1"/>
  <c r="H143" i="1"/>
  <c r="F144" i="1"/>
  <c r="G144" i="1"/>
  <c r="H144" i="1"/>
  <c r="F145" i="1"/>
  <c r="G145" i="1"/>
  <c r="H145" i="1"/>
  <c r="F146" i="1"/>
  <c r="G146" i="1"/>
  <c r="H146" i="1"/>
  <c r="F147" i="1"/>
  <c r="G147" i="1"/>
  <c r="H147" i="1"/>
  <c r="F148" i="1"/>
  <c r="G148" i="1"/>
  <c r="H148" i="1"/>
  <c r="F149" i="1"/>
  <c r="G149" i="1"/>
  <c r="H149" i="1"/>
  <c r="F150" i="1"/>
  <c r="G150" i="1"/>
  <c r="H150" i="1"/>
  <c r="F151" i="1"/>
  <c r="G151" i="1"/>
  <c r="H151" i="1"/>
  <c r="F152" i="1"/>
  <c r="G152" i="1"/>
  <c r="H152" i="1"/>
  <c r="F153" i="1"/>
  <c r="G153" i="1"/>
  <c r="H153" i="1"/>
  <c r="F154" i="1"/>
  <c r="G154" i="1"/>
  <c r="H154" i="1"/>
  <c r="F155" i="1"/>
  <c r="G155" i="1"/>
  <c r="H155" i="1"/>
  <c r="F156" i="1"/>
  <c r="G156" i="1"/>
  <c r="H156" i="1"/>
  <c r="F157" i="1"/>
  <c r="G157" i="1"/>
  <c r="H157" i="1"/>
  <c r="F158" i="1"/>
  <c r="G158" i="1"/>
  <c r="H158" i="1"/>
  <c r="F159" i="1"/>
  <c r="G159" i="1"/>
  <c r="H159" i="1"/>
  <c r="F160" i="1"/>
  <c r="G160" i="1"/>
  <c r="H160" i="1"/>
  <c r="F161" i="1"/>
  <c r="G161" i="1"/>
  <c r="H161" i="1"/>
  <c r="F162" i="1"/>
  <c r="G162" i="1"/>
  <c r="H162" i="1"/>
  <c r="F163" i="1"/>
  <c r="G163" i="1"/>
  <c r="H163" i="1"/>
  <c r="F164" i="1"/>
  <c r="G164" i="1"/>
  <c r="H164" i="1"/>
  <c r="F165" i="1"/>
  <c r="G165" i="1"/>
  <c r="H165" i="1"/>
  <c r="F166" i="1"/>
  <c r="G166" i="1"/>
  <c r="H166" i="1"/>
  <c r="F167" i="1"/>
  <c r="G167" i="1"/>
  <c r="H167" i="1"/>
  <c r="F168" i="1"/>
  <c r="G168" i="1"/>
  <c r="H168" i="1"/>
  <c r="F169" i="1"/>
  <c r="G169" i="1"/>
  <c r="H169" i="1"/>
  <c r="F170" i="1"/>
  <c r="G170" i="1"/>
  <c r="H170" i="1"/>
  <c r="F171" i="1"/>
  <c r="G171" i="1"/>
  <c r="H171" i="1"/>
  <c r="F172" i="1"/>
  <c r="G172" i="1"/>
  <c r="H172" i="1"/>
  <c r="F173" i="1"/>
  <c r="G173" i="1"/>
  <c r="H173" i="1"/>
  <c r="F174" i="1"/>
  <c r="G174" i="1"/>
  <c r="H174" i="1"/>
  <c r="F175" i="1"/>
  <c r="G175" i="1"/>
  <c r="H175" i="1"/>
  <c r="F176" i="1"/>
  <c r="G176" i="1"/>
  <c r="H176" i="1"/>
  <c r="F177" i="1"/>
  <c r="G177" i="1"/>
  <c r="H177" i="1"/>
  <c r="F178" i="1"/>
  <c r="G178" i="1"/>
  <c r="H178" i="1"/>
  <c r="F179" i="1"/>
  <c r="G179" i="1"/>
  <c r="H179" i="1"/>
  <c r="F180" i="1"/>
  <c r="G180" i="1"/>
  <c r="H180" i="1"/>
  <c r="F181" i="1"/>
  <c r="G181" i="1"/>
  <c r="H181" i="1"/>
  <c r="F182" i="1"/>
  <c r="G182" i="1"/>
  <c r="H182" i="1"/>
  <c r="F183" i="1"/>
  <c r="G183" i="1"/>
  <c r="H183" i="1"/>
  <c r="F184" i="1"/>
  <c r="G184" i="1"/>
  <c r="H184" i="1"/>
  <c r="F185" i="1"/>
  <c r="G185" i="1"/>
  <c r="H185" i="1"/>
  <c r="F186" i="1"/>
  <c r="G186" i="1"/>
  <c r="H186" i="1"/>
  <c r="F187" i="1"/>
  <c r="G187" i="1"/>
  <c r="H187" i="1"/>
  <c r="F188" i="1"/>
  <c r="G188" i="1"/>
  <c r="H188" i="1"/>
  <c r="F189" i="1"/>
  <c r="G189" i="1"/>
  <c r="H189" i="1"/>
  <c r="F190" i="1"/>
  <c r="G190" i="1"/>
  <c r="H190" i="1"/>
  <c r="F191" i="1"/>
  <c r="G191" i="1"/>
  <c r="H191" i="1"/>
  <c r="F192" i="1"/>
  <c r="G192" i="1"/>
  <c r="H192" i="1"/>
  <c r="F193" i="1"/>
  <c r="G193" i="1"/>
  <c r="H193" i="1"/>
  <c r="F194" i="1"/>
  <c r="G194" i="1"/>
  <c r="H194" i="1"/>
  <c r="F195" i="1"/>
  <c r="G195" i="1"/>
  <c r="H195" i="1"/>
  <c r="F196" i="1"/>
  <c r="G196" i="1"/>
  <c r="H196" i="1"/>
  <c r="F197" i="1"/>
  <c r="G197" i="1"/>
  <c r="H197" i="1"/>
  <c r="F198" i="1"/>
  <c r="G198" i="1"/>
  <c r="H198" i="1"/>
  <c r="F199" i="1"/>
  <c r="G199" i="1"/>
  <c r="H199" i="1"/>
  <c r="F200" i="1"/>
  <c r="G200" i="1"/>
  <c r="H200" i="1"/>
  <c r="F201" i="1"/>
  <c r="G201" i="1"/>
  <c r="H201" i="1"/>
  <c r="F202" i="1"/>
  <c r="G202" i="1"/>
  <c r="H202" i="1"/>
  <c r="H3" i="1"/>
  <c r="G3" i="1"/>
  <c r="F3" i="1"/>
  <c r="B26" i="1"/>
  <c r="C26" i="1"/>
  <c r="D26" i="1"/>
  <c r="B27" i="1"/>
  <c r="C27" i="1"/>
  <c r="D27" i="1"/>
  <c r="B28" i="1"/>
  <c r="C28" i="1"/>
  <c r="D28" i="1"/>
  <c r="B29" i="1"/>
  <c r="C29" i="1"/>
  <c r="D29" i="1"/>
  <c r="B30" i="1"/>
  <c r="C30" i="1"/>
  <c r="D30" i="1"/>
  <c r="B31" i="1"/>
  <c r="C31" i="1"/>
  <c r="D31" i="1"/>
  <c r="B32" i="1"/>
  <c r="C32" i="1"/>
  <c r="D32" i="1"/>
  <c r="B33" i="1"/>
  <c r="C33" i="1"/>
  <c r="D33" i="1"/>
  <c r="B34" i="1"/>
  <c r="C34" i="1"/>
  <c r="D34" i="1"/>
  <c r="B35" i="1"/>
  <c r="C35" i="1"/>
  <c r="D35" i="1"/>
  <c r="B36" i="1"/>
  <c r="C36" i="1"/>
  <c r="D36" i="1"/>
  <c r="B37" i="1"/>
  <c r="C37" i="1"/>
  <c r="D37" i="1"/>
  <c r="B38" i="1"/>
  <c r="C38" i="1"/>
  <c r="D38" i="1"/>
  <c r="B39" i="1"/>
  <c r="C39" i="1"/>
  <c r="D39" i="1"/>
  <c r="B40" i="1"/>
  <c r="C40" i="1"/>
  <c r="D40" i="1"/>
  <c r="B41" i="1"/>
  <c r="C41" i="1"/>
  <c r="D41" i="1"/>
  <c r="B42" i="1"/>
  <c r="C42" i="1"/>
  <c r="D42" i="1"/>
  <c r="B43" i="1"/>
  <c r="C43" i="1"/>
  <c r="D43" i="1"/>
  <c r="B44" i="1"/>
  <c r="C44" i="1"/>
  <c r="D44" i="1"/>
  <c r="B45" i="1"/>
  <c r="C45" i="1"/>
  <c r="D45" i="1"/>
  <c r="B46" i="1"/>
  <c r="C46" i="1"/>
  <c r="D46" i="1"/>
  <c r="B47" i="1"/>
  <c r="C47" i="1"/>
  <c r="D47" i="1"/>
  <c r="B48" i="1"/>
  <c r="C48" i="1"/>
  <c r="D48" i="1"/>
  <c r="B49" i="1"/>
  <c r="C49" i="1"/>
  <c r="D49" i="1"/>
  <c r="B50" i="1"/>
  <c r="C50" i="1"/>
  <c r="D50" i="1"/>
  <c r="B51" i="1"/>
  <c r="C51" i="1"/>
  <c r="D51" i="1"/>
  <c r="B52" i="1"/>
  <c r="C52" i="1"/>
  <c r="D52" i="1"/>
  <c r="B53" i="1"/>
  <c r="C53" i="1"/>
  <c r="D53" i="1"/>
  <c r="B54" i="1"/>
  <c r="C54" i="1"/>
  <c r="D54" i="1"/>
  <c r="B55" i="1"/>
  <c r="C55" i="1"/>
  <c r="D55" i="1"/>
  <c r="B56" i="1"/>
  <c r="C56" i="1"/>
  <c r="D56" i="1"/>
  <c r="B57" i="1"/>
  <c r="C57" i="1"/>
  <c r="D57" i="1"/>
  <c r="B58" i="1"/>
  <c r="C58" i="1"/>
  <c r="D58" i="1"/>
  <c r="B59" i="1"/>
  <c r="C59" i="1"/>
  <c r="D59" i="1"/>
  <c r="B60" i="1"/>
  <c r="C60" i="1"/>
  <c r="D60" i="1"/>
  <c r="B61" i="1"/>
  <c r="C61" i="1"/>
  <c r="D61" i="1"/>
  <c r="B62" i="1"/>
  <c r="C62" i="1"/>
  <c r="D62" i="1"/>
  <c r="B63" i="1"/>
  <c r="C63" i="1"/>
  <c r="D63" i="1"/>
  <c r="B64" i="1"/>
  <c r="C64" i="1"/>
  <c r="D64" i="1"/>
  <c r="B65" i="1"/>
  <c r="C65" i="1"/>
  <c r="D65" i="1"/>
  <c r="B66" i="1"/>
  <c r="C66" i="1"/>
  <c r="D66" i="1"/>
  <c r="B67" i="1"/>
  <c r="C67" i="1"/>
  <c r="D67" i="1"/>
  <c r="B68" i="1"/>
  <c r="C68" i="1"/>
  <c r="D68" i="1"/>
  <c r="B69" i="1"/>
  <c r="C69" i="1"/>
  <c r="D69" i="1"/>
  <c r="B70" i="1"/>
  <c r="C70" i="1"/>
  <c r="D70" i="1"/>
  <c r="B71" i="1"/>
  <c r="C71" i="1"/>
  <c r="D71" i="1"/>
  <c r="B72" i="1"/>
  <c r="C72" i="1"/>
  <c r="D72" i="1"/>
  <c r="B73" i="1"/>
  <c r="C73" i="1"/>
  <c r="D73" i="1"/>
  <c r="B74" i="1"/>
  <c r="C74" i="1"/>
  <c r="D74" i="1"/>
  <c r="B75" i="1"/>
  <c r="C75" i="1"/>
  <c r="D75" i="1"/>
  <c r="B76" i="1"/>
  <c r="C76" i="1"/>
  <c r="D76" i="1"/>
  <c r="B77" i="1"/>
  <c r="C77" i="1"/>
  <c r="D77" i="1"/>
  <c r="B78" i="1"/>
  <c r="C78" i="1"/>
  <c r="D78" i="1"/>
  <c r="B79" i="1"/>
  <c r="C79" i="1"/>
  <c r="D79" i="1"/>
  <c r="B80" i="1"/>
  <c r="C80" i="1"/>
  <c r="D80" i="1"/>
  <c r="B81" i="1"/>
  <c r="C81" i="1"/>
  <c r="D81" i="1"/>
  <c r="B82" i="1"/>
  <c r="C82" i="1"/>
  <c r="D82" i="1"/>
  <c r="B83" i="1"/>
  <c r="C83" i="1"/>
  <c r="D83" i="1"/>
  <c r="B84" i="1"/>
  <c r="C84" i="1"/>
  <c r="D84" i="1"/>
  <c r="B85" i="1"/>
  <c r="C85" i="1"/>
  <c r="D85" i="1"/>
  <c r="B86" i="1"/>
  <c r="C86" i="1"/>
  <c r="D86" i="1"/>
  <c r="B87" i="1"/>
  <c r="C87" i="1"/>
  <c r="D87" i="1"/>
  <c r="B88" i="1"/>
  <c r="C88" i="1"/>
  <c r="D88" i="1"/>
  <c r="B89" i="1"/>
  <c r="C89" i="1"/>
  <c r="D89" i="1"/>
  <c r="B90" i="1"/>
  <c r="C90" i="1"/>
  <c r="D90" i="1"/>
  <c r="B91" i="1"/>
  <c r="C91" i="1"/>
  <c r="D91" i="1"/>
  <c r="B92" i="1"/>
  <c r="C92" i="1"/>
  <c r="D92" i="1"/>
  <c r="B93" i="1"/>
  <c r="C93" i="1"/>
  <c r="D93" i="1"/>
  <c r="B94" i="1"/>
  <c r="C94" i="1"/>
  <c r="D94" i="1"/>
  <c r="B95" i="1"/>
  <c r="C95" i="1"/>
  <c r="D95" i="1"/>
  <c r="B96" i="1"/>
  <c r="C96" i="1"/>
  <c r="D96" i="1"/>
  <c r="B97" i="1"/>
  <c r="C97" i="1"/>
  <c r="D97" i="1"/>
  <c r="B98" i="1"/>
  <c r="C98" i="1"/>
  <c r="D98" i="1"/>
  <c r="B99" i="1"/>
  <c r="C99" i="1"/>
  <c r="D99" i="1"/>
  <c r="B100" i="1"/>
  <c r="C100" i="1"/>
  <c r="D100" i="1"/>
  <c r="B101" i="1"/>
  <c r="C101" i="1"/>
  <c r="D101" i="1"/>
  <c r="B102" i="1"/>
  <c r="C102" i="1"/>
  <c r="D102" i="1"/>
  <c r="B103" i="1"/>
  <c r="C103" i="1"/>
  <c r="D103" i="1"/>
  <c r="B104" i="1"/>
  <c r="C104" i="1"/>
  <c r="D104" i="1"/>
  <c r="B105" i="1"/>
  <c r="C105" i="1"/>
  <c r="D105" i="1"/>
  <c r="B106" i="1"/>
  <c r="C106" i="1"/>
  <c r="D106" i="1"/>
  <c r="B107" i="1"/>
  <c r="C107" i="1"/>
  <c r="D107" i="1"/>
  <c r="B108" i="1"/>
  <c r="C108" i="1"/>
  <c r="D108" i="1"/>
  <c r="B109" i="1"/>
  <c r="C109" i="1"/>
  <c r="D109" i="1"/>
  <c r="B110" i="1"/>
  <c r="C110" i="1"/>
  <c r="D110" i="1"/>
  <c r="B111" i="1"/>
  <c r="C111" i="1"/>
  <c r="D111" i="1"/>
  <c r="B112" i="1"/>
  <c r="C112" i="1"/>
  <c r="D112" i="1"/>
  <c r="B113" i="1"/>
  <c r="C113" i="1"/>
  <c r="D113" i="1"/>
  <c r="B114" i="1"/>
  <c r="C114" i="1"/>
  <c r="D114" i="1"/>
  <c r="B115" i="1"/>
  <c r="C115" i="1"/>
  <c r="D115" i="1"/>
  <c r="B116" i="1"/>
  <c r="C116" i="1"/>
  <c r="D116" i="1"/>
  <c r="B117" i="1"/>
  <c r="C117" i="1"/>
  <c r="D117" i="1"/>
  <c r="B118" i="1"/>
  <c r="C118" i="1"/>
  <c r="D118" i="1"/>
  <c r="B119" i="1"/>
  <c r="C119" i="1"/>
  <c r="D119" i="1"/>
  <c r="B120" i="1"/>
  <c r="C120" i="1"/>
  <c r="D120" i="1"/>
  <c r="B121" i="1"/>
  <c r="C121" i="1"/>
  <c r="D121" i="1"/>
  <c r="B122" i="1"/>
  <c r="C122" i="1"/>
  <c r="D122" i="1"/>
  <c r="B123" i="1"/>
  <c r="C123" i="1"/>
  <c r="D123" i="1"/>
  <c r="B124" i="1"/>
  <c r="C124" i="1"/>
  <c r="D124" i="1"/>
  <c r="B125" i="1"/>
  <c r="C125" i="1"/>
  <c r="D125" i="1"/>
  <c r="B126" i="1"/>
  <c r="C126" i="1"/>
  <c r="D126" i="1"/>
  <c r="B127" i="1"/>
  <c r="C127" i="1"/>
  <c r="D127" i="1"/>
  <c r="B128" i="1"/>
  <c r="C128" i="1"/>
  <c r="D128" i="1"/>
  <c r="B129" i="1"/>
  <c r="C129" i="1"/>
  <c r="D129" i="1"/>
  <c r="B130" i="1"/>
  <c r="C130" i="1"/>
  <c r="D130" i="1"/>
  <c r="B131" i="1"/>
  <c r="C131" i="1"/>
  <c r="D131" i="1"/>
  <c r="B132" i="1"/>
  <c r="C132" i="1"/>
  <c r="D132" i="1"/>
  <c r="B133" i="1"/>
  <c r="C133" i="1"/>
  <c r="D133" i="1"/>
  <c r="B134" i="1"/>
  <c r="C134" i="1"/>
  <c r="D134" i="1"/>
  <c r="B135" i="1"/>
  <c r="C135" i="1"/>
  <c r="D135" i="1"/>
  <c r="B136" i="1"/>
  <c r="C136" i="1"/>
  <c r="D136" i="1"/>
  <c r="B137" i="1"/>
  <c r="C137" i="1"/>
  <c r="D137" i="1"/>
  <c r="B138" i="1"/>
  <c r="C138" i="1"/>
  <c r="D138" i="1"/>
  <c r="B139" i="1"/>
  <c r="C139" i="1"/>
  <c r="D139" i="1"/>
  <c r="B140" i="1"/>
  <c r="C140" i="1"/>
  <c r="D140" i="1"/>
  <c r="B141" i="1"/>
  <c r="C141" i="1"/>
  <c r="D141" i="1"/>
  <c r="B142" i="1"/>
  <c r="C142" i="1"/>
  <c r="D142" i="1"/>
  <c r="B143" i="1"/>
  <c r="C143" i="1"/>
  <c r="D143" i="1"/>
  <c r="B144" i="1"/>
  <c r="C144" i="1"/>
  <c r="D144" i="1"/>
  <c r="B145" i="1"/>
  <c r="C145" i="1"/>
  <c r="D145" i="1"/>
  <c r="B146" i="1"/>
  <c r="C146" i="1"/>
  <c r="D146" i="1"/>
  <c r="B147" i="1"/>
  <c r="C147" i="1"/>
  <c r="D147" i="1"/>
  <c r="B148" i="1"/>
  <c r="C148" i="1"/>
  <c r="D148" i="1"/>
  <c r="B149" i="1"/>
  <c r="C149" i="1"/>
  <c r="D149" i="1"/>
  <c r="B150" i="1"/>
  <c r="C150" i="1"/>
  <c r="D150" i="1"/>
  <c r="B151" i="1"/>
  <c r="C151" i="1"/>
  <c r="D151" i="1"/>
  <c r="B152" i="1"/>
  <c r="C152" i="1"/>
  <c r="D152" i="1"/>
  <c r="B153" i="1"/>
  <c r="C153" i="1"/>
  <c r="D153" i="1"/>
  <c r="B154" i="1"/>
  <c r="C154" i="1"/>
  <c r="D154" i="1"/>
  <c r="B155" i="1"/>
  <c r="C155" i="1"/>
  <c r="D155" i="1"/>
  <c r="B156" i="1"/>
  <c r="C156" i="1"/>
  <c r="D156" i="1"/>
  <c r="B157" i="1"/>
  <c r="C157" i="1"/>
  <c r="D157" i="1"/>
  <c r="B158" i="1"/>
  <c r="C158" i="1"/>
  <c r="D158" i="1"/>
  <c r="B159" i="1"/>
  <c r="C159" i="1"/>
  <c r="D159" i="1"/>
  <c r="B160" i="1"/>
  <c r="C160" i="1"/>
  <c r="D160" i="1"/>
  <c r="B161" i="1"/>
  <c r="C161" i="1"/>
  <c r="D161" i="1"/>
  <c r="B162" i="1"/>
  <c r="C162" i="1"/>
  <c r="D162" i="1"/>
  <c r="B163" i="1"/>
  <c r="C163" i="1"/>
  <c r="D163" i="1"/>
  <c r="B164" i="1"/>
  <c r="C164" i="1"/>
  <c r="D164" i="1"/>
  <c r="B165" i="1"/>
  <c r="C165" i="1"/>
  <c r="D165" i="1"/>
  <c r="B166" i="1"/>
  <c r="C166" i="1"/>
  <c r="D166" i="1"/>
  <c r="B167" i="1"/>
  <c r="C167" i="1"/>
  <c r="D167" i="1"/>
  <c r="B168" i="1"/>
  <c r="C168" i="1"/>
  <c r="D168" i="1"/>
  <c r="B169" i="1"/>
  <c r="C169" i="1"/>
  <c r="D169" i="1"/>
  <c r="B170" i="1"/>
  <c r="C170" i="1"/>
  <c r="D170" i="1"/>
  <c r="B171" i="1"/>
  <c r="C171" i="1"/>
  <c r="D171" i="1"/>
  <c r="B172" i="1"/>
  <c r="C172" i="1"/>
  <c r="D172" i="1"/>
  <c r="B173" i="1"/>
  <c r="C173" i="1"/>
  <c r="D173" i="1"/>
  <c r="B174" i="1"/>
  <c r="C174" i="1"/>
  <c r="D174" i="1"/>
  <c r="B175" i="1"/>
  <c r="C175" i="1"/>
  <c r="D175" i="1"/>
  <c r="B176" i="1"/>
  <c r="C176" i="1"/>
  <c r="D176" i="1"/>
  <c r="B177" i="1"/>
  <c r="C177" i="1"/>
  <c r="D177" i="1"/>
  <c r="B178" i="1"/>
  <c r="C178" i="1"/>
  <c r="D178" i="1"/>
  <c r="B179" i="1"/>
  <c r="C179" i="1"/>
  <c r="D179" i="1"/>
  <c r="B180" i="1"/>
  <c r="C180" i="1"/>
  <c r="D180" i="1"/>
  <c r="B181" i="1"/>
  <c r="C181" i="1"/>
  <c r="D181" i="1"/>
  <c r="B182" i="1"/>
  <c r="C182" i="1"/>
  <c r="D182" i="1"/>
  <c r="B183" i="1"/>
  <c r="C183" i="1"/>
  <c r="D183" i="1"/>
  <c r="B184" i="1"/>
  <c r="C184" i="1"/>
  <c r="D184" i="1"/>
  <c r="B185" i="1"/>
  <c r="C185" i="1"/>
  <c r="D185" i="1"/>
  <c r="B186" i="1"/>
  <c r="C186" i="1"/>
  <c r="D186" i="1"/>
  <c r="B187" i="1"/>
  <c r="C187" i="1"/>
  <c r="D187" i="1"/>
  <c r="B188" i="1"/>
  <c r="C188" i="1"/>
  <c r="D188" i="1"/>
  <c r="B189" i="1"/>
  <c r="C189" i="1"/>
  <c r="D189" i="1"/>
  <c r="B190" i="1"/>
  <c r="C190" i="1"/>
  <c r="D190" i="1"/>
  <c r="B191" i="1"/>
  <c r="C191" i="1"/>
  <c r="D191" i="1"/>
  <c r="B192" i="1"/>
  <c r="C192" i="1"/>
  <c r="D192" i="1"/>
  <c r="B193" i="1"/>
  <c r="C193" i="1"/>
  <c r="D193" i="1"/>
  <c r="B194" i="1"/>
  <c r="C194" i="1"/>
  <c r="D194" i="1"/>
  <c r="B195" i="1"/>
  <c r="C195" i="1"/>
  <c r="D195" i="1"/>
  <c r="B196" i="1"/>
  <c r="C196" i="1"/>
  <c r="D196" i="1"/>
  <c r="B197" i="1"/>
  <c r="C197" i="1"/>
  <c r="D197" i="1"/>
  <c r="B198" i="1"/>
  <c r="C198" i="1"/>
  <c r="D198" i="1"/>
  <c r="B199" i="1"/>
  <c r="C199" i="1"/>
  <c r="D199" i="1"/>
  <c r="B200" i="1"/>
  <c r="C200" i="1"/>
  <c r="D200" i="1"/>
  <c r="B201" i="1"/>
  <c r="C201" i="1"/>
  <c r="D201" i="1"/>
  <c r="B202" i="1"/>
  <c r="C202" i="1"/>
  <c r="D202" i="1"/>
  <c r="B4" i="1"/>
  <c r="C4" i="1"/>
  <c r="D4" i="1"/>
  <c r="B5" i="1"/>
  <c r="C5" i="1"/>
  <c r="D5" i="1"/>
  <c r="B6" i="1"/>
  <c r="C6" i="1"/>
  <c r="D6" i="1"/>
  <c r="B7" i="1"/>
  <c r="C7" i="1"/>
  <c r="D7" i="1"/>
  <c r="B8" i="1"/>
  <c r="C8" i="1"/>
  <c r="D8" i="1"/>
  <c r="B9" i="1"/>
  <c r="C9" i="1"/>
  <c r="D9" i="1"/>
  <c r="B10" i="1"/>
  <c r="C10" i="1"/>
  <c r="D10" i="1"/>
  <c r="B11" i="1"/>
  <c r="C11" i="1"/>
  <c r="D11" i="1"/>
  <c r="B12" i="1"/>
  <c r="C12" i="1"/>
  <c r="D12" i="1"/>
  <c r="B13" i="1"/>
  <c r="C13" i="1"/>
  <c r="D13" i="1"/>
  <c r="B14" i="1"/>
  <c r="C14" i="1"/>
  <c r="D14" i="1"/>
  <c r="B15" i="1"/>
  <c r="C15" i="1"/>
  <c r="D15" i="1"/>
  <c r="B16" i="1"/>
  <c r="C16" i="1"/>
  <c r="D16" i="1"/>
  <c r="B17" i="1"/>
  <c r="C17" i="1"/>
  <c r="D17" i="1"/>
  <c r="B18" i="1"/>
  <c r="C18" i="1"/>
  <c r="D18" i="1"/>
  <c r="B19" i="1"/>
  <c r="C19" i="1"/>
  <c r="D19" i="1"/>
  <c r="B20" i="1"/>
  <c r="C20" i="1"/>
  <c r="D20" i="1"/>
  <c r="B21" i="1"/>
  <c r="C21" i="1"/>
  <c r="D21" i="1"/>
  <c r="B22" i="1"/>
  <c r="C22" i="1"/>
  <c r="D22" i="1"/>
  <c r="B23" i="1"/>
  <c r="C23" i="1"/>
  <c r="D23" i="1"/>
  <c r="B24" i="1"/>
  <c r="C24" i="1"/>
  <c r="D24" i="1"/>
  <c r="B25" i="1"/>
  <c r="C25" i="1"/>
  <c r="D25" i="1"/>
  <c r="D3" i="1"/>
  <c r="C3" i="1"/>
  <c r="B3" i="1"/>
  <c r="U3" i="1"/>
  <c r="V3" i="1"/>
  <c r="T3" i="1"/>
</calcChain>
</file>

<file path=xl/sharedStrings.xml><?xml version="1.0" encoding="utf-8"?>
<sst xmlns="http://schemas.openxmlformats.org/spreadsheetml/2006/main" count="26" uniqueCount="18">
  <si>
    <t>n_estimators</t>
  </si>
  <si>
    <t>max_depth</t>
  </si>
  <si>
    <t>learning_rate</t>
  </si>
  <si>
    <t>XGB</t>
  </si>
  <si>
    <t>min_samples_split</t>
  </si>
  <si>
    <t>min_samples_leaf</t>
  </si>
  <si>
    <t>KNNC</t>
  </si>
  <si>
    <t>n_neighbors</t>
  </si>
  <si>
    <t>p</t>
  </si>
  <si>
    <t>leaf_size</t>
  </si>
  <si>
    <t>RFC</t>
  </si>
  <si>
    <t>LR</t>
  </si>
  <si>
    <t>C</t>
  </si>
  <si>
    <t>max_iter</t>
  </si>
  <si>
    <t>DTC/DTR</t>
  </si>
  <si>
    <t>HGBR</t>
  </si>
  <si>
    <t>SVC</t>
  </si>
  <si>
    <t>gamma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</si>
</sst>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0"/>
      <color theme="1"/>
      <name val="Arial Unicode MS"/>
      <family val="2"/>
    </font>
    <font>
      <b/>
      <sz val="1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D966"/>
        <bgColor rgb="FFFFD966"/>
      </patternFill>
    </fill>
  </fills>
  <borders count="4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/>
      <top style="thin">
        <color rgb="FF7F7F7F"/>
      </top>
      <bottom style="thin">
        <color rgb="FF7F7F7F"/>
      </bottom>
      <diagonal/>
    </border>
    <border>
      <left/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3" fillId="4" borderId="1" applyNumberFormat="0" applyAlignment="0" applyProtection="0"/>
    <xf numFmtId="0" fontId="1" fillId="2" borderId="0"/>
    <xf numFmtId="0" fontId="2" fillId="3" borderId="0"/>
  </cellStyleXfs>
  <cellXfs count="6">
    <xf numFmtId="0" fontId="0" fillId="0" borderId="0" xfId="0"/>
    <xf numFmtId="0" fontId="4" fillId="0" borderId="0" xfId="0" applyFont="1" applyAlignment="1">
      <alignment vertical="center" wrapText="1"/>
    </xf>
    <xf numFmtId="0" fontId="5" fillId="5" borderId="0" xfId="0" applyFont="1" applyFill="1" applyAlignment="1">
      <alignment horizontal="center"/>
    </xf>
    <xf numFmtId="0" fontId="3" fillId="4" borderId="1" xfId="1" applyAlignment="1">
      <alignment horizontal="center"/>
    </xf>
    <xf numFmtId="0" fontId="3" fillId="4" borderId="2" xfId="1" applyBorder="1" applyAlignment="1">
      <alignment horizontal="center"/>
    </xf>
    <xf numFmtId="0" fontId="3" fillId="4" borderId="3" xfId="1" applyBorder="1" applyAlignment="1">
      <alignment horizontal="center"/>
    </xf>
  </cellXfs>
  <cellStyles count="4">
    <cellStyle name="Calculation" xfId="1" builtinId="22"/>
    <cellStyle name="Good 2" xfId="2" xr:uid="{ADA26BFB-D622-446A-91DE-FAA7BF09EC7E}"/>
    <cellStyle name="Neutral 2" xfId="3" xr:uid="{5727AFA4-E9D0-48FA-A088-E47DA4341A0E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Z202"/>
  <sheetViews>
    <sheetView tabSelected="1" zoomScale="70" zoomScaleNormal="70" workbookViewId="0">
      <selection activeCell="Q7" sqref="Q7"/>
    </sheetView>
  </sheetViews>
  <sheetFormatPr defaultRowHeight="15" x14ac:dyDescent="0.25"/>
  <sheetData>
    <row r="1" spans="2:26" x14ac:dyDescent="0.25">
      <c r="B1" s="3" t="s">
        <v>3</v>
      </c>
      <c r="C1" s="3"/>
      <c r="D1" s="3"/>
      <c r="F1" s="3" t="s">
        <v>14</v>
      </c>
      <c r="G1" s="3"/>
      <c r="H1" s="3"/>
      <c r="I1" s="1"/>
      <c r="J1" s="3" t="s">
        <v>6</v>
      </c>
      <c r="K1" s="3"/>
      <c r="L1" s="3"/>
      <c r="M1" s="1"/>
      <c r="N1" s="4" t="s">
        <v>10</v>
      </c>
      <c r="O1" s="5"/>
      <c r="P1" s="1"/>
      <c r="Q1" s="4" t="s">
        <v>11</v>
      </c>
      <c r="R1" s="5"/>
      <c r="S1" s="1"/>
      <c r="T1" s="3" t="s">
        <v>15</v>
      </c>
      <c r="U1" s="3"/>
      <c r="V1" s="3"/>
      <c r="W1" s="1"/>
      <c r="X1" s="3" t="s">
        <v>16</v>
      </c>
      <c r="Y1" s="3"/>
      <c r="Z1" s="3"/>
    </row>
    <row r="2" spans="2:26" x14ac:dyDescent="0.25">
      <c r="B2" s="2" t="s">
        <v>0</v>
      </c>
      <c r="C2" s="2" t="s">
        <v>1</v>
      </c>
      <c r="D2" s="2" t="s">
        <v>2</v>
      </c>
      <c r="F2" s="2" t="s">
        <v>1</v>
      </c>
      <c r="G2" s="2" t="s">
        <v>4</v>
      </c>
      <c r="H2" s="2" t="s">
        <v>5</v>
      </c>
      <c r="I2" s="1"/>
      <c r="J2" s="2" t="s">
        <v>7</v>
      </c>
      <c r="K2" s="2" t="s">
        <v>8</v>
      </c>
      <c r="L2" s="2" t="s">
        <v>9</v>
      </c>
      <c r="M2" s="1"/>
      <c r="N2" s="2" t="s">
        <v>0</v>
      </c>
      <c r="O2" s="2" t="s">
        <v>1</v>
      </c>
      <c r="P2" s="1"/>
      <c r="Q2" s="2" t="s">
        <v>12</v>
      </c>
      <c r="R2" s="2" t="s">
        <v>13</v>
      </c>
      <c r="S2" s="1"/>
      <c r="T2" s="2" t="s">
        <v>2</v>
      </c>
      <c r="U2" s="2" t="s">
        <v>13</v>
      </c>
      <c r="V2" s="2" t="s">
        <v>1</v>
      </c>
      <c r="W2" s="1"/>
      <c r="X2" s="2" t="s">
        <v>12</v>
      </c>
      <c r="Y2" s="2" t="s">
        <v>17</v>
      </c>
      <c r="Z2" s="2" t="s">
        <v>13</v>
      </c>
    </row>
    <row r="3" spans="2:26" x14ac:dyDescent="0.25">
      <c r="B3">
        <f ca="1">RANDBETWEEN(15,1000)</f>
        <v>506</v>
      </c>
      <c r="C3">
        <f ca="1">RANDBETWEEN(2,52)</f>
        <v>39</v>
      </c>
      <c r="D3">
        <f ca="1">RAND()*(0.3-0.01)+0.01</f>
        <v>2.3343407031023618E-2</v>
      </c>
      <c r="F3" s="1">
        <f ca="1">RANDBETWEEN(2,52)</f>
        <v>22</v>
      </c>
      <c r="G3" s="1">
        <f ca="1">RANDBETWEEN(2,30)</f>
        <v>10</v>
      </c>
      <c r="H3" s="1">
        <f ca="1">RANDBETWEEN(1,15)</f>
        <v>10</v>
      </c>
      <c r="I3" s="1"/>
      <c r="J3" s="1">
        <f ca="1">RANDBETWEEN(1,39)</f>
        <v>35</v>
      </c>
      <c r="K3" s="1">
        <f ca="1">RAND()*(3-1)+1</f>
        <v>2.612200522536996</v>
      </c>
      <c r="L3" s="1">
        <f ca="1">RANDBETWEEN(2,35)</f>
        <v>7</v>
      </c>
      <c r="M3" s="1"/>
      <c r="N3" s="1">
        <f ca="1">RANDBETWEEN(15,1000)</f>
        <v>515</v>
      </c>
      <c r="O3" s="1">
        <f ca="1">RANDBETWEEN(2,52)</f>
        <v>40</v>
      </c>
      <c r="P3" s="1"/>
      <c r="Q3" s="1">
        <f ca="1">RAND()*(5-0.01)+0.01</f>
        <v>4.3055625404594817</v>
      </c>
      <c r="R3" s="1">
        <f ca="1">RANDBETWEEN(200,1200)</f>
        <v>270</v>
      </c>
      <c r="S3" s="1"/>
      <c r="T3" s="1">
        <f ca="1">RAND()*(0.2-0.01)+0.01</f>
        <v>0.18179662446484937</v>
      </c>
      <c r="U3" s="1">
        <f ca="1">RANDBETWEEN(50,450)</f>
        <v>191</v>
      </c>
      <c r="V3" s="1">
        <f ca="1">RANDBETWEEN(2,52)</f>
        <v>7</v>
      </c>
      <c r="W3" s="1"/>
      <c r="X3" s="1">
        <f ca="1">RAND()*(10-0.01)+0.01</f>
        <v>5.7682687716640322</v>
      </c>
      <c r="Y3" s="1">
        <f ca="1">RAND()*(1-0.0001)+0.0001</f>
        <v>0.13242234496910507</v>
      </c>
      <c r="Z3" s="1">
        <f ca="1">RANDBETWEEN(100,2000)</f>
        <v>1111</v>
      </c>
    </row>
    <row r="4" spans="2:26" x14ac:dyDescent="0.25">
      <c r="B4">
        <f t="shared" ref="B4:B67" ca="1" si="0">RANDBETWEEN(15,1000)</f>
        <v>697</v>
      </c>
      <c r="C4">
        <f t="shared" ref="C4:C67" ca="1" si="1">RANDBETWEEN(2,52)</f>
        <v>41</v>
      </c>
      <c r="D4">
        <f t="shared" ref="D4:D67" ca="1" si="2">RAND()*(0.3-0.01)+0.01</f>
        <v>0.11380285686129378</v>
      </c>
      <c r="F4" s="1">
        <f t="shared" ref="F4:F67" ca="1" si="3">RANDBETWEEN(2,52)</f>
        <v>7</v>
      </c>
      <c r="G4" s="1">
        <f t="shared" ref="G4:G67" ca="1" si="4">RANDBETWEEN(2,30)</f>
        <v>9</v>
      </c>
      <c r="H4" s="1">
        <f t="shared" ref="H4:H67" ca="1" si="5">RANDBETWEEN(1,15)</f>
        <v>6</v>
      </c>
      <c r="I4" s="1"/>
      <c r="J4" s="1">
        <f t="shared" ref="J4:J67" ca="1" si="6">RANDBETWEEN(1,39)</f>
        <v>34</v>
      </c>
      <c r="K4" s="1">
        <f t="shared" ref="K4:K67" ca="1" si="7">RAND()*(3-1)+1</f>
        <v>2.5842357848199646</v>
      </c>
      <c r="L4" s="1">
        <f t="shared" ref="L4:L67" ca="1" si="8">RANDBETWEEN(2,35)</f>
        <v>18</v>
      </c>
      <c r="M4" s="1"/>
      <c r="N4" s="1">
        <f t="shared" ref="N4:N67" ca="1" si="9">RANDBETWEEN(15,1000)</f>
        <v>455</v>
      </c>
      <c r="O4" s="1">
        <f t="shared" ref="O4:O67" ca="1" si="10">RANDBETWEEN(2,52)</f>
        <v>14</v>
      </c>
      <c r="P4" s="1"/>
      <c r="Q4" s="1">
        <f t="shared" ref="Q4:Q67" ca="1" si="11">RAND()*(5-0.01)+0.01</f>
        <v>8.691447634608479E-2</v>
      </c>
      <c r="R4" s="1">
        <f t="shared" ref="R4:R67" ca="1" si="12">RANDBETWEEN(200,1200)</f>
        <v>909</v>
      </c>
      <c r="S4" s="1"/>
      <c r="T4" s="1">
        <f t="shared" ref="T4:T67" ca="1" si="13">RAND()*(0.2-0.01)+0.01</f>
        <v>0.19676928213182632</v>
      </c>
      <c r="U4" s="1">
        <f t="shared" ref="U4:U67" ca="1" si="14">RANDBETWEEN(50,450)</f>
        <v>396</v>
      </c>
      <c r="V4" s="1">
        <f t="shared" ref="V4:V67" ca="1" si="15">RANDBETWEEN(2,52)</f>
        <v>52</v>
      </c>
      <c r="W4" s="1"/>
      <c r="X4" s="1">
        <f t="shared" ref="X4:X67" ca="1" si="16">RAND()*(10-0.01)+0.01</f>
        <v>3.0289499786244756</v>
      </c>
      <c r="Y4" s="1">
        <f t="shared" ref="Y4:Y67" ca="1" si="17">RAND()*(1-0.0001)+0.0001</f>
        <v>0.14996559517117852</v>
      </c>
      <c r="Z4" s="1">
        <f t="shared" ref="Z4:Z67" ca="1" si="18">RANDBETWEEN(100,2000)</f>
        <v>414</v>
      </c>
    </row>
    <row r="5" spans="2:26" x14ac:dyDescent="0.25">
      <c r="B5">
        <f t="shared" ca="1" si="0"/>
        <v>235</v>
      </c>
      <c r="C5">
        <f t="shared" ca="1" si="1"/>
        <v>29</v>
      </c>
      <c r="D5">
        <f t="shared" ca="1" si="2"/>
        <v>0.19087140536548564</v>
      </c>
      <c r="F5" s="1">
        <f t="shared" ca="1" si="3"/>
        <v>33</v>
      </c>
      <c r="G5" s="1">
        <f t="shared" ca="1" si="4"/>
        <v>14</v>
      </c>
      <c r="H5" s="1">
        <f t="shared" ca="1" si="5"/>
        <v>8</v>
      </c>
      <c r="I5" s="1"/>
      <c r="J5" s="1">
        <f t="shared" ca="1" si="6"/>
        <v>30</v>
      </c>
      <c r="K5" s="1">
        <f t="shared" ca="1" si="7"/>
        <v>2.9513943374364837</v>
      </c>
      <c r="L5" s="1">
        <f t="shared" ca="1" si="8"/>
        <v>23</v>
      </c>
      <c r="M5" s="1"/>
      <c r="N5" s="1">
        <f t="shared" ca="1" si="9"/>
        <v>933</v>
      </c>
      <c r="O5" s="1">
        <f t="shared" ca="1" si="10"/>
        <v>34</v>
      </c>
      <c r="P5" s="1"/>
      <c r="Q5" s="1">
        <f t="shared" ca="1" si="11"/>
        <v>2.5258586087970016</v>
      </c>
      <c r="R5" s="1">
        <f t="shared" ca="1" si="12"/>
        <v>417</v>
      </c>
      <c r="S5" s="1"/>
      <c r="T5" s="1">
        <f t="shared" ca="1" si="13"/>
        <v>1.8671098109128682E-2</v>
      </c>
      <c r="U5" s="1">
        <f t="shared" ca="1" si="14"/>
        <v>128</v>
      </c>
      <c r="V5" s="1">
        <f t="shared" ca="1" si="15"/>
        <v>15</v>
      </c>
      <c r="W5" s="1"/>
      <c r="X5" s="1">
        <f t="shared" ca="1" si="16"/>
        <v>0.58499513774680334</v>
      </c>
      <c r="Y5" s="1">
        <f t="shared" ca="1" si="17"/>
        <v>0.20098366507627674</v>
      </c>
      <c r="Z5" s="1">
        <f t="shared" ca="1" si="18"/>
        <v>358</v>
      </c>
    </row>
    <row r="6" spans="2:26" x14ac:dyDescent="0.25">
      <c r="B6">
        <f t="shared" ca="1" si="0"/>
        <v>764</v>
      </c>
      <c r="C6">
        <f t="shared" ca="1" si="1"/>
        <v>10</v>
      </c>
      <c r="D6">
        <f t="shared" ca="1" si="2"/>
        <v>4.6769926836962357E-2</v>
      </c>
      <c r="F6" s="1">
        <f t="shared" ca="1" si="3"/>
        <v>51</v>
      </c>
      <c r="G6" s="1">
        <f t="shared" ca="1" si="4"/>
        <v>25</v>
      </c>
      <c r="H6" s="1">
        <f t="shared" ca="1" si="5"/>
        <v>1</v>
      </c>
      <c r="I6" s="1"/>
      <c r="J6" s="1">
        <f t="shared" ca="1" si="6"/>
        <v>39</v>
      </c>
      <c r="K6" s="1">
        <f t="shared" ca="1" si="7"/>
        <v>1.6645419389631806</v>
      </c>
      <c r="L6" s="1">
        <f t="shared" ca="1" si="8"/>
        <v>30</v>
      </c>
      <c r="M6" s="1"/>
      <c r="N6" s="1">
        <f t="shared" ca="1" si="9"/>
        <v>795</v>
      </c>
      <c r="O6" s="1">
        <f t="shared" ca="1" si="10"/>
        <v>3</v>
      </c>
      <c r="P6" s="1"/>
      <c r="Q6" s="1">
        <f t="shared" ca="1" si="11"/>
        <v>0.58756930562152199</v>
      </c>
      <c r="R6" s="1">
        <f t="shared" ca="1" si="12"/>
        <v>884</v>
      </c>
      <c r="S6" s="1"/>
      <c r="T6" s="1">
        <f t="shared" ca="1" si="13"/>
        <v>6.7681133686598116E-2</v>
      </c>
      <c r="U6" s="1">
        <f t="shared" ca="1" si="14"/>
        <v>205</v>
      </c>
      <c r="V6" s="1">
        <f t="shared" ca="1" si="15"/>
        <v>5</v>
      </c>
      <c r="W6" s="1"/>
      <c r="X6" s="1">
        <f t="shared" ca="1" si="16"/>
        <v>3.2345305390033849</v>
      </c>
      <c r="Y6" s="1">
        <f t="shared" ca="1" si="17"/>
        <v>0.65031356842982058</v>
      </c>
      <c r="Z6" s="1">
        <f t="shared" ca="1" si="18"/>
        <v>1177</v>
      </c>
    </row>
    <row r="7" spans="2:26" x14ac:dyDescent="0.25">
      <c r="B7">
        <f t="shared" ca="1" si="0"/>
        <v>202</v>
      </c>
      <c r="C7">
        <f t="shared" ca="1" si="1"/>
        <v>15</v>
      </c>
      <c r="D7">
        <f t="shared" ca="1" si="2"/>
        <v>0.11073199173459594</v>
      </c>
      <c r="F7" s="1">
        <f t="shared" ca="1" si="3"/>
        <v>41</v>
      </c>
      <c r="G7" s="1">
        <f t="shared" ca="1" si="4"/>
        <v>14</v>
      </c>
      <c r="H7" s="1">
        <f t="shared" ca="1" si="5"/>
        <v>1</v>
      </c>
      <c r="I7" s="1"/>
      <c r="J7" s="1">
        <f t="shared" ca="1" si="6"/>
        <v>27</v>
      </c>
      <c r="K7" s="1">
        <f t="shared" ca="1" si="7"/>
        <v>1.3104006487358701</v>
      </c>
      <c r="L7" s="1">
        <f t="shared" ca="1" si="8"/>
        <v>33</v>
      </c>
      <c r="M7" s="1"/>
      <c r="N7" s="1">
        <f t="shared" ca="1" si="9"/>
        <v>547</v>
      </c>
      <c r="O7" s="1">
        <f t="shared" ca="1" si="10"/>
        <v>5</v>
      </c>
      <c r="P7" s="1"/>
      <c r="Q7" s="1">
        <f t="shared" ca="1" si="11"/>
        <v>1.7300666937324463</v>
      </c>
      <c r="R7" s="1">
        <f t="shared" ca="1" si="12"/>
        <v>220</v>
      </c>
      <c r="S7" s="1"/>
      <c r="T7" s="1">
        <f t="shared" ca="1" si="13"/>
        <v>0.19467808197756922</v>
      </c>
      <c r="U7" s="1">
        <f t="shared" ca="1" si="14"/>
        <v>236</v>
      </c>
      <c r="V7" s="1">
        <f t="shared" ca="1" si="15"/>
        <v>47</v>
      </c>
      <c r="W7" s="1"/>
      <c r="X7" s="1">
        <f t="shared" ca="1" si="16"/>
        <v>6.3366594649230352</v>
      </c>
      <c r="Y7" s="1">
        <f t="shared" ca="1" si="17"/>
        <v>0.70970527971432529</v>
      </c>
      <c r="Z7" s="1">
        <f t="shared" ca="1" si="18"/>
        <v>1552</v>
      </c>
    </row>
    <row r="8" spans="2:26" x14ac:dyDescent="0.25">
      <c r="B8">
        <f t="shared" ca="1" si="0"/>
        <v>585</v>
      </c>
      <c r="C8">
        <f t="shared" ca="1" si="1"/>
        <v>36</v>
      </c>
      <c r="D8">
        <f t="shared" ca="1" si="2"/>
        <v>0.11543761396277946</v>
      </c>
      <c r="F8" s="1">
        <f t="shared" ca="1" si="3"/>
        <v>3</v>
      </c>
      <c r="G8" s="1">
        <f t="shared" ca="1" si="4"/>
        <v>14</v>
      </c>
      <c r="H8" s="1">
        <f t="shared" ca="1" si="5"/>
        <v>7</v>
      </c>
      <c r="I8" s="1"/>
      <c r="J8" s="1">
        <f t="shared" ca="1" si="6"/>
        <v>31</v>
      </c>
      <c r="K8" s="1">
        <f t="shared" ca="1" si="7"/>
        <v>1.2686316160155429</v>
      </c>
      <c r="L8" s="1">
        <f t="shared" ca="1" si="8"/>
        <v>33</v>
      </c>
      <c r="M8" s="1"/>
      <c r="N8" s="1">
        <f t="shared" ca="1" si="9"/>
        <v>813</v>
      </c>
      <c r="O8" s="1">
        <f t="shared" ca="1" si="10"/>
        <v>8</v>
      </c>
      <c r="P8" s="1"/>
      <c r="Q8" s="1">
        <f t="shared" ca="1" si="11"/>
        <v>0.73555631242538089</v>
      </c>
      <c r="R8" s="1">
        <f t="shared" ca="1" si="12"/>
        <v>1024</v>
      </c>
      <c r="S8" s="1"/>
      <c r="T8" s="1">
        <f t="shared" ca="1" si="13"/>
        <v>2.5119293279332724E-2</v>
      </c>
      <c r="U8" s="1">
        <f t="shared" ca="1" si="14"/>
        <v>152</v>
      </c>
      <c r="V8" s="1">
        <f t="shared" ca="1" si="15"/>
        <v>14</v>
      </c>
      <c r="W8" s="1"/>
      <c r="X8" s="1">
        <f t="shared" ca="1" si="16"/>
        <v>3.5291307636923062</v>
      </c>
      <c r="Y8" s="1">
        <f t="shared" ca="1" si="17"/>
        <v>0.5369598349759751</v>
      </c>
      <c r="Z8" s="1">
        <f t="shared" ca="1" si="18"/>
        <v>714</v>
      </c>
    </row>
    <row r="9" spans="2:26" x14ac:dyDescent="0.25">
      <c r="B9">
        <f t="shared" ca="1" si="0"/>
        <v>806</v>
      </c>
      <c r="C9">
        <f t="shared" ca="1" si="1"/>
        <v>50</v>
      </c>
      <c r="D9">
        <f t="shared" ca="1" si="2"/>
        <v>5.3032055747083778E-2</v>
      </c>
      <c r="F9" s="1">
        <f t="shared" ca="1" si="3"/>
        <v>46</v>
      </c>
      <c r="G9" s="1">
        <f t="shared" ca="1" si="4"/>
        <v>27</v>
      </c>
      <c r="H9" s="1">
        <f t="shared" ca="1" si="5"/>
        <v>4</v>
      </c>
      <c r="I9" s="1"/>
      <c r="J9" s="1">
        <f t="shared" ca="1" si="6"/>
        <v>27</v>
      </c>
      <c r="K9" s="1">
        <f t="shared" ca="1" si="7"/>
        <v>2.3570052461433724</v>
      </c>
      <c r="L9" s="1">
        <f t="shared" ca="1" si="8"/>
        <v>24</v>
      </c>
      <c r="M9" s="1"/>
      <c r="N9" s="1">
        <f t="shared" ca="1" si="9"/>
        <v>334</v>
      </c>
      <c r="O9" s="1">
        <f t="shared" ca="1" si="10"/>
        <v>24</v>
      </c>
      <c r="P9" s="1"/>
      <c r="Q9" s="1">
        <f t="shared" ca="1" si="11"/>
        <v>1.1043281566732452</v>
      </c>
      <c r="R9" s="1">
        <f t="shared" ca="1" si="12"/>
        <v>889</v>
      </c>
      <c r="S9" s="1"/>
      <c r="T9" s="1">
        <f t="shared" ca="1" si="13"/>
        <v>3.6252732237220198E-2</v>
      </c>
      <c r="U9" s="1">
        <f t="shared" ca="1" si="14"/>
        <v>410</v>
      </c>
      <c r="V9" s="1">
        <f t="shared" ca="1" si="15"/>
        <v>9</v>
      </c>
      <c r="W9" s="1"/>
      <c r="X9" s="1">
        <f t="shared" ca="1" si="16"/>
        <v>0.88154834334708354</v>
      </c>
      <c r="Y9" s="1">
        <f t="shared" ca="1" si="17"/>
        <v>0.38929528906401306</v>
      </c>
      <c r="Z9" s="1">
        <f t="shared" ca="1" si="18"/>
        <v>1911</v>
      </c>
    </row>
    <row r="10" spans="2:26" x14ac:dyDescent="0.25">
      <c r="B10">
        <f t="shared" ca="1" si="0"/>
        <v>174</v>
      </c>
      <c r="C10">
        <f t="shared" ca="1" si="1"/>
        <v>14</v>
      </c>
      <c r="D10">
        <f t="shared" ca="1" si="2"/>
        <v>0.28901234500706163</v>
      </c>
      <c r="F10" s="1">
        <f t="shared" ca="1" si="3"/>
        <v>5</v>
      </c>
      <c r="G10" s="1">
        <f t="shared" ca="1" si="4"/>
        <v>5</v>
      </c>
      <c r="H10" s="1">
        <f t="shared" ca="1" si="5"/>
        <v>3</v>
      </c>
      <c r="I10" s="1"/>
      <c r="J10" s="1">
        <f t="shared" ca="1" si="6"/>
        <v>31</v>
      </c>
      <c r="K10" s="1">
        <f t="shared" ca="1" si="7"/>
        <v>1.2916677703745807</v>
      </c>
      <c r="L10" s="1">
        <f t="shared" ca="1" si="8"/>
        <v>35</v>
      </c>
      <c r="M10" s="1"/>
      <c r="N10" s="1">
        <f t="shared" ca="1" si="9"/>
        <v>752</v>
      </c>
      <c r="O10" s="1">
        <f t="shared" ca="1" si="10"/>
        <v>2</v>
      </c>
      <c r="P10" s="1"/>
      <c r="Q10" s="1">
        <f t="shared" ca="1" si="11"/>
        <v>4.0296636516535127</v>
      </c>
      <c r="R10" s="1">
        <f t="shared" ca="1" si="12"/>
        <v>1117</v>
      </c>
      <c r="S10" s="1"/>
      <c r="T10" s="1">
        <f t="shared" ca="1" si="13"/>
        <v>2.5690962534666635E-2</v>
      </c>
      <c r="U10" s="1">
        <f t="shared" ca="1" si="14"/>
        <v>362</v>
      </c>
      <c r="V10" s="1">
        <f t="shared" ca="1" si="15"/>
        <v>43</v>
      </c>
      <c r="W10" s="1"/>
      <c r="X10" s="1">
        <f t="shared" ca="1" si="16"/>
        <v>1.5634901116664407E-2</v>
      </c>
      <c r="Y10" s="1">
        <f t="shared" ca="1" si="17"/>
        <v>0.39498906008251983</v>
      </c>
      <c r="Z10" s="1">
        <f t="shared" ca="1" si="18"/>
        <v>1838</v>
      </c>
    </row>
    <row r="11" spans="2:26" x14ac:dyDescent="0.25">
      <c r="B11">
        <f t="shared" ca="1" si="0"/>
        <v>538</v>
      </c>
      <c r="C11">
        <f t="shared" ca="1" si="1"/>
        <v>27</v>
      </c>
      <c r="D11">
        <f t="shared" ca="1" si="2"/>
        <v>9.161575031442229E-2</v>
      </c>
      <c r="F11" s="1">
        <f t="shared" ca="1" si="3"/>
        <v>47</v>
      </c>
      <c r="G11" s="1">
        <f t="shared" ca="1" si="4"/>
        <v>14</v>
      </c>
      <c r="H11" s="1">
        <f t="shared" ca="1" si="5"/>
        <v>8</v>
      </c>
      <c r="I11" s="1"/>
      <c r="J11" s="1">
        <f t="shared" ca="1" si="6"/>
        <v>2</v>
      </c>
      <c r="K11" s="1">
        <f t="shared" ca="1" si="7"/>
        <v>2.1375801705263671</v>
      </c>
      <c r="L11" s="1">
        <f t="shared" ca="1" si="8"/>
        <v>34</v>
      </c>
      <c r="M11" s="1"/>
      <c r="N11" s="1">
        <f t="shared" ca="1" si="9"/>
        <v>801</v>
      </c>
      <c r="O11" s="1">
        <f t="shared" ca="1" si="10"/>
        <v>25</v>
      </c>
      <c r="P11" s="1"/>
      <c r="Q11" s="1">
        <f t="shared" ca="1" si="11"/>
        <v>1.454847043926575</v>
      </c>
      <c r="R11" s="1">
        <f t="shared" ca="1" si="12"/>
        <v>545</v>
      </c>
      <c r="S11" s="1"/>
      <c r="T11" s="1">
        <f t="shared" ca="1" si="13"/>
        <v>0.19016843993795793</v>
      </c>
      <c r="U11" s="1">
        <f t="shared" ca="1" si="14"/>
        <v>224</v>
      </c>
      <c r="V11" s="1">
        <f t="shared" ca="1" si="15"/>
        <v>22</v>
      </c>
      <c r="W11" s="1"/>
      <c r="X11" s="1">
        <f t="shared" ca="1" si="16"/>
        <v>4.7581012664236964</v>
      </c>
      <c r="Y11" s="1">
        <f t="shared" ca="1" si="17"/>
        <v>0.63692784705403793</v>
      </c>
      <c r="Z11" s="1">
        <f t="shared" ca="1" si="18"/>
        <v>358</v>
      </c>
    </row>
    <row r="12" spans="2:26" x14ac:dyDescent="0.25">
      <c r="B12">
        <f t="shared" ca="1" si="0"/>
        <v>341</v>
      </c>
      <c r="C12">
        <f t="shared" ca="1" si="1"/>
        <v>2</v>
      </c>
      <c r="D12">
        <f t="shared" ca="1" si="2"/>
        <v>0.29260249443516823</v>
      </c>
      <c r="F12" s="1">
        <f t="shared" ca="1" si="3"/>
        <v>36</v>
      </c>
      <c r="G12" s="1">
        <f t="shared" ca="1" si="4"/>
        <v>6</v>
      </c>
      <c r="H12" s="1">
        <f t="shared" ca="1" si="5"/>
        <v>14</v>
      </c>
      <c r="I12" s="1"/>
      <c r="J12" s="1">
        <f t="shared" ca="1" si="6"/>
        <v>38</v>
      </c>
      <c r="K12" s="1">
        <f t="shared" ca="1" si="7"/>
        <v>2.3881363891528196</v>
      </c>
      <c r="L12" s="1">
        <f t="shared" ca="1" si="8"/>
        <v>29</v>
      </c>
      <c r="M12" s="1"/>
      <c r="N12" s="1">
        <f t="shared" ca="1" si="9"/>
        <v>364</v>
      </c>
      <c r="O12" s="1">
        <f t="shared" ca="1" si="10"/>
        <v>44</v>
      </c>
      <c r="P12" s="1"/>
      <c r="Q12" s="1">
        <f t="shared" ca="1" si="11"/>
        <v>0.79081804176949466</v>
      </c>
      <c r="R12" s="1">
        <f t="shared" ca="1" si="12"/>
        <v>579</v>
      </c>
      <c r="S12" s="1"/>
      <c r="T12" s="1">
        <f t="shared" ca="1" si="13"/>
        <v>0.15637163783023905</v>
      </c>
      <c r="U12" s="1">
        <f t="shared" ca="1" si="14"/>
        <v>410</v>
      </c>
      <c r="V12" s="1">
        <f t="shared" ca="1" si="15"/>
        <v>8</v>
      </c>
      <c r="W12" s="1"/>
      <c r="X12" s="1">
        <f t="shared" ca="1" si="16"/>
        <v>1.2683220845750749</v>
      </c>
      <c r="Y12" s="1">
        <f t="shared" ca="1" si="17"/>
        <v>0.91058693320234096</v>
      </c>
      <c r="Z12" s="1">
        <f t="shared" ca="1" si="18"/>
        <v>1537</v>
      </c>
    </row>
    <row r="13" spans="2:26" x14ac:dyDescent="0.25">
      <c r="B13">
        <f t="shared" ca="1" si="0"/>
        <v>526</v>
      </c>
      <c r="C13">
        <f t="shared" ca="1" si="1"/>
        <v>2</v>
      </c>
      <c r="D13">
        <f t="shared" ca="1" si="2"/>
        <v>0.17243857469616033</v>
      </c>
      <c r="F13" s="1">
        <f t="shared" ca="1" si="3"/>
        <v>45</v>
      </c>
      <c r="G13" s="1">
        <f t="shared" ca="1" si="4"/>
        <v>28</v>
      </c>
      <c r="H13" s="1">
        <f t="shared" ca="1" si="5"/>
        <v>11</v>
      </c>
      <c r="I13" s="1"/>
      <c r="J13" s="1">
        <f t="shared" ca="1" si="6"/>
        <v>35</v>
      </c>
      <c r="K13" s="1">
        <f t="shared" ca="1" si="7"/>
        <v>1.0515861299662161</v>
      </c>
      <c r="L13" s="1">
        <f t="shared" ca="1" si="8"/>
        <v>21</v>
      </c>
      <c r="M13" s="1"/>
      <c r="N13" s="1">
        <f t="shared" ca="1" si="9"/>
        <v>870</v>
      </c>
      <c r="O13" s="1">
        <f t="shared" ca="1" si="10"/>
        <v>32</v>
      </c>
      <c r="P13" s="1"/>
      <c r="Q13" s="1">
        <f t="shared" ca="1" si="11"/>
        <v>2.8150214934996991</v>
      </c>
      <c r="R13" s="1">
        <f t="shared" ca="1" si="12"/>
        <v>640</v>
      </c>
      <c r="S13" s="1"/>
      <c r="T13" s="1">
        <f t="shared" ca="1" si="13"/>
        <v>9.6265653830538603E-2</v>
      </c>
      <c r="U13" s="1">
        <f t="shared" ca="1" si="14"/>
        <v>313</v>
      </c>
      <c r="V13" s="1">
        <f t="shared" ca="1" si="15"/>
        <v>39</v>
      </c>
      <c r="W13" s="1"/>
      <c r="X13" s="1">
        <f t="shared" ca="1" si="16"/>
        <v>5.7571981128783634</v>
      </c>
      <c r="Y13" s="1">
        <f t="shared" ca="1" si="17"/>
        <v>0.14866703287851066</v>
      </c>
      <c r="Z13" s="1">
        <f t="shared" ca="1" si="18"/>
        <v>1963</v>
      </c>
    </row>
    <row r="14" spans="2:26" x14ac:dyDescent="0.25">
      <c r="B14">
        <f t="shared" ca="1" si="0"/>
        <v>813</v>
      </c>
      <c r="C14">
        <f t="shared" ca="1" si="1"/>
        <v>51</v>
      </c>
      <c r="D14">
        <f t="shared" ca="1" si="2"/>
        <v>0.16367381258333505</v>
      </c>
      <c r="F14" s="1">
        <f t="shared" ca="1" si="3"/>
        <v>34</v>
      </c>
      <c r="G14" s="1">
        <f t="shared" ca="1" si="4"/>
        <v>10</v>
      </c>
      <c r="H14" s="1">
        <f t="shared" ca="1" si="5"/>
        <v>6</v>
      </c>
      <c r="I14" s="1"/>
      <c r="J14" s="1">
        <f t="shared" ca="1" si="6"/>
        <v>16</v>
      </c>
      <c r="K14" s="1">
        <f t="shared" ca="1" si="7"/>
        <v>2.6915272054043506</v>
      </c>
      <c r="L14" s="1">
        <f t="shared" ca="1" si="8"/>
        <v>30</v>
      </c>
      <c r="M14" s="1"/>
      <c r="N14" s="1">
        <f t="shared" ca="1" si="9"/>
        <v>972</v>
      </c>
      <c r="O14" s="1">
        <f t="shared" ca="1" si="10"/>
        <v>24</v>
      </c>
      <c r="P14" s="1"/>
      <c r="Q14" s="1">
        <f t="shared" ca="1" si="11"/>
        <v>1.7298088488590682</v>
      </c>
      <c r="R14" s="1">
        <f t="shared" ca="1" si="12"/>
        <v>297</v>
      </c>
      <c r="S14" s="1"/>
      <c r="T14" s="1">
        <f t="shared" ca="1" si="13"/>
        <v>5.0223525205305486E-2</v>
      </c>
      <c r="U14" s="1">
        <f t="shared" ca="1" si="14"/>
        <v>307</v>
      </c>
      <c r="V14" s="1">
        <f t="shared" ca="1" si="15"/>
        <v>30</v>
      </c>
      <c r="W14" s="1"/>
      <c r="X14" s="1">
        <f t="shared" ca="1" si="16"/>
        <v>5.1793343439620614</v>
      </c>
      <c r="Y14" s="1">
        <f t="shared" ca="1" si="17"/>
        <v>0.47665761112716332</v>
      </c>
      <c r="Z14" s="1">
        <f t="shared" ca="1" si="18"/>
        <v>1686</v>
      </c>
    </row>
    <row r="15" spans="2:26" x14ac:dyDescent="0.25">
      <c r="B15">
        <f t="shared" ca="1" si="0"/>
        <v>767</v>
      </c>
      <c r="C15">
        <f t="shared" ca="1" si="1"/>
        <v>27</v>
      </c>
      <c r="D15">
        <f t="shared" ca="1" si="2"/>
        <v>2.892230012406681E-2</v>
      </c>
      <c r="F15" s="1">
        <f t="shared" ca="1" si="3"/>
        <v>41</v>
      </c>
      <c r="G15" s="1">
        <f t="shared" ca="1" si="4"/>
        <v>22</v>
      </c>
      <c r="H15" s="1">
        <f t="shared" ca="1" si="5"/>
        <v>5</v>
      </c>
      <c r="I15" s="1"/>
      <c r="J15" s="1">
        <f t="shared" ca="1" si="6"/>
        <v>39</v>
      </c>
      <c r="K15" s="1">
        <f t="shared" ca="1" si="7"/>
        <v>2.40628800698539</v>
      </c>
      <c r="L15" s="1">
        <f t="shared" ca="1" si="8"/>
        <v>20</v>
      </c>
      <c r="M15" s="1"/>
      <c r="N15" s="1">
        <f t="shared" ca="1" si="9"/>
        <v>97</v>
      </c>
      <c r="O15" s="1">
        <f t="shared" ca="1" si="10"/>
        <v>39</v>
      </c>
      <c r="P15" s="1"/>
      <c r="Q15" s="1">
        <f t="shared" ca="1" si="11"/>
        <v>3.8287894883650146</v>
      </c>
      <c r="R15" s="1">
        <f t="shared" ca="1" si="12"/>
        <v>490</v>
      </c>
      <c r="S15" s="1"/>
      <c r="T15" s="1">
        <f t="shared" ca="1" si="13"/>
        <v>0.19749890924516589</v>
      </c>
      <c r="U15" s="1">
        <f t="shared" ca="1" si="14"/>
        <v>245</v>
      </c>
      <c r="V15" s="1">
        <f t="shared" ca="1" si="15"/>
        <v>43</v>
      </c>
      <c r="W15" s="1"/>
      <c r="X15" s="1">
        <f t="shared" ca="1" si="16"/>
        <v>3.813590697996351</v>
      </c>
      <c r="Y15" s="1">
        <f t="shared" ca="1" si="17"/>
        <v>0.54158584609933114</v>
      </c>
      <c r="Z15" s="1">
        <f t="shared" ca="1" si="18"/>
        <v>876</v>
      </c>
    </row>
    <row r="16" spans="2:26" x14ac:dyDescent="0.25">
      <c r="B16">
        <f t="shared" ca="1" si="0"/>
        <v>168</v>
      </c>
      <c r="C16">
        <f t="shared" ca="1" si="1"/>
        <v>28</v>
      </c>
      <c r="D16">
        <f t="shared" ca="1" si="2"/>
        <v>0.24642370808315844</v>
      </c>
      <c r="F16" s="1">
        <f t="shared" ca="1" si="3"/>
        <v>9</v>
      </c>
      <c r="G16" s="1">
        <f t="shared" ca="1" si="4"/>
        <v>5</v>
      </c>
      <c r="H16" s="1">
        <f t="shared" ca="1" si="5"/>
        <v>7</v>
      </c>
      <c r="I16" s="1"/>
      <c r="J16" s="1">
        <f t="shared" ca="1" si="6"/>
        <v>3</v>
      </c>
      <c r="K16" s="1">
        <f t="shared" ca="1" si="7"/>
        <v>1.3677718387543736</v>
      </c>
      <c r="L16" s="1">
        <f t="shared" ca="1" si="8"/>
        <v>10</v>
      </c>
      <c r="M16" s="1"/>
      <c r="N16" s="1">
        <f t="shared" ca="1" si="9"/>
        <v>822</v>
      </c>
      <c r="O16" s="1">
        <f t="shared" ca="1" si="10"/>
        <v>26</v>
      </c>
      <c r="P16" s="1"/>
      <c r="Q16" s="1">
        <f t="shared" ca="1" si="11"/>
        <v>2.7897750019001673</v>
      </c>
      <c r="R16" s="1">
        <f t="shared" ca="1" si="12"/>
        <v>890</v>
      </c>
      <c r="S16" s="1"/>
      <c r="T16" s="1">
        <f t="shared" ca="1" si="13"/>
        <v>6.0237909860405101E-2</v>
      </c>
      <c r="U16" s="1">
        <f t="shared" ca="1" si="14"/>
        <v>94</v>
      </c>
      <c r="V16" s="1">
        <f t="shared" ca="1" si="15"/>
        <v>50</v>
      </c>
      <c r="W16" s="1"/>
      <c r="X16" s="1">
        <f t="shared" ca="1" si="16"/>
        <v>0.67430928584502825</v>
      </c>
      <c r="Y16" s="1">
        <f t="shared" ca="1" si="17"/>
        <v>0.44443396778058236</v>
      </c>
      <c r="Z16" s="1">
        <f t="shared" ca="1" si="18"/>
        <v>706</v>
      </c>
    </row>
    <row r="17" spans="2:26" x14ac:dyDescent="0.25">
      <c r="B17">
        <f t="shared" ca="1" si="0"/>
        <v>818</v>
      </c>
      <c r="C17">
        <f t="shared" ca="1" si="1"/>
        <v>34</v>
      </c>
      <c r="D17">
        <f t="shared" ca="1" si="2"/>
        <v>0.20835740645814413</v>
      </c>
      <c r="F17" s="1">
        <f t="shared" ca="1" si="3"/>
        <v>39</v>
      </c>
      <c r="G17" s="1">
        <f t="shared" ca="1" si="4"/>
        <v>6</v>
      </c>
      <c r="H17" s="1">
        <f t="shared" ca="1" si="5"/>
        <v>3</v>
      </c>
      <c r="I17" s="1"/>
      <c r="J17" s="1">
        <f t="shared" ca="1" si="6"/>
        <v>7</v>
      </c>
      <c r="K17" s="1">
        <f t="shared" ca="1" si="7"/>
        <v>1.1228962610995659</v>
      </c>
      <c r="L17" s="1">
        <f t="shared" ca="1" si="8"/>
        <v>24</v>
      </c>
      <c r="M17" s="1"/>
      <c r="N17" s="1">
        <f t="shared" ca="1" si="9"/>
        <v>128</v>
      </c>
      <c r="O17" s="1">
        <f t="shared" ca="1" si="10"/>
        <v>23</v>
      </c>
      <c r="P17" s="1"/>
      <c r="Q17" s="1">
        <f t="shared" ca="1" si="11"/>
        <v>0.12056546786676159</v>
      </c>
      <c r="R17" s="1">
        <f t="shared" ca="1" si="12"/>
        <v>1137</v>
      </c>
      <c r="S17" s="1"/>
      <c r="T17" s="1">
        <f t="shared" ca="1" si="13"/>
        <v>3.8462215238720572E-2</v>
      </c>
      <c r="U17" s="1">
        <f t="shared" ca="1" si="14"/>
        <v>284</v>
      </c>
      <c r="V17" s="1">
        <f t="shared" ca="1" si="15"/>
        <v>40</v>
      </c>
      <c r="W17" s="1"/>
      <c r="X17" s="1">
        <f t="shared" ca="1" si="16"/>
        <v>9.6404735058987399</v>
      </c>
      <c r="Y17" s="1">
        <f t="shared" ca="1" si="17"/>
        <v>0.90219517788441472</v>
      </c>
      <c r="Z17" s="1">
        <f t="shared" ca="1" si="18"/>
        <v>197</v>
      </c>
    </row>
    <row r="18" spans="2:26" x14ac:dyDescent="0.25">
      <c r="B18">
        <f t="shared" ca="1" si="0"/>
        <v>981</v>
      </c>
      <c r="C18">
        <f t="shared" ca="1" si="1"/>
        <v>34</v>
      </c>
      <c r="D18">
        <f t="shared" ca="1" si="2"/>
        <v>4.6682407872070467E-2</v>
      </c>
      <c r="F18" s="1">
        <f t="shared" ca="1" si="3"/>
        <v>21</v>
      </c>
      <c r="G18" s="1">
        <f t="shared" ca="1" si="4"/>
        <v>6</v>
      </c>
      <c r="H18" s="1">
        <f t="shared" ca="1" si="5"/>
        <v>7</v>
      </c>
      <c r="I18" s="1"/>
      <c r="J18" s="1">
        <f t="shared" ca="1" si="6"/>
        <v>22</v>
      </c>
      <c r="K18" s="1">
        <f t="shared" ca="1" si="7"/>
        <v>2.6946282853454573</v>
      </c>
      <c r="L18" s="1">
        <f t="shared" ca="1" si="8"/>
        <v>15</v>
      </c>
      <c r="M18" s="1"/>
      <c r="N18" s="1">
        <f t="shared" ca="1" si="9"/>
        <v>47</v>
      </c>
      <c r="O18" s="1">
        <f t="shared" ca="1" si="10"/>
        <v>18</v>
      </c>
      <c r="P18" s="1"/>
      <c r="Q18" s="1">
        <f t="shared" ca="1" si="11"/>
        <v>2.5354885671030956</v>
      </c>
      <c r="R18" s="1">
        <f t="shared" ca="1" si="12"/>
        <v>1136</v>
      </c>
      <c r="S18" s="1"/>
      <c r="T18" s="1">
        <f t="shared" ca="1" si="13"/>
        <v>0.18819139921155198</v>
      </c>
      <c r="U18" s="1">
        <f t="shared" ca="1" si="14"/>
        <v>174</v>
      </c>
      <c r="V18" s="1">
        <f t="shared" ca="1" si="15"/>
        <v>13</v>
      </c>
      <c r="W18" s="1"/>
      <c r="X18" s="1">
        <f t="shared" ca="1" si="16"/>
        <v>8.3882498174403448</v>
      </c>
      <c r="Y18" s="1">
        <f t="shared" ca="1" si="17"/>
        <v>0.2720084718125344</v>
      </c>
      <c r="Z18" s="1">
        <f t="shared" ca="1" si="18"/>
        <v>1231</v>
      </c>
    </row>
    <row r="19" spans="2:26" x14ac:dyDescent="0.25">
      <c r="B19">
        <f t="shared" ca="1" si="0"/>
        <v>490</v>
      </c>
      <c r="C19">
        <f t="shared" ca="1" si="1"/>
        <v>5</v>
      </c>
      <c r="D19">
        <f t="shared" ca="1" si="2"/>
        <v>5.4159845115816577E-2</v>
      </c>
      <c r="F19" s="1">
        <f t="shared" ca="1" si="3"/>
        <v>19</v>
      </c>
      <c r="G19" s="1">
        <f t="shared" ca="1" si="4"/>
        <v>19</v>
      </c>
      <c r="H19" s="1">
        <f t="shared" ca="1" si="5"/>
        <v>4</v>
      </c>
      <c r="I19" s="1"/>
      <c r="J19" s="1">
        <f t="shared" ca="1" si="6"/>
        <v>21</v>
      </c>
      <c r="K19" s="1">
        <f t="shared" ca="1" si="7"/>
        <v>2.7156602601638258</v>
      </c>
      <c r="L19" s="1">
        <f t="shared" ca="1" si="8"/>
        <v>7</v>
      </c>
      <c r="M19" s="1"/>
      <c r="N19" s="1">
        <f t="shared" ca="1" si="9"/>
        <v>579</v>
      </c>
      <c r="O19" s="1">
        <f t="shared" ca="1" si="10"/>
        <v>24</v>
      </c>
      <c r="P19" s="1"/>
      <c r="Q19" s="1">
        <f t="shared" ca="1" si="11"/>
        <v>4.4390337094794186</v>
      </c>
      <c r="R19" s="1">
        <f t="shared" ca="1" si="12"/>
        <v>407</v>
      </c>
      <c r="S19" s="1"/>
      <c r="T19" s="1">
        <f t="shared" ca="1" si="13"/>
        <v>6.1940509623632227E-2</v>
      </c>
      <c r="U19" s="1">
        <f t="shared" ca="1" si="14"/>
        <v>112</v>
      </c>
      <c r="V19" s="1">
        <f t="shared" ca="1" si="15"/>
        <v>30</v>
      </c>
      <c r="W19" s="1"/>
      <c r="X19" s="1">
        <f t="shared" ca="1" si="16"/>
        <v>0.60323420224915247</v>
      </c>
      <c r="Y19" s="1">
        <f t="shared" ca="1" si="17"/>
        <v>0.78503311153391886</v>
      </c>
      <c r="Z19" s="1">
        <f t="shared" ca="1" si="18"/>
        <v>153</v>
      </c>
    </row>
    <row r="20" spans="2:26" x14ac:dyDescent="0.25">
      <c r="B20">
        <f t="shared" ca="1" si="0"/>
        <v>289</v>
      </c>
      <c r="C20">
        <f t="shared" ca="1" si="1"/>
        <v>10</v>
      </c>
      <c r="D20">
        <f t="shared" ca="1" si="2"/>
        <v>0.22528144108601711</v>
      </c>
      <c r="F20" s="1">
        <f t="shared" ca="1" si="3"/>
        <v>47</v>
      </c>
      <c r="G20" s="1">
        <f t="shared" ca="1" si="4"/>
        <v>16</v>
      </c>
      <c r="H20" s="1">
        <f t="shared" ca="1" si="5"/>
        <v>7</v>
      </c>
      <c r="I20" s="1"/>
      <c r="J20" s="1">
        <f t="shared" ca="1" si="6"/>
        <v>33</v>
      </c>
      <c r="K20" s="1">
        <f t="shared" ca="1" si="7"/>
        <v>1.908258518481065</v>
      </c>
      <c r="L20" s="1">
        <f t="shared" ca="1" si="8"/>
        <v>35</v>
      </c>
      <c r="M20" s="1"/>
      <c r="N20" s="1">
        <f t="shared" ca="1" si="9"/>
        <v>193</v>
      </c>
      <c r="O20" s="1">
        <f t="shared" ca="1" si="10"/>
        <v>52</v>
      </c>
      <c r="P20" s="1"/>
      <c r="Q20" s="1">
        <f t="shared" ca="1" si="11"/>
        <v>1.8357485166567007</v>
      </c>
      <c r="R20" s="1">
        <f t="shared" ca="1" si="12"/>
        <v>1083</v>
      </c>
      <c r="S20" s="1"/>
      <c r="T20" s="1">
        <f t="shared" ca="1" si="13"/>
        <v>1.4636166238709645E-2</v>
      </c>
      <c r="U20" s="1">
        <f t="shared" ca="1" si="14"/>
        <v>184</v>
      </c>
      <c r="V20" s="1">
        <f t="shared" ca="1" si="15"/>
        <v>7</v>
      </c>
      <c r="W20" s="1"/>
      <c r="X20" s="1">
        <f t="shared" ca="1" si="16"/>
        <v>5.5781192138090319</v>
      </c>
      <c r="Y20" s="1">
        <f t="shared" ca="1" si="17"/>
        <v>0.47145580725250791</v>
      </c>
      <c r="Z20" s="1">
        <f t="shared" ca="1" si="18"/>
        <v>532</v>
      </c>
    </row>
    <row r="21" spans="2:26" x14ac:dyDescent="0.25">
      <c r="B21">
        <f t="shared" ca="1" si="0"/>
        <v>828</v>
      </c>
      <c r="C21">
        <f t="shared" ca="1" si="1"/>
        <v>48</v>
      </c>
      <c r="D21">
        <f t="shared" ca="1" si="2"/>
        <v>5.6474117744688197E-2</v>
      </c>
      <c r="F21" s="1">
        <f t="shared" ca="1" si="3"/>
        <v>3</v>
      </c>
      <c r="G21" s="1">
        <f t="shared" ca="1" si="4"/>
        <v>2</v>
      </c>
      <c r="H21" s="1">
        <f t="shared" ca="1" si="5"/>
        <v>10</v>
      </c>
      <c r="I21" s="1"/>
      <c r="J21" s="1">
        <f t="shared" ca="1" si="6"/>
        <v>30</v>
      </c>
      <c r="K21" s="1">
        <f t="shared" ca="1" si="7"/>
        <v>1.2080709644374652</v>
      </c>
      <c r="L21" s="1">
        <f t="shared" ca="1" si="8"/>
        <v>2</v>
      </c>
      <c r="M21" s="1"/>
      <c r="N21" s="1">
        <f t="shared" ca="1" si="9"/>
        <v>272</v>
      </c>
      <c r="O21" s="1">
        <f t="shared" ca="1" si="10"/>
        <v>2</v>
      </c>
      <c r="P21" s="1"/>
      <c r="Q21" s="1">
        <f t="shared" ca="1" si="11"/>
        <v>4.7922756856991713</v>
      </c>
      <c r="R21" s="1">
        <f t="shared" ca="1" si="12"/>
        <v>707</v>
      </c>
      <c r="S21" s="1"/>
      <c r="T21" s="1">
        <f t="shared" ca="1" si="13"/>
        <v>0.19646738610311845</v>
      </c>
      <c r="U21" s="1">
        <f t="shared" ca="1" si="14"/>
        <v>361</v>
      </c>
      <c r="V21" s="1">
        <f t="shared" ca="1" si="15"/>
        <v>41</v>
      </c>
      <c r="W21" s="1"/>
      <c r="X21" s="1">
        <f t="shared" ca="1" si="16"/>
        <v>4.9427452912866734</v>
      </c>
      <c r="Y21" s="1">
        <f t="shared" ca="1" si="17"/>
        <v>0.57615340302102147</v>
      </c>
      <c r="Z21" s="1">
        <f t="shared" ca="1" si="18"/>
        <v>1619</v>
      </c>
    </row>
    <row r="22" spans="2:26" x14ac:dyDescent="0.25">
      <c r="B22">
        <f t="shared" ca="1" si="0"/>
        <v>839</v>
      </c>
      <c r="C22">
        <f t="shared" ca="1" si="1"/>
        <v>14</v>
      </c>
      <c r="D22">
        <f t="shared" ca="1" si="2"/>
        <v>7.9330662039328481E-2</v>
      </c>
      <c r="F22" s="1">
        <f t="shared" ca="1" si="3"/>
        <v>51</v>
      </c>
      <c r="G22" s="1">
        <f t="shared" ca="1" si="4"/>
        <v>25</v>
      </c>
      <c r="H22" s="1">
        <f t="shared" ca="1" si="5"/>
        <v>4</v>
      </c>
      <c r="I22" s="1"/>
      <c r="J22" s="1">
        <f t="shared" ca="1" si="6"/>
        <v>8</v>
      </c>
      <c r="K22" s="1">
        <f t="shared" ca="1" si="7"/>
        <v>2.6579307853094081</v>
      </c>
      <c r="L22" s="1">
        <f t="shared" ca="1" si="8"/>
        <v>14</v>
      </c>
      <c r="M22" s="1"/>
      <c r="N22" s="1">
        <f t="shared" ca="1" si="9"/>
        <v>823</v>
      </c>
      <c r="O22" s="1">
        <f t="shared" ca="1" si="10"/>
        <v>19</v>
      </c>
      <c r="P22" s="1"/>
      <c r="Q22" s="1">
        <f t="shared" ca="1" si="11"/>
        <v>0.27958423634787938</v>
      </c>
      <c r="R22" s="1">
        <f t="shared" ca="1" si="12"/>
        <v>613</v>
      </c>
      <c r="S22" s="1"/>
      <c r="T22" s="1">
        <f t="shared" ca="1" si="13"/>
        <v>2.5709499140994609E-2</v>
      </c>
      <c r="U22" s="1">
        <f t="shared" ca="1" si="14"/>
        <v>155</v>
      </c>
      <c r="V22" s="1">
        <f t="shared" ca="1" si="15"/>
        <v>30</v>
      </c>
      <c r="W22" s="1"/>
      <c r="X22" s="1">
        <f t="shared" ca="1" si="16"/>
        <v>1.2738252381187387</v>
      </c>
      <c r="Y22" s="1">
        <f t="shared" ca="1" si="17"/>
        <v>0.56129832962536486</v>
      </c>
      <c r="Z22" s="1">
        <f t="shared" ca="1" si="18"/>
        <v>1096</v>
      </c>
    </row>
    <row r="23" spans="2:26" x14ac:dyDescent="0.25">
      <c r="B23">
        <f t="shared" ca="1" si="0"/>
        <v>332</v>
      </c>
      <c r="C23">
        <f t="shared" ca="1" si="1"/>
        <v>4</v>
      </c>
      <c r="D23">
        <f t="shared" ca="1" si="2"/>
        <v>1.5561665044121376E-2</v>
      </c>
      <c r="F23" s="1">
        <f t="shared" ca="1" si="3"/>
        <v>23</v>
      </c>
      <c r="G23" s="1">
        <f t="shared" ca="1" si="4"/>
        <v>13</v>
      </c>
      <c r="H23" s="1">
        <f t="shared" ca="1" si="5"/>
        <v>10</v>
      </c>
      <c r="I23" s="1"/>
      <c r="J23" s="1">
        <f t="shared" ca="1" si="6"/>
        <v>35</v>
      </c>
      <c r="K23" s="1">
        <f t="shared" ca="1" si="7"/>
        <v>1.1123288763380774</v>
      </c>
      <c r="L23" s="1">
        <f t="shared" ca="1" si="8"/>
        <v>23</v>
      </c>
      <c r="M23" s="1"/>
      <c r="N23" s="1">
        <f t="shared" ca="1" si="9"/>
        <v>268</v>
      </c>
      <c r="O23" s="1">
        <f t="shared" ca="1" si="10"/>
        <v>45</v>
      </c>
      <c r="P23" s="1"/>
      <c r="Q23" s="1">
        <f t="shared" ca="1" si="11"/>
        <v>3.5777504425450899</v>
      </c>
      <c r="R23" s="1">
        <f t="shared" ca="1" si="12"/>
        <v>981</v>
      </c>
      <c r="S23" s="1"/>
      <c r="T23" s="1">
        <f t="shared" ca="1" si="13"/>
        <v>0.18838725177673094</v>
      </c>
      <c r="U23" s="1">
        <f t="shared" ca="1" si="14"/>
        <v>300</v>
      </c>
      <c r="V23" s="1">
        <f t="shared" ca="1" si="15"/>
        <v>50</v>
      </c>
      <c r="W23" s="1"/>
      <c r="X23" s="1">
        <f t="shared" ca="1" si="16"/>
        <v>7.8532785149807367</v>
      </c>
      <c r="Y23" s="1">
        <f t="shared" ca="1" si="17"/>
        <v>0.21488416758540183</v>
      </c>
      <c r="Z23" s="1">
        <f t="shared" ca="1" si="18"/>
        <v>618</v>
      </c>
    </row>
    <row r="24" spans="2:26" x14ac:dyDescent="0.25">
      <c r="B24">
        <f t="shared" ca="1" si="0"/>
        <v>849</v>
      </c>
      <c r="C24">
        <f t="shared" ca="1" si="1"/>
        <v>2</v>
      </c>
      <c r="D24">
        <f t="shared" ca="1" si="2"/>
        <v>8.2044415709803448E-2</v>
      </c>
      <c r="F24" s="1">
        <f t="shared" ca="1" si="3"/>
        <v>52</v>
      </c>
      <c r="G24" s="1">
        <f t="shared" ca="1" si="4"/>
        <v>15</v>
      </c>
      <c r="H24" s="1">
        <f t="shared" ca="1" si="5"/>
        <v>8</v>
      </c>
      <c r="I24" s="1"/>
      <c r="J24" s="1">
        <f t="shared" ca="1" si="6"/>
        <v>4</v>
      </c>
      <c r="K24" s="1">
        <f t="shared" ca="1" si="7"/>
        <v>1.1035786586842582</v>
      </c>
      <c r="L24" s="1">
        <f t="shared" ca="1" si="8"/>
        <v>32</v>
      </c>
      <c r="M24" s="1"/>
      <c r="N24" s="1">
        <f t="shared" ca="1" si="9"/>
        <v>375</v>
      </c>
      <c r="O24" s="1">
        <f t="shared" ca="1" si="10"/>
        <v>18</v>
      </c>
      <c r="P24" s="1"/>
      <c r="Q24" s="1">
        <f t="shared" ca="1" si="11"/>
        <v>1.1900073496688306</v>
      </c>
      <c r="R24" s="1">
        <f t="shared" ca="1" si="12"/>
        <v>1200</v>
      </c>
      <c r="S24" s="1"/>
      <c r="T24" s="1">
        <f t="shared" ca="1" si="13"/>
        <v>0.10097315317739947</v>
      </c>
      <c r="U24" s="1">
        <f t="shared" ca="1" si="14"/>
        <v>310</v>
      </c>
      <c r="V24" s="1">
        <f t="shared" ca="1" si="15"/>
        <v>50</v>
      </c>
      <c r="W24" s="1"/>
      <c r="X24" s="1">
        <f t="shared" ca="1" si="16"/>
        <v>5.4162972700643444</v>
      </c>
      <c r="Y24" s="1">
        <f t="shared" ca="1" si="17"/>
        <v>0.72957772577427304</v>
      </c>
      <c r="Z24" s="1">
        <f t="shared" ca="1" si="18"/>
        <v>316</v>
      </c>
    </row>
    <row r="25" spans="2:26" x14ac:dyDescent="0.25">
      <c r="B25">
        <f t="shared" ca="1" si="0"/>
        <v>948</v>
      </c>
      <c r="C25">
        <f t="shared" ca="1" si="1"/>
        <v>36</v>
      </c>
      <c r="D25">
        <f t="shared" ca="1" si="2"/>
        <v>0.1875784848752122</v>
      </c>
      <c r="F25" s="1">
        <f t="shared" ca="1" si="3"/>
        <v>5</v>
      </c>
      <c r="G25" s="1">
        <f t="shared" ca="1" si="4"/>
        <v>27</v>
      </c>
      <c r="H25" s="1">
        <f t="shared" ca="1" si="5"/>
        <v>15</v>
      </c>
      <c r="I25" s="1"/>
      <c r="J25" s="1">
        <f t="shared" ca="1" si="6"/>
        <v>26</v>
      </c>
      <c r="K25" s="1">
        <f t="shared" ca="1" si="7"/>
        <v>1.5672895516754806</v>
      </c>
      <c r="L25" s="1">
        <f t="shared" ca="1" si="8"/>
        <v>20</v>
      </c>
      <c r="M25" s="1"/>
      <c r="N25" s="1">
        <f t="shared" ca="1" si="9"/>
        <v>253</v>
      </c>
      <c r="O25" s="1">
        <f t="shared" ca="1" si="10"/>
        <v>47</v>
      </c>
      <c r="P25" s="1"/>
      <c r="Q25" s="1">
        <f t="shared" ca="1" si="11"/>
        <v>1.7099749250804774</v>
      </c>
      <c r="R25" s="1">
        <f t="shared" ca="1" si="12"/>
        <v>783</v>
      </c>
      <c r="S25" s="1"/>
      <c r="T25" s="1">
        <f t="shared" ca="1" si="13"/>
        <v>2.6607375486832265E-2</v>
      </c>
      <c r="U25" s="1">
        <f t="shared" ca="1" si="14"/>
        <v>128</v>
      </c>
      <c r="V25" s="1">
        <f t="shared" ca="1" si="15"/>
        <v>31</v>
      </c>
      <c r="W25" s="1"/>
      <c r="X25" s="1">
        <f t="shared" ca="1" si="16"/>
        <v>3.5074509870949351</v>
      </c>
      <c r="Y25" s="1">
        <f t="shared" ca="1" si="17"/>
        <v>0.28950823883137583</v>
      </c>
      <c r="Z25" s="1">
        <f t="shared" ca="1" si="18"/>
        <v>234</v>
      </c>
    </row>
    <row r="26" spans="2:26" x14ac:dyDescent="0.25">
      <c r="B26">
        <f t="shared" ca="1" si="0"/>
        <v>448</v>
      </c>
      <c r="C26">
        <f t="shared" ca="1" si="1"/>
        <v>18</v>
      </c>
      <c r="D26">
        <f t="shared" ca="1" si="2"/>
        <v>0.1157192972746843</v>
      </c>
      <c r="F26" s="1">
        <f t="shared" ca="1" si="3"/>
        <v>3</v>
      </c>
      <c r="G26" s="1">
        <f t="shared" ca="1" si="4"/>
        <v>30</v>
      </c>
      <c r="H26" s="1">
        <f t="shared" ca="1" si="5"/>
        <v>6</v>
      </c>
      <c r="I26" s="1"/>
      <c r="J26" s="1">
        <f t="shared" ca="1" si="6"/>
        <v>26</v>
      </c>
      <c r="K26" s="1">
        <f t="shared" ca="1" si="7"/>
        <v>2.30780861888495</v>
      </c>
      <c r="L26" s="1">
        <f t="shared" ca="1" si="8"/>
        <v>20</v>
      </c>
      <c r="M26" s="1"/>
      <c r="N26" s="1">
        <f t="shared" ca="1" si="9"/>
        <v>996</v>
      </c>
      <c r="O26" s="1">
        <f t="shared" ca="1" si="10"/>
        <v>51</v>
      </c>
      <c r="P26" s="1"/>
      <c r="Q26" s="1">
        <f t="shared" ca="1" si="11"/>
        <v>1.0050952460777085</v>
      </c>
      <c r="R26" s="1">
        <f t="shared" ca="1" si="12"/>
        <v>996</v>
      </c>
      <c r="S26" s="1"/>
      <c r="T26" s="1">
        <f t="shared" ca="1" si="13"/>
        <v>5.2216039850258231E-2</v>
      </c>
      <c r="U26" s="1">
        <f t="shared" ca="1" si="14"/>
        <v>364</v>
      </c>
      <c r="V26" s="1">
        <f t="shared" ca="1" si="15"/>
        <v>38</v>
      </c>
      <c r="W26" s="1"/>
      <c r="X26" s="1">
        <f t="shared" ca="1" si="16"/>
        <v>9.0700563757062351</v>
      </c>
      <c r="Y26" s="1">
        <f t="shared" ca="1" si="17"/>
        <v>0.95865580699706987</v>
      </c>
      <c r="Z26" s="1">
        <f t="shared" ca="1" si="18"/>
        <v>1027</v>
      </c>
    </row>
    <row r="27" spans="2:26" x14ac:dyDescent="0.25">
      <c r="B27">
        <f t="shared" ca="1" si="0"/>
        <v>422</v>
      </c>
      <c r="C27">
        <f t="shared" ca="1" si="1"/>
        <v>30</v>
      </c>
      <c r="D27">
        <f t="shared" ca="1" si="2"/>
        <v>8.920165070270307E-2</v>
      </c>
      <c r="F27" s="1">
        <f t="shared" ca="1" si="3"/>
        <v>39</v>
      </c>
      <c r="G27" s="1">
        <f t="shared" ca="1" si="4"/>
        <v>26</v>
      </c>
      <c r="H27" s="1">
        <f t="shared" ca="1" si="5"/>
        <v>10</v>
      </c>
      <c r="I27" s="1"/>
      <c r="J27" s="1">
        <f t="shared" ca="1" si="6"/>
        <v>7</v>
      </c>
      <c r="K27" s="1">
        <f t="shared" ca="1" si="7"/>
        <v>1.2619749354626937</v>
      </c>
      <c r="L27" s="1">
        <f t="shared" ca="1" si="8"/>
        <v>26</v>
      </c>
      <c r="M27" s="1"/>
      <c r="N27" s="1">
        <f t="shared" ca="1" si="9"/>
        <v>825</v>
      </c>
      <c r="O27" s="1">
        <f t="shared" ca="1" si="10"/>
        <v>20</v>
      </c>
      <c r="P27" s="1"/>
      <c r="Q27" s="1">
        <f t="shared" ca="1" si="11"/>
        <v>0.53967501643009286</v>
      </c>
      <c r="R27" s="1">
        <f t="shared" ca="1" si="12"/>
        <v>697</v>
      </c>
      <c r="S27" s="1"/>
      <c r="T27" s="1">
        <f t="shared" ca="1" si="13"/>
        <v>7.7322883644404941E-2</v>
      </c>
      <c r="U27" s="1">
        <f t="shared" ca="1" si="14"/>
        <v>331</v>
      </c>
      <c r="V27" s="1">
        <f t="shared" ca="1" si="15"/>
        <v>8</v>
      </c>
      <c r="W27" s="1"/>
      <c r="X27" s="1">
        <f t="shared" ca="1" si="16"/>
        <v>7.1156513838448721</v>
      </c>
      <c r="Y27" s="1">
        <f t="shared" ca="1" si="17"/>
        <v>0.66060177229048955</v>
      </c>
      <c r="Z27" s="1">
        <f t="shared" ca="1" si="18"/>
        <v>1088</v>
      </c>
    </row>
    <row r="28" spans="2:26" x14ac:dyDescent="0.25">
      <c r="B28">
        <f t="shared" ca="1" si="0"/>
        <v>245</v>
      </c>
      <c r="C28">
        <f t="shared" ca="1" si="1"/>
        <v>38</v>
      </c>
      <c r="D28">
        <f t="shared" ca="1" si="2"/>
        <v>1.5076483914594832E-2</v>
      </c>
      <c r="F28" s="1">
        <f t="shared" ca="1" si="3"/>
        <v>44</v>
      </c>
      <c r="G28" s="1">
        <f t="shared" ca="1" si="4"/>
        <v>27</v>
      </c>
      <c r="H28" s="1">
        <f t="shared" ca="1" si="5"/>
        <v>5</v>
      </c>
      <c r="I28" s="1"/>
      <c r="J28" s="1">
        <f t="shared" ca="1" si="6"/>
        <v>26</v>
      </c>
      <c r="K28" s="1">
        <f t="shared" ca="1" si="7"/>
        <v>1.4099741801573329</v>
      </c>
      <c r="L28" s="1">
        <f t="shared" ca="1" si="8"/>
        <v>12</v>
      </c>
      <c r="M28" s="1"/>
      <c r="N28" s="1">
        <f t="shared" ca="1" si="9"/>
        <v>185</v>
      </c>
      <c r="O28" s="1">
        <f t="shared" ca="1" si="10"/>
        <v>51</v>
      </c>
      <c r="P28" s="1"/>
      <c r="Q28" s="1">
        <f t="shared" ca="1" si="11"/>
        <v>2.6704429419321394</v>
      </c>
      <c r="R28" s="1">
        <f t="shared" ca="1" si="12"/>
        <v>334</v>
      </c>
      <c r="S28" s="1"/>
      <c r="T28" s="1">
        <f t="shared" ca="1" si="13"/>
        <v>0.16515258360722765</v>
      </c>
      <c r="U28" s="1">
        <f t="shared" ca="1" si="14"/>
        <v>449</v>
      </c>
      <c r="V28" s="1">
        <f t="shared" ca="1" si="15"/>
        <v>28</v>
      </c>
      <c r="W28" s="1"/>
      <c r="X28" s="1">
        <f t="shared" ca="1" si="16"/>
        <v>9.4882785559015534</v>
      </c>
      <c r="Y28" s="1">
        <f t="shared" ca="1" si="17"/>
        <v>0.36149296856070257</v>
      </c>
      <c r="Z28" s="1">
        <f t="shared" ca="1" si="18"/>
        <v>1663</v>
      </c>
    </row>
    <row r="29" spans="2:26" x14ac:dyDescent="0.25">
      <c r="B29">
        <f t="shared" ca="1" si="0"/>
        <v>897</v>
      </c>
      <c r="C29">
        <f t="shared" ca="1" si="1"/>
        <v>6</v>
      </c>
      <c r="D29">
        <f t="shared" ca="1" si="2"/>
        <v>0.29802266716828035</v>
      </c>
      <c r="F29" s="1">
        <f t="shared" ca="1" si="3"/>
        <v>27</v>
      </c>
      <c r="G29" s="1">
        <f t="shared" ca="1" si="4"/>
        <v>7</v>
      </c>
      <c r="H29" s="1">
        <f t="shared" ca="1" si="5"/>
        <v>6</v>
      </c>
      <c r="I29" s="1"/>
      <c r="J29" s="1">
        <f t="shared" ca="1" si="6"/>
        <v>2</v>
      </c>
      <c r="K29" s="1">
        <f t="shared" ca="1" si="7"/>
        <v>2.3651999629117899</v>
      </c>
      <c r="L29" s="1">
        <f t="shared" ca="1" si="8"/>
        <v>34</v>
      </c>
      <c r="M29" s="1"/>
      <c r="N29" s="1">
        <f t="shared" ca="1" si="9"/>
        <v>716</v>
      </c>
      <c r="O29" s="1">
        <f t="shared" ca="1" si="10"/>
        <v>39</v>
      </c>
      <c r="P29" s="1"/>
      <c r="Q29" s="1">
        <f t="shared" ca="1" si="11"/>
        <v>2.7424597294800304</v>
      </c>
      <c r="R29" s="1">
        <f t="shared" ca="1" si="12"/>
        <v>1124</v>
      </c>
      <c r="S29" s="1"/>
      <c r="T29" s="1">
        <f t="shared" ca="1" si="13"/>
        <v>0.1863944610289536</v>
      </c>
      <c r="U29" s="1">
        <f t="shared" ca="1" si="14"/>
        <v>339</v>
      </c>
      <c r="V29" s="1">
        <f t="shared" ca="1" si="15"/>
        <v>29</v>
      </c>
      <c r="W29" s="1"/>
      <c r="X29" s="1">
        <f t="shared" ca="1" si="16"/>
        <v>7.7951052766458124</v>
      </c>
      <c r="Y29" s="1">
        <f t="shared" ca="1" si="17"/>
        <v>0.65416330135580192</v>
      </c>
      <c r="Z29" s="1">
        <f t="shared" ca="1" si="18"/>
        <v>1296</v>
      </c>
    </row>
    <row r="30" spans="2:26" x14ac:dyDescent="0.25">
      <c r="B30">
        <f t="shared" ca="1" si="0"/>
        <v>462</v>
      </c>
      <c r="C30">
        <f t="shared" ca="1" si="1"/>
        <v>6</v>
      </c>
      <c r="D30">
        <f t="shared" ca="1" si="2"/>
        <v>0.14978104281628885</v>
      </c>
      <c r="F30" s="1">
        <f t="shared" ca="1" si="3"/>
        <v>5</v>
      </c>
      <c r="G30" s="1">
        <f t="shared" ca="1" si="4"/>
        <v>28</v>
      </c>
      <c r="H30" s="1">
        <f t="shared" ca="1" si="5"/>
        <v>10</v>
      </c>
      <c r="I30" s="1"/>
      <c r="J30" s="1">
        <f t="shared" ca="1" si="6"/>
        <v>27</v>
      </c>
      <c r="K30" s="1">
        <f t="shared" ca="1" si="7"/>
        <v>1.7692583602021088</v>
      </c>
      <c r="L30" s="1">
        <f t="shared" ca="1" si="8"/>
        <v>13</v>
      </c>
      <c r="M30" s="1"/>
      <c r="N30" s="1">
        <f t="shared" ca="1" si="9"/>
        <v>255</v>
      </c>
      <c r="O30" s="1">
        <f t="shared" ca="1" si="10"/>
        <v>10</v>
      </c>
      <c r="P30" s="1"/>
      <c r="Q30" s="1">
        <f t="shared" ca="1" si="11"/>
        <v>4.7440324520882982</v>
      </c>
      <c r="R30" s="1">
        <f t="shared" ca="1" si="12"/>
        <v>1062</v>
      </c>
      <c r="S30" s="1"/>
      <c r="T30" s="1">
        <f t="shared" ca="1" si="13"/>
        <v>0.19331354168177056</v>
      </c>
      <c r="U30" s="1">
        <f t="shared" ca="1" si="14"/>
        <v>137</v>
      </c>
      <c r="V30" s="1">
        <f t="shared" ca="1" si="15"/>
        <v>4</v>
      </c>
      <c r="W30" s="1"/>
      <c r="X30" s="1">
        <f t="shared" ca="1" si="16"/>
        <v>8.5136069511977972</v>
      </c>
      <c r="Y30" s="1">
        <f t="shared" ca="1" si="17"/>
        <v>3.4753055071690644E-2</v>
      </c>
      <c r="Z30" s="1">
        <f t="shared" ca="1" si="18"/>
        <v>598</v>
      </c>
    </row>
    <row r="31" spans="2:26" x14ac:dyDescent="0.25">
      <c r="B31">
        <f t="shared" ca="1" si="0"/>
        <v>632</v>
      </c>
      <c r="C31">
        <f t="shared" ca="1" si="1"/>
        <v>13</v>
      </c>
      <c r="D31">
        <f t="shared" ca="1" si="2"/>
        <v>0.13464883780515255</v>
      </c>
      <c r="F31" s="1">
        <f t="shared" ca="1" si="3"/>
        <v>35</v>
      </c>
      <c r="G31" s="1">
        <f t="shared" ca="1" si="4"/>
        <v>13</v>
      </c>
      <c r="H31" s="1">
        <f t="shared" ca="1" si="5"/>
        <v>15</v>
      </c>
      <c r="I31" s="1"/>
      <c r="J31" s="1">
        <f t="shared" ca="1" si="6"/>
        <v>38</v>
      </c>
      <c r="K31" s="1">
        <f t="shared" ca="1" si="7"/>
        <v>2.3099167936846445</v>
      </c>
      <c r="L31" s="1">
        <f t="shared" ca="1" si="8"/>
        <v>32</v>
      </c>
      <c r="M31" s="1"/>
      <c r="N31" s="1">
        <f t="shared" ca="1" si="9"/>
        <v>351</v>
      </c>
      <c r="O31" s="1">
        <f t="shared" ca="1" si="10"/>
        <v>18</v>
      </c>
      <c r="P31" s="1"/>
      <c r="Q31" s="1">
        <f t="shared" ca="1" si="11"/>
        <v>3.5481456048223539</v>
      </c>
      <c r="R31" s="1">
        <f t="shared" ca="1" si="12"/>
        <v>936</v>
      </c>
      <c r="S31" s="1"/>
      <c r="T31" s="1">
        <f t="shared" ca="1" si="13"/>
        <v>7.8149187602942094E-2</v>
      </c>
      <c r="U31" s="1">
        <f t="shared" ca="1" si="14"/>
        <v>417</v>
      </c>
      <c r="V31" s="1">
        <f t="shared" ca="1" si="15"/>
        <v>29</v>
      </c>
      <c r="W31" s="1"/>
      <c r="X31" s="1">
        <f t="shared" ca="1" si="16"/>
        <v>8.5196771734643786</v>
      </c>
      <c r="Y31" s="1">
        <f t="shared" ca="1" si="17"/>
        <v>1.3296300819245785E-2</v>
      </c>
      <c r="Z31" s="1">
        <f t="shared" ca="1" si="18"/>
        <v>1835</v>
      </c>
    </row>
    <row r="32" spans="2:26" x14ac:dyDescent="0.25">
      <c r="B32">
        <f t="shared" ca="1" si="0"/>
        <v>347</v>
      </c>
      <c r="C32">
        <f t="shared" ca="1" si="1"/>
        <v>24</v>
      </c>
      <c r="D32">
        <f t="shared" ca="1" si="2"/>
        <v>3.8651534981824782E-2</v>
      </c>
      <c r="F32" s="1">
        <f t="shared" ca="1" si="3"/>
        <v>19</v>
      </c>
      <c r="G32" s="1">
        <f t="shared" ca="1" si="4"/>
        <v>25</v>
      </c>
      <c r="H32" s="1">
        <f t="shared" ca="1" si="5"/>
        <v>11</v>
      </c>
      <c r="I32" s="1"/>
      <c r="J32" s="1">
        <f t="shared" ca="1" si="6"/>
        <v>26</v>
      </c>
      <c r="K32" s="1">
        <f t="shared" ca="1" si="7"/>
        <v>2.3296223658379267</v>
      </c>
      <c r="L32" s="1">
        <f t="shared" ca="1" si="8"/>
        <v>3</v>
      </c>
      <c r="M32" s="1"/>
      <c r="N32" s="1">
        <f t="shared" ca="1" si="9"/>
        <v>89</v>
      </c>
      <c r="O32" s="1">
        <f t="shared" ca="1" si="10"/>
        <v>29</v>
      </c>
      <c r="P32" s="1"/>
      <c r="Q32" s="1">
        <f t="shared" ca="1" si="11"/>
        <v>4.6170835628170224</v>
      </c>
      <c r="R32" s="1">
        <f t="shared" ca="1" si="12"/>
        <v>212</v>
      </c>
      <c r="S32" s="1"/>
      <c r="T32" s="1">
        <f t="shared" ca="1" si="13"/>
        <v>8.0125764158392121E-2</v>
      </c>
      <c r="U32" s="1">
        <f t="shared" ca="1" si="14"/>
        <v>256</v>
      </c>
      <c r="V32" s="1">
        <f t="shared" ca="1" si="15"/>
        <v>50</v>
      </c>
      <c r="W32" s="1"/>
      <c r="X32" s="1">
        <f t="shared" ca="1" si="16"/>
        <v>3.2231498499474713</v>
      </c>
      <c r="Y32" s="1">
        <f t="shared" ca="1" si="17"/>
        <v>0.72988477143030772</v>
      </c>
      <c r="Z32" s="1">
        <f t="shared" ca="1" si="18"/>
        <v>482</v>
      </c>
    </row>
    <row r="33" spans="2:26" x14ac:dyDescent="0.25">
      <c r="B33">
        <f t="shared" ca="1" si="0"/>
        <v>441</v>
      </c>
      <c r="C33">
        <f t="shared" ca="1" si="1"/>
        <v>36</v>
      </c>
      <c r="D33">
        <f t="shared" ca="1" si="2"/>
        <v>8.4408569654591148E-2</v>
      </c>
      <c r="F33" s="1">
        <f t="shared" ca="1" si="3"/>
        <v>11</v>
      </c>
      <c r="G33" s="1">
        <f t="shared" ca="1" si="4"/>
        <v>22</v>
      </c>
      <c r="H33" s="1">
        <f t="shared" ca="1" si="5"/>
        <v>15</v>
      </c>
      <c r="I33" s="1"/>
      <c r="J33" s="1">
        <f t="shared" ca="1" si="6"/>
        <v>15</v>
      </c>
      <c r="K33" s="1">
        <f t="shared" ca="1" si="7"/>
        <v>1.7218419111926191</v>
      </c>
      <c r="L33" s="1">
        <f t="shared" ca="1" si="8"/>
        <v>14</v>
      </c>
      <c r="M33" s="1"/>
      <c r="N33" s="1">
        <f t="shared" ca="1" si="9"/>
        <v>301</v>
      </c>
      <c r="O33" s="1">
        <f t="shared" ca="1" si="10"/>
        <v>2</v>
      </c>
      <c r="P33" s="1"/>
      <c r="Q33" s="1">
        <f t="shared" ca="1" si="11"/>
        <v>3.041611298886651</v>
      </c>
      <c r="R33" s="1">
        <f t="shared" ca="1" si="12"/>
        <v>415</v>
      </c>
      <c r="S33" s="1"/>
      <c r="T33" s="1">
        <f t="shared" ca="1" si="13"/>
        <v>0.15103380448817647</v>
      </c>
      <c r="U33" s="1">
        <f t="shared" ca="1" si="14"/>
        <v>144</v>
      </c>
      <c r="V33" s="1">
        <f t="shared" ca="1" si="15"/>
        <v>10</v>
      </c>
      <c r="W33" s="1"/>
      <c r="X33" s="1">
        <f t="shared" ca="1" si="16"/>
        <v>7.5671689379981713</v>
      </c>
      <c r="Y33" s="1">
        <f t="shared" ca="1" si="17"/>
        <v>0.79124623141960904</v>
      </c>
      <c r="Z33" s="1">
        <f t="shared" ca="1" si="18"/>
        <v>1886</v>
      </c>
    </row>
    <row r="34" spans="2:26" x14ac:dyDescent="0.25">
      <c r="B34">
        <f t="shared" ca="1" si="0"/>
        <v>915</v>
      </c>
      <c r="C34">
        <f t="shared" ca="1" si="1"/>
        <v>4</v>
      </c>
      <c r="D34">
        <f t="shared" ca="1" si="2"/>
        <v>6.3100596616176785E-2</v>
      </c>
      <c r="F34" s="1">
        <f t="shared" ca="1" si="3"/>
        <v>11</v>
      </c>
      <c r="G34" s="1">
        <f t="shared" ca="1" si="4"/>
        <v>17</v>
      </c>
      <c r="H34" s="1">
        <f t="shared" ca="1" si="5"/>
        <v>2</v>
      </c>
      <c r="I34" s="1"/>
      <c r="J34" s="1">
        <f t="shared" ca="1" si="6"/>
        <v>22</v>
      </c>
      <c r="K34" s="1">
        <f t="shared" ca="1" si="7"/>
        <v>2.860716883377517</v>
      </c>
      <c r="L34" s="1">
        <f t="shared" ca="1" si="8"/>
        <v>18</v>
      </c>
      <c r="M34" s="1"/>
      <c r="N34" s="1">
        <f t="shared" ca="1" si="9"/>
        <v>405</v>
      </c>
      <c r="O34" s="1">
        <f t="shared" ca="1" si="10"/>
        <v>22</v>
      </c>
      <c r="P34" s="1"/>
      <c r="Q34" s="1">
        <f t="shared" ca="1" si="11"/>
        <v>0.89155292195216695</v>
      </c>
      <c r="R34" s="1">
        <f t="shared" ca="1" si="12"/>
        <v>357</v>
      </c>
      <c r="S34" s="1"/>
      <c r="T34" s="1">
        <f t="shared" ca="1" si="13"/>
        <v>7.8848147571533078E-2</v>
      </c>
      <c r="U34" s="1">
        <f t="shared" ca="1" si="14"/>
        <v>384</v>
      </c>
      <c r="V34" s="1">
        <f t="shared" ca="1" si="15"/>
        <v>29</v>
      </c>
      <c r="W34" s="1"/>
      <c r="X34" s="1">
        <f t="shared" ca="1" si="16"/>
        <v>3.8487239176588655</v>
      </c>
      <c r="Y34" s="1">
        <f t="shared" ca="1" si="17"/>
        <v>0.32115194696705185</v>
      </c>
      <c r="Z34" s="1">
        <f t="shared" ca="1" si="18"/>
        <v>1339</v>
      </c>
    </row>
    <row r="35" spans="2:26" x14ac:dyDescent="0.25">
      <c r="B35">
        <f t="shared" ca="1" si="0"/>
        <v>813</v>
      </c>
      <c r="C35">
        <f t="shared" ca="1" si="1"/>
        <v>31</v>
      </c>
      <c r="D35">
        <f t="shared" ca="1" si="2"/>
        <v>4.8830847893435649E-2</v>
      </c>
      <c r="F35" s="1">
        <f t="shared" ca="1" si="3"/>
        <v>24</v>
      </c>
      <c r="G35" s="1">
        <f t="shared" ca="1" si="4"/>
        <v>11</v>
      </c>
      <c r="H35" s="1">
        <f t="shared" ca="1" si="5"/>
        <v>6</v>
      </c>
      <c r="I35" s="1"/>
      <c r="J35" s="1">
        <f t="shared" ca="1" si="6"/>
        <v>8</v>
      </c>
      <c r="K35" s="1">
        <f t="shared" ca="1" si="7"/>
        <v>1.6565615182876869</v>
      </c>
      <c r="L35" s="1">
        <f t="shared" ca="1" si="8"/>
        <v>8</v>
      </c>
      <c r="M35" s="1"/>
      <c r="N35" s="1">
        <f t="shared" ca="1" si="9"/>
        <v>53</v>
      </c>
      <c r="O35" s="1">
        <f t="shared" ca="1" si="10"/>
        <v>30</v>
      </c>
      <c r="P35" s="1"/>
      <c r="Q35" s="1">
        <f t="shared" ca="1" si="11"/>
        <v>3.8467160044937021</v>
      </c>
      <c r="R35" s="1">
        <f t="shared" ca="1" si="12"/>
        <v>896</v>
      </c>
      <c r="S35" s="1"/>
      <c r="T35" s="1">
        <f t="shared" ca="1" si="13"/>
        <v>0.19915465308144162</v>
      </c>
      <c r="U35" s="1">
        <f t="shared" ca="1" si="14"/>
        <v>185</v>
      </c>
      <c r="V35" s="1">
        <f t="shared" ca="1" si="15"/>
        <v>16</v>
      </c>
      <c r="W35" s="1"/>
      <c r="X35" s="1">
        <f t="shared" ca="1" si="16"/>
        <v>7.3420501356063372</v>
      </c>
      <c r="Y35" s="1">
        <f t="shared" ca="1" si="17"/>
        <v>0.61217889328505481</v>
      </c>
      <c r="Z35" s="1">
        <f t="shared" ca="1" si="18"/>
        <v>285</v>
      </c>
    </row>
    <row r="36" spans="2:26" x14ac:dyDescent="0.25">
      <c r="B36">
        <f t="shared" ca="1" si="0"/>
        <v>505</v>
      </c>
      <c r="C36">
        <f t="shared" ca="1" si="1"/>
        <v>43</v>
      </c>
      <c r="D36">
        <f t="shared" ca="1" si="2"/>
        <v>0.23560734408496317</v>
      </c>
      <c r="F36" s="1">
        <f t="shared" ca="1" si="3"/>
        <v>9</v>
      </c>
      <c r="G36" s="1">
        <f t="shared" ca="1" si="4"/>
        <v>20</v>
      </c>
      <c r="H36" s="1">
        <f t="shared" ca="1" si="5"/>
        <v>6</v>
      </c>
      <c r="I36" s="1"/>
      <c r="J36" s="1">
        <f t="shared" ca="1" si="6"/>
        <v>19</v>
      </c>
      <c r="K36" s="1">
        <f t="shared" ca="1" si="7"/>
        <v>1.6444066513335072</v>
      </c>
      <c r="L36" s="1">
        <f t="shared" ca="1" si="8"/>
        <v>20</v>
      </c>
      <c r="M36" s="1"/>
      <c r="N36" s="1">
        <f t="shared" ca="1" si="9"/>
        <v>369</v>
      </c>
      <c r="O36" s="1">
        <f t="shared" ca="1" si="10"/>
        <v>44</v>
      </c>
      <c r="P36" s="1"/>
      <c r="Q36" s="1">
        <f t="shared" ca="1" si="11"/>
        <v>0.39093443971691949</v>
      </c>
      <c r="R36" s="1">
        <f t="shared" ca="1" si="12"/>
        <v>974</v>
      </c>
      <c r="S36" s="1"/>
      <c r="T36" s="1">
        <f t="shared" ca="1" si="13"/>
        <v>9.8314862025450575E-2</v>
      </c>
      <c r="U36" s="1">
        <f t="shared" ca="1" si="14"/>
        <v>401</v>
      </c>
      <c r="V36" s="1">
        <f t="shared" ca="1" si="15"/>
        <v>34</v>
      </c>
      <c r="W36" s="1"/>
      <c r="X36" s="1">
        <f t="shared" ca="1" si="16"/>
        <v>9.0265315917575446</v>
      </c>
      <c r="Y36" s="1">
        <f t="shared" ca="1" si="17"/>
        <v>0.87719541454978855</v>
      </c>
      <c r="Z36" s="1">
        <f t="shared" ca="1" si="18"/>
        <v>1450</v>
      </c>
    </row>
    <row r="37" spans="2:26" x14ac:dyDescent="0.25">
      <c r="B37">
        <f t="shared" ca="1" si="0"/>
        <v>166</v>
      </c>
      <c r="C37">
        <f t="shared" ca="1" si="1"/>
        <v>21</v>
      </c>
      <c r="D37">
        <f t="shared" ca="1" si="2"/>
        <v>6.8059147245771334E-2</v>
      </c>
      <c r="F37" s="1">
        <f t="shared" ca="1" si="3"/>
        <v>30</v>
      </c>
      <c r="G37" s="1">
        <f t="shared" ca="1" si="4"/>
        <v>25</v>
      </c>
      <c r="H37" s="1">
        <f t="shared" ca="1" si="5"/>
        <v>4</v>
      </c>
      <c r="I37" s="1"/>
      <c r="J37" s="1">
        <f t="shared" ca="1" si="6"/>
        <v>29</v>
      </c>
      <c r="K37" s="1">
        <f t="shared" ca="1" si="7"/>
        <v>2.2701658877779334</v>
      </c>
      <c r="L37" s="1">
        <f t="shared" ca="1" si="8"/>
        <v>25</v>
      </c>
      <c r="M37" s="1"/>
      <c r="N37" s="1">
        <f t="shared" ca="1" si="9"/>
        <v>610</v>
      </c>
      <c r="O37" s="1">
        <f t="shared" ca="1" si="10"/>
        <v>34</v>
      </c>
      <c r="P37" s="1"/>
      <c r="Q37" s="1">
        <f t="shared" ca="1" si="11"/>
        <v>4.3570402754550344</v>
      </c>
      <c r="R37" s="1">
        <f t="shared" ca="1" si="12"/>
        <v>785</v>
      </c>
      <c r="S37" s="1"/>
      <c r="T37" s="1">
        <f t="shared" ca="1" si="13"/>
        <v>0.15790298068338401</v>
      </c>
      <c r="U37" s="1">
        <f t="shared" ca="1" si="14"/>
        <v>449</v>
      </c>
      <c r="V37" s="1">
        <f t="shared" ca="1" si="15"/>
        <v>36</v>
      </c>
      <c r="W37" s="1"/>
      <c r="X37" s="1">
        <f t="shared" ca="1" si="16"/>
        <v>4.2726722569960405</v>
      </c>
      <c r="Y37" s="1">
        <f t="shared" ca="1" si="17"/>
        <v>0.51747485751260691</v>
      </c>
      <c r="Z37" s="1">
        <f t="shared" ca="1" si="18"/>
        <v>1681</v>
      </c>
    </row>
    <row r="38" spans="2:26" x14ac:dyDescent="0.25">
      <c r="B38">
        <f t="shared" ca="1" si="0"/>
        <v>71</v>
      </c>
      <c r="C38">
        <f t="shared" ca="1" si="1"/>
        <v>23</v>
      </c>
      <c r="D38">
        <f t="shared" ca="1" si="2"/>
        <v>0.15600911039124682</v>
      </c>
      <c r="F38" s="1">
        <f t="shared" ca="1" si="3"/>
        <v>50</v>
      </c>
      <c r="G38" s="1">
        <f t="shared" ca="1" si="4"/>
        <v>11</v>
      </c>
      <c r="H38" s="1">
        <f t="shared" ca="1" si="5"/>
        <v>3</v>
      </c>
      <c r="I38" s="1"/>
      <c r="J38" s="1">
        <f t="shared" ca="1" si="6"/>
        <v>5</v>
      </c>
      <c r="K38" s="1">
        <f t="shared" ca="1" si="7"/>
        <v>2.7729912747924175</v>
      </c>
      <c r="L38" s="1">
        <f t="shared" ca="1" si="8"/>
        <v>27</v>
      </c>
      <c r="M38" s="1"/>
      <c r="N38" s="1">
        <f t="shared" ca="1" si="9"/>
        <v>902</v>
      </c>
      <c r="O38" s="1">
        <f t="shared" ca="1" si="10"/>
        <v>25</v>
      </c>
      <c r="P38" s="1"/>
      <c r="Q38" s="1">
        <f t="shared" ca="1" si="11"/>
        <v>4.9836597463918606</v>
      </c>
      <c r="R38" s="1">
        <f t="shared" ca="1" si="12"/>
        <v>298</v>
      </c>
      <c r="S38" s="1"/>
      <c r="T38" s="1">
        <f t="shared" ca="1" si="13"/>
        <v>1.2867414711608641E-2</v>
      </c>
      <c r="U38" s="1">
        <f t="shared" ca="1" si="14"/>
        <v>348</v>
      </c>
      <c r="V38" s="1">
        <f t="shared" ca="1" si="15"/>
        <v>28</v>
      </c>
      <c r="W38" s="1"/>
      <c r="X38" s="1">
        <f t="shared" ca="1" si="16"/>
        <v>6.9389235691414859</v>
      </c>
      <c r="Y38" s="1">
        <f t="shared" ca="1" si="17"/>
        <v>0.97015944638074336</v>
      </c>
      <c r="Z38" s="1">
        <f t="shared" ca="1" si="18"/>
        <v>1743</v>
      </c>
    </row>
    <row r="39" spans="2:26" x14ac:dyDescent="0.25">
      <c r="B39">
        <f t="shared" ca="1" si="0"/>
        <v>258</v>
      </c>
      <c r="C39">
        <f t="shared" ca="1" si="1"/>
        <v>11</v>
      </c>
      <c r="D39">
        <f t="shared" ca="1" si="2"/>
        <v>0.25450213387890902</v>
      </c>
      <c r="F39" s="1">
        <f t="shared" ca="1" si="3"/>
        <v>26</v>
      </c>
      <c r="G39" s="1">
        <f t="shared" ca="1" si="4"/>
        <v>2</v>
      </c>
      <c r="H39" s="1">
        <f t="shared" ca="1" si="5"/>
        <v>12</v>
      </c>
      <c r="I39" s="1"/>
      <c r="J39" s="1">
        <f t="shared" ca="1" si="6"/>
        <v>6</v>
      </c>
      <c r="K39" s="1">
        <f t="shared" ca="1" si="7"/>
        <v>2.6333147120529574</v>
      </c>
      <c r="L39" s="1">
        <f t="shared" ca="1" si="8"/>
        <v>30</v>
      </c>
      <c r="M39" s="1"/>
      <c r="N39" s="1">
        <f t="shared" ca="1" si="9"/>
        <v>380</v>
      </c>
      <c r="O39" s="1">
        <f t="shared" ca="1" si="10"/>
        <v>33</v>
      </c>
      <c r="P39" s="1"/>
      <c r="Q39" s="1">
        <f t="shared" ca="1" si="11"/>
        <v>0.92846331786981284</v>
      </c>
      <c r="R39" s="1">
        <f t="shared" ca="1" si="12"/>
        <v>994</v>
      </c>
      <c r="S39" s="1"/>
      <c r="T39" s="1">
        <f t="shared" ca="1" si="13"/>
        <v>8.9478344420551498E-2</v>
      </c>
      <c r="U39" s="1">
        <f t="shared" ca="1" si="14"/>
        <v>243</v>
      </c>
      <c r="V39" s="1">
        <f t="shared" ca="1" si="15"/>
        <v>48</v>
      </c>
      <c r="W39" s="1"/>
      <c r="X39" s="1">
        <f t="shared" ca="1" si="16"/>
        <v>3.4797202324368555</v>
      </c>
      <c r="Y39" s="1">
        <f t="shared" ca="1" si="17"/>
        <v>0.49918962319846005</v>
      </c>
      <c r="Z39" s="1">
        <f t="shared" ca="1" si="18"/>
        <v>903</v>
      </c>
    </row>
    <row r="40" spans="2:26" x14ac:dyDescent="0.25">
      <c r="B40">
        <f t="shared" ca="1" si="0"/>
        <v>469</v>
      </c>
      <c r="C40">
        <f t="shared" ca="1" si="1"/>
        <v>7</v>
      </c>
      <c r="D40">
        <f t="shared" ca="1" si="2"/>
        <v>9.1821196789483125E-2</v>
      </c>
      <c r="F40" s="1">
        <f t="shared" ca="1" si="3"/>
        <v>36</v>
      </c>
      <c r="G40" s="1">
        <f t="shared" ca="1" si="4"/>
        <v>6</v>
      </c>
      <c r="H40" s="1">
        <f t="shared" ca="1" si="5"/>
        <v>9</v>
      </c>
      <c r="I40" s="1"/>
      <c r="J40" s="1">
        <f t="shared" ca="1" si="6"/>
        <v>26</v>
      </c>
      <c r="K40" s="1">
        <f t="shared" ca="1" si="7"/>
        <v>2.3596455648309069</v>
      </c>
      <c r="L40" s="1">
        <f t="shared" ca="1" si="8"/>
        <v>15</v>
      </c>
      <c r="M40" s="1"/>
      <c r="N40" s="1">
        <f t="shared" ca="1" si="9"/>
        <v>120</v>
      </c>
      <c r="O40" s="1">
        <f t="shared" ca="1" si="10"/>
        <v>48</v>
      </c>
      <c r="P40" s="1"/>
      <c r="Q40" s="1">
        <f t="shared" ca="1" si="11"/>
        <v>3.5292124469640251</v>
      </c>
      <c r="R40" s="1">
        <f t="shared" ca="1" si="12"/>
        <v>1090</v>
      </c>
      <c r="S40" s="1"/>
      <c r="T40" s="1">
        <f t="shared" ca="1" si="13"/>
        <v>0.16644634962508517</v>
      </c>
      <c r="U40" s="1">
        <f t="shared" ca="1" si="14"/>
        <v>175</v>
      </c>
      <c r="V40" s="1">
        <f t="shared" ca="1" si="15"/>
        <v>10</v>
      </c>
      <c r="W40" s="1"/>
      <c r="X40" s="1">
        <f t="shared" ca="1" si="16"/>
        <v>5.1166173697597221</v>
      </c>
      <c r="Y40" s="1">
        <f t="shared" ca="1" si="17"/>
        <v>0.65009941374499203</v>
      </c>
      <c r="Z40" s="1">
        <f t="shared" ca="1" si="18"/>
        <v>220</v>
      </c>
    </row>
    <row r="41" spans="2:26" x14ac:dyDescent="0.25">
      <c r="B41">
        <f t="shared" ca="1" si="0"/>
        <v>456</v>
      </c>
      <c r="C41">
        <f t="shared" ca="1" si="1"/>
        <v>28</v>
      </c>
      <c r="D41">
        <f t="shared" ca="1" si="2"/>
        <v>0.27126613125898674</v>
      </c>
      <c r="F41" s="1">
        <f t="shared" ca="1" si="3"/>
        <v>36</v>
      </c>
      <c r="G41" s="1">
        <f t="shared" ca="1" si="4"/>
        <v>9</v>
      </c>
      <c r="H41" s="1">
        <f t="shared" ca="1" si="5"/>
        <v>6</v>
      </c>
      <c r="I41" s="1"/>
      <c r="J41" s="1">
        <f t="shared" ca="1" si="6"/>
        <v>5</v>
      </c>
      <c r="K41" s="1">
        <f t="shared" ca="1" si="7"/>
        <v>1.4109122291280509</v>
      </c>
      <c r="L41" s="1">
        <f t="shared" ca="1" si="8"/>
        <v>3</v>
      </c>
      <c r="M41" s="1"/>
      <c r="N41" s="1">
        <f t="shared" ca="1" si="9"/>
        <v>343</v>
      </c>
      <c r="O41" s="1">
        <f t="shared" ca="1" si="10"/>
        <v>39</v>
      </c>
      <c r="P41" s="1"/>
      <c r="Q41" s="1">
        <f t="shared" ca="1" si="11"/>
        <v>4.159210978912566</v>
      </c>
      <c r="R41" s="1">
        <f t="shared" ca="1" si="12"/>
        <v>831</v>
      </c>
      <c r="S41" s="1"/>
      <c r="T41" s="1">
        <f t="shared" ca="1" si="13"/>
        <v>0.15383060687043429</v>
      </c>
      <c r="U41" s="1">
        <f t="shared" ca="1" si="14"/>
        <v>328</v>
      </c>
      <c r="V41" s="1">
        <f t="shared" ca="1" si="15"/>
        <v>34</v>
      </c>
      <c r="W41" s="1"/>
      <c r="X41" s="1">
        <f t="shared" ca="1" si="16"/>
        <v>4.0877289908711765</v>
      </c>
      <c r="Y41" s="1">
        <f t="shared" ca="1" si="17"/>
        <v>0.31094516512925002</v>
      </c>
      <c r="Z41" s="1">
        <f t="shared" ca="1" si="18"/>
        <v>1483</v>
      </c>
    </row>
    <row r="42" spans="2:26" x14ac:dyDescent="0.25">
      <c r="B42">
        <f t="shared" ca="1" si="0"/>
        <v>866</v>
      </c>
      <c r="C42">
        <f t="shared" ca="1" si="1"/>
        <v>37</v>
      </c>
      <c r="D42">
        <f t="shared" ca="1" si="2"/>
        <v>0.24206750364537777</v>
      </c>
      <c r="F42" s="1">
        <f t="shared" ca="1" si="3"/>
        <v>28</v>
      </c>
      <c r="G42" s="1">
        <f t="shared" ca="1" si="4"/>
        <v>4</v>
      </c>
      <c r="H42" s="1">
        <f t="shared" ca="1" si="5"/>
        <v>6</v>
      </c>
      <c r="I42" s="1"/>
      <c r="J42" s="1">
        <f t="shared" ca="1" si="6"/>
        <v>15</v>
      </c>
      <c r="K42" s="1">
        <f t="shared" ca="1" si="7"/>
        <v>1.7533558539277403</v>
      </c>
      <c r="L42" s="1">
        <f t="shared" ca="1" si="8"/>
        <v>12</v>
      </c>
      <c r="M42" s="1"/>
      <c r="N42" s="1">
        <f t="shared" ca="1" si="9"/>
        <v>593</v>
      </c>
      <c r="O42" s="1">
        <f t="shared" ca="1" si="10"/>
        <v>9</v>
      </c>
      <c r="P42" s="1"/>
      <c r="Q42" s="1">
        <f t="shared" ca="1" si="11"/>
        <v>3.6393849079205909</v>
      </c>
      <c r="R42" s="1">
        <f t="shared" ca="1" si="12"/>
        <v>949</v>
      </c>
      <c r="S42" s="1"/>
      <c r="T42" s="1">
        <f t="shared" ca="1" si="13"/>
        <v>1.6967162794992142E-2</v>
      </c>
      <c r="U42" s="1">
        <f t="shared" ca="1" si="14"/>
        <v>432</v>
      </c>
      <c r="V42" s="1">
        <f t="shared" ca="1" si="15"/>
        <v>30</v>
      </c>
      <c r="W42" s="1"/>
      <c r="X42" s="1">
        <f t="shared" ca="1" si="16"/>
        <v>4.8751171256004247</v>
      </c>
      <c r="Y42" s="1">
        <f t="shared" ca="1" si="17"/>
        <v>0.71242810902832454</v>
      </c>
      <c r="Z42" s="1">
        <f t="shared" ca="1" si="18"/>
        <v>651</v>
      </c>
    </row>
    <row r="43" spans="2:26" x14ac:dyDescent="0.25">
      <c r="B43">
        <f t="shared" ca="1" si="0"/>
        <v>983</v>
      </c>
      <c r="C43">
        <f t="shared" ca="1" si="1"/>
        <v>22</v>
      </c>
      <c r="D43">
        <f t="shared" ca="1" si="2"/>
        <v>0.21859994204067013</v>
      </c>
      <c r="F43" s="1">
        <f t="shared" ca="1" si="3"/>
        <v>29</v>
      </c>
      <c r="G43" s="1">
        <f t="shared" ca="1" si="4"/>
        <v>26</v>
      </c>
      <c r="H43" s="1">
        <f t="shared" ca="1" si="5"/>
        <v>12</v>
      </c>
      <c r="I43" s="1"/>
      <c r="J43" s="1">
        <f t="shared" ca="1" si="6"/>
        <v>25</v>
      </c>
      <c r="K43" s="1">
        <f t="shared" ca="1" si="7"/>
        <v>1.2734288637720876</v>
      </c>
      <c r="L43" s="1">
        <f t="shared" ca="1" si="8"/>
        <v>21</v>
      </c>
      <c r="M43" s="1"/>
      <c r="N43" s="1">
        <f t="shared" ca="1" si="9"/>
        <v>677</v>
      </c>
      <c r="O43" s="1">
        <f t="shared" ca="1" si="10"/>
        <v>26</v>
      </c>
      <c r="P43" s="1"/>
      <c r="Q43" s="1">
        <f t="shared" ca="1" si="11"/>
        <v>3.9112479401943516</v>
      </c>
      <c r="R43" s="1">
        <f t="shared" ca="1" si="12"/>
        <v>828</v>
      </c>
      <c r="S43" s="1"/>
      <c r="T43" s="1">
        <f t="shared" ca="1" si="13"/>
        <v>0.17384184202827396</v>
      </c>
      <c r="U43" s="1">
        <f t="shared" ca="1" si="14"/>
        <v>325</v>
      </c>
      <c r="V43" s="1">
        <f t="shared" ca="1" si="15"/>
        <v>48</v>
      </c>
      <c r="W43" s="1"/>
      <c r="X43" s="1">
        <f t="shared" ca="1" si="16"/>
        <v>2.8534612601710285</v>
      </c>
      <c r="Y43" s="1">
        <f t="shared" ca="1" si="17"/>
        <v>0.52818321314936156</v>
      </c>
      <c r="Z43" s="1">
        <f t="shared" ca="1" si="18"/>
        <v>170</v>
      </c>
    </row>
    <row r="44" spans="2:26" x14ac:dyDescent="0.25">
      <c r="B44">
        <f t="shared" ca="1" si="0"/>
        <v>305</v>
      </c>
      <c r="C44">
        <f t="shared" ca="1" si="1"/>
        <v>48</v>
      </c>
      <c r="D44">
        <f t="shared" ca="1" si="2"/>
        <v>5.7123525277454408E-2</v>
      </c>
      <c r="F44" s="1">
        <f t="shared" ca="1" si="3"/>
        <v>41</v>
      </c>
      <c r="G44" s="1">
        <f t="shared" ca="1" si="4"/>
        <v>24</v>
      </c>
      <c r="H44" s="1">
        <f t="shared" ca="1" si="5"/>
        <v>14</v>
      </c>
      <c r="I44" s="1"/>
      <c r="J44" s="1">
        <f t="shared" ca="1" si="6"/>
        <v>9</v>
      </c>
      <c r="K44" s="1">
        <f t="shared" ca="1" si="7"/>
        <v>2.4700386023844727</v>
      </c>
      <c r="L44" s="1">
        <f t="shared" ca="1" si="8"/>
        <v>13</v>
      </c>
      <c r="M44" s="1"/>
      <c r="N44" s="1">
        <f t="shared" ca="1" si="9"/>
        <v>939</v>
      </c>
      <c r="O44" s="1">
        <f t="shared" ca="1" si="10"/>
        <v>24</v>
      </c>
      <c r="P44" s="1"/>
      <c r="Q44" s="1">
        <f t="shared" ca="1" si="11"/>
        <v>4.3252039153744501</v>
      </c>
      <c r="R44" s="1">
        <f t="shared" ca="1" si="12"/>
        <v>314</v>
      </c>
      <c r="S44" s="1"/>
      <c r="T44" s="1">
        <f t="shared" ca="1" si="13"/>
        <v>0.16693735479676652</v>
      </c>
      <c r="U44" s="1">
        <f t="shared" ca="1" si="14"/>
        <v>226</v>
      </c>
      <c r="V44" s="1">
        <f t="shared" ca="1" si="15"/>
        <v>6</v>
      </c>
      <c r="W44" s="1"/>
      <c r="X44" s="1">
        <f t="shared" ca="1" si="16"/>
        <v>2.3662847001862883</v>
      </c>
      <c r="Y44" s="1">
        <f t="shared" ca="1" si="17"/>
        <v>0.92723195372916722</v>
      </c>
      <c r="Z44" s="1">
        <f t="shared" ca="1" si="18"/>
        <v>1723</v>
      </c>
    </row>
    <row r="45" spans="2:26" x14ac:dyDescent="0.25">
      <c r="B45">
        <f t="shared" ca="1" si="0"/>
        <v>974</v>
      </c>
      <c r="C45">
        <f t="shared" ca="1" si="1"/>
        <v>13</v>
      </c>
      <c r="D45">
        <f t="shared" ca="1" si="2"/>
        <v>3.8848131370819515E-2</v>
      </c>
      <c r="F45" s="1">
        <f t="shared" ca="1" si="3"/>
        <v>39</v>
      </c>
      <c r="G45" s="1">
        <f t="shared" ca="1" si="4"/>
        <v>4</v>
      </c>
      <c r="H45" s="1">
        <f t="shared" ca="1" si="5"/>
        <v>1</v>
      </c>
      <c r="I45" s="1"/>
      <c r="J45" s="1">
        <f t="shared" ca="1" si="6"/>
        <v>12</v>
      </c>
      <c r="K45" s="1">
        <f t="shared" ca="1" si="7"/>
        <v>1.7700992200364702</v>
      </c>
      <c r="L45" s="1">
        <f t="shared" ca="1" si="8"/>
        <v>32</v>
      </c>
      <c r="M45" s="1"/>
      <c r="N45" s="1">
        <f t="shared" ca="1" si="9"/>
        <v>21</v>
      </c>
      <c r="O45" s="1">
        <f t="shared" ca="1" si="10"/>
        <v>30</v>
      </c>
      <c r="P45" s="1"/>
      <c r="Q45" s="1">
        <f t="shared" ca="1" si="11"/>
        <v>2.1559293162608575</v>
      </c>
      <c r="R45" s="1">
        <f t="shared" ca="1" si="12"/>
        <v>1196</v>
      </c>
      <c r="S45" s="1"/>
      <c r="T45" s="1">
        <f t="shared" ca="1" si="13"/>
        <v>7.435483531204494E-2</v>
      </c>
      <c r="U45" s="1">
        <f t="shared" ca="1" si="14"/>
        <v>419</v>
      </c>
      <c r="V45" s="1">
        <f t="shared" ca="1" si="15"/>
        <v>41</v>
      </c>
      <c r="W45" s="1"/>
      <c r="X45" s="1">
        <f t="shared" ca="1" si="16"/>
        <v>2.328319848421581</v>
      </c>
      <c r="Y45" s="1">
        <f t="shared" ca="1" si="17"/>
        <v>0.28928637444060401</v>
      </c>
      <c r="Z45" s="1">
        <f t="shared" ca="1" si="18"/>
        <v>1609</v>
      </c>
    </row>
    <row r="46" spans="2:26" x14ac:dyDescent="0.25">
      <c r="B46">
        <f t="shared" ca="1" si="0"/>
        <v>792</v>
      </c>
      <c r="C46">
        <f t="shared" ca="1" si="1"/>
        <v>31</v>
      </c>
      <c r="D46">
        <f t="shared" ca="1" si="2"/>
        <v>0.19804989059519579</v>
      </c>
      <c r="F46" s="1">
        <f t="shared" ca="1" si="3"/>
        <v>21</v>
      </c>
      <c r="G46" s="1">
        <f t="shared" ca="1" si="4"/>
        <v>8</v>
      </c>
      <c r="H46" s="1">
        <f t="shared" ca="1" si="5"/>
        <v>1</v>
      </c>
      <c r="I46" s="1"/>
      <c r="J46" s="1">
        <f t="shared" ca="1" si="6"/>
        <v>30</v>
      </c>
      <c r="K46" s="1">
        <f t="shared" ca="1" si="7"/>
        <v>2.5783811000353722</v>
      </c>
      <c r="L46" s="1">
        <f t="shared" ca="1" si="8"/>
        <v>3</v>
      </c>
      <c r="M46" s="1"/>
      <c r="N46" s="1">
        <f t="shared" ca="1" si="9"/>
        <v>78</v>
      </c>
      <c r="O46" s="1">
        <f t="shared" ca="1" si="10"/>
        <v>47</v>
      </c>
      <c r="P46" s="1"/>
      <c r="Q46" s="1">
        <f t="shared" ca="1" si="11"/>
        <v>0.87908365165433977</v>
      </c>
      <c r="R46" s="1">
        <f t="shared" ca="1" si="12"/>
        <v>275</v>
      </c>
      <c r="S46" s="1"/>
      <c r="T46" s="1">
        <f t="shared" ca="1" si="13"/>
        <v>0.114616049575489</v>
      </c>
      <c r="U46" s="1">
        <f t="shared" ca="1" si="14"/>
        <v>339</v>
      </c>
      <c r="V46" s="1">
        <f t="shared" ca="1" si="15"/>
        <v>35</v>
      </c>
      <c r="W46" s="1"/>
      <c r="X46" s="1">
        <f t="shared" ca="1" si="16"/>
        <v>8.4599158344771332</v>
      </c>
      <c r="Y46" s="1">
        <f t="shared" ca="1" si="17"/>
        <v>0.67092895683856302</v>
      </c>
      <c r="Z46" s="1">
        <f t="shared" ca="1" si="18"/>
        <v>675</v>
      </c>
    </row>
    <row r="47" spans="2:26" x14ac:dyDescent="0.25">
      <c r="B47">
        <f t="shared" ca="1" si="0"/>
        <v>993</v>
      </c>
      <c r="C47">
        <f t="shared" ca="1" si="1"/>
        <v>45</v>
      </c>
      <c r="D47">
        <f t="shared" ca="1" si="2"/>
        <v>0.21202569603374322</v>
      </c>
      <c r="F47" s="1">
        <f t="shared" ca="1" si="3"/>
        <v>6</v>
      </c>
      <c r="G47" s="1">
        <f t="shared" ca="1" si="4"/>
        <v>30</v>
      </c>
      <c r="H47" s="1">
        <f t="shared" ca="1" si="5"/>
        <v>8</v>
      </c>
      <c r="I47" s="1"/>
      <c r="J47" s="1">
        <f t="shared" ca="1" si="6"/>
        <v>26</v>
      </c>
      <c r="K47" s="1">
        <f t="shared" ca="1" si="7"/>
        <v>2.7786939764923759</v>
      </c>
      <c r="L47" s="1">
        <f t="shared" ca="1" si="8"/>
        <v>32</v>
      </c>
      <c r="M47" s="1"/>
      <c r="N47" s="1">
        <f t="shared" ca="1" si="9"/>
        <v>642</v>
      </c>
      <c r="O47" s="1">
        <f t="shared" ca="1" si="10"/>
        <v>8</v>
      </c>
      <c r="P47" s="1"/>
      <c r="Q47" s="1">
        <f t="shared" ca="1" si="11"/>
        <v>0.81023712032097894</v>
      </c>
      <c r="R47" s="1">
        <f t="shared" ca="1" si="12"/>
        <v>687</v>
      </c>
      <c r="S47" s="1"/>
      <c r="T47" s="1">
        <f t="shared" ca="1" si="13"/>
        <v>0.19037001771768522</v>
      </c>
      <c r="U47" s="1">
        <f t="shared" ca="1" si="14"/>
        <v>259</v>
      </c>
      <c r="V47" s="1">
        <f t="shared" ca="1" si="15"/>
        <v>38</v>
      </c>
      <c r="W47" s="1"/>
      <c r="X47" s="1">
        <f t="shared" ca="1" si="16"/>
        <v>4.6342449694151711</v>
      </c>
      <c r="Y47" s="1">
        <f t="shared" ca="1" si="17"/>
        <v>0.15053555228383955</v>
      </c>
      <c r="Z47" s="1">
        <f t="shared" ca="1" si="18"/>
        <v>1254</v>
      </c>
    </row>
    <row r="48" spans="2:26" x14ac:dyDescent="0.25">
      <c r="B48">
        <f t="shared" ca="1" si="0"/>
        <v>856</v>
      </c>
      <c r="C48">
        <f t="shared" ca="1" si="1"/>
        <v>50</v>
      </c>
      <c r="D48">
        <f t="shared" ca="1" si="2"/>
        <v>0.10983180859836666</v>
      </c>
      <c r="F48" s="1">
        <f t="shared" ca="1" si="3"/>
        <v>30</v>
      </c>
      <c r="G48" s="1">
        <f t="shared" ca="1" si="4"/>
        <v>13</v>
      </c>
      <c r="H48" s="1">
        <f t="shared" ca="1" si="5"/>
        <v>4</v>
      </c>
      <c r="I48" s="1"/>
      <c r="J48" s="1">
        <f t="shared" ca="1" si="6"/>
        <v>14</v>
      </c>
      <c r="K48" s="1">
        <f t="shared" ca="1" si="7"/>
        <v>1.7878130779723456</v>
      </c>
      <c r="L48" s="1">
        <f t="shared" ca="1" si="8"/>
        <v>14</v>
      </c>
      <c r="M48" s="1"/>
      <c r="N48" s="1">
        <f t="shared" ca="1" si="9"/>
        <v>236</v>
      </c>
      <c r="O48" s="1">
        <f t="shared" ca="1" si="10"/>
        <v>41</v>
      </c>
      <c r="P48" s="1"/>
      <c r="Q48" s="1">
        <f t="shared" ca="1" si="11"/>
        <v>1.8827492497785698</v>
      </c>
      <c r="R48" s="1">
        <f t="shared" ca="1" si="12"/>
        <v>1137</v>
      </c>
      <c r="S48" s="1"/>
      <c r="T48" s="1">
        <f t="shared" ca="1" si="13"/>
        <v>2.1365594895086513E-2</v>
      </c>
      <c r="U48" s="1">
        <f t="shared" ca="1" si="14"/>
        <v>177</v>
      </c>
      <c r="V48" s="1">
        <f t="shared" ca="1" si="15"/>
        <v>39</v>
      </c>
      <c r="W48" s="1"/>
      <c r="X48" s="1">
        <f t="shared" ca="1" si="16"/>
        <v>5.0093868757548039</v>
      </c>
      <c r="Y48" s="1">
        <f t="shared" ca="1" si="17"/>
        <v>0.87502133932790804</v>
      </c>
      <c r="Z48" s="1">
        <f t="shared" ca="1" si="18"/>
        <v>441</v>
      </c>
    </row>
    <row r="49" spans="2:26" x14ac:dyDescent="0.25">
      <c r="B49">
        <f t="shared" ca="1" si="0"/>
        <v>774</v>
      </c>
      <c r="C49">
        <f t="shared" ca="1" si="1"/>
        <v>36</v>
      </c>
      <c r="D49">
        <f t="shared" ca="1" si="2"/>
        <v>0.10876994375612521</v>
      </c>
      <c r="F49" s="1">
        <f t="shared" ca="1" si="3"/>
        <v>26</v>
      </c>
      <c r="G49" s="1">
        <f t="shared" ca="1" si="4"/>
        <v>8</v>
      </c>
      <c r="H49" s="1">
        <f t="shared" ca="1" si="5"/>
        <v>12</v>
      </c>
      <c r="I49" s="1"/>
      <c r="J49" s="1">
        <f t="shared" ca="1" si="6"/>
        <v>34</v>
      </c>
      <c r="K49" s="1">
        <f t="shared" ca="1" si="7"/>
        <v>2.6017748392968754</v>
      </c>
      <c r="L49" s="1">
        <f t="shared" ca="1" si="8"/>
        <v>16</v>
      </c>
      <c r="M49" s="1"/>
      <c r="N49" s="1">
        <f t="shared" ca="1" si="9"/>
        <v>271</v>
      </c>
      <c r="O49" s="1">
        <f t="shared" ca="1" si="10"/>
        <v>29</v>
      </c>
      <c r="P49" s="1"/>
      <c r="Q49" s="1">
        <f t="shared" ca="1" si="11"/>
        <v>1.3871513004771496</v>
      </c>
      <c r="R49" s="1">
        <f t="shared" ca="1" si="12"/>
        <v>929</v>
      </c>
      <c r="S49" s="1"/>
      <c r="T49" s="1">
        <f t="shared" ca="1" si="13"/>
        <v>5.3186118854667445E-2</v>
      </c>
      <c r="U49" s="1">
        <f t="shared" ca="1" si="14"/>
        <v>294</v>
      </c>
      <c r="V49" s="1">
        <f t="shared" ca="1" si="15"/>
        <v>5</v>
      </c>
      <c r="W49" s="1"/>
      <c r="X49" s="1">
        <f t="shared" ca="1" si="16"/>
        <v>0.13504795645811463</v>
      </c>
      <c r="Y49" s="1">
        <f t="shared" ca="1" si="17"/>
        <v>0.244411906875042</v>
      </c>
      <c r="Z49" s="1">
        <f t="shared" ca="1" si="18"/>
        <v>563</v>
      </c>
    </row>
    <row r="50" spans="2:26" x14ac:dyDescent="0.25">
      <c r="B50">
        <f t="shared" ca="1" si="0"/>
        <v>637</v>
      </c>
      <c r="C50">
        <f t="shared" ca="1" si="1"/>
        <v>37</v>
      </c>
      <c r="D50">
        <f t="shared" ca="1" si="2"/>
        <v>8.161874093910583E-2</v>
      </c>
      <c r="F50" s="1">
        <f t="shared" ca="1" si="3"/>
        <v>15</v>
      </c>
      <c r="G50" s="1">
        <f t="shared" ca="1" si="4"/>
        <v>8</v>
      </c>
      <c r="H50" s="1">
        <f t="shared" ca="1" si="5"/>
        <v>2</v>
      </c>
      <c r="I50" s="1"/>
      <c r="J50" s="1">
        <f t="shared" ca="1" si="6"/>
        <v>5</v>
      </c>
      <c r="K50" s="1">
        <f t="shared" ca="1" si="7"/>
        <v>1.1240692994592929</v>
      </c>
      <c r="L50" s="1">
        <f t="shared" ca="1" si="8"/>
        <v>23</v>
      </c>
      <c r="M50" s="1"/>
      <c r="N50" s="1">
        <f t="shared" ca="1" si="9"/>
        <v>512</v>
      </c>
      <c r="O50" s="1">
        <f t="shared" ca="1" si="10"/>
        <v>34</v>
      </c>
      <c r="P50" s="1"/>
      <c r="Q50" s="1">
        <f t="shared" ca="1" si="11"/>
        <v>4.4830019428353616</v>
      </c>
      <c r="R50" s="1">
        <f t="shared" ca="1" si="12"/>
        <v>493</v>
      </c>
      <c r="S50" s="1"/>
      <c r="T50" s="1">
        <f t="shared" ca="1" si="13"/>
        <v>0.19556003287727255</v>
      </c>
      <c r="U50" s="1">
        <f t="shared" ca="1" si="14"/>
        <v>320</v>
      </c>
      <c r="V50" s="1">
        <f t="shared" ca="1" si="15"/>
        <v>22</v>
      </c>
      <c r="W50" s="1"/>
      <c r="X50" s="1">
        <f t="shared" ca="1" si="16"/>
        <v>8.1457670182121333</v>
      </c>
      <c r="Y50" s="1">
        <f t="shared" ca="1" si="17"/>
        <v>0.31610637564172206</v>
      </c>
      <c r="Z50" s="1">
        <f t="shared" ca="1" si="18"/>
        <v>1903</v>
      </c>
    </row>
    <row r="51" spans="2:26" x14ac:dyDescent="0.25">
      <c r="B51">
        <f t="shared" ca="1" si="0"/>
        <v>437</v>
      </c>
      <c r="C51">
        <f t="shared" ca="1" si="1"/>
        <v>9</v>
      </c>
      <c r="D51">
        <f t="shared" ca="1" si="2"/>
        <v>2.9103163318613866E-2</v>
      </c>
      <c r="F51" s="1">
        <f t="shared" ca="1" si="3"/>
        <v>28</v>
      </c>
      <c r="G51" s="1">
        <f t="shared" ca="1" si="4"/>
        <v>6</v>
      </c>
      <c r="H51" s="1">
        <f t="shared" ca="1" si="5"/>
        <v>14</v>
      </c>
      <c r="I51" s="1"/>
      <c r="J51" s="1">
        <f t="shared" ca="1" si="6"/>
        <v>37</v>
      </c>
      <c r="K51" s="1">
        <f t="shared" ca="1" si="7"/>
        <v>2.5368474034860871</v>
      </c>
      <c r="L51" s="1">
        <f t="shared" ca="1" si="8"/>
        <v>5</v>
      </c>
      <c r="M51" s="1"/>
      <c r="N51" s="1">
        <f t="shared" ca="1" si="9"/>
        <v>150</v>
      </c>
      <c r="O51" s="1">
        <f t="shared" ca="1" si="10"/>
        <v>2</v>
      </c>
      <c r="P51" s="1"/>
      <c r="Q51" s="1">
        <f t="shared" ca="1" si="11"/>
        <v>3.0417718648553684</v>
      </c>
      <c r="R51" s="1">
        <f t="shared" ca="1" si="12"/>
        <v>298</v>
      </c>
      <c r="S51" s="1"/>
      <c r="T51" s="1">
        <f t="shared" ca="1" si="13"/>
        <v>4.7391892779889408E-2</v>
      </c>
      <c r="U51" s="1">
        <f t="shared" ca="1" si="14"/>
        <v>386</v>
      </c>
      <c r="V51" s="1">
        <f t="shared" ca="1" si="15"/>
        <v>47</v>
      </c>
      <c r="W51" s="1"/>
      <c r="X51" s="1">
        <f t="shared" ca="1" si="16"/>
        <v>5.3538400740275138</v>
      </c>
      <c r="Y51" s="1">
        <f t="shared" ca="1" si="17"/>
        <v>0.37682643998420101</v>
      </c>
      <c r="Z51" s="1">
        <f t="shared" ca="1" si="18"/>
        <v>1002</v>
      </c>
    </row>
    <row r="52" spans="2:26" x14ac:dyDescent="0.25">
      <c r="B52">
        <f t="shared" ca="1" si="0"/>
        <v>281</v>
      </c>
      <c r="C52">
        <f t="shared" ca="1" si="1"/>
        <v>39</v>
      </c>
      <c r="D52">
        <f t="shared" ca="1" si="2"/>
        <v>0.13989811231450205</v>
      </c>
      <c r="F52" s="1">
        <f t="shared" ca="1" si="3"/>
        <v>29</v>
      </c>
      <c r="G52" s="1">
        <f t="shared" ca="1" si="4"/>
        <v>24</v>
      </c>
      <c r="H52" s="1">
        <f t="shared" ca="1" si="5"/>
        <v>10</v>
      </c>
      <c r="I52" s="1"/>
      <c r="J52" s="1">
        <f t="shared" ca="1" si="6"/>
        <v>28</v>
      </c>
      <c r="K52" s="1">
        <f t="shared" ca="1" si="7"/>
        <v>1.9551536526347384</v>
      </c>
      <c r="L52" s="1">
        <f t="shared" ca="1" si="8"/>
        <v>32</v>
      </c>
      <c r="M52" s="1"/>
      <c r="N52" s="1">
        <f t="shared" ca="1" si="9"/>
        <v>938</v>
      </c>
      <c r="O52" s="1">
        <f t="shared" ca="1" si="10"/>
        <v>17</v>
      </c>
      <c r="P52" s="1"/>
      <c r="Q52" s="1">
        <f t="shared" ca="1" si="11"/>
        <v>3.1968660636947672</v>
      </c>
      <c r="R52" s="1">
        <f t="shared" ca="1" si="12"/>
        <v>268</v>
      </c>
      <c r="S52" s="1"/>
      <c r="T52" s="1">
        <f t="shared" ca="1" si="13"/>
        <v>9.8176500805035372E-2</v>
      </c>
      <c r="U52" s="1">
        <f t="shared" ca="1" si="14"/>
        <v>98</v>
      </c>
      <c r="V52" s="1">
        <f t="shared" ca="1" si="15"/>
        <v>26</v>
      </c>
      <c r="W52" s="1"/>
      <c r="X52" s="1">
        <f t="shared" ca="1" si="16"/>
        <v>0.74047637703126801</v>
      </c>
      <c r="Y52" s="1">
        <f t="shared" ca="1" si="17"/>
        <v>0.13025341304964388</v>
      </c>
      <c r="Z52" s="1">
        <f t="shared" ca="1" si="18"/>
        <v>466</v>
      </c>
    </row>
    <row r="53" spans="2:26" x14ac:dyDescent="0.25">
      <c r="B53">
        <f t="shared" ca="1" si="0"/>
        <v>845</v>
      </c>
      <c r="C53">
        <f t="shared" ca="1" si="1"/>
        <v>50</v>
      </c>
      <c r="D53">
        <f t="shared" ca="1" si="2"/>
        <v>9.6627949355008486E-2</v>
      </c>
      <c r="F53" s="1">
        <f t="shared" ca="1" si="3"/>
        <v>23</v>
      </c>
      <c r="G53" s="1">
        <f t="shared" ca="1" si="4"/>
        <v>28</v>
      </c>
      <c r="H53" s="1">
        <f t="shared" ca="1" si="5"/>
        <v>1</v>
      </c>
      <c r="I53" s="1"/>
      <c r="J53" s="1">
        <f t="shared" ca="1" si="6"/>
        <v>4</v>
      </c>
      <c r="K53" s="1">
        <f t="shared" ca="1" si="7"/>
        <v>1.4196423092332811</v>
      </c>
      <c r="L53" s="1">
        <f t="shared" ca="1" si="8"/>
        <v>4</v>
      </c>
      <c r="M53" s="1"/>
      <c r="N53" s="1">
        <f t="shared" ca="1" si="9"/>
        <v>40</v>
      </c>
      <c r="O53" s="1">
        <f t="shared" ca="1" si="10"/>
        <v>8</v>
      </c>
      <c r="P53" s="1"/>
      <c r="Q53" s="1">
        <f t="shared" ca="1" si="11"/>
        <v>1.1964835865119721</v>
      </c>
      <c r="R53" s="1">
        <f t="shared" ca="1" si="12"/>
        <v>688</v>
      </c>
      <c r="S53" s="1"/>
      <c r="T53" s="1">
        <f t="shared" ca="1" si="13"/>
        <v>0.16282431451927362</v>
      </c>
      <c r="U53" s="1">
        <f t="shared" ca="1" si="14"/>
        <v>198</v>
      </c>
      <c r="V53" s="1">
        <f t="shared" ca="1" si="15"/>
        <v>51</v>
      </c>
      <c r="W53" s="1"/>
      <c r="X53" s="1">
        <f t="shared" ca="1" si="16"/>
        <v>4.9976023080447556</v>
      </c>
      <c r="Y53" s="1">
        <f t="shared" ca="1" si="17"/>
        <v>0.90345649512585713</v>
      </c>
      <c r="Z53" s="1">
        <f t="shared" ca="1" si="18"/>
        <v>570</v>
      </c>
    </row>
    <row r="54" spans="2:26" x14ac:dyDescent="0.25">
      <c r="B54">
        <f t="shared" ca="1" si="0"/>
        <v>789</v>
      </c>
      <c r="C54">
        <f t="shared" ca="1" si="1"/>
        <v>25</v>
      </c>
      <c r="D54">
        <f t="shared" ca="1" si="2"/>
        <v>5.0031349048579705E-2</v>
      </c>
      <c r="F54" s="1">
        <f t="shared" ca="1" si="3"/>
        <v>50</v>
      </c>
      <c r="G54" s="1">
        <f t="shared" ca="1" si="4"/>
        <v>26</v>
      </c>
      <c r="H54" s="1">
        <f t="shared" ca="1" si="5"/>
        <v>8</v>
      </c>
      <c r="I54" s="1"/>
      <c r="J54" s="1">
        <f t="shared" ca="1" si="6"/>
        <v>37</v>
      </c>
      <c r="K54" s="1">
        <f t="shared" ca="1" si="7"/>
        <v>2.5162539227730099</v>
      </c>
      <c r="L54" s="1">
        <f t="shared" ca="1" si="8"/>
        <v>12</v>
      </c>
      <c r="M54" s="1"/>
      <c r="N54" s="1">
        <f t="shared" ca="1" si="9"/>
        <v>368</v>
      </c>
      <c r="O54" s="1">
        <f t="shared" ca="1" si="10"/>
        <v>3</v>
      </c>
      <c r="P54" s="1"/>
      <c r="Q54" s="1">
        <f t="shared" ca="1" si="11"/>
        <v>1.7200638626827303</v>
      </c>
      <c r="R54" s="1">
        <f t="shared" ca="1" si="12"/>
        <v>747</v>
      </c>
      <c r="S54" s="1"/>
      <c r="T54" s="1">
        <f t="shared" ca="1" si="13"/>
        <v>0.16809312031173101</v>
      </c>
      <c r="U54" s="1">
        <f t="shared" ca="1" si="14"/>
        <v>212</v>
      </c>
      <c r="V54" s="1">
        <f t="shared" ca="1" si="15"/>
        <v>31</v>
      </c>
      <c r="W54" s="1"/>
      <c r="X54" s="1">
        <f t="shared" ca="1" si="16"/>
        <v>0.14789557130587588</v>
      </c>
      <c r="Y54" s="1">
        <f t="shared" ca="1" si="17"/>
        <v>0.39809530253721154</v>
      </c>
      <c r="Z54" s="1">
        <f t="shared" ca="1" si="18"/>
        <v>726</v>
      </c>
    </row>
    <row r="55" spans="2:26" x14ac:dyDescent="0.25">
      <c r="B55">
        <f t="shared" ca="1" si="0"/>
        <v>292</v>
      </c>
      <c r="C55">
        <f t="shared" ca="1" si="1"/>
        <v>4</v>
      </c>
      <c r="D55">
        <f t="shared" ca="1" si="2"/>
        <v>0.19281313512205478</v>
      </c>
      <c r="F55" s="1">
        <f t="shared" ca="1" si="3"/>
        <v>9</v>
      </c>
      <c r="G55" s="1">
        <f t="shared" ca="1" si="4"/>
        <v>17</v>
      </c>
      <c r="H55" s="1">
        <f t="shared" ca="1" si="5"/>
        <v>13</v>
      </c>
      <c r="I55" s="1"/>
      <c r="J55" s="1">
        <f t="shared" ca="1" si="6"/>
        <v>29</v>
      </c>
      <c r="K55" s="1">
        <f t="shared" ca="1" si="7"/>
        <v>1.2470519189031963</v>
      </c>
      <c r="L55" s="1">
        <f t="shared" ca="1" si="8"/>
        <v>3</v>
      </c>
      <c r="M55" s="1"/>
      <c r="N55" s="1">
        <f t="shared" ca="1" si="9"/>
        <v>837</v>
      </c>
      <c r="O55" s="1">
        <f t="shared" ca="1" si="10"/>
        <v>27</v>
      </c>
      <c r="P55" s="1"/>
      <c r="Q55" s="1">
        <f t="shared" ca="1" si="11"/>
        <v>4.7086964408067775</v>
      </c>
      <c r="R55" s="1">
        <f t="shared" ca="1" si="12"/>
        <v>939</v>
      </c>
      <c r="S55" s="1"/>
      <c r="T55" s="1">
        <f t="shared" ca="1" si="13"/>
        <v>0.18948332346038538</v>
      </c>
      <c r="U55" s="1">
        <f t="shared" ca="1" si="14"/>
        <v>323</v>
      </c>
      <c r="V55" s="1">
        <f t="shared" ca="1" si="15"/>
        <v>3</v>
      </c>
      <c r="W55" s="1"/>
      <c r="X55" s="1">
        <f t="shared" ca="1" si="16"/>
        <v>8.2647295416695385</v>
      </c>
      <c r="Y55" s="1">
        <f t="shared" ca="1" si="17"/>
        <v>0.23112709365048556</v>
      </c>
      <c r="Z55" s="1">
        <f t="shared" ca="1" si="18"/>
        <v>1213</v>
      </c>
    </row>
    <row r="56" spans="2:26" x14ac:dyDescent="0.25">
      <c r="B56">
        <f t="shared" ca="1" si="0"/>
        <v>645</v>
      </c>
      <c r="C56">
        <f t="shared" ca="1" si="1"/>
        <v>24</v>
      </c>
      <c r="D56">
        <f t="shared" ca="1" si="2"/>
        <v>8.5304615900656328E-2</v>
      </c>
      <c r="F56" s="1">
        <f t="shared" ca="1" si="3"/>
        <v>12</v>
      </c>
      <c r="G56" s="1">
        <f t="shared" ca="1" si="4"/>
        <v>15</v>
      </c>
      <c r="H56" s="1">
        <f t="shared" ca="1" si="5"/>
        <v>14</v>
      </c>
      <c r="I56" s="1"/>
      <c r="J56" s="1">
        <f t="shared" ca="1" si="6"/>
        <v>2</v>
      </c>
      <c r="K56" s="1">
        <f t="shared" ca="1" si="7"/>
        <v>2.5421220841280285</v>
      </c>
      <c r="L56" s="1">
        <f t="shared" ca="1" si="8"/>
        <v>29</v>
      </c>
      <c r="M56" s="1"/>
      <c r="N56" s="1">
        <f t="shared" ca="1" si="9"/>
        <v>477</v>
      </c>
      <c r="O56" s="1">
        <f t="shared" ca="1" si="10"/>
        <v>2</v>
      </c>
      <c r="P56" s="1"/>
      <c r="Q56" s="1">
        <f t="shared" ca="1" si="11"/>
        <v>1.8689372766430268</v>
      </c>
      <c r="R56" s="1">
        <f t="shared" ca="1" si="12"/>
        <v>502</v>
      </c>
      <c r="S56" s="1"/>
      <c r="T56" s="1">
        <f t="shared" ca="1" si="13"/>
        <v>0.15401977900929875</v>
      </c>
      <c r="U56" s="1">
        <f t="shared" ca="1" si="14"/>
        <v>80</v>
      </c>
      <c r="V56" s="1">
        <f t="shared" ca="1" si="15"/>
        <v>44</v>
      </c>
      <c r="W56" s="1"/>
      <c r="X56" s="1">
        <f t="shared" ca="1" si="16"/>
        <v>7.275847525503905</v>
      </c>
      <c r="Y56" s="1">
        <f t="shared" ca="1" si="17"/>
        <v>0.33760097765656982</v>
      </c>
      <c r="Z56" s="1">
        <f t="shared" ca="1" si="18"/>
        <v>213</v>
      </c>
    </row>
    <row r="57" spans="2:26" x14ac:dyDescent="0.25">
      <c r="B57">
        <f t="shared" ca="1" si="0"/>
        <v>81</v>
      </c>
      <c r="C57">
        <f t="shared" ca="1" si="1"/>
        <v>49</v>
      </c>
      <c r="D57">
        <f t="shared" ca="1" si="2"/>
        <v>0.10474140520063109</v>
      </c>
      <c r="F57" s="1">
        <f t="shared" ca="1" si="3"/>
        <v>41</v>
      </c>
      <c r="G57" s="1">
        <f t="shared" ca="1" si="4"/>
        <v>6</v>
      </c>
      <c r="H57" s="1">
        <f t="shared" ca="1" si="5"/>
        <v>4</v>
      </c>
      <c r="I57" s="1"/>
      <c r="J57" s="1">
        <f t="shared" ca="1" si="6"/>
        <v>6</v>
      </c>
      <c r="K57" s="1">
        <f t="shared" ca="1" si="7"/>
        <v>2.7710532716763057</v>
      </c>
      <c r="L57" s="1">
        <f t="shared" ca="1" si="8"/>
        <v>19</v>
      </c>
      <c r="M57" s="1"/>
      <c r="N57" s="1">
        <f t="shared" ca="1" si="9"/>
        <v>145</v>
      </c>
      <c r="O57" s="1">
        <f t="shared" ca="1" si="10"/>
        <v>48</v>
      </c>
      <c r="P57" s="1"/>
      <c r="Q57" s="1">
        <f t="shared" ca="1" si="11"/>
        <v>1.0516921328118327</v>
      </c>
      <c r="R57" s="1">
        <f t="shared" ca="1" si="12"/>
        <v>633</v>
      </c>
      <c r="S57" s="1"/>
      <c r="T57" s="1">
        <f t="shared" ca="1" si="13"/>
        <v>6.9350558711369609E-2</v>
      </c>
      <c r="U57" s="1">
        <f t="shared" ca="1" si="14"/>
        <v>291</v>
      </c>
      <c r="V57" s="1">
        <f t="shared" ca="1" si="15"/>
        <v>36</v>
      </c>
      <c r="W57" s="1"/>
      <c r="X57" s="1">
        <f t="shared" ca="1" si="16"/>
        <v>1.7176939774774971</v>
      </c>
      <c r="Y57" s="1">
        <f t="shared" ca="1" si="17"/>
        <v>0.69540111727153187</v>
      </c>
      <c r="Z57" s="1">
        <f t="shared" ca="1" si="18"/>
        <v>1641</v>
      </c>
    </row>
    <row r="58" spans="2:26" x14ac:dyDescent="0.25">
      <c r="B58">
        <f t="shared" ca="1" si="0"/>
        <v>701</v>
      </c>
      <c r="C58">
        <f t="shared" ca="1" si="1"/>
        <v>28</v>
      </c>
      <c r="D58">
        <f t="shared" ca="1" si="2"/>
        <v>0.28656144703822006</v>
      </c>
      <c r="F58" s="1">
        <f t="shared" ca="1" si="3"/>
        <v>48</v>
      </c>
      <c r="G58" s="1">
        <f t="shared" ca="1" si="4"/>
        <v>3</v>
      </c>
      <c r="H58" s="1">
        <f t="shared" ca="1" si="5"/>
        <v>6</v>
      </c>
      <c r="I58" s="1"/>
      <c r="J58" s="1">
        <f t="shared" ca="1" si="6"/>
        <v>24</v>
      </c>
      <c r="K58" s="1">
        <f t="shared" ca="1" si="7"/>
        <v>2.2539054350264922</v>
      </c>
      <c r="L58" s="1">
        <f t="shared" ca="1" si="8"/>
        <v>7</v>
      </c>
      <c r="M58" s="1"/>
      <c r="N58" s="1">
        <f t="shared" ca="1" si="9"/>
        <v>607</v>
      </c>
      <c r="O58" s="1">
        <f t="shared" ca="1" si="10"/>
        <v>9</v>
      </c>
      <c r="P58" s="1"/>
      <c r="Q58" s="1">
        <f t="shared" ca="1" si="11"/>
        <v>1.3757970749108693E-2</v>
      </c>
      <c r="R58" s="1">
        <f t="shared" ca="1" si="12"/>
        <v>1131</v>
      </c>
      <c r="S58" s="1"/>
      <c r="T58" s="1">
        <f t="shared" ca="1" si="13"/>
        <v>0.15172528216890926</v>
      </c>
      <c r="U58" s="1">
        <f t="shared" ca="1" si="14"/>
        <v>438</v>
      </c>
      <c r="V58" s="1">
        <f t="shared" ca="1" si="15"/>
        <v>41</v>
      </c>
      <c r="W58" s="1"/>
      <c r="X58" s="1">
        <f t="shared" ca="1" si="16"/>
        <v>5.816178303862598</v>
      </c>
      <c r="Y58" s="1">
        <f t="shared" ca="1" si="17"/>
        <v>0.69780213969016458</v>
      </c>
      <c r="Z58" s="1">
        <f t="shared" ca="1" si="18"/>
        <v>1088</v>
      </c>
    </row>
    <row r="59" spans="2:26" x14ac:dyDescent="0.25">
      <c r="B59">
        <f t="shared" ca="1" si="0"/>
        <v>517</v>
      </c>
      <c r="C59">
        <f t="shared" ca="1" si="1"/>
        <v>5</v>
      </c>
      <c r="D59">
        <f t="shared" ca="1" si="2"/>
        <v>4.226274903091716E-2</v>
      </c>
      <c r="F59" s="1">
        <f t="shared" ca="1" si="3"/>
        <v>41</v>
      </c>
      <c r="G59" s="1">
        <f t="shared" ca="1" si="4"/>
        <v>7</v>
      </c>
      <c r="H59" s="1">
        <f t="shared" ca="1" si="5"/>
        <v>12</v>
      </c>
      <c r="I59" s="1"/>
      <c r="J59" s="1">
        <f t="shared" ca="1" si="6"/>
        <v>39</v>
      </c>
      <c r="K59" s="1">
        <f t="shared" ca="1" si="7"/>
        <v>2.7650231186470617</v>
      </c>
      <c r="L59" s="1">
        <f t="shared" ca="1" si="8"/>
        <v>10</v>
      </c>
      <c r="M59" s="1"/>
      <c r="N59" s="1">
        <f t="shared" ca="1" si="9"/>
        <v>392</v>
      </c>
      <c r="O59" s="1">
        <f t="shared" ca="1" si="10"/>
        <v>25</v>
      </c>
      <c r="P59" s="1"/>
      <c r="Q59" s="1">
        <f t="shared" ca="1" si="11"/>
        <v>0.29052416559046251</v>
      </c>
      <c r="R59" s="1">
        <f t="shared" ca="1" si="12"/>
        <v>677</v>
      </c>
      <c r="S59" s="1"/>
      <c r="T59" s="1">
        <f t="shared" ca="1" si="13"/>
        <v>7.8423515653667633E-2</v>
      </c>
      <c r="U59" s="1">
        <f t="shared" ca="1" si="14"/>
        <v>114</v>
      </c>
      <c r="V59" s="1">
        <f t="shared" ca="1" si="15"/>
        <v>27</v>
      </c>
      <c r="W59" s="1"/>
      <c r="X59" s="1">
        <f t="shared" ca="1" si="16"/>
        <v>9.3773780129632378</v>
      </c>
      <c r="Y59" s="1">
        <f t="shared" ca="1" si="17"/>
        <v>0.23461086581004989</v>
      </c>
      <c r="Z59" s="1">
        <f t="shared" ca="1" si="18"/>
        <v>1361</v>
      </c>
    </row>
    <row r="60" spans="2:26" x14ac:dyDescent="0.25">
      <c r="B60">
        <f t="shared" ca="1" si="0"/>
        <v>220</v>
      </c>
      <c r="C60">
        <f t="shared" ca="1" si="1"/>
        <v>35</v>
      </c>
      <c r="D60">
        <f t="shared" ca="1" si="2"/>
        <v>0.28681098709803526</v>
      </c>
      <c r="F60" s="1">
        <f t="shared" ca="1" si="3"/>
        <v>20</v>
      </c>
      <c r="G60" s="1">
        <f t="shared" ca="1" si="4"/>
        <v>3</v>
      </c>
      <c r="H60" s="1">
        <f t="shared" ca="1" si="5"/>
        <v>12</v>
      </c>
      <c r="I60" s="1"/>
      <c r="J60" s="1">
        <f t="shared" ca="1" si="6"/>
        <v>22</v>
      </c>
      <c r="K60" s="1">
        <f t="shared" ca="1" si="7"/>
        <v>1.4001534980511949</v>
      </c>
      <c r="L60" s="1">
        <f t="shared" ca="1" si="8"/>
        <v>33</v>
      </c>
      <c r="M60" s="1"/>
      <c r="N60" s="1">
        <f t="shared" ca="1" si="9"/>
        <v>209</v>
      </c>
      <c r="O60" s="1">
        <f t="shared" ca="1" si="10"/>
        <v>34</v>
      </c>
      <c r="P60" s="1"/>
      <c r="Q60" s="1">
        <f t="shared" ca="1" si="11"/>
        <v>1.5148197459956283</v>
      </c>
      <c r="R60" s="1">
        <f t="shared" ca="1" si="12"/>
        <v>233</v>
      </c>
      <c r="S60" s="1"/>
      <c r="T60" s="1">
        <f t="shared" ca="1" si="13"/>
        <v>2.010608651720739E-2</v>
      </c>
      <c r="U60" s="1">
        <f t="shared" ca="1" si="14"/>
        <v>146</v>
      </c>
      <c r="V60" s="1">
        <f t="shared" ca="1" si="15"/>
        <v>32</v>
      </c>
      <c r="W60" s="1"/>
      <c r="X60" s="1">
        <f t="shared" ca="1" si="16"/>
        <v>1.8612858165081023</v>
      </c>
      <c r="Y60" s="1">
        <f t="shared" ca="1" si="17"/>
        <v>0.38176045180141976</v>
      </c>
      <c r="Z60" s="1">
        <f t="shared" ca="1" si="18"/>
        <v>1437</v>
      </c>
    </row>
    <row r="61" spans="2:26" x14ac:dyDescent="0.25">
      <c r="B61">
        <f t="shared" ca="1" si="0"/>
        <v>851</v>
      </c>
      <c r="C61">
        <f t="shared" ca="1" si="1"/>
        <v>30</v>
      </c>
      <c r="D61">
        <f t="shared" ca="1" si="2"/>
        <v>0.17131057984996639</v>
      </c>
      <c r="F61" s="1">
        <f t="shared" ca="1" si="3"/>
        <v>9</v>
      </c>
      <c r="G61" s="1">
        <f t="shared" ca="1" si="4"/>
        <v>18</v>
      </c>
      <c r="H61" s="1">
        <f t="shared" ca="1" si="5"/>
        <v>5</v>
      </c>
      <c r="I61" s="1"/>
      <c r="J61" s="1">
        <f t="shared" ca="1" si="6"/>
        <v>35</v>
      </c>
      <c r="K61" s="1">
        <f t="shared" ca="1" si="7"/>
        <v>1.6450334661448964</v>
      </c>
      <c r="L61" s="1">
        <f t="shared" ca="1" si="8"/>
        <v>2</v>
      </c>
      <c r="M61" s="1"/>
      <c r="N61" s="1">
        <f t="shared" ca="1" si="9"/>
        <v>618</v>
      </c>
      <c r="O61" s="1">
        <f t="shared" ca="1" si="10"/>
        <v>25</v>
      </c>
      <c r="P61" s="1"/>
      <c r="Q61" s="1">
        <f t="shared" ca="1" si="11"/>
        <v>4.9598958247002782</v>
      </c>
      <c r="R61" s="1">
        <f t="shared" ca="1" si="12"/>
        <v>568</v>
      </c>
      <c r="S61" s="1"/>
      <c r="T61" s="1">
        <f t="shared" ca="1" si="13"/>
        <v>0.14369475143242649</v>
      </c>
      <c r="U61" s="1">
        <f t="shared" ca="1" si="14"/>
        <v>251</v>
      </c>
      <c r="V61" s="1">
        <f t="shared" ca="1" si="15"/>
        <v>14</v>
      </c>
      <c r="W61" s="1"/>
      <c r="X61" s="1">
        <f t="shared" ca="1" si="16"/>
        <v>5.3915734779578957</v>
      </c>
      <c r="Y61" s="1">
        <f t="shared" ca="1" si="17"/>
        <v>0.70891717177987057</v>
      </c>
      <c r="Z61" s="1">
        <f t="shared" ca="1" si="18"/>
        <v>1419</v>
      </c>
    </row>
    <row r="62" spans="2:26" x14ac:dyDescent="0.25">
      <c r="B62">
        <f t="shared" ca="1" si="0"/>
        <v>275</v>
      </c>
      <c r="C62">
        <f t="shared" ca="1" si="1"/>
        <v>23</v>
      </c>
      <c r="D62">
        <f t="shared" ca="1" si="2"/>
        <v>0.25269941288506165</v>
      </c>
      <c r="F62" s="1">
        <f t="shared" ca="1" si="3"/>
        <v>6</v>
      </c>
      <c r="G62" s="1">
        <f t="shared" ca="1" si="4"/>
        <v>21</v>
      </c>
      <c r="H62" s="1">
        <f t="shared" ca="1" si="5"/>
        <v>4</v>
      </c>
      <c r="I62" s="1"/>
      <c r="J62" s="1">
        <f t="shared" ca="1" si="6"/>
        <v>26</v>
      </c>
      <c r="K62" s="1">
        <f t="shared" ca="1" si="7"/>
        <v>1.5417798217749685</v>
      </c>
      <c r="L62" s="1">
        <f t="shared" ca="1" si="8"/>
        <v>4</v>
      </c>
      <c r="M62" s="1"/>
      <c r="N62" s="1">
        <f t="shared" ca="1" si="9"/>
        <v>990</v>
      </c>
      <c r="O62" s="1">
        <f t="shared" ca="1" si="10"/>
        <v>25</v>
      </c>
      <c r="P62" s="1"/>
      <c r="Q62" s="1">
        <f t="shared" ca="1" si="11"/>
        <v>1.8475289518626881</v>
      </c>
      <c r="R62" s="1">
        <f t="shared" ca="1" si="12"/>
        <v>839</v>
      </c>
      <c r="S62" s="1"/>
      <c r="T62" s="1">
        <f t="shared" ca="1" si="13"/>
        <v>0.16704331077574142</v>
      </c>
      <c r="U62" s="1">
        <f t="shared" ca="1" si="14"/>
        <v>110</v>
      </c>
      <c r="V62" s="1">
        <f t="shared" ca="1" si="15"/>
        <v>30</v>
      </c>
      <c r="W62" s="1"/>
      <c r="X62" s="1">
        <f t="shared" ca="1" si="16"/>
        <v>2.5474790204772106</v>
      </c>
      <c r="Y62" s="1">
        <f t="shared" ca="1" si="17"/>
        <v>0.5389317071967924</v>
      </c>
      <c r="Z62" s="1">
        <f t="shared" ca="1" si="18"/>
        <v>911</v>
      </c>
    </row>
    <row r="63" spans="2:26" x14ac:dyDescent="0.25">
      <c r="B63">
        <f t="shared" ca="1" si="0"/>
        <v>18</v>
      </c>
      <c r="C63">
        <f t="shared" ca="1" si="1"/>
        <v>38</v>
      </c>
      <c r="D63">
        <f t="shared" ca="1" si="2"/>
        <v>2.7679074200346536E-2</v>
      </c>
      <c r="F63" s="1">
        <f t="shared" ca="1" si="3"/>
        <v>3</v>
      </c>
      <c r="G63" s="1">
        <f t="shared" ca="1" si="4"/>
        <v>17</v>
      </c>
      <c r="H63" s="1">
        <f t="shared" ca="1" si="5"/>
        <v>9</v>
      </c>
      <c r="I63" s="1"/>
      <c r="J63" s="1">
        <f t="shared" ca="1" si="6"/>
        <v>11</v>
      </c>
      <c r="K63" s="1">
        <f t="shared" ca="1" si="7"/>
        <v>1.8301438231322298</v>
      </c>
      <c r="L63" s="1">
        <f t="shared" ca="1" si="8"/>
        <v>35</v>
      </c>
      <c r="M63" s="1"/>
      <c r="N63" s="1">
        <f t="shared" ca="1" si="9"/>
        <v>621</v>
      </c>
      <c r="O63" s="1">
        <f t="shared" ca="1" si="10"/>
        <v>37</v>
      </c>
      <c r="P63" s="1"/>
      <c r="Q63" s="1">
        <f t="shared" ca="1" si="11"/>
        <v>0.22139324247526296</v>
      </c>
      <c r="R63" s="1">
        <f t="shared" ca="1" si="12"/>
        <v>1047</v>
      </c>
      <c r="S63" s="1"/>
      <c r="T63" s="1">
        <f t="shared" ca="1" si="13"/>
        <v>3.2777890483005952E-2</v>
      </c>
      <c r="U63" s="1">
        <f t="shared" ca="1" si="14"/>
        <v>72</v>
      </c>
      <c r="V63" s="1">
        <f t="shared" ca="1" si="15"/>
        <v>48</v>
      </c>
      <c r="W63" s="1"/>
      <c r="X63" s="1">
        <f t="shared" ca="1" si="16"/>
        <v>6.5665720602548925</v>
      </c>
      <c r="Y63" s="1">
        <f t="shared" ca="1" si="17"/>
        <v>0.14071591597750574</v>
      </c>
      <c r="Z63" s="1">
        <f t="shared" ca="1" si="18"/>
        <v>782</v>
      </c>
    </row>
    <row r="64" spans="2:26" x14ac:dyDescent="0.25">
      <c r="B64">
        <f t="shared" ca="1" si="0"/>
        <v>720</v>
      </c>
      <c r="C64">
        <f t="shared" ca="1" si="1"/>
        <v>31</v>
      </c>
      <c r="D64">
        <f t="shared" ca="1" si="2"/>
        <v>0.13400553570105803</v>
      </c>
      <c r="F64" s="1">
        <f t="shared" ca="1" si="3"/>
        <v>2</v>
      </c>
      <c r="G64" s="1">
        <f t="shared" ca="1" si="4"/>
        <v>9</v>
      </c>
      <c r="H64" s="1">
        <f t="shared" ca="1" si="5"/>
        <v>9</v>
      </c>
      <c r="I64" s="1"/>
      <c r="J64" s="1">
        <f t="shared" ca="1" si="6"/>
        <v>15</v>
      </c>
      <c r="K64" s="1">
        <f t="shared" ca="1" si="7"/>
        <v>1.6974897645200671</v>
      </c>
      <c r="L64" s="1">
        <f t="shared" ca="1" si="8"/>
        <v>13</v>
      </c>
      <c r="M64" s="1"/>
      <c r="N64" s="1">
        <f t="shared" ca="1" si="9"/>
        <v>732</v>
      </c>
      <c r="O64" s="1">
        <f t="shared" ca="1" si="10"/>
        <v>5</v>
      </c>
      <c r="P64" s="1"/>
      <c r="Q64" s="1">
        <f t="shared" ca="1" si="11"/>
        <v>4.0616975477468946</v>
      </c>
      <c r="R64" s="1">
        <f t="shared" ca="1" si="12"/>
        <v>209</v>
      </c>
      <c r="S64" s="1"/>
      <c r="T64" s="1">
        <f t="shared" ca="1" si="13"/>
        <v>7.8389856059543933E-2</v>
      </c>
      <c r="U64" s="1">
        <f t="shared" ca="1" si="14"/>
        <v>227</v>
      </c>
      <c r="V64" s="1">
        <f t="shared" ca="1" si="15"/>
        <v>42</v>
      </c>
      <c r="W64" s="1"/>
      <c r="X64" s="1">
        <f t="shared" ca="1" si="16"/>
        <v>5.1378557727175922</v>
      </c>
      <c r="Y64" s="1">
        <f t="shared" ca="1" si="17"/>
        <v>0.677302045260325</v>
      </c>
      <c r="Z64" s="1">
        <f t="shared" ca="1" si="18"/>
        <v>556</v>
      </c>
    </row>
    <row r="65" spans="2:26" x14ac:dyDescent="0.25">
      <c r="B65">
        <f t="shared" ca="1" si="0"/>
        <v>538</v>
      </c>
      <c r="C65">
        <f t="shared" ca="1" si="1"/>
        <v>32</v>
      </c>
      <c r="D65">
        <f t="shared" ca="1" si="2"/>
        <v>0.2394264444555331</v>
      </c>
      <c r="F65" s="1">
        <f t="shared" ca="1" si="3"/>
        <v>52</v>
      </c>
      <c r="G65" s="1">
        <f t="shared" ca="1" si="4"/>
        <v>25</v>
      </c>
      <c r="H65" s="1">
        <f t="shared" ca="1" si="5"/>
        <v>9</v>
      </c>
      <c r="I65" s="1"/>
      <c r="J65" s="1">
        <f t="shared" ca="1" si="6"/>
        <v>26</v>
      </c>
      <c r="K65" s="1">
        <f t="shared" ca="1" si="7"/>
        <v>2.6368266914091807</v>
      </c>
      <c r="L65" s="1">
        <f t="shared" ca="1" si="8"/>
        <v>23</v>
      </c>
      <c r="M65" s="1"/>
      <c r="N65" s="1">
        <f t="shared" ca="1" si="9"/>
        <v>159</v>
      </c>
      <c r="O65" s="1">
        <f t="shared" ca="1" si="10"/>
        <v>27</v>
      </c>
      <c r="P65" s="1"/>
      <c r="Q65" s="1">
        <f t="shared" ca="1" si="11"/>
        <v>3.9063599662262094</v>
      </c>
      <c r="R65" s="1">
        <f t="shared" ca="1" si="12"/>
        <v>236</v>
      </c>
      <c r="S65" s="1"/>
      <c r="T65" s="1">
        <f t="shared" ca="1" si="13"/>
        <v>0.15120661804139615</v>
      </c>
      <c r="U65" s="1">
        <f t="shared" ca="1" si="14"/>
        <v>205</v>
      </c>
      <c r="V65" s="1">
        <f t="shared" ca="1" si="15"/>
        <v>51</v>
      </c>
      <c r="W65" s="1"/>
      <c r="X65" s="1">
        <f t="shared" ca="1" si="16"/>
        <v>7.1503821116549382</v>
      </c>
      <c r="Y65" s="1">
        <f t="shared" ca="1" si="17"/>
        <v>0.93246769524477735</v>
      </c>
      <c r="Z65" s="1">
        <f t="shared" ca="1" si="18"/>
        <v>1599</v>
      </c>
    </row>
    <row r="66" spans="2:26" x14ac:dyDescent="0.25">
      <c r="B66">
        <f t="shared" ca="1" si="0"/>
        <v>303</v>
      </c>
      <c r="C66">
        <f t="shared" ca="1" si="1"/>
        <v>40</v>
      </c>
      <c r="D66">
        <f t="shared" ca="1" si="2"/>
        <v>7.0050450780502663E-2</v>
      </c>
      <c r="F66" s="1">
        <f t="shared" ca="1" si="3"/>
        <v>10</v>
      </c>
      <c r="G66" s="1">
        <f t="shared" ca="1" si="4"/>
        <v>3</v>
      </c>
      <c r="H66" s="1">
        <f t="shared" ca="1" si="5"/>
        <v>1</v>
      </c>
      <c r="I66" s="1"/>
      <c r="J66" s="1">
        <f t="shared" ca="1" si="6"/>
        <v>31</v>
      </c>
      <c r="K66" s="1">
        <f t="shared" ca="1" si="7"/>
        <v>1.4100954014794587</v>
      </c>
      <c r="L66" s="1">
        <f t="shared" ca="1" si="8"/>
        <v>4</v>
      </c>
      <c r="M66" s="1"/>
      <c r="N66" s="1">
        <f t="shared" ca="1" si="9"/>
        <v>380</v>
      </c>
      <c r="O66" s="1">
        <f t="shared" ca="1" si="10"/>
        <v>31</v>
      </c>
      <c r="P66" s="1"/>
      <c r="Q66" s="1">
        <f t="shared" ca="1" si="11"/>
        <v>0.63237786495003545</v>
      </c>
      <c r="R66" s="1">
        <f t="shared" ca="1" si="12"/>
        <v>1089</v>
      </c>
      <c r="S66" s="1"/>
      <c r="T66" s="1">
        <f t="shared" ca="1" si="13"/>
        <v>2.5370815595259791E-2</v>
      </c>
      <c r="U66" s="1">
        <f t="shared" ca="1" si="14"/>
        <v>130</v>
      </c>
      <c r="V66" s="1">
        <f t="shared" ca="1" si="15"/>
        <v>41</v>
      </c>
      <c r="W66" s="1"/>
      <c r="X66" s="1">
        <f t="shared" ca="1" si="16"/>
        <v>7.9454715478707314</v>
      </c>
      <c r="Y66" s="1">
        <f t="shared" ca="1" si="17"/>
        <v>0.41660006043910269</v>
      </c>
      <c r="Z66" s="1">
        <f t="shared" ca="1" si="18"/>
        <v>410</v>
      </c>
    </row>
    <row r="67" spans="2:26" x14ac:dyDescent="0.25">
      <c r="B67">
        <f t="shared" ca="1" si="0"/>
        <v>562</v>
      </c>
      <c r="C67">
        <f t="shared" ca="1" si="1"/>
        <v>31</v>
      </c>
      <c r="D67">
        <f t="shared" ca="1" si="2"/>
        <v>0.21110134884940626</v>
      </c>
      <c r="F67" s="1">
        <f t="shared" ca="1" si="3"/>
        <v>19</v>
      </c>
      <c r="G67" s="1">
        <f t="shared" ca="1" si="4"/>
        <v>15</v>
      </c>
      <c r="H67" s="1">
        <f t="shared" ca="1" si="5"/>
        <v>6</v>
      </c>
      <c r="I67" s="1"/>
      <c r="J67" s="1">
        <f t="shared" ca="1" si="6"/>
        <v>37</v>
      </c>
      <c r="K67" s="1">
        <f t="shared" ca="1" si="7"/>
        <v>1.1568115739881453</v>
      </c>
      <c r="L67" s="1">
        <f t="shared" ca="1" si="8"/>
        <v>12</v>
      </c>
      <c r="M67" s="1"/>
      <c r="N67" s="1">
        <f t="shared" ca="1" si="9"/>
        <v>225</v>
      </c>
      <c r="O67" s="1">
        <f t="shared" ca="1" si="10"/>
        <v>27</v>
      </c>
      <c r="P67" s="1"/>
      <c r="Q67" s="1">
        <f t="shared" ca="1" si="11"/>
        <v>2.5417894328227941</v>
      </c>
      <c r="R67" s="1">
        <f t="shared" ca="1" si="12"/>
        <v>565</v>
      </c>
      <c r="S67" s="1"/>
      <c r="T67" s="1">
        <f t="shared" ca="1" si="13"/>
        <v>8.2419021978267407E-2</v>
      </c>
      <c r="U67" s="1">
        <f t="shared" ca="1" si="14"/>
        <v>183</v>
      </c>
      <c r="V67" s="1">
        <f t="shared" ca="1" si="15"/>
        <v>52</v>
      </c>
      <c r="W67" s="1"/>
      <c r="X67" s="1">
        <f t="shared" ca="1" si="16"/>
        <v>5.5111543405916823</v>
      </c>
      <c r="Y67" s="1">
        <f t="shared" ca="1" si="17"/>
        <v>0.85963809557683135</v>
      </c>
      <c r="Z67" s="1">
        <f t="shared" ca="1" si="18"/>
        <v>926</v>
      </c>
    </row>
    <row r="68" spans="2:26" x14ac:dyDescent="0.25">
      <c r="B68">
        <f t="shared" ref="B68:B131" ca="1" si="19">RANDBETWEEN(15,1000)</f>
        <v>950</v>
      </c>
      <c r="C68">
        <f t="shared" ref="C68:C131" ca="1" si="20">RANDBETWEEN(2,52)</f>
        <v>26</v>
      </c>
      <c r="D68">
        <f t="shared" ref="D68:D131" ca="1" si="21">RAND()*(0.3-0.01)+0.01</f>
        <v>0.18450597148781922</v>
      </c>
      <c r="F68" s="1">
        <f t="shared" ref="F68:F131" ca="1" si="22">RANDBETWEEN(2,52)</f>
        <v>9</v>
      </c>
      <c r="G68" s="1">
        <f t="shared" ref="G68:G131" ca="1" si="23">RANDBETWEEN(2,30)</f>
        <v>26</v>
      </c>
      <c r="H68" s="1">
        <f t="shared" ref="H68:H131" ca="1" si="24">RANDBETWEEN(1,15)</f>
        <v>6</v>
      </c>
      <c r="I68" s="1"/>
      <c r="J68" s="1">
        <f t="shared" ref="J68:J131" ca="1" si="25">RANDBETWEEN(1,39)</f>
        <v>23</v>
      </c>
      <c r="K68" s="1">
        <f t="shared" ref="K68:K131" ca="1" si="26">RAND()*(3-1)+1</f>
        <v>1.0206751581788549</v>
      </c>
      <c r="L68" s="1">
        <f t="shared" ref="L68:L131" ca="1" si="27">RANDBETWEEN(2,35)</f>
        <v>12</v>
      </c>
      <c r="M68" s="1"/>
      <c r="N68" s="1">
        <f t="shared" ref="N68:N131" ca="1" si="28">RANDBETWEEN(15,1000)</f>
        <v>616</v>
      </c>
      <c r="O68" s="1">
        <f t="shared" ref="O68:O131" ca="1" si="29">RANDBETWEEN(2,52)</f>
        <v>6</v>
      </c>
      <c r="P68" s="1"/>
      <c r="Q68" s="1">
        <f t="shared" ref="Q68:Q131" ca="1" si="30">RAND()*(5-0.01)+0.01</f>
        <v>1.2892969429394034</v>
      </c>
      <c r="R68" s="1">
        <f t="shared" ref="R68:R131" ca="1" si="31">RANDBETWEEN(200,1200)</f>
        <v>801</v>
      </c>
      <c r="S68" s="1"/>
      <c r="T68" s="1">
        <f t="shared" ref="T68:T131" ca="1" si="32">RAND()*(0.2-0.01)+0.01</f>
        <v>1.5871996039749363E-2</v>
      </c>
      <c r="U68" s="1">
        <f t="shared" ref="U68:U131" ca="1" si="33">RANDBETWEEN(50,450)</f>
        <v>218</v>
      </c>
      <c r="V68" s="1">
        <f t="shared" ref="V68:V131" ca="1" si="34">RANDBETWEEN(2,52)</f>
        <v>19</v>
      </c>
      <c r="W68" s="1"/>
      <c r="X68" s="1">
        <f t="shared" ref="X68:X131" ca="1" si="35">RAND()*(10-0.01)+0.01</f>
        <v>0.57409398965231051</v>
      </c>
      <c r="Y68" s="1">
        <f t="shared" ref="Y68:Y131" ca="1" si="36">RAND()*(1-0.0001)+0.0001</f>
        <v>0.61147293403484049</v>
      </c>
      <c r="Z68" s="1">
        <f t="shared" ref="Z68:Z131" ca="1" si="37">RANDBETWEEN(100,2000)</f>
        <v>384</v>
      </c>
    </row>
    <row r="69" spans="2:26" x14ac:dyDescent="0.25">
      <c r="B69">
        <f t="shared" ca="1" si="19"/>
        <v>938</v>
      </c>
      <c r="C69">
        <f t="shared" ca="1" si="20"/>
        <v>48</v>
      </c>
      <c r="D69">
        <f t="shared" ca="1" si="21"/>
        <v>0.21076423071863878</v>
      </c>
      <c r="F69" s="1">
        <f t="shared" ca="1" si="22"/>
        <v>5</v>
      </c>
      <c r="G69" s="1">
        <f t="shared" ca="1" si="23"/>
        <v>25</v>
      </c>
      <c r="H69" s="1">
        <f t="shared" ca="1" si="24"/>
        <v>6</v>
      </c>
      <c r="I69" s="1"/>
      <c r="J69" s="1">
        <f t="shared" ca="1" si="25"/>
        <v>30</v>
      </c>
      <c r="K69" s="1">
        <f t="shared" ca="1" si="26"/>
        <v>1.0959781477001382</v>
      </c>
      <c r="L69" s="1">
        <f t="shared" ca="1" si="27"/>
        <v>22</v>
      </c>
      <c r="M69" s="1"/>
      <c r="N69" s="1">
        <f t="shared" ca="1" si="28"/>
        <v>908</v>
      </c>
      <c r="O69" s="1">
        <f t="shared" ca="1" si="29"/>
        <v>43</v>
      </c>
      <c r="P69" s="1"/>
      <c r="Q69" s="1">
        <f t="shared" ca="1" si="30"/>
        <v>1.9811158904352997</v>
      </c>
      <c r="R69" s="1">
        <f t="shared" ca="1" si="31"/>
        <v>426</v>
      </c>
      <c r="S69" s="1"/>
      <c r="T69" s="1">
        <f t="shared" ca="1" si="32"/>
        <v>3.9484721988502253E-2</v>
      </c>
      <c r="U69" s="1">
        <f t="shared" ca="1" si="33"/>
        <v>143</v>
      </c>
      <c r="V69" s="1">
        <f t="shared" ca="1" si="34"/>
        <v>13</v>
      </c>
      <c r="W69" s="1"/>
      <c r="X69" s="1">
        <f t="shared" ca="1" si="35"/>
        <v>6.280681943235459</v>
      </c>
      <c r="Y69" s="1">
        <f t="shared" ca="1" si="36"/>
        <v>0.4255161832869202</v>
      </c>
      <c r="Z69" s="1">
        <f t="shared" ca="1" si="37"/>
        <v>1942</v>
      </c>
    </row>
    <row r="70" spans="2:26" x14ac:dyDescent="0.25">
      <c r="B70">
        <f t="shared" ca="1" si="19"/>
        <v>858</v>
      </c>
      <c r="C70">
        <f t="shared" ca="1" si="20"/>
        <v>50</v>
      </c>
      <c r="D70">
        <f t="shared" ca="1" si="21"/>
        <v>0.13207803857880732</v>
      </c>
      <c r="F70" s="1">
        <f t="shared" ca="1" si="22"/>
        <v>42</v>
      </c>
      <c r="G70" s="1">
        <f t="shared" ca="1" si="23"/>
        <v>8</v>
      </c>
      <c r="H70" s="1">
        <f t="shared" ca="1" si="24"/>
        <v>14</v>
      </c>
      <c r="I70" s="1"/>
      <c r="J70" s="1">
        <f t="shared" ca="1" si="25"/>
        <v>37</v>
      </c>
      <c r="K70" s="1">
        <f t="shared" ca="1" si="26"/>
        <v>1.5486932444176347</v>
      </c>
      <c r="L70" s="1">
        <f t="shared" ca="1" si="27"/>
        <v>29</v>
      </c>
      <c r="M70" s="1"/>
      <c r="N70" s="1">
        <f t="shared" ca="1" si="28"/>
        <v>743</v>
      </c>
      <c r="O70" s="1">
        <f t="shared" ca="1" si="29"/>
        <v>46</v>
      </c>
      <c r="P70" s="1"/>
      <c r="Q70" s="1">
        <f t="shared" ca="1" si="30"/>
        <v>5.4121768576983142E-2</v>
      </c>
      <c r="R70" s="1">
        <f t="shared" ca="1" si="31"/>
        <v>547</v>
      </c>
      <c r="S70" s="1"/>
      <c r="T70" s="1">
        <f t="shared" ca="1" si="32"/>
        <v>2.8752170470255668E-2</v>
      </c>
      <c r="U70" s="1">
        <f t="shared" ca="1" si="33"/>
        <v>382</v>
      </c>
      <c r="V70" s="1">
        <f t="shared" ca="1" si="34"/>
        <v>16</v>
      </c>
      <c r="W70" s="1"/>
      <c r="X70" s="1">
        <f t="shared" ca="1" si="35"/>
        <v>0.73030582762661722</v>
      </c>
      <c r="Y70" s="1">
        <f t="shared" ca="1" si="36"/>
        <v>0.2953830469642082</v>
      </c>
      <c r="Z70" s="1">
        <f t="shared" ca="1" si="37"/>
        <v>1752</v>
      </c>
    </row>
    <row r="71" spans="2:26" x14ac:dyDescent="0.25">
      <c r="B71">
        <f t="shared" ca="1" si="19"/>
        <v>28</v>
      </c>
      <c r="C71">
        <f t="shared" ca="1" si="20"/>
        <v>38</v>
      </c>
      <c r="D71">
        <f t="shared" ca="1" si="21"/>
        <v>7.4690038609606685E-2</v>
      </c>
      <c r="F71" s="1">
        <f t="shared" ca="1" si="22"/>
        <v>50</v>
      </c>
      <c r="G71" s="1">
        <f t="shared" ca="1" si="23"/>
        <v>14</v>
      </c>
      <c r="H71" s="1">
        <f t="shared" ca="1" si="24"/>
        <v>8</v>
      </c>
      <c r="I71" s="1"/>
      <c r="J71" s="1">
        <f t="shared" ca="1" si="25"/>
        <v>14</v>
      </c>
      <c r="K71" s="1">
        <f t="shared" ca="1" si="26"/>
        <v>1.3071847934200944</v>
      </c>
      <c r="L71" s="1">
        <f t="shared" ca="1" si="27"/>
        <v>16</v>
      </c>
      <c r="M71" s="1"/>
      <c r="N71" s="1">
        <f t="shared" ca="1" si="28"/>
        <v>146</v>
      </c>
      <c r="O71" s="1">
        <f t="shared" ca="1" si="29"/>
        <v>31</v>
      </c>
      <c r="P71" s="1"/>
      <c r="Q71" s="1">
        <f t="shared" ca="1" si="30"/>
        <v>0.18074208760376667</v>
      </c>
      <c r="R71" s="1">
        <f t="shared" ca="1" si="31"/>
        <v>717</v>
      </c>
      <c r="S71" s="1"/>
      <c r="T71" s="1">
        <f t="shared" ca="1" si="32"/>
        <v>0.1923573333017117</v>
      </c>
      <c r="U71" s="1">
        <f t="shared" ca="1" si="33"/>
        <v>449</v>
      </c>
      <c r="V71" s="1">
        <f t="shared" ca="1" si="34"/>
        <v>6</v>
      </c>
      <c r="W71" s="1"/>
      <c r="X71" s="1">
        <f t="shared" ca="1" si="35"/>
        <v>1.1722544638570631</v>
      </c>
      <c r="Y71" s="1">
        <f t="shared" ca="1" si="36"/>
        <v>0.52386806294482069</v>
      </c>
      <c r="Z71" s="1">
        <f t="shared" ca="1" si="37"/>
        <v>1728</v>
      </c>
    </row>
    <row r="72" spans="2:26" x14ac:dyDescent="0.25">
      <c r="B72">
        <f t="shared" ca="1" si="19"/>
        <v>422</v>
      </c>
      <c r="C72">
        <f t="shared" ca="1" si="20"/>
        <v>45</v>
      </c>
      <c r="D72">
        <f t="shared" ca="1" si="21"/>
        <v>0.2425614150826497</v>
      </c>
      <c r="F72" s="1">
        <f t="shared" ca="1" si="22"/>
        <v>19</v>
      </c>
      <c r="G72" s="1">
        <f t="shared" ca="1" si="23"/>
        <v>28</v>
      </c>
      <c r="H72" s="1">
        <f t="shared" ca="1" si="24"/>
        <v>13</v>
      </c>
      <c r="I72" s="1"/>
      <c r="J72" s="1">
        <f t="shared" ca="1" si="25"/>
        <v>2</v>
      </c>
      <c r="K72" s="1">
        <f t="shared" ca="1" si="26"/>
        <v>1.2882449878331206</v>
      </c>
      <c r="L72" s="1">
        <f t="shared" ca="1" si="27"/>
        <v>10</v>
      </c>
      <c r="M72" s="1"/>
      <c r="N72" s="1">
        <f t="shared" ca="1" si="28"/>
        <v>442</v>
      </c>
      <c r="O72" s="1">
        <f t="shared" ca="1" si="29"/>
        <v>51</v>
      </c>
      <c r="P72" s="1"/>
      <c r="Q72" s="1">
        <f t="shared" ca="1" si="30"/>
        <v>1.3154157349318154</v>
      </c>
      <c r="R72" s="1">
        <f t="shared" ca="1" si="31"/>
        <v>520</v>
      </c>
      <c r="S72" s="1"/>
      <c r="T72" s="1">
        <f t="shared" ca="1" si="32"/>
        <v>0.14871782803783828</v>
      </c>
      <c r="U72" s="1">
        <f t="shared" ca="1" si="33"/>
        <v>145</v>
      </c>
      <c r="V72" s="1">
        <f t="shared" ca="1" si="34"/>
        <v>20</v>
      </c>
      <c r="W72" s="1"/>
      <c r="X72" s="1">
        <f t="shared" ca="1" si="35"/>
        <v>4.5089134131642421</v>
      </c>
      <c r="Y72" s="1">
        <f t="shared" ca="1" si="36"/>
        <v>0.44760829685880088</v>
      </c>
      <c r="Z72" s="1">
        <f t="shared" ca="1" si="37"/>
        <v>1316</v>
      </c>
    </row>
    <row r="73" spans="2:26" x14ac:dyDescent="0.25">
      <c r="B73">
        <f t="shared" ca="1" si="19"/>
        <v>557</v>
      </c>
      <c r="C73">
        <f t="shared" ca="1" si="20"/>
        <v>49</v>
      </c>
      <c r="D73">
        <f t="shared" ca="1" si="21"/>
        <v>0.24723380674442424</v>
      </c>
      <c r="F73" s="1">
        <f t="shared" ca="1" si="22"/>
        <v>8</v>
      </c>
      <c r="G73" s="1">
        <f t="shared" ca="1" si="23"/>
        <v>9</v>
      </c>
      <c r="H73" s="1">
        <f t="shared" ca="1" si="24"/>
        <v>9</v>
      </c>
      <c r="I73" s="1"/>
      <c r="J73" s="1">
        <f t="shared" ca="1" si="25"/>
        <v>33</v>
      </c>
      <c r="K73" s="1">
        <f t="shared" ca="1" si="26"/>
        <v>2.831000952987849</v>
      </c>
      <c r="L73" s="1">
        <f t="shared" ca="1" si="27"/>
        <v>9</v>
      </c>
      <c r="M73" s="1"/>
      <c r="N73" s="1">
        <f t="shared" ca="1" si="28"/>
        <v>149</v>
      </c>
      <c r="O73" s="1">
        <f t="shared" ca="1" si="29"/>
        <v>32</v>
      </c>
      <c r="P73" s="1"/>
      <c r="Q73" s="1">
        <f t="shared" ca="1" si="30"/>
        <v>3.198200794208276</v>
      </c>
      <c r="R73" s="1">
        <f t="shared" ca="1" si="31"/>
        <v>727</v>
      </c>
      <c r="S73" s="1"/>
      <c r="T73" s="1">
        <f t="shared" ca="1" si="32"/>
        <v>1.319023028472755E-2</v>
      </c>
      <c r="U73" s="1">
        <f t="shared" ca="1" si="33"/>
        <v>388</v>
      </c>
      <c r="V73" s="1">
        <f t="shared" ca="1" si="34"/>
        <v>28</v>
      </c>
      <c r="W73" s="1"/>
      <c r="X73" s="1">
        <f t="shared" ca="1" si="35"/>
        <v>1.2786738298423155</v>
      </c>
      <c r="Y73" s="1">
        <f t="shared" ca="1" si="36"/>
        <v>0.16004281302399773</v>
      </c>
      <c r="Z73" s="1">
        <f t="shared" ca="1" si="37"/>
        <v>1705</v>
      </c>
    </row>
    <row r="74" spans="2:26" x14ac:dyDescent="0.25">
      <c r="B74">
        <f t="shared" ca="1" si="19"/>
        <v>483</v>
      </c>
      <c r="C74">
        <f t="shared" ca="1" si="20"/>
        <v>44</v>
      </c>
      <c r="D74">
        <f t="shared" ca="1" si="21"/>
        <v>0.10978073372727548</v>
      </c>
      <c r="F74" s="1">
        <f t="shared" ca="1" si="22"/>
        <v>43</v>
      </c>
      <c r="G74" s="1">
        <f t="shared" ca="1" si="23"/>
        <v>22</v>
      </c>
      <c r="H74" s="1">
        <f t="shared" ca="1" si="24"/>
        <v>12</v>
      </c>
      <c r="I74" s="1"/>
      <c r="J74" s="1">
        <f t="shared" ca="1" si="25"/>
        <v>20</v>
      </c>
      <c r="K74" s="1">
        <f t="shared" ca="1" si="26"/>
        <v>1.378550531547615</v>
      </c>
      <c r="L74" s="1">
        <f t="shared" ca="1" si="27"/>
        <v>32</v>
      </c>
      <c r="M74" s="1"/>
      <c r="N74" s="1">
        <f t="shared" ca="1" si="28"/>
        <v>970</v>
      </c>
      <c r="O74" s="1">
        <f t="shared" ca="1" si="29"/>
        <v>43</v>
      </c>
      <c r="P74" s="1"/>
      <c r="Q74" s="1">
        <f t="shared" ca="1" si="30"/>
        <v>1.440518376751418</v>
      </c>
      <c r="R74" s="1">
        <f t="shared" ca="1" si="31"/>
        <v>632</v>
      </c>
      <c r="S74" s="1"/>
      <c r="T74" s="1">
        <f t="shared" ca="1" si="32"/>
        <v>0.14790170070020656</v>
      </c>
      <c r="U74" s="1">
        <f t="shared" ca="1" si="33"/>
        <v>93</v>
      </c>
      <c r="V74" s="1">
        <f t="shared" ca="1" si="34"/>
        <v>16</v>
      </c>
      <c r="W74" s="1"/>
      <c r="X74" s="1">
        <f t="shared" ca="1" si="35"/>
        <v>8.2809748217839108</v>
      </c>
      <c r="Y74" s="1">
        <f t="shared" ca="1" si="36"/>
        <v>0.12029025069075908</v>
      </c>
      <c r="Z74" s="1">
        <f t="shared" ca="1" si="37"/>
        <v>1879</v>
      </c>
    </row>
    <row r="75" spans="2:26" x14ac:dyDescent="0.25">
      <c r="B75">
        <f t="shared" ca="1" si="19"/>
        <v>598</v>
      </c>
      <c r="C75">
        <f t="shared" ca="1" si="20"/>
        <v>25</v>
      </c>
      <c r="D75">
        <f t="shared" ca="1" si="21"/>
        <v>7.5605603998557841E-2</v>
      </c>
      <c r="F75" s="1">
        <f t="shared" ca="1" si="22"/>
        <v>32</v>
      </c>
      <c r="G75" s="1">
        <f t="shared" ca="1" si="23"/>
        <v>22</v>
      </c>
      <c r="H75" s="1">
        <f t="shared" ca="1" si="24"/>
        <v>5</v>
      </c>
      <c r="I75" s="1"/>
      <c r="J75" s="1">
        <f t="shared" ca="1" si="25"/>
        <v>36</v>
      </c>
      <c r="K75" s="1">
        <f t="shared" ca="1" si="26"/>
        <v>2.583856357888398</v>
      </c>
      <c r="L75" s="1">
        <f t="shared" ca="1" si="27"/>
        <v>14</v>
      </c>
      <c r="M75" s="1"/>
      <c r="N75" s="1">
        <f t="shared" ca="1" si="28"/>
        <v>441</v>
      </c>
      <c r="O75" s="1">
        <f t="shared" ca="1" si="29"/>
        <v>14</v>
      </c>
      <c r="P75" s="1"/>
      <c r="Q75" s="1">
        <f t="shared" ca="1" si="30"/>
        <v>0.82664840245056936</v>
      </c>
      <c r="R75" s="1">
        <f t="shared" ca="1" si="31"/>
        <v>396</v>
      </c>
      <c r="S75" s="1"/>
      <c r="T75" s="1">
        <f t="shared" ca="1" si="32"/>
        <v>6.7769386806093568E-2</v>
      </c>
      <c r="U75" s="1">
        <f t="shared" ca="1" si="33"/>
        <v>52</v>
      </c>
      <c r="V75" s="1">
        <f t="shared" ca="1" si="34"/>
        <v>12</v>
      </c>
      <c r="W75" s="1"/>
      <c r="X75" s="1">
        <f t="shared" ca="1" si="35"/>
        <v>2.4661067879037279</v>
      </c>
      <c r="Y75" s="1">
        <f t="shared" ca="1" si="36"/>
        <v>0.60821555859331122</v>
      </c>
      <c r="Z75" s="1">
        <f t="shared" ca="1" si="37"/>
        <v>473</v>
      </c>
    </row>
    <row r="76" spans="2:26" x14ac:dyDescent="0.25">
      <c r="B76">
        <f t="shared" ca="1" si="19"/>
        <v>467</v>
      </c>
      <c r="C76">
        <f t="shared" ca="1" si="20"/>
        <v>27</v>
      </c>
      <c r="D76">
        <f t="shared" ca="1" si="21"/>
        <v>4.45192182716031E-2</v>
      </c>
      <c r="F76" s="1">
        <f t="shared" ca="1" si="22"/>
        <v>36</v>
      </c>
      <c r="G76" s="1">
        <f t="shared" ca="1" si="23"/>
        <v>16</v>
      </c>
      <c r="H76" s="1">
        <f t="shared" ca="1" si="24"/>
        <v>14</v>
      </c>
      <c r="I76" s="1"/>
      <c r="J76" s="1">
        <f t="shared" ca="1" si="25"/>
        <v>11</v>
      </c>
      <c r="K76" s="1">
        <f t="shared" ca="1" si="26"/>
        <v>1.7008055845271102</v>
      </c>
      <c r="L76" s="1">
        <f t="shared" ca="1" si="27"/>
        <v>2</v>
      </c>
      <c r="M76" s="1"/>
      <c r="N76" s="1">
        <f t="shared" ca="1" si="28"/>
        <v>673</v>
      </c>
      <c r="O76" s="1">
        <f t="shared" ca="1" si="29"/>
        <v>33</v>
      </c>
      <c r="P76" s="1"/>
      <c r="Q76" s="1">
        <f t="shared" ca="1" si="30"/>
        <v>3.7416520262086386</v>
      </c>
      <c r="R76" s="1">
        <f t="shared" ca="1" si="31"/>
        <v>1093</v>
      </c>
      <c r="S76" s="1"/>
      <c r="T76" s="1">
        <f t="shared" ca="1" si="32"/>
        <v>0.10213767687331637</v>
      </c>
      <c r="U76" s="1">
        <f t="shared" ca="1" si="33"/>
        <v>155</v>
      </c>
      <c r="V76" s="1">
        <f t="shared" ca="1" si="34"/>
        <v>36</v>
      </c>
      <c r="W76" s="1"/>
      <c r="X76" s="1">
        <f t="shared" ca="1" si="35"/>
        <v>5.3223102046778132</v>
      </c>
      <c r="Y76" s="1">
        <f t="shared" ca="1" si="36"/>
        <v>0.95558820523324839</v>
      </c>
      <c r="Z76" s="1">
        <f t="shared" ca="1" si="37"/>
        <v>1507</v>
      </c>
    </row>
    <row r="77" spans="2:26" x14ac:dyDescent="0.25">
      <c r="B77">
        <f t="shared" ca="1" si="19"/>
        <v>288</v>
      </c>
      <c r="C77">
        <f t="shared" ca="1" si="20"/>
        <v>19</v>
      </c>
      <c r="D77">
        <f t="shared" ca="1" si="21"/>
        <v>6.336115215941461E-2</v>
      </c>
      <c r="F77" s="1">
        <f t="shared" ca="1" si="22"/>
        <v>50</v>
      </c>
      <c r="G77" s="1">
        <f t="shared" ca="1" si="23"/>
        <v>7</v>
      </c>
      <c r="H77" s="1">
        <f t="shared" ca="1" si="24"/>
        <v>5</v>
      </c>
      <c r="I77" s="1"/>
      <c r="J77" s="1">
        <f t="shared" ca="1" si="25"/>
        <v>28</v>
      </c>
      <c r="K77" s="1">
        <f t="shared" ca="1" si="26"/>
        <v>2.1586746365647533</v>
      </c>
      <c r="L77" s="1">
        <f t="shared" ca="1" si="27"/>
        <v>35</v>
      </c>
      <c r="M77" s="1"/>
      <c r="N77" s="1">
        <f t="shared" ca="1" si="28"/>
        <v>848</v>
      </c>
      <c r="O77" s="1">
        <f t="shared" ca="1" si="29"/>
        <v>14</v>
      </c>
      <c r="P77" s="1"/>
      <c r="Q77" s="1">
        <f t="shared" ca="1" si="30"/>
        <v>0.23297996238143204</v>
      </c>
      <c r="R77" s="1">
        <f t="shared" ca="1" si="31"/>
        <v>831</v>
      </c>
      <c r="S77" s="1"/>
      <c r="T77" s="1">
        <f t="shared" ca="1" si="32"/>
        <v>9.5133657362119095E-2</v>
      </c>
      <c r="U77" s="1">
        <f t="shared" ca="1" si="33"/>
        <v>356</v>
      </c>
      <c r="V77" s="1">
        <f t="shared" ca="1" si="34"/>
        <v>48</v>
      </c>
      <c r="W77" s="1"/>
      <c r="X77" s="1">
        <f t="shared" ca="1" si="35"/>
        <v>6.7334590242261108</v>
      </c>
      <c r="Y77" s="1">
        <f t="shared" ca="1" si="36"/>
        <v>0.84862265692134642</v>
      </c>
      <c r="Z77" s="1">
        <f t="shared" ca="1" si="37"/>
        <v>1755</v>
      </c>
    </row>
    <row r="78" spans="2:26" x14ac:dyDescent="0.25">
      <c r="B78">
        <f t="shared" ca="1" si="19"/>
        <v>308</v>
      </c>
      <c r="C78">
        <f t="shared" ca="1" si="20"/>
        <v>36</v>
      </c>
      <c r="D78">
        <f t="shared" ca="1" si="21"/>
        <v>5.7116845399332455E-2</v>
      </c>
      <c r="F78" s="1">
        <f t="shared" ca="1" si="22"/>
        <v>38</v>
      </c>
      <c r="G78" s="1">
        <f t="shared" ca="1" si="23"/>
        <v>7</v>
      </c>
      <c r="H78" s="1">
        <f t="shared" ca="1" si="24"/>
        <v>13</v>
      </c>
      <c r="I78" s="1"/>
      <c r="J78" s="1">
        <f t="shared" ca="1" si="25"/>
        <v>16</v>
      </c>
      <c r="K78" s="1">
        <f t="shared" ca="1" si="26"/>
        <v>2.1402804173494321</v>
      </c>
      <c r="L78" s="1">
        <f t="shared" ca="1" si="27"/>
        <v>3</v>
      </c>
      <c r="M78" s="1"/>
      <c r="N78" s="1">
        <f t="shared" ca="1" si="28"/>
        <v>141</v>
      </c>
      <c r="O78" s="1">
        <f t="shared" ca="1" si="29"/>
        <v>16</v>
      </c>
      <c r="P78" s="1"/>
      <c r="Q78" s="1">
        <f t="shared" ca="1" si="30"/>
        <v>0.21064204564444197</v>
      </c>
      <c r="R78" s="1">
        <f t="shared" ca="1" si="31"/>
        <v>997</v>
      </c>
      <c r="S78" s="1"/>
      <c r="T78" s="1">
        <f t="shared" ca="1" si="32"/>
        <v>0.17542317896306728</v>
      </c>
      <c r="U78" s="1">
        <f t="shared" ca="1" si="33"/>
        <v>232</v>
      </c>
      <c r="V78" s="1">
        <f t="shared" ca="1" si="34"/>
        <v>38</v>
      </c>
      <c r="W78" s="1"/>
      <c r="X78" s="1">
        <f t="shared" ca="1" si="35"/>
        <v>3.1932537692606369</v>
      </c>
      <c r="Y78" s="1">
        <f t="shared" ca="1" si="36"/>
        <v>0.80298019311942892</v>
      </c>
      <c r="Z78" s="1">
        <f t="shared" ca="1" si="37"/>
        <v>1997</v>
      </c>
    </row>
    <row r="79" spans="2:26" x14ac:dyDescent="0.25">
      <c r="B79">
        <f t="shared" ca="1" si="19"/>
        <v>753</v>
      </c>
      <c r="C79">
        <f t="shared" ca="1" si="20"/>
        <v>29</v>
      </c>
      <c r="D79">
        <f t="shared" ca="1" si="21"/>
        <v>0.27127318960718472</v>
      </c>
      <c r="F79" s="1">
        <f t="shared" ca="1" si="22"/>
        <v>30</v>
      </c>
      <c r="G79" s="1">
        <f t="shared" ca="1" si="23"/>
        <v>19</v>
      </c>
      <c r="H79" s="1">
        <f t="shared" ca="1" si="24"/>
        <v>14</v>
      </c>
      <c r="I79" s="1"/>
      <c r="J79" s="1">
        <f t="shared" ca="1" si="25"/>
        <v>31</v>
      </c>
      <c r="K79" s="1">
        <f t="shared" ca="1" si="26"/>
        <v>1.8073656112558487</v>
      </c>
      <c r="L79" s="1">
        <f t="shared" ca="1" si="27"/>
        <v>6</v>
      </c>
      <c r="M79" s="1"/>
      <c r="N79" s="1">
        <f t="shared" ca="1" si="28"/>
        <v>835</v>
      </c>
      <c r="O79" s="1">
        <f t="shared" ca="1" si="29"/>
        <v>43</v>
      </c>
      <c r="P79" s="1"/>
      <c r="Q79" s="1">
        <f t="shared" ca="1" si="30"/>
        <v>3.1634543021727155</v>
      </c>
      <c r="R79" s="1">
        <f t="shared" ca="1" si="31"/>
        <v>407</v>
      </c>
      <c r="S79" s="1"/>
      <c r="T79" s="1">
        <f t="shared" ca="1" si="32"/>
        <v>0.16598009409798906</v>
      </c>
      <c r="U79" s="1">
        <f t="shared" ca="1" si="33"/>
        <v>324</v>
      </c>
      <c r="V79" s="1">
        <f t="shared" ca="1" si="34"/>
        <v>21</v>
      </c>
      <c r="W79" s="1"/>
      <c r="X79" s="1">
        <f t="shared" ca="1" si="35"/>
        <v>5.71255363185203</v>
      </c>
      <c r="Y79" s="1">
        <f t="shared" ca="1" si="36"/>
        <v>0.16447790232098058</v>
      </c>
      <c r="Z79" s="1">
        <f t="shared" ca="1" si="37"/>
        <v>1835</v>
      </c>
    </row>
    <row r="80" spans="2:26" x14ac:dyDescent="0.25">
      <c r="B80">
        <f t="shared" ca="1" si="19"/>
        <v>29</v>
      </c>
      <c r="C80">
        <f t="shared" ca="1" si="20"/>
        <v>49</v>
      </c>
      <c r="D80">
        <f t="shared" ca="1" si="21"/>
        <v>0.26418153037304043</v>
      </c>
      <c r="F80" s="1">
        <f t="shared" ca="1" si="22"/>
        <v>47</v>
      </c>
      <c r="G80" s="1">
        <f t="shared" ca="1" si="23"/>
        <v>9</v>
      </c>
      <c r="H80" s="1">
        <f t="shared" ca="1" si="24"/>
        <v>5</v>
      </c>
      <c r="I80" s="1"/>
      <c r="J80" s="1">
        <f t="shared" ca="1" si="25"/>
        <v>24</v>
      </c>
      <c r="K80" s="1">
        <f t="shared" ca="1" si="26"/>
        <v>2.277686756843595</v>
      </c>
      <c r="L80" s="1">
        <f t="shared" ca="1" si="27"/>
        <v>6</v>
      </c>
      <c r="M80" s="1"/>
      <c r="N80" s="1">
        <f t="shared" ca="1" si="28"/>
        <v>477</v>
      </c>
      <c r="O80" s="1">
        <f t="shared" ca="1" si="29"/>
        <v>34</v>
      </c>
      <c r="P80" s="1"/>
      <c r="Q80" s="1">
        <f t="shared" ca="1" si="30"/>
        <v>0.35154403089818337</v>
      </c>
      <c r="R80" s="1">
        <f t="shared" ca="1" si="31"/>
        <v>479</v>
      </c>
      <c r="S80" s="1"/>
      <c r="T80" s="1">
        <f t="shared" ca="1" si="32"/>
        <v>6.1574305018263394E-2</v>
      </c>
      <c r="U80" s="1">
        <f t="shared" ca="1" si="33"/>
        <v>124</v>
      </c>
      <c r="V80" s="1">
        <f t="shared" ca="1" si="34"/>
        <v>42</v>
      </c>
      <c r="W80" s="1"/>
      <c r="X80" s="1">
        <f t="shared" ca="1" si="35"/>
        <v>8.9500979579573556</v>
      </c>
      <c r="Y80" s="1">
        <f t="shared" ca="1" si="36"/>
        <v>0.284581147760676</v>
      </c>
      <c r="Z80" s="1">
        <f t="shared" ca="1" si="37"/>
        <v>1701</v>
      </c>
    </row>
    <row r="81" spans="2:26" x14ac:dyDescent="0.25">
      <c r="B81">
        <f t="shared" ca="1" si="19"/>
        <v>63</v>
      </c>
      <c r="C81">
        <f t="shared" ca="1" si="20"/>
        <v>23</v>
      </c>
      <c r="D81">
        <f t="shared" ca="1" si="21"/>
        <v>0.29888580688714078</v>
      </c>
      <c r="F81" s="1">
        <f t="shared" ca="1" si="22"/>
        <v>35</v>
      </c>
      <c r="G81" s="1">
        <f t="shared" ca="1" si="23"/>
        <v>20</v>
      </c>
      <c r="H81" s="1">
        <f t="shared" ca="1" si="24"/>
        <v>10</v>
      </c>
      <c r="I81" s="1"/>
      <c r="J81" s="1">
        <f t="shared" ca="1" si="25"/>
        <v>24</v>
      </c>
      <c r="K81" s="1">
        <f t="shared" ca="1" si="26"/>
        <v>2.7238749748904594</v>
      </c>
      <c r="L81" s="1">
        <f t="shared" ca="1" si="27"/>
        <v>2</v>
      </c>
      <c r="M81" s="1"/>
      <c r="N81" s="1">
        <f t="shared" ca="1" si="28"/>
        <v>108</v>
      </c>
      <c r="O81" s="1">
        <f t="shared" ca="1" si="29"/>
        <v>37</v>
      </c>
      <c r="P81" s="1"/>
      <c r="Q81" s="1">
        <f t="shared" ca="1" si="30"/>
        <v>4.8604376215382334</v>
      </c>
      <c r="R81" s="1">
        <f t="shared" ca="1" si="31"/>
        <v>781</v>
      </c>
      <c r="S81" s="1"/>
      <c r="T81" s="1">
        <f t="shared" ca="1" si="32"/>
        <v>6.1640766301048949E-2</v>
      </c>
      <c r="U81" s="1">
        <f t="shared" ca="1" si="33"/>
        <v>66</v>
      </c>
      <c r="V81" s="1">
        <f t="shared" ca="1" si="34"/>
        <v>32</v>
      </c>
      <c r="W81" s="1"/>
      <c r="X81" s="1">
        <f t="shared" ca="1" si="35"/>
        <v>8.8551753813871805</v>
      </c>
      <c r="Y81" s="1">
        <f t="shared" ca="1" si="36"/>
        <v>4.6063562627568352E-3</v>
      </c>
      <c r="Z81" s="1">
        <f t="shared" ca="1" si="37"/>
        <v>838</v>
      </c>
    </row>
    <row r="82" spans="2:26" x14ac:dyDescent="0.25">
      <c r="B82">
        <f t="shared" ca="1" si="19"/>
        <v>984</v>
      </c>
      <c r="C82">
        <f t="shared" ca="1" si="20"/>
        <v>27</v>
      </c>
      <c r="D82">
        <f t="shared" ca="1" si="21"/>
        <v>0.26052793487794568</v>
      </c>
      <c r="F82" s="1">
        <f t="shared" ca="1" si="22"/>
        <v>9</v>
      </c>
      <c r="G82" s="1">
        <f t="shared" ca="1" si="23"/>
        <v>25</v>
      </c>
      <c r="H82" s="1">
        <f t="shared" ca="1" si="24"/>
        <v>1</v>
      </c>
      <c r="I82" s="1"/>
      <c r="J82" s="1">
        <f t="shared" ca="1" si="25"/>
        <v>19</v>
      </c>
      <c r="K82" s="1">
        <f t="shared" ca="1" si="26"/>
        <v>2.4502166716971789</v>
      </c>
      <c r="L82" s="1">
        <f t="shared" ca="1" si="27"/>
        <v>4</v>
      </c>
      <c r="M82" s="1"/>
      <c r="N82" s="1">
        <f t="shared" ca="1" si="28"/>
        <v>301</v>
      </c>
      <c r="O82" s="1">
        <f t="shared" ca="1" si="29"/>
        <v>3</v>
      </c>
      <c r="P82" s="1"/>
      <c r="Q82" s="1">
        <f t="shared" ca="1" si="30"/>
        <v>2.0177463959710087</v>
      </c>
      <c r="R82" s="1">
        <f t="shared" ca="1" si="31"/>
        <v>440</v>
      </c>
      <c r="S82" s="1"/>
      <c r="T82" s="1">
        <f t="shared" ca="1" si="32"/>
        <v>0.16921544619213566</v>
      </c>
      <c r="U82" s="1">
        <f t="shared" ca="1" si="33"/>
        <v>274</v>
      </c>
      <c r="V82" s="1">
        <f t="shared" ca="1" si="34"/>
        <v>14</v>
      </c>
      <c r="W82" s="1"/>
      <c r="X82" s="1">
        <f t="shared" ca="1" si="35"/>
        <v>5.5697316792339784</v>
      </c>
      <c r="Y82" s="1">
        <f t="shared" ca="1" si="36"/>
        <v>0.13034137022323944</v>
      </c>
      <c r="Z82" s="1">
        <f t="shared" ca="1" si="37"/>
        <v>631</v>
      </c>
    </row>
    <row r="83" spans="2:26" x14ac:dyDescent="0.25">
      <c r="B83">
        <f t="shared" ca="1" si="19"/>
        <v>343</v>
      </c>
      <c r="C83">
        <f t="shared" ca="1" si="20"/>
        <v>42</v>
      </c>
      <c r="D83">
        <f t="shared" ca="1" si="21"/>
        <v>0.2905491320063901</v>
      </c>
      <c r="F83" s="1">
        <f t="shared" ca="1" si="22"/>
        <v>20</v>
      </c>
      <c r="G83" s="1">
        <f t="shared" ca="1" si="23"/>
        <v>15</v>
      </c>
      <c r="H83" s="1">
        <f t="shared" ca="1" si="24"/>
        <v>4</v>
      </c>
      <c r="I83" s="1"/>
      <c r="J83" s="1">
        <f t="shared" ca="1" si="25"/>
        <v>37</v>
      </c>
      <c r="K83" s="1">
        <f t="shared" ca="1" si="26"/>
        <v>2.6929492478762875</v>
      </c>
      <c r="L83" s="1">
        <f t="shared" ca="1" si="27"/>
        <v>16</v>
      </c>
      <c r="M83" s="1"/>
      <c r="N83" s="1">
        <f t="shared" ca="1" si="28"/>
        <v>107</v>
      </c>
      <c r="O83" s="1">
        <f t="shared" ca="1" si="29"/>
        <v>8</v>
      </c>
      <c r="P83" s="1"/>
      <c r="Q83" s="1">
        <f t="shared" ca="1" si="30"/>
        <v>2.0861463196893735</v>
      </c>
      <c r="R83" s="1">
        <f t="shared" ca="1" si="31"/>
        <v>1075</v>
      </c>
      <c r="S83" s="1"/>
      <c r="T83" s="1">
        <f t="shared" ca="1" si="32"/>
        <v>0.10064080308126093</v>
      </c>
      <c r="U83" s="1">
        <f t="shared" ca="1" si="33"/>
        <v>174</v>
      </c>
      <c r="V83" s="1">
        <f t="shared" ca="1" si="34"/>
        <v>26</v>
      </c>
      <c r="W83" s="1"/>
      <c r="X83" s="1">
        <f t="shared" ca="1" si="35"/>
        <v>8.2462187902571866</v>
      </c>
      <c r="Y83" s="1">
        <f t="shared" ca="1" si="36"/>
        <v>0.71535362614369402</v>
      </c>
      <c r="Z83" s="1">
        <f t="shared" ca="1" si="37"/>
        <v>1513</v>
      </c>
    </row>
    <row r="84" spans="2:26" x14ac:dyDescent="0.25">
      <c r="B84">
        <f t="shared" ca="1" si="19"/>
        <v>693</v>
      </c>
      <c r="C84">
        <f t="shared" ca="1" si="20"/>
        <v>46</v>
      </c>
      <c r="D84">
        <f t="shared" ca="1" si="21"/>
        <v>4.6926275521470599E-2</v>
      </c>
      <c r="F84" s="1">
        <f t="shared" ca="1" si="22"/>
        <v>20</v>
      </c>
      <c r="G84" s="1">
        <f t="shared" ca="1" si="23"/>
        <v>22</v>
      </c>
      <c r="H84" s="1">
        <f t="shared" ca="1" si="24"/>
        <v>10</v>
      </c>
      <c r="I84" s="1"/>
      <c r="J84" s="1">
        <f t="shared" ca="1" si="25"/>
        <v>19</v>
      </c>
      <c r="K84" s="1">
        <f t="shared" ca="1" si="26"/>
        <v>1.0469219011857325</v>
      </c>
      <c r="L84" s="1">
        <f t="shared" ca="1" si="27"/>
        <v>30</v>
      </c>
      <c r="M84" s="1"/>
      <c r="N84" s="1">
        <f t="shared" ca="1" si="28"/>
        <v>929</v>
      </c>
      <c r="O84" s="1">
        <f t="shared" ca="1" si="29"/>
        <v>12</v>
      </c>
      <c r="P84" s="1"/>
      <c r="Q84" s="1">
        <f t="shared" ca="1" si="30"/>
        <v>2.415628769434949</v>
      </c>
      <c r="R84" s="1">
        <f t="shared" ca="1" si="31"/>
        <v>824</v>
      </c>
      <c r="S84" s="1"/>
      <c r="T84" s="1">
        <f t="shared" ca="1" si="32"/>
        <v>0.12982592347355465</v>
      </c>
      <c r="U84" s="1">
        <f t="shared" ca="1" si="33"/>
        <v>222</v>
      </c>
      <c r="V84" s="1">
        <f t="shared" ca="1" si="34"/>
        <v>35</v>
      </c>
      <c r="W84" s="1"/>
      <c r="X84" s="1">
        <f t="shared" ca="1" si="35"/>
        <v>0.28518403765905681</v>
      </c>
      <c r="Y84" s="1">
        <f t="shared" ca="1" si="36"/>
        <v>0.85094767407279592</v>
      </c>
      <c r="Z84" s="1">
        <f t="shared" ca="1" si="37"/>
        <v>1415</v>
      </c>
    </row>
    <row r="85" spans="2:26" x14ac:dyDescent="0.25">
      <c r="B85">
        <f t="shared" ca="1" si="19"/>
        <v>849</v>
      </c>
      <c r="C85">
        <f t="shared" ca="1" si="20"/>
        <v>22</v>
      </c>
      <c r="D85">
        <f t="shared" ca="1" si="21"/>
        <v>0.28764818144387588</v>
      </c>
      <c r="F85" s="1">
        <f t="shared" ca="1" si="22"/>
        <v>19</v>
      </c>
      <c r="G85" s="1">
        <f t="shared" ca="1" si="23"/>
        <v>15</v>
      </c>
      <c r="H85" s="1">
        <f t="shared" ca="1" si="24"/>
        <v>5</v>
      </c>
      <c r="I85" s="1"/>
      <c r="J85" s="1">
        <f t="shared" ca="1" si="25"/>
        <v>15</v>
      </c>
      <c r="K85" s="1">
        <f t="shared" ca="1" si="26"/>
        <v>2.1929030592430947</v>
      </c>
      <c r="L85" s="1">
        <f t="shared" ca="1" si="27"/>
        <v>4</v>
      </c>
      <c r="M85" s="1"/>
      <c r="N85" s="1">
        <f t="shared" ca="1" si="28"/>
        <v>445</v>
      </c>
      <c r="O85" s="1">
        <f t="shared" ca="1" si="29"/>
        <v>40</v>
      </c>
      <c r="P85" s="1"/>
      <c r="Q85" s="1">
        <f t="shared" ca="1" si="30"/>
        <v>4.611987654730151</v>
      </c>
      <c r="R85" s="1">
        <f t="shared" ca="1" si="31"/>
        <v>341</v>
      </c>
      <c r="S85" s="1"/>
      <c r="T85" s="1">
        <f t="shared" ca="1" si="32"/>
        <v>4.2253284103622252E-2</v>
      </c>
      <c r="U85" s="1">
        <f t="shared" ca="1" si="33"/>
        <v>436</v>
      </c>
      <c r="V85" s="1">
        <f t="shared" ca="1" si="34"/>
        <v>43</v>
      </c>
      <c r="W85" s="1"/>
      <c r="X85" s="1">
        <f t="shared" ca="1" si="35"/>
        <v>8.8693035948566692</v>
      </c>
      <c r="Y85" s="1">
        <f t="shared" ca="1" si="36"/>
        <v>0.14633100903209184</v>
      </c>
      <c r="Z85" s="1">
        <f t="shared" ca="1" si="37"/>
        <v>1187</v>
      </c>
    </row>
    <row r="86" spans="2:26" x14ac:dyDescent="0.25">
      <c r="B86">
        <f t="shared" ca="1" si="19"/>
        <v>456</v>
      </c>
      <c r="C86">
        <f t="shared" ca="1" si="20"/>
        <v>39</v>
      </c>
      <c r="D86">
        <f t="shared" ca="1" si="21"/>
        <v>6.8677154075871397E-2</v>
      </c>
      <c r="F86" s="1">
        <f t="shared" ca="1" si="22"/>
        <v>45</v>
      </c>
      <c r="G86" s="1">
        <f t="shared" ca="1" si="23"/>
        <v>27</v>
      </c>
      <c r="H86" s="1">
        <f t="shared" ca="1" si="24"/>
        <v>9</v>
      </c>
      <c r="I86" s="1"/>
      <c r="J86" s="1">
        <f t="shared" ca="1" si="25"/>
        <v>19</v>
      </c>
      <c r="K86" s="1">
        <f t="shared" ca="1" si="26"/>
        <v>1.4230540875629385</v>
      </c>
      <c r="L86" s="1">
        <f t="shared" ca="1" si="27"/>
        <v>31</v>
      </c>
      <c r="M86" s="1"/>
      <c r="N86" s="1">
        <f t="shared" ca="1" si="28"/>
        <v>102</v>
      </c>
      <c r="O86" s="1">
        <f t="shared" ca="1" si="29"/>
        <v>22</v>
      </c>
      <c r="P86" s="1"/>
      <c r="Q86" s="1">
        <f t="shared" ca="1" si="30"/>
        <v>1.7290230091494767</v>
      </c>
      <c r="R86" s="1">
        <f t="shared" ca="1" si="31"/>
        <v>928</v>
      </c>
      <c r="S86" s="1"/>
      <c r="T86" s="1">
        <f t="shared" ca="1" si="32"/>
        <v>3.3234077246035956E-2</v>
      </c>
      <c r="U86" s="1">
        <f t="shared" ca="1" si="33"/>
        <v>190</v>
      </c>
      <c r="V86" s="1">
        <f t="shared" ca="1" si="34"/>
        <v>2</v>
      </c>
      <c r="W86" s="1"/>
      <c r="X86" s="1">
        <f t="shared" ca="1" si="35"/>
        <v>2.9277064993648549</v>
      </c>
      <c r="Y86" s="1">
        <f t="shared" ca="1" si="36"/>
        <v>0.96741838711835659</v>
      </c>
      <c r="Z86" s="1">
        <f t="shared" ca="1" si="37"/>
        <v>574</v>
      </c>
    </row>
    <row r="87" spans="2:26" x14ac:dyDescent="0.25">
      <c r="B87">
        <f t="shared" ca="1" si="19"/>
        <v>669</v>
      </c>
      <c r="C87">
        <f t="shared" ca="1" si="20"/>
        <v>5</v>
      </c>
      <c r="D87">
        <f t="shared" ca="1" si="21"/>
        <v>0.17205581812570914</v>
      </c>
      <c r="F87" s="1">
        <f t="shared" ca="1" si="22"/>
        <v>28</v>
      </c>
      <c r="G87" s="1">
        <f t="shared" ca="1" si="23"/>
        <v>20</v>
      </c>
      <c r="H87" s="1">
        <f t="shared" ca="1" si="24"/>
        <v>5</v>
      </c>
      <c r="I87" s="1"/>
      <c r="J87" s="1">
        <f t="shared" ca="1" si="25"/>
        <v>32</v>
      </c>
      <c r="K87" s="1">
        <f t="shared" ca="1" si="26"/>
        <v>2.7407107308205729</v>
      </c>
      <c r="L87" s="1">
        <f t="shared" ca="1" si="27"/>
        <v>19</v>
      </c>
      <c r="M87" s="1"/>
      <c r="N87" s="1">
        <f t="shared" ca="1" si="28"/>
        <v>543</v>
      </c>
      <c r="O87" s="1">
        <f t="shared" ca="1" si="29"/>
        <v>27</v>
      </c>
      <c r="P87" s="1"/>
      <c r="Q87" s="1">
        <f t="shared" ca="1" si="30"/>
        <v>3.2032748329521699</v>
      </c>
      <c r="R87" s="1">
        <f t="shared" ca="1" si="31"/>
        <v>341</v>
      </c>
      <c r="S87" s="1"/>
      <c r="T87" s="1">
        <f t="shared" ca="1" si="32"/>
        <v>0.19294938374510084</v>
      </c>
      <c r="U87" s="1">
        <f t="shared" ca="1" si="33"/>
        <v>90</v>
      </c>
      <c r="V87" s="1">
        <f t="shared" ca="1" si="34"/>
        <v>8</v>
      </c>
      <c r="W87" s="1"/>
      <c r="X87" s="1">
        <f t="shared" ca="1" si="35"/>
        <v>1.138752024261416</v>
      </c>
      <c r="Y87" s="1">
        <f t="shared" ca="1" si="36"/>
        <v>0.84422563032717313</v>
      </c>
      <c r="Z87" s="1">
        <f t="shared" ca="1" si="37"/>
        <v>982</v>
      </c>
    </row>
    <row r="88" spans="2:26" x14ac:dyDescent="0.25">
      <c r="B88">
        <f t="shared" ca="1" si="19"/>
        <v>897</v>
      </c>
      <c r="C88">
        <f t="shared" ca="1" si="20"/>
        <v>39</v>
      </c>
      <c r="D88">
        <f t="shared" ca="1" si="21"/>
        <v>8.9302265982223419E-2</v>
      </c>
      <c r="F88" s="1">
        <f t="shared" ca="1" si="22"/>
        <v>23</v>
      </c>
      <c r="G88" s="1">
        <f t="shared" ca="1" si="23"/>
        <v>20</v>
      </c>
      <c r="H88" s="1">
        <f t="shared" ca="1" si="24"/>
        <v>14</v>
      </c>
      <c r="I88" s="1"/>
      <c r="J88" s="1">
        <f t="shared" ca="1" si="25"/>
        <v>15</v>
      </c>
      <c r="K88" s="1">
        <f t="shared" ca="1" si="26"/>
        <v>1.1461961503156013</v>
      </c>
      <c r="L88" s="1">
        <f t="shared" ca="1" si="27"/>
        <v>8</v>
      </c>
      <c r="M88" s="1"/>
      <c r="N88" s="1">
        <f t="shared" ca="1" si="28"/>
        <v>72</v>
      </c>
      <c r="O88" s="1">
        <f t="shared" ca="1" si="29"/>
        <v>38</v>
      </c>
      <c r="P88" s="1"/>
      <c r="Q88" s="1">
        <f t="shared" ca="1" si="30"/>
        <v>3.9024889026684235</v>
      </c>
      <c r="R88" s="1">
        <f t="shared" ca="1" si="31"/>
        <v>692</v>
      </c>
      <c r="S88" s="1"/>
      <c r="T88" s="1">
        <f t="shared" ca="1" si="32"/>
        <v>0.16839635219032534</v>
      </c>
      <c r="U88" s="1">
        <f t="shared" ca="1" si="33"/>
        <v>450</v>
      </c>
      <c r="V88" s="1">
        <f t="shared" ca="1" si="34"/>
        <v>27</v>
      </c>
      <c r="W88" s="1"/>
      <c r="X88" s="1">
        <f t="shared" ca="1" si="35"/>
        <v>4.1184670347276677</v>
      </c>
      <c r="Y88" s="1">
        <f t="shared" ca="1" si="36"/>
        <v>0.33978810448796615</v>
      </c>
      <c r="Z88" s="1">
        <f t="shared" ca="1" si="37"/>
        <v>1505</v>
      </c>
    </row>
    <row r="89" spans="2:26" x14ac:dyDescent="0.25">
      <c r="B89">
        <f t="shared" ca="1" si="19"/>
        <v>591</v>
      </c>
      <c r="C89">
        <f t="shared" ca="1" si="20"/>
        <v>44</v>
      </c>
      <c r="D89">
        <f t="shared" ca="1" si="21"/>
        <v>3.1110812650283468E-2</v>
      </c>
      <c r="F89" s="1">
        <f t="shared" ca="1" si="22"/>
        <v>17</v>
      </c>
      <c r="G89" s="1">
        <f t="shared" ca="1" si="23"/>
        <v>25</v>
      </c>
      <c r="H89" s="1">
        <f t="shared" ca="1" si="24"/>
        <v>3</v>
      </c>
      <c r="I89" s="1"/>
      <c r="J89" s="1">
        <f t="shared" ca="1" si="25"/>
        <v>33</v>
      </c>
      <c r="K89" s="1">
        <f t="shared" ca="1" si="26"/>
        <v>2.4626559272464892</v>
      </c>
      <c r="L89" s="1">
        <f t="shared" ca="1" si="27"/>
        <v>22</v>
      </c>
      <c r="M89" s="1"/>
      <c r="N89" s="1">
        <f t="shared" ca="1" si="28"/>
        <v>999</v>
      </c>
      <c r="O89" s="1">
        <f t="shared" ca="1" si="29"/>
        <v>21</v>
      </c>
      <c r="P89" s="1"/>
      <c r="Q89" s="1">
        <f t="shared" ca="1" si="30"/>
        <v>1.5904660993919542</v>
      </c>
      <c r="R89" s="1">
        <f t="shared" ca="1" si="31"/>
        <v>1033</v>
      </c>
      <c r="S89" s="1"/>
      <c r="T89" s="1">
        <f t="shared" ca="1" si="32"/>
        <v>4.0796318439410784E-2</v>
      </c>
      <c r="U89" s="1">
        <f t="shared" ca="1" si="33"/>
        <v>203</v>
      </c>
      <c r="V89" s="1">
        <f t="shared" ca="1" si="34"/>
        <v>38</v>
      </c>
      <c r="W89" s="1"/>
      <c r="X89" s="1">
        <f t="shared" ca="1" si="35"/>
        <v>0.80263376875600589</v>
      </c>
      <c r="Y89" s="1">
        <f t="shared" ca="1" si="36"/>
        <v>0.88482766653917566</v>
      </c>
      <c r="Z89" s="1">
        <f t="shared" ca="1" si="37"/>
        <v>1355</v>
      </c>
    </row>
    <row r="90" spans="2:26" x14ac:dyDescent="0.25">
      <c r="B90">
        <f t="shared" ca="1" si="19"/>
        <v>382</v>
      </c>
      <c r="C90">
        <f t="shared" ca="1" si="20"/>
        <v>2</v>
      </c>
      <c r="D90">
        <f t="shared" ca="1" si="21"/>
        <v>0.19558629110281806</v>
      </c>
      <c r="F90" s="1">
        <f t="shared" ca="1" si="22"/>
        <v>42</v>
      </c>
      <c r="G90" s="1">
        <f t="shared" ca="1" si="23"/>
        <v>16</v>
      </c>
      <c r="H90" s="1">
        <f t="shared" ca="1" si="24"/>
        <v>3</v>
      </c>
      <c r="I90" s="1"/>
      <c r="J90" s="1">
        <f t="shared" ca="1" si="25"/>
        <v>7</v>
      </c>
      <c r="K90" s="1">
        <f t="shared" ca="1" si="26"/>
        <v>1.6393033205848091</v>
      </c>
      <c r="L90" s="1">
        <f t="shared" ca="1" si="27"/>
        <v>30</v>
      </c>
      <c r="M90" s="1"/>
      <c r="N90" s="1">
        <f t="shared" ca="1" si="28"/>
        <v>815</v>
      </c>
      <c r="O90" s="1">
        <f t="shared" ca="1" si="29"/>
        <v>16</v>
      </c>
      <c r="P90" s="1"/>
      <c r="Q90" s="1">
        <f t="shared" ca="1" si="30"/>
        <v>3.9672500882248634</v>
      </c>
      <c r="R90" s="1">
        <f t="shared" ca="1" si="31"/>
        <v>470</v>
      </c>
      <c r="S90" s="1"/>
      <c r="T90" s="1">
        <f t="shared" ca="1" si="32"/>
        <v>0.12590451978945721</v>
      </c>
      <c r="U90" s="1">
        <f t="shared" ca="1" si="33"/>
        <v>123</v>
      </c>
      <c r="V90" s="1">
        <f t="shared" ca="1" si="34"/>
        <v>24</v>
      </c>
      <c r="W90" s="1"/>
      <c r="X90" s="1">
        <f t="shared" ca="1" si="35"/>
        <v>9.1742295201780397</v>
      </c>
      <c r="Y90" s="1">
        <f t="shared" ca="1" si="36"/>
        <v>0.49070120765503289</v>
      </c>
      <c r="Z90" s="1">
        <f t="shared" ca="1" si="37"/>
        <v>315</v>
      </c>
    </row>
    <row r="91" spans="2:26" x14ac:dyDescent="0.25">
      <c r="B91">
        <f t="shared" ca="1" si="19"/>
        <v>68</v>
      </c>
      <c r="C91">
        <f t="shared" ca="1" si="20"/>
        <v>5</v>
      </c>
      <c r="D91">
        <f t="shared" ca="1" si="21"/>
        <v>0.16430128838118546</v>
      </c>
      <c r="F91" s="1">
        <f t="shared" ca="1" si="22"/>
        <v>22</v>
      </c>
      <c r="G91" s="1">
        <f t="shared" ca="1" si="23"/>
        <v>30</v>
      </c>
      <c r="H91" s="1">
        <f t="shared" ca="1" si="24"/>
        <v>1</v>
      </c>
      <c r="I91" s="1"/>
      <c r="J91" s="1">
        <f t="shared" ca="1" si="25"/>
        <v>3</v>
      </c>
      <c r="K91" s="1">
        <f t="shared" ca="1" si="26"/>
        <v>2.1195840710256624</v>
      </c>
      <c r="L91" s="1">
        <f t="shared" ca="1" si="27"/>
        <v>33</v>
      </c>
      <c r="M91" s="1"/>
      <c r="N91" s="1">
        <f t="shared" ca="1" si="28"/>
        <v>580</v>
      </c>
      <c r="O91" s="1">
        <f t="shared" ca="1" si="29"/>
        <v>14</v>
      </c>
      <c r="P91" s="1"/>
      <c r="Q91" s="1">
        <f t="shared" ca="1" si="30"/>
        <v>2.213601985881446</v>
      </c>
      <c r="R91" s="1">
        <f t="shared" ca="1" si="31"/>
        <v>539</v>
      </c>
      <c r="S91" s="1"/>
      <c r="T91" s="1">
        <f t="shared" ca="1" si="32"/>
        <v>6.5885393646812521E-2</v>
      </c>
      <c r="U91" s="1">
        <f t="shared" ca="1" si="33"/>
        <v>399</v>
      </c>
      <c r="V91" s="1">
        <f t="shared" ca="1" si="34"/>
        <v>28</v>
      </c>
      <c r="W91" s="1"/>
      <c r="X91" s="1">
        <f t="shared" ca="1" si="35"/>
        <v>3.9900730483582492</v>
      </c>
      <c r="Y91" s="1">
        <f t="shared" ca="1" si="36"/>
        <v>0.80429019693485448</v>
      </c>
      <c r="Z91" s="1">
        <f t="shared" ca="1" si="37"/>
        <v>1590</v>
      </c>
    </row>
    <row r="92" spans="2:26" x14ac:dyDescent="0.25">
      <c r="B92">
        <f t="shared" ca="1" si="19"/>
        <v>619</v>
      </c>
      <c r="C92">
        <f t="shared" ca="1" si="20"/>
        <v>31</v>
      </c>
      <c r="D92">
        <f t="shared" ca="1" si="21"/>
        <v>0.16972479672216598</v>
      </c>
      <c r="F92" s="1">
        <f t="shared" ca="1" si="22"/>
        <v>41</v>
      </c>
      <c r="G92" s="1">
        <f t="shared" ca="1" si="23"/>
        <v>2</v>
      </c>
      <c r="H92" s="1">
        <f t="shared" ca="1" si="24"/>
        <v>4</v>
      </c>
      <c r="I92" s="1"/>
      <c r="J92" s="1">
        <f t="shared" ca="1" si="25"/>
        <v>13</v>
      </c>
      <c r="K92" s="1">
        <f t="shared" ca="1" si="26"/>
        <v>1.040177607262478</v>
      </c>
      <c r="L92" s="1">
        <f t="shared" ca="1" si="27"/>
        <v>8</v>
      </c>
      <c r="M92" s="1"/>
      <c r="N92" s="1">
        <f t="shared" ca="1" si="28"/>
        <v>291</v>
      </c>
      <c r="O92" s="1">
        <f t="shared" ca="1" si="29"/>
        <v>41</v>
      </c>
      <c r="P92" s="1"/>
      <c r="Q92" s="1">
        <f t="shared" ca="1" si="30"/>
        <v>4.0081482005766915</v>
      </c>
      <c r="R92" s="1">
        <f t="shared" ca="1" si="31"/>
        <v>480</v>
      </c>
      <c r="S92" s="1"/>
      <c r="T92" s="1">
        <f t="shared" ca="1" si="32"/>
        <v>0.16449807006803216</v>
      </c>
      <c r="U92" s="1">
        <f t="shared" ca="1" si="33"/>
        <v>106</v>
      </c>
      <c r="V92" s="1">
        <f t="shared" ca="1" si="34"/>
        <v>4</v>
      </c>
      <c r="W92" s="1"/>
      <c r="X92" s="1">
        <f t="shared" ca="1" si="35"/>
        <v>9.0018515751643342</v>
      </c>
      <c r="Y92" s="1">
        <f t="shared" ca="1" si="36"/>
        <v>0.91902481382018886</v>
      </c>
      <c r="Z92" s="1">
        <f t="shared" ca="1" si="37"/>
        <v>968</v>
      </c>
    </row>
    <row r="93" spans="2:26" x14ac:dyDescent="0.25">
      <c r="B93">
        <f t="shared" ca="1" si="19"/>
        <v>913</v>
      </c>
      <c r="C93">
        <f t="shared" ca="1" si="20"/>
        <v>46</v>
      </c>
      <c r="D93">
        <f t="shared" ca="1" si="21"/>
        <v>0.1861706846139663</v>
      </c>
      <c r="F93" s="1">
        <f t="shared" ca="1" si="22"/>
        <v>27</v>
      </c>
      <c r="G93" s="1">
        <f t="shared" ca="1" si="23"/>
        <v>27</v>
      </c>
      <c r="H93" s="1">
        <f t="shared" ca="1" si="24"/>
        <v>4</v>
      </c>
      <c r="I93" s="1"/>
      <c r="J93" s="1">
        <f t="shared" ca="1" si="25"/>
        <v>15</v>
      </c>
      <c r="K93" s="1">
        <f t="shared" ca="1" si="26"/>
        <v>1.2490227379664032</v>
      </c>
      <c r="L93" s="1">
        <f t="shared" ca="1" si="27"/>
        <v>17</v>
      </c>
      <c r="M93" s="1"/>
      <c r="N93" s="1">
        <f t="shared" ca="1" si="28"/>
        <v>785</v>
      </c>
      <c r="O93" s="1">
        <f t="shared" ca="1" si="29"/>
        <v>31</v>
      </c>
      <c r="P93" s="1"/>
      <c r="Q93" s="1">
        <f t="shared" ca="1" si="30"/>
        <v>1.5784365798492046</v>
      </c>
      <c r="R93" s="1">
        <f t="shared" ca="1" si="31"/>
        <v>878</v>
      </c>
      <c r="S93" s="1"/>
      <c r="T93" s="1">
        <f t="shared" ca="1" si="32"/>
        <v>0.16465397357058426</v>
      </c>
      <c r="U93" s="1">
        <f t="shared" ca="1" si="33"/>
        <v>162</v>
      </c>
      <c r="V93" s="1">
        <f t="shared" ca="1" si="34"/>
        <v>21</v>
      </c>
      <c r="W93" s="1"/>
      <c r="X93" s="1">
        <f t="shared" ca="1" si="35"/>
        <v>6.6855895836765606</v>
      </c>
      <c r="Y93" s="1">
        <f t="shared" ca="1" si="36"/>
        <v>0.33616610169840211</v>
      </c>
      <c r="Z93" s="1">
        <f t="shared" ca="1" si="37"/>
        <v>1934</v>
      </c>
    </row>
    <row r="94" spans="2:26" x14ac:dyDescent="0.25">
      <c r="B94">
        <f t="shared" ca="1" si="19"/>
        <v>776</v>
      </c>
      <c r="C94">
        <f t="shared" ca="1" si="20"/>
        <v>3</v>
      </c>
      <c r="D94">
        <f t="shared" ca="1" si="21"/>
        <v>0.12770535469282507</v>
      </c>
      <c r="F94" s="1">
        <f t="shared" ca="1" si="22"/>
        <v>26</v>
      </c>
      <c r="G94" s="1">
        <f t="shared" ca="1" si="23"/>
        <v>22</v>
      </c>
      <c r="H94" s="1">
        <f t="shared" ca="1" si="24"/>
        <v>1</v>
      </c>
      <c r="I94" s="1"/>
      <c r="J94" s="1">
        <f t="shared" ca="1" si="25"/>
        <v>7</v>
      </c>
      <c r="K94" s="1">
        <f t="shared" ca="1" si="26"/>
        <v>2.0075763802943714</v>
      </c>
      <c r="L94" s="1">
        <f t="shared" ca="1" si="27"/>
        <v>14</v>
      </c>
      <c r="M94" s="1"/>
      <c r="N94" s="1">
        <f t="shared" ca="1" si="28"/>
        <v>452</v>
      </c>
      <c r="O94" s="1">
        <f t="shared" ca="1" si="29"/>
        <v>11</v>
      </c>
      <c r="P94" s="1"/>
      <c r="Q94" s="1">
        <f t="shared" ca="1" si="30"/>
        <v>4.024427221373168</v>
      </c>
      <c r="R94" s="1">
        <f t="shared" ca="1" si="31"/>
        <v>560</v>
      </c>
      <c r="S94" s="1"/>
      <c r="T94" s="1">
        <f t="shared" ca="1" si="32"/>
        <v>1.2390264921008514E-2</v>
      </c>
      <c r="U94" s="1">
        <f t="shared" ca="1" si="33"/>
        <v>126</v>
      </c>
      <c r="V94" s="1">
        <f t="shared" ca="1" si="34"/>
        <v>49</v>
      </c>
      <c r="W94" s="1"/>
      <c r="X94" s="1">
        <f t="shared" ca="1" si="35"/>
        <v>4.4389998138573921</v>
      </c>
      <c r="Y94" s="1">
        <f t="shared" ca="1" si="36"/>
        <v>0.43056865722289039</v>
      </c>
      <c r="Z94" s="1">
        <f t="shared" ca="1" si="37"/>
        <v>961</v>
      </c>
    </row>
    <row r="95" spans="2:26" x14ac:dyDescent="0.25">
      <c r="B95">
        <f t="shared" ca="1" si="19"/>
        <v>684</v>
      </c>
      <c r="C95">
        <f t="shared" ca="1" si="20"/>
        <v>24</v>
      </c>
      <c r="D95">
        <f t="shared" ca="1" si="21"/>
        <v>0.16840603399687956</v>
      </c>
      <c r="F95" s="1">
        <f t="shared" ca="1" si="22"/>
        <v>2</v>
      </c>
      <c r="G95" s="1">
        <f t="shared" ca="1" si="23"/>
        <v>6</v>
      </c>
      <c r="H95" s="1">
        <f t="shared" ca="1" si="24"/>
        <v>1</v>
      </c>
      <c r="I95" s="1"/>
      <c r="J95" s="1">
        <f t="shared" ca="1" si="25"/>
        <v>27</v>
      </c>
      <c r="K95" s="1">
        <f t="shared" ca="1" si="26"/>
        <v>1.2044696925706473</v>
      </c>
      <c r="L95" s="1">
        <f t="shared" ca="1" si="27"/>
        <v>14</v>
      </c>
      <c r="M95" s="1"/>
      <c r="N95" s="1">
        <f t="shared" ca="1" si="28"/>
        <v>63</v>
      </c>
      <c r="O95" s="1">
        <f t="shared" ca="1" si="29"/>
        <v>46</v>
      </c>
      <c r="P95" s="1"/>
      <c r="Q95" s="1">
        <f t="shared" ca="1" si="30"/>
        <v>0.19841717276354354</v>
      </c>
      <c r="R95" s="1">
        <f t="shared" ca="1" si="31"/>
        <v>488</v>
      </c>
      <c r="S95" s="1"/>
      <c r="T95" s="1">
        <f t="shared" ca="1" si="32"/>
        <v>0.16661750248996324</v>
      </c>
      <c r="U95" s="1">
        <f t="shared" ca="1" si="33"/>
        <v>416</v>
      </c>
      <c r="V95" s="1">
        <f t="shared" ca="1" si="34"/>
        <v>8</v>
      </c>
      <c r="W95" s="1"/>
      <c r="X95" s="1">
        <f t="shared" ca="1" si="35"/>
        <v>6.2173372734139569</v>
      </c>
      <c r="Y95" s="1">
        <f t="shared" ca="1" si="36"/>
        <v>0.2318650960512682</v>
      </c>
      <c r="Z95" s="1">
        <f t="shared" ca="1" si="37"/>
        <v>1336</v>
      </c>
    </row>
    <row r="96" spans="2:26" x14ac:dyDescent="0.25">
      <c r="B96">
        <f t="shared" ca="1" si="19"/>
        <v>82</v>
      </c>
      <c r="C96">
        <f t="shared" ca="1" si="20"/>
        <v>48</v>
      </c>
      <c r="D96">
        <f t="shared" ca="1" si="21"/>
        <v>0.15845760597398928</v>
      </c>
      <c r="F96" s="1">
        <f t="shared" ca="1" si="22"/>
        <v>37</v>
      </c>
      <c r="G96" s="1">
        <f t="shared" ca="1" si="23"/>
        <v>8</v>
      </c>
      <c r="H96" s="1">
        <f t="shared" ca="1" si="24"/>
        <v>2</v>
      </c>
      <c r="I96" s="1"/>
      <c r="J96" s="1">
        <f t="shared" ca="1" si="25"/>
        <v>4</v>
      </c>
      <c r="K96" s="1">
        <f t="shared" ca="1" si="26"/>
        <v>2.2396740560638206</v>
      </c>
      <c r="L96" s="1">
        <f t="shared" ca="1" si="27"/>
        <v>29</v>
      </c>
      <c r="M96" s="1"/>
      <c r="N96" s="1">
        <f t="shared" ca="1" si="28"/>
        <v>599</v>
      </c>
      <c r="O96" s="1">
        <f t="shared" ca="1" si="29"/>
        <v>33</v>
      </c>
      <c r="P96" s="1"/>
      <c r="Q96" s="1">
        <f t="shared" ca="1" si="30"/>
        <v>0.39713740281119292</v>
      </c>
      <c r="R96" s="1">
        <f t="shared" ca="1" si="31"/>
        <v>905</v>
      </c>
      <c r="S96" s="1"/>
      <c r="T96" s="1">
        <f t="shared" ca="1" si="32"/>
        <v>0.11453931717199918</v>
      </c>
      <c r="U96" s="1">
        <f t="shared" ca="1" si="33"/>
        <v>213</v>
      </c>
      <c r="V96" s="1">
        <f t="shared" ca="1" si="34"/>
        <v>7</v>
      </c>
      <c r="W96" s="1"/>
      <c r="X96" s="1">
        <f t="shared" ca="1" si="35"/>
        <v>4.3856292551294862</v>
      </c>
      <c r="Y96" s="1">
        <f t="shared" ca="1" si="36"/>
        <v>0.49339540783339447</v>
      </c>
      <c r="Z96" s="1">
        <f t="shared" ca="1" si="37"/>
        <v>1402</v>
      </c>
    </row>
    <row r="97" spans="2:26" x14ac:dyDescent="0.25">
      <c r="B97">
        <f t="shared" ca="1" si="19"/>
        <v>137</v>
      </c>
      <c r="C97">
        <f t="shared" ca="1" si="20"/>
        <v>30</v>
      </c>
      <c r="D97">
        <f t="shared" ca="1" si="21"/>
        <v>6.704013950079564E-2</v>
      </c>
      <c r="F97" s="1">
        <f t="shared" ca="1" si="22"/>
        <v>36</v>
      </c>
      <c r="G97" s="1">
        <f t="shared" ca="1" si="23"/>
        <v>15</v>
      </c>
      <c r="H97" s="1">
        <f t="shared" ca="1" si="24"/>
        <v>11</v>
      </c>
      <c r="I97" s="1"/>
      <c r="J97" s="1">
        <f t="shared" ca="1" si="25"/>
        <v>31</v>
      </c>
      <c r="K97" s="1">
        <f t="shared" ca="1" si="26"/>
        <v>1.4461438599888001</v>
      </c>
      <c r="L97" s="1">
        <f t="shared" ca="1" si="27"/>
        <v>11</v>
      </c>
      <c r="M97" s="1"/>
      <c r="N97" s="1">
        <f t="shared" ca="1" si="28"/>
        <v>350</v>
      </c>
      <c r="O97" s="1">
        <f t="shared" ca="1" si="29"/>
        <v>18</v>
      </c>
      <c r="P97" s="1"/>
      <c r="Q97" s="1">
        <f t="shared" ca="1" si="30"/>
        <v>3.2618062134430872</v>
      </c>
      <c r="R97" s="1">
        <f t="shared" ca="1" si="31"/>
        <v>1064</v>
      </c>
      <c r="S97" s="1"/>
      <c r="T97" s="1">
        <f t="shared" ca="1" si="32"/>
        <v>0.12571629930283479</v>
      </c>
      <c r="U97" s="1">
        <f t="shared" ca="1" si="33"/>
        <v>395</v>
      </c>
      <c r="V97" s="1">
        <f t="shared" ca="1" si="34"/>
        <v>23</v>
      </c>
      <c r="W97" s="1"/>
      <c r="X97" s="1">
        <f t="shared" ca="1" si="35"/>
        <v>1.3857339011395022</v>
      </c>
      <c r="Y97" s="1">
        <f t="shared" ca="1" si="36"/>
        <v>0.80341996113932901</v>
      </c>
      <c r="Z97" s="1">
        <f t="shared" ca="1" si="37"/>
        <v>614</v>
      </c>
    </row>
    <row r="98" spans="2:26" x14ac:dyDescent="0.25">
      <c r="B98">
        <f t="shared" ca="1" si="19"/>
        <v>646</v>
      </c>
      <c r="C98">
        <f t="shared" ca="1" si="20"/>
        <v>8</v>
      </c>
      <c r="D98">
        <f t="shared" ca="1" si="21"/>
        <v>0.12364871251518708</v>
      </c>
      <c r="F98" s="1">
        <f t="shared" ca="1" si="22"/>
        <v>25</v>
      </c>
      <c r="G98" s="1">
        <f t="shared" ca="1" si="23"/>
        <v>25</v>
      </c>
      <c r="H98" s="1">
        <f t="shared" ca="1" si="24"/>
        <v>10</v>
      </c>
      <c r="I98" s="1"/>
      <c r="J98" s="1">
        <f t="shared" ca="1" si="25"/>
        <v>5</v>
      </c>
      <c r="K98" s="1">
        <f t="shared" ca="1" si="26"/>
        <v>1.5939228269654975</v>
      </c>
      <c r="L98" s="1">
        <f t="shared" ca="1" si="27"/>
        <v>13</v>
      </c>
      <c r="M98" s="1"/>
      <c r="N98" s="1">
        <f t="shared" ca="1" si="28"/>
        <v>946</v>
      </c>
      <c r="O98" s="1">
        <f t="shared" ca="1" si="29"/>
        <v>40</v>
      </c>
      <c r="P98" s="1"/>
      <c r="Q98" s="1">
        <f t="shared" ca="1" si="30"/>
        <v>1.9352599871525622</v>
      </c>
      <c r="R98" s="1">
        <f t="shared" ca="1" si="31"/>
        <v>340</v>
      </c>
      <c r="S98" s="1"/>
      <c r="T98" s="1">
        <f t="shared" ca="1" si="32"/>
        <v>6.8355846821503585E-2</v>
      </c>
      <c r="U98" s="1">
        <f t="shared" ca="1" si="33"/>
        <v>201</v>
      </c>
      <c r="V98" s="1">
        <f t="shared" ca="1" si="34"/>
        <v>2</v>
      </c>
      <c r="W98" s="1"/>
      <c r="X98" s="1">
        <f t="shared" ca="1" si="35"/>
        <v>6.3134750629630725</v>
      </c>
      <c r="Y98" s="1">
        <f t="shared" ca="1" si="36"/>
        <v>0.86859492590807974</v>
      </c>
      <c r="Z98" s="1">
        <f t="shared" ca="1" si="37"/>
        <v>923</v>
      </c>
    </row>
    <row r="99" spans="2:26" x14ac:dyDescent="0.25">
      <c r="B99">
        <f t="shared" ca="1" si="19"/>
        <v>238</v>
      </c>
      <c r="C99">
        <f t="shared" ca="1" si="20"/>
        <v>8</v>
      </c>
      <c r="D99">
        <f t="shared" ca="1" si="21"/>
        <v>0.10570453614198584</v>
      </c>
      <c r="F99" s="1">
        <f t="shared" ca="1" si="22"/>
        <v>22</v>
      </c>
      <c r="G99" s="1">
        <f t="shared" ca="1" si="23"/>
        <v>14</v>
      </c>
      <c r="H99" s="1">
        <f t="shared" ca="1" si="24"/>
        <v>6</v>
      </c>
      <c r="I99" s="1"/>
      <c r="J99" s="1">
        <f t="shared" ca="1" si="25"/>
        <v>35</v>
      </c>
      <c r="K99" s="1">
        <f t="shared" ca="1" si="26"/>
        <v>1.7334759995856375</v>
      </c>
      <c r="L99" s="1">
        <f t="shared" ca="1" si="27"/>
        <v>28</v>
      </c>
      <c r="M99" s="1"/>
      <c r="N99" s="1">
        <f t="shared" ca="1" si="28"/>
        <v>196</v>
      </c>
      <c r="O99" s="1">
        <f t="shared" ca="1" si="29"/>
        <v>48</v>
      </c>
      <c r="P99" s="1"/>
      <c r="Q99" s="1">
        <f t="shared" ca="1" si="30"/>
        <v>1.3187876982959861</v>
      </c>
      <c r="R99" s="1">
        <f t="shared" ca="1" si="31"/>
        <v>388</v>
      </c>
      <c r="S99" s="1"/>
      <c r="T99" s="1">
        <f t="shared" ca="1" si="32"/>
        <v>4.6875465452646634E-2</v>
      </c>
      <c r="U99" s="1">
        <f t="shared" ca="1" si="33"/>
        <v>188</v>
      </c>
      <c r="V99" s="1">
        <f t="shared" ca="1" si="34"/>
        <v>26</v>
      </c>
      <c r="W99" s="1"/>
      <c r="X99" s="1">
        <f t="shared" ca="1" si="35"/>
        <v>7.8384230213573849</v>
      </c>
      <c r="Y99" s="1">
        <f t="shared" ca="1" si="36"/>
        <v>0.90563744697066817</v>
      </c>
      <c r="Z99" s="1">
        <f t="shared" ca="1" si="37"/>
        <v>576</v>
      </c>
    </row>
    <row r="100" spans="2:26" x14ac:dyDescent="0.25">
      <c r="B100">
        <f t="shared" ca="1" si="19"/>
        <v>700</v>
      </c>
      <c r="C100">
        <f t="shared" ca="1" si="20"/>
        <v>5</v>
      </c>
      <c r="D100">
        <f t="shared" ca="1" si="21"/>
        <v>0.22323232579661359</v>
      </c>
      <c r="F100" s="1">
        <f t="shared" ca="1" si="22"/>
        <v>5</v>
      </c>
      <c r="G100" s="1">
        <f t="shared" ca="1" si="23"/>
        <v>18</v>
      </c>
      <c r="H100" s="1">
        <f t="shared" ca="1" si="24"/>
        <v>2</v>
      </c>
      <c r="I100" s="1"/>
      <c r="J100" s="1">
        <f t="shared" ca="1" si="25"/>
        <v>26</v>
      </c>
      <c r="K100" s="1">
        <f t="shared" ca="1" si="26"/>
        <v>2.6606444669842011</v>
      </c>
      <c r="L100" s="1">
        <f t="shared" ca="1" si="27"/>
        <v>15</v>
      </c>
      <c r="M100" s="1"/>
      <c r="N100" s="1">
        <f t="shared" ca="1" si="28"/>
        <v>602</v>
      </c>
      <c r="O100" s="1">
        <f t="shared" ca="1" si="29"/>
        <v>23</v>
      </c>
      <c r="P100" s="1"/>
      <c r="Q100" s="1">
        <f t="shared" ca="1" si="30"/>
        <v>0.47637632877538411</v>
      </c>
      <c r="R100" s="1">
        <f t="shared" ca="1" si="31"/>
        <v>1086</v>
      </c>
      <c r="S100" s="1"/>
      <c r="T100" s="1">
        <f t="shared" ca="1" si="32"/>
        <v>2.3466462174546343E-2</v>
      </c>
      <c r="U100" s="1">
        <f t="shared" ca="1" si="33"/>
        <v>79</v>
      </c>
      <c r="V100" s="1">
        <f t="shared" ca="1" si="34"/>
        <v>50</v>
      </c>
      <c r="W100" s="1"/>
      <c r="X100" s="1">
        <f t="shared" ca="1" si="35"/>
        <v>5.5838136354064209</v>
      </c>
      <c r="Y100" s="1">
        <f t="shared" ca="1" si="36"/>
        <v>0.24662049798282926</v>
      </c>
      <c r="Z100" s="1">
        <f t="shared" ca="1" si="37"/>
        <v>1797</v>
      </c>
    </row>
    <row r="101" spans="2:26" x14ac:dyDescent="0.25">
      <c r="B101">
        <f t="shared" ca="1" si="19"/>
        <v>91</v>
      </c>
      <c r="C101">
        <f t="shared" ca="1" si="20"/>
        <v>2</v>
      </c>
      <c r="D101">
        <f t="shared" ca="1" si="21"/>
        <v>4.1262091048075947E-2</v>
      </c>
      <c r="F101" s="1">
        <f t="shared" ca="1" si="22"/>
        <v>51</v>
      </c>
      <c r="G101" s="1">
        <f t="shared" ca="1" si="23"/>
        <v>11</v>
      </c>
      <c r="H101" s="1">
        <f t="shared" ca="1" si="24"/>
        <v>4</v>
      </c>
      <c r="I101" s="1"/>
      <c r="J101" s="1">
        <f t="shared" ca="1" si="25"/>
        <v>25</v>
      </c>
      <c r="K101" s="1">
        <f t="shared" ca="1" si="26"/>
        <v>2.7347735728186664</v>
      </c>
      <c r="L101" s="1">
        <f t="shared" ca="1" si="27"/>
        <v>29</v>
      </c>
      <c r="M101" s="1"/>
      <c r="N101" s="1">
        <f t="shared" ca="1" si="28"/>
        <v>982</v>
      </c>
      <c r="O101" s="1">
        <f t="shared" ca="1" si="29"/>
        <v>45</v>
      </c>
      <c r="P101" s="1"/>
      <c r="Q101" s="1">
        <f t="shared" ca="1" si="30"/>
        <v>2.8775961234760383</v>
      </c>
      <c r="R101" s="1">
        <f t="shared" ca="1" si="31"/>
        <v>631</v>
      </c>
      <c r="S101" s="1"/>
      <c r="T101" s="1">
        <f t="shared" ca="1" si="32"/>
        <v>8.683016338597406E-2</v>
      </c>
      <c r="U101" s="1">
        <f t="shared" ca="1" si="33"/>
        <v>230</v>
      </c>
      <c r="V101" s="1">
        <f t="shared" ca="1" si="34"/>
        <v>12</v>
      </c>
      <c r="W101" s="1"/>
      <c r="X101" s="1">
        <f t="shared" ca="1" si="35"/>
        <v>0.75484225820523643</v>
      </c>
      <c r="Y101" s="1">
        <f t="shared" ca="1" si="36"/>
        <v>3.0421988941045062E-2</v>
      </c>
      <c r="Z101" s="1">
        <f t="shared" ca="1" si="37"/>
        <v>1647</v>
      </c>
    </row>
    <row r="102" spans="2:26" x14ac:dyDescent="0.25">
      <c r="B102">
        <f t="shared" ca="1" si="19"/>
        <v>416</v>
      </c>
      <c r="C102">
        <f t="shared" ca="1" si="20"/>
        <v>32</v>
      </c>
      <c r="D102">
        <f t="shared" ca="1" si="21"/>
        <v>2.5551698303819589E-2</v>
      </c>
      <c r="F102" s="1">
        <f t="shared" ca="1" si="22"/>
        <v>16</v>
      </c>
      <c r="G102" s="1">
        <f t="shared" ca="1" si="23"/>
        <v>24</v>
      </c>
      <c r="H102" s="1">
        <f t="shared" ca="1" si="24"/>
        <v>14</v>
      </c>
      <c r="I102" s="1"/>
      <c r="J102" s="1">
        <f t="shared" ca="1" si="25"/>
        <v>5</v>
      </c>
      <c r="K102" s="1">
        <f t="shared" ca="1" si="26"/>
        <v>1.2562052286230028</v>
      </c>
      <c r="L102" s="1">
        <f t="shared" ca="1" si="27"/>
        <v>3</v>
      </c>
      <c r="M102" s="1"/>
      <c r="N102" s="1">
        <f t="shared" ca="1" si="28"/>
        <v>236</v>
      </c>
      <c r="O102" s="1">
        <f t="shared" ca="1" si="29"/>
        <v>7</v>
      </c>
      <c r="P102" s="1"/>
      <c r="Q102" s="1">
        <f t="shared" ca="1" si="30"/>
        <v>4.4975439260382206</v>
      </c>
      <c r="R102" s="1">
        <f t="shared" ca="1" si="31"/>
        <v>354</v>
      </c>
      <c r="S102" s="1"/>
      <c r="T102" s="1">
        <f t="shared" ca="1" si="32"/>
        <v>0.11226924712548637</v>
      </c>
      <c r="U102" s="1">
        <f t="shared" ca="1" si="33"/>
        <v>342</v>
      </c>
      <c r="V102" s="1">
        <f t="shared" ca="1" si="34"/>
        <v>39</v>
      </c>
      <c r="W102" s="1"/>
      <c r="X102" s="1">
        <f t="shared" ca="1" si="35"/>
        <v>8.2620768576710173</v>
      </c>
      <c r="Y102" s="1">
        <f t="shared" ca="1" si="36"/>
        <v>0.80522619078843816</v>
      </c>
      <c r="Z102" s="1">
        <f t="shared" ca="1" si="37"/>
        <v>273</v>
      </c>
    </row>
    <row r="103" spans="2:26" x14ac:dyDescent="0.25">
      <c r="B103">
        <f t="shared" ca="1" si="19"/>
        <v>485</v>
      </c>
      <c r="C103">
        <f t="shared" ca="1" si="20"/>
        <v>9</v>
      </c>
      <c r="D103">
        <f t="shared" ca="1" si="21"/>
        <v>0.11845412305798803</v>
      </c>
      <c r="F103" s="1">
        <f t="shared" ca="1" si="22"/>
        <v>14</v>
      </c>
      <c r="G103" s="1">
        <f t="shared" ca="1" si="23"/>
        <v>8</v>
      </c>
      <c r="H103" s="1">
        <f t="shared" ca="1" si="24"/>
        <v>9</v>
      </c>
      <c r="I103" s="1"/>
      <c r="J103" s="1">
        <f t="shared" ca="1" si="25"/>
        <v>34</v>
      </c>
      <c r="K103" s="1">
        <f t="shared" ca="1" si="26"/>
        <v>2.5125958546416158</v>
      </c>
      <c r="L103" s="1">
        <f t="shared" ca="1" si="27"/>
        <v>8</v>
      </c>
      <c r="M103" s="1"/>
      <c r="N103" s="1">
        <f t="shared" ca="1" si="28"/>
        <v>80</v>
      </c>
      <c r="O103" s="1">
        <f t="shared" ca="1" si="29"/>
        <v>41</v>
      </c>
      <c r="P103" s="1"/>
      <c r="Q103" s="1">
        <f t="shared" ca="1" si="30"/>
        <v>4.5444726566493001</v>
      </c>
      <c r="R103" s="1">
        <f t="shared" ca="1" si="31"/>
        <v>489</v>
      </c>
      <c r="S103" s="1"/>
      <c r="T103" s="1">
        <f t="shared" ca="1" si="32"/>
        <v>0.12370191425748978</v>
      </c>
      <c r="U103" s="1">
        <f t="shared" ca="1" si="33"/>
        <v>118</v>
      </c>
      <c r="V103" s="1">
        <f t="shared" ca="1" si="34"/>
        <v>25</v>
      </c>
      <c r="W103" s="1"/>
      <c r="X103" s="1">
        <f t="shared" ca="1" si="35"/>
        <v>3.9369880657747385</v>
      </c>
      <c r="Y103" s="1">
        <f t="shared" ca="1" si="36"/>
        <v>0.31442990181654878</v>
      </c>
      <c r="Z103" s="1">
        <f t="shared" ca="1" si="37"/>
        <v>253</v>
      </c>
    </row>
    <row r="104" spans="2:26" x14ac:dyDescent="0.25">
      <c r="B104">
        <f t="shared" ca="1" si="19"/>
        <v>660</v>
      </c>
      <c r="C104">
        <f t="shared" ca="1" si="20"/>
        <v>12</v>
      </c>
      <c r="D104">
        <f t="shared" ca="1" si="21"/>
        <v>0.26495618970755508</v>
      </c>
      <c r="F104" s="1">
        <f t="shared" ca="1" si="22"/>
        <v>10</v>
      </c>
      <c r="G104" s="1">
        <f t="shared" ca="1" si="23"/>
        <v>25</v>
      </c>
      <c r="H104" s="1">
        <f t="shared" ca="1" si="24"/>
        <v>6</v>
      </c>
      <c r="I104" s="1"/>
      <c r="J104" s="1">
        <f t="shared" ca="1" si="25"/>
        <v>10</v>
      </c>
      <c r="K104" s="1">
        <f t="shared" ca="1" si="26"/>
        <v>2.1465613716896472</v>
      </c>
      <c r="L104" s="1">
        <f t="shared" ca="1" si="27"/>
        <v>6</v>
      </c>
      <c r="M104" s="1"/>
      <c r="N104" s="1">
        <f t="shared" ca="1" si="28"/>
        <v>187</v>
      </c>
      <c r="O104" s="1">
        <f t="shared" ca="1" si="29"/>
        <v>19</v>
      </c>
      <c r="P104" s="1"/>
      <c r="Q104" s="1">
        <f t="shared" ca="1" si="30"/>
        <v>1.7871589966507657</v>
      </c>
      <c r="R104" s="1">
        <f t="shared" ca="1" si="31"/>
        <v>965</v>
      </c>
      <c r="S104" s="1"/>
      <c r="T104" s="1">
        <f t="shared" ca="1" si="32"/>
        <v>8.7349342565397337E-2</v>
      </c>
      <c r="U104" s="1">
        <f t="shared" ca="1" si="33"/>
        <v>240</v>
      </c>
      <c r="V104" s="1">
        <f t="shared" ca="1" si="34"/>
        <v>2</v>
      </c>
      <c r="W104" s="1"/>
      <c r="X104" s="1">
        <f t="shared" ca="1" si="35"/>
        <v>5.8133585868110549</v>
      </c>
      <c r="Y104" s="1">
        <f t="shared" ca="1" si="36"/>
        <v>0.20530889172063821</v>
      </c>
      <c r="Z104" s="1">
        <f t="shared" ca="1" si="37"/>
        <v>1550</v>
      </c>
    </row>
    <row r="105" spans="2:26" x14ac:dyDescent="0.25">
      <c r="B105">
        <f t="shared" ca="1" si="19"/>
        <v>570</v>
      </c>
      <c r="C105">
        <f t="shared" ca="1" si="20"/>
        <v>26</v>
      </c>
      <c r="D105">
        <f t="shared" ca="1" si="21"/>
        <v>0.15101072531417806</v>
      </c>
      <c r="F105" s="1">
        <f t="shared" ca="1" si="22"/>
        <v>48</v>
      </c>
      <c r="G105" s="1">
        <f t="shared" ca="1" si="23"/>
        <v>13</v>
      </c>
      <c r="H105" s="1">
        <f t="shared" ca="1" si="24"/>
        <v>5</v>
      </c>
      <c r="I105" s="1"/>
      <c r="J105" s="1">
        <f t="shared" ca="1" si="25"/>
        <v>30</v>
      </c>
      <c r="K105" s="1">
        <f t="shared" ca="1" si="26"/>
        <v>2.9649179725455683</v>
      </c>
      <c r="L105" s="1">
        <f t="shared" ca="1" si="27"/>
        <v>11</v>
      </c>
      <c r="M105" s="1"/>
      <c r="N105" s="1">
        <f t="shared" ca="1" si="28"/>
        <v>341</v>
      </c>
      <c r="O105" s="1">
        <f t="shared" ca="1" si="29"/>
        <v>17</v>
      </c>
      <c r="P105" s="1"/>
      <c r="Q105" s="1">
        <f t="shared" ca="1" si="30"/>
        <v>2.309539951299505</v>
      </c>
      <c r="R105" s="1">
        <f t="shared" ca="1" si="31"/>
        <v>689</v>
      </c>
      <c r="S105" s="1"/>
      <c r="T105" s="1">
        <f t="shared" ca="1" si="32"/>
        <v>6.5474715437350908E-2</v>
      </c>
      <c r="U105" s="1">
        <f t="shared" ca="1" si="33"/>
        <v>71</v>
      </c>
      <c r="V105" s="1">
        <f t="shared" ca="1" si="34"/>
        <v>34</v>
      </c>
      <c r="W105" s="1"/>
      <c r="X105" s="1">
        <f t="shared" ca="1" si="35"/>
        <v>8.4504124501179518</v>
      </c>
      <c r="Y105" s="1">
        <f t="shared" ca="1" si="36"/>
        <v>6.2483842472857903E-2</v>
      </c>
      <c r="Z105" s="1">
        <f t="shared" ca="1" si="37"/>
        <v>169</v>
      </c>
    </row>
    <row r="106" spans="2:26" x14ac:dyDescent="0.25">
      <c r="B106">
        <f t="shared" ca="1" si="19"/>
        <v>341</v>
      </c>
      <c r="C106">
        <f t="shared" ca="1" si="20"/>
        <v>15</v>
      </c>
      <c r="D106">
        <f t="shared" ca="1" si="21"/>
        <v>0.20695815925855279</v>
      </c>
      <c r="F106" s="1">
        <f t="shared" ca="1" si="22"/>
        <v>5</v>
      </c>
      <c r="G106" s="1">
        <f t="shared" ca="1" si="23"/>
        <v>11</v>
      </c>
      <c r="H106" s="1">
        <f t="shared" ca="1" si="24"/>
        <v>6</v>
      </c>
      <c r="I106" s="1"/>
      <c r="J106" s="1">
        <f t="shared" ca="1" si="25"/>
        <v>7</v>
      </c>
      <c r="K106" s="1">
        <f t="shared" ca="1" si="26"/>
        <v>1.9483073549537371</v>
      </c>
      <c r="L106" s="1">
        <f t="shared" ca="1" si="27"/>
        <v>6</v>
      </c>
      <c r="M106" s="1"/>
      <c r="N106" s="1">
        <f t="shared" ca="1" si="28"/>
        <v>941</v>
      </c>
      <c r="O106" s="1">
        <f t="shared" ca="1" si="29"/>
        <v>16</v>
      </c>
      <c r="P106" s="1"/>
      <c r="Q106" s="1">
        <f t="shared" ca="1" si="30"/>
        <v>4.2644333173378861</v>
      </c>
      <c r="R106" s="1">
        <f t="shared" ca="1" si="31"/>
        <v>319</v>
      </c>
      <c r="S106" s="1"/>
      <c r="T106" s="1">
        <f t="shared" ca="1" si="32"/>
        <v>0.19512463834766339</v>
      </c>
      <c r="U106" s="1">
        <f t="shared" ca="1" si="33"/>
        <v>417</v>
      </c>
      <c r="V106" s="1">
        <f t="shared" ca="1" si="34"/>
        <v>6</v>
      </c>
      <c r="W106" s="1"/>
      <c r="X106" s="1">
        <f t="shared" ca="1" si="35"/>
        <v>4.3483951158734815</v>
      </c>
      <c r="Y106" s="1">
        <f t="shared" ca="1" si="36"/>
        <v>0.16237901439741231</v>
      </c>
      <c r="Z106" s="1">
        <f t="shared" ca="1" si="37"/>
        <v>1661</v>
      </c>
    </row>
    <row r="107" spans="2:26" x14ac:dyDescent="0.25">
      <c r="B107">
        <f t="shared" ca="1" si="19"/>
        <v>71</v>
      </c>
      <c r="C107">
        <f t="shared" ca="1" si="20"/>
        <v>3</v>
      </c>
      <c r="D107">
        <f t="shared" ca="1" si="21"/>
        <v>0.2416256888101562</v>
      </c>
      <c r="F107" s="1">
        <f t="shared" ca="1" si="22"/>
        <v>43</v>
      </c>
      <c r="G107" s="1">
        <f t="shared" ca="1" si="23"/>
        <v>15</v>
      </c>
      <c r="H107" s="1">
        <f t="shared" ca="1" si="24"/>
        <v>10</v>
      </c>
      <c r="I107" s="1"/>
      <c r="J107" s="1">
        <f t="shared" ca="1" si="25"/>
        <v>36</v>
      </c>
      <c r="K107" s="1">
        <f t="shared" ca="1" si="26"/>
        <v>1.7563820484662178</v>
      </c>
      <c r="L107" s="1">
        <f t="shared" ca="1" si="27"/>
        <v>4</v>
      </c>
      <c r="M107" s="1"/>
      <c r="N107" s="1">
        <f t="shared" ca="1" si="28"/>
        <v>194</v>
      </c>
      <c r="O107" s="1">
        <f t="shared" ca="1" si="29"/>
        <v>15</v>
      </c>
      <c r="P107" s="1"/>
      <c r="Q107" s="1">
        <f t="shared" ca="1" si="30"/>
        <v>1.5691181918856059</v>
      </c>
      <c r="R107" s="1">
        <f t="shared" ca="1" si="31"/>
        <v>962</v>
      </c>
      <c r="S107" s="1"/>
      <c r="T107" s="1">
        <f t="shared" ca="1" si="32"/>
        <v>7.3802557261650914E-2</v>
      </c>
      <c r="U107" s="1">
        <f t="shared" ca="1" si="33"/>
        <v>151</v>
      </c>
      <c r="V107" s="1">
        <f t="shared" ca="1" si="34"/>
        <v>46</v>
      </c>
      <c r="W107" s="1"/>
      <c r="X107" s="1">
        <f t="shared" ca="1" si="35"/>
        <v>6.4651231528926623</v>
      </c>
      <c r="Y107" s="1">
        <f t="shared" ca="1" si="36"/>
        <v>1.1913110038613253E-2</v>
      </c>
      <c r="Z107" s="1">
        <f t="shared" ca="1" si="37"/>
        <v>1528</v>
      </c>
    </row>
    <row r="108" spans="2:26" x14ac:dyDescent="0.25">
      <c r="B108">
        <f t="shared" ca="1" si="19"/>
        <v>792</v>
      </c>
      <c r="C108">
        <f t="shared" ca="1" si="20"/>
        <v>24</v>
      </c>
      <c r="D108">
        <f t="shared" ca="1" si="21"/>
        <v>0.25367554078027776</v>
      </c>
      <c r="F108" s="1">
        <f t="shared" ca="1" si="22"/>
        <v>19</v>
      </c>
      <c r="G108" s="1">
        <f t="shared" ca="1" si="23"/>
        <v>24</v>
      </c>
      <c r="H108" s="1">
        <f t="shared" ca="1" si="24"/>
        <v>15</v>
      </c>
      <c r="I108" s="1"/>
      <c r="J108" s="1">
        <f t="shared" ca="1" si="25"/>
        <v>24</v>
      </c>
      <c r="K108" s="1">
        <f t="shared" ca="1" si="26"/>
        <v>2.336173467052598</v>
      </c>
      <c r="L108" s="1">
        <f t="shared" ca="1" si="27"/>
        <v>33</v>
      </c>
      <c r="M108" s="1"/>
      <c r="N108" s="1">
        <f t="shared" ca="1" si="28"/>
        <v>904</v>
      </c>
      <c r="O108" s="1">
        <f t="shared" ca="1" si="29"/>
        <v>27</v>
      </c>
      <c r="P108" s="1"/>
      <c r="Q108" s="1">
        <f t="shared" ca="1" si="30"/>
        <v>3.4439532984740464</v>
      </c>
      <c r="R108" s="1">
        <f t="shared" ca="1" si="31"/>
        <v>746</v>
      </c>
      <c r="S108" s="1"/>
      <c r="T108" s="1">
        <f t="shared" ca="1" si="32"/>
        <v>8.4960906708742984E-2</v>
      </c>
      <c r="U108" s="1">
        <f t="shared" ca="1" si="33"/>
        <v>281</v>
      </c>
      <c r="V108" s="1">
        <f t="shared" ca="1" si="34"/>
        <v>26</v>
      </c>
      <c r="W108" s="1"/>
      <c r="X108" s="1">
        <f t="shared" ca="1" si="35"/>
        <v>7.8124129433359535</v>
      </c>
      <c r="Y108" s="1">
        <f t="shared" ca="1" si="36"/>
        <v>0.16888656735689894</v>
      </c>
      <c r="Z108" s="1">
        <f t="shared" ca="1" si="37"/>
        <v>724</v>
      </c>
    </row>
    <row r="109" spans="2:26" x14ac:dyDescent="0.25">
      <c r="B109">
        <f t="shared" ca="1" si="19"/>
        <v>863</v>
      </c>
      <c r="C109">
        <f t="shared" ca="1" si="20"/>
        <v>38</v>
      </c>
      <c r="D109">
        <f t="shared" ca="1" si="21"/>
        <v>0.15226789681671918</v>
      </c>
      <c r="F109" s="1">
        <f t="shared" ca="1" si="22"/>
        <v>43</v>
      </c>
      <c r="G109" s="1">
        <f t="shared" ca="1" si="23"/>
        <v>4</v>
      </c>
      <c r="H109" s="1">
        <f t="shared" ca="1" si="24"/>
        <v>14</v>
      </c>
      <c r="I109" s="1"/>
      <c r="J109" s="1">
        <f t="shared" ca="1" si="25"/>
        <v>4</v>
      </c>
      <c r="K109" s="1">
        <f t="shared" ca="1" si="26"/>
        <v>1.3018970289321001</v>
      </c>
      <c r="L109" s="1">
        <f t="shared" ca="1" si="27"/>
        <v>12</v>
      </c>
      <c r="M109" s="1"/>
      <c r="N109" s="1">
        <f t="shared" ca="1" si="28"/>
        <v>855</v>
      </c>
      <c r="O109" s="1">
        <f t="shared" ca="1" si="29"/>
        <v>7</v>
      </c>
      <c r="P109" s="1"/>
      <c r="Q109" s="1">
        <f t="shared" ca="1" si="30"/>
        <v>4.4690129868968986</v>
      </c>
      <c r="R109" s="1">
        <f t="shared" ca="1" si="31"/>
        <v>821</v>
      </c>
      <c r="S109" s="1"/>
      <c r="T109" s="1">
        <f t="shared" ca="1" si="32"/>
        <v>1.6874556432432929E-2</v>
      </c>
      <c r="U109" s="1">
        <f t="shared" ca="1" si="33"/>
        <v>316</v>
      </c>
      <c r="V109" s="1">
        <f t="shared" ca="1" si="34"/>
        <v>16</v>
      </c>
      <c r="W109" s="1"/>
      <c r="X109" s="1">
        <f t="shared" ca="1" si="35"/>
        <v>3.1278329240335925</v>
      </c>
      <c r="Y109" s="1">
        <f t="shared" ca="1" si="36"/>
        <v>0.10206815916653424</v>
      </c>
      <c r="Z109" s="1">
        <f t="shared" ca="1" si="37"/>
        <v>214</v>
      </c>
    </row>
    <row r="110" spans="2:26" x14ac:dyDescent="0.25">
      <c r="B110">
        <f t="shared" ca="1" si="19"/>
        <v>51</v>
      </c>
      <c r="C110">
        <f t="shared" ca="1" si="20"/>
        <v>40</v>
      </c>
      <c r="D110">
        <f t="shared" ca="1" si="21"/>
        <v>0.2235997179865252</v>
      </c>
      <c r="F110" s="1">
        <f t="shared" ca="1" si="22"/>
        <v>23</v>
      </c>
      <c r="G110" s="1">
        <f t="shared" ca="1" si="23"/>
        <v>28</v>
      </c>
      <c r="H110" s="1">
        <f t="shared" ca="1" si="24"/>
        <v>12</v>
      </c>
      <c r="I110" s="1"/>
      <c r="J110" s="1">
        <f t="shared" ca="1" si="25"/>
        <v>38</v>
      </c>
      <c r="K110" s="1">
        <f t="shared" ca="1" si="26"/>
        <v>2.768917543421868</v>
      </c>
      <c r="L110" s="1">
        <f t="shared" ca="1" si="27"/>
        <v>33</v>
      </c>
      <c r="M110" s="1"/>
      <c r="N110" s="1">
        <f t="shared" ca="1" si="28"/>
        <v>386</v>
      </c>
      <c r="O110" s="1">
        <f t="shared" ca="1" si="29"/>
        <v>46</v>
      </c>
      <c r="P110" s="1"/>
      <c r="Q110" s="1">
        <f t="shared" ca="1" si="30"/>
        <v>0.75001781604380879</v>
      </c>
      <c r="R110" s="1">
        <f t="shared" ca="1" si="31"/>
        <v>814</v>
      </c>
      <c r="S110" s="1"/>
      <c r="T110" s="1">
        <f t="shared" ca="1" si="32"/>
        <v>0.10637647048474413</v>
      </c>
      <c r="U110" s="1">
        <f t="shared" ca="1" si="33"/>
        <v>73</v>
      </c>
      <c r="V110" s="1">
        <f t="shared" ca="1" si="34"/>
        <v>35</v>
      </c>
      <c r="W110" s="1"/>
      <c r="X110" s="1">
        <f t="shared" ca="1" si="35"/>
        <v>0.54562975955977056</v>
      </c>
      <c r="Y110" s="1">
        <f t="shared" ca="1" si="36"/>
        <v>0.24801468003127311</v>
      </c>
      <c r="Z110" s="1">
        <f t="shared" ca="1" si="37"/>
        <v>596</v>
      </c>
    </row>
    <row r="111" spans="2:26" x14ac:dyDescent="0.25">
      <c r="B111">
        <f t="shared" ca="1" si="19"/>
        <v>251</v>
      </c>
      <c r="C111">
        <f t="shared" ca="1" si="20"/>
        <v>11</v>
      </c>
      <c r="D111">
        <f t="shared" ca="1" si="21"/>
        <v>0.28957193897861933</v>
      </c>
      <c r="F111" s="1">
        <f t="shared" ca="1" si="22"/>
        <v>28</v>
      </c>
      <c r="G111" s="1">
        <f t="shared" ca="1" si="23"/>
        <v>13</v>
      </c>
      <c r="H111" s="1">
        <f t="shared" ca="1" si="24"/>
        <v>7</v>
      </c>
      <c r="I111" s="1"/>
      <c r="J111" s="1">
        <f t="shared" ca="1" si="25"/>
        <v>6</v>
      </c>
      <c r="K111" s="1">
        <f t="shared" ca="1" si="26"/>
        <v>1.6919533989018281</v>
      </c>
      <c r="L111" s="1">
        <f t="shared" ca="1" si="27"/>
        <v>16</v>
      </c>
      <c r="M111" s="1"/>
      <c r="N111" s="1">
        <f t="shared" ca="1" si="28"/>
        <v>692</v>
      </c>
      <c r="O111" s="1">
        <f t="shared" ca="1" si="29"/>
        <v>5</v>
      </c>
      <c r="P111" s="1"/>
      <c r="Q111" s="1">
        <f t="shared" ca="1" si="30"/>
        <v>2.3773341394326213</v>
      </c>
      <c r="R111" s="1">
        <f t="shared" ca="1" si="31"/>
        <v>1090</v>
      </c>
      <c r="S111" s="1"/>
      <c r="T111" s="1">
        <f t="shared" ca="1" si="32"/>
        <v>0.11242449862339826</v>
      </c>
      <c r="U111" s="1">
        <f t="shared" ca="1" si="33"/>
        <v>241</v>
      </c>
      <c r="V111" s="1">
        <f t="shared" ca="1" si="34"/>
        <v>37</v>
      </c>
      <c r="W111" s="1"/>
      <c r="X111" s="1">
        <f t="shared" ca="1" si="35"/>
        <v>8.5896617399343462</v>
      </c>
      <c r="Y111" s="1">
        <f t="shared" ca="1" si="36"/>
        <v>0.15568458760568987</v>
      </c>
      <c r="Z111" s="1">
        <f t="shared" ca="1" si="37"/>
        <v>1057</v>
      </c>
    </row>
    <row r="112" spans="2:26" x14ac:dyDescent="0.25">
      <c r="B112">
        <f t="shared" ca="1" si="19"/>
        <v>192</v>
      </c>
      <c r="C112">
        <f t="shared" ca="1" si="20"/>
        <v>36</v>
      </c>
      <c r="D112">
        <f t="shared" ca="1" si="21"/>
        <v>0.18131434347931749</v>
      </c>
      <c r="F112" s="1">
        <f t="shared" ca="1" si="22"/>
        <v>14</v>
      </c>
      <c r="G112" s="1">
        <f t="shared" ca="1" si="23"/>
        <v>8</v>
      </c>
      <c r="H112" s="1">
        <f t="shared" ca="1" si="24"/>
        <v>5</v>
      </c>
      <c r="I112" s="1"/>
      <c r="J112" s="1">
        <f t="shared" ca="1" si="25"/>
        <v>20</v>
      </c>
      <c r="K112" s="1">
        <f t="shared" ca="1" si="26"/>
        <v>2.7554234392176111</v>
      </c>
      <c r="L112" s="1">
        <f t="shared" ca="1" si="27"/>
        <v>25</v>
      </c>
      <c r="M112" s="1"/>
      <c r="N112" s="1">
        <f t="shared" ca="1" si="28"/>
        <v>750</v>
      </c>
      <c r="O112" s="1">
        <f t="shared" ca="1" si="29"/>
        <v>25</v>
      </c>
      <c r="P112" s="1"/>
      <c r="Q112" s="1">
        <f t="shared" ca="1" si="30"/>
        <v>3.7346204237491238</v>
      </c>
      <c r="R112" s="1">
        <f t="shared" ca="1" si="31"/>
        <v>1153</v>
      </c>
      <c r="S112" s="1"/>
      <c r="T112" s="1">
        <f t="shared" ca="1" si="32"/>
        <v>0.14789722771703889</v>
      </c>
      <c r="U112" s="1">
        <f t="shared" ca="1" si="33"/>
        <v>383</v>
      </c>
      <c r="V112" s="1">
        <f t="shared" ca="1" si="34"/>
        <v>3</v>
      </c>
      <c r="W112" s="1"/>
      <c r="X112" s="1">
        <f t="shared" ca="1" si="35"/>
        <v>8.6647819171917497</v>
      </c>
      <c r="Y112" s="1">
        <f t="shared" ca="1" si="36"/>
        <v>0.45105791762764602</v>
      </c>
      <c r="Z112" s="1">
        <f t="shared" ca="1" si="37"/>
        <v>465</v>
      </c>
    </row>
    <row r="113" spans="2:26" x14ac:dyDescent="0.25">
      <c r="B113">
        <f t="shared" ca="1" si="19"/>
        <v>267</v>
      </c>
      <c r="C113">
        <f t="shared" ca="1" si="20"/>
        <v>10</v>
      </c>
      <c r="D113">
        <f t="shared" ca="1" si="21"/>
        <v>0.12510227410148445</v>
      </c>
      <c r="F113" s="1">
        <f t="shared" ca="1" si="22"/>
        <v>25</v>
      </c>
      <c r="G113" s="1">
        <f t="shared" ca="1" si="23"/>
        <v>3</v>
      </c>
      <c r="H113" s="1">
        <f t="shared" ca="1" si="24"/>
        <v>11</v>
      </c>
      <c r="I113" s="1"/>
      <c r="J113" s="1">
        <f t="shared" ca="1" si="25"/>
        <v>28</v>
      </c>
      <c r="K113" s="1">
        <f t="shared" ca="1" si="26"/>
        <v>2.657622807722575</v>
      </c>
      <c r="L113" s="1">
        <f t="shared" ca="1" si="27"/>
        <v>4</v>
      </c>
      <c r="M113" s="1"/>
      <c r="N113" s="1">
        <f t="shared" ca="1" si="28"/>
        <v>931</v>
      </c>
      <c r="O113" s="1">
        <f t="shared" ca="1" si="29"/>
        <v>46</v>
      </c>
      <c r="P113" s="1"/>
      <c r="Q113" s="1">
        <f t="shared" ca="1" si="30"/>
        <v>4.2978529198974948</v>
      </c>
      <c r="R113" s="1">
        <f t="shared" ca="1" si="31"/>
        <v>350</v>
      </c>
      <c r="S113" s="1"/>
      <c r="T113" s="1">
        <f t="shared" ca="1" si="32"/>
        <v>1.0694465353937546E-2</v>
      </c>
      <c r="U113" s="1">
        <f t="shared" ca="1" si="33"/>
        <v>261</v>
      </c>
      <c r="V113" s="1">
        <f t="shared" ca="1" si="34"/>
        <v>19</v>
      </c>
      <c r="W113" s="1"/>
      <c r="X113" s="1">
        <f t="shared" ca="1" si="35"/>
        <v>1.3844408859019564</v>
      </c>
      <c r="Y113" s="1">
        <f t="shared" ca="1" si="36"/>
        <v>0.65408102025079173</v>
      </c>
      <c r="Z113" s="1">
        <f t="shared" ca="1" si="37"/>
        <v>1345</v>
      </c>
    </row>
    <row r="114" spans="2:26" x14ac:dyDescent="0.25">
      <c r="B114">
        <f t="shared" ca="1" si="19"/>
        <v>976</v>
      </c>
      <c r="C114">
        <f t="shared" ca="1" si="20"/>
        <v>36</v>
      </c>
      <c r="D114">
        <f t="shared" ca="1" si="21"/>
        <v>0.14928099315856791</v>
      </c>
      <c r="F114" s="1">
        <f t="shared" ca="1" si="22"/>
        <v>25</v>
      </c>
      <c r="G114" s="1">
        <f t="shared" ca="1" si="23"/>
        <v>23</v>
      </c>
      <c r="H114" s="1">
        <f t="shared" ca="1" si="24"/>
        <v>15</v>
      </c>
      <c r="I114" s="1"/>
      <c r="J114" s="1">
        <f t="shared" ca="1" si="25"/>
        <v>18</v>
      </c>
      <c r="K114" s="1">
        <f t="shared" ca="1" si="26"/>
        <v>2.1597390374165104</v>
      </c>
      <c r="L114" s="1">
        <f t="shared" ca="1" si="27"/>
        <v>29</v>
      </c>
      <c r="M114" s="1"/>
      <c r="N114" s="1">
        <f t="shared" ca="1" si="28"/>
        <v>197</v>
      </c>
      <c r="O114" s="1">
        <f t="shared" ca="1" si="29"/>
        <v>18</v>
      </c>
      <c r="P114" s="1"/>
      <c r="Q114" s="1">
        <f t="shared" ca="1" si="30"/>
        <v>4.8367829414967787</v>
      </c>
      <c r="R114" s="1">
        <f t="shared" ca="1" si="31"/>
        <v>583</v>
      </c>
      <c r="S114" s="1"/>
      <c r="T114" s="1">
        <f t="shared" ca="1" si="32"/>
        <v>7.1014915309805457E-2</v>
      </c>
      <c r="U114" s="1">
        <f t="shared" ca="1" si="33"/>
        <v>319</v>
      </c>
      <c r="V114" s="1">
        <f t="shared" ca="1" si="34"/>
        <v>4</v>
      </c>
      <c r="W114" s="1"/>
      <c r="X114" s="1">
        <f t="shared" ca="1" si="35"/>
        <v>0.83590692750954809</v>
      </c>
      <c r="Y114" s="1">
        <f t="shared" ca="1" si="36"/>
        <v>0.41029248716501032</v>
      </c>
      <c r="Z114" s="1">
        <f t="shared" ca="1" si="37"/>
        <v>1736</v>
      </c>
    </row>
    <row r="115" spans="2:26" x14ac:dyDescent="0.25">
      <c r="B115">
        <f t="shared" ca="1" si="19"/>
        <v>778</v>
      </c>
      <c r="C115">
        <f t="shared" ca="1" si="20"/>
        <v>17</v>
      </c>
      <c r="D115">
        <f t="shared" ca="1" si="21"/>
        <v>2.3689590631574955E-2</v>
      </c>
      <c r="F115" s="1">
        <f t="shared" ca="1" si="22"/>
        <v>33</v>
      </c>
      <c r="G115" s="1">
        <f t="shared" ca="1" si="23"/>
        <v>23</v>
      </c>
      <c r="H115" s="1">
        <f t="shared" ca="1" si="24"/>
        <v>14</v>
      </c>
      <c r="I115" s="1"/>
      <c r="J115" s="1">
        <f t="shared" ca="1" si="25"/>
        <v>37</v>
      </c>
      <c r="K115" s="1">
        <f t="shared" ca="1" si="26"/>
        <v>2.9432407068522037</v>
      </c>
      <c r="L115" s="1">
        <f t="shared" ca="1" si="27"/>
        <v>8</v>
      </c>
      <c r="M115" s="1"/>
      <c r="N115" s="1">
        <f t="shared" ca="1" si="28"/>
        <v>225</v>
      </c>
      <c r="O115" s="1">
        <f t="shared" ca="1" si="29"/>
        <v>8</v>
      </c>
      <c r="P115" s="1"/>
      <c r="Q115" s="1">
        <f t="shared" ca="1" si="30"/>
        <v>2.2749718897953395</v>
      </c>
      <c r="R115" s="1">
        <f t="shared" ca="1" si="31"/>
        <v>690</v>
      </c>
      <c r="S115" s="1"/>
      <c r="T115" s="1">
        <f t="shared" ca="1" si="32"/>
        <v>0.10147861352326555</v>
      </c>
      <c r="U115" s="1">
        <f t="shared" ca="1" si="33"/>
        <v>57</v>
      </c>
      <c r="V115" s="1">
        <f t="shared" ca="1" si="34"/>
        <v>26</v>
      </c>
      <c r="W115" s="1"/>
      <c r="X115" s="1">
        <f t="shared" ca="1" si="35"/>
        <v>0.98239766046360877</v>
      </c>
      <c r="Y115" s="1">
        <f t="shared" ca="1" si="36"/>
        <v>0.70793136801121892</v>
      </c>
      <c r="Z115" s="1">
        <f t="shared" ca="1" si="37"/>
        <v>836</v>
      </c>
    </row>
    <row r="116" spans="2:26" x14ac:dyDescent="0.25">
      <c r="B116">
        <f t="shared" ca="1" si="19"/>
        <v>832</v>
      </c>
      <c r="C116">
        <f t="shared" ca="1" si="20"/>
        <v>13</v>
      </c>
      <c r="D116">
        <f t="shared" ca="1" si="21"/>
        <v>0.17548306251245158</v>
      </c>
      <c r="F116" s="1">
        <f t="shared" ca="1" si="22"/>
        <v>6</v>
      </c>
      <c r="G116" s="1">
        <f t="shared" ca="1" si="23"/>
        <v>8</v>
      </c>
      <c r="H116" s="1">
        <f t="shared" ca="1" si="24"/>
        <v>10</v>
      </c>
      <c r="I116" s="1"/>
      <c r="J116" s="1">
        <f t="shared" ca="1" si="25"/>
        <v>28</v>
      </c>
      <c r="K116" s="1">
        <f t="shared" ca="1" si="26"/>
        <v>1.824058607546327</v>
      </c>
      <c r="L116" s="1">
        <f t="shared" ca="1" si="27"/>
        <v>13</v>
      </c>
      <c r="M116" s="1"/>
      <c r="N116" s="1">
        <f t="shared" ca="1" si="28"/>
        <v>669</v>
      </c>
      <c r="O116" s="1">
        <f t="shared" ca="1" si="29"/>
        <v>10</v>
      </c>
      <c r="P116" s="1"/>
      <c r="Q116" s="1">
        <f t="shared" ca="1" si="30"/>
        <v>3.4470558601659267</v>
      </c>
      <c r="R116" s="1">
        <f t="shared" ca="1" si="31"/>
        <v>979</v>
      </c>
      <c r="S116" s="1"/>
      <c r="T116" s="1">
        <f t="shared" ca="1" si="32"/>
        <v>0.15799120204296974</v>
      </c>
      <c r="U116" s="1">
        <f t="shared" ca="1" si="33"/>
        <v>303</v>
      </c>
      <c r="V116" s="1">
        <f t="shared" ca="1" si="34"/>
        <v>31</v>
      </c>
      <c r="W116" s="1"/>
      <c r="X116" s="1">
        <f t="shared" ca="1" si="35"/>
        <v>3.8266805839558216</v>
      </c>
      <c r="Y116" s="1">
        <f t="shared" ca="1" si="36"/>
        <v>0.27288846985812809</v>
      </c>
      <c r="Z116" s="1">
        <f t="shared" ca="1" si="37"/>
        <v>323</v>
      </c>
    </row>
    <row r="117" spans="2:26" x14ac:dyDescent="0.25">
      <c r="B117">
        <f t="shared" ca="1" si="19"/>
        <v>300</v>
      </c>
      <c r="C117">
        <f t="shared" ca="1" si="20"/>
        <v>42</v>
      </c>
      <c r="D117">
        <f t="shared" ca="1" si="21"/>
        <v>0.17632884893938686</v>
      </c>
      <c r="F117" s="1">
        <f t="shared" ca="1" si="22"/>
        <v>40</v>
      </c>
      <c r="G117" s="1">
        <f t="shared" ca="1" si="23"/>
        <v>29</v>
      </c>
      <c r="H117" s="1">
        <f t="shared" ca="1" si="24"/>
        <v>11</v>
      </c>
      <c r="I117" s="1"/>
      <c r="J117" s="1">
        <f t="shared" ca="1" si="25"/>
        <v>28</v>
      </c>
      <c r="K117" s="1">
        <f t="shared" ca="1" si="26"/>
        <v>2.320350797777424</v>
      </c>
      <c r="L117" s="1">
        <f t="shared" ca="1" si="27"/>
        <v>9</v>
      </c>
      <c r="M117" s="1"/>
      <c r="N117" s="1">
        <f t="shared" ca="1" si="28"/>
        <v>558</v>
      </c>
      <c r="O117" s="1">
        <f t="shared" ca="1" si="29"/>
        <v>9</v>
      </c>
      <c r="P117" s="1"/>
      <c r="Q117" s="1">
        <f t="shared" ca="1" si="30"/>
        <v>2.7041062499725754</v>
      </c>
      <c r="R117" s="1">
        <f t="shared" ca="1" si="31"/>
        <v>336</v>
      </c>
      <c r="S117" s="1"/>
      <c r="T117" s="1">
        <f t="shared" ca="1" si="32"/>
        <v>3.9024212907401726E-2</v>
      </c>
      <c r="U117" s="1">
        <f t="shared" ca="1" si="33"/>
        <v>364</v>
      </c>
      <c r="V117" s="1">
        <f t="shared" ca="1" si="34"/>
        <v>33</v>
      </c>
      <c r="W117" s="1"/>
      <c r="X117" s="1">
        <f t="shared" ca="1" si="35"/>
        <v>0.39701205826083502</v>
      </c>
      <c r="Y117" s="1">
        <f t="shared" ca="1" si="36"/>
        <v>0.54001476316594521</v>
      </c>
      <c r="Z117" s="1">
        <f t="shared" ca="1" si="37"/>
        <v>1792</v>
      </c>
    </row>
    <row r="118" spans="2:26" x14ac:dyDescent="0.25">
      <c r="B118">
        <f t="shared" ca="1" si="19"/>
        <v>839</v>
      </c>
      <c r="C118">
        <f t="shared" ca="1" si="20"/>
        <v>31</v>
      </c>
      <c r="D118">
        <f t="shared" ca="1" si="21"/>
        <v>4.9433764846151917E-2</v>
      </c>
      <c r="F118" s="1">
        <f t="shared" ca="1" si="22"/>
        <v>25</v>
      </c>
      <c r="G118" s="1">
        <f t="shared" ca="1" si="23"/>
        <v>30</v>
      </c>
      <c r="H118" s="1">
        <f t="shared" ca="1" si="24"/>
        <v>8</v>
      </c>
      <c r="I118" s="1"/>
      <c r="J118" s="1">
        <f t="shared" ca="1" si="25"/>
        <v>23</v>
      </c>
      <c r="K118" s="1">
        <f t="shared" ca="1" si="26"/>
        <v>1.0984706536061855</v>
      </c>
      <c r="L118" s="1">
        <f t="shared" ca="1" si="27"/>
        <v>32</v>
      </c>
      <c r="M118" s="1"/>
      <c r="N118" s="1">
        <f t="shared" ca="1" si="28"/>
        <v>235</v>
      </c>
      <c r="O118" s="1">
        <f t="shared" ca="1" si="29"/>
        <v>50</v>
      </c>
      <c r="P118" s="1"/>
      <c r="Q118" s="1">
        <f t="shared" ca="1" si="30"/>
        <v>1.2173851536972995</v>
      </c>
      <c r="R118" s="1">
        <f t="shared" ca="1" si="31"/>
        <v>1042</v>
      </c>
      <c r="S118" s="1"/>
      <c r="T118" s="1">
        <f t="shared" ca="1" si="32"/>
        <v>3.1603227462162119E-2</v>
      </c>
      <c r="U118" s="1">
        <f t="shared" ca="1" si="33"/>
        <v>74</v>
      </c>
      <c r="V118" s="1">
        <f t="shared" ca="1" si="34"/>
        <v>49</v>
      </c>
      <c r="W118" s="1"/>
      <c r="X118" s="1">
        <f t="shared" ca="1" si="35"/>
        <v>5.1717246047202172</v>
      </c>
      <c r="Y118" s="1">
        <f t="shared" ca="1" si="36"/>
        <v>0.67512003567575551</v>
      </c>
      <c r="Z118" s="1">
        <f t="shared" ca="1" si="37"/>
        <v>1382</v>
      </c>
    </row>
    <row r="119" spans="2:26" x14ac:dyDescent="0.25">
      <c r="B119">
        <f t="shared" ca="1" si="19"/>
        <v>829</v>
      </c>
      <c r="C119">
        <f t="shared" ca="1" si="20"/>
        <v>10</v>
      </c>
      <c r="D119">
        <f t="shared" ca="1" si="21"/>
        <v>6.1403751402196012E-2</v>
      </c>
      <c r="F119" s="1">
        <f t="shared" ca="1" si="22"/>
        <v>19</v>
      </c>
      <c r="G119" s="1">
        <f t="shared" ca="1" si="23"/>
        <v>3</v>
      </c>
      <c r="H119" s="1">
        <f t="shared" ca="1" si="24"/>
        <v>8</v>
      </c>
      <c r="I119" s="1"/>
      <c r="J119" s="1">
        <f t="shared" ca="1" si="25"/>
        <v>12</v>
      </c>
      <c r="K119" s="1">
        <f t="shared" ca="1" si="26"/>
        <v>1.9871646190227201</v>
      </c>
      <c r="L119" s="1">
        <f t="shared" ca="1" si="27"/>
        <v>5</v>
      </c>
      <c r="M119" s="1"/>
      <c r="N119" s="1">
        <f t="shared" ca="1" si="28"/>
        <v>460</v>
      </c>
      <c r="O119" s="1">
        <f t="shared" ca="1" si="29"/>
        <v>40</v>
      </c>
      <c r="P119" s="1"/>
      <c r="Q119" s="1">
        <f t="shared" ca="1" si="30"/>
        <v>0.94309002271101894</v>
      </c>
      <c r="R119" s="1">
        <f t="shared" ca="1" si="31"/>
        <v>658</v>
      </c>
      <c r="S119" s="1"/>
      <c r="T119" s="1">
        <f t="shared" ca="1" si="32"/>
        <v>0.18810822599283206</v>
      </c>
      <c r="U119" s="1">
        <f t="shared" ca="1" si="33"/>
        <v>255</v>
      </c>
      <c r="V119" s="1">
        <f t="shared" ca="1" si="34"/>
        <v>39</v>
      </c>
      <c r="W119" s="1"/>
      <c r="X119" s="1">
        <f t="shared" ca="1" si="35"/>
        <v>1.6987524008252977</v>
      </c>
      <c r="Y119" s="1">
        <f t="shared" ca="1" si="36"/>
        <v>0.30255031172668623</v>
      </c>
      <c r="Z119" s="1">
        <f t="shared" ca="1" si="37"/>
        <v>1284</v>
      </c>
    </row>
    <row r="120" spans="2:26" x14ac:dyDescent="0.25">
      <c r="B120">
        <f t="shared" ca="1" si="19"/>
        <v>315</v>
      </c>
      <c r="C120">
        <f t="shared" ca="1" si="20"/>
        <v>27</v>
      </c>
      <c r="D120">
        <f t="shared" ca="1" si="21"/>
        <v>0.17633914393518568</v>
      </c>
      <c r="F120" s="1">
        <f t="shared" ca="1" si="22"/>
        <v>22</v>
      </c>
      <c r="G120" s="1">
        <f t="shared" ca="1" si="23"/>
        <v>15</v>
      </c>
      <c r="H120" s="1">
        <f t="shared" ca="1" si="24"/>
        <v>6</v>
      </c>
      <c r="I120" s="1"/>
      <c r="J120" s="1">
        <f t="shared" ca="1" si="25"/>
        <v>32</v>
      </c>
      <c r="K120" s="1">
        <f t="shared" ca="1" si="26"/>
        <v>2.3956848093573146</v>
      </c>
      <c r="L120" s="1">
        <f t="shared" ca="1" si="27"/>
        <v>30</v>
      </c>
      <c r="M120" s="1"/>
      <c r="N120" s="1">
        <f t="shared" ca="1" si="28"/>
        <v>417</v>
      </c>
      <c r="O120" s="1">
        <f t="shared" ca="1" si="29"/>
        <v>47</v>
      </c>
      <c r="P120" s="1"/>
      <c r="Q120" s="1">
        <f t="shared" ca="1" si="30"/>
        <v>1.6778659282387876</v>
      </c>
      <c r="R120" s="1">
        <f t="shared" ca="1" si="31"/>
        <v>1021</v>
      </c>
      <c r="S120" s="1"/>
      <c r="T120" s="1">
        <f t="shared" ca="1" si="32"/>
        <v>0.13864085061192463</v>
      </c>
      <c r="U120" s="1">
        <f t="shared" ca="1" si="33"/>
        <v>137</v>
      </c>
      <c r="V120" s="1">
        <f t="shared" ca="1" si="34"/>
        <v>52</v>
      </c>
      <c r="W120" s="1"/>
      <c r="X120" s="1">
        <f t="shared" ca="1" si="35"/>
        <v>7.9147472316378051</v>
      </c>
      <c r="Y120" s="1">
        <f t="shared" ca="1" si="36"/>
        <v>0.45016953703472434</v>
      </c>
      <c r="Z120" s="1">
        <f t="shared" ca="1" si="37"/>
        <v>1890</v>
      </c>
    </row>
    <row r="121" spans="2:26" x14ac:dyDescent="0.25">
      <c r="B121">
        <f t="shared" ca="1" si="19"/>
        <v>568</v>
      </c>
      <c r="C121">
        <f t="shared" ca="1" si="20"/>
        <v>29</v>
      </c>
      <c r="D121">
        <f t="shared" ca="1" si="21"/>
        <v>2.6951029490912007E-2</v>
      </c>
      <c r="F121" s="1">
        <f t="shared" ca="1" si="22"/>
        <v>35</v>
      </c>
      <c r="G121" s="1">
        <f t="shared" ca="1" si="23"/>
        <v>6</v>
      </c>
      <c r="H121" s="1">
        <f t="shared" ca="1" si="24"/>
        <v>2</v>
      </c>
      <c r="I121" s="1"/>
      <c r="J121" s="1">
        <f t="shared" ca="1" si="25"/>
        <v>4</v>
      </c>
      <c r="K121" s="1">
        <f t="shared" ca="1" si="26"/>
        <v>2.1602450864950198</v>
      </c>
      <c r="L121" s="1">
        <f t="shared" ca="1" si="27"/>
        <v>31</v>
      </c>
      <c r="M121" s="1"/>
      <c r="N121" s="1">
        <f t="shared" ca="1" si="28"/>
        <v>935</v>
      </c>
      <c r="O121" s="1">
        <f t="shared" ca="1" si="29"/>
        <v>37</v>
      </c>
      <c r="P121" s="1"/>
      <c r="Q121" s="1">
        <f t="shared" ca="1" si="30"/>
        <v>2.8489103825606299</v>
      </c>
      <c r="R121" s="1">
        <f t="shared" ca="1" si="31"/>
        <v>254</v>
      </c>
      <c r="S121" s="1"/>
      <c r="T121" s="1">
        <f t="shared" ca="1" si="32"/>
        <v>0.17963832811886191</v>
      </c>
      <c r="U121" s="1">
        <f t="shared" ca="1" si="33"/>
        <v>377</v>
      </c>
      <c r="V121" s="1">
        <f t="shared" ca="1" si="34"/>
        <v>14</v>
      </c>
      <c r="W121" s="1"/>
      <c r="X121" s="1">
        <f t="shared" ca="1" si="35"/>
        <v>8.6271168999608339</v>
      </c>
      <c r="Y121" s="1">
        <f t="shared" ca="1" si="36"/>
        <v>0.41254783230259862</v>
      </c>
      <c r="Z121" s="1">
        <f t="shared" ca="1" si="37"/>
        <v>1498</v>
      </c>
    </row>
    <row r="122" spans="2:26" x14ac:dyDescent="0.25">
      <c r="B122">
        <f t="shared" ca="1" si="19"/>
        <v>640</v>
      </c>
      <c r="C122">
        <f t="shared" ca="1" si="20"/>
        <v>26</v>
      </c>
      <c r="D122">
        <f t="shared" ca="1" si="21"/>
        <v>0.15437470962589547</v>
      </c>
      <c r="F122" s="1">
        <f t="shared" ca="1" si="22"/>
        <v>11</v>
      </c>
      <c r="G122" s="1">
        <f t="shared" ca="1" si="23"/>
        <v>2</v>
      </c>
      <c r="H122" s="1">
        <f t="shared" ca="1" si="24"/>
        <v>11</v>
      </c>
      <c r="I122" s="1"/>
      <c r="J122" s="1">
        <f t="shared" ca="1" si="25"/>
        <v>7</v>
      </c>
      <c r="K122" s="1">
        <f t="shared" ca="1" si="26"/>
        <v>2.2085604301188937</v>
      </c>
      <c r="L122" s="1">
        <f t="shared" ca="1" si="27"/>
        <v>25</v>
      </c>
      <c r="M122" s="1"/>
      <c r="N122" s="1">
        <f t="shared" ca="1" si="28"/>
        <v>389</v>
      </c>
      <c r="O122" s="1">
        <f t="shared" ca="1" si="29"/>
        <v>42</v>
      </c>
      <c r="P122" s="1"/>
      <c r="Q122" s="1">
        <f t="shared" ca="1" si="30"/>
        <v>3.9012924404348501</v>
      </c>
      <c r="R122" s="1">
        <f t="shared" ca="1" si="31"/>
        <v>580</v>
      </c>
      <c r="S122" s="1"/>
      <c r="T122" s="1">
        <f t="shared" ca="1" si="32"/>
        <v>0.10033512969831658</v>
      </c>
      <c r="U122" s="1">
        <f t="shared" ca="1" si="33"/>
        <v>310</v>
      </c>
      <c r="V122" s="1">
        <f t="shared" ca="1" si="34"/>
        <v>44</v>
      </c>
      <c r="W122" s="1"/>
      <c r="X122" s="1">
        <f t="shared" ca="1" si="35"/>
        <v>6.4518394166616089</v>
      </c>
      <c r="Y122" s="1">
        <f t="shared" ca="1" si="36"/>
        <v>0.1288019449526949</v>
      </c>
      <c r="Z122" s="1">
        <f t="shared" ca="1" si="37"/>
        <v>1908</v>
      </c>
    </row>
    <row r="123" spans="2:26" x14ac:dyDescent="0.25">
      <c r="B123">
        <f t="shared" ca="1" si="19"/>
        <v>996</v>
      </c>
      <c r="C123">
        <f t="shared" ca="1" si="20"/>
        <v>45</v>
      </c>
      <c r="D123">
        <f t="shared" ca="1" si="21"/>
        <v>2.4532956418356861E-2</v>
      </c>
      <c r="F123" s="1">
        <f t="shared" ca="1" si="22"/>
        <v>4</v>
      </c>
      <c r="G123" s="1">
        <f t="shared" ca="1" si="23"/>
        <v>13</v>
      </c>
      <c r="H123" s="1">
        <f t="shared" ca="1" si="24"/>
        <v>14</v>
      </c>
      <c r="I123" s="1"/>
      <c r="J123" s="1">
        <f t="shared" ca="1" si="25"/>
        <v>39</v>
      </c>
      <c r="K123" s="1">
        <f t="shared" ca="1" si="26"/>
        <v>1.8559214373104074</v>
      </c>
      <c r="L123" s="1">
        <f t="shared" ca="1" si="27"/>
        <v>3</v>
      </c>
      <c r="M123" s="1"/>
      <c r="N123" s="1">
        <f t="shared" ca="1" si="28"/>
        <v>31</v>
      </c>
      <c r="O123" s="1">
        <f t="shared" ca="1" si="29"/>
        <v>38</v>
      </c>
      <c r="P123" s="1"/>
      <c r="Q123" s="1">
        <f t="shared" ca="1" si="30"/>
        <v>0.37823138356975933</v>
      </c>
      <c r="R123" s="1">
        <f t="shared" ca="1" si="31"/>
        <v>915</v>
      </c>
      <c r="S123" s="1"/>
      <c r="T123" s="1">
        <f t="shared" ca="1" si="32"/>
        <v>9.0139477419030237E-2</v>
      </c>
      <c r="U123" s="1">
        <f t="shared" ca="1" si="33"/>
        <v>391</v>
      </c>
      <c r="V123" s="1">
        <f t="shared" ca="1" si="34"/>
        <v>49</v>
      </c>
      <c r="W123" s="1"/>
      <c r="X123" s="1">
        <f t="shared" ca="1" si="35"/>
        <v>3.7303726927756622</v>
      </c>
      <c r="Y123" s="1">
        <f t="shared" ca="1" si="36"/>
        <v>0.24505464239446659</v>
      </c>
      <c r="Z123" s="1">
        <f t="shared" ca="1" si="37"/>
        <v>814</v>
      </c>
    </row>
    <row r="124" spans="2:26" x14ac:dyDescent="0.25">
      <c r="B124">
        <f t="shared" ca="1" si="19"/>
        <v>66</v>
      </c>
      <c r="C124">
        <f t="shared" ca="1" si="20"/>
        <v>16</v>
      </c>
      <c r="D124">
        <f t="shared" ca="1" si="21"/>
        <v>0.12688639781617791</v>
      </c>
      <c r="F124" s="1">
        <f t="shared" ca="1" si="22"/>
        <v>15</v>
      </c>
      <c r="G124" s="1">
        <f t="shared" ca="1" si="23"/>
        <v>25</v>
      </c>
      <c r="H124" s="1">
        <f t="shared" ca="1" si="24"/>
        <v>2</v>
      </c>
      <c r="I124" s="1"/>
      <c r="J124" s="1">
        <f t="shared" ca="1" si="25"/>
        <v>14</v>
      </c>
      <c r="K124" s="1">
        <f t="shared" ca="1" si="26"/>
        <v>1.2033853482221135</v>
      </c>
      <c r="L124" s="1">
        <f t="shared" ca="1" si="27"/>
        <v>9</v>
      </c>
      <c r="M124" s="1"/>
      <c r="N124" s="1">
        <f t="shared" ca="1" si="28"/>
        <v>649</v>
      </c>
      <c r="O124" s="1">
        <f t="shared" ca="1" si="29"/>
        <v>34</v>
      </c>
      <c r="P124" s="1"/>
      <c r="Q124" s="1">
        <f t="shared" ca="1" si="30"/>
        <v>4.837072908871205</v>
      </c>
      <c r="R124" s="1">
        <f t="shared" ca="1" si="31"/>
        <v>846</v>
      </c>
      <c r="S124" s="1"/>
      <c r="T124" s="1">
        <f t="shared" ca="1" si="32"/>
        <v>9.2138685251014166E-2</v>
      </c>
      <c r="U124" s="1">
        <f t="shared" ca="1" si="33"/>
        <v>104</v>
      </c>
      <c r="V124" s="1">
        <f t="shared" ca="1" si="34"/>
        <v>27</v>
      </c>
      <c r="W124" s="1"/>
      <c r="X124" s="1">
        <f t="shared" ca="1" si="35"/>
        <v>3.7039557138088708</v>
      </c>
      <c r="Y124" s="1">
        <f t="shared" ca="1" si="36"/>
        <v>0.68920479075322738</v>
      </c>
      <c r="Z124" s="1">
        <f t="shared" ca="1" si="37"/>
        <v>1478</v>
      </c>
    </row>
    <row r="125" spans="2:26" x14ac:dyDescent="0.25">
      <c r="B125">
        <f t="shared" ca="1" si="19"/>
        <v>306</v>
      </c>
      <c r="C125">
        <f t="shared" ca="1" si="20"/>
        <v>16</v>
      </c>
      <c r="D125">
        <f t="shared" ca="1" si="21"/>
        <v>0.25187829966861175</v>
      </c>
      <c r="F125" s="1">
        <f t="shared" ca="1" si="22"/>
        <v>21</v>
      </c>
      <c r="G125" s="1">
        <f t="shared" ca="1" si="23"/>
        <v>9</v>
      </c>
      <c r="H125" s="1">
        <f t="shared" ca="1" si="24"/>
        <v>4</v>
      </c>
      <c r="I125" s="1"/>
      <c r="J125" s="1">
        <f t="shared" ca="1" si="25"/>
        <v>14</v>
      </c>
      <c r="K125" s="1">
        <f t="shared" ca="1" si="26"/>
        <v>1.2836112356325817</v>
      </c>
      <c r="L125" s="1">
        <f t="shared" ca="1" si="27"/>
        <v>18</v>
      </c>
      <c r="M125" s="1"/>
      <c r="N125" s="1">
        <f t="shared" ca="1" si="28"/>
        <v>809</v>
      </c>
      <c r="O125" s="1">
        <f t="shared" ca="1" si="29"/>
        <v>41</v>
      </c>
      <c r="P125" s="1"/>
      <c r="Q125" s="1">
        <f t="shared" ca="1" si="30"/>
        <v>0.23351674059495725</v>
      </c>
      <c r="R125" s="1">
        <f t="shared" ca="1" si="31"/>
        <v>1020</v>
      </c>
      <c r="S125" s="1"/>
      <c r="T125" s="1">
        <f t="shared" ca="1" si="32"/>
        <v>6.6022992211191914E-2</v>
      </c>
      <c r="U125" s="1">
        <f t="shared" ca="1" si="33"/>
        <v>284</v>
      </c>
      <c r="V125" s="1">
        <f t="shared" ca="1" si="34"/>
        <v>49</v>
      </c>
      <c r="W125" s="1"/>
      <c r="X125" s="1">
        <f t="shared" ca="1" si="35"/>
        <v>9.6215305435312892</v>
      </c>
      <c r="Y125" s="1">
        <f t="shared" ca="1" si="36"/>
        <v>0.5036016407265429</v>
      </c>
      <c r="Z125" s="1">
        <f t="shared" ca="1" si="37"/>
        <v>572</v>
      </c>
    </row>
    <row r="126" spans="2:26" x14ac:dyDescent="0.25">
      <c r="B126">
        <f t="shared" ca="1" si="19"/>
        <v>277</v>
      </c>
      <c r="C126">
        <f t="shared" ca="1" si="20"/>
        <v>40</v>
      </c>
      <c r="D126">
        <f t="shared" ca="1" si="21"/>
        <v>0.29374749036960102</v>
      </c>
      <c r="F126" s="1">
        <f t="shared" ca="1" si="22"/>
        <v>5</v>
      </c>
      <c r="G126" s="1">
        <f t="shared" ca="1" si="23"/>
        <v>19</v>
      </c>
      <c r="H126" s="1">
        <f t="shared" ca="1" si="24"/>
        <v>8</v>
      </c>
      <c r="I126" s="1"/>
      <c r="J126" s="1">
        <f t="shared" ca="1" si="25"/>
        <v>9</v>
      </c>
      <c r="K126" s="1">
        <f t="shared" ca="1" si="26"/>
        <v>1.1566269250185317</v>
      </c>
      <c r="L126" s="1">
        <f t="shared" ca="1" si="27"/>
        <v>12</v>
      </c>
      <c r="M126" s="1"/>
      <c r="N126" s="1">
        <f t="shared" ca="1" si="28"/>
        <v>306</v>
      </c>
      <c r="O126" s="1">
        <f t="shared" ca="1" si="29"/>
        <v>28</v>
      </c>
      <c r="P126" s="1"/>
      <c r="Q126" s="1">
        <f t="shared" ca="1" si="30"/>
        <v>0.7455991436277748</v>
      </c>
      <c r="R126" s="1">
        <f t="shared" ca="1" si="31"/>
        <v>545</v>
      </c>
      <c r="S126" s="1"/>
      <c r="T126" s="1">
        <f t="shared" ca="1" si="32"/>
        <v>1.8248951504405815E-2</v>
      </c>
      <c r="U126" s="1">
        <f t="shared" ca="1" si="33"/>
        <v>263</v>
      </c>
      <c r="V126" s="1">
        <f t="shared" ca="1" si="34"/>
        <v>9</v>
      </c>
      <c r="W126" s="1"/>
      <c r="X126" s="1">
        <f t="shared" ca="1" si="35"/>
        <v>5.3087082964518828</v>
      </c>
      <c r="Y126" s="1">
        <f t="shared" ca="1" si="36"/>
        <v>0.63073622492668491</v>
      </c>
      <c r="Z126" s="1">
        <f t="shared" ca="1" si="37"/>
        <v>1559</v>
      </c>
    </row>
    <row r="127" spans="2:26" x14ac:dyDescent="0.25">
      <c r="B127">
        <f t="shared" ca="1" si="19"/>
        <v>801</v>
      </c>
      <c r="C127">
        <f t="shared" ca="1" si="20"/>
        <v>31</v>
      </c>
      <c r="D127">
        <f t="shared" ca="1" si="21"/>
        <v>0.24476025365337592</v>
      </c>
      <c r="F127" s="1">
        <f t="shared" ca="1" si="22"/>
        <v>30</v>
      </c>
      <c r="G127" s="1">
        <f t="shared" ca="1" si="23"/>
        <v>11</v>
      </c>
      <c r="H127" s="1">
        <f t="shared" ca="1" si="24"/>
        <v>13</v>
      </c>
      <c r="I127" s="1"/>
      <c r="J127" s="1">
        <f t="shared" ca="1" si="25"/>
        <v>17</v>
      </c>
      <c r="K127" s="1">
        <f t="shared" ca="1" si="26"/>
        <v>1.5886649318029931</v>
      </c>
      <c r="L127" s="1">
        <f t="shared" ca="1" si="27"/>
        <v>25</v>
      </c>
      <c r="M127" s="1"/>
      <c r="N127" s="1">
        <f t="shared" ca="1" si="28"/>
        <v>529</v>
      </c>
      <c r="O127" s="1">
        <f t="shared" ca="1" si="29"/>
        <v>24</v>
      </c>
      <c r="P127" s="1"/>
      <c r="Q127" s="1">
        <f t="shared" ca="1" si="30"/>
        <v>2.2698698735898888</v>
      </c>
      <c r="R127" s="1">
        <f t="shared" ca="1" si="31"/>
        <v>1017</v>
      </c>
      <c r="S127" s="1"/>
      <c r="T127" s="1">
        <f t="shared" ca="1" si="32"/>
        <v>0.12610462099327296</v>
      </c>
      <c r="U127" s="1">
        <f t="shared" ca="1" si="33"/>
        <v>243</v>
      </c>
      <c r="V127" s="1">
        <f t="shared" ca="1" si="34"/>
        <v>21</v>
      </c>
      <c r="W127" s="1"/>
      <c r="X127" s="1">
        <f t="shared" ca="1" si="35"/>
        <v>2.4815222139090811</v>
      </c>
      <c r="Y127" s="1">
        <f t="shared" ca="1" si="36"/>
        <v>0.15910706164280508</v>
      </c>
      <c r="Z127" s="1">
        <f t="shared" ca="1" si="37"/>
        <v>1797</v>
      </c>
    </row>
    <row r="128" spans="2:26" x14ac:dyDescent="0.25">
      <c r="B128">
        <f t="shared" ca="1" si="19"/>
        <v>514</v>
      </c>
      <c r="C128">
        <f t="shared" ca="1" si="20"/>
        <v>8</v>
      </c>
      <c r="D128">
        <f t="shared" ca="1" si="21"/>
        <v>0.2438410634461339</v>
      </c>
      <c r="F128" s="1">
        <f t="shared" ca="1" si="22"/>
        <v>21</v>
      </c>
      <c r="G128" s="1">
        <f t="shared" ca="1" si="23"/>
        <v>3</v>
      </c>
      <c r="H128" s="1">
        <f t="shared" ca="1" si="24"/>
        <v>14</v>
      </c>
      <c r="I128" s="1"/>
      <c r="J128" s="1">
        <f t="shared" ca="1" si="25"/>
        <v>18</v>
      </c>
      <c r="K128" s="1">
        <f t="shared" ca="1" si="26"/>
        <v>2.8550458403764791</v>
      </c>
      <c r="L128" s="1">
        <f t="shared" ca="1" si="27"/>
        <v>13</v>
      </c>
      <c r="M128" s="1"/>
      <c r="N128" s="1">
        <f t="shared" ca="1" si="28"/>
        <v>422</v>
      </c>
      <c r="O128" s="1">
        <f t="shared" ca="1" si="29"/>
        <v>15</v>
      </c>
      <c r="P128" s="1"/>
      <c r="Q128" s="1">
        <f t="shared" ca="1" si="30"/>
        <v>1.1835439406366723</v>
      </c>
      <c r="R128" s="1">
        <f t="shared" ca="1" si="31"/>
        <v>326</v>
      </c>
      <c r="S128" s="1"/>
      <c r="T128" s="1">
        <f t="shared" ca="1" si="32"/>
        <v>0.18111107166984536</v>
      </c>
      <c r="U128" s="1">
        <f t="shared" ca="1" si="33"/>
        <v>185</v>
      </c>
      <c r="V128" s="1">
        <f t="shared" ca="1" si="34"/>
        <v>37</v>
      </c>
      <c r="W128" s="1"/>
      <c r="X128" s="1">
        <f t="shared" ca="1" si="35"/>
        <v>9.5646943602251753</v>
      </c>
      <c r="Y128" s="1">
        <f t="shared" ca="1" si="36"/>
        <v>0.26837918599651406</v>
      </c>
      <c r="Z128" s="1">
        <f t="shared" ca="1" si="37"/>
        <v>1673</v>
      </c>
    </row>
    <row r="129" spans="2:26" x14ac:dyDescent="0.25">
      <c r="B129">
        <f t="shared" ca="1" si="19"/>
        <v>543</v>
      </c>
      <c r="C129">
        <f t="shared" ca="1" si="20"/>
        <v>23</v>
      </c>
      <c r="D129">
        <f t="shared" ca="1" si="21"/>
        <v>0.14714648352463033</v>
      </c>
      <c r="F129" s="1">
        <f t="shared" ca="1" si="22"/>
        <v>18</v>
      </c>
      <c r="G129" s="1">
        <f t="shared" ca="1" si="23"/>
        <v>24</v>
      </c>
      <c r="H129" s="1">
        <f t="shared" ca="1" si="24"/>
        <v>10</v>
      </c>
      <c r="I129" s="1"/>
      <c r="J129" s="1">
        <f t="shared" ca="1" si="25"/>
        <v>16</v>
      </c>
      <c r="K129" s="1">
        <f t="shared" ca="1" si="26"/>
        <v>1.0418265844983063</v>
      </c>
      <c r="L129" s="1">
        <f t="shared" ca="1" si="27"/>
        <v>32</v>
      </c>
      <c r="M129" s="1"/>
      <c r="N129" s="1">
        <f t="shared" ca="1" si="28"/>
        <v>886</v>
      </c>
      <c r="O129" s="1">
        <f t="shared" ca="1" si="29"/>
        <v>37</v>
      </c>
      <c r="P129" s="1"/>
      <c r="Q129" s="1">
        <f t="shared" ca="1" si="30"/>
        <v>3.2878773774649659</v>
      </c>
      <c r="R129" s="1">
        <f t="shared" ca="1" si="31"/>
        <v>530</v>
      </c>
      <c r="S129" s="1"/>
      <c r="T129" s="1">
        <f t="shared" ca="1" si="32"/>
        <v>0.13094457560856698</v>
      </c>
      <c r="U129" s="1">
        <f t="shared" ca="1" si="33"/>
        <v>220</v>
      </c>
      <c r="V129" s="1">
        <f t="shared" ca="1" si="34"/>
        <v>35</v>
      </c>
      <c r="W129" s="1"/>
      <c r="X129" s="1">
        <f t="shared" ca="1" si="35"/>
        <v>8.9895888909281485</v>
      </c>
      <c r="Y129" s="1">
        <f t="shared" ca="1" si="36"/>
        <v>0.42239948299822305</v>
      </c>
      <c r="Z129" s="1">
        <f t="shared" ca="1" si="37"/>
        <v>555</v>
      </c>
    </row>
    <row r="130" spans="2:26" x14ac:dyDescent="0.25">
      <c r="B130">
        <f t="shared" ca="1" si="19"/>
        <v>698</v>
      </c>
      <c r="C130">
        <f t="shared" ca="1" si="20"/>
        <v>30</v>
      </c>
      <c r="D130">
        <f t="shared" ca="1" si="21"/>
        <v>0.18935618467953927</v>
      </c>
      <c r="F130" s="1">
        <f t="shared" ca="1" si="22"/>
        <v>52</v>
      </c>
      <c r="G130" s="1">
        <f t="shared" ca="1" si="23"/>
        <v>5</v>
      </c>
      <c r="H130" s="1">
        <f t="shared" ca="1" si="24"/>
        <v>10</v>
      </c>
      <c r="I130" s="1"/>
      <c r="J130" s="1">
        <f t="shared" ca="1" si="25"/>
        <v>30</v>
      </c>
      <c r="K130" s="1">
        <f t="shared" ca="1" si="26"/>
        <v>1.8642940527538765</v>
      </c>
      <c r="L130" s="1">
        <f t="shared" ca="1" si="27"/>
        <v>7</v>
      </c>
      <c r="M130" s="1"/>
      <c r="N130" s="1">
        <f t="shared" ca="1" si="28"/>
        <v>742</v>
      </c>
      <c r="O130" s="1">
        <f t="shared" ca="1" si="29"/>
        <v>41</v>
      </c>
      <c r="P130" s="1"/>
      <c r="Q130" s="1">
        <f t="shared" ca="1" si="30"/>
        <v>2.5046742775519446</v>
      </c>
      <c r="R130" s="1">
        <f t="shared" ca="1" si="31"/>
        <v>467</v>
      </c>
      <c r="S130" s="1"/>
      <c r="T130" s="1">
        <f t="shared" ca="1" si="32"/>
        <v>7.8450513468128438E-2</v>
      </c>
      <c r="U130" s="1">
        <f t="shared" ca="1" si="33"/>
        <v>92</v>
      </c>
      <c r="V130" s="1">
        <f t="shared" ca="1" si="34"/>
        <v>21</v>
      </c>
      <c r="W130" s="1"/>
      <c r="X130" s="1">
        <f t="shared" ca="1" si="35"/>
        <v>3.3371613391023631</v>
      </c>
      <c r="Y130" s="1">
        <f t="shared" ca="1" si="36"/>
        <v>1.3541847866948346E-2</v>
      </c>
      <c r="Z130" s="1">
        <f t="shared" ca="1" si="37"/>
        <v>1803</v>
      </c>
    </row>
    <row r="131" spans="2:26" x14ac:dyDescent="0.25">
      <c r="B131">
        <f t="shared" ca="1" si="19"/>
        <v>27</v>
      </c>
      <c r="C131">
        <f t="shared" ca="1" si="20"/>
        <v>47</v>
      </c>
      <c r="D131">
        <f t="shared" ca="1" si="21"/>
        <v>0.15087119916871483</v>
      </c>
      <c r="F131" s="1">
        <f t="shared" ca="1" si="22"/>
        <v>7</v>
      </c>
      <c r="G131" s="1">
        <f t="shared" ca="1" si="23"/>
        <v>8</v>
      </c>
      <c r="H131" s="1">
        <f t="shared" ca="1" si="24"/>
        <v>14</v>
      </c>
      <c r="I131" s="1"/>
      <c r="J131" s="1">
        <f t="shared" ca="1" si="25"/>
        <v>12</v>
      </c>
      <c r="K131" s="1">
        <f t="shared" ca="1" si="26"/>
        <v>1.7028500168351364</v>
      </c>
      <c r="L131" s="1">
        <f t="shared" ca="1" si="27"/>
        <v>25</v>
      </c>
      <c r="M131" s="1"/>
      <c r="N131" s="1">
        <f t="shared" ca="1" si="28"/>
        <v>853</v>
      </c>
      <c r="O131" s="1">
        <f t="shared" ca="1" si="29"/>
        <v>51</v>
      </c>
      <c r="P131" s="1"/>
      <c r="Q131" s="1">
        <f t="shared" ca="1" si="30"/>
        <v>2.2213990500685239</v>
      </c>
      <c r="R131" s="1">
        <f t="shared" ca="1" si="31"/>
        <v>1037</v>
      </c>
      <c r="S131" s="1"/>
      <c r="T131" s="1">
        <f t="shared" ca="1" si="32"/>
        <v>6.1976040361623207E-2</v>
      </c>
      <c r="U131" s="1">
        <f t="shared" ca="1" si="33"/>
        <v>362</v>
      </c>
      <c r="V131" s="1">
        <f t="shared" ca="1" si="34"/>
        <v>26</v>
      </c>
      <c r="W131" s="1"/>
      <c r="X131" s="1">
        <f t="shared" ca="1" si="35"/>
        <v>4.5646856091466841</v>
      </c>
      <c r="Y131" s="1">
        <f t="shared" ca="1" si="36"/>
        <v>0.39070219154393654</v>
      </c>
      <c r="Z131" s="1">
        <f t="shared" ca="1" si="37"/>
        <v>1907</v>
      </c>
    </row>
    <row r="132" spans="2:26" x14ac:dyDescent="0.25">
      <c r="B132">
        <f t="shared" ref="B132:B195" ca="1" si="38">RANDBETWEEN(15,1000)</f>
        <v>542</v>
      </c>
      <c r="C132">
        <f t="shared" ref="C132:C195" ca="1" si="39">RANDBETWEEN(2,52)</f>
        <v>36</v>
      </c>
      <c r="D132">
        <f t="shared" ref="D132:D195" ca="1" si="40">RAND()*(0.3-0.01)+0.01</f>
        <v>0.24872307704601979</v>
      </c>
      <c r="F132" s="1">
        <f t="shared" ref="F132:F195" ca="1" si="41">RANDBETWEEN(2,52)</f>
        <v>44</v>
      </c>
      <c r="G132" s="1">
        <f t="shared" ref="G132:G195" ca="1" si="42">RANDBETWEEN(2,30)</f>
        <v>19</v>
      </c>
      <c r="H132" s="1">
        <f t="shared" ref="H132:H195" ca="1" si="43">RANDBETWEEN(1,15)</f>
        <v>10</v>
      </c>
      <c r="I132" s="1"/>
      <c r="J132" s="1">
        <f t="shared" ref="J132:J195" ca="1" si="44">RANDBETWEEN(1,39)</f>
        <v>31</v>
      </c>
      <c r="K132" s="1">
        <f t="shared" ref="K132:K195" ca="1" si="45">RAND()*(3-1)+1</f>
        <v>2.3074049539648671</v>
      </c>
      <c r="L132" s="1">
        <f t="shared" ref="L132:L195" ca="1" si="46">RANDBETWEEN(2,35)</f>
        <v>31</v>
      </c>
      <c r="M132" s="1"/>
      <c r="N132" s="1">
        <f t="shared" ref="N132:N195" ca="1" si="47">RANDBETWEEN(15,1000)</f>
        <v>80</v>
      </c>
      <c r="O132" s="1">
        <f t="shared" ref="O132:O195" ca="1" si="48">RANDBETWEEN(2,52)</f>
        <v>4</v>
      </c>
      <c r="P132" s="1"/>
      <c r="Q132" s="1">
        <f t="shared" ref="Q132:Q195" ca="1" si="49">RAND()*(5-0.01)+0.01</f>
        <v>2.0736651139302857</v>
      </c>
      <c r="R132" s="1">
        <f t="shared" ref="R132:R195" ca="1" si="50">RANDBETWEEN(200,1200)</f>
        <v>592</v>
      </c>
      <c r="S132" s="1"/>
      <c r="T132" s="1">
        <f t="shared" ref="T132:T195" ca="1" si="51">RAND()*(0.2-0.01)+0.01</f>
        <v>4.7144503349113263E-2</v>
      </c>
      <c r="U132" s="1">
        <f t="shared" ref="U132:U195" ca="1" si="52">RANDBETWEEN(50,450)</f>
        <v>249</v>
      </c>
      <c r="V132" s="1">
        <f t="shared" ref="V132:V195" ca="1" si="53">RANDBETWEEN(2,52)</f>
        <v>20</v>
      </c>
      <c r="W132" s="1"/>
      <c r="X132" s="1">
        <f t="shared" ref="X132:X195" ca="1" si="54">RAND()*(10-0.01)+0.01</f>
        <v>4.1410252490076864</v>
      </c>
      <c r="Y132" s="1">
        <f t="shared" ref="Y132:Y195" ca="1" si="55">RAND()*(1-0.0001)+0.0001</f>
        <v>0.40405187935159292</v>
      </c>
      <c r="Z132" s="1">
        <f t="shared" ref="Z132:Z195" ca="1" si="56">RANDBETWEEN(100,2000)</f>
        <v>216</v>
      </c>
    </row>
    <row r="133" spans="2:26" x14ac:dyDescent="0.25">
      <c r="B133">
        <f t="shared" ca="1" si="38"/>
        <v>457</v>
      </c>
      <c r="C133">
        <f t="shared" ca="1" si="39"/>
        <v>21</v>
      </c>
      <c r="D133">
        <f t="shared" ca="1" si="40"/>
        <v>0.1749376731476471</v>
      </c>
      <c r="F133" s="1">
        <f t="shared" ca="1" si="41"/>
        <v>23</v>
      </c>
      <c r="G133" s="1">
        <f t="shared" ca="1" si="42"/>
        <v>16</v>
      </c>
      <c r="H133" s="1">
        <f t="shared" ca="1" si="43"/>
        <v>15</v>
      </c>
      <c r="I133" s="1"/>
      <c r="J133" s="1">
        <f t="shared" ca="1" si="44"/>
        <v>26</v>
      </c>
      <c r="K133" s="1">
        <f t="shared" ca="1" si="45"/>
        <v>2.5862202996354338</v>
      </c>
      <c r="L133" s="1">
        <f t="shared" ca="1" si="46"/>
        <v>3</v>
      </c>
      <c r="M133" s="1"/>
      <c r="N133" s="1">
        <f t="shared" ca="1" si="47"/>
        <v>502</v>
      </c>
      <c r="O133" s="1">
        <f t="shared" ca="1" si="48"/>
        <v>44</v>
      </c>
      <c r="P133" s="1"/>
      <c r="Q133" s="1">
        <f t="shared" ca="1" si="49"/>
        <v>3.5545344392666509</v>
      </c>
      <c r="R133" s="1">
        <f t="shared" ca="1" si="50"/>
        <v>768</v>
      </c>
      <c r="S133" s="1"/>
      <c r="T133" s="1">
        <f t="shared" ca="1" si="51"/>
        <v>0.15087437091917014</v>
      </c>
      <c r="U133" s="1">
        <f t="shared" ca="1" si="52"/>
        <v>319</v>
      </c>
      <c r="V133" s="1">
        <f t="shared" ca="1" si="53"/>
        <v>6</v>
      </c>
      <c r="W133" s="1"/>
      <c r="X133" s="1">
        <f t="shared" ca="1" si="54"/>
        <v>9.7065183308712939</v>
      </c>
      <c r="Y133" s="1">
        <f t="shared" ca="1" si="55"/>
        <v>1.6270214376646528E-2</v>
      </c>
      <c r="Z133" s="1">
        <f t="shared" ca="1" si="56"/>
        <v>381</v>
      </c>
    </row>
    <row r="134" spans="2:26" x14ac:dyDescent="0.25">
      <c r="B134">
        <f t="shared" ca="1" si="38"/>
        <v>418</v>
      </c>
      <c r="C134">
        <f t="shared" ca="1" si="39"/>
        <v>15</v>
      </c>
      <c r="D134">
        <f t="shared" ca="1" si="40"/>
        <v>0.211685856807902</v>
      </c>
      <c r="F134" s="1">
        <f t="shared" ca="1" si="41"/>
        <v>14</v>
      </c>
      <c r="G134" s="1">
        <f t="shared" ca="1" si="42"/>
        <v>26</v>
      </c>
      <c r="H134" s="1">
        <f t="shared" ca="1" si="43"/>
        <v>10</v>
      </c>
      <c r="I134" s="1"/>
      <c r="J134" s="1">
        <f t="shared" ca="1" si="44"/>
        <v>22</v>
      </c>
      <c r="K134" s="1">
        <f t="shared" ca="1" si="45"/>
        <v>2.1847437166786694</v>
      </c>
      <c r="L134" s="1">
        <f t="shared" ca="1" si="46"/>
        <v>16</v>
      </c>
      <c r="M134" s="1"/>
      <c r="N134" s="1">
        <f t="shared" ca="1" si="47"/>
        <v>614</v>
      </c>
      <c r="O134" s="1">
        <f t="shared" ca="1" si="48"/>
        <v>35</v>
      </c>
      <c r="P134" s="1"/>
      <c r="Q134" s="1">
        <f t="shared" ca="1" si="49"/>
        <v>0.8769320361924805</v>
      </c>
      <c r="R134" s="1">
        <f t="shared" ca="1" si="50"/>
        <v>554</v>
      </c>
      <c r="S134" s="1"/>
      <c r="T134" s="1">
        <f t="shared" ca="1" si="51"/>
        <v>8.1676825078239604E-2</v>
      </c>
      <c r="U134" s="1">
        <f t="shared" ca="1" si="52"/>
        <v>270</v>
      </c>
      <c r="V134" s="1">
        <f t="shared" ca="1" si="53"/>
        <v>11</v>
      </c>
      <c r="W134" s="1"/>
      <c r="X134" s="1">
        <f t="shared" ca="1" si="54"/>
        <v>3.9323981317015768</v>
      </c>
      <c r="Y134" s="1">
        <f t="shared" ca="1" si="55"/>
        <v>3.0197670882267633E-2</v>
      </c>
      <c r="Z134" s="1">
        <f t="shared" ca="1" si="56"/>
        <v>1537</v>
      </c>
    </row>
    <row r="135" spans="2:26" x14ac:dyDescent="0.25">
      <c r="B135">
        <f t="shared" ca="1" si="38"/>
        <v>714</v>
      </c>
      <c r="C135">
        <f t="shared" ca="1" si="39"/>
        <v>27</v>
      </c>
      <c r="D135">
        <f t="shared" ca="1" si="40"/>
        <v>0.20637815361382267</v>
      </c>
      <c r="F135" s="1">
        <f t="shared" ca="1" si="41"/>
        <v>42</v>
      </c>
      <c r="G135" s="1">
        <f t="shared" ca="1" si="42"/>
        <v>28</v>
      </c>
      <c r="H135" s="1">
        <f t="shared" ca="1" si="43"/>
        <v>5</v>
      </c>
      <c r="I135" s="1"/>
      <c r="J135" s="1">
        <f t="shared" ca="1" si="44"/>
        <v>14</v>
      </c>
      <c r="K135" s="1">
        <f t="shared" ca="1" si="45"/>
        <v>1.3930738129668288</v>
      </c>
      <c r="L135" s="1">
        <f t="shared" ca="1" si="46"/>
        <v>20</v>
      </c>
      <c r="M135" s="1"/>
      <c r="N135" s="1">
        <f t="shared" ca="1" si="47"/>
        <v>522</v>
      </c>
      <c r="O135" s="1">
        <f t="shared" ca="1" si="48"/>
        <v>12</v>
      </c>
      <c r="P135" s="1"/>
      <c r="Q135" s="1">
        <f t="shared" ca="1" si="49"/>
        <v>4.8919681690312204</v>
      </c>
      <c r="R135" s="1">
        <f t="shared" ca="1" si="50"/>
        <v>628</v>
      </c>
      <c r="S135" s="1"/>
      <c r="T135" s="1">
        <f t="shared" ca="1" si="51"/>
        <v>3.5703743821567685E-2</v>
      </c>
      <c r="U135" s="1">
        <f t="shared" ca="1" si="52"/>
        <v>379</v>
      </c>
      <c r="V135" s="1">
        <f t="shared" ca="1" si="53"/>
        <v>18</v>
      </c>
      <c r="W135" s="1"/>
      <c r="X135" s="1">
        <f t="shared" ca="1" si="54"/>
        <v>3.2402975432262213</v>
      </c>
      <c r="Y135" s="1">
        <f t="shared" ca="1" si="55"/>
        <v>0.67644884557741447</v>
      </c>
      <c r="Z135" s="1">
        <f t="shared" ca="1" si="56"/>
        <v>740</v>
      </c>
    </row>
    <row r="136" spans="2:26" x14ac:dyDescent="0.25">
      <c r="B136">
        <f t="shared" ca="1" si="38"/>
        <v>775</v>
      </c>
      <c r="C136">
        <f t="shared" ca="1" si="39"/>
        <v>44</v>
      </c>
      <c r="D136">
        <f t="shared" ca="1" si="40"/>
        <v>0.21943933560211237</v>
      </c>
      <c r="F136" s="1">
        <f t="shared" ca="1" si="41"/>
        <v>29</v>
      </c>
      <c r="G136" s="1">
        <f t="shared" ca="1" si="42"/>
        <v>8</v>
      </c>
      <c r="H136" s="1">
        <f t="shared" ca="1" si="43"/>
        <v>9</v>
      </c>
      <c r="I136" s="1"/>
      <c r="J136" s="1">
        <f t="shared" ca="1" si="44"/>
        <v>30</v>
      </c>
      <c r="K136" s="1">
        <f t="shared" ca="1" si="45"/>
        <v>2.7223879644896849</v>
      </c>
      <c r="L136" s="1">
        <f t="shared" ca="1" si="46"/>
        <v>9</v>
      </c>
      <c r="M136" s="1"/>
      <c r="N136" s="1">
        <f t="shared" ca="1" si="47"/>
        <v>208</v>
      </c>
      <c r="O136" s="1">
        <f t="shared" ca="1" si="48"/>
        <v>44</v>
      </c>
      <c r="P136" s="1"/>
      <c r="Q136" s="1">
        <f t="shared" ca="1" si="49"/>
        <v>4.157818795778871</v>
      </c>
      <c r="R136" s="1">
        <f t="shared" ca="1" si="50"/>
        <v>205</v>
      </c>
      <c r="S136" s="1"/>
      <c r="T136" s="1">
        <f t="shared" ca="1" si="51"/>
        <v>0.1635407656789086</v>
      </c>
      <c r="U136" s="1">
        <f t="shared" ca="1" si="52"/>
        <v>247</v>
      </c>
      <c r="V136" s="1">
        <f t="shared" ca="1" si="53"/>
        <v>10</v>
      </c>
      <c r="W136" s="1"/>
      <c r="X136" s="1">
        <f t="shared" ca="1" si="54"/>
        <v>8.4396337174497393</v>
      </c>
      <c r="Y136" s="1">
        <f t="shared" ca="1" si="55"/>
        <v>0.19412799570175418</v>
      </c>
      <c r="Z136" s="1">
        <f t="shared" ca="1" si="56"/>
        <v>659</v>
      </c>
    </row>
    <row r="137" spans="2:26" x14ac:dyDescent="0.25">
      <c r="B137">
        <f t="shared" ca="1" si="38"/>
        <v>418</v>
      </c>
      <c r="C137">
        <f t="shared" ca="1" si="39"/>
        <v>35</v>
      </c>
      <c r="D137">
        <f t="shared" ca="1" si="40"/>
        <v>0.18887718593163794</v>
      </c>
      <c r="F137" s="1">
        <f t="shared" ca="1" si="41"/>
        <v>40</v>
      </c>
      <c r="G137" s="1">
        <f t="shared" ca="1" si="42"/>
        <v>18</v>
      </c>
      <c r="H137" s="1">
        <f t="shared" ca="1" si="43"/>
        <v>13</v>
      </c>
      <c r="I137" s="1"/>
      <c r="J137" s="1">
        <f t="shared" ca="1" si="44"/>
        <v>2</v>
      </c>
      <c r="K137" s="1">
        <f t="shared" ca="1" si="45"/>
        <v>2.0882669532796498</v>
      </c>
      <c r="L137" s="1">
        <f t="shared" ca="1" si="46"/>
        <v>33</v>
      </c>
      <c r="M137" s="1"/>
      <c r="N137" s="1">
        <f t="shared" ca="1" si="47"/>
        <v>572</v>
      </c>
      <c r="O137" s="1">
        <f t="shared" ca="1" si="48"/>
        <v>3</v>
      </c>
      <c r="P137" s="1"/>
      <c r="Q137" s="1">
        <f t="shared" ca="1" si="49"/>
        <v>6.6028038084577592E-2</v>
      </c>
      <c r="R137" s="1">
        <f t="shared" ca="1" si="50"/>
        <v>1011</v>
      </c>
      <c r="S137" s="1"/>
      <c r="T137" s="1">
        <f t="shared" ca="1" si="51"/>
        <v>0.13719476659987895</v>
      </c>
      <c r="U137" s="1">
        <f t="shared" ca="1" si="52"/>
        <v>84</v>
      </c>
      <c r="V137" s="1">
        <f t="shared" ca="1" si="53"/>
        <v>13</v>
      </c>
      <c r="W137" s="1"/>
      <c r="X137" s="1">
        <f t="shared" ca="1" si="54"/>
        <v>8.9799224762476957</v>
      </c>
      <c r="Y137" s="1">
        <f t="shared" ca="1" si="55"/>
        <v>0.68185202971366532</v>
      </c>
      <c r="Z137" s="1">
        <f t="shared" ca="1" si="56"/>
        <v>562</v>
      </c>
    </row>
    <row r="138" spans="2:26" x14ac:dyDescent="0.25">
      <c r="B138">
        <f t="shared" ca="1" si="38"/>
        <v>452</v>
      </c>
      <c r="C138">
        <f t="shared" ca="1" si="39"/>
        <v>49</v>
      </c>
      <c r="D138">
        <f t="shared" ca="1" si="40"/>
        <v>0.22529418724326911</v>
      </c>
      <c r="F138" s="1">
        <f t="shared" ca="1" si="41"/>
        <v>36</v>
      </c>
      <c r="G138" s="1">
        <f t="shared" ca="1" si="42"/>
        <v>7</v>
      </c>
      <c r="H138" s="1">
        <f t="shared" ca="1" si="43"/>
        <v>5</v>
      </c>
      <c r="I138" s="1"/>
      <c r="J138" s="1">
        <f t="shared" ca="1" si="44"/>
        <v>19</v>
      </c>
      <c r="K138" s="1">
        <f t="shared" ca="1" si="45"/>
        <v>1.409370368371351</v>
      </c>
      <c r="L138" s="1">
        <f t="shared" ca="1" si="46"/>
        <v>20</v>
      </c>
      <c r="M138" s="1"/>
      <c r="N138" s="1">
        <f t="shared" ca="1" si="47"/>
        <v>222</v>
      </c>
      <c r="O138" s="1">
        <f t="shared" ca="1" si="48"/>
        <v>46</v>
      </c>
      <c r="P138" s="1"/>
      <c r="Q138" s="1">
        <f t="shared" ca="1" si="49"/>
        <v>3.3786040858560193</v>
      </c>
      <c r="R138" s="1">
        <f t="shared" ca="1" si="50"/>
        <v>624</v>
      </c>
      <c r="S138" s="1"/>
      <c r="T138" s="1">
        <f t="shared" ca="1" si="51"/>
        <v>9.0145080092663643E-2</v>
      </c>
      <c r="U138" s="1">
        <f t="shared" ca="1" si="52"/>
        <v>257</v>
      </c>
      <c r="V138" s="1">
        <f t="shared" ca="1" si="53"/>
        <v>9</v>
      </c>
      <c r="W138" s="1"/>
      <c r="X138" s="1">
        <f t="shared" ca="1" si="54"/>
        <v>0.36667281569826099</v>
      </c>
      <c r="Y138" s="1">
        <f t="shared" ca="1" si="55"/>
        <v>0.23343326123451219</v>
      </c>
      <c r="Z138" s="1">
        <f t="shared" ca="1" si="56"/>
        <v>1382</v>
      </c>
    </row>
    <row r="139" spans="2:26" x14ac:dyDescent="0.25">
      <c r="B139">
        <f t="shared" ca="1" si="38"/>
        <v>673</v>
      </c>
      <c r="C139">
        <f t="shared" ca="1" si="39"/>
        <v>26</v>
      </c>
      <c r="D139">
        <f t="shared" ca="1" si="40"/>
        <v>8.9043837763514572E-2</v>
      </c>
      <c r="F139" s="1">
        <f t="shared" ca="1" si="41"/>
        <v>25</v>
      </c>
      <c r="G139" s="1">
        <f t="shared" ca="1" si="42"/>
        <v>16</v>
      </c>
      <c r="H139" s="1">
        <f t="shared" ca="1" si="43"/>
        <v>1</v>
      </c>
      <c r="I139" s="1"/>
      <c r="J139" s="1">
        <f t="shared" ca="1" si="44"/>
        <v>21</v>
      </c>
      <c r="K139" s="1">
        <f t="shared" ca="1" si="45"/>
        <v>2.2423962297715847</v>
      </c>
      <c r="L139" s="1">
        <f t="shared" ca="1" si="46"/>
        <v>3</v>
      </c>
      <c r="M139" s="1"/>
      <c r="N139" s="1">
        <f t="shared" ca="1" si="47"/>
        <v>718</v>
      </c>
      <c r="O139" s="1">
        <f t="shared" ca="1" si="48"/>
        <v>41</v>
      </c>
      <c r="P139" s="1"/>
      <c r="Q139" s="1">
        <f t="shared" ca="1" si="49"/>
        <v>0.40373374965994069</v>
      </c>
      <c r="R139" s="1">
        <f t="shared" ca="1" si="50"/>
        <v>841</v>
      </c>
      <c r="S139" s="1"/>
      <c r="T139" s="1">
        <f t="shared" ca="1" si="51"/>
        <v>0.10120892565292169</v>
      </c>
      <c r="U139" s="1">
        <f t="shared" ca="1" si="52"/>
        <v>407</v>
      </c>
      <c r="V139" s="1">
        <f t="shared" ca="1" si="53"/>
        <v>19</v>
      </c>
      <c r="W139" s="1"/>
      <c r="X139" s="1">
        <f t="shared" ca="1" si="54"/>
        <v>0.36323527223282692</v>
      </c>
      <c r="Y139" s="1">
        <f t="shared" ca="1" si="55"/>
        <v>0.25714031055545011</v>
      </c>
      <c r="Z139" s="1">
        <f t="shared" ca="1" si="56"/>
        <v>834</v>
      </c>
    </row>
    <row r="140" spans="2:26" x14ac:dyDescent="0.25">
      <c r="B140">
        <f t="shared" ca="1" si="38"/>
        <v>689</v>
      </c>
      <c r="C140">
        <f t="shared" ca="1" si="39"/>
        <v>8</v>
      </c>
      <c r="D140">
        <f t="shared" ca="1" si="40"/>
        <v>0.26425539917842683</v>
      </c>
      <c r="F140" s="1">
        <f t="shared" ca="1" si="41"/>
        <v>24</v>
      </c>
      <c r="G140" s="1">
        <f t="shared" ca="1" si="42"/>
        <v>30</v>
      </c>
      <c r="H140" s="1">
        <f t="shared" ca="1" si="43"/>
        <v>13</v>
      </c>
      <c r="I140" s="1"/>
      <c r="J140" s="1">
        <f t="shared" ca="1" si="44"/>
        <v>12</v>
      </c>
      <c r="K140" s="1">
        <f t="shared" ca="1" si="45"/>
        <v>1.4242023392835692</v>
      </c>
      <c r="L140" s="1">
        <f t="shared" ca="1" si="46"/>
        <v>20</v>
      </c>
      <c r="M140" s="1"/>
      <c r="N140" s="1">
        <f t="shared" ca="1" si="47"/>
        <v>424</v>
      </c>
      <c r="O140" s="1">
        <f t="shared" ca="1" si="48"/>
        <v>22</v>
      </c>
      <c r="P140" s="1"/>
      <c r="Q140" s="1">
        <f t="shared" ca="1" si="49"/>
        <v>1.7432382840113225E-2</v>
      </c>
      <c r="R140" s="1">
        <f t="shared" ca="1" si="50"/>
        <v>275</v>
      </c>
      <c r="S140" s="1"/>
      <c r="T140" s="1">
        <f t="shared" ca="1" si="51"/>
        <v>0.19316490879859649</v>
      </c>
      <c r="U140" s="1">
        <f t="shared" ca="1" si="52"/>
        <v>261</v>
      </c>
      <c r="V140" s="1">
        <f t="shared" ca="1" si="53"/>
        <v>12</v>
      </c>
      <c r="W140" s="1"/>
      <c r="X140" s="1">
        <f t="shared" ca="1" si="54"/>
        <v>6.7200443651675821</v>
      </c>
      <c r="Y140" s="1">
        <f t="shared" ca="1" si="55"/>
        <v>0.90254272636374622</v>
      </c>
      <c r="Z140" s="1">
        <f t="shared" ca="1" si="56"/>
        <v>750</v>
      </c>
    </row>
    <row r="141" spans="2:26" x14ac:dyDescent="0.25">
      <c r="B141">
        <f t="shared" ca="1" si="38"/>
        <v>700</v>
      </c>
      <c r="C141">
        <f t="shared" ca="1" si="39"/>
        <v>26</v>
      </c>
      <c r="D141">
        <f t="shared" ca="1" si="40"/>
        <v>0.26356236650884896</v>
      </c>
      <c r="F141" s="1">
        <f t="shared" ca="1" si="41"/>
        <v>45</v>
      </c>
      <c r="G141" s="1">
        <f t="shared" ca="1" si="42"/>
        <v>11</v>
      </c>
      <c r="H141" s="1">
        <f t="shared" ca="1" si="43"/>
        <v>10</v>
      </c>
      <c r="I141" s="1"/>
      <c r="J141" s="1">
        <f t="shared" ca="1" si="44"/>
        <v>36</v>
      </c>
      <c r="K141" s="1">
        <f t="shared" ca="1" si="45"/>
        <v>1.236681231719748</v>
      </c>
      <c r="L141" s="1">
        <f t="shared" ca="1" si="46"/>
        <v>11</v>
      </c>
      <c r="M141" s="1"/>
      <c r="N141" s="1">
        <f t="shared" ca="1" si="47"/>
        <v>971</v>
      </c>
      <c r="O141" s="1">
        <f t="shared" ca="1" si="48"/>
        <v>36</v>
      </c>
      <c r="P141" s="1"/>
      <c r="Q141" s="1">
        <f t="shared" ca="1" si="49"/>
        <v>1.6971060554474859</v>
      </c>
      <c r="R141" s="1">
        <f t="shared" ca="1" si="50"/>
        <v>1089</v>
      </c>
      <c r="S141" s="1"/>
      <c r="T141" s="1">
        <f t="shared" ca="1" si="51"/>
        <v>8.0827256054987237E-2</v>
      </c>
      <c r="U141" s="1">
        <f t="shared" ca="1" si="52"/>
        <v>445</v>
      </c>
      <c r="V141" s="1">
        <f t="shared" ca="1" si="53"/>
        <v>3</v>
      </c>
      <c r="W141" s="1"/>
      <c r="X141" s="1">
        <f t="shared" ca="1" si="54"/>
        <v>8.5870211740146978</v>
      </c>
      <c r="Y141" s="1">
        <f t="shared" ca="1" si="55"/>
        <v>0.88278508994949878</v>
      </c>
      <c r="Z141" s="1">
        <f t="shared" ca="1" si="56"/>
        <v>1735</v>
      </c>
    </row>
    <row r="142" spans="2:26" x14ac:dyDescent="0.25">
      <c r="B142">
        <f t="shared" ca="1" si="38"/>
        <v>469</v>
      </c>
      <c r="C142">
        <f t="shared" ca="1" si="39"/>
        <v>27</v>
      </c>
      <c r="D142">
        <f t="shared" ca="1" si="40"/>
        <v>0.19372257492654679</v>
      </c>
      <c r="F142" s="1">
        <f t="shared" ca="1" si="41"/>
        <v>45</v>
      </c>
      <c r="G142" s="1">
        <f t="shared" ca="1" si="42"/>
        <v>7</v>
      </c>
      <c r="H142" s="1">
        <f t="shared" ca="1" si="43"/>
        <v>5</v>
      </c>
      <c r="I142" s="1"/>
      <c r="J142" s="1">
        <f t="shared" ca="1" si="44"/>
        <v>31</v>
      </c>
      <c r="K142" s="1">
        <f t="shared" ca="1" si="45"/>
        <v>1.7204552630998051</v>
      </c>
      <c r="L142" s="1">
        <f t="shared" ca="1" si="46"/>
        <v>20</v>
      </c>
      <c r="M142" s="1"/>
      <c r="N142" s="1">
        <f t="shared" ca="1" si="47"/>
        <v>496</v>
      </c>
      <c r="O142" s="1">
        <f t="shared" ca="1" si="48"/>
        <v>28</v>
      </c>
      <c r="P142" s="1"/>
      <c r="Q142" s="1">
        <f t="shared" ca="1" si="49"/>
        <v>2.0168276753881207</v>
      </c>
      <c r="R142" s="1">
        <f t="shared" ca="1" si="50"/>
        <v>319</v>
      </c>
      <c r="S142" s="1"/>
      <c r="T142" s="1">
        <f t="shared" ca="1" si="51"/>
        <v>2.4031952160556508E-2</v>
      </c>
      <c r="U142" s="1">
        <f t="shared" ca="1" si="52"/>
        <v>62</v>
      </c>
      <c r="V142" s="1">
        <f t="shared" ca="1" si="53"/>
        <v>12</v>
      </c>
      <c r="W142" s="1"/>
      <c r="X142" s="1">
        <f t="shared" ca="1" si="54"/>
        <v>0.75444525944009644</v>
      </c>
      <c r="Y142" s="1">
        <f t="shared" ca="1" si="55"/>
        <v>0.88176528698646883</v>
      </c>
      <c r="Z142" s="1">
        <f t="shared" ca="1" si="56"/>
        <v>432</v>
      </c>
    </row>
    <row r="143" spans="2:26" x14ac:dyDescent="0.25">
      <c r="B143">
        <f t="shared" ca="1" si="38"/>
        <v>692</v>
      </c>
      <c r="C143">
        <f t="shared" ca="1" si="39"/>
        <v>8</v>
      </c>
      <c r="D143">
        <f t="shared" ca="1" si="40"/>
        <v>0.12140409955392295</v>
      </c>
      <c r="F143" s="1">
        <f t="shared" ca="1" si="41"/>
        <v>27</v>
      </c>
      <c r="G143" s="1">
        <f t="shared" ca="1" si="42"/>
        <v>16</v>
      </c>
      <c r="H143" s="1">
        <f t="shared" ca="1" si="43"/>
        <v>5</v>
      </c>
      <c r="I143" s="1"/>
      <c r="J143" s="1">
        <f t="shared" ca="1" si="44"/>
        <v>11</v>
      </c>
      <c r="K143" s="1">
        <f t="shared" ca="1" si="45"/>
        <v>2.8995883270155836</v>
      </c>
      <c r="L143" s="1">
        <f t="shared" ca="1" si="46"/>
        <v>7</v>
      </c>
      <c r="M143" s="1"/>
      <c r="N143" s="1">
        <f t="shared" ca="1" si="47"/>
        <v>888</v>
      </c>
      <c r="O143" s="1">
        <f t="shared" ca="1" si="48"/>
        <v>22</v>
      </c>
      <c r="P143" s="1"/>
      <c r="Q143" s="1">
        <f t="shared" ca="1" si="49"/>
        <v>1.9067950383729355</v>
      </c>
      <c r="R143" s="1">
        <f t="shared" ca="1" si="50"/>
        <v>1067</v>
      </c>
      <c r="S143" s="1"/>
      <c r="T143" s="1">
        <f t="shared" ca="1" si="51"/>
        <v>4.1197712237638837E-2</v>
      </c>
      <c r="U143" s="1">
        <f t="shared" ca="1" si="52"/>
        <v>317</v>
      </c>
      <c r="V143" s="1">
        <f t="shared" ca="1" si="53"/>
        <v>40</v>
      </c>
      <c r="W143" s="1"/>
      <c r="X143" s="1">
        <f t="shared" ca="1" si="54"/>
        <v>3.8440002498011014</v>
      </c>
      <c r="Y143" s="1">
        <f t="shared" ca="1" si="55"/>
        <v>0.6174603935354237</v>
      </c>
      <c r="Z143" s="1">
        <f t="shared" ca="1" si="56"/>
        <v>733</v>
      </c>
    </row>
    <row r="144" spans="2:26" x14ac:dyDescent="0.25">
      <c r="B144">
        <f t="shared" ca="1" si="38"/>
        <v>352</v>
      </c>
      <c r="C144">
        <f t="shared" ca="1" si="39"/>
        <v>28</v>
      </c>
      <c r="D144">
        <f t="shared" ca="1" si="40"/>
        <v>4.7698805793618883E-2</v>
      </c>
      <c r="F144" s="1">
        <f t="shared" ca="1" si="41"/>
        <v>26</v>
      </c>
      <c r="G144" s="1">
        <f t="shared" ca="1" si="42"/>
        <v>10</v>
      </c>
      <c r="H144" s="1">
        <f t="shared" ca="1" si="43"/>
        <v>9</v>
      </c>
      <c r="I144" s="1"/>
      <c r="J144" s="1">
        <f t="shared" ca="1" si="44"/>
        <v>25</v>
      </c>
      <c r="K144" s="1">
        <f t="shared" ca="1" si="45"/>
        <v>1.3513931367688858</v>
      </c>
      <c r="L144" s="1">
        <f t="shared" ca="1" si="46"/>
        <v>26</v>
      </c>
      <c r="M144" s="1"/>
      <c r="N144" s="1">
        <f t="shared" ca="1" si="47"/>
        <v>564</v>
      </c>
      <c r="O144" s="1">
        <f t="shared" ca="1" si="48"/>
        <v>20</v>
      </c>
      <c r="P144" s="1"/>
      <c r="Q144" s="1">
        <f t="shared" ca="1" si="49"/>
        <v>4.8847790943370262</v>
      </c>
      <c r="R144" s="1">
        <f t="shared" ca="1" si="50"/>
        <v>216</v>
      </c>
      <c r="S144" s="1"/>
      <c r="T144" s="1">
        <f t="shared" ca="1" si="51"/>
        <v>0.19687906074166592</v>
      </c>
      <c r="U144" s="1">
        <f t="shared" ca="1" si="52"/>
        <v>420</v>
      </c>
      <c r="V144" s="1">
        <f t="shared" ca="1" si="53"/>
        <v>8</v>
      </c>
      <c r="W144" s="1"/>
      <c r="X144" s="1">
        <f t="shared" ca="1" si="54"/>
        <v>7.3787351786376716</v>
      </c>
      <c r="Y144" s="1">
        <f t="shared" ca="1" si="55"/>
        <v>0.70660267329623772</v>
      </c>
      <c r="Z144" s="1">
        <f t="shared" ca="1" si="56"/>
        <v>1320</v>
      </c>
    </row>
    <row r="145" spans="2:26" x14ac:dyDescent="0.25">
      <c r="B145">
        <f t="shared" ca="1" si="38"/>
        <v>875</v>
      </c>
      <c r="C145">
        <f t="shared" ca="1" si="39"/>
        <v>30</v>
      </c>
      <c r="D145">
        <f t="shared" ca="1" si="40"/>
        <v>3.692216186352805E-2</v>
      </c>
      <c r="F145" s="1">
        <f t="shared" ca="1" si="41"/>
        <v>33</v>
      </c>
      <c r="G145" s="1">
        <f t="shared" ca="1" si="42"/>
        <v>11</v>
      </c>
      <c r="H145" s="1">
        <f t="shared" ca="1" si="43"/>
        <v>2</v>
      </c>
      <c r="I145" s="1"/>
      <c r="J145" s="1">
        <f t="shared" ca="1" si="44"/>
        <v>24</v>
      </c>
      <c r="K145" s="1">
        <f t="shared" ca="1" si="45"/>
        <v>1.8099044804758035</v>
      </c>
      <c r="L145" s="1">
        <f t="shared" ca="1" si="46"/>
        <v>28</v>
      </c>
      <c r="M145" s="1"/>
      <c r="N145" s="1">
        <f t="shared" ca="1" si="47"/>
        <v>994</v>
      </c>
      <c r="O145" s="1">
        <f t="shared" ca="1" si="48"/>
        <v>31</v>
      </c>
      <c r="P145" s="1"/>
      <c r="Q145" s="1">
        <f t="shared" ca="1" si="49"/>
        <v>4.4149724813076201</v>
      </c>
      <c r="R145" s="1">
        <f t="shared" ca="1" si="50"/>
        <v>744</v>
      </c>
      <c r="S145" s="1"/>
      <c r="T145" s="1">
        <f t="shared" ca="1" si="51"/>
        <v>0.13691879233300222</v>
      </c>
      <c r="U145" s="1">
        <f t="shared" ca="1" si="52"/>
        <v>374</v>
      </c>
      <c r="V145" s="1">
        <f t="shared" ca="1" si="53"/>
        <v>5</v>
      </c>
      <c r="W145" s="1"/>
      <c r="X145" s="1">
        <f t="shared" ca="1" si="54"/>
        <v>7.0523170304726168</v>
      </c>
      <c r="Y145" s="1">
        <f t="shared" ca="1" si="55"/>
        <v>0.79196890780677776</v>
      </c>
      <c r="Z145" s="1">
        <f t="shared" ca="1" si="56"/>
        <v>1644</v>
      </c>
    </row>
    <row r="146" spans="2:26" x14ac:dyDescent="0.25">
      <c r="B146">
        <f t="shared" ca="1" si="38"/>
        <v>513</v>
      </c>
      <c r="C146">
        <f t="shared" ca="1" si="39"/>
        <v>25</v>
      </c>
      <c r="D146">
        <f t="shared" ca="1" si="40"/>
        <v>0.12283800933677469</v>
      </c>
      <c r="F146" s="1">
        <f t="shared" ca="1" si="41"/>
        <v>38</v>
      </c>
      <c r="G146" s="1">
        <f t="shared" ca="1" si="42"/>
        <v>9</v>
      </c>
      <c r="H146" s="1">
        <f t="shared" ca="1" si="43"/>
        <v>13</v>
      </c>
      <c r="I146" s="1"/>
      <c r="J146" s="1">
        <f t="shared" ca="1" si="44"/>
        <v>35</v>
      </c>
      <c r="K146" s="1">
        <f t="shared" ca="1" si="45"/>
        <v>2.4618192163077079</v>
      </c>
      <c r="L146" s="1">
        <f t="shared" ca="1" si="46"/>
        <v>17</v>
      </c>
      <c r="M146" s="1"/>
      <c r="N146" s="1">
        <f t="shared" ca="1" si="47"/>
        <v>619</v>
      </c>
      <c r="O146" s="1">
        <f t="shared" ca="1" si="48"/>
        <v>45</v>
      </c>
      <c r="P146" s="1"/>
      <c r="Q146" s="1">
        <f t="shared" ca="1" si="49"/>
        <v>4.425230548112002</v>
      </c>
      <c r="R146" s="1">
        <f t="shared" ca="1" si="50"/>
        <v>396</v>
      </c>
      <c r="S146" s="1"/>
      <c r="T146" s="1">
        <f t="shared" ca="1" si="51"/>
        <v>0.11781231179916131</v>
      </c>
      <c r="U146" s="1">
        <f t="shared" ca="1" si="52"/>
        <v>323</v>
      </c>
      <c r="V146" s="1">
        <f t="shared" ca="1" si="53"/>
        <v>22</v>
      </c>
      <c r="W146" s="1"/>
      <c r="X146" s="1">
        <f t="shared" ca="1" si="54"/>
        <v>3.4466346139607467</v>
      </c>
      <c r="Y146" s="1">
        <f t="shared" ca="1" si="55"/>
        <v>0.93919912005872452</v>
      </c>
      <c r="Z146" s="1">
        <f t="shared" ca="1" si="56"/>
        <v>1599</v>
      </c>
    </row>
    <row r="147" spans="2:26" x14ac:dyDescent="0.25">
      <c r="B147">
        <f t="shared" ca="1" si="38"/>
        <v>547</v>
      </c>
      <c r="C147">
        <f t="shared" ca="1" si="39"/>
        <v>45</v>
      </c>
      <c r="D147">
        <f t="shared" ca="1" si="40"/>
        <v>0.29800670997076401</v>
      </c>
      <c r="F147" s="1">
        <f t="shared" ca="1" si="41"/>
        <v>11</v>
      </c>
      <c r="G147" s="1">
        <f t="shared" ca="1" si="42"/>
        <v>19</v>
      </c>
      <c r="H147" s="1">
        <f t="shared" ca="1" si="43"/>
        <v>5</v>
      </c>
      <c r="I147" s="1"/>
      <c r="J147" s="1">
        <f t="shared" ca="1" si="44"/>
        <v>20</v>
      </c>
      <c r="K147" s="1">
        <f t="shared" ca="1" si="45"/>
        <v>1.9194919962940655</v>
      </c>
      <c r="L147" s="1">
        <f t="shared" ca="1" si="46"/>
        <v>33</v>
      </c>
      <c r="M147" s="1"/>
      <c r="N147" s="1">
        <f t="shared" ca="1" si="47"/>
        <v>248</v>
      </c>
      <c r="O147" s="1">
        <f t="shared" ca="1" si="48"/>
        <v>31</v>
      </c>
      <c r="P147" s="1"/>
      <c r="Q147" s="1">
        <f t="shared" ca="1" si="49"/>
        <v>1.7343149857432161</v>
      </c>
      <c r="R147" s="1">
        <f t="shared" ca="1" si="50"/>
        <v>207</v>
      </c>
      <c r="S147" s="1"/>
      <c r="T147" s="1">
        <f t="shared" ca="1" si="51"/>
        <v>9.0176552680963404E-2</v>
      </c>
      <c r="U147" s="1">
        <f t="shared" ca="1" si="52"/>
        <v>132</v>
      </c>
      <c r="V147" s="1">
        <f t="shared" ca="1" si="53"/>
        <v>21</v>
      </c>
      <c r="W147" s="1"/>
      <c r="X147" s="1">
        <f t="shared" ca="1" si="54"/>
        <v>4.2289545327844831</v>
      </c>
      <c r="Y147" s="1">
        <f t="shared" ca="1" si="55"/>
        <v>0.56480261129869069</v>
      </c>
      <c r="Z147" s="1">
        <f t="shared" ca="1" si="56"/>
        <v>851</v>
      </c>
    </row>
    <row r="148" spans="2:26" x14ac:dyDescent="0.25">
      <c r="B148">
        <f t="shared" ca="1" si="38"/>
        <v>847</v>
      </c>
      <c r="C148">
        <f t="shared" ca="1" si="39"/>
        <v>3</v>
      </c>
      <c r="D148">
        <f t="shared" ca="1" si="40"/>
        <v>0.13144347990892602</v>
      </c>
      <c r="F148" s="1">
        <f t="shared" ca="1" si="41"/>
        <v>21</v>
      </c>
      <c r="G148" s="1">
        <f t="shared" ca="1" si="42"/>
        <v>13</v>
      </c>
      <c r="H148" s="1">
        <f t="shared" ca="1" si="43"/>
        <v>1</v>
      </c>
      <c r="I148" s="1"/>
      <c r="J148" s="1">
        <f t="shared" ca="1" si="44"/>
        <v>13</v>
      </c>
      <c r="K148" s="1">
        <f t="shared" ca="1" si="45"/>
        <v>2.8463556307541857</v>
      </c>
      <c r="L148" s="1">
        <f t="shared" ca="1" si="46"/>
        <v>34</v>
      </c>
      <c r="M148" s="1"/>
      <c r="N148" s="1">
        <f t="shared" ca="1" si="47"/>
        <v>441</v>
      </c>
      <c r="O148" s="1">
        <f t="shared" ca="1" si="48"/>
        <v>17</v>
      </c>
      <c r="P148" s="1"/>
      <c r="Q148" s="1">
        <f t="shared" ca="1" si="49"/>
        <v>2.5503109694505608</v>
      </c>
      <c r="R148" s="1">
        <f t="shared" ca="1" si="50"/>
        <v>1173</v>
      </c>
      <c r="S148" s="1"/>
      <c r="T148" s="1">
        <f t="shared" ca="1" si="51"/>
        <v>0.14188299543016311</v>
      </c>
      <c r="U148" s="1">
        <f t="shared" ca="1" si="52"/>
        <v>273</v>
      </c>
      <c r="V148" s="1">
        <f t="shared" ca="1" si="53"/>
        <v>32</v>
      </c>
      <c r="W148" s="1"/>
      <c r="X148" s="1">
        <f t="shared" ca="1" si="54"/>
        <v>3.287965490105488</v>
      </c>
      <c r="Y148" s="1">
        <f t="shared" ca="1" si="55"/>
        <v>0.27695193073699537</v>
      </c>
      <c r="Z148" s="1">
        <f t="shared" ca="1" si="56"/>
        <v>1445</v>
      </c>
    </row>
    <row r="149" spans="2:26" x14ac:dyDescent="0.25">
      <c r="B149">
        <f t="shared" ca="1" si="38"/>
        <v>150</v>
      </c>
      <c r="C149">
        <f t="shared" ca="1" si="39"/>
        <v>2</v>
      </c>
      <c r="D149">
        <f t="shared" ca="1" si="40"/>
        <v>9.7335305772440039E-2</v>
      </c>
      <c r="F149" s="1">
        <f t="shared" ca="1" si="41"/>
        <v>9</v>
      </c>
      <c r="G149" s="1">
        <f t="shared" ca="1" si="42"/>
        <v>26</v>
      </c>
      <c r="H149" s="1">
        <f t="shared" ca="1" si="43"/>
        <v>11</v>
      </c>
      <c r="I149" s="1"/>
      <c r="J149" s="1">
        <f t="shared" ca="1" si="44"/>
        <v>11</v>
      </c>
      <c r="K149" s="1">
        <f t="shared" ca="1" si="45"/>
        <v>2.7348198162873194</v>
      </c>
      <c r="L149" s="1">
        <f t="shared" ca="1" si="46"/>
        <v>18</v>
      </c>
      <c r="M149" s="1"/>
      <c r="N149" s="1">
        <f t="shared" ca="1" si="47"/>
        <v>957</v>
      </c>
      <c r="O149" s="1">
        <f t="shared" ca="1" si="48"/>
        <v>47</v>
      </c>
      <c r="P149" s="1"/>
      <c r="Q149" s="1">
        <f t="shared" ca="1" si="49"/>
        <v>3.5284528736540306</v>
      </c>
      <c r="R149" s="1">
        <f t="shared" ca="1" si="50"/>
        <v>844</v>
      </c>
      <c r="S149" s="1"/>
      <c r="T149" s="1">
        <f t="shared" ca="1" si="51"/>
        <v>0.19826158955313822</v>
      </c>
      <c r="U149" s="1">
        <f t="shared" ca="1" si="52"/>
        <v>215</v>
      </c>
      <c r="V149" s="1">
        <f t="shared" ca="1" si="53"/>
        <v>28</v>
      </c>
      <c r="W149" s="1"/>
      <c r="X149" s="1">
        <f t="shared" ca="1" si="54"/>
        <v>0.87011406228121468</v>
      </c>
      <c r="Y149" s="1">
        <f t="shared" ca="1" si="55"/>
        <v>0.69872023965031127</v>
      </c>
      <c r="Z149" s="1">
        <f t="shared" ca="1" si="56"/>
        <v>197</v>
      </c>
    </row>
    <row r="150" spans="2:26" x14ac:dyDescent="0.25">
      <c r="B150">
        <f t="shared" ca="1" si="38"/>
        <v>650</v>
      </c>
      <c r="C150">
        <f t="shared" ca="1" si="39"/>
        <v>49</v>
      </c>
      <c r="D150">
        <f t="shared" ca="1" si="40"/>
        <v>0.21905479136115508</v>
      </c>
      <c r="F150" s="1">
        <f t="shared" ca="1" si="41"/>
        <v>51</v>
      </c>
      <c r="G150" s="1">
        <f t="shared" ca="1" si="42"/>
        <v>8</v>
      </c>
      <c r="H150" s="1">
        <f t="shared" ca="1" si="43"/>
        <v>6</v>
      </c>
      <c r="I150" s="1"/>
      <c r="J150" s="1">
        <f t="shared" ca="1" si="44"/>
        <v>22</v>
      </c>
      <c r="K150" s="1">
        <f t="shared" ca="1" si="45"/>
        <v>1.8470114845715961</v>
      </c>
      <c r="L150" s="1">
        <f t="shared" ca="1" si="46"/>
        <v>24</v>
      </c>
      <c r="M150" s="1"/>
      <c r="N150" s="1">
        <f t="shared" ca="1" si="47"/>
        <v>460</v>
      </c>
      <c r="O150" s="1">
        <f t="shared" ca="1" si="48"/>
        <v>22</v>
      </c>
      <c r="P150" s="1"/>
      <c r="Q150" s="1">
        <f t="shared" ca="1" si="49"/>
        <v>1.7666703113013789</v>
      </c>
      <c r="R150" s="1">
        <f t="shared" ca="1" si="50"/>
        <v>616</v>
      </c>
      <c r="S150" s="1"/>
      <c r="T150" s="1">
        <f t="shared" ca="1" si="51"/>
        <v>3.7726578628678183E-2</v>
      </c>
      <c r="U150" s="1">
        <f t="shared" ca="1" si="52"/>
        <v>347</v>
      </c>
      <c r="V150" s="1">
        <f t="shared" ca="1" si="53"/>
        <v>23</v>
      </c>
      <c r="W150" s="1"/>
      <c r="X150" s="1">
        <f t="shared" ca="1" si="54"/>
        <v>1.6616485076629992</v>
      </c>
      <c r="Y150" s="1">
        <f t="shared" ca="1" si="55"/>
        <v>0.5989200606388102</v>
      </c>
      <c r="Z150" s="1">
        <f t="shared" ca="1" si="56"/>
        <v>659</v>
      </c>
    </row>
    <row r="151" spans="2:26" x14ac:dyDescent="0.25">
      <c r="B151">
        <f t="shared" ca="1" si="38"/>
        <v>222</v>
      </c>
      <c r="C151">
        <f t="shared" ca="1" si="39"/>
        <v>45</v>
      </c>
      <c r="D151">
        <f t="shared" ca="1" si="40"/>
        <v>0.11615558265933711</v>
      </c>
      <c r="F151" s="1">
        <f t="shared" ca="1" si="41"/>
        <v>13</v>
      </c>
      <c r="G151" s="1">
        <f t="shared" ca="1" si="42"/>
        <v>16</v>
      </c>
      <c r="H151" s="1">
        <f t="shared" ca="1" si="43"/>
        <v>10</v>
      </c>
      <c r="I151" s="1"/>
      <c r="J151" s="1">
        <f t="shared" ca="1" si="44"/>
        <v>3</v>
      </c>
      <c r="K151" s="1">
        <f t="shared" ca="1" si="45"/>
        <v>2.6312562081136948</v>
      </c>
      <c r="L151" s="1">
        <f t="shared" ca="1" si="46"/>
        <v>21</v>
      </c>
      <c r="M151" s="1"/>
      <c r="N151" s="1">
        <f t="shared" ca="1" si="47"/>
        <v>342</v>
      </c>
      <c r="O151" s="1">
        <f t="shared" ca="1" si="48"/>
        <v>16</v>
      </c>
      <c r="P151" s="1"/>
      <c r="Q151" s="1">
        <f t="shared" ca="1" si="49"/>
        <v>2.5834331158371016</v>
      </c>
      <c r="R151" s="1">
        <f t="shared" ca="1" si="50"/>
        <v>1050</v>
      </c>
      <c r="S151" s="1"/>
      <c r="T151" s="1">
        <f t="shared" ca="1" si="51"/>
        <v>2.1985924974838783E-2</v>
      </c>
      <c r="U151" s="1">
        <f t="shared" ca="1" si="52"/>
        <v>58</v>
      </c>
      <c r="V151" s="1">
        <f t="shared" ca="1" si="53"/>
        <v>5</v>
      </c>
      <c r="W151" s="1"/>
      <c r="X151" s="1">
        <f t="shared" ca="1" si="54"/>
        <v>1.1584615559067879</v>
      </c>
      <c r="Y151" s="1">
        <f t="shared" ca="1" si="55"/>
        <v>0.36683692825046121</v>
      </c>
      <c r="Z151" s="1">
        <f t="shared" ca="1" si="56"/>
        <v>1311</v>
      </c>
    </row>
    <row r="152" spans="2:26" x14ac:dyDescent="0.25">
      <c r="B152">
        <f t="shared" ca="1" si="38"/>
        <v>925</v>
      </c>
      <c r="C152">
        <f t="shared" ca="1" si="39"/>
        <v>44</v>
      </c>
      <c r="D152">
        <f t="shared" ca="1" si="40"/>
        <v>0.15916948765683686</v>
      </c>
      <c r="F152" s="1">
        <f t="shared" ca="1" si="41"/>
        <v>31</v>
      </c>
      <c r="G152" s="1">
        <f t="shared" ca="1" si="42"/>
        <v>4</v>
      </c>
      <c r="H152" s="1">
        <f t="shared" ca="1" si="43"/>
        <v>13</v>
      </c>
      <c r="I152" s="1"/>
      <c r="J152" s="1">
        <f t="shared" ca="1" si="44"/>
        <v>16</v>
      </c>
      <c r="K152" s="1">
        <f t="shared" ca="1" si="45"/>
        <v>1.8275300776730035</v>
      </c>
      <c r="L152" s="1">
        <f t="shared" ca="1" si="46"/>
        <v>5</v>
      </c>
      <c r="M152" s="1"/>
      <c r="N152" s="1">
        <f t="shared" ca="1" si="47"/>
        <v>81</v>
      </c>
      <c r="O152" s="1">
        <f t="shared" ca="1" si="48"/>
        <v>41</v>
      </c>
      <c r="P152" s="1"/>
      <c r="Q152" s="1">
        <f t="shared" ca="1" si="49"/>
        <v>2.0474187598745521</v>
      </c>
      <c r="R152" s="1">
        <f t="shared" ca="1" si="50"/>
        <v>634</v>
      </c>
      <c r="S152" s="1"/>
      <c r="T152" s="1">
        <f t="shared" ca="1" si="51"/>
        <v>0.19523458704379046</v>
      </c>
      <c r="U152" s="1">
        <f t="shared" ca="1" si="52"/>
        <v>127</v>
      </c>
      <c r="V152" s="1">
        <f t="shared" ca="1" si="53"/>
        <v>8</v>
      </c>
      <c r="W152" s="1"/>
      <c r="X152" s="1">
        <f t="shared" ca="1" si="54"/>
        <v>1.0795381551203589</v>
      </c>
      <c r="Y152" s="1">
        <f t="shared" ca="1" si="55"/>
        <v>0.59089042044622564</v>
      </c>
      <c r="Z152" s="1">
        <f t="shared" ca="1" si="56"/>
        <v>786</v>
      </c>
    </row>
    <row r="153" spans="2:26" x14ac:dyDescent="0.25">
      <c r="B153">
        <f t="shared" ca="1" si="38"/>
        <v>381</v>
      </c>
      <c r="C153">
        <f t="shared" ca="1" si="39"/>
        <v>9</v>
      </c>
      <c r="D153">
        <f t="shared" ca="1" si="40"/>
        <v>5.1856613338606167E-2</v>
      </c>
      <c r="F153" s="1">
        <f t="shared" ca="1" si="41"/>
        <v>35</v>
      </c>
      <c r="G153" s="1">
        <f t="shared" ca="1" si="42"/>
        <v>6</v>
      </c>
      <c r="H153" s="1">
        <f t="shared" ca="1" si="43"/>
        <v>4</v>
      </c>
      <c r="I153" s="1"/>
      <c r="J153" s="1">
        <f t="shared" ca="1" si="44"/>
        <v>1</v>
      </c>
      <c r="K153" s="1">
        <f t="shared" ca="1" si="45"/>
        <v>1.4940310695742609</v>
      </c>
      <c r="L153" s="1">
        <f t="shared" ca="1" si="46"/>
        <v>6</v>
      </c>
      <c r="M153" s="1"/>
      <c r="N153" s="1">
        <f t="shared" ca="1" si="47"/>
        <v>270</v>
      </c>
      <c r="O153" s="1">
        <f t="shared" ca="1" si="48"/>
        <v>31</v>
      </c>
      <c r="P153" s="1"/>
      <c r="Q153" s="1">
        <f t="shared" ca="1" si="49"/>
        <v>2.8798761901803487</v>
      </c>
      <c r="R153" s="1">
        <f t="shared" ca="1" si="50"/>
        <v>220</v>
      </c>
      <c r="S153" s="1"/>
      <c r="T153" s="1">
        <f t="shared" ca="1" si="51"/>
        <v>0.13635148388156296</v>
      </c>
      <c r="U153" s="1">
        <f t="shared" ca="1" si="52"/>
        <v>179</v>
      </c>
      <c r="V153" s="1">
        <f t="shared" ca="1" si="53"/>
        <v>41</v>
      </c>
      <c r="W153" s="1"/>
      <c r="X153" s="1">
        <f t="shared" ca="1" si="54"/>
        <v>8.0666370208583853</v>
      </c>
      <c r="Y153" s="1">
        <f t="shared" ca="1" si="55"/>
        <v>0.72395654276784771</v>
      </c>
      <c r="Z153" s="1">
        <f t="shared" ca="1" si="56"/>
        <v>382</v>
      </c>
    </row>
    <row r="154" spans="2:26" x14ac:dyDescent="0.25">
      <c r="B154">
        <f t="shared" ca="1" si="38"/>
        <v>826</v>
      </c>
      <c r="C154">
        <f t="shared" ca="1" si="39"/>
        <v>2</v>
      </c>
      <c r="D154">
        <f t="shared" ca="1" si="40"/>
        <v>4.9765432417294954E-2</v>
      </c>
      <c r="F154" s="1">
        <f t="shared" ca="1" si="41"/>
        <v>39</v>
      </c>
      <c r="G154" s="1">
        <f t="shared" ca="1" si="42"/>
        <v>2</v>
      </c>
      <c r="H154" s="1">
        <f t="shared" ca="1" si="43"/>
        <v>1</v>
      </c>
      <c r="I154" s="1"/>
      <c r="J154" s="1">
        <f t="shared" ca="1" si="44"/>
        <v>27</v>
      </c>
      <c r="K154" s="1">
        <f t="shared" ca="1" si="45"/>
        <v>1.1124863287767757</v>
      </c>
      <c r="L154" s="1">
        <f t="shared" ca="1" si="46"/>
        <v>7</v>
      </c>
      <c r="M154" s="1"/>
      <c r="N154" s="1">
        <f t="shared" ca="1" si="47"/>
        <v>855</v>
      </c>
      <c r="O154" s="1">
        <f t="shared" ca="1" si="48"/>
        <v>26</v>
      </c>
      <c r="P154" s="1"/>
      <c r="Q154" s="1">
        <f t="shared" ca="1" si="49"/>
        <v>2.5424645361445908</v>
      </c>
      <c r="R154" s="1">
        <f t="shared" ca="1" si="50"/>
        <v>578</v>
      </c>
      <c r="S154" s="1"/>
      <c r="T154" s="1">
        <f t="shared" ca="1" si="51"/>
        <v>6.0801081340035118E-2</v>
      </c>
      <c r="U154" s="1">
        <f t="shared" ca="1" si="52"/>
        <v>129</v>
      </c>
      <c r="V154" s="1">
        <f t="shared" ca="1" si="53"/>
        <v>48</v>
      </c>
      <c r="W154" s="1"/>
      <c r="X154" s="1">
        <f t="shared" ca="1" si="54"/>
        <v>9.6686158352420986</v>
      </c>
      <c r="Y154" s="1">
        <f t="shared" ca="1" si="55"/>
        <v>0.75866797979147838</v>
      </c>
      <c r="Z154" s="1">
        <f t="shared" ca="1" si="56"/>
        <v>1075</v>
      </c>
    </row>
    <row r="155" spans="2:26" x14ac:dyDescent="0.25">
      <c r="B155">
        <f t="shared" ca="1" si="38"/>
        <v>742</v>
      </c>
      <c r="C155">
        <f t="shared" ca="1" si="39"/>
        <v>27</v>
      </c>
      <c r="D155">
        <f t="shared" ca="1" si="40"/>
        <v>8.1117078114650437E-2</v>
      </c>
      <c r="F155" s="1">
        <f t="shared" ca="1" si="41"/>
        <v>15</v>
      </c>
      <c r="G155" s="1">
        <f t="shared" ca="1" si="42"/>
        <v>26</v>
      </c>
      <c r="H155" s="1">
        <f t="shared" ca="1" si="43"/>
        <v>8</v>
      </c>
      <c r="I155" s="1"/>
      <c r="J155" s="1">
        <f t="shared" ca="1" si="44"/>
        <v>14</v>
      </c>
      <c r="K155" s="1">
        <f t="shared" ca="1" si="45"/>
        <v>2.6981214933140238</v>
      </c>
      <c r="L155" s="1">
        <f t="shared" ca="1" si="46"/>
        <v>20</v>
      </c>
      <c r="M155" s="1"/>
      <c r="N155" s="1">
        <f t="shared" ca="1" si="47"/>
        <v>171</v>
      </c>
      <c r="O155" s="1">
        <f t="shared" ca="1" si="48"/>
        <v>49</v>
      </c>
      <c r="P155" s="1"/>
      <c r="Q155" s="1">
        <f t="shared" ca="1" si="49"/>
        <v>3.7657410979078887</v>
      </c>
      <c r="R155" s="1">
        <f t="shared" ca="1" si="50"/>
        <v>452</v>
      </c>
      <c r="S155" s="1"/>
      <c r="T155" s="1">
        <f t="shared" ca="1" si="51"/>
        <v>0.11416196187383232</v>
      </c>
      <c r="U155" s="1">
        <f t="shared" ca="1" si="52"/>
        <v>243</v>
      </c>
      <c r="V155" s="1">
        <f t="shared" ca="1" si="53"/>
        <v>44</v>
      </c>
      <c r="W155" s="1"/>
      <c r="X155" s="1">
        <f t="shared" ca="1" si="54"/>
        <v>0.59742930107024195</v>
      </c>
      <c r="Y155" s="1">
        <f t="shared" ca="1" si="55"/>
        <v>0.45371820005202634</v>
      </c>
      <c r="Z155" s="1">
        <f t="shared" ca="1" si="56"/>
        <v>244</v>
      </c>
    </row>
    <row r="156" spans="2:26" x14ac:dyDescent="0.25">
      <c r="B156">
        <f t="shared" ca="1" si="38"/>
        <v>294</v>
      </c>
      <c r="C156">
        <f t="shared" ca="1" si="39"/>
        <v>17</v>
      </c>
      <c r="D156">
        <f t="shared" ca="1" si="40"/>
        <v>8.0865367319898393E-2</v>
      </c>
      <c r="F156" s="1">
        <f t="shared" ca="1" si="41"/>
        <v>18</v>
      </c>
      <c r="G156" s="1">
        <f t="shared" ca="1" si="42"/>
        <v>14</v>
      </c>
      <c r="H156" s="1">
        <f t="shared" ca="1" si="43"/>
        <v>15</v>
      </c>
      <c r="I156" s="1"/>
      <c r="J156" s="1">
        <f t="shared" ca="1" si="44"/>
        <v>28</v>
      </c>
      <c r="K156" s="1">
        <f t="shared" ca="1" si="45"/>
        <v>2.0899812080170346</v>
      </c>
      <c r="L156" s="1">
        <f t="shared" ca="1" si="46"/>
        <v>19</v>
      </c>
      <c r="M156" s="1"/>
      <c r="N156" s="1">
        <f t="shared" ca="1" si="47"/>
        <v>619</v>
      </c>
      <c r="O156" s="1">
        <f t="shared" ca="1" si="48"/>
        <v>25</v>
      </c>
      <c r="P156" s="1"/>
      <c r="Q156" s="1">
        <f t="shared" ca="1" si="49"/>
        <v>3.3176905964862029</v>
      </c>
      <c r="R156" s="1">
        <f t="shared" ca="1" si="50"/>
        <v>455</v>
      </c>
      <c r="S156" s="1"/>
      <c r="T156" s="1">
        <f t="shared" ca="1" si="51"/>
        <v>3.6583324067968506E-2</v>
      </c>
      <c r="U156" s="1">
        <f t="shared" ca="1" si="52"/>
        <v>64</v>
      </c>
      <c r="V156" s="1">
        <f t="shared" ca="1" si="53"/>
        <v>49</v>
      </c>
      <c r="W156" s="1"/>
      <c r="X156" s="1">
        <f t="shared" ca="1" si="54"/>
        <v>0.7496266453303837</v>
      </c>
      <c r="Y156" s="1">
        <f t="shared" ca="1" si="55"/>
        <v>0.88211890702270634</v>
      </c>
      <c r="Z156" s="1">
        <f t="shared" ca="1" si="56"/>
        <v>759</v>
      </c>
    </row>
    <row r="157" spans="2:26" x14ac:dyDescent="0.25">
      <c r="B157">
        <f t="shared" ca="1" si="38"/>
        <v>992</v>
      </c>
      <c r="C157">
        <f t="shared" ca="1" si="39"/>
        <v>42</v>
      </c>
      <c r="D157">
        <f t="shared" ca="1" si="40"/>
        <v>0.19900461179771572</v>
      </c>
      <c r="F157" s="1">
        <f t="shared" ca="1" si="41"/>
        <v>45</v>
      </c>
      <c r="G157" s="1">
        <f t="shared" ca="1" si="42"/>
        <v>18</v>
      </c>
      <c r="H157" s="1">
        <f t="shared" ca="1" si="43"/>
        <v>9</v>
      </c>
      <c r="I157" s="1"/>
      <c r="J157" s="1">
        <f t="shared" ca="1" si="44"/>
        <v>25</v>
      </c>
      <c r="K157" s="1">
        <f t="shared" ca="1" si="45"/>
        <v>2.234630748728073</v>
      </c>
      <c r="L157" s="1">
        <f t="shared" ca="1" si="46"/>
        <v>10</v>
      </c>
      <c r="M157" s="1"/>
      <c r="N157" s="1">
        <f t="shared" ca="1" si="47"/>
        <v>728</v>
      </c>
      <c r="O157" s="1">
        <f t="shared" ca="1" si="48"/>
        <v>46</v>
      </c>
      <c r="P157" s="1"/>
      <c r="Q157" s="1">
        <f t="shared" ca="1" si="49"/>
        <v>3.533204875192685</v>
      </c>
      <c r="R157" s="1">
        <f t="shared" ca="1" si="50"/>
        <v>899</v>
      </c>
      <c r="S157" s="1"/>
      <c r="T157" s="1">
        <f t="shared" ca="1" si="51"/>
        <v>9.2620776693537354E-2</v>
      </c>
      <c r="U157" s="1">
        <f t="shared" ca="1" si="52"/>
        <v>280</v>
      </c>
      <c r="V157" s="1">
        <f t="shared" ca="1" si="53"/>
        <v>20</v>
      </c>
      <c r="W157" s="1"/>
      <c r="X157" s="1">
        <f t="shared" ca="1" si="54"/>
        <v>3.9726380366446019</v>
      </c>
      <c r="Y157" s="1">
        <f t="shared" ca="1" si="55"/>
        <v>0.66204060575366297</v>
      </c>
      <c r="Z157" s="1">
        <f t="shared" ca="1" si="56"/>
        <v>1451</v>
      </c>
    </row>
    <row r="158" spans="2:26" x14ac:dyDescent="0.25">
      <c r="B158">
        <f t="shared" ca="1" si="38"/>
        <v>414</v>
      </c>
      <c r="C158">
        <f t="shared" ca="1" si="39"/>
        <v>30</v>
      </c>
      <c r="D158">
        <f t="shared" ca="1" si="40"/>
        <v>0.22885537646729917</v>
      </c>
      <c r="F158" s="1">
        <f t="shared" ca="1" si="41"/>
        <v>17</v>
      </c>
      <c r="G158" s="1">
        <f t="shared" ca="1" si="42"/>
        <v>11</v>
      </c>
      <c r="H158" s="1">
        <f t="shared" ca="1" si="43"/>
        <v>7</v>
      </c>
      <c r="I158" s="1"/>
      <c r="J158" s="1">
        <f t="shared" ca="1" si="44"/>
        <v>37</v>
      </c>
      <c r="K158" s="1">
        <f t="shared" ca="1" si="45"/>
        <v>2.0006293620060771</v>
      </c>
      <c r="L158" s="1">
        <f t="shared" ca="1" si="46"/>
        <v>33</v>
      </c>
      <c r="M158" s="1"/>
      <c r="N158" s="1">
        <f t="shared" ca="1" si="47"/>
        <v>513</v>
      </c>
      <c r="O158" s="1">
        <f t="shared" ca="1" si="48"/>
        <v>22</v>
      </c>
      <c r="P158" s="1"/>
      <c r="Q158" s="1">
        <f t="shared" ca="1" si="49"/>
        <v>4.3278101297975224</v>
      </c>
      <c r="R158" s="1">
        <f t="shared" ca="1" si="50"/>
        <v>1042</v>
      </c>
      <c r="S158" s="1"/>
      <c r="T158" s="1">
        <f t="shared" ca="1" si="51"/>
        <v>0.12297898941271268</v>
      </c>
      <c r="U158" s="1">
        <f t="shared" ca="1" si="52"/>
        <v>386</v>
      </c>
      <c r="V158" s="1">
        <f t="shared" ca="1" si="53"/>
        <v>31</v>
      </c>
      <c r="W158" s="1"/>
      <c r="X158" s="1">
        <f t="shared" ca="1" si="54"/>
        <v>6.8865506994805479</v>
      </c>
      <c r="Y158" s="1">
        <f t="shared" ca="1" si="55"/>
        <v>0.30364832903565842</v>
      </c>
      <c r="Z158" s="1">
        <f t="shared" ca="1" si="56"/>
        <v>682</v>
      </c>
    </row>
    <row r="159" spans="2:26" x14ac:dyDescent="0.25">
      <c r="B159">
        <f t="shared" ca="1" si="38"/>
        <v>880</v>
      </c>
      <c r="C159">
        <f t="shared" ca="1" si="39"/>
        <v>22</v>
      </c>
      <c r="D159">
        <f t="shared" ca="1" si="40"/>
        <v>1.8643269687570123E-2</v>
      </c>
      <c r="F159" s="1">
        <f t="shared" ca="1" si="41"/>
        <v>36</v>
      </c>
      <c r="G159" s="1">
        <f t="shared" ca="1" si="42"/>
        <v>16</v>
      </c>
      <c r="H159" s="1">
        <f t="shared" ca="1" si="43"/>
        <v>1</v>
      </c>
      <c r="I159" s="1"/>
      <c r="J159" s="1">
        <f t="shared" ca="1" si="44"/>
        <v>30</v>
      </c>
      <c r="K159" s="1">
        <f t="shared" ca="1" si="45"/>
        <v>1.0721810287592315</v>
      </c>
      <c r="L159" s="1">
        <f t="shared" ca="1" si="46"/>
        <v>16</v>
      </c>
      <c r="M159" s="1"/>
      <c r="N159" s="1">
        <f t="shared" ca="1" si="47"/>
        <v>761</v>
      </c>
      <c r="O159" s="1">
        <f t="shared" ca="1" si="48"/>
        <v>7</v>
      </c>
      <c r="P159" s="1"/>
      <c r="Q159" s="1">
        <f t="shared" ca="1" si="49"/>
        <v>1.3743998728107021</v>
      </c>
      <c r="R159" s="1">
        <f t="shared" ca="1" si="50"/>
        <v>521</v>
      </c>
      <c r="S159" s="1"/>
      <c r="T159" s="1">
        <f t="shared" ca="1" si="51"/>
        <v>5.9378461770034419E-2</v>
      </c>
      <c r="U159" s="1">
        <f t="shared" ca="1" si="52"/>
        <v>204</v>
      </c>
      <c r="V159" s="1">
        <f t="shared" ca="1" si="53"/>
        <v>42</v>
      </c>
      <c r="W159" s="1"/>
      <c r="X159" s="1">
        <f t="shared" ca="1" si="54"/>
        <v>3.6562247610367429</v>
      </c>
      <c r="Y159" s="1">
        <f t="shared" ca="1" si="55"/>
        <v>0.59899146669316483</v>
      </c>
      <c r="Z159" s="1">
        <f t="shared" ca="1" si="56"/>
        <v>1478</v>
      </c>
    </row>
    <row r="160" spans="2:26" x14ac:dyDescent="0.25">
      <c r="B160">
        <f t="shared" ca="1" si="38"/>
        <v>857</v>
      </c>
      <c r="C160">
        <f t="shared" ca="1" si="39"/>
        <v>28</v>
      </c>
      <c r="D160">
        <f t="shared" ca="1" si="40"/>
        <v>5.6289015308170848E-2</v>
      </c>
      <c r="F160" s="1">
        <f t="shared" ca="1" si="41"/>
        <v>24</v>
      </c>
      <c r="G160" s="1">
        <f t="shared" ca="1" si="42"/>
        <v>26</v>
      </c>
      <c r="H160" s="1">
        <f t="shared" ca="1" si="43"/>
        <v>7</v>
      </c>
      <c r="I160" s="1"/>
      <c r="J160" s="1">
        <f t="shared" ca="1" si="44"/>
        <v>31</v>
      </c>
      <c r="K160" s="1">
        <f t="shared" ca="1" si="45"/>
        <v>1.5525237556021014</v>
      </c>
      <c r="L160" s="1">
        <f t="shared" ca="1" si="46"/>
        <v>26</v>
      </c>
      <c r="M160" s="1"/>
      <c r="N160" s="1">
        <f t="shared" ca="1" si="47"/>
        <v>997</v>
      </c>
      <c r="O160" s="1">
        <f t="shared" ca="1" si="48"/>
        <v>20</v>
      </c>
      <c r="P160" s="1"/>
      <c r="Q160" s="1">
        <f t="shared" ca="1" si="49"/>
        <v>4.607033692878078</v>
      </c>
      <c r="R160" s="1">
        <f t="shared" ca="1" si="50"/>
        <v>262</v>
      </c>
      <c r="S160" s="1"/>
      <c r="T160" s="1">
        <f t="shared" ca="1" si="51"/>
        <v>0.12773520731725746</v>
      </c>
      <c r="U160" s="1">
        <f t="shared" ca="1" si="52"/>
        <v>274</v>
      </c>
      <c r="V160" s="1">
        <f t="shared" ca="1" si="53"/>
        <v>9</v>
      </c>
      <c r="W160" s="1"/>
      <c r="X160" s="1">
        <f t="shared" ca="1" si="54"/>
        <v>0.83917252581339274</v>
      </c>
      <c r="Y160" s="1">
        <f t="shared" ca="1" si="55"/>
        <v>0.41216097158706738</v>
      </c>
      <c r="Z160" s="1">
        <f t="shared" ca="1" si="56"/>
        <v>1002</v>
      </c>
    </row>
    <row r="161" spans="2:26" x14ac:dyDescent="0.25">
      <c r="B161">
        <f t="shared" ca="1" si="38"/>
        <v>327</v>
      </c>
      <c r="C161">
        <f t="shared" ca="1" si="39"/>
        <v>35</v>
      </c>
      <c r="D161">
        <f t="shared" ca="1" si="40"/>
        <v>0.26830928299388301</v>
      </c>
      <c r="F161" s="1">
        <f t="shared" ca="1" si="41"/>
        <v>47</v>
      </c>
      <c r="G161" s="1">
        <f t="shared" ca="1" si="42"/>
        <v>14</v>
      </c>
      <c r="H161" s="1">
        <f t="shared" ca="1" si="43"/>
        <v>6</v>
      </c>
      <c r="I161" s="1"/>
      <c r="J161" s="1">
        <f t="shared" ca="1" si="44"/>
        <v>36</v>
      </c>
      <c r="K161" s="1">
        <f t="shared" ca="1" si="45"/>
        <v>1.9463009889729068</v>
      </c>
      <c r="L161" s="1">
        <f t="shared" ca="1" si="46"/>
        <v>33</v>
      </c>
      <c r="M161" s="1"/>
      <c r="N161" s="1">
        <f t="shared" ca="1" si="47"/>
        <v>760</v>
      </c>
      <c r="O161" s="1">
        <f t="shared" ca="1" si="48"/>
        <v>30</v>
      </c>
      <c r="P161" s="1"/>
      <c r="Q161" s="1">
        <f t="shared" ca="1" si="49"/>
        <v>6.7758891463447768E-2</v>
      </c>
      <c r="R161" s="1">
        <f t="shared" ca="1" si="50"/>
        <v>1189</v>
      </c>
      <c r="S161" s="1"/>
      <c r="T161" s="1">
        <f t="shared" ca="1" si="51"/>
        <v>7.1401684455499867E-2</v>
      </c>
      <c r="U161" s="1">
        <f t="shared" ca="1" si="52"/>
        <v>311</v>
      </c>
      <c r="V161" s="1">
        <f t="shared" ca="1" si="53"/>
        <v>32</v>
      </c>
      <c r="W161" s="1"/>
      <c r="X161" s="1">
        <f t="shared" ca="1" si="54"/>
        <v>7.6421942915488668</v>
      </c>
      <c r="Y161" s="1">
        <f t="shared" ca="1" si="55"/>
        <v>0.17103140929287633</v>
      </c>
      <c r="Z161" s="1">
        <f t="shared" ca="1" si="56"/>
        <v>1655</v>
      </c>
    </row>
    <row r="162" spans="2:26" x14ac:dyDescent="0.25">
      <c r="B162">
        <f t="shared" ca="1" si="38"/>
        <v>306</v>
      </c>
      <c r="C162">
        <f t="shared" ca="1" si="39"/>
        <v>31</v>
      </c>
      <c r="D162">
        <f t="shared" ca="1" si="40"/>
        <v>9.5678105274892525E-2</v>
      </c>
      <c r="F162" s="1">
        <f t="shared" ca="1" si="41"/>
        <v>10</v>
      </c>
      <c r="G162" s="1">
        <f t="shared" ca="1" si="42"/>
        <v>13</v>
      </c>
      <c r="H162" s="1">
        <f t="shared" ca="1" si="43"/>
        <v>3</v>
      </c>
      <c r="I162" s="1"/>
      <c r="J162" s="1">
        <f t="shared" ca="1" si="44"/>
        <v>12</v>
      </c>
      <c r="K162" s="1">
        <f t="shared" ca="1" si="45"/>
        <v>2.8570655240302578</v>
      </c>
      <c r="L162" s="1">
        <f t="shared" ca="1" si="46"/>
        <v>9</v>
      </c>
      <c r="M162" s="1"/>
      <c r="N162" s="1">
        <f t="shared" ca="1" si="47"/>
        <v>748</v>
      </c>
      <c r="O162" s="1">
        <f t="shared" ca="1" si="48"/>
        <v>10</v>
      </c>
      <c r="P162" s="1"/>
      <c r="Q162" s="1">
        <f t="shared" ca="1" si="49"/>
        <v>3.9826179833951936</v>
      </c>
      <c r="R162" s="1">
        <f t="shared" ca="1" si="50"/>
        <v>1041</v>
      </c>
      <c r="S162" s="1"/>
      <c r="T162" s="1">
        <f t="shared" ca="1" si="51"/>
        <v>0.1764487756882637</v>
      </c>
      <c r="U162" s="1">
        <f t="shared" ca="1" si="52"/>
        <v>53</v>
      </c>
      <c r="V162" s="1">
        <f t="shared" ca="1" si="53"/>
        <v>34</v>
      </c>
      <c r="W162" s="1"/>
      <c r="X162" s="1">
        <f t="shared" ca="1" si="54"/>
        <v>5.2478262370644524</v>
      </c>
      <c r="Y162" s="1">
        <f t="shared" ca="1" si="55"/>
        <v>0.72349727592167956</v>
      </c>
      <c r="Z162" s="1">
        <f t="shared" ca="1" si="56"/>
        <v>1194</v>
      </c>
    </row>
    <row r="163" spans="2:26" x14ac:dyDescent="0.25">
      <c r="B163">
        <f t="shared" ca="1" si="38"/>
        <v>269</v>
      </c>
      <c r="C163">
        <f t="shared" ca="1" si="39"/>
        <v>37</v>
      </c>
      <c r="D163">
        <f t="shared" ca="1" si="40"/>
        <v>0.12453310358549455</v>
      </c>
      <c r="F163" s="1">
        <f t="shared" ca="1" si="41"/>
        <v>28</v>
      </c>
      <c r="G163" s="1">
        <f t="shared" ca="1" si="42"/>
        <v>22</v>
      </c>
      <c r="H163" s="1">
        <f t="shared" ca="1" si="43"/>
        <v>9</v>
      </c>
      <c r="I163" s="1"/>
      <c r="J163" s="1">
        <f t="shared" ca="1" si="44"/>
        <v>37</v>
      </c>
      <c r="K163" s="1">
        <f t="shared" ca="1" si="45"/>
        <v>1.8860729226217585</v>
      </c>
      <c r="L163" s="1">
        <f t="shared" ca="1" si="46"/>
        <v>33</v>
      </c>
      <c r="M163" s="1"/>
      <c r="N163" s="1">
        <f t="shared" ca="1" si="47"/>
        <v>93</v>
      </c>
      <c r="O163" s="1">
        <f t="shared" ca="1" si="48"/>
        <v>11</v>
      </c>
      <c r="P163" s="1"/>
      <c r="Q163" s="1">
        <f t="shared" ca="1" si="49"/>
        <v>3.5927304334345611</v>
      </c>
      <c r="R163" s="1">
        <f t="shared" ca="1" si="50"/>
        <v>1161</v>
      </c>
      <c r="S163" s="1"/>
      <c r="T163" s="1">
        <f t="shared" ca="1" si="51"/>
        <v>0.12712549235360884</v>
      </c>
      <c r="U163" s="1">
        <f t="shared" ca="1" si="52"/>
        <v>221</v>
      </c>
      <c r="V163" s="1">
        <f t="shared" ca="1" si="53"/>
        <v>47</v>
      </c>
      <c r="W163" s="1"/>
      <c r="X163" s="1">
        <f t="shared" ca="1" si="54"/>
        <v>2.0642972591930153</v>
      </c>
      <c r="Y163" s="1">
        <f t="shared" ca="1" si="55"/>
        <v>0.1761050074948336</v>
      </c>
      <c r="Z163" s="1">
        <f t="shared" ca="1" si="56"/>
        <v>522</v>
      </c>
    </row>
    <row r="164" spans="2:26" x14ac:dyDescent="0.25">
      <c r="B164">
        <f t="shared" ca="1" si="38"/>
        <v>644</v>
      </c>
      <c r="C164">
        <f t="shared" ca="1" si="39"/>
        <v>7</v>
      </c>
      <c r="D164">
        <f t="shared" ca="1" si="40"/>
        <v>5.3532709216432182E-2</v>
      </c>
      <c r="F164" s="1">
        <f t="shared" ca="1" si="41"/>
        <v>44</v>
      </c>
      <c r="G164" s="1">
        <f t="shared" ca="1" si="42"/>
        <v>14</v>
      </c>
      <c r="H164" s="1">
        <f t="shared" ca="1" si="43"/>
        <v>1</v>
      </c>
      <c r="I164" s="1"/>
      <c r="J164" s="1">
        <f t="shared" ca="1" si="44"/>
        <v>4</v>
      </c>
      <c r="K164" s="1">
        <f t="shared" ca="1" si="45"/>
        <v>2.7478051824173515</v>
      </c>
      <c r="L164" s="1">
        <f t="shared" ca="1" si="46"/>
        <v>23</v>
      </c>
      <c r="M164" s="1"/>
      <c r="N164" s="1">
        <f t="shared" ca="1" si="47"/>
        <v>543</v>
      </c>
      <c r="O164" s="1">
        <f t="shared" ca="1" si="48"/>
        <v>22</v>
      </c>
      <c r="P164" s="1"/>
      <c r="Q164" s="1">
        <f t="shared" ca="1" si="49"/>
        <v>1.9578450459871994</v>
      </c>
      <c r="R164" s="1">
        <f t="shared" ca="1" si="50"/>
        <v>599</v>
      </c>
      <c r="S164" s="1"/>
      <c r="T164" s="1">
        <f t="shared" ca="1" si="51"/>
        <v>0.18266047095595386</v>
      </c>
      <c r="U164" s="1">
        <f t="shared" ca="1" si="52"/>
        <v>233</v>
      </c>
      <c r="V164" s="1">
        <f t="shared" ca="1" si="53"/>
        <v>17</v>
      </c>
      <c r="W164" s="1"/>
      <c r="X164" s="1">
        <f t="shared" ca="1" si="54"/>
        <v>0.21272650674563279</v>
      </c>
      <c r="Y164" s="1">
        <f t="shared" ca="1" si="55"/>
        <v>0.59763880683976855</v>
      </c>
      <c r="Z164" s="1">
        <f t="shared" ca="1" si="56"/>
        <v>669</v>
      </c>
    </row>
    <row r="165" spans="2:26" x14ac:dyDescent="0.25">
      <c r="B165">
        <f t="shared" ca="1" si="38"/>
        <v>816</v>
      </c>
      <c r="C165">
        <f t="shared" ca="1" si="39"/>
        <v>4</v>
      </c>
      <c r="D165">
        <f t="shared" ca="1" si="40"/>
        <v>0.19624996350604237</v>
      </c>
      <c r="F165" s="1">
        <f t="shared" ca="1" si="41"/>
        <v>28</v>
      </c>
      <c r="G165" s="1">
        <f t="shared" ca="1" si="42"/>
        <v>29</v>
      </c>
      <c r="H165" s="1">
        <f t="shared" ca="1" si="43"/>
        <v>2</v>
      </c>
      <c r="I165" s="1"/>
      <c r="J165" s="1">
        <f t="shared" ca="1" si="44"/>
        <v>18</v>
      </c>
      <c r="K165" s="1">
        <f t="shared" ca="1" si="45"/>
        <v>1.1221846121270154</v>
      </c>
      <c r="L165" s="1">
        <f t="shared" ca="1" si="46"/>
        <v>23</v>
      </c>
      <c r="M165" s="1"/>
      <c r="N165" s="1">
        <f t="shared" ca="1" si="47"/>
        <v>177</v>
      </c>
      <c r="O165" s="1">
        <f t="shared" ca="1" si="48"/>
        <v>12</v>
      </c>
      <c r="P165" s="1"/>
      <c r="Q165" s="1">
        <f t="shared" ca="1" si="49"/>
        <v>3.0252489109124419</v>
      </c>
      <c r="R165" s="1">
        <f t="shared" ca="1" si="50"/>
        <v>309</v>
      </c>
      <c r="S165" s="1"/>
      <c r="T165" s="1">
        <f t="shared" ca="1" si="51"/>
        <v>0.19717691611977325</v>
      </c>
      <c r="U165" s="1">
        <f t="shared" ca="1" si="52"/>
        <v>168</v>
      </c>
      <c r="V165" s="1">
        <f t="shared" ca="1" si="53"/>
        <v>16</v>
      </c>
      <c r="W165" s="1"/>
      <c r="X165" s="1">
        <f t="shared" ca="1" si="54"/>
        <v>7.0804734721051199</v>
      </c>
      <c r="Y165" s="1">
        <f t="shared" ca="1" si="55"/>
        <v>0.11049244274211532</v>
      </c>
      <c r="Z165" s="1">
        <f t="shared" ca="1" si="56"/>
        <v>1513</v>
      </c>
    </row>
    <row r="166" spans="2:26" x14ac:dyDescent="0.25">
      <c r="B166">
        <f t="shared" ca="1" si="38"/>
        <v>119</v>
      </c>
      <c r="C166">
        <f t="shared" ca="1" si="39"/>
        <v>24</v>
      </c>
      <c r="D166">
        <f t="shared" ca="1" si="40"/>
        <v>7.9007788953660327E-2</v>
      </c>
      <c r="F166" s="1">
        <f t="shared" ca="1" si="41"/>
        <v>33</v>
      </c>
      <c r="G166" s="1">
        <f t="shared" ca="1" si="42"/>
        <v>26</v>
      </c>
      <c r="H166" s="1">
        <f t="shared" ca="1" si="43"/>
        <v>8</v>
      </c>
      <c r="I166" s="1"/>
      <c r="J166" s="1">
        <f t="shared" ca="1" si="44"/>
        <v>34</v>
      </c>
      <c r="K166" s="1">
        <f t="shared" ca="1" si="45"/>
        <v>1.8425903641998056</v>
      </c>
      <c r="L166" s="1">
        <f t="shared" ca="1" si="46"/>
        <v>35</v>
      </c>
      <c r="M166" s="1"/>
      <c r="N166" s="1">
        <f t="shared" ca="1" si="47"/>
        <v>896</v>
      </c>
      <c r="O166" s="1">
        <f t="shared" ca="1" si="48"/>
        <v>10</v>
      </c>
      <c r="P166" s="1"/>
      <c r="Q166" s="1">
        <f t="shared" ca="1" si="49"/>
        <v>2.3910443234393122</v>
      </c>
      <c r="R166" s="1">
        <f t="shared" ca="1" si="50"/>
        <v>1021</v>
      </c>
      <c r="S166" s="1"/>
      <c r="T166" s="1">
        <f t="shared" ca="1" si="51"/>
        <v>4.5392384805458853E-2</v>
      </c>
      <c r="U166" s="1">
        <f t="shared" ca="1" si="52"/>
        <v>291</v>
      </c>
      <c r="V166" s="1">
        <f t="shared" ca="1" si="53"/>
        <v>41</v>
      </c>
      <c r="W166" s="1"/>
      <c r="X166" s="1">
        <f t="shared" ca="1" si="54"/>
        <v>8.4630793310579495</v>
      </c>
      <c r="Y166" s="1">
        <f t="shared" ca="1" si="55"/>
        <v>0.20696732613179666</v>
      </c>
      <c r="Z166" s="1">
        <f t="shared" ca="1" si="56"/>
        <v>168</v>
      </c>
    </row>
    <row r="167" spans="2:26" x14ac:dyDescent="0.25">
      <c r="B167">
        <f t="shared" ca="1" si="38"/>
        <v>804</v>
      </c>
      <c r="C167">
        <f t="shared" ca="1" si="39"/>
        <v>37</v>
      </c>
      <c r="D167">
        <f t="shared" ca="1" si="40"/>
        <v>0.16935145742101665</v>
      </c>
      <c r="F167" s="1">
        <f t="shared" ca="1" si="41"/>
        <v>21</v>
      </c>
      <c r="G167" s="1">
        <f t="shared" ca="1" si="42"/>
        <v>19</v>
      </c>
      <c r="H167" s="1">
        <f t="shared" ca="1" si="43"/>
        <v>14</v>
      </c>
      <c r="I167" s="1"/>
      <c r="J167" s="1">
        <f t="shared" ca="1" si="44"/>
        <v>14</v>
      </c>
      <c r="K167" s="1">
        <f t="shared" ca="1" si="45"/>
        <v>2.9396922063806432</v>
      </c>
      <c r="L167" s="1">
        <f t="shared" ca="1" si="46"/>
        <v>27</v>
      </c>
      <c r="M167" s="1"/>
      <c r="N167" s="1">
        <f t="shared" ca="1" si="47"/>
        <v>490</v>
      </c>
      <c r="O167" s="1">
        <f t="shared" ca="1" si="48"/>
        <v>41</v>
      </c>
      <c r="P167" s="1"/>
      <c r="Q167" s="1">
        <f t="shared" ca="1" si="49"/>
        <v>4.8294639530792294</v>
      </c>
      <c r="R167" s="1">
        <f t="shared" ca="1" si="50"/>
        <v>802</v>
      </c>
      <c r="S167" s="1"/>
      <c r="T167" s="1">
        <f t="shared" ca="1" si="51"/>
        <v>7.5815047792077178E-2</v>
      </c>
      <c r="U167" s="1">
        <f t="shared" ca="1" si="52"/>
        <v>382</v>
      </c>
      <c r="V167" s="1">
        <f t="shared" ca="1" si="53"/>
        <v>25</v>
      </c>
      <c r="W167" s="1"/>
      <c r="X167" s="1">
        <f t="shared" ca="1" si="54"/>
        <v>4.0351873097773137</v>
      </c>
      <c r="Y167" s="1">
        <f t="shared" ca="1" si="55"/>
        <v>8.5230308780061374E-3</v>
      </c>
      <c r="Z167" s="1">
        <f t="shared" ca="1" si="56"/>
        <v>1587</v>
      </c>
    </row>
    <row r="168" spans="2:26" x14ac:dyDescent="0.25">
      <c r="B168">
        <f t="shared" ca="1" si="38"/>
        <v>665</v>
      </c>
      <c r="C168">
        <f t="shared" ca="1" si="39"/>
        <v>34</v>
      </c>
      <c r="D168">
        <f t="shared" ca="1" si="40"/>
        <v>0.15923681409789645</v>
      </c>
      <c r="F168" s="1">
        <f t="shared" ca="1" si="41"/>
        <v>33</v>
      </c>
      <c r="G168" s="1">
        <f t="shared" ca="1" si="42"/>
        <v>16</v>
      </c>
      <c r="H168" s="1">
        <f t="shared" ca="1" si="43"/>
        <v>9</v>
      </c>
      <c r="I168" s="1"/>
      <c r="J168" s="1">
        <f t="shared" ca="1" si="44"/>
        <v>1</v>
      </c>
      <c r="K168" s="1">
        <f t="shared" ca="1" si="45"/>
        <v>2.190735638401577</v>
      </c>
      <c r="L168" s="1">
        <f t="shared" ca="1" si="46"/>
        <v>29</v>
      </c>
      <c r="M168" s="1"/>
      <c r="N168" s="1">
        <f t="shared" ca="1" si="47"/>
        <v>904</v>
      </c>
      <c r="O168" s="1">
        <f t="shared" ca="1" si="48"/>
        <v>4</v>
      </c>
      <c r="P168" s="1"/>
      <c r="Q168" s="1">
        <f t="shared" ca="1" si="49"/>
        <v>4.4336961650427513</v>
      </c>
      <c r="R168" s="1">
        <f t="shared" ca="1" si="50"/>
        <v>424</v>
      </c>
      <c r="S168" s="1"/>
      <c r="T168" s="1">
        <f t="shared" ca="1" si="51"/>
        <v>3.6055347695027232E-2</v>
      </c>
      <c r="U168" s="1">
        <f t="shared" ca="1" si="52"/>
        <v>143</v>
      </c>
      <c r="V168" s="1">
        <f t="shared" ca="1" si="53"/>
        <v>33</v>
      </c>
      <c r="W168" s="1"/>
      <c r="X168" s="1">
        <f t="shared" ca="1" si="54"/>
        <v>3.2460480801240417</v>
      </c>
      <c r="Y168" s="1">
        <f t="shared" ca="1" si="55"/>
        <v>8.8536780474360574E-2</v>
      </c>
      <c r="Z168" s="1">
        <f t="shared" ca="1" si="56"/>
        <v>209</v>
      </c>
    </row>
    <row r="169" spans="2:26" x14ac:dyDescent="0.25">
      <c r="B169">
        <f t="shared" ca="1" si="38"/>
        <v>449</v>
      </c>
      <c r="C169">
        <f t="shared" ca="1" si="39"/>
        <v>30</v>
      </c>
      <c r="D169">
        <f t="shared" ca="1" si="40"/>
        <v>8.2399984925894884E-2</v>
      </c>
      <c r="F169" s="1">
        <f t="shared" ca="1" si="41"/>
        <v>25</v>
      </c>
      <c r="G169" s="1">
        <f t="shared" ca="1" si="42"/>
        <v>20</v>
      </c>
      <c r="H169" s="1">
        <f t="shared" ca="1" si="43"/>
        <v>8</v>
      </c>
      <c r="I169" s="1"/>
      <c r="J169" s="1">
        <f t="shared" ca="1" si="44"/>
        <v>18</v>
      </c>
      <c r="K169" s="1">
        <f t="shared" ca="1" si="45"/>
        <v>1.7013321043904872</v>
      </c>
      <c r="L169" s="1">
        <f t="shared" ca="1" si="46"/>
        <v>28</v>
      </c>
      <c r="M169" s="1"/>
      <c r="N169" s="1">
        <f t="shared" ca="1" si="47"/>
        <v>383</v>
      </c>
      <c r="O169" s="1">
        <f t="shared" ca="1" si="48"/>
        <v>36</v>
      </c>
      <c r="P169" s="1"/>
      <c r="Q169" s="1">
        <f t="shared" ca="1" si="49"/>
        <v>4.0776522809675697</v>
      </c>
      <c r="R169" s="1">
        <f t="shared" ca="1" si="50"/>
        <v>989</v>
      </c>
      <c r="S169" s="1"/>
      <c r="T169" s="1">
        <f t="shared" ca="1" si="51"/>
        <v>0.16406008606438655</v>
      </c>
      <c r="U169" s="1">
        <f t="shared" ca="1" si="52"/>
        <v>300</v>
      </c>
      <c r="V169" s="1">
        <f t="shared" ca="1" si="53"/>
        <v>48</v>
      </c>
      <c r="W169" s="1"/>
      <c r="X169" s="1">
        <f t="shared" ca="1" si="54"/>
        <v>1.9360715654469145</v>
      </c>
      <c r="Y169" s="1">
        <f t="shared" ca="1" si="55"/>
        <v>0.96808821159131386</v>
      </c>
      <c r="Z169" s="1">
        <f t="shared" ca="1" si="56"/>
        <v>1585</v>
      </c>
    </row>
    <row r="170" spans="2:26" x14ac:dyDescent="0.25">
      <c r="B170">
        <f t="shared" ca="1" si="38"/>
        <v>684</v>
      </c>
      <c r="C170">
        <f t="shared" ca="1" si="39"/>
        <v>52</v>
      </c>
      <c r="D170">
        <f t="shared" ca="1" si="40"/>
        <v>0.26101188563985117</v>
      </c>
      <c r="F170" s="1">
        <f t="shared" ca="1" si="41"/>
        <v>26</v>
      </c>
      <c r="G170" s="1">
        <f t="shared" ca="1" si="42"/>
        <v>16</v>
      </c>
      <c r="H170" s="1">
        <f t="shared" ca="1" si="43"/>
        <v>2</v>
      </c>
      <c r="I170" s="1"/>
      <c r="J170" s="1">
        <f t="shared" ca="1" si="44"/>
        <v>3</v>
      </c>
      <c r="K170" s="1">
        <f t="shared" ca="1" si="45"/>
        <v>1.3968415298140182</v>
      </c>
      <c r="L170" s="1">
        <f t="shared" ca="1" si="46"/>
        <v>35</v>
      </c>
      <c r="M170" s="1"/>
      <c r="N170" s="1">
        <f t="shared" ca="1" si="47"/>
        <v>175</v>
      </c>
      <c r="O170" s="1">
        <f t="shared" ca="1" si="48"/>
        <v>21</v>
      </c>
      <c r="P170" s="1"/>
      <c r="Q170" s="1">
        <f t="shared" ca="1" si="49"/>
        <v>0.82912475658409812</v>
      </c>
      <c r="R170" s="1">
        <f t="shared" ca="1" si="50"/>
        <v>1036</v>
      </c>
      <c r="S170" s="1"/>
      <c r="T170" s="1">
        <f t="shared" ca="1" si="51"/>
        <v>8.4586144865472487E-2</v>
      </c>
      <c r="U170" s="1">
        <f t="shared" ca="1" si="52"/>
        <v>197</v>
      </c>
      <c r="V170" s="1">
        <f t="shared" ca="1" si="53"/>
        <v>39</v>
      </c>
      <c r="W170" s="1"/>
      <c r="X170" s="1">
        <f t="shared" ca="1" si="54"/>
        <v>9.0422208395310122</v>
      </c>
      <c r="Y170" s="1">
        <f t="shared" ca="1" si="55"/>
        <v>0.99014389978353323</v>
      </c>
      <c r="Z170" s="1">
        <f t="shared" ca="1" si="56"/>
        <v>1393</v>
      </c>
    </row>
    <row r="171" spans="2:26" x14ac:dyDescent="0.25">
      <c r="B171">
        <f t="shared" ca="1" si="38"/>
        <v>613</v>
      </c>
      <c r="C171">
        <f t="shared" ca="1" si="39"/>
        <v>52</v>
      </c>
      <c r="D171">
        <f t="shared" ca="1" si="40"/>
        <v>9.4611536747526495E-2</v>
      </c>
      <c r="F171" s="1">
        <f t="shared" ca="1" si="41"/>
        <v>25</v>
      </c>
      <c r="G171" s="1">
        <f t="shared" ca="1" si="42"/>
        <v>28</v>
      </c>
      <c r="H171" s="1">
        <f t="shared" ca="1" si="43"/>
        <v>3</v>
      </c>
      <c r="I171" s="1"/>
      <c r="J171" s="1">
        <f t="shared" ca="1" si="44"/>
        <v>30</v>
      </c>
      <c r="K171" s="1">
        <f t="shared" ca="1" si="45"/>
        <v>2.6723079621082126</v>
      </c>
      <c r="L171" s="1">
        <f t="shared" ca="1" si="46"/>
        <v>19</v>
      </c>
      <c r="M171" s="1"/>
      <c r="N171" s="1">
        <f t="shared" ca="1" si="47"/>
        <v>58</v>
      </c>
      <c r="O171" s="1">
        <f t="shared" ca="1" si="48"/>
        <v>36</v>
      </c>
      <c r="P171" s="1"/>
      <c r="Q171" s="1">
        <f t="shared" ca="1" si="49"/>
        <v>1.6080033137384453</v>
      </c>
      <c r="R171" s="1">
        <f t="shared" ca="1" si="50"/>
        <v>491</v>
      </c>
      <c r="S171" s="1"/>
      <c r="T171" s="1">
        <f t="shared" ca="1" si="51"/>
        <v>1.0604069916070805E-2</v>
      </c>
      <c r="U171" s="1">
        <f t="shared" ca="1" si="52"/>
        <v>85</v>
      </c>
      <c r="V171" s="1">
        <f t="shared" ca="1" si="53"/>
        <v>22</v>
      </c>
      <c r="W171" s="1"/>
      <c r="X171" s="1">
        <f t="shared" ca="1" si="54"/>
        <v>9.7343995284435927</v>
      </c>
      <c r="Y171" s="1">
        <f t="shared" ca="1" si="55"/>
        <v>0.27087588626603393</v>
      </c>
      <c r="Z171" s="1">
        <f t="shared" ca="1" si="56"/>
        <v>849</v>
      </c>
    </row>
    <row r="172" spans="2:26" x14ac:dyDescent="0.25">
      <c r="B172">
        <f t="shared" ca="1" si="38"/>
        <v>546</v>
      </c>
      <c r="C172">
        <f t="shared" ca="1" si="39"/>
        <v>19</v>
      </c>
      <c r="D172">
        <f t="shared" ca="1" si="40"/>
        <v>7.8008184290800253E-2</v>
      </c>
      <c r="F172" s="1">
        <f t="shared" ca="1" si="41"/>
        <v>41</v>
      </c>
      <c r="G172" s="1">
        <f t="shared" ca="1" si="42"/>
        <v>4</v>
      </c>
      <c r="H172" s="1">
        <f t="shared" ca="1" si="43"/>
        <v>13</v>
      </c>
      <c r="I172" s="1"/>
      <c r="J172" s="1">
        <f t="shared" ca="1" si="44"/>
        <v>29</v>
      </c>
      <c r="K172" s="1">
        <f t="shared" ca="1" si="45"/>
        <v>2.6633192423332037</v>
      </c>
      <c r="L172" s="1">
        <f t="shared" ca="1" si="46"/>
        <v>28</v>
      </c>
      <c r="M172" s="1"/>
      <c r="N172" s="1">
        <f t="shared" ca="1" si="47"/>
        <v>736</v>
      </c>
      <c r="O172" s="1">
        <f t="shared" ca="1" si="48"/>
        <v>9</v>
      </c>
      <c r="P172" s="1"/>
      <c r="Q172" s="1">
        <f t="shared" ca="1" si="49"/>
        <v>4.0410289555436485</v>
      </c>
      <c r="R172" s="1">
        <f t="shared" ca="1" si="50"/>
        <v>864</v>
      </c>
      <c r="S172" s="1"/>
      <c r="T172" s="1">
        <f t="shared" ca="1" si="51"/>
        <v>0.19970682055006467</v>
      </c>
      <c r="U172" s="1">
        <f t="shared" ca="1" si="52"/>
        <v>402</v>
      </c>
      <c r="V172" s="1">
        <f t="shared" ca="1" si="53"/>
        <v>49</v>
      </c>
      <c r="W172" s="1"/>
      <c r="X172" s="1">
        <f t="shared" ca="1" si="54"/>
        <v>7.726384806173094</v>
      </c>
      <c r="Y172" s="1">
        <f t="shared" ca="1" si="55"/>
        <v>0.28078986989370741</v>
      </c>
      <c r="Z172" s="1">
        <f t="shared" ca="1" si="56"/>
        <v>1437</v>
      </c>
    </row>
    <row r="173" spans="2:26" x14ac:dyDescent="0.25">
      <c r="B173">
        <f t="shared" ca="1" si="38"/>
        <v>496</v>
      </c>
      <c r="C173">
        <f t="shared" ca="1" si="39"/>
        <v>26</v>
      </c>
      <c r="D173">
        <f t="shared" ca="1" si="40"/>
        <v>0.28935300970637107</v>
      </c>
      <c r="F173" s="1">
        <f t="shared" ca="1" si="41"/>
        <v>46</v>
      </c>
      <c r="G173" s="1">
        <f t="shared" ca="1" si="42"/>
        <v>8</v>
      </c>
      <c r="H173" s="1">
        <f t="shared" ca="1" si="43"/>
        <v>4</v>
      </c>
      <c r="I173" s="1"/>
      <c r="J173" s="1">
        <f t="shared" ca="1" si="44"/>
        <v>9</v>
      </c>
      <c r="K173" s="1">
        <f t="shared" ca="1" si="45"/>
        <v>2.879611599812316</v>
      </c>
      <c r="L173" s="1">
        <f t="shared" ca="1" si="46"/>
        <v>24</v>
      </c>
      <c r="M173" s="1"/>
      <c r="N173" s="1">
        <f t="shared" ca="1" si="47"/>
        <v>161</v>
      </c>
      <c r="O173" s="1">
        <f t="shared" ca="1" si="48"/>
        <v>22</v>
      </c>
      <c r="P173" s="1"/>
      <c r="Q173" s="1">
        <f t="shared" ca="1" si="49"/>
        <v>4.9799018506679396</v>
      </c>
      <c r="R173" s="1">
        <f t="shared" ca="1" si="50"/>
        <v>583</v>
      </c>
      <c r="S173" s="1"/>
      <c r="T173" s="1">
        <f t="shared" ca="1" si="51"/>
        <v>1.3299145084807514E-2</v>
      </c>
      <c r="U173" s="1">
        <f t="shared" ca="1" si="52"/>
        <v>388</v>
      </c>
      <c r="V173" s="1">
        <f t="shared" ca="1" si="53"/>
        <v>39</v>
      </c>
      <c r="W173" s="1"/>
      <c r="X173" s="1">
        <f t="shared" ca="1" si="54"/>
        <v>0.39957975883523883</v>
      </c>
      <c r="Y173" s="1">
        <f t="shared" ca="1" si="55"/>
        <v>0.32086503192296451</v>
      </c>
      <c r="Z173" s="1">
        <f t="shared" ca="1" si="56"/>
        <v>472</v>
      </c>
    </row>
    <row r="174" spans="2:26" x14ac:dyDescent="0.25">
      <c r="B174">
        <f t="shared" ca="1" si="38"/>
        <v>480</v>
      </c>
      <c r="C174">
        <f t="shared" ca="1" si="39"/>
        <v>17</v>
      </c>
      <c r="D174">
        <f t="shared" ca="1" si="40"/>
        <v>8.6243745998389174E-2</v>
      </c>
      <c r="F174" s="1">
        <f t="shared" ca="1" si="41"/>
        <v>52</v>
      </c>
      <c r="G174" s="1">
        <f t="shared" ca="1" si="42"/>
        <v>2</v>
      </c>
      <c r="H174" s="1">
        <f t="shared" ca="1" si="43"/>
        <v>15</v>
      </c>
      <c r="I174" s="1"/>
      <c r="J174" s="1">
        <f t="shared" ca="1" si="44"/>
        <v>33</v>
      </c>
      <c r="K174" s="1">
        <f t="shared" ca="1" si="45"/>
        <v>2.4402880013602011</v>
      </c>
      <c r="L174" s="1">
        <f t="shared" ca="1" si="46"/>
        <v>3</v>
      </c>
      <c r="M174" s="1"/>
      <c r="N174" s="1">
        <f t="shared" ca="1" si="47"/>
        <v>851</v>
      </c>
      <c r="O174" s="1">
        <f t="shared" ca="1" si="48"/>
        <v>50</v>
      </c>
      <c r="P174" s="1"/>
      <c r="Q174" s="1">
        <f t="shared" ca="1" si="49"/>
        <v>4.5840888736894216</v>
      </c>
      <c r="R174" s="1">
        <f t="shared" ca="1" si="50"/>
        <v>495</v>
      </c>
      <c r="S174" s="1"/>
      <c r="T174" s="1">
        <f t="shared" ca="1" si="51"/>
        <v>5.1618780129488395E-2</v>
      </c>
      <c r="U174" s="1">
        <f t="shared" ca="1" si="52"/>
        <v>58</v>
      </c>
      <c r="V174" s="1">
        <f t="shared" ca="1" si="53"/>
        <v>28</v>
      </c>
      <c r="W174" s="1"/>
      <c r="X174" s="1">
        <f t="shared" ca="1" si="54"/>
        <v>3.5551613779366842</v>
      </c>
      <c r="Y174" s="1">
        <f t="shared" ca="1" si="55"/>
        <v>0.26542693683431245</v>
      </c>
      <c r="Z174" s="1">
        <f t="shared" ca="1" si="56"/>
        <v>1140</v>
      </c>
    </row>
    <row r="175" spans="2:26" x14ac:dyDescent="0.25">
      <c r="B175">
        <f t="shared" ca="1" si="38"/>
        <v>840</v>
      </c>
      <c r="C175">
        <f t="shared" ca="1" si="39"/>
        <v>25</v>
      </c>
      <c r="D175">
        <f t="shared" ca="1" si="40"/>
        <v>0.19869601952635188</v>
      </c>
      <c r="F175" s="1">
        <f t="shared" ca="1" si="41"/>
        <v>28</v>
      </c>
      <c r="G175" s="1">
        <f t="shared" ca="1" si="42"/>
        <v>19</v>
      </c>
      <c r="H175" s="1">
        <f t="shared" ca="1" si="43"/>
        <v>5</v>
      </c>
      <c r="I175" s="1"/>
      <c r="J175" s="1">
        <f t="shared" ca="1" si="44"/>
        <v>21</v>
      </c>
      <c r="K175" s="1">
        <f t="shared" ca="1" si="45"/>
        <v>1.8878956193238969</v>
      </c>
      <c r="L175" s="1">
        <f t="shared" ca="1" si="46"/>
        <v>19</v>
      </c>
      <c r="M175" s="1"/>
      <c r="N175" s="1">
        <f t="shared" ca="1" si="47"/>
        <v>616</v>
      </c>
      <c r="O175" s="1">
        <f t="shared" ca="1" si="48"/>
        <v>25</v>
      </c>
      <c r="P175" s="1"/>
      <c r="Q175" s="1">
        <f t="shared" ca="1" si="49"/>
        <v>4.3426701959604195</v>
      </c>
      <c r="R175" s="1">
        <f t="shared" ca="1" si="50"/>
        <v>708</v>
      </c>
      <c r="S175" s="1"/>
      <c r="T175" s="1">
        <f t="shared" ca="1" si="51"/>
        <v>0.14382790596205466</v>
      </c>
      <c r="U175" s="1">
        <f t="shared" ca="1" si="52"/>
        <v>175</v>
      </c>
      <c r="V175" s="1">
        <f t="shared" ca="1" si="53"/>
        <v>14</v>
      </c>
      <c r="W175" s="1"/>
      <c r="X175" s="1">
        <f t="shared" ca="1" si="54"/>
        <v>6.835335538224494</v>
      </c>
      <c r="Y175" s="1">
        <f t="shared" ca="1" si="55"/>
        <v>0.73212938517480808</v>
      </c>
      <c r="Z175" s="1">
        <f t="shared" ca="1" si="56"/>
        <v>336</v>
      </c>
    </row>
    <row r="176" spans="2:26" x14ac:dyDescent="0.25">
      <c r="B176">
        <f t="shared" ca="1" si="38"/>
        <v>467</v>
      </c>
      <c r="C176">
        <f t="shared" ca="1" si="39"/>
        <v>30</v>
      </c>
      <c r="D176">
        <f t="shared" ca="1" si="40"/>
        <v>0.26113593677083308</v>
      </c>
      <c r="F176" s="1">
        <f t="shared" ca="1" si="41"/>
        <v>20</v>
      </c>
      <c r="G176" s="1">
        <f t="shared" ca="1" si="42"/>
        <v>29</v>
      </c>
      <c r="H176" s="1">
        <f t="shared" ca="1" si="43"/>
        <v>5</v>
      </c>
      <c r="I176" s="1"/>
      <c r="J176" s="1">
        <f t="shared" ca="1" si="44"/>
        <v>37</v>
      </c>
      <c r="K176" s="1">
        <f t="shared" ca="1" si="45"/>
        <v>1.242172781776302</v>
      </c>
      <c r="L176" s="1">
        <f t="shared" ca="1" si="46"/>
        <v>35</v>
      </c>
      <c r="M176" s="1"/>
      <c r="N176" s="1">
        <f t="shared" ca="1" si="47"/>
        <v>187</v>
      </c>
      <c r="O176" s="1">
        <f t="shared" ca="1" si="48"/>
        <v>2</v>
      </c>
      <c r="P176" s="1"/>
      <c r="Q176" s="1">
        <f t="shared" ca="1" si="49"/>
        <v>0.13196026646435252</v>
      </c>
      <c r="R176" s="1">
        <f t="shared" ca="1" si="50"/>
        <v>1175</v>
      </c>
      <c r="S176" s="1"/>
      <c r="T176" s="1">
        <f t="shared" ca="1" si="51"/>
        <v>0.1977253775902886</v>
      </c>
      <c r="U176" s="1">
        <f t="shared" ca="1" si="52"/>
        <v>122</v>
      </c>
      <c r="V176" s="1">
        <f t="shared" ca="1" si="53"/>
        <v>26</v>
      </c>
      <c r="W176" s="1"/>
      <c r="X176" s="1">
        <f t="shared" ca="1" si="54"/>
        <v>7.394004723119008</v>
      </c>
      <c r="Y176" s="1">
        <f t="shared" ca="1" si="55"/>
        <v>0.37043667024160565</v>
      </c>
      <c r="Z176" s="1">
        <f t="shared" ca="1" si="56"/>
        <v>333</v>
      </c>
    </row>
    <row r="177" spans="2:26" x14ac:dyDescent="0.25">
      <c r="B177">
        <f t="shared" ca="1" si="38"/>
        <v>551</v>
      </c>
      <c r="C177">
        <f t="shared" ca="1" si="39"/>
        <v>31</v>
      </c>
      <c r="D177">
        <f t="shared" ca="1" si="40"/>
        <v>0.1373818721924808</v>
      </c>
      <c r="F177" s="1">
        <f t="shared" ca="1" si="41"/>
        <v>49</v>
      </c>
      <c r="G177" s="1">
        <f t="shared" ca="1" si="42"/>
        <v>3</v>
      </c>
      <c r="H177" s="1">
        <f t="shared" ca="1" si="43"/>
        <v>14</v>
      </c>
      <c r="I177" s="1"/>
      <c r="J177" s="1">
        <f t="shared" ca="1" si="44"/>
        <v>28</v>
      </c>
      <c r="K177" s="1">
        <f t="shared" ca="1" si="45"/>
        <v>1.8735319397625001</v>
      </c>
      <c r="L177" s="1">
        <f t="shared" ca="1" si="46"/>
        <v>4</v>
      </c>
      <c r="M177" s="1"/>
      <c r="N177" s="1">
        <f t="shared" ca="1" si="47"/>
        <v>116</v>
      </c>
      <c r="O177" s="1">
        <f t="shared" ca="1" si="48"/>
        <v>42</v>
      </c>
      <c r="P177" s="1"/>
      <c r="Q177" s="1">
        <f t="shared" ca="1" si="49"/>
        <v>2.6080770324149913</v>
      </c>
      <c r="R177" s="1">
        <f t="shared" ca="1" si="50"/>
        <v>413</v>
      </c>
      <c r="S177" s="1"/>
      <c r="T177" s="1">
        <f t="shared" ca="1" si="51"/>
        <v>0.13099523643483371</v>
      </c>
      <c r="U177" s="1">
        <f t="shared" ca="1" si="52"/>
        <v>404</v>
      </c>
      <c r="V177" s="1">
        <f t="shared" ca="1" si="53"/>
        <v>23</v>
      </c>
      <c r="W177" s="1"/>
      <c r="X177" s="1">
        <f t="shared" ca="1" si="54"/>
        <v>0.33385904809873185</v>
      </c>
      <c r="Y177" s="1">
        <f t="shared" ca="1" si="55"/>
        <v>0.63160501544805159</v>
      </c>
      <c r="Z177" s="1">
        <f t="shared" ca="1" si="56"/>
        <v>255</v>
      </c>
    </row>
    <row r="178" spans="2:26" x14ac:dyDescent="0.25">
      <c r="B178">
        <f t="shared" ca="1" si="38"/>
        <v>852</v>
      </c>
      <c r="C178">
        <f t="shared" ca="1" si="39"/>
        <v>41</v>
      </c>
      <c r="D178">
        <f t="shared" ca="1" si="40"/>
        <v>6.8030970064832469E-2</v>
      </c>
      <c r="F178" s="1">
        <f t="shared" ca="1" si="41"/>
        <v>38</v>
      </c>
      <c r="G178" s="1">
        <f t="shared" ca="1" si="42"/>
        <v>19</v>
      </c>
      <c r="H178" s="1">
        <f t="shared" ca="1" si="43"/>
        <v>11</v>
      </c>
      <c r="I178" s="1"/>
      <c r="J178" s="1">
        <f t="shared" ca="1" si="44"/>
        <v>31</v>
      </c>
      <c r="K178" s="1">
        <f t="shared" ca="1" si="45"/>
        <v>1.3263810764967245</v>
      </c>
      <c r="L178" s="1">
        <f t="shared" ca="1" si="46"/>
        <v>32</v>
      </c>
      <c r="M178" s="1"/>
      <c r="N178" s="1">
        <f t="shared" ca="1" si="47"/>
        <v>340</v>
      </c>
      <c r="O178" s="1">
        <f t="shared" ca="1" si="48"/>
        <v>9</v>
      </c>
      <c r="P178" s="1"/>
      <c r="Q178" s="1">
        <f t="shared" ca="1" si="49"/>
        <v>2.8789850161200845</v>
      </c>
      <c r="R178" s="1">
        <f t="shared" ca="1" si="50"/>
        <v>969</v>
      </c>
      <c r="S178" s="1"/>
      <c r="T178" s="1">
        <f t="shared" ca="1" si="51"/>
        <v>0.12131323743587193</v>
      </c>
      <c r="U178" s="1">
        <f t="shared" ca="1" si="52"/>
        <v>304</v>
      </c>
      <c r="V178" s="1">
        <f t="shared" ca="1" si="53"/>
        <v>13</v>
      </c>
      <c r="W178" s="1"/>
      <c r="X178" s="1">
        <f t="shared" ca="1" si="54"/>
        <v>4.007624283891241</v>
      </c>
      <c r="Y178" s="1">
        <f t="shared" ca="1" si="55"/>
        <v>0.1449460192387054</v>
      </c>
      <c r="Z178" s="1">
        <f t="shared" ca="1" si="56"/>
        <v>1440</v>
      </c>
    </row>
    <row r="179" spans="2:26" x14ac:dyDescent="0.25">
      <c r="B179">
        <f t="shared" ca="1" si="38"/>
        <v>736</v>
      </c>
      <c r="C179">
        <f t="shared" ca="1" si="39"/>
        <v>43</v>
      </c>
      <c r="D179">
        <f t="shared" ca="1" si="40"/>
        <v>0.27636761759020062</v>
      </c>
      <c r="F179" s="1">
        <f t="shared" ca="1" si="41"/>
        <v>38</v>
      </c>
      <c r="G179" s="1">
        <f t="shared" ca="1" si="42"/>
        <v>12</v>
      </c>
      <c r="H179" s="1">
        <f t="shared" ca="1" si="43"/>
        <v>10</v>
      </c>
      <c r="I179" s="1"/>
      <c r="J179" s="1">
        <f t="shared" ca="1" si="44"/>
        <v>13</v>
      </c>
      <c r="K179" s="1">
        <f t="shared" ca="1" si="45"/>
        <v>2.6144141523774929</v>
      </c>
      <c r="L179" s="1">
        <f t="shared" ca="1" si="46"/>
        <v>24</v>
      </c>
      <c r="M179" s="1"/>
      <c r="N179" s="1">
        <f t="shared" ca="1" si="47"/>
        <v>921</v>
      </c>
      <c r="O179" s="1">
        <f t="shared" ca="1" si="48"/>
        <v>35</v>
      </c>
      <c r="P179" s="1"/>
      <c r="Q179" s="1">
        <f t="shared" ca="1" si="49"/>
        <v>4.077729036788309</v>
      </c>
      <c r="R179" s="1">
        <f t="shared" ca="1" si="50"/>
        <v>1163</v>
      </c>
      <c r="S179" s="1"/>
      <c r="T179" s="1">
        <f t="shared" ca="1" si="51"/>
        <v>0.16650887043234194</v>
      </c>
      <c r="U179" s="1">
        <f t="shared" ca="1" si="52"/>
        <v>266</v>
      </c>
      <c r="V179" s="1">
        <f t="shared" ca="1" si="53"/>
        <v>15</v>
      </c>
      <c r="W179" s="1"/>
      <c r="X179" s="1">
        <f t="shared" ca="1" si="54"/>
        <v>0.56604510568928779</v>
      </c>
      <c r="Y179" s="1">
        <f t="shared" ca="1" si="55"/>
        <v>0.53216931885171703</v>
      </c>
      <c r="Z179" s="1">
        <f t="shared" ca="1" si="56"/>
        <v>1447</v>
      </c>
    </row>
    <row r="180" spans="2:26" x14ac:dyDescent="0.25">
      <c r="B180">
        <f t="shared" ca="1" si="38"/>
        <v>979</v>
      </c>
      <c r="C180">
        <f t="shared" ca="1" si="39"/>
        <v>16</v>
      </c>
      <c r="D180">
        <f t="shared" ca="1" si="40"/>
        <v>0.26960520703427537</v>
      </c>
      <c r="F180" s="1">
        <f t="shared" ca="1" si="41"/>
        <v>38</v>
      </c>
      <c r="G180" s="1">
        <f t="shared" ca="1" si="42"/>
        <v>14</v>
      </c>
      <c r="H180" s="1">
        <f t="shared" ca="1" si="43"/>
        <v>10</v>
      </c>
      <c r="I180" s="1"/>
      <c r="J180" s="1">
        <f t="shared" ca="1" si="44"/>
        <v>19</v>
      </c>
      <c r="K180" s="1">
        <f t="shared" ca="1" si="45"/>
        <v>2.0609107341539739</v>
      </c>
      <c r="L180" s="1">
        <f t="shared" ca="1" si="46"/>
        <v>31</v>
      </c>
      <c r="M180" s="1"/>
      <c r="N180" s="1">
        <f t="shared" ca="1" si="47"/>
        <v>501</v>
      </c>
      <c r="O180" s="1">
        <f t="shared" ca="1" si="48"/>
        <v>15</v>
      </c>
      <c r="P180" s="1"/>
      <c r="Q180" s="1">
        <f t="shared" ca="1" si="49"/>
        <v>0.30537752991502215</v>
      </c>
      <c r="R180" s="1">
        <f t="shared" ca="1" si="50"/>
        <v>1099</v>
      </c>
      <c r="S180" s="1"/>
      <c r="T180" s="1">
        <f t="shared" ca="1" si="51"/>
        <v>7.9929686458313942E-2</v>
      </c>
      <c r="U180" s="1">
        <f t="shared" ca="1" si="52"/>
        <v>256</v>
      </c>
      <c r="V180" s="1">
        <f t="shared" ca="1" si="53"/>
        <v>49</v>
      </c>
      <c r="W180" s="1"/>
      <c r="X180" s="1">
        <f t="shared" ca="1" si="54"/>
        <v>3.5770975813508032</v>
      </c>
      <c r="Y180" s="1">
        <f t="shared" ca="1" si="55"/>
        <v>0.36591938456623546</v>
      </c>
      <c r="Z180" s="1">
        <f t="shared" ca="1" si="56"/>
        <v>1869</v>
      </c>
    </row>
    <row r="181" spans="2:26" x14ac:dyDescent="0.25">
      <c r="B181">
        <f t="shared" ca="1" si="38"/>
        <v>474</v>
      </c>
      <c r="C181">
        <f t="shared" ca="1" si="39"/>
        <v>37</v>
      </c>
      <c r="D181">
        <f t="shared" ca="1" si="40"/>
        <v>8.7675246664180695E-2</v>
      </c>
      <c r="F181" s="1">
        <f t="shared" ca="1" si="41"/>
        <v>30</v>
      </c>
      <c r="G181" s="1">
        <f t="shared" ca="1" si="42"/>
        <v>9</v>
      </c>
      <c r="H181" s="1">
        <f t="shared" ca="1" si="43"/>
        <v>2</v>
      </c>
      <c r="I181" s="1"/>
      <c r="J181" s="1">
        <f t="shared" ca="1" si="44"/>
        <v>36</v>
      </c>
      <c r="K181" s="1">
        <f t="shared" ca="1" si="45"/>
        <v>1.3091872463841963</v>
      </c>
      <c r="L181" s="1">
        <f t="shared" ca="1" si="46"/>
        <v>21</v>
      </c>
      <c r="M181" s="1"/>
      <c r="N181" s="1">
        <f t="shared" ca="1" si="47"/>
        <v>278</v>
      </c>
      <c r="O181" s="1">
        <f t="shared" ca="1" si="48"/>
        <v>18</v>
      </c>
      <c r="P181" s="1"/>
      <c r="Q181" s="1">
        <f t="shared" ca="1" si="49"/>
        <v>4.7067253099923425</v>
      </c>
      <c r="R181" s="1">
        <f t="shared" ca="1" si="50"/>
        <v>1104</v>
      </c>
      <c r="S181" s="1"/>
      <c r="T181" s="1">
        <f t="shared" ca="1" si="51"/>
        <v>0.15591738304344571</v>
      </c>
      <c r="U181" s="1">
        <f t="shared" ca="1" si="52"/>
        <v>407</v>
      </c>
      <c r="V181" s="1">
        <f t="shared" ca="1" si="53"/>
        <v>13</v>
      </c>
      <c r="W181" s="1"/>
      <c r="X181" s="1">
        <f t="shared" ca="1" si="54"/>
        <v>4.034628506076765</v>
      </c>
      <c r="Y181" s="1">
        <f t="shared" ca="1" si="55"/>
        <v>0.11401685321592338</v>
      </c>
      <c r="Z181" s="1">
        <f t="shared" ca="1" si="56"/>
        <v>1370</v>
      </c>
    </row>
    <row r="182" spans="2:26" x14ac:dyDescent="0.25">
      <c r="B182">
        <f t="shared" ca="1" si="38"/>
        <v>184</v>
      </c>
      <c r="C182">
        <f t="shared" ca="1" si="39"/>
        <v>33</v>
      </c>
      <c r="D182">
        <f t="shared" ca="1" si="40"/>
        <v>3.447977167100072E-2</v>
      </c>
      <c r="F182" s="1">
        <f t="shared" ca="1" si="41"/>
        <v>37</v>
      </c>
      <c r="G182" s="1">
        <f t="shared" ca="1" si="42"/>
        <v>25</v>
      </c>
      <c r="H182" s="1">
        <f t="shared" ca="1" si="43"/>
        <v>11</v>
      </c>
      <c r="I182" s="1"/>
      <c r="J182" s="1">
        <f t="shared" ca="1" si="44"/>
        <v>24</v>
      </c>
      <c r="K182" s="1">
        <f t="shared" ca="1" si="45"/>
        <v>2.6083268485156497</v>
      </c>
      <c r="L182" s="1">
        <f t="shared" ca="1" si="46"/>
        <v>14</v>
      </c>
      <c r="M182" s="1"/>
      <c r="N182" s="1">
        <f t="shared" ca="1" si="47"/>
        <v>894</v>
      </c>
      <c r="O182" s="1">
        <f t="shared" ca="1" si="48"/>
        <v>21</v>
      </c>
      <c r="P182" s="1"/>
      <c r="Q182" s="1">
        <f t="shared" ca="1" si="49"/>
        <v>1.030834615538905</v>
      </c>
      <c r="R182" s="1">
        <f t="shared" ca="1" si="50"/>
        <v>913</v>
      </c>
      <c r="S182" s="1"/>
      <c r="T182" s="1">
        <f t="shared" ca="1" si="51"/>
        <v>0.11849417251407583</v>
      </c>
      <c r="U182" s="1">
        <f t="shared" ca="1" si="52"/>
        <v>357</v>
      </c>
      <c r="V182" s="1">
        <f t="shared" ca="1" si="53"/>
        <v>23</v>
      </c>
      <c r="W182" s="1"/>
      <c r="X182" s="1">
        <f t="shared" ca="1" si="54"/>
        <v>7.7394960397036714</v>
      </c>
      <c r="Y182" s="1">
        <f t="shared" ca="1" si="55"/>
        <v>0.79593847610873436</v>
      </c>
      <c r="Z182" s="1">
        <f t="shared" ca="1" si="56"/>
        <v>327</v>
      </c>
    </row>
    <row r="183" spans="2:26" x14ac:dyDescent="0.25">
      <c r="B183">
        <f t="shared" ca="1" si="38"/>
        <v>451</v>
      </c>
      <c r="C183">
        <f t="shared" ca="1" si="39"/>
        <v>19</v>
      </c>
      <c r="D183">
        <f t="shared" ca="1" si="40"/>
        <v>3.8966220608604461E-2</v>
      </c>
      <c r="F183" s="1">
        <f t="shared" ca="1" si="41"/>
        <v>32</v>
      </c>
      <c r="G183" s="1">
        <f t="shared" ca="1" si="42"/>
        <v>8</v>
      </c>
      <c r="H183" s="1">
        <f t="shared" ca="1" si="43"/>
        <v>12</v>
      </c>
      <c r="I183" s="1"/>
      <c r="J183" s="1">
        <f t="shared" ca="1" si="44"/>
        <v>31</v>
      </c>
      <c r="K183" s="1">
        <f t="shared" ca="1" si="45"/>
        <v>1.6227867186361207</v>
      </c>
      <c r="L183" s="1">
        <f t="shared" ca="1" si="46"/>
        <v>17</v>
      </c>
      <c r="M183" s="1"/>
      <c r="N183" s="1">
        <f t="shared" ca="1" si="47"/>
        <v>904</v>
      </c>
      <c r="O183" s="1">
        <f t="shared" ca="1" si="48"/>
        <v>51</v>
      </c>
      <c r="P183" s="1"/>
      <c r="Q183" s="1">
        <f t="shared" ca="1" si="49"/>
        <v>1.4164797795595494</v>
      </c>
      <c r="R183" s="1">
        <f t="shared" ca="1" si="50"/>
        <v>560</v>
      </c>
      <c r="S183" s="1"/>
      <c r="T183" s="1">
        <f t="shared" ca="1" si="51"/>
        <v>0.1781076592288221</v>
      </c>
      <c r="U183" s="1">
        <f t="shared" ca="1" si="52"/>
        <v>288</v>
      </c>
      <c r="V183" s="1">
        <f t="shared" ca="1" si="53"/>
        <v>2</v>
      </c>
      <c r="W183" s="1"/>
      <c r="X183" s="1">
        <f t="shared" ca="1" si="54"/>
        <v>3.7771353026567573</v>
      </c>
      <c r="Y183" s="1">
        <f t="shared" ca="1" si="55"/>
        <v>0.4580127525164186</v>
      </c>
      <c r="Z183" s="1">
        <f t="shared" ca="1" si="56"/>
        <v>1886</v>
      </c>
    </row>
    <row r="184" spans="2:26" x14ac:dyDescent="0.25">
      <c r="B184">
        <f t="shared" ca="1" si="38"/>
        <v>737</v>
      </c>
      <c r="C184">
        <f t="shared" ca="1" si="39"/>
        <v>47</v>
      </c>
      <c r="D184">
        <f t="shared" ca="1" si="40"/>
        <v>0.28568362546450859</v>
      </c>
      <c r="F184" s="1">
        <f t="shared" ca="1" si="41"/>
        <v>14</v>
      </c>
      <c r="G184" s="1">
        <f t="shared" ca="1" si="42"/>
        <v>9</v>
      </c>
      <c r="H184" s="1">
        <f t="shared" ca="1" si="43"/>
        <v>9</v>
      </c>
      <c r="I184" s="1"/>
      <c r="J184" s="1">
        <f t="shared" ca="1" si="44"/>
        <v>9</v>
      </c>
      <c r="K184" s="1">
        <f t="shared" ca="1" si="45"/>
        <v>1.1016456737174833</v>
      </c>
      <c r="L184" s="1">
        <f t="shared" ca="1" si="46"/>
        <v>23</v>
      </c>
      <c r="M184" s="1"/>
      <c r="N184" s="1">
        <f t="shared" ca="1" si="47"/>
        <v>752</v>
      </c>
      <c r="O184" s="1">
        <f t="shared" ca="1" si="48"/>
        <v>20</v>
      </c>
      <c r="P184" s="1"/>
      <c r="Q184" s="1">
        <f t="shared" ca="1" si="49"/>
        <v>2.1270540758065777</v>
      </c>
      <c r="R184" s="1">
        <f t="shared" ca="1" si="50"/>
        <v>378</v>
      </c>
      <c r="S184" s="1"/>
      <c r="T184" s="1">
        <f t="shared" ca="1" si="51"/>
        <v>0.14900526415221044</v>
      </c>
      <c r="U184" s="1">
        <f t="shared" ca="1" si="52"/>
        <v>423</v>
      </c>
      <c r="V184" s="1">
        <f t="shared" ca="1" si="53"/>
        <v>7</v>
      </c>
      <c r="W184" s="1"/>
      <c r="X184" s="1">
        <f t="shared" ca="1" si="54"/>
        <v>3.7514298091461669</v>
      </c>
      <c r="Y184" s="1">
        <f t="shared" ca="1" si="55"/>
        <v>3.4617027716657221E-2</v>
      </c>
      <c r="Z184" s="1">
        <f t="shared" ca="1" si="56"/>
        <v>640</v>
      </c>
    </row>
    <row r="185" spans="2:26" x14ac:dyDescent="0.25">
      <c r="B185">
        <f t="shared" ca="1" si="38"/>
        <v>19</v>
      </c>
      <c r="C185">
        <f t="shared" ca="1" si="39"/>
        <v>52</v>
      </c>
      <c r="D185">
        <f t="shared" ca="1" si="40"/>
        <v>0.2354485014124876</v>
      </c>
      <c r="F185" s="1">
        <f t="shared" ca="1" si="41"/>
        <v>35</v>
      </c>
      <c r="G185" s="1">
        <f t="shared" ca="1" si="42"/>
        <v>10</v>
      </c>
      <c r="H185" s="1">
        <f t="shared" ca="1" si="43"/>
        <v>9</v>
      </c>
      <c r="I185" s="1"/>
      <c r="J185" s="1">
        <f t="shared" ca="1" si="44"/>
        <v>13</v>
      </c>
      <c r="K185" s="1">
        <f t="shared" ca="1" si="45"/>
        <v>1.1186588774264128</v>
      </c>
      <c r="L185" s="1">
        <f t="shared" ca="1" si="46"/>
        <v>6</v>
      </c>
      <c r="M185" s="1"/>
      <c r="N185" s="1">
        <f t="shared" ca="1" si="47"/>
        <v>443</v>
      </c>
      <c r="O185" s="1">
        <f t="shared" ca="1" si="48"/>
        <v>2</v>
      </c>
      <c r="P185" s="1"/>
      <c r="Q185" s="1">
        <f t="shared" ca="1" si="49"/>
        <v>1.5270121724626957</v>
      </c>
      <c r="R185" s="1">
        <f t="shared" ca="1" si="50"/>
        <v>1043</v>
      </c>
      <c r="S185" s="1"/>
      <c r="T185" s="1">
        <f t="shared" ca="1" si="51"/>
        <v>0.17135800548769467</v>
      </c>
      <c r="U185" s="1">
        <f t="shared" ca="1" si="52"/>
        <v>398</v>
      </c>
      <c r="V185" s="1">
        <f t="shared" ca="1" si="53"/>
        <v>22</v>
      </c>
      <c r="W185" s="1"/>
      <c r="X185" s="1">
        <f t="shared" ca="1" si="54"/>
        <v>3.8064797587201875</v>
      </c>
      <c r="Y185" s="1">
        <f t="shared" ca="1" si="55"/>
        <v>0.23064178295604973</v>
      </c>
      <c r="Z185" s="1">
        <f t="shared" ca="1" si="56"/>
        <v>1357</v>
      </c>
    </row>
    <row r="186" spans="2:26" x14ac:dyDescent="0.25">
      <c r="B186">
        <f t="shared" ca="1" si="38"/>
        <v>972</v>
      </c>
      <c r="C186">
        <f t="shared" ca="1" si="39"/>
        <v>24</v>
      </c>
      <c r="D186">
        <f t="shared" ca="1" si="40"/>
        <v>2.7981145958430639E-2</v>
      </c>
      <c r="F186" s="1">
        <f t="shared" ca="1" si="41"/>
        <v>23</v>
      </c>
      <c r="G186" s="1">
        <f t="shared" ca="1" si="42"/>
        <v>8</v>
      </c>
      <c r="H186" s="1">
        <f t="shared" ca="1" si="43"/>
        <v>4</v>
      </c>
      <c r="I186" s="1"/>
      <c r="J186" s="1">
        <f t="shared" ca="1" si="44"/>
        <v>35</v>
      </c>
      <c r="K186" s="1">
        <f t="shared" ca="1" si="45"/>
        <v>2.6954534531381187</v>
      </c>
      <c r="L186" s="1">
        <f t="shared" ca="1" si="46"/>
        <v>5</v>
      </c>
      <c r="M186" s="1"/>
      <c r="N186" s="1">
        <f t="shared" ca="1" si="47"/>
        <v>247</v>
      </c>
      <c r="O186" s="1">
        <f t="shared" ca="1" si="48"/>
        <v>33</v>
      </c>
      <c r="P186" s="1"/>
      <c r="Q186" s="1">
        <f t="shared" ca="1" si="49"/>
        <v>4.4611535894487293</v>
      </c>
      <c r="R186" s="1">
        <f t="shared" ca="1" si="50"/>
        <v>1069</v>
      </c>
      <c r="S186" s="1"/>
      <c r="T186" s="1">
        <f t="shared" ca="1" si="51"/>
        <v>0.14752582166570161</v>
      </c>
      <c r="U186" s="1">
        <f t="shared" ca="1" si="52"/>
        <v>202</v>
      </c>
      <c r="V186" s="1">
        <f t="shared" ca="1" si="53"/>
        <v>15</v>
      </c>
      <c r="W186" s="1"/>
      <c r="X186" s="1">
        <f t="shared" ca="1" si="54"/>
        <v>3.3457545920957461</v>
      </c>
      <c r="Y186" s="1">
        <f t="shared" ca="1" si="55"/>
        <v>0.90215738046995353</v>
      </c>
      <c r="Z186" s="1">
        <f t="shared" ca="1" si="56"/>
        <v>138</v>
      </c>
    </row>
    <row r="187" spans="2:26" x14ac:dyDescent="0.25">
      <c r="B187">
        <f t="shared" ca="1" si="38"/>
        <v>247</v>
      </c>
      <c r="C187">
        <f t="shared" ca="1" si="39"/>
        <v>31</v>
      </c>
      <c r="D187">
        <f t="shared" ca="1" si="40"/>
        <v>6.5105143536369217E-2</v>
      </c>
      <c r="F187" s="1">
        <f t="shared" ca="1" si="41"/>
        <v>9</v>
      </c>
      <c r="G187" s="1">
        <f t="shared" ca="1" si="42"/>
        <v>10</v>
      </c>
      <c r="H187" s="1">
        <f t="shared" ca="1" si="43"/>
        <v>13</v>
      </c>
      <c r="I187" s="1"/>
      <c r="J187" s="1">
        <f t="shared" ca="1" si="44"/>
        <v>34</v>
      </c>
      <c r="K187" s="1">
        <f t="shared" ca="1" si="45"/>
        <v>1.6995681669341005</v>
      </c>
      <c r="L187" s="1">
        <f t="shared" ca="1" si="46"/>
        <v>32</v>
      </c>
      <c r="M187" s="1"/>
      <c r="N187" s="1">
        <f t="shared" ca="1" si="47"/>
        <v>871</v>
      </c>
      <c r="O187" s="1">
        <f t="shared" ca="1" si="48"/>
        <v>10</v>
      </c>
      <c r="P187" s="1"/>
      <c r="Q187" s="1">
        <f t="shared" ca="1" si="49"/>
        <v>3.8602567395306453</v>
      </c>
      <c r="R187" s="1">
        <f t="shared" ca="1" si="50"/>
        <v>453</v>
      </c>
      <c r="S187" s="1"/>
      <c r="T187" s="1">
        <f t="shared" ca="1" si="51"/>
        <v>0.19430017658518817</v>
      </c>
      <c r="U187" s="1">
        <f t="shared" ca="1" si="52"/>
        <v>142</v>
      </c>
      <c r="V187" s="1">
        <f t="shared" ca="1" si="53"/>
        <v>43</v>
      </c>
      <c r="W187" s="1"/>
      <c r="X187" s="1">
        <f t="shared" ca="1" si="54"/>
        <v>6.968320515096238</v>
      </c>
      <c r="Y187" s="1">
        <f t="shared" ca="1" si="55"/>
        <v>0.49087631390169301</v>
      </c>
      <c r="Z187" s="1">
        <f t="shared" ca="1" si="56"/>
        <v>1813</v>
      </c>
    </row>
    <row r="188" spans="2:26" x14ac:dyDescent="0.25">
      <c r="B188">
        <f t="shared" ca="1" si="38"/>
        <v>819</v>
      </c>
      <c r="C188">
        <f t="shared" ca="1" si="39"/>
        <v>24</v>
      </c>
      <c r="D188">
        <f t="shared" ca="1" si="40"/>
        <v>0.23120552199253516</v>
      </c>
      <c r="F188" s="1">
        <f t="shared" ca="1" si="41"/>
        <v>10</v>
      </c>
      <c r="G188" s="1">
        <f t="shared" ca="1" si="42"/>
        <v>23</v>
      </c>
      <c r="H188" s="1">
        <f t="shared" ca="1" si="43"/>
        <v>11</v>
      </c>
      <c r="I188" s="1"/>
      <c r="J188" s="1">
        <f t="shared" ca="1" si="44"/>
        <v>5</v>
      </c>
      <c r="K188" s="1">
        <f t="shared" ca="1" si="45"/>
        <v>2.4376659500099063</v>
      </c>
      <c r="L188" s="1">
        <f t="shared" ca="1" si="46"/>
        <v>9</v>
      </c>
      <c r="M188" s="1"/>
      <c r="N188" s="1">
        <f t="shared" ca="1" si="47"/>
        <v>646</v>
      </c>
      <c r="O188" s="1">
        <f t="shared" ca="1" si="48"/>
        <v>48</v>
      </c>
      <c r="P188" s="1"/>
      <c r="Q188" s="1">
        <f t="shared" ca="1" si="49"/>
        <v>1.2802091510115094</v>
      </c>
      <c r="R188" s="1">
        <f t="shared" ca="1" si="50"/>
        <v>307</v>
      </c>
      <c r="S188" s="1"/>
      <c r="T188" s="1">
        <f t="shared" ca="1" si="51"/>
        <v>0.19152925910110219</v>
      </c>
      <c r="U188" s="1">
        <f t="shared" ca="1" si="52"/>
        <v>272</v>
      </c>
      <c r="V188" s="1">
        <f t="shared" ca="1" si="53"/>
        <v>12</v>
      </c>
      <c r="W188" s="1"/>
      <c r="X188" s="1">
        <f t="shared" ca="1" si="54"/>
        <v>5.9829298027349305</v>
      </c>
      <c r="Y188" s="1">
        <f t="shared" ca="1" si="55"/>
        <v>0.42415153693074281</v>
      </c>
      <c r="Z188" s="1">
        <f t="shared" ca="1" si="56"/>
        <v>358</v>
      </c>
    </row>
    <row r="189" spans="2:26" x14ac:dyDescent="0.25">
      <c r="B189">
        <f t="shared" ca="1" si="38"/>
        <v>830</v>
      </c>
      <c r="C189">
        <f t="shared" ca="1" si="39"/>
        <v>27</v>
      </c>
      <c r="D189">
        <f t="shared" ca="1" si="40"/>
        <v>7.817298108659379E-2</v>
      </c>
      <c r="F189" s="1">
        <f t="shared" ca="1" si="41"/>
        <v>16</v>
      </c>
      <c r="G189" s="1">
        <f t="shared" ca="1" si="42"/>
        <v>12</v>
      </c>
      <c r="H189" s="1">
        <f t="shared" ca="1" si="43"/>
        <v>9</v>
      </c>
      <c r="I189" s="1"/>
      <c r="J189" s="1">
        <f t="shared" ca="1" si="44"/>
        <v>39</v>
      </c>
      <c r="K189" s="1">
        <f t="shared" ca="1" si="45"/>
        <v>2.8902360642214333</v>
      </c>
      <c r="L189" s="1">
        <f t="shared" ca="1" si="46"/>
        <v>13</v>
      </c>
      <c r="M189" s="1"/>
      <c r="N189" s="1">
        <f t="shared" ca="1" si="47"/>
        <v>532</v>
      </c>
      <c r="O189" s="1">
        <f t="shared" ca="1" si="48"/>
        <v>21</v>
      </c>
      <c r="P189" s="1"/>
      <c r="Q189" s="1">
        <f t="shared" ca="1" si="49"/>
        <v>3.4856432130382506</v>
      </c>
      <c r="R189" s="1">
        <f t="shared" ca="1" si="50"/>
        <v>821</v>
      </c>
      <c r="S189" s="1"/>
      <c r="T189" s="1">
        <f t="shared" ca="1" si="51"/>
        <v>0.14314147010080691</v>
      </c>
      <c r="U189" s="1">
        <f t="shared" ca="1" si="52"/>
        <v>426</v>
      </c>
      <c r="V189" s="1">
        <f t="shared" ca="1" si="53"/>
        <v>2</v>
      </c>
      <c r="W189" s="1"/>
      <c r="X189" s="1">
        <f t="shared" ca="1" si="54"/>
        <v>2.3216082987278144</v>
      </c>
      <c r="Y189" s="1">
        <f t="shared" ca="1" si="55"/>
        <v>0.94387547802685945</v>
      </c>
      <c r="Z189" s="1">
        <f t="shared" ca="1" si="56"/>
        <v>1220</v>
      </c>
    </row>
    <row r="190" spans="2:26" x14ac:dyDescent="0.25">
      <c r="B190">
        <f t="shared" ca="1" si="38"/>
        <v>389</v>
      </c>
      <c r="C190">
        <f t="shared" ca="1" si="39"/>
        <v>28</v>
      </c>
      <c r="D190">
        <f t="shared" ca="1" si="40"/>
        <v>0.19042737453248249</v>
      </c>
      <c r="F190" s="1">
        <f t="shared" ca="1" si="41"/>
        <v>21</v>
      </c>
      <c r="G190" s="1">
        <f t="shared" ca="1" si="42"/>
        <v>26</v>
      </c>
      <c r="H190" s="1">
        <f t="shared" ca="1" si="43"/>
        <v>6</v>
      </c>
      <c r="I190" s="1"/>
      <c r="J190" s="1">
        <f t="shared" ca="1" si="44"/>
        <v>29</v>
      </c>
      <c r="K190" s="1">
        <f t="shared" ca="1" si="45"/>
        <v>1.2223379434414126</v>
      </c>
      <c r="L190" s="1">
        <f t="shared" ca="1" si="46"/>
        <v>5</v>
      </c>
      <c r="M190" s="1"/>
      <c r="N190" s="1">
        <f t="shared" ca="1" si="47"/>
        <v>884</v>
      </c>
      <c r="O190" s="1">
        <f t="shared" ca="1" si="48"/>
        <v>7</v>
      </c>
      <c r="P190" s="1"/>
      <c r="Q190" s="1">
        <f t="shared" ca="1" si="49"/>
        <v>0.27747747027399955</v>
      </c>
      <c r="R190" s="1">
        <f t="shared" ca="1" si="50"/>
        <v>691</v>
      </c>
      <c r="S190" s="1"/>
      <c r="T190" s="1">
        <f t="shared" ca="1" si="51"/>
        <v>0.16392609143800735</v>
      </c>
      <c r="U190" s="1">
        <f t="shared" ca="1" si="52"/>
        <v>171</v>
      </c>
      <c r="V190" s="1">
        <f t="shared" ca="1" si="53"/>
        <v>40</v>
      </c>
      <c r="W190" s="1"/>
      <c r="X190" s="1">
        <f t="shared" ca="1" si="54"/>
        <v>5.4079935369885295</v>
      </c>
      <c r="Y190" s="1">
        <f t="shared" ca="1" si="55"/>
        <v>0.80634570660947058</v>
      </c>
      <c r="Z190" s="1">
        <f t="shared" ca="1" si="56"/>
        <v>1026</v>
      </c>
    </row>
    <row r="191" spans="2:26" x14ac:dyDescent="0.25">
      <c r="B191">
        <f t="shared" ca="1" si="38"/>
        <v>521</v>
      </c>
      <c r="C191">
        <f t="shared" ca="1" si="39"/>
        <v>21</v>
      </c>
      <c r="D191">
        <f t="shared" ca="1" si="40"/>
        <v>0.17921105712960339</v>
      </c>
      <c r="F191" s="1">
        <f t="shared" ca="1" si="41"/>
        <v>31</v>
      </c>
      <c r="G191" s="1">
        <f t="shared" ca="1" si="42"/>
        <v>15</v>
      </c>
      <c r="H191" s="1">
        <f t="shared" ca="1" si="43"/>
        <v>5</v>
      </c>
      <c r="I191" s="1"/>
      <c r="J191" s="1">
        <f t="shared" ca="1" si="44"/>
        <v>1</v>
      </c>
      <c r="K191" s="1">
        <f t="shared" ca="1" si="45"/>
        <v>2.7603474172745273</v>
      </c>
      <c r="L191" s="1">
        <f t="shared" ca="1" si="46"/>
        <v>34</v>
      </c>
      <c r="M191" s="1"/>
      <c r="N191" s="1">
        <f t="shared" ca="1" si="47"/>
        <v>783</v>
      </c>
      <c r="O191" s="1">
        <f t="shared" ca="1" si="48"/>
        <v>10</v>
      </c>
      <c r="P191" s="1"/>
      <c r="Q191" s="1">
        <f t="shared" ca="1" si="49"/>
        <v>4.8885486189418543</v>
      </c>
      <c r="R191" s="1">
        <f t="shared" ca="1" si="50"/>
        <v>1185</v>
      </c>
      <c r="S191" s="1"/>
      <c r="T191" s="1">
        <f t="shared" ca="1" si="51"/>
        <v>3.8035934226319026E-2</v>
      </c>
      <c r="U191" s="1">
        <f t="shared" ca="1" si="52"/>
        <v>127</v>
      </c>
      <c r="V191" s="1">
        <f t="shared" ca="1" si="53"/>
        <v>11</v>
      </c>
      <c r="W191" s="1"/>
      <c r="X191" s="1">
        <f t="shared" ca="1" si="54"/>
        <v>8.1010886621802811</v>
      </c>
      <c r="Y191" s="1">
        <f t="shared" ca="1" si="55"/>
        <v>0.38415655577319402</v>
      </c>
      <c r="Z191" s="1">
        <f t="shared" ca="1" si="56"/>
        <v>887</v>
      </c>
    </row>
    <row r="192" spans="2:26" x14ac:dyDescent="0.25">
      <c r="B192">
        <f t="shared" ca="1" si="38"/>
        <v>697</v>
      </c>
      <c r="C192">
        <f t="shared" ca="1" si="39"/>
        <v>2</v>
      </c>
      <c r="D192">
        <f t="shared" ca="1" si="40"/>
        <v>6.7945372559160194E-2</v>
      </c>
      <c r="F192" s="1">
        <f t="shared" ca="1" si="41"/>
        <v>24</v>
      </c>
      <c r="G192" s="1">
        <f t="shared" ca="1" si="42"/>
        <v>7</v>
      </c>
      <c r="H192" s="1">
        <f t="shared" ca="1" si="43"/>
        <v>4</v>
      </c>
      <c r="I192" s="1"/>
      <c r="J192" s="1">
        <f t="shared" ca="1" si="44"/>
        <v>34</v>
      </c>
      <c r="K192" s="1">
        <f t="shared" ca="1" si="45"/>
        <v>2.8117687863691048</v>
      </c>
      <c r="L192" s="1">
        <f t="shared" ca="1" si="46"/>
        <v>23</v>
      </c>
      <c r="M192" s="1"/>
      <c r="N192" s="1">
        <f t="shared" ca="1" si="47"/>
        <v>217</v>
      </c>
      <c r="O192" s="1">
        <f t="shared" ca="1" si="48"/>
        <v>32</v>
      </c>
      <c r="P192" s="1"/>
      <c r="Q192" s="1">
        <f t="shared" ca="1" si="49"/>
        <v>0.37615031385320086</v>
      </c>
      <c r="R192" s="1">
        <f t="shared" ca="1" si="50"/>
        <v>996</v>
      </c>
      <c r="S192" s="1"/>
      <c r="T192" s="1">
        <f t="shared" ca="1" si="51"/>
        <v>0.1733094839142183</v>
      </c>
      <c r="U192" s="1">
        <f t="shared" ca="1" si="52"/>
        <v>104</v>
      </c>
      <c r="V192" s="1">
        <f t="shared" ca="1" si="53"/>
        <v>5</v>
      </c>
      <c r="W192" s="1"/>
      <c r="X192" s="1">
        <f t="shared" ca="1" si="54"/>
        <v>9.9464277210197185</v>
      </c>
      <c r="Y192" s="1">
        <f t="shared" ca="1" si="55"/>
        <v>0.72447439439419858</v>
      </c>
      <c r="Z192" s="1">
        <f t="shared" ca="1" si="56"/>
        <v>120</v>
      </c>
    </row>
    <row r="193" spans="2:26" x14ac:dyDescent="0.25">
      <c r="B193">
        <f t="shared" ca="1" si="38"/>
        <v>830</v>
      </c>
      <c r="C193">
        <f t="shared" ca="1" si="39"/>
        <v>4</v>
      </c>
      <c r="D193">
        <f t="shared" ca="1" si="40"/>
        <v>6.5483578751199908E-2</v>
      </c>
      <c r="F193" s="1">
        <f t="shared" ca="1" si="41"/>
        <v>20</v>
      </c>
      <c r="G193" s="1">
        <f t="shared" ca="1" si="42"/>
        <v>10</v>
      </c>
      <c r="H193" s="1">
        <f t="shared" ca="1" si="43"/>
        <v>3</v>
      </c>
      <c r="I193" s="1"/>
      <c r="J193" s="1">
        <f t="shared" ca="1" si="44"/>
        <v>14</v>
      </c>
      <c r="K193" s="1">
        <f t="shared" ca="1" si="45"/>
        <v>1.6336983890585242</v>
      </c>
      <c r="L193" s="1">
        <f t="shared" ca="1" si="46"/>
        <v>25</v>
      </c>
      <c r="M193" s="1"/>
      <c r="N193" s="1">
        <f t="shared" ca="1" si="47"/>
        <v>620</v>
      </c>
      <c r="O193" s="1">
        <f t="shared" ca="1" si="48"/>
        <v>3</v>
      </c>
      <c r="P193" s="1"/>
      <c r="Q193" s="1">
        <f t="shared" ca="1" si="49"/>
        <v>3.9455663548395337</v>
      </c>
      <c r="R193" s="1">
        <f t="shared" ca="1" si="50"/>
        <v>607</v>
      </c>
      <c r="S193" s="1"/>
      <c r="T193" s="1">
        <f t="shared" ca="1" si="51"/>
        <v>0.10254567224497334</v>
      </c>
      <c r="U193" s="1">
        <f t="shared" ca="1" si="52"/>
        <v>54</v>
      </c>
      <c r="V193" s="1">
        <f t="shared" ca="1" si="53"/>
        <v>49</v>
      </c>
      <c r="W193" s="1"/>
      <c r="X193" s="1">
        <f t="shared" ca="1" si="54"/>
        <v>7.5962479440848956</v>
      </c>
      <c r="Y193" s="1">
        <f t="shared" ca="1" si="55"/>
        <v>0.17219025418303993</v>
      </c>
      <c r="Z193" s="1">
        <f t="shared" ca="1" si="56"/>
        <v>1159</v>
      </c>
    </row>
    <row r="194" spans="2:26" x14ac:dyDescent="0.25">
      <c r="B194">
        <f t="shared" ca="1" si="38"/>
        <v>285</v>
      </c>
      <c r="C194">
        <f t="shared" ca="1" si="39"/>
        <v>16</v>
      </c>
      <c r="D194">
        <f t="shared" ca="1" si="40"/>
        <v>1.2811865377717304E-2</v>
      </c>
      <c r="F194" s="1">
        <f t="shared" ca="1" si="41"/>
        <v>11</v>
      </c>
      <c r="G194" s="1">
        <f t="shared" ca="1" si="42"/>
        <v>18</v>
      </c>
      <c r="H194" s="1">
        <f t="shared" ca="1" si="43"/>
        <v>7</v>
      </c>
      <c r="I194" s="1"/>
      <c r="J194" s="1">
        <f t="shared" ca="1" si="44"/>
        <v>3</v>
      </c>
      <c r="K194" s="1">
        <f t="shared" ca="1" si="45"/>
        <v>2.9862695093882219</v>
      </c>
      <c r="L194" s="1">
        <f t="shared" ca="1" si="46"/>
        <v>15</v>
      </c>
      <c r="M194" s="1"/>
      <c r="N194" s="1">
        <f t="shared" ca="1" si="47"/>
        <v>587</v>
      </c>
      <c r="O194" s="1">
        <f t="shared" ca="1" si="48"/>
        <v>21</v>
      </c>
      <c r="P194" s="1"/>
      <c r="Q194" s="1">
        <f t="shared" ca="1" si="49"/>
        <v>1.9306384862366861</v>
      </c>
      <c r="R194" s="1">
        <f t="shared" ca="1" si="50"/>
        <v>218</v>
      </c>
      <c r="S194" s="1"/>
      <c r="T194" s="1">
        <f t="shared" ca="1" si="51"/>
        <v>6.5406105608622811E-2</v>
      </c>
      <c r="U194" s="1">
        <f t="shared" ca="1" si="52"/>
        <v>236</v>
      </c>
      <c r="V194" s="1">
        <f t="shared" ca="1" si="53"/>
        <v>7</v>
      </c>
      <c r="W194" s="1"/>
      <c r="X194" s="1">
        <f t="shared" ca="1" si="54"/>
        <v>9.8043561801665255</v>
      </c>
      <c r="Y194" s="1">
        <f t="shared" ca="1" si="55"/>
        <v>0.66583690899729886</v>
      </c>
      <c r="Z194" s="1">
        <f t="shared" ca="1" si="56"/>
        <v>580</v>
      </c>
    </row>
    <row r="195" spans="2:26" x14ac:dyDescent="0.25">
      <c r="B195">
        <f t="shared" ca="1" si="38"/>
        <v>729</v>
      </c>
      <c r="C195">
        <f t="shared" ca="1" si="39"/>
        <v>26</v>
      </c>
      <c r="D195">
        <f t="shared" ca="1" si="40"/>
        <v>0.26542678898701683</v>
      </c>
      <c r="F195" s="1">
        <f t="shared" ca="1" si="41"/>
        <v>9</v>
      </c>
      <c r="G195" s="1">
        <f t="shared" ca="1" si="42"/>
        <v>16</v>
      </c>
      <c r="H195" s="1">
        <f t="shared" ca="1" si="43"/>
        <v>8</v>
      </c>
      <c r="I195" s="1"/>
      <c r="J195" s="1">
        <f t="shared" ca="1" si="44"/>
        <v>18</v>
      </c>
      <c r="K195" s="1">
        <f t="shared" ca="1" si="45"/>
        <v>1.7229333030863561</v>
      </c>
      <c r="L195" s="1">
        <f t="shared" ca="1" si="46"/>
        <v>4</v>
      </c>
      <c r="M195" s="1"/>
      <c r="N195" s="1">
        <f t="shared" ca="1" si="47"/>
        <v>964</v>
      </c>
      <c r="O195" s="1">
        <f t="shared" ca="1" si="48"/>
        <v>6</v>
      </c>
      <c r="P195" s="1"/>
      <c r="Q195" s="1">
        <f t="shared" ca="1" si="49"/>
        <v>4.4114896573612112</v>
      </c>
      <c r="R195" s="1">
        <f t="shared" ca="1" si="50"/>
        <v>716</v>
      </c>
      <c r="S195" s="1"/>
      <c r="T195" s="1">
        <f t="shared" ca="1" si="51"/>
        <v>0.19205251359286435</v>
      </c>
      <c r="U195" s="1">
        <f t="shared" ca="1" si="52"/>
        <v>421</v>
      </c>
      <c r="V195" s="1">
        <f t="shared" ca="1" si="53"/>
        <v>31</v>
      </c>
      <c r="W195" s="1"/>
      <c r="X195" s="1">
        <f t="shared" ca="1" si="54"/>
        <v>1.8804690377953923</v>
      </c>
      <c r="Y195" s="1">
        <f t="shared" ca="1" si="55"/>
        <v>0.37332887184498453</v>
      </c>
      <c r="Z195" s="1">
        <f t="shared" ca="1" si="56"/>
        <v>1930</v>
      </c>
    </row>
    <row r="196" spans="2:26" x14ac:dyDescent="0.25">
      <c r="B196">
        <f t="shared" ref="B196:B202" ca="1" si="57">RANDBETWEEN(15,1000)</f>
        <v>486</v>
      </c>
      <c r="C196">
        <f t="shared" ref="C196:C202" ca="1" si="58">RANDBETWEEN(2,52)</f>
        <v>37</v>
      </c>
      <c r="D196">
        <f t="shared" ref="D196:D202" ca="1" si="59">RAND()*(0.3-0.01)+0.01</f>
        <v>0.2807976224890944</v>
      </c>
      <c r="F196" s="1">
        <f t="shared" ref="F196:F202" ca="1" si="60">RANDBETWEEN(2,52)</f>
        <v>48</v>
      </c>
      <c r="G196" s="1">
        <f t="shared" ref="G196:G202" ca="1" si="61">RANDBETWEEN(2,30)</f>
        <v>24</v>
      </c>
      <c r="H196" s="1">
        <f t="shared" ref="H196:H202" ca="1" si="62">RANDBETWEEN(1,15)</f>
        <v>12</v>
      </c>
      <c r="I196" s="1"/>
      <c r="J196" s="1">
        <f t="shared" ref="J196:J202" ca="1" si="63">RANDBETWEEN(1,39)</f>
        <v>26</v>
      </c>
      <c r="K196" s="1">
        <f t="shared" ref="K196:K202" ca="1" si="64">RAND()*(3-1)+1</f>
        <v>1.3109531979378053</v>
      </c>
      <c r="L196" s="1">
        <f t="shared" ref="L196:L202" ca="1" si="65">RANDBETWEEN(2,35)</f>
        <v>2</v>
      </c>
      <c r="M196" s="1"/>
      <c r="N196" s="1">
        <f t="shared" ref="N196:N202" ca="1" si="66">RANDBETWEEN(15,1000)</f>
        <v>441</v>
      </c>
      <c r="O196" s="1">
        <f t="shared" ref="O196:O202" ca="1" si="67">RANDBETWEEN(2,52)</f>
        <v>16</v>
      </c>
      <c r="P196" s="1"/>
      <c r="Q196" s="1">
        <f t="shared" ref="Q196:Q202" ca="1" si="68">RAND()*(5-0.01)+0.01</f>
        <v>3.8009693026299196</v>
      </c>
      <c r="R196" s="1">
        <f t="shared" ref="R196:R202" ca="1" si="69">RANDBETWEEN(200,1200)</f>
        <v>1041</v>
      </c>
      <c r="S196" s="1"/>
      <c r="T196" s="1">
        <f t="shared" ref="T196:T202" ca="1" si="70">RAND()*(0.2-0.01)+0.01</f>
        <v>0.11933355060005017</v>
      </c>
      <c r="U196" s="1">
        <f t="shared" ref="U196:U202" ca="1" si="71">RANDBETWEEN(50,450)</f>
        <v>408</v>
      </c>
      <c r="V196" s="1">
        <f t="shared" ref="V196:V202" ca="1" si="72">RANDBETWEEN(2,52)</f>
        <v>14</v>
      </c>
      <c r="W196" s="1"/>
      <c r="X196" s="1">
        <f t="shared" ref="X196:X202" ca="1" si="73">RAND()*(10-0.01)+0.01</f>
        <v>9.7779062166381134</v>
      </c>
      <c r="Y196" s="1">
        <f t="shared" ref="Y196:Y202" ca="1" si="74">RAND()*(1-0.0001)+0.0001</f>
        <v>0.16734557736821309</v>
      </c>
      <c r="Z196" s="1">
        <f t="shared" ref="Z196:Z202" ca="1" si="75">RANDBETWEEN(100,2000)</f>
        <v>1930</v>
      </c>
    </row>
    <row r="197" spans="2:26" x14ac:dyDescent="0.25">
      <c r="B197">
        <f t="shared" ca="1" si="57"/>
        <v>346</v>
      </c>
      <c r="C197">
        <f t="shared" ca="1" si="58"/>
        <v>52</v>
      </c>
      <c r="D197">
        <f t="shared" ca="1" si="59"/>
        <v>3.17380243288077E-2</v>
      </c>
      <c r="F197" s="1">
        <f t="shared" ca="1" si="60"/>
        <v>22</v>
      </c>
      <c r="G197" s="1">
        <f t="shared" ca="1" si="61"/>
        <v>6</v>
      </c>
      <c r="H197" s="1">
        <f t="shared" ca="1" si="62"/>
        <v>4</v>
      </c>
      <c r="I197" s="1"/>
      <c r="J197" s="1">
        <f t="shared" ca="1" si="63"/>
        <v>2</v>
      </c>
      <c r="K197" s="1">
        <f t="shared" ca="1" si="64"/>
        <v>2.4330686409639273</v>
      </c>
      <c r="L197" s="1">
        <f t="shared" ca="1" si="65"/>
        <v>14</v>
      </c>
      <c r="M197" s="1"/>
      <c r="N197" s="1">
        <f t="shared" ca="1" si="66"/>
        <v>373</v>
      </c>
      <c r="O197" s="1">
        <f t="shared" ca="1" si="67"/>
        <v>26</v>
      </c>
      <c r="P197" s="1"/>
      <c r="Q197" s="1">
        <f t="shared" ca="1" si="68"/>
        <v>4.9694489201394276</v>
      </c>
      <c r="R197" s="1">
        <f t="shared" ca="1" si="69"/>
        <v>709</v>
      </c>
      <c r="S197" s="1"/>
      <c r="T197" s="1">
        <f t="shared" ca="1" si="70"/>
        <v>1.0737403397790193E-2</v>
      </c>
      <c r="U197" s="1">
        <f t="shared" ca="1" si="71"/>
        <v>159</v>
      </c>
      <c r="V197" s="1">
        <f t="shared" ca="1" si="72"/>
        <v>39</v>
      </c>
      <c r="W197" s="1"/>
      <c r="X197" s="1">
        <f t="shared" ca="1" si="73"/>
        <v>4.5437581907216655</v>
      </c>
      <c r="Y197" s="1">
        <f t="shared" ca="1" si="74"/>
        <v>0.89411953808735989</v>
      </c>
      <c r="Z197" s="1">
        <f t="shared" ca="1" si="75"/>
        <v>1311</v>
      </c>
    </row>
    <row r="198" spans="2:26" x14ac:dyDescent="0.25">
      <c r="B198">
        <f t="shared" ca="1" si="57"/>
        <v>660</v>
      </c>
      <c r="C198">
        <f t="shared" ca="1" si="58"/>
        <v>7</v>
      </c>
      <c r="D198">
        <f t="shared" ca="1" si="59"/>
        <v>0.28271772216682683</v>
      </c>
      <c r="F198" s="1">
        <f t="shared" ca="1" si="60"/>
        <v>9</v>
      </c>
      <c r="G198" s="1">
        <f t="shared" ca="1" si="61"/>
        <v>7</v>
      </c>
      <c r="H198" s="1">
        <f t="shared" ca="1" si="62"/>
        <v>5</v>
      </c>
      <c r="I198" s="1"/>
      <c r="J198" s="1">
        <f t="shared" ca="1" si="63"/>
        <v>7</v>
      </c>
      <c r="K198" s="1">
        <f t="shared" ca="1" si="64"/>
        <v>2.6695805576409706</v>
      </c>
      <c r="L198" s="1">
        <f t="shared" ca="1" si="65"/>
        <v>19</v>
      </c>
      <c r="M198" s="1"/>
      <c r="N198" s="1">
        <f t="shared" ca="1" si="66"/>
        <v>965</v>
      </c>
      <c r="O198" s="1">
        <f t="shared" ca="1" si="67"/>
        <v>34</v>
      </c>
      <c r="P198" s="1"/>
      <c r="Q198" s="1">
        <f t="shared" ca="1" si="68"/>
        <v>0.86495675676196826</v>
      </c>
      <c r="R198" s="1">
        <f t="shared" ca="1" si="69"/>
        <v>512</v>
      </c>
      <c r="S198" s="1"/>
      <c r="T198" s="1">
        <f t="shared" ca="1" si="70"/>
        <v>0.19671467034047557</v>
      </c>
      <c r="U198" s="1">
        <f t="shared" ca="1" si="71"/>
        <v>282</v>
      </c>
      <c r="V198" s="1">
        <f t="shared" ca="1" si="72"/>
        <v>11</v>
      </c>
      <c r="W198" s="1"/>
      <c r="X198" s="1">
        <f t="shared" ca="1" si="73"/>
        <v>0.44360626266237524</v>
      </c>
      <c r="Y198" s="1">
        <f t="shared" ca="1" si="74"/>
        <v>0.98641209629038962</v>
      </c>
      <c r="Z198" s="1">
        <f t="shared" ca="1" si="75"/>
        <v>1011</v>
      </c>
    </row>
    <row r="199" spans="2:26" x14ac:dyDescent="0.25">
      <c r="B199">
        <f t="shared" ca="1" si="57"/>
        <v>298</v>
      </c>
      <c r="C199">
        <f t="shared" ca="1" si="58"/>
        <v>19</v>
      </c>
      <c r="D199">
        <f t="shared" ca="1" si="59"/>
        <v>4.3805691628214599E-2</v>
      </c>
      <c r="F199" s="1">
        <f t="shared" ca="1" si="60"/>
        <v>18</v>
      </c>
      <c r="G199" s="1">
        <f t="shared" ca="1" si="61"/>
        <v>19</v>
      </c>
      <c r="H199" s="1">
        <f t="shared" ca="1" si="62"/>
        <v>3</v>
      </c>
      <c r="I199" s="1"/>
      <c r="J199" s="1">
        <f t="shared" ca="1" si="63"/>
        <v>2</v>
      </c>
      <c r="K199" s="1">
        <f t="shared" ca="1" si="64"/>
        <v>1.153188052834891</v>
      </c>
      <c r="L199" s="1">
        <f t="shared" ca="1" si="65"/>
        <v>15</v>
      </c>
      <c r="M199" s="1"/>
      <c r="N199" s="1">
        <f t="shared" ca="1" si="66"/>
        <v>494</v>
      </c>
      <c r="O199" s="1">
        <f t="shared" ca="1" si="67"/>
        <v>27</v>
      </c>
      <c r="P199" s="1"/>
      <c r="Q199" s="1">
        <f t="shared" ca="1" si="68"/>
        <v>3.0405303001430228</v>
      </c>
      <c r="R199" s="1">
        <f t="shared" ca="1" si="69"/>
        <v>464</v>
      </c>
      <c r="S199" s="1"/>
      <c r="T199" s="1">
        <f t="shared" ca="1" si="70"/>
        <v>5.7994299538805388E-2</v>
      </c>
      <c r="U199" s="1">
        <f t="shared" ca="1" si="71"/>
        <v>289</v>
      </c>
      <c r="V199" s="1">
        <f t="shared" ca="1" si="72"/>
        <v>46</v>
      </c>
      <c r="W199" s="1"/>
      <c r="X199" s="1">
        <f t="shared" ca="1" si="73"/>
        <v>9.8269709888623726</v>
      </c>
      <c r="Y199" s="1">
        <f t="shared" ca="1" si="74"/>
        <v>0.92329373693102845</v>
      </c>
      <c r="Z199" s="1">
        <f t="shared" ca="1" si="75"/>
        <v>241</v>
      </c>
    </row>
    <row r="200" spans="2:26" x14ac:dyDescent="0.25">
      <c r="B200">
        <f t="shared" ca="1" si="57"/>
        <v>437</v>
      </c>
      <c r="C200">
        <f t="shared" ca="1" si="58"/>
        <v>9</v>
      </c>
      <c r="D200">
        <f t="shared" ca="1" si="59"/>
        <v>6.2442209852931883E-2</v>
      </c>
      <c r="F200" s="1">
        <f t="shared" ca="1" si="60"/>
        <v>26</v>
      </c>
      <c r="G200" s="1">
        <f t="shared" ca="1" si="61"/>
        <v>5</v>
      </c>
      <c r="H200" s="1">
        <f t="shared" ca="1" si="62"/>
        <v>11</v>
      </c>
      <c r="I200" s="1"/>
      <c r="J200" s="1">
        <f t="shared" ca="1" si="63"/>
        <v>22</v>
      </c>
      <c r="K200" s="1">
        <f t="shared" ca="1" si="64"/>
        <v>1.5324704987239319</v>
      </c>
      <c r="L200" s="1">
        <f t="shared" ca="1" si="65"/>
        <v>8</v>
      </c>
      <c r="M200" s="1"/>
      <c r="N200" s="1">
        <f t="shared" ca="1" si="66"/>
        <v>545</v>
      </c>
      <c r="O200" s="1">
        <f t="shared" ca="1" si="67"/>
        <v>5</v>
      </c>
      <c r="P200" s="1"/>
      <c r="Q200" s="1">
        <f t="shared" ca="1" si="68"/>
        <v>3.763256833795634</v>
      </c>
      <c r="R200" s="1">
        <f t="shared" ca="1" si="69"/>
        <v>884</v>
      </c>
      <c r="S200" s="1"/>
      <c r="T200" s="1">
        <f t="shared" ca="1" si="70"/>
        <v>0.12455354180119145</v>
      </c>
      <c r="U200" s="1">
        <f t="shared" ca="1" si="71"/>
        <v>400</v>
      </c>
      <c r="V200" s="1">
        <f t="shared" ca="1" si="72"/>
        <v>11</v>
      </c>
      <c r="W200" s="1"/>
      <c r="X200" s="1">
        <f t="shared" ca="1" si="73"/>
        <v>5.6750964565692588</v>
      </c>
      <c r="Y200" s="1">
        <f t="shared" ca="1" si="74"/>
        <v>0.49956600371602261</v>
      </c>
      <c r="Z200" s="1">
        <f t="shared" ca="1" si="75"/>
        <v>1466</v>
      </c>
    </row>
    <row r="201" spans="2:26" x14ac:dyDescent="0.25">
      <c r="B201">
        <f t="shared" ca="1" si="57"/>
        <v>859</v>
      </c>
      <c r="C201">
        <f t="shared" ca="1" si="58"/>
        <v>38</v>
      </c>
      <c r="D201">
        <f t="shared" ca="1" si="59"/>
        <v>3.0538715869339234E-2</v>
      </c>
      <c r="F201" s="1">
        <f t="shared" ca="1" si="60"/>
        <v>41</v>
      </c>
      <c r="G201" s="1">
        <f t="shared" ca="1" si="61"/>
        <v>4</v>
      </c>
      <c r="H201" s="1">
        <f t="shared" ca="1" si="62"/>
        <v>9</v>
      </c>
      <c r="I201" s="1"/>
      <c r="J201" s="1">
        <f t="shared" ca="1" si="63"/>
        <v>6</v>
      </c>
      <c r="K201" s="1">
        <f t="shared" ca="1" si="64"/>
        <v>2.8256318333720092</v>
      </c>
      <c r="L201" s="1">
        <f t="shared" ca="1" si="65"/>
        <v>5</v>
      </c>
      <c r="M201" s="1"/>
      <c r="N201" s="1">
        <f t="shared" ca="1" si="66"/>
        <v>758</v>
      </c>
      <c r="O201" s="1">
        <f t="shared" ca="1" si="67"/>
        <v>42</v>
      </c>
      <c r="P201" s="1"/>
      <c r="Q201" s="1">
        <f t="shared" ca="1" si="68"/>
        <v>1.7841538650127471</v>
      </c>
      <c r="R201" s="1">
        <f t="shared" ca="1" si="69"/>
        <v>671</v>
      </c>
      <c r="S201" s="1"/>
      <c r="T201" s="1">
        <f t="shared" ca="1" si="70"/>
        <v>6.9277814442077965E-2</v>
      </c>
      <c r="U201" s="1">
        <f t="shared" ca="1" si="71"/>
        <v>242</v>
      </c>
      <c r="V201" s="1">
        <f t="shared" ca="1" si="72"/>
        <v>46</v>
      </c>
      <c r="W201" s="1"/>
      <c r="X201" s="1">
        <f t="shared" ca="1" si="73"/>
        <v>3.0225508182488134</v>
      </c>
      <c r="Y201" s="1">
        <f t="shared" ca="1" si="74"/>
        <v>0.74000467045829266</v>
      </c>
      <c r="Z201" s="1">
        <f t="shared" ca="1" si="75"/>
        <v>154</v>
      </c>
    </row>
    <row r="202" spans="2:26" x14ac:dyDescent="0.25">
      <c r="B202">
        <f t="shared" ca="1" si="57"/>
        <v>154</v>
      </c>
      <c r="C202">
        <f t="shared" ca="1" si="58"/>
        <v>24</v>
      </c>
      <c r="D202">
        <f t="shared" ca="1" si="59"/>
        <v>0.23676839406532507</v>
      </c>
      <c r="F202" s="1">
        <f t="shared" ca="1" si="60"/>
        <v>12</v>
      </c>
      <c r="G202" s="1">
        <f t="shared" ca="1" si="61"/>
        <v>2</v>
      </c>
      <c r="H202" s="1">
        <f t="shared" ca="1" si="62"/>
        <v>5</v>
      </c>
      <c r="I202" s="1"/>
      <c r="J202" s="1">
        <f t="shared" ca="1" si="63"/>
        <v>21</v>
      </c>
      <c r="K202" s="1">
        <f t="shared" ca="1" si="64"/>
        <v>1.4040835292549356</v>
      </c>
      <c r="L202" s="1">
        <f t="shared" ca="1" si="65"/>
        <v>22</v>
      </c>
      <c r="M202" s="1"/>
      <c r="N202" s="1">
        <f t="shared" ca="1" si="66"/>
        <v>481</v>
      </c>
      <c r="O202" s="1">
        <f t="shared" ca="1" si="67"/>
        <v>45</v>
      </c>
      <c r="P202" s="1"/>
      <c r="Q202" s="1">
        <f t="shared" ca="1" si="68"/>
        <v>0.40998491414645372</v>
      </c>
      <c r="R202" s="1">
        <f t="shared" ca="1" si="69"/>
        <v>533</v>
      </c>
      <c r="S202" s="1"/>
      <c r="T202" s="1">
        <f t="shared" ca="1" si="70"/>
        <v>9.5139845729209097E-2</v>
      </c>
      <c r="U202" s="1">
        <f t="shared" ca="1" si="71"/>
        <v>56</v>
      </c>
      <c r="V202" s="1">
        <f t="shared" ca="1" si="72"/>
        <v>52</v>
      </c>
      <c r="W202" s="1"/>
      <c r="X202" s="1">
        <f t="shared" ca="1" si="73"/>
        <v>5.7015417223060219</v>
      </c>
      <c r="Y202" s="1">
        <f t="shared" ca="1" si="74"/>
        <v>0.14946345716861206</v>
      </c>
      <c r="Z202" s="1">
        <f t="shared" ca="1" si="75"/>
        <v>1110</v>
      </c>
    </row>
  </sheetData>
  <mergeCells count="7">
    <mergeCell ref="T1:V1"/>
    <mergeCell ref="X1:Z1"/>
    <mergeCell ref="B1:D1"/>
    <mergeCell ref="F1:H1"/>
    <mergeCell ref="J1:L1"/>
    <mergeCell ref="N1:O1"/>
    <mergeCell ref="Q1:R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 Moradian</dc:creator>
  <cp:lastModifiedBy>Sam Moradian</cp:lastModifiedBy>
  <dcterms:created xsi:type="dcterms:W3CDTF">2015-06-05T18:17:20Z</dcterms:created>
  <dcterms:modified xsi:type="dcterms:W3CDTF">2026-04-07T10:03:04Z</dcterms:modified>
</cp:coreProperties>
</file>