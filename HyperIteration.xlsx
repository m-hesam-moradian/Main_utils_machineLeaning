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38BC85E3-7CAA-4EA7-87AA-613042024DBA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<sst xmlns="http://schemas.openxmlformats.org/spreadsheetml/2006/main" count="41" uniqueCount="27">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</sst>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7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1" xfId="1" applyAlignment="1">
      <alignment horizontal="center"/>
    </xf>
    <xf numFmtId="0" fontId="3" fillId="4" borderId="4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O202"/>
  <sheetViews>
    <sheetView tabSelected="1" topLeftCell="O1" zoomScale="70" zoomScaleNormal="70" workbookViewId="0">
      <selection activeCell="AI15" sqref="AI15"/>
    </sheetView>
  </sheetViews>
  <sheetFormatPr defaultRowHeight="15" x14ac:dyDescent="0.25"/>
  <sheetData>
    <row r="1" spans="2:41" x14ac:dyDescent="0.25">
      <c r="B1" s="5" t="s">
        <v>3</v>
      </c>
      <c r="C1" s="5"/>
      <c r="D1" s="5"/>
      <c r="F1" s="5" t="s">
        <v>14</v>
      </c>
      <c r="G1" s="5"/>
      <c r="H1" s="5"/>
      <c r="I1" s="1"/>
      <c r="J1" s="5" t="s">
        <v>6</v>
      </c>
      <c r="K1" s="5"/>
      <c r="L1" s="5"/>
      <c r="M1" s="1"/>
      <c r="N1" s="3" t="s">
        <v>10</v>
      </c>
      <c r="O1" s="4"/>
      <c r="P1" s="1"/>
      <c r="Q1" s="3" t="s">
        <v>11</v>
      </c>
      <c r="R1" s="4"/>
      <c r="S1" s="1"/>
      <c r="T1" s="5" t="s">
        <v>15</v>
      </c>
      <c r="U1" s="5"/>
      <c r="V1" s="5"/>
      <c r="W1" s="1"/>
      <c r="X1" s="5" t="s">
        <v>16</v>
      </c>
      <c r="Y1" s="5"/>
      <c r="Z1" s="5"/>
      <c r="AB1" s="5" t="s">
        <v>20</v>
      </c>
      <c r="AC1" s="5"/>
      <c r="AD1" s="5"/>
      <c r="AE1" s="1"/>
      <c r="AF1" s="5" t="s">
        <v>22</v>
      </c>
      <c r="AG1" s="5"/>
      <c r="AH1" s="5"/>
      <c r="AJ1" s="3" t="s">
        <v>24</v>
      </c>
      <c r="AK1" s="4"/>
      <c r="AM1" s="3" t="s">
        <v>26</v>
      </c>
      <c r="AN1" s="6"/>
      <c r="AO1" s="6"/>
    </row>
    <row r="2" spans="2:41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</row>
    <row r="3" spans="2:41" x14ac:dyDescent="0.25">
      <c r="B3">
        <f ca="1">RANDBETWEEN(15,1000)</f>
        <v>57</v>
      </c>
      <c r="C3">
        <f ca="1">RANDBETWEEN(2,52)</f>
        <v>34</v>
      </c>
      <c r="D3">
        <f ca="1">RAND()*(0.3-0.01)+0.01</f>
        <v>0.21189942358843211</v>
      </c>
      <c r="F3" s="1">
        <f ca="1">RANDBETWEEN(2,52)</f>
        <v>16</v>
      </c>
      <c r="G3" s="1">
        <f ca="1">RANDBETWEEN(2,30)</f>
        <v>10</v>
      </c>
      <c r="H3" s="1">
        <f ca="1">RANDBETWEEN(1,15)</f>
        <v>12</v>
      </c>
      <c r="I3" s="1"/>
      <c r="J3" s="1">
        <f ca="1">RANDBETWEEN(1,39)</f>
        <v>5</v>
      </c>
      <c r="K3" s="1">
        <f ca="1">RAND()*(3-1)+1</f>
        <v>2.7373865562802018</v>
      </c>
      <c r="L3" s="1">
        <f ca="1">RANDBETWEEN(2,35)</f>
        <v>33</v>
      </c>
      <c r="M3" s="1"/>
      <c r="N3" s="1">
        <f ca="1">RANDBETWEEN(15,1000)</f>
        <v>312</v>
      </c>
      <c r="O3" s="1">
        <f ca="1">RANDBETWEEN(2,52)</f>
        <v>34</v>
      </c>
      <c r="P3" s="1"/>
      <c r="Q3" s="1">
        <f ca="1">RAND()*(5-0.01)+0.01</f>
        <v>2.9797964007055384</v>
      </c>
      <c r="R3" s="1">
        <f ca="1">RANDBETWEEN(200,1200)</f>
        <v>660</v>
      </c>
      <c r="S3" s="1"/>
      <c r="T3" s="1">
        <f ca="1">RAND()*(0.2-0.01)+0.01</f>
        <v>0.18664726468417675</v>
      </c>
      <c r="U3" s="1">
        <f ca="1">RANDBETWEEN(50,450)</f>
        <v>207</v>
      </c>
      <c r="V3" s="1">
        <f ca="1">RANDBETWEEN(2,52)</f>
        <v>50</v>
      </c>
      <c r="W3" s="1"/>
      <c r="X3" s="1">
        <f ca="1">RAND()*(10-0.01)+0.01</f>
        <v>2.9317456366117409</v>
      </c>
      <c r="Y3" s="1">
        <f ca="1">RAND()*(1-0.0001)+0.0001</f>
        <v>0.80657604302214747</v>
      </c>
      <c r="Z3" s="1">
        <f ca="1">RANDBETWEEN(100,2000)</f>
        <v>399</v>
      </c>
      <c r="AB3" s="1">
        <f ca="1">RAND()*(1-0.0001)+0.0001</f>
        <v>0.84811489317868505</v>
      </c>
      <c r="AC3" s="1">
        <f ca="1">RANDBETWEEN(100,1000)</f>
        <v>528</v>
      </c>
      <c r="AD3" s="1">
        <f ca="1">RAND()*(0.01-0.00001)+0.00001</f>
        <v>8.104346161367685E-3</v>
      </c>
      <c r="AE3" s="1"/>
      <c r="AF3" s="1">
        <f ca="1">RAND()*(0.9-0.1)+0.1</f>
        <v>0.89229438190121424</v>
      </c>
      <c r="AG3" s="1">
        <f ca="1">RANDBETWEEN(100,1000)</f>
        <v>432</v>
      </c>
      <c r="AH3" s="1">
        <f ca="1">RAND()*(0.01-0.00001)+0.00001</f>
        <v>6.2410184551009293E-3</v>
      </c>
      <c r="AJ3" s="1">
        <f ca="1">RAND()*(1-0)+0</f>
        <v>0.85632198400396409</v>
      </c>
      <c r="AK3" s="1">
        <f ca="1">RAND()*(0.01-0.00001)+0.00001</f>
        <v>9.6600958264318089E-3</v>
      </c>
      <c r="AM3" s="1">
        <f ca="1">RAND()*(0.2-0.005)+0.005</f>
        <v>6.9463273189824662E-2</v>
      </c>
      <c r="AN3" s="1">
        <f ca="1">RANDBETWEEN(10,80)</f>
        <v>73</v>
      </c>
      <c r="AO3" s="1">
        <f ca="1">RANDBETWEEN(-1,20)</f>
        <v>16</v>
      </c>
    </row>
    <row r="4" spans="2:41" x14ac:dyDescent="0.25">
      <c r="B4">
        <f t="shared" ref="B4:B67" ca="1" si="0">RANDBETWEEN(15,1000)</f>
        <v>31</v>
      </c>
      <c r="C4">
        <f t="shared" ref="C4:C67" ca="1" si="1">RANDBETWEEN(2,52)</f>
        <v>14</v>
      </c>
      <c r="D4">
        <f t="shared" ref="D4:D67" ca="1" si="2">RAND()*(0.3-0.01)+0.01</f>
        <v>0.2826672961203105</v>
      </c>
      <c r="F4" s="1">
        <f t="shared" ref="F4:F67" ca="1" si="3">RANDBETWEEN(2,52)</f>
        <v>50</v>
      </c>
      <c r="G4" s="1">
        <f t="shared" ref="G4:G67" ca="1" si="4">RANDBETWEEN(2,30)</f>
        <v>20</v>
      </c>
      <c r="H4" s="1">
        <f t="shared" ref="H4:H67" ca="1" si="5">RANDBETWEEN(1,15)</f>
        <v>1</v>
      </c>
      <c r="I4" s="1"/>
      <c r="J4" s="1">
        <f t="shared" ref="J4:J67" ca="1" si="6">RANDBETWEEN(1,39)</f>
        <v>7</v>
      </c>
      <c r="K4" s="1">
        <f t="shared" ref="K4:K67" ca="1" si="7">RAND()*(3-1)+1</f>
        <v>2.3686885602919023</v>
      </c>
      <c r="L4" s="1">
        <f t="shared" ref="L4:L67" ca="1" si="8">RANDBETWEEN(2,35)</f>
        <v>26</v>
      </c>
      <c r="M4" s="1"/>
      <c r="N4" s="1">
        <f t="shared" ref="N4:N67" ca="1" si="9">RANDBETWEEN(15,1000)</f>
        <v>503</v>
      </c>
      <c r="O4" s="1">
        <f t="shared" ref="O4:O67" ca="1" si="10">RANDBETWEEN(2,52)</f>
        <v>37</v>
      </c>
      <c r="P4" s="1"/>
      <c r="Q4" s="1">
        <f t="shared" ref="Q4:Q67" ca="1" si="11">RAND()*(5-0.01)+0.01</f>
        <v>4.8224977433435043</v>
      </c>
      <c r="R4" s="1">
        <f t="shared" ref="R4:R67" ca="1" si="12">RANDBETWEEN(200,1200)</f>
        <v>313</v>
      </c>
      <c r="S4" s="1"/>
      <c r="T4" s="1">
        <f t="shared" ref="T4:T67" ca="1" si="13">RAND()*(0.2-0.01)+0.01</f>
        <v>6.7063932433683235E-2</v>
      </c>
      <c r="U4" s="1">
        <f t="shared" ref="U4:U67" ca="1" si="14">RANDBETWEEN(50,450)</f>
        <v>157</v>
      </c>
      <c r="V4" s="1">
        <f t="shared" ref="V4:V67" ca="1" si="15">RANDBETWEEN(2,52)</f>
        <v>8</v>
      </c>
      <c r="W4" s="1"/>
      <c r="X4" s="1">
        <f t="shared" ref="X4:X67" ca="1" si="16">RAND()*(10-0.01)+0.01</f>
        <v>1.0335387412432375</v>
      </c>
      <c r="Y4" s="1">
        <f t="shared" ref="Y4:Y67" ca="1" si="17">RAND()*(1-0.0001)+0.0001</f>
        <v>0.54432209210307048</v>
      </c>
      <c r="Z4" s="1">
        <f t="shared" ref="Z4:Z67" ca="1" si="18">RANDBETWEEN(100,2000)</f>
        <v>419</v>
      </c>
      <c r="AB4" s="1">
        <f t="shared" ref="AB4:AB67" ca="1" si="19">RAND()*(1-0.0001)+0.0001</f>
        <v>0.27899108472789641</v>
      </c>
      <c r="AC4" s="1">
        <f t="shared" ref="AC4:AC67" ca="1" si="20">RANDBETWEEN(100,1000)</f>
        <v>762</v>
      </c>
      <c r="AD4" s="1">
        <f t="shared" ref="AD4:AD67" ca="1" si="21">RAND()*(0.01-0.00001)+0.00001</f>
        <v>3.9677858189129936E-3</v>
      </c>
      <c r="AE4" s="1"/>
      <c r="AF4" s="1">
        <f t="shared" ref="AF4:AF67" ca="1" si="22">RAND()*(0.9-0.1)+0.1</f>
        <v>0.67309517823718368</v>
      </c>
      <c r="AG4" s="1">
        <f t="shared" ref="AG4:AG67" ca="1" si="23">RANDBETWEEN(100,1000)</f>
        <v>174</v>
      </c>
      <c r="AH4" s="1">
        <f t="shared" ref="AH4:AH67" ca="1" si="24">RAND()*(0.01-0.00001)+0.00001</f>
        <v>6.9977978611429478E-3</v>
      </c>
      <c r="AJ4" s="1">
        <f t="shared" ref="AJ4:AJ67" ca="1" si="25">RAND()*(1-0)+0</f>
        <v>0.28763124579221744</v>
      </c>
      <c r="AK4" s="1">
        <f t="shared" ref="AK4:AK67" ca="1" si="26">RAND()*(0.01-0.00001)+0.00001</f>
        <v>1.0247115560563461E-3</v>
      </c>
      <c r="AL4" s="1"/>
      <c r="AM4" s="1">
        <f t="shared" ref="AM4:AM67" ca="1" si="27">RAND()*(0.2-0.005)+0.005</f>
        <v>3.9219454507727361E-2</v>
      </c>
      <c r="AN4" s="1">
        <f t="shared" ref="AN4:AN67" ca="1" si="28">RANDBETWEEN(10,80)</f>
        <v>38</v>
      </c>
      <c r="AO4" s="1">
        <f t="shared" ref="AO4:AO67" ca="1" si="29">RANDBETWEEN(-1,20)</f>
        <v>3</v>
      </c>
    </row>
    <row r="5" spans="2:41" x14ac:dyDescent="0.25">
      <c r="B5">
        <f t="shared" ca="1" si="0"/>
        <v>405</v>
      </c>
      <c r="C5">
        <f t="shared" ca="1" si="1"/>
        <v>47</v>
      </c>
      <c r="D5">
        <f t="shared" ca="1" si="2"/>
        <v>7.8669509778248908E-2</v>
      </c>
      <c r="F5" s="1">
        <f t="shared" ca="1" si="3"/>
        <v>4</v>
      </c>
      <c r="G5" s="1">
        <f t="shared" ca="1" si="4"/>
        <v>4</v>
      </c>
      <c r="H5" s="1">
        <f t="shared" ca="1" si="5"/>
        <v>4</v>
      </c>
      <c r="I5" s="1"/>
      <c r="J5" s="1">
        <f t="shared" ca="1" si="6"/>
        <v>3</v>
      </c>
      <c r="K5" s="1">
        <f t="shared" ca="1" si="7"/>
        <v>1.1012909385860798</v>
      </c>
      <c r="L5" s="1">
        <f t="shared" ca="1" si="8"/>
        <v>13</v>
      </c>
      <c r="M5" s="1"/>
      <c r="N5" s="1">
        <f t="shared" ca="1" si="9"/>
        <v>743</v>
      </c>
      <c r="O5" s="1">
        <f t="shared" ca="1" si="10"/>
        <v>30</v>
      </c>
      <c r="P5" s="1"/>
      <c r="Q5" s="1">
        <f t="shared" ca="1" si="11"/>
        <v>4.7678236945807289</v>
      </c>
      <c r="R5" s="1">
        <f t="shared" ca="1" si="12"/>
        <v>1093</v>
      </c>
      <c r="S5" s="1"/>
      <c r="T5" s="1">
        <f t="shared" ca="1" si="13"/>
        <v>0.13910607443727754</v>
      </c>
      <c r="U5" s="1">
        <f t="shared" ca="1" si="14"/>
        <v>168</v>
      </c>
      <c r="V5" s="1">
        <f t="shared" ca="1" si="15"/>
        <v>21</v>
      </c>
      <c r="W5" s="1"/>
      <c r="X5" s="1">
        <f t="shared" ca="1" si="16"/>
        <v>5.4077746594516203</v>
      </c>
      <c r="Y5" s="1">
        <f t="shared" ca="1" si="17"/>
        <v>0.58745208764825507</v>
      </c>
      <c r="Z5" s="1">
        <f t="shared" ca="1" si="18"/>
        <v>1523</v>
      </c>
      <c r="AB5" s="1">
        <f t="shared" ca="1" si="19"/>
        <v>0.75406953084532391</v>
      </c>
      <c r="AC5" s="1">
        <f t="shared" ca="1" si="20"/>
        <v>881</v>
      </c>
      <c r="AD5" s="1">
        <f t="shared" ca="1" si="21"/>
        <v>8.3010995982236314E-3</v>
      </c>
      <c r="AE5" s="1"/>
      <c r="AF5" s="1">
        <f t="shared" ca="1" si="22"/>
        <v>0.51693579651397248</v>
      </c>
      <c r="AG5" s="1">
        <f t="shared" ca="1" si="23"/>
        <v>465</v>
      </c>
      <c r="AH5" s="1">
        <f t="shared" ca="1" si="24"/>
        <v>7.8344560986443774E-3</v>
      </c>
      <c r="AJ5" s="1">
        <f t="shared" ca="1" si="25"/>
        <v>7.4127700398460616E-2</v>
      </c>
      <c r="AK5" s="1">
        <f t="shared" ca="1" si="26"/>
        <v>7.5349123053514841E-3</v>
      </c>
      <c r="AL5" s="1"/>
      <c r="AM5" s="1">
        <f t="shared" ca="1" si="27"/>
        <v>5.1853475692024288E-2</v>
      </c>
      <c r="AN5" s="1">
        <f t="shared" ca="1" si="28"/>
        <v>43</v>
      </c>
      <c r="AO5" s="1">
        <f t="shared" ca="1" si="29"/>
        <v>-1</v>
      </c>
    </row>
    <row r="6" spans="2:41" x14ac:dyDescent="0.25">
      <c r="B6">
        <f t="shared" ca="1" si="0"/>
        <v>281</v>
      </c>
      <c r="C6">
        <f t="shared" ca="1" si="1"/>
        <v>50</v>
      </c>
      <c r="D6">
        <f t="shared" ca="1" si="2"/>
        <v>0.23199117172114878</v>
      </c>
      <c r="F6" s="1">
        <f t="shared" ca="1" si="3"/>
        <v>12</v>
      </c>
      <c r="G6" s="1">
        <f t="shared" ca="1" si="4"/>
        <v>21</v>
      </c>
      <c r="H6" s="1">
        <f t="shared" ca="1" si="5"/>
        <v>7</v>
      </c>
      <c r="I6" s="1"/>
      <c r="J6" s="1">
        <f t="shared" ca="1" si="6"/>
        <v>10</v>
      </c>
      <c r="K6" s="1">
        <f t="shared" ca="1" si="7"/>
        <v>2.2895450551368386</v>
      </c>
      <c r="L6" s="1">
        <f t="shared" ca="1" si="8"/>
        <v>27</v>
      </c>
      <c r="M6" s="1"/>
      <c r="N6" s="1">
        <f t="shared" ca="1" si="9"/>
        <v>139</v>
      </c>
      <c r="O6" s="1">
        <f t="shared" ca="1" si="10"/>
        <v>19</v>
      </c>
      <c r="P6" s="1"/>
      <c r="Q6" s="1">
        <f t="shared" ca="1" si="11"/>
        <v>0.40013442311081726</v>
      </c>
      <c r="R6" s="1">
        <f t="shared" ca="1" si="12"/>
        <v>576</v>
      </c>
      <c r="S6" s="1"/>
      <c r="T6" s="1">
        <f t="shared" ca="1" si="13"/>
        <v>0.12087523977753117</v>
      </c>
      <c r="U6" s="1">
        <f t="shared" ca="1" si="14"/>
        <v>315</v>
      </c>
      <c r="V6" s="1">
        <f t="shared" ca="1" si="15"/>
        <v>2</v>
      </c>
      <c r="W6" s="1"/>
      <c r="X6" s="1">
        <f t="shared" ca="1" si="16"/>
        <v>1.5202760418571946</v>
      </c>
      <c r="Y6" s="1">
        <f t="shared" ca="1" si="17"/>
        <v>0.8380808924400438</v>
      </c>
      <c r="Z6" s="1">
        <f t="shared" ca="1" si="18"/>
        <v>549</v>
      </c>
      <c r="AB6" s="1">
        <f t="shared" ca="1" si="19"/>
        <v>0.66149827006011974</v>
      </c>
      <c r="AC6" s="1">
        <f t="shared" ca="1" si="20"/>
        <v>237</v>
      </c>
      <c r="AD6" s="1">
        <f t="shared" ca="1" si="21"/>
        <v>3.5103444093752918E-3</v>
      </c>
      <c r="AE6" s="1"/>
      <c r="AF6" s="1">
        <f t="shared" ca="1" si="22"/>
        <v>0.60582641373583357</v>
      </c>
      <c r="AG6" s="1">
        <f t="shared" ca="1" si="23"/>
        <v>430</v>
      </c>
      <c r="AH6" s="1">
        <f t="shared" ca="1" si="24"/>
        <v>6.1010800512604916E-3</v>
      </c>
      <c r="AJ6" s="1">
        <f t="shared" ca="1" si="25"/>
        <v>0.796229986208281</v>
      </c>
      <c r="AK6" s="1">
        <f t="shared" ca="1" si="26"/>
        <v>8.4641343173361121E-3</v>
      </c>
      <c r="AL6" s="1"/>
      <c r="AM6" s="1">
        <f t="shared" ca="1" si="27"/>
        <v>1.8958166156565641E-2</v>
      </c>
      <c r="AN6" s="1">
        <f t="shared" ca="1" si="28"/>
        <v>41</v>
      </c>
      <c r="AO6" s="1">
        <f t="shared" ca="1" si="29"/>
        <v>16</v>
      </c>
    </row>
    <row r="7" spans="2:41" x14ac:dyDescent="0.25">
      <c r="B7">
        <f t="shared" ca="1" si="0"/>
        <v>822</v>
      </c>
      <c r="C7">
        <f t="shared" ca="1" si="1"/>
        <v>33</v>
      </c>
      <c r="D7">
        <f t="shared" ca="1" si="2"/>
        <v>0.28906595751896608</v>
      </c>
      <c r="F7" s="1">
        <f t="shared" ca="1" si="3"/>
        <v>42</v>
      </c>
      <c r="G7" s="1">
        <f t="shared" ca="1" si="4"/>
        <v>28</v>
      </c>
      <c r="H7" s="1">
        <f t="shared" ca="1" si="5"/>
        <v>11</v>
      </c>
      <c r="I7" s="1"/>
      <c r="J7" s="1">
        <f t="shared" ca="1" si="6"/>
        <v>30</v>
      </c>
      <c r="K7" s="1">
        <f t="shared" ca="1" si="7"/>
        <v>2.1578004769111545</v>
      </c>
      <c r="L7" s="1">
        <f t="shared" ca="1" si="8"/>
        <v>7</v>
      </c>
      <c r="M7" s="1"/>
      <c r="N7" s="1">
        <f t="shared" ca="1" si="9"/>
        <v>614</v>
      </c>
      <c r="O7" s="1">
        <f t="shared" ca="1" si="10"/>
        <v>37</v>
      </c>
      <c r="P7" s="1"/>
      <c r="Q7" s="1">
        <f t="shared" ca="1" si="11"/>
        <v>0.94084071313561612</v>
      </c>
      <c r="R7" s="1">
        <f t="shared" ca="1" si="12"/>
        <v>410</v>
      </c>
      <c r="S7" s="1"/>
      <c r="T7" s="1">
        <f t="shared" ca="1" si="13"/>
        <v>0.1624640728437339</v>
      </c>
      <c r="U7" s="1">
        <f t="shared" ca="1" si="14"/>
        <v>112</v>
      </c>
      <c r="V7" s="1">
        <f t="shared" ca="1" si="15"/>
        <v>39</v>
      </c>
      <c r="W7" s="1"/>
      <c r="X7" s="1">
        <f t="shared" ca="1" si="16"/>
        <v>8.0830719885054076</v>
      </c>
      <c r="Y7" s="1">
        <f t="shared" ca="1" si="17"/>
        <v>0.6809641855865084</v>
      </c>
      <c r="Z7" s="1">
        <f t="shared" ca="1" si="18"/>
        <v>716</v>
      </c>
      <c r="AB7" s="1">
        <f t="shared" ca="1" si="19"/>
        <v>0.47591379326263467</v>
      </c>
      <c r="AC7" s="1">
        <f t="shared" ca="1" si="20"/>
        <v>933</v>
      </c>
      <c r="AD7" s="1">
        <f t="shared" ca="1" si="21"/>
        <v>4.6941090013152619E-4</v>
      </c>
      <c r="AE7" s="1"/>
      <c r="AF7" s="1">
        <f t="shared" ca="1" si="22"/>
        <v>0.64458723235179449</v>
      </c>
      <c r="AG7" s="1">
        <f t="shared" ca="1" si="23"/>
        <v>780</v>
      </c>
      <c r="AH7" s="1">
        <f t="shared" ca="1" si="24"/>
        <v>3.3827085456761686E-3</v>
      </c>
      <c r="AJ7" s="1">
        <f t="shared" ca="1" si="25"/>
        <v>0.13588790242102233</v>
      </c>
      <c r="AK7" s="1">
        <f t="shared" ca="1" si="26"/>
        <v>3.0786408384663091E-3</v>
      </c>
      <c r="AL7" s="1"/>
      <c r="AM7" s="1">
        <f t="shared" ca="1" si="27"/>
        <v>0.19816869187925881</v>
      </c>
      <c r="AN7" s="1">
        <f t="shared" ca="1" si="28"/>
        <v>59</v>
      </c>
      <c r="AO7" s="1">
        <f t="shared" ca="1" si="29"/>
        <v>5</v>
      </c>
    </row>
    <row r="8" spans="2:41" x14ac:dyDescent="0.25">
      <c r="B8">
        <f t="shared" ca="1" si="0"/>
        <v>283</v>
      </c>
      <c r="C8">
        <f t="shared" ca="1" si="1"/>
        <v>4</v>
      </c>
      <c r="D8">
        <f t="shared" ca="1" si="2"/>
        <v>7.1783765764570462E-2</v>
      </c>
      <c r="F8" s="1">
        <f t="shared" ca="1" si="3"/>
        <v>3</v>
      </c>
      <c r="G8" s="1">
        <f t="shared" ca="1" si="4"/>
        <v>15</v>
      </c>
      <c r="H8" s="1">
        <f t="shared" ca="1" si="5"/>
        <v>14</v>
      </c>
      <c r="I8" s="1"/>
      <c r="J8" s="1">
        <f t="shared" ca="1" si="6"/>
        <v>24</v>
      </c>
      <c r="K8" s="1">
        <f t="shared" ca="1" si="7"/>
        <v>1.7259925148419204</v>
      </c>
      <c r="L8" s="1">
        <f t="shared" ca="1" si="8"/>
        <v>2</v>
      </c>
      <c r="M8" s="1"/>
      <c r="N8" s="1">
        <f t="shared" ca="1" si="9"/>
        <v>494</v>
      </c>
      <c r="O8" s="1">
        <f t="shared" ca="1" si="10"/>
        <v>45</v>
      </c>
      <c r="P8" s="1"/>
      <c r="Q8" s="1">
        <f t="shared" ca="1" si="11"/>
        <v>3.5085851456633423</v>
      </c>
      <c r="R8" s="1">
        <f t="shared" ca="1" si="12"/>
        <v>230</v>
      </c>
      <c r="S8" s="1"/>
      <c r="T8" s="1">
        <f t="shared" ca="1" si="13"/>
        <v>0.14199074198717793</v>
      </c>
      <c r="U8" s="1">
        <f t="shared" ca="1" si="14"/>
        <v>339</v>
      </c>
      <c r="V8" s="1">
        <f t="shared" ca="1" si="15"/>
        <v>51</v>
      </c>
      <c r="W8" s="1"/>
      <c r="X8" s="1">
        <f t="shared" ca="1" si="16"/>
        <v>4.7283238685415636</v>
      </c>
      <c r="Y8" s="1">
        <f t="shared" ca="1" si="17"/>
        <v>0.25328257004188443</v>
      </c>
      <c r="Z8" s="1">
        <f t="shared" ca="1" si="18"/>
        <v>612</v>
      </c>
      <c r="AB8" s="1">
        <f t="shared" ca="1" si="19"/>
        <v>0.15207770409580784</v>
      </c>
      <c r="AC8" s="1">
        <f t="shared" ca="1" si="20"/>
        <v>182</v>
      </c>
      <c r="AD8" s="1">
        <f t="shared" ca="1" si="21"/>
        <v>6.4974451939045878E-3</v>
      </c>
      <c r="AE8" s="1"/>
      <c r="AF8" s="1">
        <f t="shared" ca="1" si="22"/>
        <v>0.66550176783796178</v>
      </c>
      <c r="AG8" s="1">
        <f t="shared" ca="1" si="23"/>
        <v>723</v>
      </c>
      <c r="AH8" s="1">
        <f t="shared" ca="1" si="24"/>
        <v>2.4366210184182833E-3</v>
      </c>
      <c r="AJ8" s="1">
        <f t="shared" ca="1" si="25"/>
        <v>0.89955591999352325</v>
      </c>
      <c r="AK8" s="1">
        <f t="shared" ca="1" si="26"/>
        <v>1.2476817781311518E-3</v>
      </c>
      <c r="AL8" s="1"/>
      <c r="AM8" s="1">
        <f t="shared" ca="1" si="27"/>
        <v>0.18213487007269799</v>
      </c>
      <c r="AN8" s="1">
        <f t="shared" ca="1" si="28"/>
        <v>60</v>
      </c>
      <c r="AO8" s="1">
        <f t="shared" ca="1" si="29"/>
        <v>10</v>
      </c>
    </row>
    <row r="9" spans="2:41" x14ac:dyDescent="0.25">
      <c r="B9">
        <f t="shared" ca="1" si="0"/>
        <v>945</v>
      </c>
      <c r="C9">
        <f t="shared" ca="1" si="1"/>
        <v>41</v>
      </c>
      <c r="D9">
        <f t="shared" ca="1" si="2"/>
        <v>0.16196276327093079</v>
      </c>
      <c r="F9" s="1">
        <f t="shared" ca="1" si="3"/>
        <v>51</v>
      </c>
      <c r="G9" s="1">
        <f t="shared" ca="1" si="4"/>
        <v>4</v>
      </c>
      <c r="H9" s="1">
        <f t="shared" ca="1" si="5"/>
        <v>3</v>
      </c>
      <c r="I9" s="1"/>
      <c r="J9" s="1">
        <f t="shared" ca="1" si="6"/>
        <v>1</v>
      </c>
      <c r="K9" s="1">
        <f t="shared" ca="1" si="7"/>
        <v>1.4503561974938897</v>
      </c>
      <c r="L9" s="1">
        <f t="shared" ca="1" si="8"/>
        <v>35</v>
      </c>
      <c r="M9" s="1"/>
      <c r="N9" s="1">
        <f t="shared" ca="1" si="9"/>
        <v>162</v>
      </c>
      <c r="O9" s="1">
        <f t="shared" ca="1" si="10"/>
        <v>47</v>
      </c>
      <c r="P9" s="1"/>
      <c r="Q9" s="1">
        <f t="shared" ca="1" si="11"/>
        <v>1.5848245566278572</v>
      </c>
      <c r="R9" s="1">
        <f t="shared" ca="1" si="12"/>
        <v>940</v>
      </c>
      <c r="S9" s="1"/>
      <c r="T9" s="1">
        <f t="shared" ca="1" si="13"/>
        <v>3.2294111470745207E-2</v>
      </c>
      <c r="U9" s="1">
        <f t="shared" ca="1" si="14"/>
        <v>294</v>
      </c>
      <c r="V9" s="1">
        <f t="shared" ca="1" si="15"/>
        <v>52</v>
      </c>
      <c r="W9" s="1"/>
      <c r="X9" s="1">
        <f t="shared" ca="1" si="16"/>
        <v>3.8499890764250257</v>
      </c>
      <c r="Y9" s="1">
        <f t="shared" ca="1" si="17"/>
        <v>0.95976178498753262</v>
      </c>
      <c r="Z9" s="1">
        <f t="shared" ca="1" si="18"/>
        <v>486</v>
      </c>
      <c r="AB9" s="1">
        <f t="shared" ca="1" si="19"/>
        <v>0.70223070013787214</v>
      </c>
      <c r="AC9" s="1">
        <f t="shared" ca="1" si="20"/>
        <v>139</v>
      </c>
      <c r="AD9" s="1">
        <f t="shared" ca="1" si="21"/>
        <v>7.2586362361474928E-3</v>
      </c>
      <c r="AE9" s="1"/>
      <c r="AF9" s="1">
        <f t="shared" ca="1" si="22"/>
        <v>0.15965090656206221</v>
      </c>
      <c r="AG9" s="1">
        <f t="shared" ca="1" si="23"/>
        <v>287</v>
      </c>
      <c r="AH9" s="1">
        <f t="shared" ca="1" si="24"/>
        <v>6.5441665563212284E-3</v>
      </c>
      <c r="AJ9" s="1">
        <f t="shared" ca="1" si="25"/>
        <v>5.894940403163762E-2</v>
      </c>
      <c r="AK9" s="1">
        <f t="shared" ca="1" si="26"/>
        <v>8.9683753661444071E-3</v>
      </c>
      <c r="AL9" s="1"/>
      <c r="AM9" s="1">
        <f t="shared" ca="1" si="27"/>
        <v>0.18202866354805983</v>
      </c>
      <c r="AN9" s="1">
        <f t="shared" ca="1" si="28"/>
        <v>74</v>
      </c>
      <c r="AO9" s="1">
        <f t="shared" ca="1" si="29"/>
        <v>12</v>
      </c>
    </row>
    <row r="10" spans="2:41" x14ac:dyDescent="0.25">
      <c r="B10">
        <f t="shared" ca="1" si="0"/>
        <v>378</v>
      </c>
      <c r="C10">
        <f t="shared" ca="1" si="1"/>
        <v>39</v>
      </c>
      <c r="D10">
        <f t="shared" ca="1" si="2"/>
        <v>6.3432756634665868E-2</v>
      </c>
      <c r="F10" s="1">
        <f t="shared" ca="1" si="3"/>
        <v>27</v>
      </c>
      <c r="G10" s="1">
        <f t="shared" ca="1" si="4"/>
        <v>19</v>
      </c>
      <c r="H10" s="1">
        <f t="shared" ca="1" si="5"/>
        <v>1</v>
      </c>
      <c r="I10" s="1"/>
      <c r="J10" s="1">
        <f t="shared" ca="1" si="6"/>
        <v>32</v>
      </c>
      <c r="K10" s="1">
        <f t="shared" ca="1" si="7"/>
        <v>2.4780789408627637</v>
      </c>
      <c r="L10" s="1">
        <f t="shared" ca="1" si="8"/>
        <v>6</v>
      </c>
      <c r="M10" s="1"/>
      <c r="N10" s="1">
        <f t="shared" ca="1" si="9"/>
        <v>986</v>
      </c>
      <c r="O10" s="1">
        <f t="shared" ca="1" si="10"/>
        <v>32</v>
      </c>
      <c r="P10" s="1"/>
      <c r="Q10" s="1">
        <f t="shared" ca="1" si="11"/>
        <v>4.0791540183242843</v>
      </c>
      <c r="R10" s="1">
        <f t="shared" ca="1" si="12"/>
        <v>575</v>
      </c>
      <c r="S10" s="1"/>
      <c r="T10" s="1">
        <f t="shared" ca="1" si="13"/>
        <v>0.16695712822499834</v>
      </c>
      <c r="U10" s="1">
        <f t="shared" ca="1" si="14"/>
        <v>108</v>
      </c>
      <c r="V10" s="1">
        <f t="shared" ca="1" si="15"/>
        <v>33</v>
      </c>
      <c r="W10" s="1"/>
      <c r="X10" s="1">
        <f t="shared" ca="1" si="16"/>
        <v>2.5035544776534473</v>
      </c>
      <c r="Y10" s="1">
        <f t="shared" ca="1" si="17"/>
        <v>0.59601719595509473</v>
      </c>
      <c r="Z10" s="1">
        <f t="shared" ca="1" si="18"/>
        <v>1145</v>
      </c>
      <c r="AB10" s="1">
        <f t="shared" ca="1" si="19"/>
        <v>0.86474836309695435</v>
      </c>
      <c r="AC10" s="1">
        <f t="shared" ca="1" si="20"/>
        <v>925</v>
      </c>
      <c r="AD10" s="1">
        <f t="shared" ca="1" si="21"/>
        <v>8.3556433991148135E-3</v>
      </c>
      <c r="AE10" s="1"/>
      <c r="AF10" s="1">
        <f t="shared" ca="1" si="22"/>
        <v>0.81384810217235926</v>
      </c>
      <c r="AG10" s="1">
        <f t="shared" ca="1" si="23"/>
        <v>972</v>
      </c>
      <c r="AH10" s="1">
        <f t="shared" ca="1" si="24"/>
        <v>4.8438959908368752E-3</v>
      </c>
      <c r="AJ10" s="1">
        <f t="shared" ca="1" si="25"/>
        <v>6.4431555048458211E-2</v>
      </c>
      <c r="AK10" s="1">
        <f t="shared" ca="1" si="26"/>
        <v>5.6921071136672224E-3</v>
      </c>
      <c r="AL10" s="1"/>
      <c r="AM10" s="1">
        <f t="shared" ca="1" si="27"/>
        <v>8.0284422659531895E-2</v>
      </c>
      <c r="AN10" s="1">
        <f t="shared" ca="1" si="28"/>
        <v>64</v>
      </c>
      <c r="AO10" s="1">
        <f t="shared" ca="1" si="29"/>
        <v>10</v>
      </c>
    </row>
    <row r="11" spans="2:41" x14ac:dyDescent="0.25">
      <c r="B11">
        <f t="shared" ca="1" si="0"/>
        <v>138</v>
      </c>
      <c r="C11">
        <f t="shared" ca="1" si="1"/>
        <v>44</v>
      </c>
      <c r="D11">
        <f t="shared" ca="1" si="2"/>
        <v>0.19851168555184184</v>
      </c>
      <c r="F11" s="1">
        <f t="shared" ca="1" si="3"/>
        <v>27</v>
      </c>
      <c r="G11" s="1">
        <f t="shared" ca="1" si="4"/>
        <v>10</v>
      </c>
      <c r="H11" s="1">
        <f t="shared" ca="1" si="5"/>
        <v>12</v>
      </c>
      <c r="I11" s="1"/>
      <c r="J11" s="1">
        <f t="shared" ca="1" si="6"/>
        <v>30</v>
      </c>
      <c r="K11" s="1">
        <f t="shared" ca="1" si="7"/>
        <v>2.9108225711648439</v>
      </c>
      <c r="L11" s="1">
        <f t="shared" ca="1" si="8"/>
        <v>19</v>
      </c>
      <c r="M11" s="1"/>
      <c r="N11" s="1">
        <f t="shared" ca="1" si="9"/>
        <v>380</v>
      </c>
      <c r="O11" s="1">
        <f t="shared" ca="1" si="10"/>
        <v>13</v>
      </c>
      <c r="P11" s="1"/>
      <c r="Q11" s="1">
        <f t="shared" ca="1" si="11"/>
        <v>3.6418546121934465</v>
      </c>
      <c r="R11" s="1">
        <f t="shared" ca="1" si="12"/>
        <v>342</v>
      </c>
      <c r="S11" s="1"/>
      <c r="T11" s="1">
        <f t="shared" ca="1" si="13"/>
        <v>2.8703855965499549E-2</v>
      </c>
      <c r="U11" s="1">
        <f t="shared" ca="1" si="14"/>
        <v>115</v>
      </c>
      <c r="V11" s="1">
        <f t="shared" ca="1" si="15"/>
        <v>11</v>
      </c>
      <c r="W11" s="1"/>
      <c r="X11" s="1">
        <f t="shared" ca="1" si="16"/>
        <v>9.9006546349260631</v>
      </c>
      <c r="Y11" s="1">
        <f t="shared" ca="1" si="17"/>
        <v>0.21373359240333201</v>
      </c>
      <c r="Z11" s="1">
        <f t="shared" ca="1" si="18"/>
        <v>225</v>
      </c>
      <c r="AB11" s="1">
        <f t="shared" ca="1" si="19"/>
        <v>0.44660022650635689</v>
      </c>
      <c r="AC11" s="1">
        <f t="shared" ca="1" si="20"/>
        <v>921</v>
      </c>
      <c r="AD11" s="1">
        <f t="shared" ca="1" si="21"/>
        <v>1.0449864722035329E-3</v>
      </c>
      <c r="AE11" s="1"/>
      <c r="AF11" s="1">
        <f t="shared" ca="1" si="22"/>
        <v>0.5207164746715639</v>
      </c>
      <c r="AG11" s="1">
        <f t="shared" ca="1" si="23"/>
        <v>989</v>
      </c>
      <c r="AH11" s="1">
        <f t="shared" ca="1" si="24"/>
        <v>1.8569717645698484E-3</v>
      </c>
      <c r="AJ11" s="1">
        <f t="shared" ca="1" si="25"/>
        <v>0.5414611920047836</v>
      </c>
      <c r="AK11" s="1">
        <f t="shared" ca="1" si="26"/>
        <v>1.5011587022224296E-3</v>
      </c>
      <c r="AL11" s="1"/>
      <c r="AM11" s="1">
        <f t="shared" ca="1" si="27"/>
        <v>1.5707109252283254E-2</v>
      </c>
      <c r="AN11" s="1">
        <f t="shared" ca="1" si="28"/>
        <v>19</v>
      </c>
      <c r="AO11" s="1">
        <f t="shared" ca="1" si="29"/>
        <v>14</v>
      </c>
    </row>
    <row r="12" spans="2:41" x14ac:dyDescent="0.25">
      <c r="B12">
        <f t="shared" ca="1" si="0"/>
        <v>206</v>
      </c>
      <c r="C12">
        <f t="shared" ca="1" si="1"/>
        <v>18</v>
      </c>
      <c r="D12">
        <f t="shared" ca="1" si="2"/>
        <v>0.27570417748879406</v>
      </c>
      <c r="F12" s="1">
        <f t="shared" ca="1" si="3"/>
        <v>5</v>
      </c>
      <c r="G12" s="1">
        <f t="shared" ca="1" si="4"/>
        <v>17</v>
      </c>
      <c r="H12" s="1">
        <f t="shared" ca="1" si="5"/>
        <v>6</v>
      </c>
      <c r="I12" s="1"/>
      <c r="J12" s="1">
        <f t="shared" ca="1" si="6"/>
        <v>15</v>
      </c>
      <c r="K12" s="1">
        <f t="shared" ca="1" si="7"/>
        <v>2.0829363705726367</v>
      </c>
      <c r="L12" s="1">
        <f t="shared" ca="1" si="8"/>
        <v>10</v>
      </c>
      <c r="M12" s="1"/>
      <c r="N12" s="1">
        <f t="shared" ca="1" si="9"/>
        <v>729</v>
      </c>
      <c r="O12" s="1">
        <f t="shared" ca="1" si="10"/>
        <v>46</v>
      </c>
      <c r="P12" s="1"/>
      <c r="Q12" s="1">
        <f t="shared" ca="1" si="11"/>
        <v>2.6282783047796365</v>
      </c>
      <c r="R12" s="1">
        <f t="shared" ca="1" si="12"/>
        <v>886</v>
      </c>
      <c r="S12" s="1"/>
      <c r="T12" s="1">
        <f t="shared" ca="1" si="13"/>
        <v>5.1608736458593568E-2</v>
      </c>
      <c r="U12" s="1">
        <f t="shared" ca="1" si="14"/>
        <v>54</v>
      </c>
      <c r="V12" s="1">
        <f t="shared" ca="1" si="15"/>
        <v>20</v>
      </c>
      <c r="W12" s="1"/>
      <c r="X12" s="1">
        <f t="shared" ca="1" si="16"/>
        <v>7.7465657756088415</v>
      </c>
      <c r="Y12" s="1">
        <f t="shared" ca="1" si="17"/>
        <v>0.3666840606194548</v>
      </c>
      <c r="Z12" s="1">
        <f t="shared" ca="1" si="18"/>
        <v>1773</v>
      </c>
      <c r="AB12" s="1">
        <f t="shared" ca="1" si="19"/>
        <v>0.91496582062478393</v>
      </c>
      <c r="AC12" s="1">
        <f t="shared" ca="1" si="20"/>
        <v>263</v>
      </c>
      <c r="AD12" s="1">
        <f t="shared" ca="1" si="21"/>
        <v>5.2224720717239147E-3</v>
      </c>
      <c r="AE12" s="1"/>
      <c r="AF12" s="1">
        <f t="shared" ca="1" si="22"/>
        <v>0.65323378482730332</v>
      </c>
      <c r="AG12" s="1">
        <f t="shared" ca="1" si="23"/>
        <v>311</v>
      </c>
      <c r="AH12" s="1">
        <f t="shared" ca="1" si="24"/>
        <v>1.187208322823646E-3</v>
      </c>
      <c r="AJ12" s="1">
        <f t="shared" ca="1" si="25"/>
        <v>0.96402301313083638</v>
      </c>
      <c r="AK12" s="1">
        <f t="shared" ca="1" si="26"/>
        <v>9.5396877128892821E-3</v>
      </c>
      <c r="AL12" s="1"/>
      <c r="AM12" s="1">
        <f t="shared" ca="1" si="27"/>
        <v>0.11901215926019096</v>
      </c>
      <c r="AN12" s="1">
        <f t="shared" ca="1" si="28"/>
        <v>30</v>
      </c>
      <c r="AO12" s="1">
        <f t="shared" ca="1" si="29"/>
        <v>6</v>
      </c>
    </row>
    <row r="13" spans="2:41" x14ac:dyDescent="0.25">
      <c r="B13">
        <f t="shared" ca="1" si="0"/>
        <v>541</v>
      </c>
      <c r="C13">
        <f t="shared" ca="1" si="1"/>
        <v>17</v>
      </c>
      <c r="D13">
        <f t="shared" ca="1" si="2"/>
        <v>0.24469298465846218</v>
      </c>
      <c r="F13" s="1">
        <f t="shared" ca="1" si="3"/>
        <v>5</v>
      </c>
      <c r="G13" s="1">
        <f t="shared" ca="1" si="4"/>
        <v>9</v>
      </c>
      <c r="H13" s="1">
        <f t="shared" ca="1" si="5"/>
        <v>13</v>
      </c>
      <c r="I13" s="1"/>
      <c r="J13" s="1">
        <f t="shared" ca="1" si="6"/>
        <v>12</v>
      </c>
      <c r="K13" s="1">
        <f t="shared" ca="1" si="7"/>
        <v>1.2823743508355034</v>
      </c>
      <c r="L13" s="1">
        <f t="shared" ca="1" si="8"/>
        <v>29</v>
      </c>
      <c r="M13" s="1"/>
      <c r="N13" s="1">
        <f t="shared" ca="1" si="9"/>
        <v>834</v>
      </c>
      <c r="O13" s="1">
        <f t="shared" ca="1" si="10"/>
        <v>20</v>
      </c>
      <c r="P13" s="1"/>
      <c r="Q13" s="1">
        <f t="shared" ca="1" si="11"/>
        <v>4.6928193876554394</v>
      </c>
      <c r="R13" s="1">
        <f t="shared" ca="1" si="12"/>
        <v>1014</v>
      </c>
      <c r="S13" s="1"/>
      <c r="T13" s="1">
        <f t="shared" ca="1" si="13"/>
        <v>0.10541376716554768</v>
      </c>
      <c r="U13" s="1">
        <f t="shared" ca="1" si="14"/>
        <v>76</v>
      </c>
      <c r="V13" s="1">
        <f t="shared" ca="1" si="15"/>
        <v>14</v>
      </c>
      <c r="W13" s="1"/>
      <c r="X13" s="1">
        <f t="shared" ca="1" si="16"/>
        <v>4.2754971425827355</v>
      </c>
      <c r="Y13" s="1">
        <f t="shared" ca="1" si="17"/>
        <v>0.97774016998669389</v>
      </c>
      <c r="Z13" s="1">
        <f t="shared" ca="1" si="18"/>
        <v>451</v>
      </c>
      <c r="AB13" s="1">
        <f t="shared" ca="1" si="19"/>
        <v>0.32823571638047672</v>
      </c>
      <c r="AC13" s="1">
        <f t="shared" ca="1" si="20"/>
        <v>763</v>
      </c>
      <c r="AD13" s="1">
        <f t="shared" ca="1" si="21"/>
        <v>2.3099137060745736E-3</v>
      </c>
      <c r="AE13" s="1"/>
      <c r="AF13" s="1">
        <f t="shared" ca="1" si="22"/>
        <v>0.38030255763987164</v>
      </c>
      <c r="AG13" s="1">
        <f t="shared" ca="1" si="23"/>
        <v>1000</v>
      </c>
      <c r="AH13" s="1">
        <f t="shared" ca="1" si="24"/>
        <v>7.4397935892038343E-3</v>
      </c>
      <c r="AJ13" s="1">
        <f t="shared" ca="1" si="25"/>
        <v>0.81638243258991228</v>
      </c>
      <c r="AK13" s="1">
        <f t="shared" ca="1" si="26"/>
        <v>2.8901848135813582E-3</v>
      </c>
      <c r="AL13" s="1"/>
      <c r="AM13" s="1">
        <f t="shared" ca="1" si="27"/>
        <v>0.18152132199682269</v>
      </c>
      <c r="AN13" s="1">
        <f t="shared" ca="1" si="28"/>
        <v>41</v>
      </c>
      <c r="AO13" s="1">
        <f t="shared" ca="1" si="29"/>
        <v>3</v>
      </c>
    </row>
    <row r="14" spans="2:41" x14ac:dyDescent="0.25">
      <c r="B14">
        <f t="shared" ca="1" si="0"/>
        <v>283</v>
      </c>
      <c r="C14">
        <f t="shared" ca="1" si="1"/>
        <v>38</v>
      </c>
      <c r="D14">
        <f t="shared" ca="1" si="2"/>
        <v>0.13159998679566795</v>
      </c>
      <c r="F14" s="1">
        <f t="shared" ca="1" si="3"/>
        <v>26</v>
      </c>
      <c r="G14" s="1">
        <f t="shared" ca="1" si="4"/>
        <v>26</v>
      </c>
      <c r="H14" s="1">
        <f t="shared" ca="1" si="5"/>
        <v>1</v>
      </c>
      <c r="I14" s="1"/>
      <c r="J14" s="1">
        <f t="shared" ca="1" si="6"/>
        <v>16</v>
      </c>
      <c r="K14" s="1">
        <f t="shared" ca="1" si="7"/>
        <v>2.0337207136319155</v>
      </c>
      <c r="L14" s="1">
        <f t="shared" ca="1" si="8"/>
        <v>13</v>
      </c>
      <c r="M14" s="1"/>
      <c r="N14" s="1">
        <f t="shared" ca="1" si="9"/>
        <v>278</v>
      </c>
      <c r="O14" s="1">
        <f t="shared" ca="1" si="10"/>
        <v>9</v>
      </c>
      <c r="P14" s="1"/>
      <c r="Q14" s="1">
        <f t="shared" ca="1" si="11"/>
        <v>4.3608082709575502</v>
      </c>
      <c r="R14" s="1">
        <f t="shared" ca="1" si="12"/>
        <v>667</v>
      </c>
      <c r="S14" s="1"/>
      <c r="T14" s="1">
        <f t="shared" ca="1" si="13"/>
        <v>5.8415262218809341E-2</v>
      </c>
      <c r="U14" s="1">
        <f t="shared" ca="1" si="14"/>
        <v>428</v>
      </c>
      <c r="V14" s="1">
        <f t="shared" ca="1" si="15"/>
        <v>5</v>
      </c>
      <c r="W14" s="1"/>
      <c r="X14" s="1">
        <f t="shared" ca="1" si="16"/>
        <v>3.9173153920482795</v>
      </c>
      <c r="Y14" s="1">
        <f t="shared" ca="1" si="17"/>
        <v>0.26691647015668257</v>
      </c>
      <c r="Z14" s="1">
        <f t="shared" ca="1" si="18"/>
        <v>1181</v>
      </c>
      <c r="AB14" s="1">
        <f t="shared" ca="1" si="19"/>
        <v>0.75627695955402707</v>
      </c>
      <c r="AC14" s="1">
        <f t="shared" ca="1" si="20"/>
        <v>687</v>
      </c>
      <c r="AD14" s="1">
        <f t="shared" ca="1" si="21"/>
        <v>6.1372187841271537E-3</v>
      </c>
      <c r="AE14" s="1"/>
      <c r="AF14" s="1">
        <f t="shared" ca="1" si="22"/>
        <v>0.24596366363312683</v>
      </c>
      <c r="AG14" s="1">
        <f t="shared" ca="1" si="23"/>
        <v>470</v>
      </c>
      <c r="AH14" s="1">
        <f t="shared" ca="1" si="24"/>
        <v>7.3443167149262181E-3</v>
      </c>
      <c r="AJ14" s="1">
        <f t="shared" ca="1" si="25"/>
        <v>6.8373158102638332E-2</v>
      </c>
      <c r="AK14" s="1">
        <f t="shared" ca="1" si="26"/>
        <v>7.3027795908426766E-3</v>
      </c>
      <c r="AL14" s="1"/>
      <c r="AM14" s="1">
        <f t="shared" ca="1" si="27"/>
        <v>1.2389422643002666E-2</v>
      </c>
      <c r="AN14" s="1">
        <f t="shared" ca="1" si="28"/>
        <v>44</v>
      </c>
      <c r="AO14" s="1">
        <f t="shared" ca="1" si="29"/>
        <v>6</v>
      </c>
    </row>
    <row r="15" spans="2:41" x14ac:dyDescent="0.25">
      <c r="B15">
        <f t="shared" ca="1" si="0"/>
        <v>835</v>
      </c>
      <c r="C15">
        <f t="shared" ca="1" si="1"/>
        <v>50</v>
      </c>
      <c r="D15">
        <f t="shared" ca="1" si="2"/>
        <v>0.25408729677361158</v>
      </c>
      <c r="F15" s="1">
        <f t="shared" ca="1" si="3"/>
        <v>47</v>
      </c>
      <c r="G15" s="1">
        <f t="shared" ca="1" si="4"/>
        <v>21</v>
      </c>
      <c r="H15" s="1">
        <f t="shared" ca="1" si="5"/>
        <v>8</v>
      </c>
      <c r="I15" s="1"/>
      <c r="J15" s="1">
        <f t="shared" ca="1" si="6"/>
        <v>20</v>
      </c>
      <c r="K15" s="1">
        <f t="shared" ca="1" si="7"/>
        <v>2.3559659917959035</v>
      </c>
      <c r="L15" s="1">
        <f t="shared" ca="1" si="8"/>
        <v>19</v>
      </c>
      <c r="M15" s="1"/>
      <c r="N15" s="1">
        <f t="shared" ca="1" si="9"/>
        <v>783</v>
      </c>
      <c r="O15" s="1">
        <f t="shared" ca="1" si="10"/>
        <v>24</v>
      </c>
      <c r="P15" s="1"/>
      <c r="Q15" s="1">
        <f t="shared" ca="1" si="11"/>
        <v>4.4732344015921663</v>
      </c>
      <c r="R15" s="1">
        <f t="shared" ca="1" si="12"/>
        <v>447</v>
      </c>
      <c r="S15" s="1"/>
      <c r="T15" s="1">
        <f t="shared" ca="1" si="13"/>
        <v>6.7852048099733137E-2</v>
      </c>
      <c r="U15" s="1">
        <f t="shared" ca="1" si="14"/>
        <v>349</v>
      </c>
      <c r="V15" s="1">
        <f t="shared" ca="1" si="15"/>
        <v>17</v>
      </c>
      <c r="W15" s="1"/>
      <c r="X15" s="1">
        <f t="shared" ca="1" si="16"/>
        <v>5.7828728183713549</v>
      </c>
      <c r="Y15" s="1">
        <f t="shared" ca="1" si="17"/>
        <v>0.53737959467083696</v>
      </c>
      <c r="Z15" s="1">
        <f t="shared" ca="1" si="18"/>
        <v>1221</v>
      </c>
      <c r="AB15" s="1">
        <f t="shared" ca="1" si="19"/>
        <v>0.82049499552952143</v>
      </c>
      <c r="AC15" s="1">
        <f t="shared" ca="1" si="20"/>
        <v>599</v>
      </c>
      <c r="AD15" s="1">
        <f t="shared" ca="1" si="21"/>
        <v>9.3082409600846411E-4</v>
      </c>
      <c r="AE15" s="1"/>
      <c r="AF15" s="1">
        <f t="shared" ca="1" si="22"/>
        <v>0.11695325833289437</v>
      </c>
      <c r="AG15" s="1">
        <f t="shared" ca="1" si="23"/>
        <v>471</v>
      </c>
      <c r="AH15" s="1">
        <f t="shared" ca="1" si="24"/>
        <v>3.5056305983970095E-3</v>
      </c>
      <c r="AJ15" s="1">
        <f t="shared" ca="1" si="25"/>
        <v>0.51413365954792745</v>
      </c>
      <c r="AK15" s="1">
        <f t="shared" ca="1" si="26"/>
        <v>4.7266703312864346E-3</v>
      </c>
      <c r="AL15" s="1"/>
      <c r="AM15" s="1">
        <f t="shared" ca="1" si="27"/>
        <v>6.0149398842655549E-2</v>
      </c>
      <c r="AN15" s="1">
        <f t="shared" ca="1" si="28"/>
        <v>57</v>
      </c>
      <c r="AO15" s="1">
        <f t="shared" ca="1" si="29"/>
        <v>20</v>
      </c>
    </row>
    <row r="16" spans="2:41" x14ac:dyDescent="0.25">
      <c r="B16">
        <f t="shared" ca="1" si="0"/>
        <v>557</v>
      </c>
      <c r="C16">
        <f t="shared" ca="1" si="1"/>
        <v>13</v>
      </c>
      <c r="D16">
        <f t="shared" ca="1" si="2"/>
        <v>0.19224392537297047</v>
      </c>
      <c r="F16" s="1">
        <f t="shared" ca="1" si="3"/>
        <v>45</v>
      </c>
      <c r="G16" s="1">
        <f t="shared" ca="1" si="4"/>
        <v>25</v>
      </c>
      <c r="H16" s="1">
        <f t="shared" ca="1" si="5"/>
        <v>4</v>
      </c>
      <c r="I16" s="1"/>
      <c r="J16" s="1">
        <f t="shared" ca="1" si="6"/>
        <v>3</v>
      </c>
      <c r="K16" s="1">
        <f t="shared" ca="1" si="7"/>
        <v>1.8683098295715697</v>
      </c>
      <c r="L16" s="1">
        <f t="shared" ca="1" si="8"/>
        <v>3</v>
      </c>
      <c r="M16" s="1"/>
      <c r="N16" s="1">
        <f t="shared" ca="1" si="9"/>
        <v>98</v>
      </c>
      <c r="O16" s="1">
        <f t="shared" ca="1" si="10"/>
        <v>42</v>
      </c>
      <c r="P16" s="1"/>
      <c r="Q16" s="1">
        <f t="shared" ca="1" si="11"/>
        <v>3.0298685641392278</v>
      </c>
      <c r="R16" s="1">
        <f t="shared" ca="1" si="12"/>
        <v>936</v>
      </c>
      <c r="S16" s="1"/>
      <c r="T16" s="1">
        <f t="shared" ca="1" si="13"/>
        <v>2.4689592934043679E-2</v>
      </c>
      <c r="U16" s="1">
        <f t="shared" ca="1" si="14"/>
        <v>186</v>
      </c>
      <c r="V16" s="1">
        <f t="shared" ca="1" si="15"/>
        <v>39</v>
      </c>
      <c r="W16" s="1"/>
      <c r="X16" s="1">
        <f t="shared" ca="1" si="16"/>
        <v>5.6690793830587936</v>
      </c>
      <c r="Y16" s="1">
        <f t="shared" ca="1" si="17"/>
        <v>0.66524280043881689</v>
      </c>
      <c r="Z16" s="1">
        <f t="shared" ca="1" si="18"/>
        <v>503</v>
      </c>
      <c r="AB16" s="1">
        <f t="shared" ca="1" si="19"/>
        <v>0.36674766281589821</v>
      </c>
      <c r="AC16" s="1">
        <f t="shared" ca="1" si="20"/>
        <v>220</v>
      </c>
      <c r="AD16" s="1">
        <f t="shared" ca="1" si="21"/>
        <v>6.9851657974556091E-3</v>
      </c>
      <c r="AE16" s="1"/>
      <c r="AF16" s="1">
        <f t="shared" ca="1" si="22"/>
        <v>0.71981341670177557</v>
      </c>
      <c r="AG16" s="1">
        <f t="shared" ca="1" si="23"/>
        <v>928</v>
      </c>
      <c r="AH16" s="1">
        <f t="shared" ca="1" si="24"/>
        <v>4.5243092798376381E-3</v>
      </c>
      <c r="AJ16" s="1">
        <f t="shared" ca="1" si="25"/>
        <v>0.38294885836756398</v>
      </c>
      <c r="AK16" s="1">
        <f t="shared" ca="1" si="26"/>
        <v>5.1807063830613363E-3</v>
      </c>
      <c r="AL16" s="1"/>
      <c r="AM16" s="1">
        <f t="shared" ca="1" si="27"/>
        <v>0.18667253286483795</v>
      </c>
      <c r="AN16" s="1">
        <f t="shared" ca="1" si="28"/>
        <v>55</v>
      </c>
      <c r="AO16" s="1">
        <f t="shared" ca="1" si="29"/>
        <v>11</v>
      </c>
    </row>
    <row r="17" spans="2:41" x14ac:dyDescent="0.25">
      <c r="B17">
        <f t="shared" ca="1" si="0"/>
        <v>17</v>
      </c>
      <c r="C17">
        <f t="shared" ca="1" si="1"/>
        <v>31</v>
      </c>
      <c r="D17">
        <f t="shared" ca="1" si="2"/>
        <v>0.21518664315318767</v>
      </c>
      <c r="F17" s="1">
        <f t="shared" ca="1" si="3"/>
        <v>6</v>
      </c>
      <c r="G17" s="1">
        <f t="shared" ca="1" si="4"/>
        <v>11</v>
      </c>
      <c r="H17" s="1">
        <f t="shared" ca="1" si="5"/>
        <v>9</v>
      </c>
      <c r="I17" s="1"/>
      <c r="J17" s="1">
        <f t="shared" ca="1" si="6"/>
        <v>26</v>
      </c>
      <c r="K17" s="1">
        <f t="shared" ca="1" si="7"/>
        <v>2.1367414724559577</v>
      </c>
      <c r="L17" s="1">
        <f t="shared" ca="1" si="8"/>
        <v>35</v>
      </c>
      <c r="M17" s="1"/>
      <c r="N17" s="1">
        <f t="shared" ca="1" si="9"/>
        <v>594</v>
      </c>
      <c r="O17" s="1">
        <f t="shared" ca="1" si="10"/>
        <v>18</v>
      </c>
      <c r="P17" s="1"/>
      <c r="Q17" s="1">
        <f t="shared" ca="1" si="11"/>
        <v>1.1452193332955092</v>
      </c>
      <c r="R17" s="1">
        <f t="shared" ca="1" si="12"/>
        <v>755</v>
      </c>
      <c r="S17" s="1"/>
      <c r="T17" s="1">
        <f t="shared" ca="1" si="13"/>
        <v>0.13219036861410058</v>
      </c>
      <c r="U17" s="1">
        <f t="shared" ca="1" si="14"/>
        <v>366</v>
      </c>
      <c r="V17" s="1">
        <f t="shared" ca="1" si="15"/>
        <v>37</v>
      </c>
      <c r="W17" s="1"/>
      <c r="X17" s="1">
        <f t="shared" ca="1" si="16"/>
        <v>1.0662075397130772</v>
      </c>
      <c r="Y17" s="1">
        <f t="shared" ca="1" si="17"/>
        <v>0.97116625521384292</v>
      </c>
      <c r="Z17" s="1">
        <f t="shared" ca="1" si="18"/>
        <v>252</v>
      </c>
      <c r="AB17" s="1">
        <f t="shared" ca="1" si="19"/>
        <v>0.69745935656083147</v>
      </c>
      <c r="AC17" s="1">
        <f t="shared" ca="1" si="20"/>
        <v>381</v>
      </c>
      <c r="AD17" s="1">
        <f t="shared" ca="1" si="21"/>
        <v>6.2053683944057996E-4</v>
      </c>
      <c r="AE17" s="1"/>
      <c r="AF17" s="1">
        <f t="shared" ca="1" si="22"/>
        <v>0.18977256451626029</v>
      </c>
      <c r="AG17" s="1">
        <f t="shared" ca="1" si="23"/>
        <v>729</v>
      </c>
      <c r="AH17" s="1">
        <f t="shared" ca="1" si="24"/>
        <v>7.2712214284417747E-3</v>
      </c>
      <c r="AJ17" s="1">
        <f t="shared" ca="1" si="25"/>
        <v>0.58698697496403407</v>
      </c>
      <c r="AK17" s="1">
        <f t="shared" ca="1" si="26"/>
        <v>3.1495685727840335E-3</v>
      </c>
      <c r="AL17" s="1"/>
      <c r="AM17" s="1">
        <f t="shared" ca="1" si="27"/>
        <v>3.5123081610492324E-2</v>
      </c>
      <c r="AN17" s="1">
        <f t="shared" ca="1" si="28"/>
        <v>18</v>
      </c>
      <c r="AO17" s="1">
        <f t="shared" ca="1" si="29"/>
        <v>0</v>
      </c>
    </row>
    <row r="18" spans="2:41" x14ac:dyDescent="0.25">
      <c r="B18">
        <f t="shared" ca="1" si="0"/>
        <v>63</v>
      </c>
      <c r="C18">
        <f t="shared" ca="1" si="1"/>
        <v>9</v>
      </c>
      <c r="D18">
        <f t="shared" ca="1" si="2"/>
        <v>8.3463315791312984E-2</v>
      </c>
      <c r="F18" s="1">
        <f t="shared" ca="1" si="3"/>
        <v>14</v>
      </c>
      <c r="G18" s="1">
        <f t="shared" ca="1" si="4"/>
        <v>23</v>
      </c>
      <c r="H18" s="1">
        <f t="shared" ca="1" si="5"/>
        <v>5</v>
      </c>
      <c r="I18" s="1"/>
      <c r="J18" s="1">
        <f t="shared" ca="1" si="6"/>
        <v>9</v>
      </c>
      <c r="K18" s="1">
        <f t="shared" ca="1" si="7"/>
        <v>1.3203467314058281</v>
      </c>
      <c r="L18" s="1">
        <f t="shared" ca="1" si="8"/>
        <v>25</v>
      </c>
      <c r="M18" s="1"/>
      <c r="N18" s="1">
        <f t="shared" ca="1" si="9"/>
        <v>317</v>
      </c>
      <c r="O18" s="1">
        <f t="shared" ca="1" si="10"/>
        <v>45</v>
      </c>
      <c r="P18" s="1"/>
      <c r="Q18" s="1">
        <f t="shared" ca="1" si="11"/>
        <v>3.4358002221062063</v>
      </c>
      <c r="R18" s="1">
        <f t="shared" ca="1" si="12"/>
        <v>254</v>
      </c>
      <c r="S18" s="1"/>
      <c r="T18" s="1">
        <f t="shared" ca="1" si="13"/>
        <v>0.14172373628797655</v>
      </c>
      <c r="U18" s="1">
        <f t="shared" ca="1" si="14"/>
        <v>304</v>
      </c>
      <c r="V18" s="1">
        <f t="shared" ca="1" si="15"/>
        <v>8</v>
      </c>
      <c r="W18" s="1"/>
      <c r="X18" s="1">
        <f t="shared" ca="1" si="16"/>
        <v>7.8811059218659443</v>
      </c>
      <c r="Y18" s="1">
        <f t="shared" ca="1" si="17"/>
        <v>0.14083991790053038</v>
      </c>
      <c r="Z18" s="1">
        <f t="shared" ca="1" si="18"/>
        <v>588</v>
      </c>
      <c r="AB18" s="1">
        <f t="shared" ca="1" si="19"/>
        <v>0.21645287567725538</v>
      </c>
      <c r="AC18" s="1">
        <f t="shared" ca="1" si="20"/>
        <v>443</v>
      </c>
      <c r="AD18" s="1">
        <f t="shared" ca="1" si="21"/>
        <v>8.7915604611548265E-3</v>
      </c>
      <c r="AE18" s="1"/>
      <c r="AF18" s="1">
        <f t="shared" ca="1" si="22"/>
        <v>0.75116615211616822</v>
      </c>
      <c r="AG18" s="1">
        <f t="shared" ca="1" si="23"/>
        <v>595</v>
      </c>
      <c r="AH18" s="1">
        <f t="shared" ca="1" si="24"/>
        <v>5.9759907027111866E-3</v>
      </c>
      <c r="AJ18" s="1">
        <f t="shared" ca="1" si="25"/>
        <v>0.19046046460832511</v>
      </c>
      <c r="AK18" s="1">
        <f t="shared" ca="1" si="26"/>
        <v>3.4210043814961685E-3</v>
      </c>
      <c r="AL18" s="1"/>
      <c r="AM18" s="1">
        <f t="shared" ca="1" si="27"/>
        <v>0.15517434144479408</v>
      </c>
      <c r="AN18" s="1">
        <f t="shared" ca="1" si="28"/>
        <v>56</v>
      </c>
      <c r="AO18" s="1">
        <f t="shared" ca="1" si="29"/>
        <v>8</v>
      </c>
    </row>
    <row r="19" spans="2:41" x14ac:dyDescent="0.25">
      <c r="B19">
        <f t="shared" ca="1" si="0"/>
        <v>969</v>
      </c>
      <c r="C19">
        <f t="shared" ca="1" si="1"/>
        <v>37</v>
      </c>
      <c r="D19">
        <f t="shared" ca="1" si="2"/>
        <v>0.26676787216702347</v>
      </c>
      <c r="F19" s="1">
        <f t="shared" ca="1" si="3"/>
        <v>11</v>
      </c>
      <c r="G19" s="1">
        <f t="shared" ca="1" si="4"/>
        <v>22</v>
      </c>
      <c r="H19" s="1">
        <f t="shared" ca="1" si="5"/>
        <v>9</v>
      </c>
      <c r="I19" s="1"/>
      <c r="J19" s="1">
        <f t="shared" ca="1" si="6"/>
        <v>4</v>
      </c>
      <c r="K19" s="1">
        <f t="shared" ca="1" si="7"/>
        <v>2.7910763146213649</v>
      </c>
      <c r="L19" s="1">
        <f t="shared" ca="1" si="8"/>
        <v>9</v>
      </c>
      <c r="M19" s="1"/>
      <c r="N19" s="1">
        <f t="shared" ca="1" si="9"/>
        <v>793</v>
      </c>
      <c r="O19" s="1">
        <f t="shared" ca="1" si="10"/>
        <v>31</v>
      </c>
      <c r="P19" s="1"/>
      <c r="Q19" s="1">
        <f t="shared" ca="1" si="11"/>
        <v>3.8664024806988735</v>
      </c>
      <c r="R19" s="1">
        <f t="shared" ca="1" si="12"/>
        <v>700</v>
      </c>
      <c r="S19" s="1"/>
      <c r="T19" s="1">
        <f t="shared" ca="1" si="13"/>
        <v>5.2850759716162168E-2</v>
      </c>
      <c r="U19" s="1">
        <f t="shared" ca="1" si="14"/>
        <v>149</v>
      </c>
      <c r="V19" s="1">
        <f t="shared" ca="1" si="15"/>
        <v>8</v>
      </c>
      <c r="W19" s="1"/>
      <c r="X19" s="1">
        <f t="shared" ca="1" si="16"/>
        <v>5.6956499185388632</v>
      </c>
      <c r="Y19" s="1">
        <f t="shared" ca="1" si="17"/>
        <v>0.54711990179268333</v>
      </c>
      <c r="Z19" s="1">
        <f t="shared" ca="1" si="18"/>
        <v>1473</v>
      </c>
      <c r="AB19" s="1">
        <f t="shared" ca="1" si="19"/>
        <v>0.36899514433152486</v>
      </c>
      <c r="AC19" s="1">
        <f t="shared" ca="1" si="20"/>
        <v>880</v>
      </c>
      <c r="AD19" s="1">
        <f t="shared" ca="1" si="21"/>
        <v>1.6534797452225909E-3</v>
      </c>
      <c r="AE19" s="1"/>
      <c r="AF19" s="1">
        <f t="shared" ca="1" si="22"/>
        <v>0.29015138182279432</v>
      </c>
      <c r="AG19" s="1">
        <f t="shared" ca="1" si="23"/>
        <v>185</v>
      </c>
      <c r="AH19" s="1">
        <f t="shared" ca="1" si="24"/>
        <v>6.6688845867789821E-3</v>
      </c>
      <c r="AJ19" s="1">
        <f t="shared" ca="1" si="25"/>
        <v>0.50109467758219783</v>
      </c>
      <c r="AK19" s="1">
        <f t="shared" ca="1" si="26"/>
        <v>4.2638998399896714E-3</v>
      </c>
      <c r="AL19" s="1"/>
      <c r="AM19" s="1">
        <f t="shared" ca="1" si="27"/>
        <v>0.10382389801477411</v>
      </c>
      <c r="AN19" s="1">
        <f t="shared" ca="1" si="28"/>
        <v>68</v>
      </c>
      <c r="AO19" s="1">
        <f t="shared" ca="1" si="29"/>
        <v>6</v>
      </c>
    </row>
    <row r="20" spans="2:41" x14ac:dyDescent="0.25">
      <c r="B20">
        <f t="shared" ca="1" si="0"/>
        <v>226</v>
      </c>
      <c r="C20">
        <f t="shared" ca="1" si="1"/>
        <v>41</v>
      </c>
      <c r="D20">
        <f t="shared" ca="1" si="2"/>
        <v>1.576403075660536E-2</v>
      </c>
      <c r="F20" s="1">
        <f t="shared" ca="1" si="3"/>
        <v>20</v>
      </c>
      <c r="G20" s="1">
        <f t="shared" ca="1" si="4"/>
        <v>22</v>
      </c>
      <c r="H20" s="1">
        <f t="shared" ca="1" si="5"/>
        <v>9</v>
      </c>
      <c r="I20" s="1"/>
      <c r="J20" s="1">
        <f t="shared" ca="1" si="6"/>
        <v>38</v>
      </c>
      <c r="K20" s="1">
        <f t="shared" ca="1" si="7"/>
        <v>1.9852286026282839</v>
      </c>
      <c r="L20" s="1">
        <f t="shared" ca="1" si="8"/>
        <v>33</v>
      </c>
      <c r="M20" s="1"/>
      <c r="N20" s="1">
        <f t="shared" ca="1" si="9"/>
        <v>901</v>
      </c>
      <c r="O20" s="1">
        <f t="shared" ca="1" si="10"/>
        <v>34</v>
      </c>
      <c r="P20" s="1"/>
      <c r="Q20" s="1">
        <f t="shared" ca="1" si="11"/>
        <v>0.51799262181637418</v>
      </c>
      <c r="R20" s="1">
        <f t="shared" ca="1" si="12"/>
        <v>307</v>
      </c>
      <c r="S20" s="1"/>
      <c r="T20" s="1">
        <f t="shared" ca="1" si="13"/>
        <v>0.15509457355665365</v>
      </c>
      <c r="U20" s="1">
        <f t="shared" ca="1" si="14"/>
        <v>427</v>
      </c>
      <c r="V20" s="1">
        <f t="shared" ca="1" si="15"/>
        <v>49</v>
      </c>
      <c r="W20" s="1"/>
      <c r="X20" s="1">
        <f t="shared" ca="1" si="16"/>
        <v>7.2919751451434793</v>
      </c>
      <c r="Y20" s="1">
        <f t="shared" ca="1" si="17"/>
        <v>0.11725799798694836</v>
      </c>
      <c r="Z20" s="1">
        <f t="shared" ca="1" si="18"/>
        <v>1920</v>
      </c>
      <c r="AB20" s="1">
        <f t="shared" ca="1" si="19"/>
        <v>0.70820921432077666</v>
      </c>
      <c r="AC20" s="1">
        <f t="shared" ca="1" si="20"/>
        <v>588</v>
      </c>
      <c r="AD20" s="1">
        <f t="shared" ca="1" si="21"/>
        <v>1.8955124385520351E-4</v>
      </c>
      <c r="AE20" s="1"/>
      <c r="AF20" s="1">
        <f t="shared" ca="1" si="22"/>
        <v>0.24828079897618371</v>
      </c>
      <c r="AG20" s="1">
        <f t="shared" ca="1" si="23"/>
        <v>702</v>
      </c>
      <c r="AH20" s="1">
        <f t="shared" ca="1" si="24"/>
        <v>8.6474801372689297E-3</v>
      </c>
      <c r="AJ20" s="1">
        <f t="shared" ca="1" si="25"/>
        <v>6.1085928765532871E-2</v>
      </c>
      <c r="AK20" s="1">
        <f t="shared" ca="1" si="26"/>
        <v>4.4857304478716845E-3</v>
      </c>
      <c r="AL20" s="1"/>
      <c r="AM20" s="1">
        <f t="shared" ca="1" si="27"/>
        <v>9.6390240571370009E-2</v>
      </c>
      <c r="AN20" s="1">
        <f t="shared" ca="1" si="28"/>
        <v>17</v>
      </c>
      <c r="AO20" s="1">
        <f t="shared" ca="1" si="29"/>
        <v>4</v>
      </c>
    </row>
    <row r="21" spans="2:41" x14ac:dyDescent="0.25">
      <c r="B21">
        <f t="shared" ca="1" si="0"/>
        <v>880</v>
      </c>
      <c r="C21">
        <f t="shared" ca="1" si="1"/>
        <v>25</v>
      </c>
      <c r="D21">
        <f t="shared" ca="1" si="2"/>
        <v>0.12328122939380169</v>
      </c>
      <c r="F21" s="1">
        <f t="shared" ca="1" si="3"/>
        <v>48</v>
      </c>
      <c r="G21" s="1">
        <f t="shared" ca="1" si="4"/>
        <v>10</v>
      </c>
      <c r="H21" s="1">
        <f t="shared" ca="1" si="5"/>
        <v>14</v>
      </c>
      <c r="I21" s="1"/>
      <c r="J21" s="1">
        <f t="shared" ca="1" si="6"/>
        <v>2</v>
      </c>
      <c r="K21" s="1">
        <f t="shared" ca="1" si="7"/>
        <v>1.0036754095313913</v>
      </c>
      <c r="L21" s="1">
        <f t="shared" ca="1" si="8"/>
        <v>22</v>
      </c>
      <c r="M21" s="1"/>
      <c r="N21" s="1">
        <f t="shared" ca="1" si="9"/>
        <v>593</v>
      </c>
      <c r="O21" s="1">
        <f t="shared" ca="1" si="10"/>
        <v>4</v>
      </c>
      <c r="P21" s="1"/>
      <c r="Q21" s="1">
        <f t="shared" ca="1" si="11"/>
        <v>1.8690352215382497</v>
      </c>
      <c r="R21" s="1">
        <f t="shared" ca="1" si="12"/>
        <v>944</v>
      </c>
      <c r="S21" s="1"/>
      <c r="T21" s="1">
        <f t="shared" ca="1" si="13"/>
        <v>3.8055844026973373E-2</v>
      </c>
      <c r="U21" s="1">
        <f t="shared" ca="1" si="14"/>
        <v>360</v>
      </c>
      <c r="V21" s="1">
        <f t="shared" ca="1" si="15"/>
        <v>36</v>
      </c>
      <c r="W21" s="1"/>
      <c r="X21" s="1">
        <f t="shared" ca="1" si="16"/>
        <v>8.2479744943345903</v>
      </c>
      <c r="Y21" s="1">
        <f t="shared" ca="1" si="17"/>
        <v>0.26787738921981397</v>
      </c>
      <c r="Z21" s="1">
        <f t="shared" ca="1" si="18"/>
        <v>504</v>
      </c>
      <c r="AB21" s="1">
        <f t="shared" ca="1" si="19"/>
        <v>0.93277423770133061</v>
      </c>
      <c r="AC21" s="1">
        <f t="shared" ca="1" si="20"/>
        <v>481</v>
      </c>
      <c r="AD21" s="1">
        <f t="shared" ca="1" si="21"/>
        <v>2.1249176835668672E-3</v>
      </c>
      <c r="AE21" s="1"/>
      <c r="AF21" s="1">
        <f t="shared" ca="1" si="22"/>
        <v>0.74621028181332949</v>
      </c>
      <c r="AG21" s="1">
        <f t="shared" ca="1" si="23"/>
        <v>269</v>
      </c>
      <c r="AH21" s="1">
        <f t="shared" ca="1" si="24"/>
        <v>6.330335067593596E-3</v>
      </c>
      <c r="AJ21" s="1">
        <f t="shared" ca="1" si="25"/>
        <v>0.43944424553328376</v>
      </c>
      <c r="AK21" s="1">
        <f t="shared" ca="1" si="26"/>
        <v>9.0907704686463298E-3</v>
      </c>
      <c r="AL21" s="1"/>
      <c r="AM21" s="1">
        <f t="shared" ca="1" si="27"/>
        <v>4.41912777889115E-2</v>
      </c>
      <c r="AN21" s="1">
        <f t="shared" ca="1" si="28"/>
        <v>52</v>
      </c>
      <c r="AO21" s="1">
        <f t="shared" ca="1" si="29"/>
        <v>13</v>
      </c>
    </row>
    <row r="22" spans="2:41" x14ac:dyDescent="0.25">
      <c r="B22">
        <f t="shared" ca="1" si="0"/>
        <v>842</v>
      </c>
      <c r="C22">
        <f t="shared" ca="1" si="1"/>
        <v>27</v>
      </c>
      <c r="D22">
        <f t="shared" ca="1" si="2"/>
        <v>7.9775039646824641E-2</v>
      </c>
      <c r="F22" s="1">
        <f t="shared" ca="1" si="3"/>
        <v>30</v>
      </c>
      <c r="G22" s="1">
        <f t="shared" ca="1" si="4"/>
        <v>24</v>
      </c>
      <c r="H22" s="1">
        <f t="shared" ca="1" si="5"/>
        <v>14</v>
      </c>
      <c r="I22" s="1"/>
      <c r="J22" s="1">
        <f t="shared" ca="1" si="6"/>
        <v>30</v>
      </c>
      <c r="K22" s="1">
        <f t="shared" ca="1" si="7"/>
        <v>2.6557931596209756</v>
      </c>
      <c r="L22" s="1">
        <f t="shared" ca="1" si="8"/>
        <v>27</v>
      </c>
      <c r="M22" s="1"/>
      <c r="N22" s="1">
        <f t="shared" ca="1" si="9"/>
        <v>485</v>
      </c>
      <c r="O22" s="1">
        <f t="shared" ca="1" si="10"/>
        <v>48</v>
      </c>
      <c r="P22" s="1"/>
      <c r="Q22" s="1">
        <f t="shared" ca="1" si="11"/>
        <v>3.1125303576683798</v>
      </c>
      <c r="R22" s="1">
        <f t="shared" ca="1" si="12"/>
        <v>908</v>
      </c>
      <c r="S22" s="1"/>
      <c r="T22" s="1">
        <f t="shared" ca="1" si="13"/>
        <v>0.13343012907868965</v>
      </c>
      <c r="U22" s="1">
        <f t="shared" ca="1" si="14"/>
        <v>430</v>
      </c>
      <c r="V22" s="1">
        <f t="shared" ca="1" si="15"/>
        <v>36</v>
      </c>
      <c r="W22" s="1"/>
      <c r="X22" s="1">
        <f t="shared" ca="1" si="16"/>
        <v>8.0139181997776312</v>
      </c>
      <c r="Y22" s="1">
        <f t="shared" ca="1" si="17"/>
        <v>0.72732713752432121</v>
      </c>
      <c r="Z22" s="1">
        <f t="shared" ca="1" si="18"/>
        <v>548</v>
      </c>
      <c r="AB22" s="1">
        <f t="shared" ca="1" si="19"/>
        <v>0.95333954738213234</v>
      </c>
      <c r="AC22" s="1">
        <f t="shared" ca="1" si="20"/>
        <v>378</v>
      </c>
      <c r="AD22" s="1">
        <f t="shared" ca="1" si="21"/>
        <v>5.6594487749331204E-3</v>
      </c>
      <c r="AE22" s="1"/>
      <c r="AF22" s="1">
        <f t="shared" ca="1" si="22"/>
        <v>0.77675161989269303</v>
      </c>
      <c r="AG22" s="1">
        <f t="shared" ca="1" si="23"/>
        <v>645</v>
      </c>
      <c r="AH22" s="1">
        <f t="shared" ca="1" si="24"/>
        <v>7.2340921569292197E-3</v>
      </c>
      <c r="AJ22" s="1">
        <f t="shared" ca="1" si="25"/>
        <v>0.72079559245130032</v>
      </c>
      <c r="AK22" s="1">
        <f t="shared" ca="1" si="26"/>
        <v>9.2749921370558746E-3</v>
      </c>
      <c r="AL22" s="1"/>
      <c r="AM22" s="1">
        <f t="shared" ca="1" si="27"/>
        <v>1.5259462239208658E-2</v>
      </c>
      <c r="AN22" s="1">
        <f t="shared" ca="1" si="28"/>
        <v>58</v>
      </c>
      <c r="AO22" s="1">
        <f t="shared" ca="1" si="29"/>
        <v>11</v>
      </c>
    </row>
    <row r="23" spans="2:41" x14ac:dyDescent="0.25">
      <c r="B23">
        <f t="shared" ca="1" si="0"/>
        <v>34</v>
      </c>
      <c r="C23">
        <f t="shared" ca="1" si="1"/>
        <v>48</v>
      </c>
      <c r="D23">
        <f t="shared" ca="1" si="2"/>
        <v>1.4968504694803693E-2</v>
      </c>
      <c r="F23" s="1">
        <f t="shared" ca="1" si="3"/>
        <v>50</v>
      </c>
      <c r="G23" s="1">
        <f t="shared" ca="1" si="4"/>
        <v>27</v>
      </c>
      <c r="H23" s="1">
        <f t="shared" ca="1" si="5"/>
        <v>3</v>
      </c>
      <c r="I23" s="1"/>
      <c r="J23" s="1">
        <f t="shared" ca="1" si="6"/>
        <v>3</v>
      </c>
      <c r="K23" s="1">
        <f t="shared" ca="1" si="7"/>
        <v>2.4506139917070806</v>
      </c>
      <c r="L23" s="1">
        <f t="shared" ca="1" si="8"/>
        <v>12</v>
      </c>
      <c r="M23" s="1"/>
      <c r="N23" s="1">
        <f t="shared" ca="1" si="9"/>
        <v>341</v>
      </c>
      <c r="O23" s="1">
        <f t="shared" ca="1" si="10"/>
        <v>44</v>
      </c>
      <c r="P23" s="1"/>
      <c r="Q23" s="1">
        <f t="shared" ca="1" si="11"/>
        <v>2.3201305539282111</v>
      </c>
      <c r="R23" s="1">
        <f t="shared" ca="1" si="12"/>
        <v>457</v>
      </c>
      <c r="S23" s="1"/>
      <c r="T23" s="1">
        <f t="shared" ca="1" si="13"/>
        <v>0.17838242587736586</v>
      </c>
      <c r="U23" s="1">
        <f t="shared" ca="1" si="14"/>
        <v>178</v>
      </c>
      <c r="V23" s="1">
        <f t="shared" ca="1" si="15"/>
        <v>13</v>
      </c>
      <c r="W23" s="1"/>
      <c r="X23" s="1">
        <f t="shared" ca="1" si="16"/>
        <v>8.4288382684806038</v>
      </c>
      <c r="Y23" s="1">
        <f t="shared" ca="1" si="17"/>
        <v>0.55893702886025276</v>
      </c>
      <c r="Z23" s="1">
        <f t="shared" ca="1" si="18"/>
        <v>502</v>
      </c>
      <c r="AB23" s="1">
        <f t="shared" ca="1" si="19"/>
        <v>0.88601328307598759</v>
      </c>
      <c r="AC23" s="1">
        <f t="shared" ca="1" si="20"/>
        <v>639</v>
      </c>
      <c r="AD23" s="1">
        <f t="shared" ca="1" si="21"/>
        <v>8.4087042878267758E-3</v>
      </c>
      <c r="AE23" s="1"/>
      <c r="AF23" s="1">
        <f t="shared" ca="1" si="22"/>
        <v>0.4003163309577541</v>
      </c>
      <c r="AG23" s="1">
        <f t="shared" ca="1" si="23"/>
        <v>961</v>
      </c>
      <c r="AH23" s="1">
        <f t="shared" ca="1" si="24"/>
        <v>5.4332697344234961E-3</v>
      </c>
      <c r="AJ23" s="1">
        <f t="shared" ca="1" si="25"/>
        <v>0.9746926514818427</v>
      </c>
      <c r="AK23" s="1">
        <f t="shared" ca="1" si="26"/>
        <v>3.5545563164939412E-3</v>
      </c>
      <c r="AL23" s="1"/>
      <c r="AM23" s="1">
        <f t="shared" ca="1" si="27"/>
        <v>0.16415181304037102</v>
      </c>
      <c r="AN23" s="1">
        <f t="shared" ca="1" si="28"/>
        <v>21</v>
      </c>
      <c r="AO23" s="1">
        <f t="shared" ca="1" si="29"/>
        <v>13</v>
      </c>
    </row>
    <row r="24" spans="2:41" x14ac:dyDescent="0.25">
      <c r="B24">
        <f t="shared" ca="1" si="0"/>
        <v>395</v>
      </c>
      <c r="C24">
        <f t="shared" ca="1" si="1"/>
        <v>16</v>
      </c>
      <c r="D24">
        <f t="shared" ca="1" si="2"/>
        <v>0.17631290370907282</v>
      </c>
      <c r="F24" s="1">
        <f t="shared" ca="1" si="3"/>
        <v>7</v>
      </c>
      <c r="G24" s="1">
        <f t="shared" ca="1" si="4"/>
        <v>20</v>
      </c>
      <c r="H24" s="1">
        <f t="shared" ca="1" si="5"/>
        <v>5</v>
      </c>
      <c r="I24" s="1"/>
      <c r="J24" s="1">
        <f t="shared" ca="1" si="6"/>
        <v>31</v>
      </c>
      <c r="K24" s="1">
        <f t="shared" ca="1" si="7"/>
        <v>2.4290361736751596</v>
      </c>
      <c r="L24" s="1">
        <f t="shared" ca="1" si="8"/>
        <v>4</v>
      </c>
      <c r="M24" s="1"/>
      <c r="N24" s="1">
        <f t="shared" ca="1" si="9"/>
        <v>136</v>
      </c>
      <c r="O24" s="1">
        <f t="shared" ca="1" si="10"/>
        <v>30</v>
      </c>
      <c r="P24" s="1"/>
      <c r="Q24" s="1">
        <f t="shared" ca="1" si="11"/>
        <v>0.19336888117695863</v>
      </c>
      <c r="R24" s="1">
        <f t="shared" ca="1" si="12"/>
        <v>436</v>
      </c>
      <c r="S24" s="1"/>
      <c r="T24" s="1">
        <f t="shared" ca="1" si="13"/>
        <v>4.09341069722991E-2</v>
      </c>
      <c r="U24" s="1">
        <f t="shared" ca="1" si="14"/>
        <v>126</v>
      </c>
      <c r="V24" s="1">
        <f t="shared" ca="1" si="15"/>
        <v>51</v>
      </c>
      <c r="W24" s="1"/>
      <c r="X24" s="1">
        <f t="shared" ca="1" si="16"/>
        <v>3.933484377872281</v>
      </c>
      <c r="Y24" s="1">
        <f t="shared" ca="1" si="17"/>
        <v>9.7941806874041346E-2</v>
      </c>
      <c r="Z24" s="1">
        <f t="shared" ca="1" si="18"/>
        <v>992</v>
      </c>
      <c r="AB24" s="1">
        <f t="shared" ca="1" si="19"/>
        <v>0.52908484332590744</v>
      </c>
      <c r="AC24" s="1">
        <f t="shared" ca="1" si="20"/>
        <v>714</v>
      </c>
      <c r="AD24" s="1">
        <f t="shared" ca="1" si="21"/>
        <v>5.2508501900575882E-3</v>
      </c>
      <c r="AE24" s="1"/>
      <c r="AF24" s="1">
        <f t="shared" ca="1" si="22"/>
        <v>0.24917341156458486</v>
      </c>
      <c r="AG24" s="1">
        <f t="shared" ca="1" si="23"/>
        <v>789</v>
      </c>
      <c r="AH24" s="1">
        <f t="shared" ca="1" si="24"/>
        <v>1.8589247074093308E-3</v>
      </c>
      <c r="AJ24" s="1">
        <f t="shared" ca="1" si="25"/>
        <v>0.81370991472327903</v>
      </c>
      <c r="AK24" s="1">
        <f t="shared" ca="1" si="26"/>
        <v>7.2766598731767386E-5</v>
      </c>
      <c r="AL24" s="1"/>
      <c r="AM24" s="1">
        <f t="shared" ca="1" si="27"/>
        <v>0.15210733325340087</v>
      </c>
      <c r="AN24" s="1">
        <f t="shared" ca="1" si="28"/>
        <v>45</v>
      </c>
      <c r="AO24" s="1">
        <f t="shared" ca="1" si="29"/>
        <v>-1</v>
      </c>
    </row>
    <row r="25" spans="2:41" x14ac:dyDescent="0.25">
      <c r="B25">
        <f t="shared" ca="1" si="0"/>
        <v>514</v>
      </c>
      <c r="C25">
        <f t="shared" ca="1" si="1"/>
        <v>33</v>
      </c>
      <c r="D25">
        <f t="shared" ca="1" si="2"/>
        <v>0.22850579353092035</v>
      </c>
      <c r="F25" s="1">
        <f t="shared" ca="1" si="3"/>
        <v>36</v>
      </c>
      <c r="G25" s="1">
        <f t="shared" ca="1" si="4"/>
        <v>17</v>
      </c>
      <c r="H25" s="1">
        <f t="shared" ca="1" si="5"/>
        <v>8</v>
      </c>
      <c r="I25" s="1"/>
      <c r="J25" s="1">
        <f t="shared" ca="1" si="6"/>
        <v>1</v>
      </c>
      <c r="K25" s="1">
        <f t="shared" ca="1" si="7"/>
        <v>1.0026130400738145</v>
      </c>
      <c r="L25" s="1">
        <f t="shared" ca="1" si="8"/>
        <v>11</v>
      </c>
      <c r="M25" s="1"/>
      <c r="N25" s="1">
        <f t="shared" ca="1" si="9"/>
        <v>488</v>
      </c>
      <c r="O25" s="1">
        <f t="shared" ca="1" si="10"/>
        <v>30</v>
      </c>
      <c r="P25" s="1"/>
      <c r="Q25" s="1">
        <f t="shared" ca="1" si="11"/>
        <v>3.4781663158123699</v>
      </c>
      <c r="R25" s="1">
        <f t="shared" ca="1" si="12"/>
        <v>1090</v>
      </c>
      <c r="S25" s="1"/>
      <c r="T25" s="1">
        <f t="shared" ca="1" si="13"/>
        <v>0.16575448284028579</v>
      </c>
      <c r="U25" s="1">
        <f t="shared" ca="1" si="14"/>
        <v>162</v>
      </c>
      <c r="V25" s="1">
        <f t="shared" ca="1" si="15"/>
        <v>15</v>
      </c>
      <c r="W25" s="1"/>
      <c r="X25" s="1">
        <f t="shared" ca="1" si="16"/>
        <v>0.35691320456196252</v>
      </c>
      <c r="Y25" s="1">
        <f t="shared" ca="1" si="17"/>
        <v>0.33103169391417969</v>
      </c>
      <c r="Z25" s="1">
        <f t="shared" ca="1" si="18"/>
        <v>1570</v>
      </c>
      <c r="AB25" s="1">
        <f t="shared" ca="1" si="19"/>
        <v>0.81379468186155535</v>
      </c>
      <c r="AC25" s="1">
        <f t="shared" ca="1" si="20"/>
        <v>638</v>
      </c>
      <c r="AD25" s="1">
        <f t="shared" ca="1" si="21"/>
        <v>1.8685461209241787E-3</v>
      </c>
      <c r="AE25" s="1"/>
      <c r="AF25" s="1">
        <f t="shared" ca="1" si="22"/>
        <v>0.62624253613081449</v>
      </c>
      <c r="AG25" s="1">
        <f t="shared" ca="1" si="23"/>
        <v>481</v>
      </c>
      <c r="AH25" s="1">
        <f t="shared" ca="1" si="24"/>
        <v>3.5827528625412791E-3</v>
      </c>
      <c r="AJ25" s="1">
        <f t="shared" ca="1" si="25"/>
        <v>0.69825977191019117</v>
      </c>
      <c r="AK25" s="1">
        <f t="shared" ca="1" si="26"/>
        <v>5.4017567037211956E-3</v>
      </c>
      <c r="AL25" s="1"/>
      <c r="AM25" s="1">
        <f t="shared" ca="1" si="27"/>
        <v>0.16860178801594528</v>
      </c>
      <c r="AN25" s="1">
        <f t="shared" ca="1" si="28"/>
        <v>51</v>
      </c>
      <c r="AO25" s="1">
        <f t="shared" ca="1" si="29"/>
        <v>15</v>
      </c>
    </row>
    <row r="26" spans="2:41" x14ac:dyDescent="0.25">
      <c r="B26">
        <f t="shared" ca="1" si="0"/>
        <v>730</v>
      </c>
      <c r="C26">
        <f t="shared" ca="1" si="1"/>
        <v>14</v>
      </c>
      <c r="D26">
        <f t="shared" ca="1" si="2"/>
        <v>8.7402625631794878E-2</v>
      </c>
      <c r="F26" s="1">
        <f t="shared" ca="1" si="3"/>
        <v>17</v>
      </c>
      <c r="G26" s="1">
        <f t="shared" ca="1" si="4"/>
        <v>15</v>
      </c>
      <c r="H26" s="1">
        <f t="shared" ca="1" si="5"/>
        <v>6</v>
      </c>
      <c r="I26" s="1"/>
      <c r="J26" s="1">
        <f t="shared" ca="1" si="6"/>
        <v>36</v>
      </c>
      <c r="K26" s="1">
        <f t="shared" ca="1" si="7"/>
        <v>2.9948173282491455</v>
      </c>
      <c r="L26" s="1">
        <f t="shared" ca="1" si="8"/>
        <v>2</v>
      </c>
      <c r="M26" s="1"/>
      <c r="N26" s="1">
        <f t="shared" ca="1" si="9"/>
        <v>694</v>
      </c>
      <c r="O26" s="1">
        <f t="shared" ca="1" si="10"/>
        <v>39</v>
      </c>
      <c r="P26" s="1"/>
      <c r="Q26" s="1">
        <f t="shared" ca="1" si="11"/>
        <v>2.8628948566993553</v>
      </c>
      <c r="R26" s="1">
        <f t="shared" ca="1" si="12"/>
        <v>1106</v>
      </c>
      <c r="S26" s="1"/>
      <c r="T26" s="1">
        <f t="shared" ca="1" si="13"/>
        <v>0.15383419175801791</v>
      </c>
      <c r="U26" s="1">
        <f t="shared" ca="1" si="14"/>
        <v>96</v>
      </c>
      <c r="V26" s="1">
        <f t="shared" ca="1" si="15"/>
        <v>28</v>
      </c>
      <c r="W26" s="1"/>
      <c r="X26" s="1">
        <f t="shared" ca="1" si="16"/>
        <v>7.3658905914739563</v>
      </c>
      <c r="Y26" s="1">
        <f t="shared" ca="1" si="17"/>
        <v>0.33513530341623071</v>
      </c>
      <c r="Z26" s="1">
        <f t="shared" ca="1" si="18"/>
        <v>1130</v>
      </c>
      <c r="AB26" s="1">
        <f t="shared" ca="1" si="19"/>
        <v>6.1260613723793599E-4</v>
      </c>
      <c r="AC26" s="1">
        <f t="shared" ca="1" si="20"/>
        <v>474</v>
      </c>
      <c r="AD26" s="1">
        <f t="shared" ca="1" si="21"/>
        <v>9.6594553266999303E-4</v>
      </c>
      <c r="AE26" s="1"/>
      <c r="AF26" s="1">
        <f t="shared" ca="1" si="22"/>
        <v>0.673859075730187</v>
      </c>
      <c r="AG26" s="1">
        <f t="shared" ca="1" si="23"/>
        <v>570</v>
      </c>
      <c r="AH26" s="1">
        <f t="shared" ca="1" si="24"/>
        <v>9.929405531318717E-3</v>
      </c>
      <c r="AJ26" s="1">
        <f t="shared" ca="1" si="25"/>
        <v>0.77225708744076715</v>
      </c>
      <c r="AK26" s="1">
        <f t="shared" ca="1" si="26"/>
        <v>2.8487330257053419E-3</v>
      </c>
      <c r="AL26" s="1"/>
      <c r="AM26" s="1">
        <f t="shared" ca="1" si="27"/>
        <v>7.1256251769772197E-2</v>
      </c>
      <c r="AN26" s="1">
        <f t="shared" ca="1" si="28"/>
        <v>62</v>
      </c>
      <c r="AO26" s="1">
        <f t="shared" ca="1" si="29"/>
        <v>1</v>
      </c>
    </row>
    <row r="27" spans="2:41" x14ac:dyDescent="0.25">
      <c r="B27">
        <f t="shared" ca="1" si="0"/>
        <v>824</v>
      </c>
      <c r="C27">
        <f t="shared" ca="1" si="1"/>
        <v>10</v>
      </c>
      <c r="D27">
        <f t="shared" ca="1" si="2"/>
        <v>0.25585943324924165</v>
      </c>
      <c r="F27" s="1">
        <f t="shared" ca="1" si="3"/>
        <v>9</v>
      </c>
      <c r="G27" s="1">
        <f t="shared" ca="1" si="4"/>
        <v>25</v>
      </c>
      <c r="H27" s="1">
        <f t="shared" ca="1" si="5"/>
        <v>4</v>
      </c>
      <c r="I27" s="1"/>
      <c r="J27" s="1">
        <f t="shared" ca="1" si="6"/>
        <v>32</v>
      </c>
      <c r="K27" s="1">
        <f t="shared" ca="1" si="7"/>
        <v>2.8182837510277587</v>
      </c>
      <c r="L27" s="1">
        <f t="shared" ca="1" si="8"/>
        <v>32</v>
      </c>
      <c r="M27" s="1"/>
      <c r="N27" s="1">
        <f t="shared" ca="1" si="9"/>
        <v>233</v>
      </c>
      <c r="O27" s="1">
        <f t="shared" ca="1" si="10"/>
        <v>41</v>
      </c>
      <c r="P27" s="1"/>
      <c r="Q27" s="1">
        <f t="shared" ca="1" si="11"/>
        <v>3.9166124019840796</v>
      </c>
      <c r="R27" s="1">
        <f t="shared" ca="1" si="12"/>
        <v>300</v>
      </c>
      <c r="S27" s="1"/>
      <c r="T27" s="1">
        <f t="shared" ca="1" si="13"/>
        <v>5.883224243257424E-2</v>
      </c>
      <c r="U27" s="1">
        <f t="shared" ca="1" si="14"/>
        <v>229</v>
      </c>
      <c r="V27" s="1">
        <f t="shared" ca="1" si="15"/>
        <v>6</v>
      </c>
      <c r="W27" s="1"/>
      <c r="X27" s="1">
        <f t="shared" ca="1" si="16"/>
        <v>3.3460470507230728</v>
      </c>
      <c r="Y27" s="1">
        <f t="shared" ca="1" si="17"/>
        <v>0.10806050985843157</v>
      </c>
      <c r="Z27" s="1">
        <f t="shared" ca="1" si="18"/>
        <v>994</v>
      </c>
      <c r="AB27" s="1">
        <f t="shared" ca="1" si="19"/>
        <v>0.43116411018361372</v>
      </c>
      <c r="AC27" s="1">
        <f t="shared" ca="1" si="20"/>
        <v>273</v>
      </c>
      <c r="AD27" s="1">
        <f t="shared" ca="1" si="21"/>
        <v>6.2080023342670377E-4</v>
      </c>
      <c r="AE27" s="1"/>
      <c r="AF27" s="1">
        <f t="shared" ca="1" si="22"/>
        <v>0.18713813022399226</v>
      </c>
      <c r="AG27" s="1">
        <f t="shared" ca="1" si="23"/>
        <v>417</v>
      </c>
      <c r="AH27" s="1">
        <f t="shared" ca="1" si="24"/>
        <v>9.955491677260531E-3</v>
      </c>
      <c r="AJ27" s="1">
        <f t="shared" ca="1" si="25"/>
        <v>0.90715906179475159</v>
      </c>
      <c r="AK27" s="1">
        <f t="shared" ca="1" si="26"/>
        <v>4.1106584835329772E-3</v>
      </c>
      <c r="AL27" s="1"/>
      <c r="AM27" s="1">
        <f t="shared" ca="1" si="27"/>
        <v>6.7855267023480048E-2</v>
      </c>
      <c r="AN27" s="1">
        <f t="shared" ca="1" si="28"/>
        <v>36</v>
      </c>
      <c r="AO27" s="1">
        <f t="shared" ca="1" si="29"/>
        <v>3</v>
      </c>
    </row>
    <row r="28" spans="2:41" x14ac:dyDescent="0.25">
      <c r="B28">
        <f t="shared" ca="1" si="0"/>
        <v>17</v>
      </c>
      <c r="C28">
        <f t="shared" ca="1" si="1"/>
        <v>27</v>
      </c>
      <c r="D28">
        <f t="shared" ca="1" si="2"/>
        <v>0.23204161028606513</v>
      </c>
      <c r="F28" s="1">
        <f t="shared" ca="1" si="3"/>
        <v>25</v>
      </c>
      <c r="G28" s="1">
        <f t="shared" ca="1" si="4"/>
        <v>9</v>
      </c>
      <c r="H28" s="1">
        <f t="shared" ca="1" si="5"/>
        <v>7</v>
      </c>
      <c r="I28" s="1"/>
      <c r="J28" s="1">
        <f t="shared" ca="1" si="6"/>
        <v>25</v>
      </c>
      <c r="K28" s="1">
        <f t="shared" ca="1" si="7"/>
        <v>2.0258184398072436</v>
      </c>
      <c r="L28" s="1">
        <f t="shared" ca="1" si="8"/>
        <v>28</v>
      </c>
      <c r="M28" s="1"/>
      <c r="N28" s="1">
        <f t="shared" ca="1" si="9"/>
        <v>683</v>
      </c>
      <c r="O28" s="1">
        <f t="shared" ca="1" si="10"/>
        <v>11</v>
      </c>
      <c r="P28" s="1"/>
      <c r="Q28" s="1">
        <f t="shared" ca="1" si="11"/>
        <v>3.8748250831420212</v>
      </c>
      <c r="R28" s="1">
        <f t="shared" ca="1" si="12"/>
        <v>756</v>
      </c>
      <c r="S28" s="1"/>
      <c r="T28" s="1">
        <f t="shared" ca="1" si="13"/>
        <v>0.19621490001229364</v>
      </c>
      <c r="U28" s="1">
        <f t="shared" ca="1" si="14"/>
        <v>401</v>
      </c>
      <c r="V28" s="1">
        <f t="shared" ca="1" si="15"/>
        <v>26</v>
      </c>
      <c r="W28" s="1"/>
      <c r="X28" s="1">
        <f t="shared" ca="1" si="16"/>
        <v>5.5437962109139098</v>
      </c>
      <c r="Y28" s="1">
        <f t="shared" ca="1" si="17"/>
        <v>0.81984330354626789</v>
      </c>
      <c r="Z28" s="1">
        <f t="shared" ca="1" si="18"/>
        <v>135</v>
      </c>
      <c r="AB28" s="1">
        <f t="shared" ca="1" si="19"/>
        <v>0.91990041459940386</v>
      </c>
      <c r="AC28" s="1">
        <f t="shared" ca="1" si="20"/>
        <v>641</v>
      </c>
      <c r="AD28" s="1">
        <f t="shared" ca="1" si="21"/>
        <v>8.2632907624124801E-4</v>
      </c>
      <c r="AE28" s="1"/>
      <c r="AF28" s="1">
        <f t="shared" ca="1" si="22"/>
        <v>0.51148929069692284</v>
      </c>
      <c r="AG28" s="1">
        <f t="shared" ca="1" si="23"/>
        <v>781</v>
      </c>
      <c r="AH28" s="1">
        <f t="shared" ca="1" si="24"/>
        <v>5.2713171644066248E-3</v>
      </c>
      <c r="AJ28" s="1">
        <f t="shared" ca="1" si="25"/>
        <v>0.87066568609742534</v>
      </c>
      <c r="AK28" s="1">
        <f t="shared" ca="1" si="26"/>
        <v>9.8746427593941512E-3</v>
      </c>
      <c r="AL28" s="1"/>
      <c r="AM28" s="1">
        <f t="shared" ca="1" si="27"/>
        <v>0.19164879925696715</v>
      </c>
      <c r="AN28" s="1">
        <f t="shared" ca="1" si="28"/>
        <v>45</v>
      </c>
      <c r="AO28" s="1">
        <f t="shared" ca="1" si="29"/>
        <v>0</v>
      </c>
    </row>
    <row r="29" spans="2:41" x14ac:dyDescent="0.25">
      <c r="B29">
        <f t="shared" ca="1" si="0"/>
        <v>512</v>
      </c>
      <c r="C29">
        <f t="shared" ca="1" si="1"/>
        <v>19</v>
      </c>
      <c r="D29">
        <f t="shared" ca="1" si="2"/>
        <v>0.15717791512686216</v>
      </c>
      <c r="F29" s="1">
        <f t="shared" ca="1" si="3"/>
        <v>37</v>
      </c>
      <c r="G29" s="1">
        <f t="shared" ca="1" si="4"/>
        <v>7</v>
      </c>
      <c r="H29" s="1">
        <f t="shared" ca="1" si="5"/>
        <v>2</v>
      </c>
      <c r="I29" s="1"/>
      <c r="J29" s="1">
        <f t="shared" ca="1" si="6"/>
        <v>27</v>
      </c>
      <c r="K29" s="1">
        <f t="shared" ca="1" si="7"/>
        <v>2.2023831327605974</v>
      </c>
      <c r="L29" s="1">
        <f t="shared" ca="1" si="8"/>
        <v>9</v>
      </c>
      <c r="M29" s="1"/>
      <c r="N29" s="1">
        <f t="shared" ca="1" si="9"/>
        <v>324</v>
      </c>
      <c r="O29" s="1">
        <f t="shared" ca="1" si="10"/>
        <v>17</v>
      </c>
      <c r="P29" s="1"/>
      <c r="Q29" s="1">
        <f t="shared" ca="1" si="11"/>
        <v>0.30406148457706267</v>
      </c>
      <c r="R29" s="1">
        <f t="shared" ca="1" si="12"/>
        <v>864</v>
      </c>
      <c r="S29" s="1"/>
      <c r="T29" s="1">
        <f t="shared" ca="1" si="13"/>
        <v>4.2534113975895446E-2</v>
      </c>
      <c r="U29" s="1">
        <f t="shared" ca="1" si="14"/>
        <v>118</v>
      </c>
      <c r="V29" s="1">
        <f t="shared" ca="1" si="15"/>
        <v>42</v>
      </c>
      <c r="W29" s="1"/>
      <c r="X29" s="1">
        <f t="shared" ca="1" si="16"/>
        <v>0.53601770313708952</v>
      </c>
      <c r="Y29" s="1">
        <f t="shared" ca="1" si="17"/>
        <v>0.51424487966444932</v>
      </c>
      <c r="Z29" s="1">
        <f t="shared" ca="1" si="18"/>
        <v>1424</v>
      </c>
      <c r="AB29" s="1">
        <f t="shared" ca="1" si="19"/>
        <v>0.19726370295991225</v>
      </c>
      <c r="AC29" s="1">
        <f t="shared" ca="1" si="20"/>
        <v>804</v>
      </c>
      <c r="AD29" s="1">
        <f t="shared" ca="1" si="21"/>
        <v>4.6319968098550608E-3</v>
      </c>
      <c r="AE29" s="1"/>
      <c r="AF29" s="1">
        <f t="shared" ca="1" si="22"/>
        <v>0.22879121848348688</v>
      </c>
      <c r="AG29" s="1">
        <f t="shared" ca="1" si="23"/>
        <v>371</v>
      </c>
      <c r="AH29" s="1">
        <f t="shared" ca="1" si="24"/>
        <v>6.2346585889334373E-3</v>
      </c>
      <c r="AJ29" s="1">
        <f t="shared" ca="1" si="25"/>
        <v>0.89023091142084221</v>
      </c>
      <c r="AK29" s="1">
        <f t="shared" ca="1" si="26"/>
        <v>7.4146199812580591E-3</v>
      </c>
      <c r="AL29" s="1"/>
      <c r="AM29" s="1">
        <f t="shared" ca="1" si="27"/>
        <v>9.435800909313237E-3</v>
      </c>
      <c r="AN29" s="1">
        <f t="shared" ca="1" si="28"/>
        <v>71</v>
      </c>
      <c r="AO29" s="1">
        <f t="shared" ca="1" si="29"/>
        <v>3</v>
      </c>
    </row>
    <row r="30" spans="2:41" x14ac:dyDescent="0.25">
      <c r="B30">
        <f t="shared" ca="1" si="0"/>
        <v>214</v>
      </c>
      <c r="C30">
        <f t="shared" ca="1" si="1"/>
        <v>43</v>
      </c>
      <c r="D30">
        <f t="shared" ca="1" si="2"/>
        <v>0.12470483319555201</v>
      </c>
      <c r="F30" s="1">
        <f t="shared" ca="1" si="3"/>
        <v>42</v>
      </c>
      <c r="G30" s="1">
        <f t="shared" ca="1" si="4"/>
        <v>6</v>
      </c>
      <c r="H30" s="1">
        <f t="shared" ca="1" si="5"/>
        <v>13</v>
      </c>
      <c r="I30" s="1"/>
      <c r="J30" s="1">
        <f t="shared" ca="1" si="6"/>
        <v>26</v>
      </c>
      <c r="K30" s="1">
        <f t="shared" ca="1" si="7"/>
        <v>2.773503668210993</v>
      </c>
      <c r="L30" s="1">
        <f t="shared" ca="1" si="8"/>
        <v>15</v>
      </c>
      <c r="M30" s="1"/>
      <c r="N30" s="1">
        <f t="shared" ca="1" si="9"/>
        <v>268</v>
      </c>
      <c r="O30" s="1">
        <f t="shared" ca="1" si="10"/>
        <v>40</v>
      </c>
      <c r="P30" s="1"/>
      <c r="Q30" s="1">
        <f t="shared" ca="1" si="11"/>
        <v>3.8221283787528151</v>
      </c>
      <c r="R30" s="1">
        <f t="shared" ca="1" si="12"/>
        <v>753</v>
      </c>
      <c r="S30" s="1"/>
      <c r="T30" s="1">
        <f t="shared" ca="1" si="13"/>
        <v>0.13075450843108719</v>
      </c>
      <c r="U30" s="1">
        <f t="shared" ca="1" si="14"/>
        <v>246</v>
      </c>
      <c r="V30" s="1">
        <f t="shared" ca="1" si="15"/>
        <v>10</v>
      </c>
      <c r="W30" s="1"/>
      <c r="X30" s="1">
        <f t="shared" ca="1" si="16"/>
        <v>4.1817921319159526</v>
      </c>
      <c r="Y30" s="1">
        <f t="shared" ca="1" si="17"/>
        <v>0.54074572998385606</v>
      </c>
      <c r="Z30" s="1">
        <f t="shared" ca="1" si="18"/>
        <v>1567</v>
      </c>
      <c r="AB30" s="1">
        <f t="shared" ca="1" si="19"/>
        <v>0.46236139588907332</v>
      </c>
      <c r="AC30" s="1">
        <f t="shared" ca="1" si="20"/>
        <v>191</v>
      </c>
      <c r="AD30" s="1">
        <f t="shared" ca="1" si="21"/>
        <v>6.1759497350507668E-3</v>
      </c>
      <c r="AE30" s="1"/>
      <c r="AF30" s="1">
        <f t="shared" ca="1" si="22"/>
        <v>0.82654949662409716</v>
      </c>
      <c r="AG30" s="1">
        <f t="shared" ca="1" si="23"/>
        <v>734</v>
      </c>
      <c r="AH30" s="1">
        <f t="shared" ca="1" si="24"/>
        <v>1.7586916207797795E-3</v>
      </c>
      <c r="AJ30" s="1">
        <f t="shared" ca="1" si="25"/>
        <v>7.5283857120741371E-2</v>
      </c>
      <c r="AK30" s="1">
        <f t="shared" ca="1" si="26"/>
        <v>3.9567439965622888E-3</v>
      </c>
      <c r="AL30" s="1"/>
      <c r="AM30" s="1">
        <f t="shared" ca="1" si="27"/>
        <v>0.16159440631104055</v>
      </c>
      <c r="AN30" s="1">
        <f t="shared" ca="1" si="28"/>
        <v>21</v>
      </c>
      <c r="AO30" s="1">
        <f t="shared" ca="1" si="29"/>
        <v>0</v>
      </c>
    </row>
    <row r="31" spans="2:41" x14ac:dyDescent="0.25">
      <c r="B31">
        <f t="shared" ca="1" si="0"/>
        <v>821</v>
      </c>
      <c r="C31">
        <f t="shared" ca="1" si="1"/>
        <v>39</v>
      </c>
      <c r="D31">
        <f t="shared" ca="1" si="2"/>
        <v>0.12800425154883505</v>
      </c>
      <c r="F31" s="1">
        <f t="shared" ca="1" si="3"/>
        <v>11</v>
      </c>
      <c r="G31" s="1">
        <f t="shared" ca="1" si="4"/>
        <v>16</v>
      </c>
      <c r="H31" s="1">
        <f t="shared" ca="1" si="5"/>
        <v>4</v>
      </c>
      <c r="I31" s="1"/>
      <c r="J31" s="1">
        <f t="shared" ca="1" si="6"/>
        <v>4</v>
      </c>
      <c r="K31" s="1">
        <f t="shared" ca="1" si="7"/>
        <v>1.6023886653682746</v>
      </c>
      <c r="L31" s="1">
        <f t="shared" ca="1" si="8"/>
        <v>21</v>
      </c>
      <c r="M31" s="1"/>
      <c r="N31" s="1">
        <f t="shared" ca="1" si="9"/>
        <v>137</v>
      </c>
      <c r="O31" s="1">
        <f t="shared" ca="1" si="10"/>
        <v>25</v>
      </c>
      <c r="P31" s="1"/>
      <c r="Q31" s="1">
        <f t="shared" ca="1" si="11"/>
        <v>3.0937927539697152</v>
      </c>
      <c r="R31" s="1">
        <f t="shared" ca="1" si="12"/>
        <v>303</v>
      </c>
      <c r="S31" s="1"/>
      <c r="T31" s="1">
        <f t="shared" ca="1" si="13"/>
        <v>0.15896531974230091</v>
      </c>
      <c r="U31" s="1">
        <f t="shared" ca="1" si="14"/>
        <v>121</v>
      </c>
      <c r="V31" s="1">
        <f t="shared" ca="1" si="15"/>
        <v>43</v>
      </c>
      <c r="W31" s="1"/>
      <c r="X31" s="1">
        <f t="shared" ca="1" si="16"/>
        <v>7.8513298757715484</v>
      </c>
      <c r="Y31" s="1">
        <f t="shared" ca="1" si="17"/>
        <v>0.81746676142988473</v>
      </c>
      <c r="Z31" s="1">
        <f t="shared" ca="1" si="18"/>
        <v>763</v>
      </c>
      <c r="AB31" s="1">
        <f t="shared" ca="1" si="19"/>
        <v>0.92516381183823904</v>
      </c>
      <c r="AC31" s="1">
        <f t="shared" ca="1" si="20"/>
        <v>942</v>
      </c>
      <c r="AD31" s="1">
        <f t="shared" ca="1" si="21"/>
        <v>2.0029428113089442E-3</v>
      </c>
      <c r="AE31" s="1"/>
      <c r="AF31" s="1">
        <f t="shared" ca="1" si="22"/>
        <v>0.76720635719959829</v>
      </c>
      <c r="AG31" s="1">
        <f t="shared" ca="1" si="23"/>
        <v>346</v>
      </c>
      <c r="AH31" s="1">
        <f t="shared" ca="1" si="24"/>
        <v>4.2839113952094646E-3</v>
      </c>
      <c r="AJ31" s="1">
        <f t="shared" ca="1" si="25"/>
        <v>0.42286534520443775</v>
      </c>
      <c r="AK31" s="1">
        <f t="shared" ca="1" si="26"/>
        <v>6.0981484075671097E-3</v>
      </c>
      <c r="AL31" s="1"/>
      <c r="AM31" s="1">
        <f t="shared" ca="1" si="27"/>
        <v>4.7431332993734782E-2</v>
      </c>
      <c r="AN31" s="1">
        <f t="shared" ca="1" si="28"/>
        <v>44</v>
      </c>
      <c r="AO31" s="1">
        <f t="shared" ca="1" si="29"/>
        <v>15</v>
      </c>
    </row>
    <row r="32" spans="2:41" x14ac:dyDescent="0.25">
      <c r="B32">
        <f t="shared" ca="1" si="0"/>
        <v>616</v>
      </c>
      <c r="C32">
        <f t="shared" ca="1" si="1"/>
        <v>44</v>
      </c>
      <c r="D32">
        <f t="shared" ca="1" si="2"/>
        <v>0.21023820186479605</v>
      </c>
      <c r="F32" s="1">
        <f t="shared" ca="1" si="3"/>
        <v>7</v>
      </c>
      <c r="G32" s="1">
        <f t="shared" ca="1" si="4"/>
        <v>19</v>
      </c>
      <c r="H32" s="1">
        <f t="shared" ca="1" si="5"/>
        <v>2</v>
      </c>
      <c r="I32" s="1"/>
      <c r="J32" s="1">
        <f t="shared" ca="1" si="6"/>
        <v>30</v>
      </c>
      <c r="K32" s="1">
        <f t="shared" ca="1" si="7"/>
        <v>2.6306970037215742</v>
      </c>
      <c r="L32" s="1">
        <f t="shared" ca="1" si="8"/>
        <v>18</v>
      </c>
      <c r="M32" s="1"/>
      <c r="N32" s="1">
        <f t="shared" ca="1" si="9"/>
        <v>300</v>
      </c>
      <c r="O32" s="1">
        <f t="shared" ca="1" si="10"/>
        <v>26</v>
      </c>
      <c r="P32" s="1"/>
      <c r="Q32" s="1">
        <f t="shared" ca="1" si="11"/>
        <v>1.2903062126524643</v>
      </c>
      <c r="R32" s="1">
        <f t="shared" ca="1" si="12"/>
        <v>992</v>
      </c>
      <c r="S32" s="1"/>
      <c r="T32" s="1">
        <f t="shared" ca="1" si="13"/>
        <v>0.11245957588695159</v>
      </c>
      <c r="U32" s="1">
        <f t="shared" ca="1" si="14"/>
        <v>383</v>
      </c>
      <c r="V32" s="1">
        <f t="shared" ca="1" si="15"/>
        <v>14</v>
      </c>
      <c r="W32" s="1"/>
      <c r="X32" s="1">
        <f t="shared" ca="1" si="16"/>
        <v>9.0687980172507991</v>
      </c>
      <c r="Y32" s="1">
        <f t="shared" ca="1" si="17"/>
        <v>9.8286057700912241E-2</v>
      </c>
      <c r="Z32" s="1">
        <f t="shared" ca="1" si="18"/>
        <v>1850</v>
      </c>
      <c r="AB32" s="1">
        <f t="shared" ca="1" si="19"/>
        <v>3.2127670046217686E-2</v>
      </c>
      <c r="AC32" s="1">
        <f t="shared" ca="1" si="20"/>
        <v>702</v>
      </c>
      <c r="AD32" s="1">
        <f t="shared" ca="1" si="21"/>
        <v>5.6717462265962054E-3</v>
      </c>
      <c r="AE32" s="1"/>
      <c r="AF32" s="1">
        <f t="shared" ca="1" si="22"/>
        <v>0.27871475563445741</v>
      </c>
      <c r="AG32" s="1">
        <f t="shared" ca="1" si="23"/>
        <v>662</v>
      </c>
      <c r="AH32" s="1">
        <f t="shared" ca="1" si="24"/>
        <v>6.6545690482911705E-3</v>
      </c>
      <c r="AJ32" s="1">
        <f t="shared" ca="1" si="25"/>
        <v>0.61764083942932269</v>
      </c>
      <c r="AK32" s="1">
        <f t="shared" ca="1" si="26"/>
        <v>4.3849155417100523E-3</v>
      </c>
      <c r="AL32" s="1"/>
      <c r="AM32" s="1">
        <f t="shared" ca="1" si="27"/>
        <v>0.13275132732093783</v>
      </c>
      <c r="AN32" s="1">
        <f t="shared" ca="1" si="28"/>
        <v>13</v>
      </c>
      <c r="AO32" s="1">
        <f t="shared" ca="1" si="29"/>
        <v>13</v>
      </c>
    </row>
    <row r="33" spans="2:41" x14ac:dyDescent="0.25">
      <c r="B33">
        <f t="shared" ca="1" si="0"/>
        <v>905</v>
      </c>
      <c r="C33">
        <f t="shared" ca="1" si="1"/>
        <v>31</v>
      </c>
      <c r="D33">
        <f t="shared" ca="1" si="2"/>
        <v>3.1525414753580762E-2</v>
      </c>
      <c r="F33" s="1">
        <f t="shared" ca="1" si="3"/>
        <v>14</v>
      </c>
      <c r="G33" s="1">
        <f t="shared" ca="1" si="4"/>
        <v>30</v>
      </c>
      <c r="H33" s="1">
        <f t="shared" ca="1" si="5"/>
        <v>13</v>
      </c>
      <c r="I33" s="1"/>
      <c r="J33" s="1">
        <f t="shared" ca="1" si="6"/>
        <v>17</v>
      </c>
      <c r="K33" s="1">
        <f t="shared" ca="1" si="7"/>
        <v>1.7117479493071699</v>
      </c>
      <c r="L33" s="1">
        <f t="shared" ca="1" si="8"/>
        <v>29</v>
      </c>
      <c r="M33" s="1"/>
      <c r="N33" s="1">
        <f t="shared" ca="1" si="9"/>
        <v>902</v>
      </c>
      <c r="O33" s="1">
        <f t="shared" ca="1" si="10"/>
        <v>31</v>
      </c>
      <c r="P33" s="1"/>
      <c r="Q33" s="1">
        <f t="shared" ca="1" si="11"/>
        <v>2.1430402963750637</v>
      </c>
      <c r="R33" s="1">
        <f t="shared" ca="1" si="12"/>
        <v>588</v>
      </c>
      <c r="S33" s="1"/>
      <c r="T33" s="1">
        <f t="shared" ca="1" si="13"/>
        <v>1.6393666391021765E-2</v>
      </c>
      <c r="U33" s="1">
        <f t="shared" ca="1" si="14"/>
        <v>234</v>
      </c>
      <c r="V33" s="1">
        <f t="shared" ca="1" si="15"/>
        <v>39</v>
      </c>
      <c r="W33" s="1"/>
      <c r="X33" s="1">
        <f t="shared" ca="1" si="16"/>
        <v>9.3617522128283692</v>
      </c>
      <c r="Y33" s="1">
        <f t="shared" ca="1" si="17"/>
        <v>0.83967362823028024</v>
      </c>
      <c r="Z33" s="1">
        <f t="shared" ca="1" si="18"/>
        <v>1048</v>
      </c>
      <c r="AB33" s="1">
        <f t="shared" ca="1" si="19"/>
        <v>0.56109649948309448</v>
      </c>
      <c r="AC33" s="1">
        <f t="shared" ca="1" si="20"/>
        <v>431</v>
      </c>
      <c r="AD33" s="1">
        <f t="shared" ca="1" si="21"/>
        <v>1.2869150456186129E-3</v>
      </c>
      <c r="AE33" s="1"/>
      <c r="AF33" s="1">
        <f t="shared" ca="1" si="22"/>
        <v>0.56886900359312409</v>
      </c>
      <c r="AG33" s="1">
        <f t="shared" ca="1" si="23"/>
        <v>470</v>
      </c>
      <c r="AH33" s="1">
        <f t="shared" ca="1" si="24"/>
        <v>6.16339703503578E-3</v>
      </c>
      <c r="AJ33" s="1">
        <f t="shared" ca="1" si="25"/>
        <v>0.72640667407332971</v>
      </c>
      <c r="AK33" s="1">
        <f t="shared" ca="1" si="26"/>
        <v>9.3149737814449633E-3</v>
      </c>
      <c r="AL33" s="1"/>
      <c r="AM33" s="1">
        <f t="shared" ca="1" si="27"/>
        <v>0.13062520699025709</v>
      </c>
      <c r="AN33" s="1">
        <f t="shared" ca="1" si="28"/>
        <v>36</v>
      </c>
      <c r="AO33" s="1">
        <f t="shared" ca="1" si="29"/>
        <v>3</v>
      </c>
    </row>
    <row r="34" spans="2:41" x14ac:dyDescent="0.25">
      <c r="B34">
        <f t="shared" ca="1" si="0"/>
        <v>771</v>
      </c>
      <c r="C34">
        <f t="shared" ca="1" si="1"/>
        <v>31</v>
      </c>
      <c r="D34">
        <f t="shared" ca="1" si="2"/>
        <v>9.7051008618067452E-2</v>
      </c>
      <c r="F34" s="1">
        <f t="shared" ca="1" si="3"/>
        <v>23</v>
      </c>
      <c r="G34" s="1">
        <f t="shared" ca="1" si="4"/>
        <v>18</v>
      </c>
      <c r="H34" s="1">
        <f t="shared" ca="1" si="5"/>
        <v>12</v>
      </c>
      <c r="I34" s="1"/>
      <c r="J34" s="1">
        <f t="shared" ca="1" si="6"/>
        <v>34</v>
      </c>
      <c r="K34" s="1">
        <f t="shared" ca="1" si="7"/>
        <v>2.8103301646300962</v>
      </c>
      <c r="L34" s="1">
        <f t="shared" ca="1" si="8"/>
        <v>4</v>
      </c>
      <c r="M34" s="1"/>
      <c r="N34" s="1">
        <f t="shared" ca="1" si="9"/>
        <v>917</v>
      </c>
      <c r="O34" s="1">
        <f t="shared" ca="1" si="10"/>
        <v>33</v>
      </c>
      <c r="P34" s="1"/>
      <c r="Q34" s="1">
        <f t="shared" ca="1" si="11"/>
        <v>3.8066022838738691</v>
      </c>
      <c r="R34" s="1">
        <f t="shared" ca="1" si="12"/>
        <v>302</v>
      </c>
      <c r="S34" s="1"/>
      <c r="T34" s="1">
        <f t="shared" ca="1" si="13"/>
        <v>6.2662030311062072E-2</v>
      </c>
      <c r="U34" s="1">
        <f t="shared" ca="1" si="14"/>
        <v>303</v>
      </c>
      <c r="V34" s="1">
        <f t="shared" ca="1" si="15"/>
        <v>33</v>
      </c>
      <c r="W34" s="1"/>
      <c r="X34" s="1">
        <f t="shared" ca="1" si="16"/>
        <v>0.67478759939716981</v>
      </c>
      <c r="Y34" s="1">
        <f t="shared" ca="1" si="17"/>
        <v>0.3670481629761953</v>
      </c>
      <c r="Z34" s="1">
        <f t="shared" ca="1" si="18"/>
        <v>664</v>
      </c>
      <c r="AB34" s="1">
        <f t="shared" ca="1" si="19"/>
        <v>0.33146736126138548</v>
      </c>
      <c r="AC34" s="1">
        <f t="shared" ca="1" si="20"/>
        <v>708</v>
      </c>
      <c r="AD34" s="1">
        <f t="shared" ca="1" si="21"/>
        <v>8.0538842744934842E-3</v>
      </c>
      <c r="AE34" s="1"/>
      <c r="AF34" s="1">
        <f t="shared" ca="1" si="22"/>
        <v>0.73127942948775548</v>
      </c>
      <c r="AG34" s="1">
        <f t="shared" ca="1" si="23"/>
        <v>201</v>
      </c>
      <c r="AH34" s="1">
        <f t="shared" ca="1" si="24"/>
        <v>2.2099477168264843E-3</v>
      </c>
      <c r="AJ34" s="1">
        <f t="shared" ca="1" si="25"/>
        <v>0.49150016348908143</v>
      </c>
      <c r="AK34" s="1">
        <f t="shared" ca="1" si="26"/>
        <v>9.8961953127424552E-3</v>
      </c>
      <c r="AL34" s="1"/>
      <c r="AM34" s="1">
        <f t="shared" ca="1" si="27"/>
        <v>0.14905175167864221</v>
      </c>
      <c r="AN34" s="1">
        <f t="shared" ca="1" si="28"/>
        <v>33</v>
      </c>
      <c r="AO34" s="1">
        <f t="shared" ca="1" si="29"/>
        <v>-1</v>
      </c>
    </row>
    <row r="35" spans="2:41" x14ac:dyDescent="0.25">
      <c r="B35">
        <f t="shared" ca="1" si="0"/>
        <v>34</v>
      </c>
      <c r="C35">
        <f t="shared" ca="1" si="1"/>
        <v>18</v>
      </c>
      <c r="D35">
        <f t="shared" ca="1" si="2"/>
        <v>0.1827617711927958</v>
      </c>
      <c r="F35" s="1">
        <f t="shared" ca="1" si="3"/>
        <v>27</v>
      </c>
      <c r="G35" s="1">
        <f t="shared" ca="1" si="4"/>
        <v>26</v>
      </c>
      <c r="H35" s="1">
        <f t="shared" ca="1" si="5"/>
        <v>11</v>
      </c>
      <c r="I35" s="1"/>
      <c r="J35" s="1">
        <f t="shared" ca="1" si="6"/>
        <v>6</v>
      </c>
      <c r="K35" s="1">
        <f t="shared" ca="1" si="7"/>
        <v>2.7806706979066105</v>
      </c>
      <c r="L35" s="1">
        <f t="shared" ca="1" si="8"/>
        <v>21</v>
      </c>
      <c r="M35" s="1"/>
      <c r="N35" s="1">
        <f t="shared" ca="1" si="9"/>
        <v>488</v>
      </c>
      <c r="O35" s="1">
        <f t="shared" ca="1" si="10"/>
        <v>22</v>
      </c>
      <c r="P35" s="1"/>
      <c r="Q35" s="1">
        <f t="shared" ca="1" si="11"/>
        <v>3.4195857583925497</v>
      </c>
      <c r="R35" s="1">
        <f t="shared" ca="1" si="12"/>
        <v>359</v>
      </c>
      <c r="S35" s="1"/>
      <c r="T35" s="1">
        <f t="shared" ca="1" si="13"/>
        <v>0.17032677772035501</v>
      </c>
      <c r="U35" s="1">
        <f t="shared" ca="1" si="14"/>
        <v>78</v>
      </c>
      <c r="V35" s="1">
        <f t="shared" ca="1" si="15"/>
        <v>41</v>
      </c>
      <c r="W35" s="1"/>
      <c r="X35" s="1">
        <f t="shared" ca="1" si="16"/>
        <v>5.6710613960514014</v>
      </c>
      <c r="Y35" s="1">
        <f t="shared" ca="1" si="17"/>
        <v>0.67920352548354235</v>
      </c>
      <c r="Z35" s="1">
        <f t="shared" ca="1" si="18"/>
        <v>170</v>
      </c>
      <c r="AB35" s="1">
        <f t="shared" ca="1" si="19"/>
        <v>0.84541779345486501</v>
      </c>
      <c r="AC35" s="1">
        <f t="shared" ca="1" si="20"/>
        <v>223</v>
      </c>
      <c r="AD35" s="1">
        <f t="shared" ca="1" si="21"/>
        <v>8.9172635609950993E-3</v>
      </c>
      <c r="AE35" s="1"/>
      <c r="AF35" s="1">
        <f t="shared" ca="1" si="22"/>
        <v>0.17891031249891676</v>
      </c>
      <c r="AG35" s="1">
        <f t="shared" ca="1" si="23"/>
        <v>616</v>
      </c>
      <c r="AH35" s="1">
        <f t="shared" ca="1" si="24"/>
        <v>9.5236703844698567E-3</v>
      </c>
      <c r="AJ35" s="1">
        <f t="shared" ca="1" si="25"/>
        <v>0.57161827891348849</v>
      </c>
      <c r="AK35" s="1">
        <f t="shared" ca="1" si="26"/>
        <v>3.3580893256347148E-3</v>
      </c>
      <c r="AL35" s="1"/>
      <c r="AM35" s="1">
        <f t="shared" ca="1" si="27"/>
        <v>0.14688714610416287</v>
      </c>
      <c r="AN35" s="1">
        <f t="shared" ca="1" si="28"/>
        <v>30</v>
      </c>
      <c r="AO35" s="1">
        <f t="shared" ca="1" si="29"/>
        <v>14</v>
      </c>
    </row>
    <row r="36" spans="2:41" x14ac:dyDescent="0.25">
      <c r="B36">
        <f t="shared" ca="1" si="0"/>
        <v>715</v>
      </c>
      <c r="C36">
        <f t="shared" ca="1" si="1"/>
        <v>24</v>
      </c>
      <c r="D36">
        <f t="shared" ca="1" si="2"/>
        <v>0.29459797174630153</v>
      </c>
      <c r="F36" s="1">
        <f t="shared" ca="1" si="3"/>
        <v>34</v>
      </c>
      <c r="G36" s="1">
        <f t="shared" ca="1" si="4"/>
        <v>18</v>
      </c>
      <c r="H36" s="1">
        <f t="shared" ca="1" si="5"/>
        <v>12</v>
      </c>
      <c r="I36" s="1"/>
      <c r="J36" s="1">
        <f t="shared" ca="1" si="6"/>
        <v>29</v>
      </c>
      <c r="K36" s="1">
        <f t="shared" ca="1" si="7"/>
        <v>1.5421318112196059</v>
      </c>
      <c r="L36" s="1">
        <f t="shared" ca="1" si="8"/>
        <v>8</v>
      </c>
      <c r="M36" s="1"/>
      <c r="N36" s="1">
        <f t="shared" ca="1" si="9"/>
        <v>875</v>
      </c>
      <c r="O36" s="1">
        <f t="shared" ca="1" si="10"/>
        <v>28</v>
      </c>
      <c r="P36" s="1"/>
      <c r="Q36" s="1">
        <f t="shared" ca="1" si="11"/>
        <v>0.55847662221324057</v>
      </c>
      <c r="R36" s="1">
        <f t="shared" ca="1" si="12"/>
        <v>1026</v>
      </c>
      <c r="S36" s="1"/>
      <c r="T36" s="1">
        <f t="shared" ca="1" si="13"/>
        <v>1.8657373228320753E-2</v>
      </c>
      <c r="U36" s="1">
        <f t="shared" ca="1" si="14"/>
        <v>354</v>
      </c>
      <c r="V36" s="1">
        <f t="shared" ca="1" si="15"/>
        <v>39</v>
      </c>
      <c r="W36" s="1"/>
      <c r="X36" s="1">
        <f t="shared" ca="1" si="16"/>
        <v>9.4208090070395301</v>
      </c>
      <c r="Y36" s="1">
        <f t="shared" ca="1" si="17"/>
        <v>0.50277491518400064</v>
      </c>
      <c r="Z36" s="1">
        <f t="shared" ca="1" si="18"/>
        <v>1567</v>
      </c>
      <c r="AB36" s="1">
        <f t="shared" ca="1" si="19"/>
        <v>0.42047794990508147</v>
      </c>
      <c r="AC36" s="1">
        <f t="shared" ca="1" si="20"/>
        <v>779</v>
      </c>
      <c r="AD36" s="1">
        <f t="shared" ca="1" si="21"/>
        <v>1.2621921043932131E-3</v>
      </c>
      <c r="AE36" s="1"/>
      <c r="AF36" s="1">
        <f t="shared" ca="1" si="22"/>
        <v>0.48811729547644389</v>
      </c>
      <c r="AG36" s="1">
        <f t="shared" ca="1" si="23"/>
        <v>626</v>
      </c>
      <c r="AH36" s="1">
        <f t="shared" ca="1" si="24"/>
        <v>9.0731250320154541E-3</v>
      </c>
      <c r="AJ36" s="1">
        <f t="shared" ca="1" si="25"/>
        <v>0.27635106452810698</v>
      </c>
      <c r="AK36" s="1">
        <f t="shared" ca="1" si="26"/>
        <v>7.794799527970713E-4</v>
      </c>
      <c r="AL36" s="1"/>
      <c r="AM36" s="1">
        <f t="shared" ca="1" si="27"/>
        <v>4.0015228164659432E-2</v>
      </c>
      <c r="AN36" s="1">
        <f t="shared" ca="1" si="28"/>
        <v>45</v>
      </c>
      <c r="AO36" s="1">
        <f t="shared" ca="1" si="29"/>
        <v>9</v>
      </c>
    </row>
    <row r="37" spans="2:41" x14ac:dyDescent="0.25">
      <c r="B37">
        <f t="shared" ca="1" si="0"/>
        <v>341</v>
      </c>
      <c r="C37">
        <f t="shared" ca="1" si="1"/>
        <v>16</v>
      </c>
      <c r="D37">
        <f t="shared" ca="1" si="2"/>
        <v>0.27790814213600168</v>
      </c>
      <c r="F37" s="1">
        <f t="shared" ca="1" si="3"/>
        <v>26</v>
      </c>
      <c r="G37" s="1">
        <f t="shared" ca="1" si="4"/>
        <v>11</v>
      </c>
      <c r="H37" s="1">
        <f t="shared" ca="1" si="5"/>
        <v>3</v>
      </c>
      <c r="I37" s="1"/>
      <c r="J37" s="1">
        <f t="shared" ca="1" si="6"/>
        <v>23</v>
      </c>
      <c r="K37" s="1">
        <f t="shared" ca="1" si="7"/>
        <v>1.2515539482355109</v>
      </c>
      <c r="L37" s="1">
        <f t="shared" ca="1" si="8"/>
        <v>10</v>
      </c>
      <c r="M37" s="1"/>
      <c r="N37" s="1">
        <f t="shared" ca="1" si="9"/>
        <v>938</v>
      </c>
      <c r="O37" s="1">
        <f t="shared" ca="1" si="10"/>
        <v>20</v>
      </c>
      <c r="P37" s="1"/>
      <c r="Q37" s="1">
        <f t="shared" ca="1" si="11"/>
        <v>2.2806645094997888</v>
      </c>
      <c r="R37" s="1">
        <f t="shared" ca="1" si="12"/>
        <v>537</v>
      </c>
      <c r="S37" s="1"/>
      <c r="T37" s="1">
        <f t="shared" ca="1" si="13"/>
        <v>6.6913698554156756E-2</v>
      </c>
      <c r="U37" s="1">
        <f t="shared" ca="1" si="14"/>
        <v>348</v>
      </c>
      <c r="V37" s="1">
        <f t="shared" ca="1" si="15"/>
        <v>42</v>
      </c>
      <c r="W37" s="1"/>
      <c r="X37" s="1">
        <f t="shared" ca="1" si="16"/>
        <v>3.3759152523940377</v>
      </c>
      <c r="Y37" s="1">
        <f t="shared" ca="1" si="17"/>
        <v>0.70859677207435123</v>
      </c>
      <c r="Z37" s="1">
        <f t="shared" ca="1" si="18"/>
        <v>1797</v>
      </c>
      <c r="AB37" s="1">
        <f t="shared" ca="1" si="19"/>
        <v>9.5877010217481518E-2</v>
      </c>
      <c r="AC37" s="1">
        <f t="shared" ca="1" si="20"/>
        <v>476</v>
      </c>
      <c r="AD37" s="1">
        <f t="shared" ca="1" si="21"/>
        <v>2.8094517949045919E-3</v>
      </c>
      <c r="AE37" s="1"/>
      <c r="AF37" s="1">
        <f t="shared" ca="1" si="22"/>
        <v>0.75169677587711881</v>
      </c>
      <c r="AG37" s="1">
        <f t="shared" ca="1" si="23"/>
        <v>742</v>
      </c>
      <c r="AH37" s="1">
        <f t="shared" ca="1" si="24"/>
        <v>9.7802123694839573E-3</v>
      </c>
      <c r="AJ37" s="1">
        <f t="shared" ca="1" si="25"/>
        <v>0.83570701417626825</v>
      </c>
      <c r="AK37" s="1">
        <f t="shared" ca="1" si="26"/>
        <v>6.221728478536661E-3</v>
      </c>
      <c r="AL37" s="1"/>
      <c r="AM37" s="1">
        <f t="shared" ca="1" si="27"/>
        <v>0.19770898008941609</v>
      </c>
      <c r="AN37" s="1">
        <f t="shared" ca="1" si="28"/>
        <v>51</v>
      </c>
      <c r="AO37" s="1">
        <f t="shared" ca="1" si="29"/>
        <v>2</v>
      </c>
    </row>
    <row r="38" spans="2:41" x14ac:dyDescent="0.25">
      <c r="B38">
        <f t="shared" ca="1" si="0"/>
        <v>856</v>
      </c>
      <c r="C38">
        <f t="shared" ca="1" si="1"/>
        <v>8</v>
      </c>
      <c r="D38">
        <f t="shared" ca="1" si="2"/>
        <v>7.3345487167423201E-2</v>
      </c>
      <c r="F38" s="1">
        <f t="shared" ca="1" si="3"/>
        <v>3</v>
      </c>
      <c r="G38" s="1">
        <f t="shared" ca="1" si="4"/>
        <v>30</v>
      </c>
      <c r="H38" s="1">
        <f t="shared" ca="1" si="5"/>
        <v>10</v>
      </c>
      <c r="I38" s="1"/>
      <c r="J38" s="1">
        <f t="shared" ca="1" si="6"/>
        <v>29</v>
      </c>
      <c r="K38" s="1">
        <f t="shared" ca="1" si="7"/>
        <v>1.2040573992910728</v>
      </c>
      <c r="L38" s="1">
        <f t="shared" ca="1" si="8"/>
        <v>10</v>
      </c>
      <c r="M38" s="1"/>
      <c r="N38" s="1">
        <f t="shared" ca="1" si="9"/>
        <v>852</v>
      </c>
      <c r="O38" s="1">
        <f t="shared" ca="1" si="10"/>
        <v>50</v>
      </c>
      <c r="P38" s="1"/>
      <c r="Q38" s="1">
        <f t="shared" ca="1" si="11"/>
        <v>2.5746439588866381</v>
      </c>
      <c r="R38" s="1">
        <f t="shared" ca="1" si="12"/>
        <v>610</v>
      </c>
      <c r="S38" s="1"/>
      <c r="T38" s="1">
        <f t="shared" ca="1" si="13"/>
        <v>0.15443736210265269</v>
      </c>
      <c r="U38" s="1">
        <f t="shared" ca="1" si="14"/>
        <v>385</v>
      </c>
      <c r="V38" s="1">
        <f t="shared" ca="1" si="15"/>
        <v>37</v>
      </c>
      <c r="W38" s="1"/>
      <c r="X38" s="1">
        <f t="shared" ca="1" si="16"/>
        <v>8.9225346335158289</v>
      </c>
      <c r="Y38" s="1">
        <f t="shared" ca="1" si="17"/>
        <v>0.9140485231365042</v>
      </c>
      <c r="Z38" s="1">
        <f t="shared" ca="1" si="18"/>
        <v>873</v>
      </c>
      <c r="AB38" s="1">
        <f t="shared" ca="1" si="19"/>
        <v>4.1515315156009959E-2</v>
      </c>
      <c r="AC38" s="1">
        <f t="shared" ca="1" si="20"/>
        <v>247</v>
      </c>
      <c r="AD38" s="1">
        <f t="shared" ca="1" si="21"/>
        <v>2.6076024624527103E-3</v>
      </c>
      <c r="AE38" s="1"/>
      <c r="AF38" s="1">
        <f t="shared" ca="1" si="22"/>
        <v>0.44784137749183195</v>
      </c>
      <c r="AG38" s="1">
        <f t="shared" ca="1" si="23"/>
        <v>874</v>
      </c>
      <c r="AH38" s="1">
        <f t="shared" ca="1" si="24"/>
        <v>1.0377975564688569E-3</v>
      </c>
      <c r="AJ38" s="1">
        <f t="shared" ca="1" si="25"/>
        <v>0.30865811819231115</v>
      </c>
      <c r="AK38" s="1">
        <f t="shared" ca="1" si="26"/>
        <v>2.8959005489188538E-3</v>
      </c>
      <c r="AL38" s="1"/>
      <c r="AM38" s="1">
        <f t="shared" ca="1" si="27"/>
        <v>8.9914114113896437E-2</v>
      </c>
      <c r="AN38" s="1">
        <f t="shared" ca="1" si="28"/>
        <v>36</v>
      </c>
      <c r="AO38" s="1">
        <f t="shared" ca="1" si="29"/>
        <v>7</v>
      </c>
    </row>
    <row r="39" spans="2:41" x14ac:dyDescent="0.25">
      <c r="B39">
        <f t="shared" ca="1" si="0"/>
        <v>143</v>
      </c>
      <c r="C39">
        <f t="shared" ca="1" si="1"/>
        <v>33</v>
      </c>
      <c r="D39">
        <f t="shared" ca="1" si="2"/>
        <v>0.2445610076112022</v>
      </c>
      <c r="F39" s="1">
        <f t="shared" ca="1" si="3"/>
        <v>46</v>
      </c>
      <c r="G39" s="1">
        <f t="shared" ca="1" si="4"/>
        <v>25</v>
      </c>
      <c r="H39" s="1">
        <f t="shared" ca="1" si="5"/>
        <v>10</v>
      </c>
      <c r="I39" s="1"/>
      <c r="J39" s="1">
        <f t="shared" ca="1" si="6"/>
        <v>6</v>
      </c>
      <c r="K39" s="1">
        <f t="shared" ca="1" si="7"/>
        <v>2.3735241531450093</v>
      </c>
      <c r="L39" s="1">
        <f t="shared" ca="1" si="8"/>
        <v>29</v>
      </c>
      <c r="M39" s="1"/>
      <c r="N39" s="1">
        <f t="shared" ca="1" si="9"/>
        <v>486</v>
      </c>
      <c r="O39" s="1">
        <f t="shared" ca="1" si="10"/>
        <v>31</v>
      </c>
      <c r="P39" s="1"/>
      <c r="Q39" s="1">
        <f t="shared" ca="1" si="11"/>
        <v>2.5250205602382967</v>
      </c>
      <c r="R39" s="1">
        <f t="shared" ca="1" si="12"/>
        <v>326</v>
      </c>
      <c r="S39" s="1"/>
      <c r="T39" s="1">
        <f t="shared" ca="1" si="13"/>
        <v>0.1457542950148788</v>
      </c>
      <c r="U39" s="1">
        <f t="shared" ca="1" si="14"/>
        <v>212</v>
      </c>
      <c r="V39" s="1">
        <f t="shared" ca="1" si="15"/>
        <v>46</v>
      </c>
      <c r="W39" s="1"/>
      <c r="X39" s="1">
        <f t="shared" ca="1" si="16"/>
        <v>7.9296833734694863</v>
      </c>
      <c r="Y39" s="1">
        <f t="shared" ca="1" si="17"/>
        <v>0.94500746412450976</v>
      </c>
      <c r="Z39" s="1">
        <f t="shared" ca="1" si="18"/>
        <v>550</v>
      </c>
      <c r="AB39" s="1">
        <f t="shared" ca="1" si="19"/>
        <v>0.34423344277435469</v>
      </c>
      <c r="AC39" s="1">
        <f t="shared" ca="1" si="20"/>
        <v>663</v>
      </c>
      <c r="AD39" s="1">
        <f t="shared" ca="1" si="21"/>
        <v>6.46894131167509E-3</v>
      </c>
      <c r="AE39" s="1"/>
      <c r="AF39" s="1">
        <f t="shared" ca="1" si="22"/>
        <v>0.46935015815711767</v>
      </c>
      <c r="AG39" s="1">
        <f t="shared" ca="1" si="23"/>
        <v>903</v>
      </c>
      <c r="AH39" s="1">
        <f t="shared" ca="1" si="24"/>
        <v>9.9736070219979728E-5</v>
      </c>
      <c r="AJ39" s="1">
        <f t="shared" ca="1" si="25"/>
        <v>0.38319057690874347</v>
      </c>
      <c r="AK39" s="1">
        <f t="shared" ca="1" si="26"/>
        <v>5.7534867228004232E-3</v>
      </c>
      <c r="AL39" s="1"/>
      <c r="AM39" s="1">
        <f t="shared" ca="1" si="27"/>
        <v>2.4959724350461367E-2</v>
      </c>
      <c r="AN39" s="1">
        <f t="shared" ca="1" si="28"/>
        <v>70</v>
      </c>
      <c r="AO39" s="1">
        <f t="shared" ca="1" si="29"/>
        <v>5</v>
      </c>
    </row>
    <row r="40" spans="2:41" x14ac:dyDescent="0.25">
      <c r="B40">
        <f t="shared" ca="1" si="0"/>
        <v>19</v>
      </c>
      <c r="C40">
        <f t="shared" ca="1" si="1"/>
        <v>30</v>
      </c>
      <c r="D40">
        <f t="shared" ca="1" si="2"/>
        <v>8.1155527357384835E-2</v>
      </c>
      <c r="F40" s="1">
        <f t="shared" ca="1" si="3"/>
        <v>31</v>
      </c>
      <c r="G40" s="1">
        <f t="shared" ca="1" si="4"/>
        <v>24</v>
      </c>
      <c r="H40" s="1">
        <f t="shared" ca="1" si="5"/>
        <v>11</v>
      </c>
      <c r="I40" s="1"/>
      <c r="J40" s="1">
        <f t="shared" ca="1" si="6"/>
        <v>37</v>
      </c>
      <c r="K40" s="1">
        <f t="shared" ca="1" si="7"/>
        <v>2.9675938039646317</v>
      </c>
      <c r="L40" s="1">
        <f t="shared" ca="1" si="8"/>
        <v>17</v>
      </c>
      <c r="M40" s="1"/>
      <c r="N40" s="1">
        <f t="shared" ca="1" si="9"/>
        <v>178</v>
      </c>
      <c r="O40" s="1">
        <f t="shared" ca="1" si="10"/>
        <v>33</v>
      </c>
      <c r="P40" s="1"/>
      <c r="Q40" s="1">
        <f t="shared" ca="1" si="11"/>
        <v>4.6499506066398872</v>
      </c>
      <c r="R40" s="1">
        <f t="shared" ca="1" si="12"/>
        <v>1186</v>
      </c>
      <c r="S40" s="1"/>
      <c r="T40" s="1">
        <f t="shared" ca="1" si="13"/>
        <v>8.7696187442334664E-2</v>
      </c>
      <c r="U40" s="1">
        <f t="shared" ca="1" si="14"/>
        <v>226</v>
      </c>
      <c r="V40" s="1">
        <f t="shared" ca="1" si="15"/>
        <v>31</v>
      </c>
      <c r="W40" s="1"/>
      <c r="X40" s="1">
        <f t="shared" ca="1" si="16"/>
        <v>5.2690953703500272</v>
      </c>
      <c r="Y40" s="1">
        <f t="shared" ca="1" si="17"/>
        <v>0.18048911129410808</v>
      </c>
      <c r="Z40" s="1">
        <f t="shared" ca="1" si="18"/>
        <v>1798</v>
      </c>
      <c r="AB40" s="1">
        <f t="shared" ca="1" si="19"/>
        <v>0.84291734873846069</v>
      </c>
      <c r="AC40" s="1">
        <f t="shared" ca="1" si="20"/>
        <v>917</v>
      </c>
      <c r="AD40" s="1">
        <f t="shared" ca="1" si="21"/>
        <v>5.3955369993310852E-3</v>
      </c>
      <c r="AE40" s="1"/>
      <c r="AF40" s="1">
        <f t="shared" ca="1" si="22"/>
        <v>0.18225656456839812</v>
      </c>
      <c r="AG40" s="1">
        <f t="shared" ca="1" si="23"/>
        <v>566</v>
      </c>
      <c r="AH40" s="1">
        <f t="shared" ca="1" si="24"/>
        <v>9.5407200912067712E-4</v>
      </c>
      <c r="AJ40" s="1">
        <f t="shared" ca="1" si="25"/>
        <v>0.85320402625888037</v>
      </c>
      <c r="AK40" s="1">
        <f t="shared" ca="1" si="26"/>
        <v>3.6403426197810524E-3</v>
      </c>
      <c r="AL40" s="1"/>
      <c r="AM40" s="1">
        <f t="shared" ca="1" si="27"/>
        <v>9.9378219203716311E-2</v>
      </c>
      <c r="AN40" s="1">
        <f t="shared" ca="1" si="28"/>
        <v>63</v>
      </c>
      <c r="AO40" s="1">
        <f t="shared" ca="1" si="29"/>
        <v>20</v>
      </c>
    </row>
    <row r="41" spans="2:41" x14ac:dyDescent="0.25">
      <c r="B41">
        <f t="shared" ca="1" si="0"/>
        <v>830</v>
      </c>
      <c r="C41">
        <f t="shared" ca="1" si="1"/>
        <v>32</v>
      </c>
      <c r="D41">
        <f t="shared" ca="1" si="2"/>
        <v>0.14169984082294224</v>
      </c>
      <c r="F41" s="1">
        <f t="shared" ca="1" si="3"/>
        <v>32</v>
      </c>
      <c r="G41" s="1">
        <f t="shared" ca="1" si="4"/>
        <v>21</v>
      </c>
      <c r="H41" s="1">
        <f t="shared" ca="1" si="5"/>
        <v>4</v>
      </c>
      <c r="I41" s="1"/>
      <c r="J41" s="1">
        <f t="shared" ca="1" si="6"/>
        <v>39</v>
      </c>
      <c r="K41" s="1">
        <f t="shared" ca="1" si="7"/>
        <v>2.1277883270075311</v>
      </c>
      <c r="L41" s="1">
        <f t="shared" ca="1" si="8"/>
        <v>12</v>
      </c>
      <c r="M41" s="1"/>
      <c r="N41" s="1">
        <f t="shared" ca="1" si="9"/>
        <v>608</v>
      </c>
      <c r="O41" s="1">
        <f t="shared" ca="1" si="10"/>
        <v>29</v>
      </c>
      <c r="P41" s="1"/>
      <c r="Q41" s="1">
        <f t="shared" ca="1" si="11"/>
        <v>2.0352408325935523</v>
      </c>
      <c r="R41" s="1">
        <f t="shared" ca="1" si="12"/>
        <v>902</v>
      </c>
      <c r="S41" s="1"/>
      <c r="T41" s="1">
        <f t="shared" ca="1" si="13"/>
        <v>4.730518814341976E-2</v>
      </c>
      <c r="U41" s="1">
        <f t="shared" ca="1" si="14"/>
        <v>174</v>
      </c>
      <c r="V41" s="1">
        <f t="shared" ca="1" si="15"/>
        <v>46</v>
      </c>
      <c r="W41" s="1"/>
      <c r="X41" s="1">
        <f t="shared" ca="1" si="16"/>
        <v>7.0848678015426003</v>
      </c>
      <c r="Y41" s="1">
        <f t="shared" ca="1" si="17"/>
        <v>0.93796076850092924</v>
      </c>
      <c r="Z41" s="1">
        <f t="shared" ca="1" si="18"/>
        <v>754</v>
      </c>
      <c r="AB41" s="1">
        <f t="shared" ca="1" si="19"/>
        <v>0.2992416294473173</v>
      </c>
      <c r="AC41" s="1">
        <f t="shared" ca="1" si="20"/>
        <v>367</v>
      </c>
      <c r="AD41" s="1">
        <f t="shared" ca="1" si="21"/>
        <v>5.0708649753254875E-3</v>
      </c>
      <c r="AE41" s="1"/>
      <c r="AF41" s="1">
        <f t="shared" ca="1" si="22"/>
        <v>0.72169940174955938</v>
      </c>
      <c r="AG41" s="1">
        <f t="shared" ca="1" si="23"/>
        <v>698</v>
      </c>
      <c r="AH41" s="1">
        <f t="shared" ca="1" si="24"/>
        <v>7.9992415472146718E-3</v>
      </c>
      <c r="AJ41" s="1">
        <f t="shared" ca="1" si="25"/>
        <v>0.94552095342407494</v>
      </c>
      <c r="AK41" s="1">
        <f t="shared" ca="1" si="26"/>
        <v>3.5689638704688976E-4</v>
      </c>
      <c r="AL41" s="1"/>
      <c r="AM41" s="1">
        <f t="shared" ca="1" si="27"/>
        <v>9.6828038504091676E-2</v>
      </c>
      <c r="AN41" s="1">
        <f t="shared" ca="1" si="28"/>
        <v>10</v>
      </c>
      <c r="AO41" s="1">
        <f t="shared" ca="1" si="29"/>
        <v>2</v>
      </c>
    </row>
    <row r="42" spans="2:41" x14ac:dyDescent="0.25">
      <c r="B42">
        <f t="shared" ca="1" si="0"/>
        <v>86</v>
      </c>
      <c r="C42">
        <f t="shared" ca="1" si="1"/>
        <v>23</v>
      </c>
      <c r="D42">
        <f t="shared" ca="1" si="2"/>
        <v>0.29083821369551416</v>
      </c>
      <c r="F42" s="1">
        <f t="shared" ca="1" si="3"/>
        <v>12</v>
      </c>
      <c r="G42" s="1">
        <f t="shared" ca="1" si="4"/>
        <v>16</v>
      </c>
      <c r="H42" s="1">
        <f t="shared" ca="1" si="5"/>
        <v>11</v>
      </c>
      <c r="I42" s="1"/>
      <c r="J42" s="1">
        <f t="shared" ca="1" si="6"/>
        <v>29</v>
      </c>
      <c r="K42" s="1">
        <f t="shared" ca="1" si="7"/>
        <v>2.9366199433219018</v>
      </c>
      <c r="L42" s="1">
        <f t="shared" ca="1" si="8"/>
        <v>12</v>
      </c>
      <c r="M42" s="1"/>
      <c r="N42" s="1">
        <f t="shared" ca="1" si="9"/>
        <v>990</v>
      </c>
      <c r="O42" s="1">
        <f t="shared" ca="1" si="10"/>
        <v>30</v>
      </c>
      <c r="P42" s="1"/>
      <c r="Q42" s="1">
        <f t="shared" ca="1" si="11"/>
        <v>1.1347105868439826</v>
      </c>
      <c r="R42" s="1">
        <f t="shared" ca="1" si="12"/>
        <v>1156</v>
      </c>
      <c r="S42" s="1"/>
      <c r="T42" s="1">
        <f t="shared" ca="1" si="13"/>
        <v>0.16557938591855831</v>
      </c>
      <c r="U42" s="1">
        <f t="shared" ca="1" si="14"/>
        <v>372</v>
      </c>
      <c r="V42" s="1">
        <f t="shared" ca="1" si="15"/>
        <v>24</v>
      </c>
      <c r="W42" s="1"/>
      <c r="X42" s="1">
        <f t="shared" ca="1" si="16"/>
        <v>5.5103142738234077</v>
      </c>
      <c r="Y42" s="1">
        <f t="shared" ca="1" si="17"/>
        <v>0.55431611597169794</v>
      </c>
      <c r="Z42" s="1">
        <f t="shared" ca="1" si="18"/>
        <v>435</v>
      </c>
      <c r="AB42" s="1">
        <f t="shared" ca="1" si="19"/>
        <v>0.4785854070853402</v>
      </c>
      <c r="AC42" s="1">
        <f t="shared" ca="1" si="20"/>
        <v>787</v>
      </c>
      <c r="AD42" s="1">
        <f t="shared" ca="1" si="21"/>
        <v>6.7287783349695048E-3</v>
      </c>
      <c r="AE42" s="1"/>
      <c r="AF42" s="1">
        <f t="shared" ca="1" si="22"/>
        <v>0.18372649752672823</v>
      </c>
      <c r="AG42" s="1">
        <f t="shared" ca="1" si="23"/>
        <v>322</v>
      </c>
      <c r="AH42" s="1">
        <f t="shared" ca="1" si="24"/>
        <v>4.0512067701798131E-3</v>
      </c>
      <c r="AJ42" s="1">
        <f t="shared" ca="1" si="25"/>
        <v>0.94266265287974749</v>
      </c>
      <c r="AK42" s="1">
        <f t="shared" ca="1" si="26"/>
        <v>7.5257478744469976E-3</v>
      </c>
      <c r="AL42" s="1"/>
      <c r="AM42" s="1">
        <f t="shared" ca="1" si="27"/>
        <v>0.15256160815776523</v>
      </c>
      <c r="AN42" s="1">
        <f t="shared" ca="1" si="28"/>
        <v>53</v>
      </c>
      <c r="AO42" s="1">
        <f t="shared" ca="1" si="29"/>
        <v>10</v>
      </c>
    </row>
    <row r="43" spans="2:41" x14ac:dyDescent="0.25">
      <c r="B43">
        <f t="shared" ca="1" si="0"/>
        <v>711</v>
      </c>
      <c r="C43">
        <f t="shared" ca="1" si="1"/>
        <v>14</v>
      </c>
      <c r="D43">
        <f t="shared" ca="1" si="2"/>
        <v>1.7376256720394636E-2</v>
      </c>
      <c r="F43" s="1">
        <f t="shared" ca="1" si="3"/>
        <v>17</v>
      </c>
      <c r="G43" s="1">
        <f t="shared" ca="1" si="4"/>
        <v>10</v>
      </c>
      <c r="H43" s="1">
        <f t="shared" ca="1" si="5"/>
        <v>9</v>
      </c>
      <c r="I43" s="1"/>
      <c r="J43" s="1">
        <f t="shared" ca="1" si="6"/>
        <v>31</v>
      </c>
      <c r="K43" s="1">
        <f t="shared" ca="1" si="7"/>
        <v>2.1427018717331325</v>
      </c>
      <c r="L43" s="1">
        <f t="shared" ca="1" si="8"/>
        <v>8</v>
      </c>
      <c r="M43" s="1"/>
      <c r="N43" s="1">
        <f t="shared" ca="1" si="9"/>
        <v>225</v>
      </c>
      <c r="O43" s="1">
        <f t="shared" ca="1" si="10"/>
        <v>38</v>
      </c>
      <c r="P43" s="1"/>
      <c r="Q43" s="1">
        <f t="shared" ca="1" si="11"/>
        <v>2.9610548559271783</v>
      </c>
      <c r="R43" s="1">
        <f t="shared" ca="1" si="12"/>
        <v>1151</v>
      </c>
      <c r="S43" s="1"/>
      <c r="T43" s="1">
        <f t="shared" ca="1" si="13"/>
        <v>0.11832879217572961</v>
      </c>
      <c r="U43" s="1">
        <f t="shared" ca="1" si="14"/>
        <v>421</v>
      </c>
      <c r="V43" s="1">
        <f t="shared" ca="1" si="15"/>
        <v>20</v>
      </c>
      <c r="W43" s="1"/>
      <c r="X43" s="1">
        <f t="shared" ca="1" si="16"/>
        <v>7.5993522817131351</v>
      </c>
      <c r="Y43" s="1">
        <f t="shared" ca="1" si="17"/>
        <v>0.29190138264365256</v>
      </c>
      <c r="Z43" s="1">
        <f t="shared" ca="1" si="18"/>
        <v>1972</v>
      </c>
      <c r="AB43" s="1">
        <f t="shared" ca="1" si="19"/>
        <v>0.99940627197696819</v>
      </c>
      <c r="AC43" s="1">
        <f t="shared" ca="1" si="20"/>
        <v>127</v>
      </c>
      <c r="AD43" s="1">
        <f t="shared" ca="1" si="21"/>
        <v>2.7885969005615242E-4</v>
      </c>
      <c r="AE43" s="1"/>
      <c r="AF43" s="1">
        <f t="shared" ca="1" si="22"/>
        <v>0.3218219988367883</v>
      </c>
      <c r="AG43" s="1">
        <f t="shared" ca="1" si="23"/>
        <v>426</v>
      </c>
      <c r="AH43" s="1">
        <f t="shared" ca="1" si="24"/>
        <v>9.1613197449237037E-3</v>
      </c>
      <c r="AJ43" s="1">
        <f t="shared" ca="1" si="25"/>
        <v>0.54855632828013445</v>
      </c>
      <c r="AK43" s="1">
        <f t="shared" ca="1" si="26"/>
        <v>4.8742882008620285E-3</v>
      </c>
      <c r="AL43" s="1"/>
      <c r="AM43" s="1">
        <f t="shared" ca="1" si="27"/>
        <v>0.11688764517548672</v>
      </c>
      <c r="AN43" s="1">
        <f t="shared" ca="1" si="28"/>
        <v>48</v>
      </c>
      <c r="AO43" s="1">
        <f t="shared" ca="1" si="29"/>
        <v>-1</v>
      </c>
    </row>
    <row r="44" spans="2:41" x14ac:dyDescent="0.25">
      <c r="B44">
        <f t="shared" ca="1" si="0"/>
        <v>785</v>
      </c>
      <c r="C44">
        <f t="shared" ca="1" si="1"/>
        <v>27</v>
      </c>
      <c r="D44">
        <f t="shared" ca="1" si="2"/>
        <v>5.3575075114754921E-2</v>
      </c>
      <c r="F44" s="1">
        <f t="shared" ca="1" si="3"/>
        <v>40</v>
      </c>
      <c r="G44" s="1">
        <f t="shared" ca="1" si="4"/>
        <v>14</v>
      </c>
      <c r="H44" s="1">
        <f t="shared" ca="1" si="5"/>
        <v>5</v>
      </c>
      <c r="I44" s="1"/>
      <c r="J44" s="1">
        <f t="shared" ca="1" si="6"/>
        <v>29</v>
      </c>
      <c r="K44" s="1">
        <f t="shared" ca="1" si="7"/>
        <v>2.1699225869535326</v>
      </c>
      <c r="L44" s="1">
        <f t="shared" ca="1" si="8"/>
        <v>20</v>
      </c>
      <c r="M44" s="1"/>
      <c r="N44" s="1">
        <f t="shared" ca="1" si="9"/>
        <v>574</v>
      </c>
      <c r="O44" s="1">
        <f t="shared" ca="1" si="10"/>
        <v>28</v>
      </c>
      <c r="P44" s="1"/>
      <c r="Q44" s="1">
        <f t="shared" ca="1" si="11"/>
        <v>0.36813807185260894</v>
      </c>
      <c r="R44" s="1">
        <f t="shared" ca="1" si="12"/>
        <v>966</v>
      </c>
      <c r="S44" s="1"/>
      <c r="T44" s="1">
        <f t="shared" ca="1" si="13"/>
        <v>0.13741383209651767</v>
      </c>
      <c r="U44" s="1">
        <f t="shared" ca="1" si="14"/>
        <v>335</v>
      </c>
      <c r="V44" s="1">
        <f t="shared" ca="1" si="15"/>
        <v>27</v>
      </c>
      <c r="W44" s="1"/>
      <c r="X44" s="1">
        <f t="shared" ca="1" si="16"/>
        <v>2.9869181376245155</v>
      </c>
      <c r="Y44" s="1">
        <f t="shared" ca="1" si="17"/>
        <v>0.99407919270099654</v>
      </c>
      <c r="Z44" s="1">
        <f t="shared" ca="1" si="18"/>
        <v>1065</v>
      </c>
      <c r="AB44" s="1">
        <f t="shared" ca="1" si="19"/>
        <v>0.42492935091593342</v>
      </c>
      <c r="AC44" s="1">
        <f t="shared" ca="1" si="20"/>
        <v>851</v>
      </c>
      <c r="AD44" s="1">
        <f t="shared" ca="1" si="21"/>
        <v>5.5955231870825697E-3</v>
      </c>
      <c r="AE44" s="1"/>
      <c r="AF44" s="1">
        <f t="shared" ca="1" si="22"/>
        <v>0.323810215030784</v>
      </c>
      <c r="AG44" s="1">
        <f t="shared" ca="1" si="23"/>
        <v>254</v>
      </c>
      <c r="AH44" s="1">
        <f t="shared" ca="1" si="24"/>
        <v>3.2796520728406108E-3</v>
      </c>
      <c r="AJ44" s="1">
        <f t="shared" ca="1" si="25"/>
        <v>0.28558989909167165</v>
      </c>
      <c r="AK44" s="1">
        <f t="shared" ca="1" si="26"/>
        <v>3.9600694518723079E-3</v>
      </c>
      <c r="AL44" s="1"/>
      <c r="AM44" s="1">
        <f t="shared" ca="1" si="27"/>
        <v>0.1951076171714882</v>
      </c>
      <c r="AN44" s="1">
        <f t="shared" ca="1" si="28"/>
        <v>14</v>
      </c>
      <c r="AO44" s="1">
        <f t="shared" ca="1" si="29"/>
        <v>13</v>
      </c>
    </row>
    <row r="45" spans="2:41" x14ac:dyDescent="0.25">
      <c r="B45">
        <f t="shared" ca="1" si="0"/>
        <v>360</v>
      </c>
      <c r="C45">
        <f t="shared" ca="1" si="1"/>
        <v>6</v>
      </c>
      <c r="D45">
        <f t="shared" ca="1" si="2"/>
        <v>0.12048245855257914</v>
      </c>
      <c r="F45" s="1">
        <f t="shared" ca="1" si="3"/>
        <v>40</v>
      </c>
      <c r="G45" s="1">
        <f t="shared" ca="1" si="4"/>
        <v>11</v>
      </c>
      <c r="H45" s="1">
        <f t="shared" ca="1" si="5"/>
        <v>13</v>
      </c>
      <c r="I45" s="1"/>
      <c r="J45" s="1">
        <f t="shared" ca="1" si="6"/>
        <v>19</v>
      </c>
      <c r="K45" s="1">
        <f t="shared" ca="1" si="7"/>
        <v>1.3123624185371663</v>
      </c>
      <c r="L45" s="1">
        <f t="shared" ca="1" si="8"/>
        <v>27</v>
      </c>
      <c r="M45" s="1"/>
      <c r="N45" s="1">
        <f t="shared" ca="1" si="9"/>
        <v>179</v>
      </c>
      <c r="O45" s="1">
        <f t="shared" ca="1" si="10"/>
        <v>37</v>
      </c>
      <c r="P45" s="1"/>
      <c r="Q45" s="1">
        <f t="shared" ca="1" si="11"/>
        <v>0.87988945218262882</v>
      </c>
      <c r="R45" s="1">
        <f t="shared" ca="1" si="12"/>
        <v>1150</v>
      </c>
      <c r="S45" s="1"/>
      <c r="T45" s="1">
        <f t="shared" ca="1" si="13"/>
        <v>2.0941080832751591E-2</v>
      </c>
      <c r="U45" s="1">
        <f t="shared" ca="1" si="14"/>
        <v>66</v>
      </c>
      <c r="V45" s="1">
        <f t="shared" ca="1" si="15"/>
        <v>45</v>
      </c>
      <c r="W45" s="1"/>
      <c r="X45" s="1">
        <f t="shared" ca="1" si="16"/>
        <v>3.8447639693011624</v>
      </c>
      <c r="Y45" s="1">
        <f t="shared" ca="1" si="17"/>
        <v>0.7850630114978896</v>
      </c>
      <c r="Z45" s="1">
        <f t="shared" ca="1" si="18"/>
        <v>1757</v>
      </c>
      <c r="AB45" s="1">
        <f t="shared" ca="1" si="19"/>
        <v>0.95715175283769427</v>
      </c>
      <c r="AC45" s="1">
        <f t="shared" ca="1" si="20"/>
        <v>276</v>
      </c>
      <c r="AD45" s="1">
        <f t="shared" ca="1" si="21"/>
        <v>7.9420811182090295E-3</v>
      </c>
      <c r="AE45" s="1"/>
      <c r="AF45" s="1">
        <f t="shared" ca="1" si="22"/>
        <v>0.41736578771184885</v>
      </c>
      <c r="AG45" s="1">
        <f t="shared" ca="1" si="23"/>
        <v>190</v>
      </c>
      <c r="AH45" s="1">
        <f t="shared" ca="1" si="24"/>
        <v>1.5819917803738214E-3</v>
      </c>
      <c r="AJ45" s="1">
        <f t="shared" ca="1" si="25"/>
        <v>0.55368050091872234</v>
      </c>
      <c r="AK45" s="1">
        <f t="shared" ca="1" si="26"/>
        <v>8.8864971111815606E-3</v>
      </c>
      <c r="AL45" s="1"/>
      <c r="AM45" s="1">
        <f t="shared" ca="1" si="27"/>
        <v>8.5173082176785691E-3</v>
      </c>
      <c r="AN45" s="1">
        <f t="shared" ca="1" si="28"/>
        <v>51</v>
      </c>
      <c r="AO45" s="1">
        <f t="shared" ca="1" si="29"/>
        <v>17</v>
      </c>
    </row>
    <row r="46" spans="2:41" x14ac:dyDescent="0.25">
      <c r="B46">
        <f t="shared" ca="1" si="0"/>
        <v>648</v>
      </c>
      <c r="C46">
        <f t="shared" ca="1" si="1"/>
        <v>41</v>
      </c>
      <c r="D46">
        <f t="shared" ca="1" si="2"/>
        <v>0.24472198016001709</v>
      </c>
      <c r="F46" s="1">
        <f t="shared" ca="1" si="3"/>
        <v>42</v>
      </c>
      <c r="G46" s="1">
        <f t="shared" ca="1" si="4"/>
        <v>9</v>
      </c>
      <c r="H46" s="1">
        <f t="shared" ca="1" si="5"/>
        <v>3</v>
      </c>
      <c r="I46" s="1"/>
      <c r="J46" s="1">
        <f t="shared" ca="1" si="6"/>
        <v>24</v>
      </c>
      <c r="K46" s="1">
        <f t="shared" ca="1" si="7"/>
        <v>1.8591904346154626</v>
      </c>
      <c r="L46" s="1">
        <f t="shared" ca="1" si="8"/>
        <v>21</v>
      </c>
      <c r="M46" s="1"/>
      <c r="N46" s="1">
        <f t="shared" ca="1" si="9"/>
        <v>531</v>
      </c>
      <c r="O46" s="1">
        <f t="shared" ca="1" si="10"/>
        <v>10</v>
      </c>
      <c r="P46" s="1"/>
      <c r="Q46" s="1">
        <f t="shared" ca="1" si="11"/>
        <v>4.4652342694658644</v>
      </c>
      <c r="R46" s="1">
        <f t="shared" ca="1" si="12"/>
        <v>386</v>
      </c>
      <c r="S46" s="1"/>
      <c r="T46" s="1">
        <f t="shared" ca="1" si="13"/>
        <v>6.4017047567701754E-2</v>
      </c>
      <c r="U46" s="1">
        <f t="shared" ca="1" si="14"/>
        <v>107</v>
      </c>
      <c r="V46" s="1">
        <f t="shared" ca="1" si="15"/>
        <v>35</v>
      </c>
      <c r="W46" s="1"/>
      <c r="X46" s="1">
        <f t="shared" ca="1" si="16"/>
        <v>6.8408302556933274</v>
      </c>
      <c r="Y46" s="1">
        <f t="shared" ca="1" si="17"/>
        <v>0.93567553895000299</v>
      </c>
      <c r="Z46" s="1">
        <f t="shared" ca="1" si="18"/>
        <v>1983</v>
      </c>
      <c r="AB46" s="1">
        <f t="shared" ca="1" si="19"/>
        <v>0.7851261717132203</v>
      </c>
      <c r="AC46" s="1">
        <f t="shared" ca="1" si="20"/>
        <v>676</v>
      </c>
      <c r="AD46" s="1">
        <f t="shared" ca="1" si="21"/>
        <v>6.2195837018108428E-3</v>
      </c>
      <c r="AE46" s="1"/>
      <c r="AF46" s="1">
        <f t="shared" ca="1" si="22"/>
        <v>0.74452457574047215</v>
      </c>
      <c r="AG46" s="1">
        <f t="shared" ca="1" si="23"/>
        <v>860</v>
      </c>
      <c r="AH46" s="1">
        <f t="shared" ca="1" si="24"/>
        <v>2.7251506215439838E-3</v>
      </c>
      <c r="AJ46" s="1">
        <f t="shared" ca="1" si="25"/>
        <v>0.52191833723931269</v>
      </c>
      <c r="AK46" s="1">
        <f t="shared" ca="1" si="26"/>
        <v>3.8689831724705069E-3</v>
      </c>
      <c r="AL46" s="1"/>
      <c r="AM46" s="1">
        <f t="shared" ca="1" si="27"/>
        <v>0.1292315635036338</v>
      </c>
      <c r="AN46" s="1">
        <f t="shared" ca="1" si="28"/>
        <v>53</v>
      </c>
      <c r="AO46" s="1">
        <f t="shared" ca="1" si="29"/>
        <v>15</v>
      </c>
    </row>
    <row r="47" spans="2:41" x14ac:dyDescent="0.25">
      <c r="B47">
        <f t="shared" ca="1" si="0"/>
        <v>838</v>
      </c>
      <c r="C47">
        <f t="shared" ca="1" si="1"/>
        <v>50</v>
      </c>
      <c r="D47">
        <f t="shared" ca="1" si="2"/>
        <v>4.3371489879422256E-2</v>
      </c>
      <c r="F47" s="1">
        <f t="shared" ca="1" si="3"/>
        <v>30</v>
      </c>
      <c r="G47" s="1">
        <f t="shared" ca="1" si="4"/>
        <v>27</v>
      </c>
      <c r="H47" s="1">
        <f t="shared" ca="1" si="5"/>
        <v>11</v>
      </c>
      <c r="I47" s="1"/>
      <c r="J47" s="1">
        <f t="shared" ca="1" si="6"/>
        <v>19</v>
      </c>
      <c r="K47" s="1">
        <f t="shared" ca="1" si="7"/>
        <v>2.2198111056673273</v>
      </c>
      <c r="L47" s="1">
        <f t="shared" ca="1" si="8"/>
        <v>15</v>
      </c>
      <c r="M47" s="1"/>
      <c r="N47" s="1">
        <f t="shared" ca="1" si="9"/>
        <v>966</v>
      </c>
      <c r="O47" s="1">
        <f t="shared" ca="1" si="10"/>
        <v>22</v>
      </c>
      <c r="P47" s="1"/>
      <c r="Q47" s="1">
        <f t="shared" ca="1" si="11"/>
        <v>4.5779067759496144</v>
      </c>
      <c r="R47" s="1">
        <f t="shared" ca="1" si="12"/>
        <v>588</v>
      </c>
      <c r="S47" s="1"/>
      <c r="T47" s="1">
        <f t="shared" ca="1" si="13"/>
        <v>0.15113624049920513</v>
      </c>
      <c r="U47" s="1">
        <f t="shared" ca="1" si="14"/>
        <v>383</v>
      </c>
      <c r="V47" s="1">
        <f t="shared" ca="1" si="15"/>
        <v>52</v>
      </c>
      <c r="W47" s="1"/>
      <c r="X47" s="1">
        <f t="shared" ca="1" si="16"/>
        <v>5.1120906671619428</v>
      </c>
      <c r="Y47" s="1">
        <f t="shared" ca="1" si="17"/>
        <v>0.37480483518424229</v>
      </c>
      <c r="Z47" s="1">
        <f t="shared" ca="1" si="18"/>
        <v>356</v>
      </c>
      <c r="AB47" s="1">
        <f t="shared" ca="1" si="19"/>
        <v>0.91642681919722524</v>
      </c>
      <c r="AC47" s="1">
        <f t="shared" ca="1" si="20"/>
        <v>147</v>
      </c>
      <c r="AD47" s="1">
        <f t="shared" ca="1" si="21"/>
        <v>4.2179014714582451E-4</v>
      </c>
      <c r="AE47" s="1"/>
      <c r="AF47" s="1">
        <f t="shared" ca="1" si="22"/>
        <v>0.69281837364461274</v>
      </c>
      <c r="AG47" s="1">
        <f t="shared" ca="1" si="23"/>
        <v>855</v>
      </c>
      <c r="AH47" s="1">
        <f t="shared" ca="1" si="24"/>
        <v>2.9570434670504872E-3</v>
      </c>
      <c r="AJ47" s="1">
        <f t="shared" ca="1" si="25"/>
        <v>0.42427628958953745</v>
      </c>
      <c r="AK47" s="1">
        <f t="shared" ca="1" si="26"/>
        <v>6.1315123745124458E-3</v>
      </c>
      <c r="AL47" s="1"/>
      <c r="AM47" s="1">
        <f t="shared" ca="1" si="27"/>
        <v>0.18830207013174913</v>
      </c>
      <c r="AN47" s="1">
        <f t="shared" ca="1" si="28"/>
        <v>78</v>
      </c>
      <c r="AO47" s="1">
        <f t="shared" ca="1" si="29"/>
        <v>18</v>
      </c>
    </row>
    <row r="48" spans="2:41" x14ac:dyDescent="0.25">
      <c r="B48">
        <f t="shared" ca="1" si="0"/>
        <v>266</v>
      </c>
      <c r="C48">
        <f t="shared" ca="1" si="1"/>
        <v>29</v>
      </c>
      <c r="D48">
        <f t="shared" ca="1" si="2"/>
        <v>0.29152803345222078</v>
      </c>
      <c r="F48" s="1">
        <f t="shared" ca="1" si="3"/>
        <v>24</v>
      </c>
      <c r="G48" s="1">
        <f t="shared" ca="1" si="4"/>
        <v>23</v>
      </c>
      <c r="H48" s="1">
        <f t="shared" ca="1" si="5"/>
        <v>1</v>
      </c>
      <c r="I48" s="1"/>
      <c r="J48" s="1">
        <f t="shared" ca="1" si="6"/>
        <v>13</v>
      </c>
      <c r="K48" s="1">
        <f t="shared" ca="1" si="7"/>
        <v>1.0253363544373404</v>
      </c>
      <c r="L48" s="1">
        <f t="shared" ca="1" si="8"/>
        <v>33</v>
      </c>
      <c r="M48" s="1"/>
      <c r="N48" s="1">
        <f t="shared" ca="1" si="9"/>
        <v>308</v>
      </c>
      <c r="O48" s="1">
        <f t="shared" ca="1" si="10"/>
        <v>27</v>
      </c>
      <c r="P48" s="1"/>
      <c r="Q48" s="1">
        <f t="shared" ca="1" si="11"/>
        <v>4.2217923981409342</v>
      </c>
      <c r="R48" s="1">
        <f t="shared" ca="1" si="12"/>
        <v>564</v>
      </c>
      <c r="S48" s="1"/>
      <c r="T48" s="1">
        <f t="shared" ca="1" si="13"/>
        <v>5.5422202263155508E-2</v>
      </c>
      <c r="U48" s="1">
        <f t="shared" ca="1" si="14"/>
        <v>158</v>
      </c>
      <c r="V48" s="1">
        <f t="shared" ca="1" si="15"/>
        <v>33</v>
      </c>
      <c r="W48" s="1"/>
      <c r="X48" s="1">
        <f t="shared" ca="1" si="16"/>
        <v>9.0751223279770112</v>
      </c>
      <c r="Y48" s="1">
        <f t="shared" ca="1" si="17"/>
        <v>0.61263312475925646</v>
      </c>
      <c r="Z48" s="1">
        <f t="shared" ca="1" si="18"/>
        <v>1061</v>
      </c>
      <c r="AB48" s="1">
        <f t="shared" ca="1" si="19"/>
        <v>6.088308681202164E-2</v>
      </c>
      <c r="AC48" s="1">
        <f t="shared" ca="1" si="20"/>
        <v>738</v>
      </c>
      <c r="AD48" s="1">
        <f t="shared" ca="1" si="21"/>
        <v>4.1929452394400659E-3</v>
      </c>
      <c r="AE48" s="1"/>
      <c r="AF48" s="1">
        <f t="shared" ca="1" si="22"/>
        <v>0.45000010208559593</v>
      </c>
      <c r="AG48" s="1">
        <f t="shared" ca="1" si="23"/>
        <v>897</v>
      </c>
      <c r="AH48" s="1">
        <f t="shared" ca="1" si="24"/>
        <v>2.2765766354215693E-3</v>
      </c>
      <c r="AJ48" s="1">
        <f t="shared" ca="1" si="25"/>
        <v>0.49603311885632162</v>
      </c>
      <c r="AK48" s="1">
        <f t="shared" ca="1" si="26"/>
        <v>2.4600104238120778E-3</v>
      </c>
      <c r="AL48" s="1"/>
      <c r="AM48" s="1">
        <f t="shared" ca="1" si="27"/>
        <v>9.5593661864169704E-2</v>
      </c>
      <c r="AN48" s="1">
        <f t="shared" ca="1" si="28"/>
        <v>75</v>
      </c>
      <c r="AO48" s="1">
        <f t="shared" ca="1" si="29"/>
        <v>12</v>
      </c>
    </row>
    <row r="49" spans="2:41" x14ac:dyDescent="0.25">
      <c r="B49">
        <f t="shared" ca="1" si="0"/>
        <v>778</v>
      </c>
      <c r="C49">
        <f t="shared" ca="1" si="1"/>
        <v>15</v>
      </c>
      <c r="D49">
        <f t="shared" ca="1" si="2"/>
        <v>2.6733763484338528E-2</v>
      </c>
      <c r="F49" s="1">
        <f t="shared" ca="1" si="3"/>
        <v>22</v>
      </c>
      <c r="G49" s="1">
        <f t="shared" ca="1" si="4"/>
        <v>8</v>
      </c>
      <c r="H49" s="1">
        <f t="shared" ca="1" si="5"/>
        <v>7</v>
      </c>
      <c r="I49" s="1"/>
      <c r="J49" s="1">
        <f t="shared" ca="1" si="6"/>
        <v>11</v>
      </c>
      <c r="K49" s="1">
        <f t="shared" ca="1" si="7"/>
        <v>2.530328206715772</v>
      </c>
      <c r="L49" s="1">
        <f t="shared" ca="1" si="8"/>
        <v>14</v>
      </c>
      <c r="M49" s="1"/>
      <c r="N49" s="1">
        <f t="shared" ca="1" si="9"/>
        <v>594</v>
      </c>
      <c r="O49" s="1">
        <f t="shared" ca="1" si="10"/>
        <v>25</v>
      </c>
      <c r="P49" s="1"/>
      <c r="Q49" s="1">
        <f t="shared" ca="1" si="11"/>
        <v>2.2523383457000525</v>
      </c>
      <c r="R49" s="1">
        <f t="shared" ca="1" si="12"/>
        <v>1181</v>
      </c>
      <c r="S49" s="1"/>
      <c r="T49" s="1">
        <f t="shared" ca="1" si="13"/>
        <v>2.1449768536563208E-2</v>
      </c>
      <c r="U49" s="1">
        <f t="shared" ca="1" si="14"/>
        <v>50</v>
      </c>
      <c r="V49" s="1">
        <f t="shared" ca="1" si="15"/>
        <v>23</v>
      </c>
      <c r="W49" s="1"/>
      <c r="X49" s="1">
        <f t="shared" ca="1" si="16"/>
        <v>2.9332904266043434</v>
      </c>
      <c r="Y49" s="1">
        <f t="shared" ca="1" si="17"/>
        <v>0.16444915200421761</v>
      </c>
      <c r="Z49" s="1">
        <f t="shared" ca="1" si="18"/>
        <v>175</v>
      </c>
      <c r="AB49" s="1">
        <f t="shared" ca="1" si="19"/>
        <v>0.90028765684548784</v>
      </c>
      <c r="AC49" s="1">
        <f t="shared" ca="1" si="20"/>
        <v>585</v>
      </c>
      <c r="AD49" s="1">
        <f t="shared" ca="1" si="21"/>
        <v>8.4373053540659562E-3</v>
      </c>
      <c r="AE49" s="1"/>
      <c r="AF49" s="1">
        <f t="shared" ca="1" si="22"/>
        <v>0.19067483976377703</v>
      </c>
      <c r="AG49" s="1">
        <f t="shared" ca="1" si="23"/>
        <v>464</v>
      </c>
      <c r="AH49" s="1">
        <f t="shared" ca="1" si="24"/>
        <v>5.3171841132117889E-3</v>
      </c>
      <c r="AJ49" s="1">
        <f t="shared" ca="1" si="25"/>
        <v>0.14351100393099037</v>
      </c>
      <c r="AK49" s="1">
        <f t="shared" ca="1" si="26"/>
        <v>7.3869994260756687E-3</v>
      </c>
      <c r="AL49" s="1"/>
      <c r="AM49" s="1">
        <f t="shared" ca="1" si="27"/>
        <v>4.8318093542670498E-2</v>
      </c>
      <c r="AN49" s="1">
        <f t="shared" ca="1" si="28"/>
        <v>11</v>
      </c>
      <c r="AO49" s="1">
        <f t="shared" ca="1" si="29"/>
        <v>17</v>
      </c>
    </row>
    <row r="50" spans="2:41" x14ac:dyDescent="0.25">
      <c r="B50">
        <f t="shared" ca="1" si="0"/>
        <v>79</v>
      </c>
      <c r="C50">
        <f t="shared" ca="1" si="1"/>
        <v>32</v>
      </c>
      <c r="D50">
        <f t="shared" ca="1" si="2"/>
        <v>0.27505614040053411</v>
      </c>
      <c r="F50" s="1">
        <f t="shared" ca="1" si="3"/>
        <v>46</v>
      </c>
      <c r="G50" s="1">
        <f t="shared" ca="1" si="4"/>
        <v>28</v>
      </c>
      <c r="H50" s="1">
        <f t="shared" ca="1" si="5"/>
        <v>6</v>
      </c>
      <c r="I50" s="1"/>
      <c r="J50" s="1">
        <f t="shared" ca="1" si="6"/>
        <v>24</v>
      </c>
      <c r="K50" s="1">
        <f t="shared" ca="1" si="7"/>
        <v>2.0172452239989598</v>
      </c>
      <c r="L50" s="1">
        <f t="shared" ca="1" si="8"/>
        <v>2</v>
      </c>
      <c r="M50" s="1"/>
      <c r="N50" s="1">
        <f t="shared" ca="1" si="9"/>
        <v>398</v>
      </c>
      <c r="O50" s="1">
        <f t="shared" ca="1" si="10"/>
        <v>26</v>
      </c>
      <c r="P50" s="1"/>
      <c r="Q50" s="1">
        <f t="shared" ca="1" si="11"/>
        <v>4.1171918788168673</v>
      </c>
      <c r="R50" s="1">
        <f t="shared" ca="1" si="12"/>
        <v>666</v>
      </c>
      <c r="S50" s="1"/>
      <c r="T50" s="1">
        <f t="shared" ca="1" si="13"/>
        <v>0.17641020848515768</v>
      </c>
      <c r="U50" s="1">
        <f t="shared" ca="1" si="14"/>
        <v>124</v>
      </c>
      <c r="V50" s="1">
        <f t="shared" ca="1" si="15"/>
        <v>39</v>
      </c>
      <c r="W50" s="1"/>
      <c r="X50" s="1">
        <f t="shared" ca="1" si="16"/>
        <v>4.3370332025909608</v>
      </c>
      <c r="Y50" s="1">
        <f t="shared" ca="1" si="17"/>
        <v>0.1788775112110505</v>
      </c>
      <c r="Z50" s="1">
        <f t="shared" ca="1" si="18"/>
        <v>1225</v>
      </c>
      <c r="AB50" s="1">
        <f t="shared" ca="1" si="19"/>
        <v>0.13792668108626308</v>
      </c>
      <c r="AC50" s="1">
        <f t="shared" ca="1" si="20"/>
        <v>856</v>
      </c>
      <c r="AD50" s="1">
        <f t="shared" ca="1" si="21"/>
        <v>9.732227557622639E-4</v>
      </c>
      <c r="AE50" s="1"/>
      <c r="AF50" s="1">
        <f t="shared" ca="1" si="22"/>
        <v>0.3391834451806357</v>
      </c>
      <c r="AG50" s="1">
        <f t="shared" ca="1" si="23"/>
        <v>727</v>
      </c>
      <c r="AH50" s="1">
        <f t="shared" ca="1" si="24"/>
        <v>4.7296152657078363E-3</v>
      </c>
      <c r="AJ50" s="1">
        <f t="shared" ca="1" si="25"/>
        <v>0.91600057066114082</v>
      </c>
      <c r="AK50" s="1">
        <f t="shared" ca="1" si="26"/>
        <v>5.7030601807905156E-3</v>
      </c>
      <c r="AL50" s="1"/>
      <c r="AM50" s="1">
        <f t="shared" ca="1" si="27"/>
        <v>1.7478386843490797E-2</v>
      </c>
      <c r="AN50" s="1">
        <f t="shared" ca="1" si="28"/>
        <v>76</v>
      </c>
      <c r="AO50" s="1">
        <f t="shared" ca="1" si="29"/>
        <v>0</v>
      </c>
    </row>
    <row r="51" spans="2:41" x14ac:dyDescent="0.25">
      <c r="B51">
        <f t="shared" ca="1" si="0"/>
        <v>125</v>
      </c>
      <c r="C51">
        <f t="shared" ca="1" si="1"/>
        <v>10</v>
      </c>
      <c r="D51">
        <f t="shared" ca="1" si="2"/>
        <v>0.24754010028549248</v>
      </c>
      <c r="F51" s="1">
        <f t="shared" ca="1" si="3"/>
        <v>13</v>
      </c>
      <c r="G51" s="1">
        <f t="shared" ca="1" si="4"/>
        <v>17</v>
      </c>
      <c r="H51" s="1">
        <f t="shared" ca="1" si="5"/>
        <v>11</v>
      </c>
      <c r="I51" s="1"/>
      <c r="J51" s="1">
        <f t="shared" ca="1" si="6"/>
        <v>20</v>
      </c>
      <c r="K51" s="1">
        <f t="shared" ca="1" si="7"/>
        <v>2.1294575815046346</v>
      </c>
      <c r="L51" s="1">
        <f t="shared" ca="1" si="8"/>
        <v>13</v>
      </c>
      <c r="M51" s="1"/>
      <c r="N51" s="1">
        <f t="shared" ca="1" si="9"/>
        <v>157</v>
      </c>
      <c r="O51" s="1">
        <f t="shared" ca="1" si="10"/>
        <v>37</v>
      </c>
      <c r="P51" s="1"/>
      <c r="Q51" s="1">
        <f t="shared" ca="1" si="11"/>
        <v>3.8917775455488193</v>
      </c>
      <c r="R51" s="1">
        <f t="shared" ca="1" si="12"/>
        <v>1081</v>
      </c>
      <c r="S51" s="1"/>
      <c r="T51" s="1">
        <f t="shared" ca="1" si="13"/>
        <v>6.1780585530082185E-2</v>
      </c>
      <c r="U51" s="1">
        <f t="shared" ca="1" si="14"/>
        <v>129</v>
      </c>
      <c r="V51" s="1">
        <f t="shared" ca="1" si="15"/>
        <v>45</v>
      </c>
      <c r="W51" s="1"/>
      <c r="X51" s="1">
        <f t="shared" ca="1" si="16"/>
        <v>8.9198780891261453</v>
      </c>
      <c r="Y51" s="1">
        <f t="shared" ca="1" si="17"/>
        <v>0.72581745895859451</v>
      </c>
      <c r="Z51" s="1">
        <f t="shared" ca="1" si="18"/>
        <v>394</v>
      </c>
      <c r="AB51" s="1">
        <f t="shared" ca="1" si="19"/>
        <v>7.5506038791777627E-2</v>
      </c>
      <c r="AC51" s="1">
        <f t="shared" ca="1" si="20"/>
        <v>763</v>
      </c>
      <c r="AD51" s="1">
        <f t="shared" ca="1" si="21"/>
        <v>4.3306306171336881E-3</v>
      </c>
      <c r="AE51" s="1"/>
      <c r="AF51" s="1">
        <f t="shared" ca="1" si="22"/>
        <v>0.53551107798060971</v>
      </c>
      <c r="AG51" s="1">
        <f t="shared" ca="1" si="23"/>
        <v>947</v>
      </c>
      <c r="AH51" s="1">
        <f t="shared" ca="1" si="24"/>
        <v>9.5519914329090152E-3</v>
      </c>
      <c r="AJ51" s="1">
        <f t="shared" ca="1" si="25"/>
        <v>0.16499983297962106</v>
      </c>
      <c r="AK51" s="1">
        <f t="shared" ca="1" si="26"/>
        <v>8.8710920590759721E-3</v>
      </c>
      <c r="AL51" s="1"/>
      <c r="AM51" s="1">
        <f t="shared" ca="1" si="27"/>
        <v>0.14971816188254772</v>
      </c>
      <c r="AN51" s="1">
        <f t="shared" ca="1" si="28"/>
        <v>46</v>
      </c>
      <c r="AO51" s="1">
        <f t="shared" ca="1" si="29"/>
        <v>-1</v>
      </c>
    </row>
    <row r="52" spans="2:41" x14ac:dyDescent="0.25">
      <c r="B52">
        <f t="shared" ca="1" si="0"/>
        <v>636</v>
      </c>
      <c r="C52">
        <f t="shared" ca="1" si="1"/>
        <v>47</v>
      </c>
      <c r="D52">
        <f t="shared" ca="1" si="2"/>
        <v>1.06427682355121E-2</v>
      </c>
      <c r="F52" s="1">
        <f t="shared" ca="1" si="3"/>
        <v>9</v>
      </c>
      <c r="G52" s="1">
        <f t="shared" ca="1" si="4"/>
        <v>12</v>
      </c>
      <c r="H52" s="1">
        <f t="shared" ca="1" si="5"/>
        <v>11</v>
      </c>
      <c r="I52" s="1"/>
      <c r="J52" s="1">
        <f t="shared" ca="1" si="6"/>
        <v>32</v>
      </c>
      <c r="K52" s="1">
        <f t="shared" ca="1" si="7"/>
        <v>2.5804929523448594</v>
      </c>
      <c r="L52" s="1">
        <f t="shared" ca="1" si="8"/>
        <v>19</v>
      </c>
      <c r="M52" s="1"/>
      <c r="N52" s="1">
        <f t="shared" ca="1" si="9"/>
        <v>941</v>
      </c>
      <c r="O52" s="1">
        <f t="shared" ca="1" si="10"/>
        <v>26</v>
      </c>
      <c r="P52" s="1"/>
      <c r="Q52" s="1">
        <f t="shared" ca="1" si="11"/>
        <v>0.1334104039710966</v>
      </c>
      <c r="R52" s="1">
        <f t="shared" ca="1" si="12"/>
        <v>566</v>
      </c>
      <c r="S52" s="1"/>
      <c r="T52" s="1">
        <f t="shared" ca="1" si="13"/>
        <v>0.16035769377391754</v>
      </c>
      <c r="U52" s="1">
        <f t="shared" ca="1" si="14"/>
        <v>393</v>
      </c>
      <c r="V52" s="1">
        <f t="shared" ca="1" si="15"/>
        <v>41</v>
      </c>
      <c r="W52" s="1"/>
      <c r="X52" s="1">
        <f t="shared" ca="1" si="16"/>
        <v>8.3431651885123905</v>
      </c>
      <c r="Y52" s="1">
        <f t="shared" ca="1" si="17"/>
        <v>0.1865678009456497</v>
      </c>
      <c r="Z52" s="1">
        <f t="shared" ca="1" si="18"/>
        <v>1540</v>
      </c>
      <c r="AB52" s="1">
        <f t="shared" ca="1" si="19"/>
        <v>0.43954000487421663</v>
      </c>
      <c r="AC52" s="1">
        <f t="shared" ca="1" si="20"/>
        <v>462</v>
      </c>
      <c r="AD52" s="1">
        <f t="shared" ca="1" si="21"/>
        <v>2.4504476754338526E-3</v>
      </c>
      <c r="AE52" s="1"/>
      <c r="AF52" s="1">
        <f t="shared" ca="1" si="22"/>
        <v>0.29428380028721624</v>
      </c>
      <c r="AG52" s="1">
        <f t="shared" ca="1" si="23"/>
        <v>549</v>
      </c>
      <c r="AH52" s="1">
        <f t="shared" ca="1" si="24"/>
        <v>1.2476309740983296E-3</v>
      </c>
      <c r="AJ52" s="1">
        <f t="shared" ca="1" si="25"/>
        <v>0.71271977076006499</v>
      </c>
      <c r="AK52" s="1">
        <f t="shared" ca="1" si="26"/>
        <v>3.9268770527236714E-3</v>
      </c>
      <c r="AL52" s="1"/>
      <c r="AM52" s="1">
        <f t="shared" ca="1" si="27"/>
        <v>5.0265518591092018E-2</v>
      </c>
      <c r="AN52" s="1">
        <f t="shared" ca="1" si="28"/>
        <v>32</v>
      </c>
      <c r="AO52" s="1">
        <f t="shared" ca="1" si="29"/>
        <v>17</v>
      </c>
    </row>
    <row r="53" spans="2:41" x14ac:dyDescent="0.25">
      <c r="B53">
        <f t="shared" ca="1" si="0"/>
        <v>201</v>
      </c>
      <c r="C53">
        <f t="shared" ca="1" si="1"/>
        <v>14</v>
      </c>
      <c r="D53">
        <f t="shared" ca="1" si="2"/>
        <v>2.5135060609480279E-2</v>
      </c>
      <c r="F53" s="1">
        <f t="shared" ca="1" si="3"/>
        <v>34</v>
      </c>
      <c r="G53" s="1">
        <f t="shared" ca="1" si="4"/>
        <v>6</v>
      </c>
      <c r="H53" s="1">
        <f t="shared" ca="1" si="5"/>
        <v>10</v>
      </c>
      <c r="I53" s="1"/>
      <c r="J53" s="1">
        <f t="shared" ca="1" si="6"/>
        <v>13</v>
      </c>
      <c r="K53" s="1">
        <f t="shared" ca="1" si="7"/>
        <v>2.9901225795635353</v>
      </c>
      <c r="L53" s="1">
        <f t="shared" ca="1" si="8"/>
        <v>11</v>
      </c>
      <c r="M53" s="1"/>
      <c r="N53" s="1">
        <f t="shared" ca="1" si="9"/>
        <v>184</v>
      </c>
      <c r="O53" s="1">
        <f t="shared" ca="1" si="10"/>
        <v>42</v>
      </c>
      <c r="P53" s="1"/>
      <c r="Q53" s="1">
        <f t="shared" ca="1" si="11"/>
        <v>4.4343771096713454</v>
      </c>
      <c r="R53" s="1">
        <f t="shared" ca="1" si="12"/>
        <v>422</v>
      </c>
      <c r="S53" s="1"/>
      <c r="T53" s="1">
        <f t="shared" ca="1" si="13"/>
        <v>0.17334105592076557</v>
      </c>
      <c r="U53" s="1">
        <f t="shared" ca="1" si="14"/>
        <v>309</v>
      </c>
      <c r="V53" s="1">
        <f t="shared" ca="1" si="15"/>
        <v>34</v>
      </c>
      <c r="W53" s="1"/>
      <c r="X53" s="1">
        <f t="shared" ca="1" si="16"/>
        <v>9.222820071381916</v>
      </c>
      <c r="Y53" s="1">
        <f t="shared" ca="1" si="17"/>
        <v>5.2651037530337973E-2</v>
      </c>
      <c r="Z53" s="1">
        <f t="shared" ca="1" si="18"/>
        <v>151</v>
      </c>
      <c r="AB53" s="1">
        <f t="shared" ca="1" si="19"/>
        <v>0.17806582533012483</v>
      </c>
      <c r="AC53" s="1">
        <f t="shared" ca="1" si="20"/>
        <v>999</v>
      </c>
      <c r="AD53" s="1">
        <f t="shared" ca="1" si="21"/>
        <v>1.5715147202607586E-3</v>
      </c>
      <c r="AE53" s="1"/>
      <c r="AF53" s="1">
        <f t="shared" ca="1" si="22"/>
        <v>0.73737972025598564</v>
      </c>
      <c r="AG53" s="1">
        <f t="shared" ca="1" si="23"/>
        <v>443</v>
      </c>
      <c r="AH53" s="1">
        <f t="shared" ca="1" si="24"/>
        <v>9.5601036444793279E-3</v>
      </c>
      <c r="AJ53" s="1">
        <f t="shared" ca="1" si="25"/>
        <v>0.89258867117358887</v>
      </c>
      <c r="AK53" s="1">
        <f t="shared" ca="1" si="26"/>
        <v>8.3456683140462045E-3</v>
      </c>
      <c r="AL53" s="1"/>
      <c r="AM53" s="1">
        <f t="shared" ca="1" si="27"/>
        <v>0.15904477804535494</v>
      </c>
      <c r="AN53" s="1">
        <f t="shared" ca="1" si="28"/>
        <v>26</v>
      </c>
      <c r="AO53" s="1">
        <f t="shared" ca="1" si="29"/>
        <v>17</v>
      </c>
    </row>
    <row r="54" spans="2:41" x14ac:dyDescent="0.25">
      <c r="B54">
        <f t="shared" ca="1" si="0"/>
        <v>503</v>
      </c>
      <c r="C54">
        <f t="shared" ca="1" si="1"/>
        <v>37</v>
      </c>
      <c r="D54">
        <f t="shared" ca="1" si="2"/>
        <v>6.0234030470750675E-2</v>
      </c>
      <c r="F54" s="1">
        <f t="shared" ca="1" si="3"/>
        <v>22</v>
      </c>
      <c r="G54" s="1">
        <f t="shared" ca="1" si="4"/>
        <v>29</v>
      </c>
      <c r="H54" s="1">
        <f t="shared" ca="1" si="5"/>
        <v>15</v>
      </c>
      <c r="I54" s="1"/>
      <c r="J54" s="1">
        <f t="shared" ca="1" si="6"/>
        <v>32</v>
      </c>
      <c r="K54" s="1">
        <f t="shared" ca="1" si="7"/>
        <v>1.6250312664378723</v>
      </c>
      <c r="L54" s="1">
        <f t="shared" ca="1" si="8"/>
        <v>13</v>
      </c>
      <c r="M54" s="1"/>
      <c r="N54" s="1">
        <f t="shared" ca="1" si="9"/>
        <v>255</v>
      </c>
      <c r="O54" s="1">
        <f t="shared" ca="1" si="10"/>
        <v>38</v>
      </c>
      <c r="P54" s="1"/>
      <c r="Q54" s="1">
        <f t="shared" ca="1" si="11"/>
        <v>4.3873140223479012</v>
      </c>
      <c r="R54" s="1">
        <f t="shared" ca="1" si="12"/>
        <v>312</v>
      </c>
      <c r="S54" s="1"/>
      <c r="T54" s="1">
        <f t="shared" ca="1" si="13"/>
        <v>3.4249502431376859E-2</v>
      </c>
      <c r="U54" s="1">
        <f t="shared" ca="1" si="14"/>
        <v>130</v>
      </c>
      <c r="V54" s="1">
        <f t="shared" ca="1" si="15"/>
        <v>52</v>
      </c>
      <c r="W54" s="1"/>
      <c r="X54" s="1">
        <f t="shared" ca="1" si="16"/>
        <v>4.2688193766221989</v>
      </c>
      <c r="Y54" s="1">
        <f t="shared" ca="1" si="17"/>
        <v>0.11009421138180876</v>
      </c>
      <c r="Z54" s="1">
        <f t="shared" ca="1" si="18"/>
        <v>1634</v>
      </c>
      <c r="AB54" s="1">
        <f t="shared" ca="1" si="19"/>
        <v>0.23483206948442314</v>
      </c>
      <c r="AC54" s="1">
        <f t="shared" ca="1" si="20"/>
        <v>897</v>
      </c>
      <c r="AD54" s="1">
        <f t="shared" ca="1" si="21"/>
        <v>4.62683160454008E-3</v>
      </c>
      <c r="AE54" s="1"/>
      <c r="AF54" s="1">
        <f t="shared" ca="1" si="22"/>
        <v>0.35588580902574363</v>
      </c>
      <c r="AG54" s="1">
        <f t="shared" ca="1" si="23"/>
        <v>766</v>
      </c>
      <c r="AH54" s="1">
        <f t="shared" ca="1" si="24"/>
        <v>4.6476186257131914E-3</v>
      </c>
      <c r="AJ54" s="1">
        <f t="shared" ca="1" si="25"/>
        <v>0.65171416164932716</v>
      </c>
      <c r="AK54" s="1">
        <f t="shared" ca="1" si="26"/>
        <v>2.3309055640853742E-3</v>
      </c>
      <c r="AL54" s="1"/>
      <c r="AM54" s="1">
        <f t="shared" ca="1" si="27"/>
        <v>9.3897807073990744E-2</v>
      </c>
      <c r="AN54" s="1">
        <f t="shared" ca="1" si="28"/>
        <v>39</v>
      </c>
      <c r="AO54" s="1">
        <f t="shared" ca="1" si="29"/>
        <v>19</v>
      </c>
    </row>
    <row r="55" spans="2:41" x14ac:dyDescent="0.25">
      <c r="B55">
        <f t="shared" ca="1" si="0"/>
        <v>469</v>
      </c>
      <c r="C55">
        <f t="shared" ca="1" si="1"/>
        <v>23</v>
      </c>
      <c r="D55">
        <f t="shared" ca="1" si="2"/>
        <v>0.27926622093687237</v>
      </c>
      <c r="F55" s="1">
        <f t="shared" ca="1" si="3"/>
        <v>34</v>
      </c>
      <c r="G55" s="1">
        <f t="shared" ca="1" si="4"/>
        <v>3</v>
      </c>
      <c r="H55" s="1">
        <f t="shared" ca="1" si="5"/>
        <v>11</v>
      </c>
      <c r="I55" s="1"/>
      <c r="J55" s="1">
        <f t="shared" ca="1" si="6"/>
        <v>32</v>
      </c>
      <c r="K55" s="1">
        <f t="shared" ca="1" si="7"/>
        <v>1.2238710615820547</v>
      </c>
      <c r="L55" s="1">
        <f t="shared" ca="1" si="8"/>
        <v>5</v>
      </c>
      <c r="M55" s="1"/>
      <c r="N55" s="1">
        <f t="shared" ca="1" si="9"/>
        <v>766</v>
      </c>
      <c r="O55" s="1">
        <f t="shared" ca="1" si="10"/>
        <v>40</v>
      </c>
      <c r="P55" s="1"/>
      <c r="Q55" s="1">
        <f t="shared" ca="1" si="11"/>
        <v>0.58604213320397636</v>
      </c>
      <c r="R55" s="1">
        <f t="shared" ca="1" si="12"/>
        <v>708</v>
      </c>
      <c r="S55" s="1"/>
      <c r="T55" s="1">
        <f t="shared" ca="1" si="13"/>
        <v>1.4127307524290398E-2</v>
      </c>
      <c r="U55" s="1">
        <f t="shared" ca="1" si="14"/>
        <v>80</v>
      </c>
      <c r="V55" s="1">
        <f t="shared" ca="1" si="15"/>
        <v>41</v>
      </c>
      <c r="W55" s="1"/>
      <c r="X55" s="1">
        <f t="shared" ca="1" si="16"/>
        <v>3.5100400966563909</v>
      </c>
      <c r="Y55" s="1">
        <f t="shared" ca="1" si="17"/>
        <v>0.81438299957393101</v>
      </c>
      <c r="Z55" s="1">
        <f t="shared" ca="1" si="18"/>
        <v>1732</v>
      </c>
      <c r="AB55" s="1">
        <f t="shared" ca="1" si="19"/>
        <v>0.77254705224132492</v>
      </c>
      <c r="AC55" s="1">
        <f t="shared" ca="1" si="20"/>
        <v>400</v>
      </c>
      <c r="AD55" s="1">
        <f t="shared" ca="1" si="21"/>
        <v>1.247363962785261E-4</v>
      </c>
      <c r="AE55" s="1"/>
      <c r="AF55" s="1">
        <f t="shared" ca="1" si="22"/>
        <v>0.27072882755590505</v>
      </c>
      <c r="AG55" s="1">
        <f t="shared" ca="1" si="23"/>
        <v>216</v>
      </c>
      <c r="AH55" s="1">
        <f t="shared" ca="1" si="24"/>
        <v>5.4241484639098734E-3</v>
      </c>
      <c r="AJ55" s="1">
        <f t="shared" ca="1" si="25"/>
        <v>0.23745724423535708</v>
      </c>
      <c r="AK55" s="1">
        <f t="shared" ca="1" si="26"/>
        <v>3.7953352677084057E-3</v>
      </c>
      <c r="AL55" s="1"/>
      <c r="AM55" s="1">
        <f t="shared" ca="1" si="27"/>
        <v>0.1650278832224662</v>
      </c>
      <c r="AN55" s="1">
        <f t="shared" ca="1" si="28"/>
        <v>38</v>
      </c>
      <c r="AO55" s="1">
        <f t="shared" ca="1" si="29"/>
        <v>7</v>
      </c>
    </row>
    <row r="56" spans="2:41" x14ac:dyDescent="0.25">
      <c r="B56">
        <f t="shared" ca="1" si="0"/>
        <v>314</v>
      </c>
      <c r="C56">
        <f t="shared" ca="1" si="1"/>
        <v>18</v>
      </c>
      <c r="D56">
        <f t="shared" ca="1" si="2"/>
        <v>0.23777162917583519</v>
      </c>
      <c r="F56" s="1">
        <f t="shared" ca="1" si="3"/>
        <v>30</v>
      </c>
      <c r="G56" s="1">
        <f t="shared" ca="1" si="4"/>
        <v>22</v>
      </c>
      <c r="H56" s="1">
        <f t="shared" ca="1" si="5"/>
        <v>1</v>
      </c>
      <c r="I56" s="1"/>
      <c r="J56" s="1">
        <f t="shared" ca="1" si="6"/>
        <v>25</v>
      </c>
      <c r="K56" s="1">
        <f t="shared" ca="1" si="7"/>
        <v>1.014000922287225</v>
      </c>
      <c r="L56" s="1">
        <f t="shared" ca="1" si="8"/>
        <v>26</v>
      </c>
      <c r="M56" s="1"/>
      <c r="N56" s="1">
        <f t="shared" ca="1" si="9"/>
        <v>512</v>
      </c>
      <c r="O56" s="1">
        <f t="shared" ca="1" si="10"/>
        <v>12</v>
      </c>
      <c r="P56" s="1"/>
      <c r="Q56" s="1">
        <f t="shared" ca="1" si="11"/>
        <v>3.7047618406958325</v>
      </c>
      <c r="R56" s="1">
        <f t="shared" ca="1" si="12"/>
        <v>254</v>
      </c>
      <c r="S56" s="1"/>
      <c r="T56" s="1">
        <f t="shared" ca="1" si="13"/>
        <v>0.10195977945181535</v>
      </c>
      <c r="U56" s="1">
        <f t="shared" ca="1" si="14"/>
        <v>185</v>
      </c>
      <c r="V56" s="1">
        <f t="shared" ca="1" si="15"/>
        <v>38</v>
      </c>
      <c r="W56" s="1"/>
      <c r="X56" s="1">
        <f t="shared" ca="1" si="16"/>
        <v>8.2122110364880871</v>
      </c>
      <c r="Y56" s="1">
        <f t="shared" ca="1" si="17"/>
        <v>0.78338484931163277</v>
      </c>
      <c r="Z56" s="1">
        <f t="shared" ca="1" si="18"/>
        <v>1908</v>
      </c>
      <c r="AB56" s="1">
        <f t="shared" ca="1" si="19"/>
        <v>0.46003771489792189</v>
      </c>
      <c r="AC56" s="1">
        <f t="shared" ca="1" si="20"/>
        <v>422</v>
      </c>
      <c r="AD56" s="1">
        <f t="shared" ca="1" si="21"/>
        <v>7.2030151831077626E-3</v>
      </c>
      <c r="AE56" s="1"/>
      <c r="AF56" s="1">
        <f t="shared" ca="1" si="22"/>
        <v>0.12120504160093325</v>
      </c>
      <c r="AG56" s="1">
        <f t="shared" ca="1" si="23"/>
        <v>243</v>
      </c>
      <c r="AH56" s="1">
        <f t="shared" ca="1" si="24"/>
        <v>1.401413894366128E-3</v>
      </c>
      <c r="AJ56" s="1">
        <f t="shared" ca="1" si="25"/>
        <v>0.42052996648024688</v>
      </c>
      <c r="AK56" s="1">
        <f t="shared" ca="1" si="26"/>
        <v>3.5459110694241167E-3</v>
      </c>
      <c r="AL56" s="1"/>
      <c r="AM56" s="1">
        <f t="shared" ca="1" si="27"/>
        <v>0.16764662700667166</v>
      </c>
      <c r="AN56" s="1">
        <f t="shared" ca="1" si="28"/>
        <v>33</v>
      </c>
      <c r="AO56" s="1">
        <f t="shared" ca="1" si="29"/>
        <v>8</v>
      </c>
    </row>
    <row r="57" spans="2:41" x14ac:dyDescent="0.25">
      <c r="B57">
        <f t="shared" ca="1" si="0"/>
        <v>133</v>
      </c>
      <c r="C57">
        <f t="shared" ca="1" si="1"/>
        <v>46</v>
      </c>
      <c r="D57">
        <f t="shared" ca="1" si="2"/>
        <v>0.21980013763073367</v>
      </c>
      <c r="F57" s="1">
        <f t="shared" ca="1" si="3"/>
        <v>50</v>
      </c>
      <c r="G57" s="1">
        <f t="shared" ca="1" si="4"/>
        <v>2</v>
      </c>
      <c r="H57" s="1">
        <f t="shared" ca="1" si="5"/>
        <v>13</v>
      </c>
      <c r="I57" s="1"/>
      <c r="J57" s="1">
        <f t="shared" ca="1" si="6"/>
        <v>2</v>
      </c>
      <c r="K57" s="1">
        <f t="shared" ca="1" si="7"/>
        <v>2.9298903368078699</v>
      </c>
      <c r="L57" s="1">
        <f t="shared" ca="1" si="8"/>
        <v>3</v>
      </c>
      <c r="M57" s="1"/>
      <c r="N57" s="1">
        <f t="shared" ca="1" si="9"/>
        <v>969</v>
      </c>
      <c r="O57" s="1">
        <f t="shared" ca="1" si="10"/>
        <v>36</v>
      </c>
      <c r="P57" s="1"/>
      <c r="Q57" s="1">
        <f t="shared" ca="1" si="11"/>
        <v>3.4149605652583221</v>
      </c>
      <c r="R57" s="1">
        <f t="shared" ca="1" si="12"/>
        <v>624</v>
      </c>
      <c r="S57" s="1"/>
      <c r="T57" s="1">
        <f t="shared" ca="1" si="13"/>
        <v>0.1228120640376255</v>
      </c>
      <c r="U57" s="1">
        <f t="shared" ca="1" si="14"/>
        <v>68</v>
      </c>
      <c r="V57" s="1">
        <f t="shared" ca="1" si="15"/>
        <v>2</v>
      </c>
      <c r="W57" s="1"/>
      <c r="X57" s="1">
        <f t="shared" ca="1" si="16"/>
        <v>5.945235626053627</v>
      </c>
      <c r="Y57" s="1">
        <f t="shared" ca="1" si="17"/>
        <v>0.66296041382079507</v>
      </c>
      <c r="Z57" s="1">
        <f t="shared" ca="1" si="18"/>
        <v>1998</v>
      </c>
      <c r="AB57" s="1">
        <f t="shared" ca="1" si="19"/>
        <v>0.36685224643407177</v>
      </c>
      <c r="AC57" s="1">
        <f t="shared" ca="1" si="20"/>
        <v>349</v>
      </c>
      <c r="AD57" s="1">
        <f t="shared" ca="1" si="21"/>
        <v>7.1504511830906168E-3</v>
      </c>
      <c r="AE57" s="1"/>
      <c r="AF57" s="1">
        <f t="shared" ca="1" si="22"/>
        <v>0.30566528016984751</v>
      </c>
      <c r="AG57" s="1">
        <f t="shared" ca="1" si="23"/>
        <v>302</v>
      </c>
      <c r="AH57" s="1">
        <f t="shared" ca="1" si="24"/>
        <v>3.7255644118525211E-3</v>
      </c>
      <c r="AJ57" s="1">
        <f t="shared" ca="1" si="25"/>
        <v>0.86623687806209382</v>
      </c>
      <c r="AK57" s="1">
        <f t="shared" ca="1" si="26"/>
        <v>6.3115268457030324E-3</v>
      </c>
      <c r="AL57" s="1"/>
      <c r="AM57" s="1">
        <f t="shared" ca="1" si="27"/>
        <v>0.12836103911008226</v>
      </c>
      <c r="AN57" s="1">
        <f t="shared" ca="1" si="28"/>
        <v>75</v>
      </c>
      <c r="AO57" s="1">
        <f t="shared" ca="1" si="29"/>
        <v>11</v>
      </c>
    </row>
    <row r="58" spans="2:41" x14ac:dyDescent="0.25">
      <c r="B58">
        <f t="shared" ca="1" si="0"/>
        <v>851</v>
      </c>
      <c r="C58">
        <f t="shared" ca="1" si="1"/>
        <v>52</v>
      </c>
      <c r="D58">
        <f t="shared" ca="1" si="2"/>
        <v>0.25405654441492992</v>
      </c>
      <c r="F58" s="1">
        <f t="shared" ca="1" si="3"/>
        <v>14</v>
      </c>
      <c r="G58" s="1">
        <f t="shared" ca="1" si="4"/>
        <v>9</v>
      </c>
      <c r="H58" s="1">
        <f t="shared" ca="1" si="5"/>
        <v>11</v>
      </c>
      <c r="I58" s="1"/>
      <c r="J58" s="1">
        <f t="shared" ca="1" si="6"/>
        <v>7</v>
      </c>
      <c r="K58" s="1">
        <f t="shared" ca="1" si="7"/>
        <v>2.8179503139009512</v>
      </c>
      <c r="L58" s="1">
        <f t="shared" ca="1" si="8"/>
        <v>28</v>
      </c>
      <c r="M58" s="1"/>
      <c r="N58" s="1">
        <f t="shared" ca="1" si="9"/>
        <v>726</v>
      </c>
      <c r="O58" s="1">
        <f t="shared" ca="1" si="10"/>
        <v>12</v>
      </c>
      <c r="P58" s="1"/>
      <c r="Q58" s="1">
        <f t="shared" ca="1" si="11"/>
        <v>4.8332656188085128</v>
      </c>
      <c r="R58" s="1">
        <f t="shared" ca="1" si="12"/>
        <v>1186</v>
      </c>
      <c r="S58" s="1"/>
      <c r="T58" s="1">
        <f t="shared" ca="1" si="13"/>
        <v>0.14803596576303982</v>
      </c>
      <c r="U58" s="1">
        <f t="shared" ca="1" si="14"/>
        <v>243</v>
      </c>
      <c r="V58" s="1">
        <f t="shared" ca="1" si="15"/>
        <v>12</v>
      </c>
      <c r="W58" s="1"/>
      <c r="X58" s="1">
        <f t="shared" ca="1" si="16"/>
        <v>8.4844673980370153</v>
      </c>
      <c r="Y58" s="1">
        <f t="shared" ca="1" si="17"/>
        <v>0.77078391619583775</v>
      </c>
      <c r="Z58" s="1">
        <f t="shared" ca="1" si="18"/>
        <v>1565</v>
      </c>
      <c r="AB58" s="1">
        <f t="shared" ca="1" si="19"/>
        <v>0.7559903226546193</v>
      </c>
      <c r="AC58" s="1">
        <f t="shared" ca="1" si="20"/>
        <v>845</v>
      </c>
      <c r="AD58" s="1">
        <f t="shared" ca="1" si="21"/>
        <v>3.5300865267734512E-3</v>
      </c>
      <c r="AE58" s="1"/>
      <c r="AF58" s="1">
        <f t="shared" ca="1" si="22"/>
        <v>0.11863284359968436</v>
      </c>
      <c r="AG58" s="1">
        <f t="shared" ca="1" si="23"/>
        <v>235</v>
      </c>
      <c r="AH58" s="1">
        <f t="shared" ca="1" si="24"/>
        <v>9.3663948616892808E-3</v>
      </c>
      <c r="AJ58" s="1">
        <f t="shared" ca="1" si="25"/>
        <v>0.8957528382991905</v>
      </c>
      <c r="AK58" s="1">
        <f t="shared" ca="1" si="26"/>
        <v>8.5207692361142368E-3</v>
      </c>
      <c r="AL58" s="1"/>
      <c r="AM58" s="1">
        <f t="shared" ca="1" si="27"/>
        <v>0.12567023994587354</v>
      </c>
      <c r="AN58" s="1">
        <f t="shared" ca="1" si="28"/>
        <v>28</v>
      </c>
      <c r="AO58" s="1">
        <f t="shared" ca="1" si="29"/>
        <v>3</v>
      </c>
    </row>
    <row r="59" spans="2:41" x14ac:dyDescent="0.25">
      <c r="B59">
        <f t="shared" ca="1" si="0"/>
        <v>179</v>
      </c>
      <c r="C59">
        <f t="shared" ca="1" si="1"/>
        <v>37</v>
      </c>
      <c r="D59">
        <f t="shared" ca="1" si="2"/>
        <v>3.707514780667432E-2</v>
      </c>
      <c r="F59" s="1">
        <f t="shared" ca="1" si="3"/>
        <v>8</v>
      </c>
      <c r="G59" s="1">
        <f t="shared" ca="1" si="4"/>
        <v>5</v>
      </c>
      <c r="H59" s="1">
        <f t="shared" ca="1" si="5"/>
        <v>2</v>
      </c>
      <c r="I59" s="1"/>
      <c r="J59" s="1">
        <f t="shared" ca="1" si="6"/>
        <v>10</v>
      </c>
      <c r="K59" s="1">
        <f t="shared" ca="1" si="7"/>
        <v>1.9930508064540322</v>
      </c>
      <c r="L59" s="1">
        <f t="shared" ca="1" si="8"/>
        <v>25</v>
      </c>
      <c r="M59" s="1"/>
      <c r="N59" s="1">
        <f t="shared" ca="1" si="9"/>
        <v>566</v>
      </c>
      <c r="O59" s="1">
        <f t="shared" ca="1" si="10"/>
        <v>51</v>
      </c>
      <c r="P59" s="1"/>
      <c r="Q59" s="1">
        <f t="shared" ca="1" si="11"/>
        <v>1.7455723634612879</v>
      </c>
      <c r="R59" s="1">
        <f t="shared" ca="1" si="12"/>
        <v>380</v>
      </c>
      <c r="S59" s="1"/>
      <c r="T59" s="1">
        <f t="shared" ca="1" si="13"/>
        <v>0.10965929109907072</v>
      </c>
      <c r="U59" s="1">
        <f t="shared" ca="1" si="14"/>
        <v>158</v>
      </c>
      <c r="V59" s="1">
        <f t="shared" ca="1" si="15"/>
        <v>6</v>
      </c>
      <c r="W59" s="1"/>
      <c r="X59" s="1">
        <f t="shared" ca="1" si="16"/>
        <v>6.8156298463413503</v>
      </c>
      <c r="Y59" s="1">
        <f t="shared" ca="1" si="17"/>
        <v>0.18888625737688514</v>
      </c>
      <c r="Z59" s="1">
        <f t="shared" ca="1" si="18"/>
        <v>652</v>
      </c>
      <c r="AB59" s="1">
        <f t="shared" ca="1" si="19"/>
        <v>0.60497502793448121</v>
      </c>
      <c r="AC59" s="1">
        <f t="shared" ca="1" si="20"/>
        <v>175</v>
      </c>
      <c r="AD59" s="1">
        <f t="shared" ca="1" si="21"/>
        <v>1.2584701156812205E-3</v>
      </c>
      <c r="AE59" s="1"/>
      <c r="AF59" s="1">
        <f t="shared" ca="1" si="22"/>
        <v>0.69641756429402091</v>
      </c>
      <c r="AG59" s="1">
        <f t="shared" ca="1" si="23"/>
        <v>915</v>
      </c>
      <c r="AH59" s="1">
        <f t="shared" ca="1" si="24"/>
        <v>6.9793317752507847E-3</v>
      </c>
      <c r="AJ59" s="1">
        <f t="shared" ca="1" si="25"/>
        <v>0.48623581927885606</v>
      </c>
      <c r="AK59" s="1">
        <f t="shared" ca="1" si="26"/>
        <v>7.9421977296825937E-3</v>
      </c>
      <c r="AL59" s="1"/>
      <c r="AM59" s="1">
        <f t="shared" ca="1" si="27"/>
        <v>1.6413874894582025E-2</v>
      </c>
      <c r="AN59" s="1">
        <f t="shared" ca="1" si="28"/>
        <v>74</v>
      </c>
      <c r="AO59" s="1">
        <f t="shared" ca="1" si="29"/>
        <v>8</v>
      </c>
    </row>
    <row r="60" spans="2:41" x14ac:dyDescent="0.25">
      <c r="B60">
        <f t="shared" ca="1" si="0"/>
        <v>946</v>
      </c>
      <c r="C60">
        <f t="shared" ca="1" si="1"/>
        <v>16</v>
      </c>
      <c r="D60">
        <f t="shared" ca="1" si="2"/>
        <v>0.21791577383658742</v>
      </c>
      <c r="F60" s="1">
        <f t="shared" ca="1" si="3"/>
        <v>48</v>
      </c>
      <c r="G60" s="1">
        <f t="shared" ca="1" si="4"/>
        <v>14</v>
      </c>
      <c r="H60" s="1">
        <f t="shared" ca="1" si="5"/>
        <v>2</v>
      </c>
      <c r="I60" s="1"/>
      <c r="J60" s="1">
        <f t="shared" ca="1" si="6"/>
        <v>25</v>
      </c>
      <c r="K60" s="1">
        <f t="shared" ca="1" si="7"/>
        <v>2.5228813636341139</v>
      </c>
      <c r="L60" s="1">
        <f t="shared" ca="1" si="8"/>
        <v>13</v>
      </c>
      <c r="M60" s="1"/>
      <c r="N60" s="1">
        <f t="shared" ca="1" si="9"/>
        <v>120</v>
      </c>
      <c r="O60" s="1">
        <f t="shared" ca="1" si="10"/>
        <v>52</v>
      </c>
      <c r="P60" s="1"/>
      <c r="Q60" s="1">
        <f t="shared" ca="1" si="11"/>
        <v>2.7028090172411319</v>
      </c>
      <c r="R60" s="1">
        <f t="shared" ca="1" si="12"/>
        <v>1047</v>
      </c>
      <c r="S60" s="1"/>
      <c r="T60" s="1">
        <f t="shared" ca="1" si="13"/>
        <v>0.12500197681681274</v>
      </c>
      <c r="U60" s="1">
        <f t="shared" ca="1" si="14"/>
        <v>125</v>
      </c>
      <c r="V60" s="1">
        <f t="shared" ca="1" si="15"/>
        <v>14</v>
      </c>
      <c r="W60" s="1"/>
      <c r="X60" s="1">
        <f t="shared" ca="1" si="16"/>
        <v>8.3087445426959903</v>
      </c>
      <c r="Y60" s="1">
        <f t="shared" ca="1" si="17"/>
        <v>6.5897978587116102E-2</v>
      </c>
      <c r="Z60" s="1">
        <f t="shared" ca="1" si="18"/>
        <v>1178</v>
      </c>
      <c r="AB60" s="1">
        <f t="shared" ca="1" si="19"/>
        <v>0.54845231949394757</v>
      </c>
      <c r="AC60" s="1">
        <f t="shared" ca="1" si="20"/>
        <v>478</v>
      </c>
      <c r="AD60" s="1">
        <f t="shared" ca="1" si="21"/>
        <v>2.5818024032073813E-3</v>
      </c>
      <c r="AE60" s="1"/>
      <c r="AF60" s="1">
        <f t="shared" ca="1" si="22"/>
        <v>0.86485624579060028</v>
      </c>
      <c r="AG60" s="1">
        <f t="shared" ca="1" si="23"/>
        <v>104</v>
      </c>
      <c r="AH60" s="1">
        <f t="shared" ca="1" si="24"/>
        <v>1.7480638018130235E-3</v>
      </c>
      <c r="AJ60" s="1">
        <f t="shared" ca="1" si="25"/>
        <v>0.57520896342774797</v>
      </c>
      <c r="AK60" s="1">
        <f t="shared" ca="1" si="26"/>
        <v>7.7783092133379425E-3</v>
      </c>
      <c r="AL60" s="1"/>
      <c r="AM60" s="1">
        <f t="shared" ca="1" si="27"/>
        <v>0.17753596687069628</v>
      </c>
      <c r="AN60" s="1">
        <f t="shared" ca="1" si="28"/>
        <v>10</v>
      </c>
      <c r="AO60" s="1">
        <f t="shared" ca="1" si="29"/>
        <v>3</v>
      </c>
    </row>
    <row r="61" spans="2:41" x14ac:dyDescent="0.25">
      <c r="B61">
        <f t="shared" ca="1" si="0"/>
        <v>679</v>
      </c>
      <c r="C61">
        <f t="shared" ca="1" si="1"/>
        <v>49</v>
      </c>
      <c r="D61">
        <f t="shared" ca="1" si="2"/>
        <v>8.7305332151623463E-2</v>
      </c>
      <c r="F61" s="1">
        <f t="shared" ca="1" si="3"/>
        <v>52</v>
      </c>
      <c r="G61" s="1">
        <f t="shared" ca="1" si="4"/>
        <v>18</v>
      </c>
      <c r="H61" s="1">
        <f t="shared" ca="1" si="5"/>
        <v>6</v>
      </c>
      <c r="I61" s="1"/>
      <c r="J61" s="1">
        <f t="shared" ca="1" si="6"/>
        <v>20</v>
      </c>
      <c r="K61" s="1">
        <f t="shared" ca="1" si="7"/>
        <v>2.341026486834572</v>
      </c>
      <c r="L61" s="1">
        <f t="shared" ca="1" si="8"/>
        <v>3</v>
      </c>
      <c r="M61" s="1"/>
      <c r="N61" s="1">
        <f t="shared" ca="1" si="9"/>
        <v>584</v>
      </c>
      <c r="O61" s="1">
        <f t="shared" ca="1" si="10"/>
        <v>44</v>
      </c>
      <c r="P61" s="1"/>
      <c r="Q61" s="1">
        <f t="shared" ca="1" si="11"/>
        <v>0.29948652558010763</v>
      </c>
      <c r="R61" s="1">
        <f t="shared" ca="1" si="12"/>
        <v>1019</v>
      </c>
      <c r="S61" s="1"/>
      <c r="T61" s="1">
        <f t="shared" ca="1" si="13"/>
        <v>3.1905753383041927E-2</v>
      </c>
      <c r="U61" s="1">
        <f t="shared" ca="1" si="14"/>
        <v>150</v>
      </c>
      <c r="V61" s="1">
        <f t="shared" ca="1" si="15"/>
        <v>31</v>
      </c>
      <c r="W61" s="1"/>
      <c r="X61" s="1">
        <f t="shared" ca="1" si="16"/>
        <v>4.1235236381273541</v>
      </c>
      <c r="Y61" s="1">
        <f t="shared" ca="1" si="17"/>
        <v>0.63815995360951572</v>
      </c>
      <c r="Z61" s="1">
        <f t="shared" ca="1" si="18"/>
        <v>1791</v>
      </c>
      <c r="AB61" s="1">
        <f t="shared" ca="1" si="19"/>
        <v>3.1936887176171692E-2</v>
      </c>
      <c r="AC61" s="1">
        <f t="shared" ca="1" si="20"/>
        <v>662</v>
      </c>
      <c r="AD61" s="1">
        <f t="shared" ca="1" si="21"/>
        <v>7.7973723960247259E-4</v>
      </c>
      <c r="AE61" s="1"/>
      <c r="AF61" s="1">
        <f t="shared" ca="1" si="22"/>
        <v>0.17114233874704698</v>
      </c>
      <c r="AG61" s="1">
        <f t="shared" ca="1" si="23"/>
        <v>486</v>
      </c>
      <c r="AH61" s="1">
        <f t="shared" ca="1" si="24"/>
        <v>1.3425492932261115E-3</v>
      </c>
      <c r="AJ61" s="1">
        <f t="shared" ca="1" si="25"/>
        <v>3.8794248158468436E-2</v>
      </c>
      <c r="AK61" s="1">
        <f t="shared" ca="1" si="26"/>
        <v>7.1644982688135956E-3</v>
      </c>
      <c r="AL61" s="1"/>
      <c r="AM61" s="1">
        <f t="shared" ca="1" si="27"/>
        <v>0.176628647790433</v>
      </c>
      <c r="AN61" s="1">
        <f t="shared" ca="1" si="28"/>
        <v>22</v>
      </c>
      <c r="AO61" s="1">
        <f t="shared" ca="1" si="29"/>
        <v>3</v>
      </c>
    </row>
    <row r="62" spans="2:41" x14ac:dyDescent="0.25">
      <c r="B62">
        <f t="shared" ca="1" si="0"/>
        <v>92</v>
      </c>
      <c r="C62">
        <f t="shared" ca="1" si="1"/>
        <v>49</v>
      </c>
      <c r="D62">
        <f t="shared" ca="1" si="2"/>
        <v>0.24351188974193744</v>
      </c>
      <c r="F62" s="1">
        <f t="shared" ca="1" si="3"/>
        <v>27</v>
      </c>
      <c r="G62" s="1">
        <f t="shared" ca="1" si="4"/>
        <v>21</v>
      </c>
      <c r="H62" s="1">
        <f t="shared" ca="1" si="5"/>
        <v>12</v>
      </c>
      <c r="I62" s="1"/>
      <c r="J62" s="1">
        <f t="shared" ca="1" si="6"/>
        <v>38</v>
      </c>
      <c r="K62" s="1">
        <f t="shared" ca="1" si="7"/>
        <v>2.3287207465132882</v>
      </c>
      <c r="L62" s="1">
        <f t="shared" ca="1" si="8"/>
        <v>23</v>
      </c>
      <c r="M62" s="1"/>
      <c r="N62" s="1">
        <f t="shared" ca="1" si="9"/>
        <v>179</v>
      </c>
      <c r="O62" s="1">
        <f t="shared" ca="1" si="10"/>
        <v>39</v>
      </c>
      <c r="P62" s="1"/>
      <c r="Q62" s="1">
        <f t="shared" ca="1" si="11"/>
        <v>4.019001383405409</v>
      </c>
      <c r="R62" s="1">
        <f t="shared" ca="1" si="12"/>
        <v>1076</v>
      </c>
      <c r="S62" s="1"/>
      <c r="T62" s="1">
        <f t="shared" ca="1" si="13"/>
        <v>0.15313892413583577</v>
      </c>
      <c r="U62" s="1">
        <f t="shared" ca="1" si="14"/>
        <v>429</v>
      </c>
      <c r="V62" s="1">
        <f t="shared" ca="1" si="15"/>
        <v>41</v>
      </c>
      <c r="W62" s="1"/>
      <c r="X62" s="1">
        <f t="shared" ca="1" si="16"/>
        <v>4.0273030771055378</v>
      </c>
      <c r="Y62" s="1">
        <f t="shared" ca="1" si="17"/>
        <v>0.96305763178135406</v>
      </c>
      <c r="Z62" s="1">
        <f t="shared" ca="1" si="18"/>
        <v>843</v>
      </c>
      <c r="AB62" s="1">
        <f t="shared" ca="1" si="19"/>
        <v>9.378469331926749E-2</v>
      </c>
      <c r="AC62" s="1">
        <f t="shared" ca="1" si="20"/>
        <v>634</v>
      </c>
      <c r="AD62" s="1">
        <f t="shared" ca="1" si="21"/>
        <v>4.4957730887668218E-3</v>
      </c>
      <c r="AE62" s="1"/>
      <c r="AF62" s="1">
        <f t="shared" ca="1" si="22"/>
        <v>0.50129114513860207</v>
      </c>
      <c r="AG62" s="1">
        <f t="shared" ca="1" si="23"/>
        <v>633</v>
      </c>
      <c r="AH62" s="1">
        <f t="shared" ca="1" si="24"/>
        <v>3.4908823804665617E-4</v>
      </c>
      <c r="AJ62" s="1">
        <f t="shared" ca="1" si="25"/>
        <v>0.86155513106621384</v>
      </c>
      <c r="AK62" s="1">
        <f t="shared" ca="1" si="26"/>
        <v>6.9047094392775009E-3</v>
      </c>
      <c r="AL62" s="1"/>
      <c r="AM62" s="1">
        <f t="shared" ca="1" si="27"/>
        <v>0.13647735256651355</v>
      </c>
      <c r="AN62" s="1">
        <f t="shared" ca="1" si="28"/>
        <v>53</v>
      </c>
      <c r="AO62" s="1">
        <f t="shared" ca="1" si="29"/>
        <v>2</v>
      </c>
    </row>
    <row r="63" spans="2:41" x14ac:dyDescent="0.25">
      <c r="B63">
        <f t="shared" ca="1" si="0"/>
        <v>77</v>
      </c>
      <c r="C63">
        <f t="shared" ca="1" si="1"/>
        <v>43</v>
      </c>
      <c r="D63">
        <f t="shared" ca="1" si="2"/>
        <v>0.16967655827614911</v>
      </c>
      <c r="F63" s="1">
        <f t="shared" ca="1" si="3"/>
        <v>20</v>
      </c>
      <c r="G63" s="1">
        <f t="shared" ca="1" si="4"/>
        <v>19</v>
      </c>
      <c r="H63" s="1">
        <f t="shared" ca="1" si="5"/>
        <v>5</v>
      </c>
      <c r="I63" s="1"/>
      <c r="J63" s="1">
        <f t="shared" ca="1" si="6"/>
        <v>9</v>
      </c>
      <c r="K63" s="1">
        <f t="shared" ca="1" si="7"/>
        <v>2.3143470998345235</v>
      </c>
      <c r="L63" s="1">
        <f t="shared" ca="1" si="8"/>
        <v>27</v>
      </c>
      <c r="M63" s="1"/>
      <c r="N63" s="1">
        <f t="shared" ca="1" si="9"/>
        <v>613</v>
      </c>
      <c r="O63" s="1">
        <f t="shared" ca="1" si="10"/>
        <v>9</v>
      </c>
      <c r="P63" s="1"/>
      <c r="Q63" s="1">
        <f t="shared" ca="1" si="11"/>
        <v>0.56894345840742189</v>
      </c>
      <c r="R63" s="1">
        <f t="shared" ca="1" si="12"/>
        <v>498</v>
      </c>
      <c r="S63" s="1"/>
      <c r="T63" s="1">
        <f t="shared" ca="1" si="13"/>
        <v>4.9778635153186424E-2</v>
      </c>
      <c r="U63" s="1">
        <f t="shared" ca="1" si="14"/>
        <v>212</v>
      </c>
      <c r="V63" s="1">
        <f t="shared" ca="1" si="15"/>
        <v>26</v>
      </c>
      <c r="W63" s="1"/>
      <c r="X63" s="1">
        <f t="shared" ca="1" si="16"/>
        <v>5.1534202771899285</v>
      </c>
      <c r="Y63" s="1">
        <f t="shared" ca="1" si="17"/>
        <v>0.91489130632529614</v>
      </c>
      <c r="Z63" s="1">
        <f t="shared" ca="1" si="18"/>
        <v>893</v>
      </c>
      <c r="AB63" s="1">
        <f t="shared" ca="1" si="19"/>
        <v>0.50067319890117368</v>
      </c>
      <c r="AC63" s="1">
        <f t="shared" ca="1" si="20"/>
        <v>823</v>
      </c>
      <c r="AD63" s="1">
        <f t="shared" ca="1" si="21"/>
        <v>8.6811258533589699E-3</v>
      </c>
      <c r="AE63" s="1"/>
      <c r="AF63" s="1">
        <f t="shared" ca="1" si="22"/>
        <v>0.51781554694476839</v>
      </c>
      <c r="AG63" s="1">
        <f t="shared" ca="1" si="23"/>
        <v>942</v>
      </c>
      <c r="AH63" s="1">
        <f t="shared" ca="1" si="24"/>
        <v>7.0090814461476973E-3</v>
      </c>
      <c r="AJ63" s="1">
        <f t="shared" ca="1" si="25"/>
        <v>3.2547518750779547E-3</v>
      </c>
      <c r="AK63" s="1">
        <f t="shared" ca="1" si="26"/>
        <v>1.5009770044327447E-3</v>
      </c>
      <c r="AL63" s="1"/>
      <c r="AM63" s="1">
        <f t="shared" ca="1" si="27"/>
        <v>0.1235067362997711</v>
      </c>
      <c r="AN63" s="1">
        <f t="shared" ca="1" si="28"/>
        <v>40</v>
      </c>
      <c r="AO63" s="1">
        <f t="shared" ca="1" si="29"/>
        <v>5</v>
      </c>
    </row>
    <row r="64" spans="2:41" x14ac:dyDescent="0.25">
      <c r="B64">
        <f t="shared" ca="1" si="0"/>
        <v>49</v>
      </c>
      <c r="C64">
        <f t="shared" ca="1" si="1"/>
        <v>48</v>
      </c>
      <c r="D64">
        <f t="shared" ca="1" si="2"/>
        <v>0.14385689148637421</v>
      </c>
      <c r="F64" s="1">
        <f t="shared" ca="1" si="3"/>
        <v>10</v>
      </c>
      <c r="G64" s="1">
        <f t="shared" ca="1" si="4"/>
        <v>17</v>
      </c>
      <c r="H64" s="1">
        <f t="shared" ca="1" si="5"/>
        <v>4</v>
      </c>
      <c r="I64" s="1"/>
      <c r="J64" s="1">
        <f t="shared" ca="1" si="6"/>
        <v>1</v>
      </c>
      <c r="K64" s="1">
        <f t="shared" ca="1" si="7"/>
        <v>2.9650587806957196</v>
      </c>
      <c r="L64" s="1">
        <f t="shared" ca="1" si="8"/>
        <v>26</v>
      </c>
      <c r="M64" s="1"/>
      <c r="N64" s="1">
        <f t="shared" ca="1" si="9"/>
        <v>88</v>
      </c>
      <c r="O64" s="1">
        <f t="shared" ca="1" si="10"/>
        <v>27</v>
      </c>
      <c r="P64" s="1"/>
      <c r="Q64" s="1">
        <f t="shared" ca="1" si="11"/>
        <v>1.7931200812728931</v>
      </c>
      <c r="R64" s="1">
        <f t="shared" ca="1" si="12"/>
        <v>218</v>
      </c>
      <c r="S64" s="1"/>
      <c r="T64" s="1">
        <f t="shared" ca="1" si="13"/>
        <v>0.13933383454269718</v>
      </c>
      <c r="U64" s="1">
        <f t="shared" ca="1" si="14"/>
        <v>340</v>
      </c>
      <c r="V64" s="1">
        <f t="shared" ca="1" si="15"/>
        <v>12</v>
      </c>
      <c r="W64" s="1"/>
      <c r="X64" s="1">
        <f t="shared" ca="1" si="16"/>
        <v>5.7592946603438326</v>
      </c>
      <c r="Y64" s="1">
        <f t="shared" ca="1" si="17"/>
        <v>0.30577139632673755</v>
      </c>
      <c r="Z64" s="1">
        <f t="shared" ca="1" si="18"/>
        <v>1179</v>
      </c>
      <c r="AB64" s="1">
        <f t="shared" ca="1" si="19"/>
        <v>0.47380574028189076</v>
      </c>
      <c r="AC64" s="1">
        <f t="shared" ca="1" si="20"/>
        <v>604</v>
      </c>
      <c r="AD64" s="1">
        <f t="shared" ca="1" si="21"/>
        <v>5.8218477460636525E-3</v>
      </c>
      <c r="AE64" s="1"/>
      <c r="AF64" s="1">
        <f t="shared" ca="1" si="22"/>
        <v>0.39205867522448112</v>
      </c>
      <c r="AG64" s="1">
        <f t="shared" ca="1" si="23"/>
        <v>216</v>
      </c>
      <c r="AH64" s="1">
        <f t="shared" ca="1" si="24"/>
        <v>9.7118536407323746E-3</v>
      </c>
      <c r="AJ64" s="1">
        <f t="shared" ca="1" si="25"/>
        <v>0.55443316267625986</v>
      </c>
      <c r="AK64" s="1">
        <f t="shared" ca="1" si="26"/>
        <v>4.8775857713712588E-3</v>
      </c>
      <c r="AL64" s="1"/>
      <c r="AM64" s="1">
        <f t="shared" ca="1" si="27"/>
        <v>0.16343630056122985</v>
      </c>
      <c r="AN64" s="1">
        <f t="shared" ca="1" si="28"/>
        <v>16</v>
      </c>
      <c r="AO64" s="1">
        <f t="shared" ca="1" si="29"/>
        <v>14</v>
      </c>
    </row>
    <row r="65" spans="2:41" x14ac:dyDescent="0.25">
      <c r="B65">
        <f t="shared" ca="1" si="0"/>
        <v>167</v>
      </c>
      <c r="C65">
        <f t="shared" ca="1" si="1"/>
        <v>3</v>
      </c>
      <c r="D65">
        <f t="shared" ca="1" si="2"/>
        <v>0.17663199924001277</v>
      </c>
      <c r="F65" s="1">
        <f t="shared" ca="1" si="3"/>
        <v>29</v>
      </c>
      <c r="G65" s="1">
        <f t="shared" ca="1" si="4"/>
        <v>28</v>
      </c>
      <c r="H65" s="1">
        <f t="shared" ca="1" si="5"/>
        <v>5</v>
      </c>
      <c r="I65" s="1"/>
      <c r="J65" s="1">
        <f t="shared" ca="1" si="6"/>
        <v>35</v>
      </c>
      <c r="K65" s="1">
        <f t="shared" ca="1" si="7"/>
        <v>2.3167924144367538</v>
      </c>
      <c r="L65" s="1">
        <f t="shared" ca="1" si="8"/>
        <v>20</v>
      </c>
      <c r="M65" s="1"/>
      <c r="N65" s="1">
        <f t="shared" ca="1" si="9"/>
        <v>745</v>
      </c>
      <c r="O65" s="1">
        <f t="shared" ca="1" si="10"/>
        <v>29</v>
      </c>
      <c r="P65" s="1"/>
      <c r="Q65" s="1">
        <f t="shared" ca="1" si="11"/>
        <v>4.5911854764098035</v>
      </c>
      <c r="R65" s="1">
        <f t="shared" ca="1" si="12"/>
        <v>606</v>
      </c>
      <c r="S65" s="1"/>
      <c r="T65" s="1">
        <f t="shared" ca="1" si="13"/>
        <v>0.1267088634620166</v>
      </c>
      <c r="U65" s="1">
        <f t="shared" ca="1" si="14"/>
        <v>191</v>
      </c>
      <c r="V65" s="1">
        <f t="shared" ca="1" si="15"/>
        <v>23</v>
      </c>
      <c r="W65" s="1"/>
      <c r="X65" s="1">
        <f t="shared" ca="1" si="16"/>
        <v>5.8230029184508112</v>
      </c>
      <c r="Y65" s="1">
        <f t="shared" ca="1" si="17"/>
        <v>1.8632298939852309E-2</v>
      </c>
      <c r="Z65" s="1">
        <f t="shared" ca="1" si="18"/>
        <v>1985</v>
      </c>
      <c r="AB65" s="1">
        <f t="shared" ca="1" si="19"/>
        <v>0.77620453277314116</v>
      </c>
      <c r="AC65" s="1">
        <f t="shared" ca="1" si="20"/>
        <v>878</v>
      </c>
      <c r="AD65" s="1">
        <f t="shared" ca="1" si="21"/>
        <v>4.5653367958049919E-3</v>
      </c>
      <c r="AE65" s="1"/>
      <c r="AF65" s="1">
        <f t="shared" ca="1" si="22"/>
        <v>0.51171830266623697</v>
      </c>
      <c r="AG65" s="1">
        <f t="shared" ca="1" si="23"/>
        <v>583</v>
      </c>
      <c r="AH65" s="1">
        <f t="shared" ca="1" si="24"/>
        <v>1.0683406832377527E-3</v>
      </c>
      <c r="AJ65" s="1">
        <f t="shared" ca="1" si="25"/>
        <v>0.52844872397479259</v>
      </c>
      <c r="AK65" s="1">
        <f t="shared" ca="1" si="26"/>
        <v>7.9545484558335815E-3</v>
      </c>
      <c r="AL65" s="1"/>
      <c r="AM65" s="1">
        <f t="shared" ca="1" si="27"/>
        <v>1.4418478873846466E-2</v>
      </c>
      <c r="AN65" s="1">
        <f t="shared" ca="1" si="28"/>
        <v>44</v>
      </c>
      <c r="AO65" s="1">
        <f t="shared" ca="1" si="29"/>
        <v>13</v>
      </c>
    </row>
    <row r="66" spans="2:41" x14ac:dyDescent="0.25">
      <c r="B66">
        <f t="shared" ca="1" si="0"/>
        <v>304</v>
      </c>
      <c r="C66">
        <f t="shared" ca="1" si="1"/>
        <v>44</v>
      </c>
      <c r="D66">
        <f t="shared" ca="1" si="2"/>
        <v>0.14614242992775936</v>
      </c>
      <c r="F66" s="1">
        <f t="shared" ca="1" si="3"/>
        <v>19</v>
      </c>
      <c r="G66" s="1">
        <f t="shared" ca="1" si="4"/>
        <v>24</v>
      </c>
      <c r="H66" s="1">
        <f t="shared" ca="1" si="5"/>
        <v>11</v>
      </c>
      <c r="I66" s="1"/>
      <c r="J66" s="1">
        <f t="shared" ca="1" si="6"/>
        <v>34</v>
      </c>
      <c r="K66" s="1">
        <f t="shared" ca="1" si="7"/>
        <v>1.9975105844770933</v>
      </c>
      <c r="L66" s="1">
        <f t="shared" ca="1" si="8"/>
        <v>2</v>
      </c>
      <c r="M66" s="1"/>
      <c r="N66" s="1">
        <f t="shared" ca="1" si="9"/>
        <v>738</v>
      </c>
      <c r="O66" s="1">
        <f t="shared" ca="1" si="10"/>
        <v>41</v>
      </c>
      <c r="P66" s="1"/>
      <c r="Q66" s="1">
        <f t="shared" ca="1" si="11"/>
        <v>1.9897268272599613</v>
      </c>
      <c r="R66" s="1">
        <f t="shared" ca="1" si="12"/>
        <v>450</v>
      </c>
      <c r="S66" s="1"/>
      <c r="T66" s="1">
        <f t="shared" ca="1" si="13"/>
        <v>0.19123682422970639</v>
      </c>
      <c r="U66" s="1">
        <f t="shared" ca="1" si="14"/>
        <v>134</v>
      </c>
      <c r="V66" s="1">
        <f t="shared" ca="1" si="15"/>
        <v>11</v>
      </c>
      <c r="W66" s="1"/>
      <c r="X66" s="1">
        <f t="shared" ca="1" si="16"/>
        <v>9.0577240117460764</v>
      </c>
      <c r="Y66" s="1">
        <f t="shared" ca="1" si="17"/>
        <v>0.40070537822336949</v>
      </c>
      <c r="Z66" s="1">
        <f t="shared" ca="1" si="18"/>
        <v>1781</v>
      </c>
      <c r="AB66" s="1">
        <f t="shared" ca="1" si="19"/>
        <v>3.7331889862328736E-2</v>
      </c>
      <c r="AC66" s="1">
        <f t="shared" ca="1" si="20"/>
        <v>143</v>
      </c>
      <c r="AD66" s="1">
        <f t="shared" ca="1" si="21"/>
        <v>6.3772076874242661E-3</v>
      </c>
      <c r="AE66" s="1"/>
      <c r="AF66" s="1">
        <f t="shared" ca="1" si="22"/>
        <v>0.16530583921696218</v>
      </c>
      <c r="AG66" s="1">
        <f t="shared" ca="1" si="23"/>
        <v>900</v>
      </c>
      <c r="AH66" s="1">
        <f t="shared" ca="1" si="24"/>
        <v>8.4279301101042141E-3</v>
      </c>
      <c r="AJ66" s="1">
        <f t="shared" ca="1" si="25"/>
        <v>0.13139031440208537</v>
      </c>
      <c r="AK66" s="1">
        <f t="shared" ca="1" si="26"/>
        <v>6.0781679454374902E-3</v>
      </c>
      <c r="AL66" s="1"/>
      <c r="AM66" s="1">
        <f t="shared" ca="1" si="27"/>
        <v>6.731763712588501E-2</v>
      </c>
      <c r="AN66" s="1">
        <f t="shared" ca="1" si="28"/>
        <v>73</v>
      </c>
      <c r="AO66" s="1">
        <f t="shared" ca="1" si="29"/>
        <v>13</v>
      </c>
    </row>
    <row r="67" spans="2:41" x14ac:dyDescent="0.25">
      <c r="B67">
        <f t="shared" ca="1" si="0"/>
        <v>164</v>
      </c>
      <c r="C67">
        <f t="shared" ca="1" si="1"/>
        <v>4</v>
      </c>
      <c r="D67">
        <f t="shared" ca="1" si="2"/>
        <v>2.6873680397618976E-2</v>
      </c>
      <c r="F67" s="1">
        <f t="shared" ca="1" si="3"/>
        <v>44</v>
      </c>
      <c r="G67" s="1">
        <f t="shared" ca="1" si="4"/>
        <v>21</v>
      </c>
      <c r="H67" s="1">
        <f t="shared" ca="1" si="5"/>
        <v>2</v>
      </c>
      <c r="I67" s="1"/>
      <c r="J67" s="1">
        <f t="shared" ca="1" si="6"/>
        <v>32</v>
      </c>
      <c r="K67" s="1">
        <f t="shared" ca="1" si="7"/>
        <v>1.3047651416945445</v>
      </c>
      <c r="L67" s="1">
        <f t="shared" ca="1" si="8"/>
        <v>24</v>
      </c>
      <c r="M67" s="1"/>
      <c r="N67" s="1">
        <f t="shared" ca="1" si="9"/>
        <v>248</v>
      </c>
      <c r="O67" s="1">
        <f t="shared" ca="1" si="10"/>
        <v>2</v>
      </c>
      <c r="P67" s="1"/>
      <c r="Q67" s="1">
        <f t="shared" ca="1" si="11"/>
        <v>3.1746834735016258</v>
      </c>
      <c r="R67" s="1">
        <f t="shared" ca="1" si="12"/>
        <v>460</v>
      </c>
      <c r="S67" s="1"/>
      <c r="T67" s="1">
        <f t="shared" ca="1" si="13"/>
        <v>0.16651152047724685</v>
      </c>
      <c r="U67" s="1">
        <f t="shared" ca="1" si="14"/>
        <v>227</v>
      </c>
      <c r="V67" s="1">
        <f t="shared" ca="1" si="15"/>
        <v>52</v>
      </c>
      <c r="W67" s="1"/>
      <c r="X67" s="1">
        <f t="shared" ca="1" si="16"/>
        <v>9.8539897188835699</v>
      </c>
      <c r="Y67" s="1">
        <f t="shared" ca="1" si="17"/>
        <v>0.42085420782426747</v>
      </c>
      <c r="Z67" s="1">
        <f t="shared" ca="1" si="18"/>
        <v>882</v>
      </c>
      <c r="AB67" s="1">
        <f t="shared" ca="1" si="19"/>
        <v>0.82630902775315707</v>
      </c>
      <c r="AC67" s="1">
        <f t="shared" ca="1" si="20"/>
        <v>998</v>
      </c>
      <c r="AD67" s="1">
        <f t="shared" ca="1" si="21"/>
        <v>6.35075413220437E-3</v>
      </c>
      <c r="AE67" s="1"/>
      <c r="AF67" s="1">
        <f t="shared" ca="1" si="22"/>
        <v>0.49241455533568101</v>
      </c>
      <c r="AG67" s="1">
        <f t="shared" ca="1" si="23"/>
        <v>372</v>
      </c>
      <c r="AH67" s="1">
        <f t="shared" ca="1" si="24"/>
        <v>7.8626257826300856E-3</v>
      </c>
      <c r="AJ67" s="1">
        <f t="shared" ca="1" si="25"/>
        <v>0.53241828811124703</v>
      </c>
      <c r="AK67" s="1">
        <f t="shared" ca="1" si="26"/>
        <v>9.9674525323998914E-4</v>
      </c>
      <c r="AL67" s="1"/>
      <c r="AM67" s="1">
        <f t="shared" ca="1" si="27"/>
        <v>0.13431563692392767</v>
      </c>
      <c r="AN67" s="1">
        <f t="shared" ca="1" si="28"/>
        <v>70</v>
      </c>
      <c r="AO67" s="1">
        <f t="shared" ca="1" si="29"/>
        <v>14</v>
      </c>
    </row>
    <row r="68" spans="2:41" x14ac:dyDescent="0.25">
      <c r="B68">
        <f t="shared" ref="B68:B131" ca="1" si="30">RANDBETWEEN(15,1000)</f>
        <v>507</v>
      </c>
      <c r="C68">
        <f t="shared" ref="C68:C131" ca="1" si="31">RANDBETWEEN(2,52)</f>
        <v>39</v>
      </c>
      <c r="D68">
        <f t="shared" ref="D68:D131" ca="1" si="32">RAND()*(0.3-0.01)+0.01</f>
        <v>0.29374634373630693</v>
      </c>
      <c r="F68" s="1">
        <f t="shared" ref="F68:F131" ca="1" si="33">RANDBETWEEN(2,52)</f>
        <v>20</v>
      </c>
      <c r="G68" s="1">
        <f t="shared" ref="G68:G131" ca="1" si="34">RANDBETWEEN(2,30)</f>
        <v>26</v>
      </c>
      <c r="H68" s="1">
        <f t="shared" ref="H68:H131" ca="1" si="35">RANDBETWEEN(1,15)</f>
        <v>8</v>
      </c>
      <c r="I68" s="1"/>
      <c r="J68" s="1">
        <f t="shared" ref="J68:J131" ca="1" si="36">RANDBETWEEN(1,39)</f>
        <v>1</v>
      </c>
      <c r="K68" s="1">
        <f t="shared" ref="K68:K131" ca="1" si="37">RAND()*(3-1)+1</f>
        <v>2.6284820254455821</v>
      </c>
      <c r="L68" s="1">
        <f t="shared" ref="L68:L131" ca="1" si="38">RANDBETWEEN(2,35)</f>
        <v>31</v>
      </c>
      <c r="M68" s="1"/>
      <c r="N68" s="1">
        <f t="shared" ref="N68:N131" ca="1" si="39">RANDBETWEEN(15,1000)</f>
        <v>488</v>
      </c>
      <c r="O68" s="1">
        <f t="shared" ref="O68:O131" ca="1" si="40">RANDBETWEEN(2,52)</f>
        <v>46</v>
      </c>
      <c r="P68" s="1"/>
      <c r="Q68" s="1">
        <f t="shared" ref="Q68:Q131" ca="1" si="41">RAND()*(5-0.01)+0.01</f>
        <v>2.4740528818061205</v>
      </c>
      <c r="R68" s="1">
        <f t="shared" ref="R68:R131" ca="1" si="42">RANDBETWEEN(200,1200)</f>
        <v>515</v>
      </c>
      <c r="S68" s="1"/>
      <c r="T68" s="1">
        <f t="shared" ref="T68:T131" ca="1" si="43">RAND()*(0.2-0.01)+0.01</f>
        <v>0.16717289993497644</v>
      </c>
      <c r="U68" s="1">
        <f t="shared" ref="U68:U131" ca="1" si="44">RANDBETWEEN(50,450)</f>
        <v>354</v>
      </c>
      <c r="V68" s="1">
        <f t="shared" ref="V68:V131" ca="1" si="45">RANDBETWEEN(2,52)</f>
        <v>22</v>
      </c>
      <c r="W68" s="1"/>
      <c r="X68" s="1">
        <f t="shared" ref="X68:X131" ca="1" si="46">RAND()*(10-0.01)+0.01</f>
        <v>2.2286972502066562</v>
      </c>
      <c r="Y68" s="1">
        <f t="shared" ref="Y68:Y131" ca="1" si="47">RAND()*(1-0.0001)+0.0001</f>
        <v>0.70803519923757285</v>
      </c>
      <c r="Z68" s="1">
        <f t="shared" ref="Z68:Z131" ca="1" si="48">RANDBETWEEN(100,2000)</f>
        <v>1681</v>
      </c>
      <c r="AB68" s="1">
        <f t="shared" ref="AB68:AB131" ca="1" si="49">RAND()*(1-0.0001)+0.0001</f>
        <v>0.9892779520456132</v>
      </c>
      <c r="AC68" s="1">
        <f t="shared" ref="AC68:AC131" ca="1" si="50">RANDBETWEEN(100,1000)</f>
        <v>229</v>
      </c>
      <c r="AD68" s="1">
        <f t="shared" ref="AD68:AD131" ca="1" si="51">RAND()*(0.01-0.00001)+0.00001</f>
        <v>3.2587244441514953E-3</v>
      </c>
      <c r="AE68" s="1"/>
      <c r="AF68" s="1">
        <f t="shared" ref="AF68:AF131" ca="1" si="52">RAND()*(0.9-0.1)+0.1</f>
        <v>0.14803689106691753</v>
      </c>
      <c r="AG68" s="1">
        <f t="shared" ref="AG68:AG131" ca="1" si="53">RANDBETWEEN(100,1000)</f>
        <v>122</v>
      </c>
      <c r="AH68" s="1">
        <f t="shared" ref="AH68:AH131" ca="1" si="54">RAND()*(0.01-0.00001)+0.00001</f>
        <v>4.9651100972493934E-3</v>
      </c>
      <c r="AJ68" s="1">
        <f t="shared" ref="AJ68:AJ131" ca="1" si="55">RAND()*(1-0)+0</f>
        <v>0.69045789491507126</v>
      </c>
      <c r="AK68" s="1">
        <f t="shared" ref="AK68:AK131" ca="1" si="56">RAND()*(0.01-0.00001)+0.00001</f>
        <v>8.6788200363917909E-3</v>
      </c>
      <c r="AL68" s="1"/>
      <c r="AM68" s="1">
        <f t="shared" ref="AM68:AM131" ca="1" si="57">RAND()*(0.2-0.005)+0.005</f>
        <v>1.8566662788466536E-2</v>
      </c>
      <c r="AN68" s="1">
        <f t="shared" ref="AN68:AN131" ca="1" si="58">RANDBETWEEN(10,80)</f>
        <v>62</v>
      </c>
      <c r="AO68" s="1">
        <f t="shared" ref="AO68:AO131" ca="1" si="59">RANDBETWEEN(-1,20)</f>
        <v>15</v>
      </c>
    </row>
    <row r="69" spans="2:41" x14ac:dyDescent="0.25">
      <c r="B69">
        <f t="shared" ca="1" si="30"/>
        <v>580</v>
      </c>
      <c r="C69">
        <f t="shared" ca="1" si="31"/>
        <v>44</v>
      </c>
      <c r="D69">
        <f t="shared" ca="1" si="32"/>
        <v>0.21817420536635537</v>
      </c>
      <c r="F69" s="1">
        <f t="shared" ca="1" si="33"/>
        <v>17</v>
      </c>
      <c r="G69" s="1">
        <f t="shared" ca="1" si="34"/>
        <v>29</v>
      </c>
      <c r="H69" s="1">
        <f t="shared" ca="1" si="35"/>
        <v>13</v>
      </c>
      <c r="I69" s="1"/>
      <c r="J69" s="1">
        <f t="shared" ca="1" si="36"/>
        <v>27</v>
      </c>
      <c r="K69" s="1">
        <f t="shared" ca="1" si="37"/>
        <v>1.4938414504555615</v>
      </c>
      <c r="L69" s="1">
        <f t="shared" ca="1" si="38"/>
        <v>30</v>
      </c>
      <c r="M69" s="1"/>
      <c r="N69" s="1">
        <f t="shared" ca="1" si="39"/>
        <v>858</v>
      </c>
      <c r="O69" s="1">
        <f t="shared" ca="1" si="40"/>
        <v>21</v>
      </c>
      <c r="P69" s="1"/>
      <c r="Q69" s="1">
        <f t="shared" ca="1" si="41"/>
        <v>1.7974600736042363</v>
      </c>
      <c r="R69" s="1">
        <f t="shared" ca="1" si="42"/>
        <v>1124</v>
      </c>
      <c r="S69" s="1"/>
      <c r="T69" s="1">
        <f t="shared" ca="1" si="43"/>
        <v>0.15417080260331656</v>
      </c>
      <c r="U69" s="1">
        <f t="shared" ca="1" si="44"/>
        <v>177</v>
      </c>
      <c r="V69" s="1">
        <f t="shared" ca="1" si="45"/>
        <v>30</v>
      </c>
      <c r="W69" s="1"/>
      <c r="X69" s="1">
        <f t="shared" ca="1" si="46"/>
        <v>3.7380928144421945</v>
      </c>
      <c r="Y69" s="1">
        <f t="shared" ca="1" si="47"/>
        <v>0.54463482079354453</v>
      </c>
      <c r="Z69" s="1">
        <f t="shared" ca="1" si="48"/>
        <v>770</v>
      </c>
      <c r="AB69" s="1">
        <f t="shared" ca="1" si="49"/>
        <v>0.27254152997768621</v>
      </c>
      <c r="AC69" s="1">
        <f t="shared" ca="1" si="50"/>
        <v>274</v>
      </c>
      <c r="AD69" s="1">
        <f t="shared" ca="1" si="51"/>
        <v>7.2849865572826187E-3</v>
      </c>
      <c r="AE69" s="1"/>
      <c r="AF69" s="1">
        <f t="shared" ca="1" si="52"/>
        <v>0.87379803503744857</v>
      </c>
      <c r="AG69" s="1">
        <f t="shared" ca="1" si="53"/>
        <v>320</v>
      </c>
      <c r="AH69" s="1">
        <f t="shared" ca="1" si="54"/>
        <v>5.4864014293108372E-4</v>
      </c>
      <c r="AJ69" s="1">
        <f t="shared" ca="1" si="55"/>
        <v>0.82327515382829053</v>
      </c>
      <c r="AK69" s="1">
        <f t="shared" ca="1" si="56"/>
        <v>9.2061254492755012E-3</v>
      </c>
      <c r="AL69" s="1"/>
      <c r="AM69" s="1">
        <f t="shared" ca="1" si="57"/>
        <v>0.12891881881457651</v>
      </c>
      <c r="AN69" s="1">
        <f t="shared" ca="1" si="58"/>
        <v>38</v>
      </c>
      <c r="AO69" s="1">
        <f t="shared" ca="1" si="59"/>
        <v>9</v>
      </c>
    </row>
    <row r="70" spans="2:41" x14ac:dyDescent="0.25">
      <c r="B70">
        <f t="shared" ca="1" si="30"/>
        <v>881</v>
      </c>
      <c r="C70">
        <f t="shared" ca="1" si="31"/>
        <v>16</v>
      </c>
      <c r="D70">
        <f t="shared" ca="1" si="32"/>
        <v>0.27331012150196987</v>
      </c>
      <c r="F70" s="1">
        <f t="shared" ca="1" si="33"/>
        <v>30</v>
      </c>
      <c r="G70" s="1">
        <f t="shared" ca="1" si="34"/>
        <v>11</v>
      </c>
      <c r="H70" s="1">
        <f t="shared" ca="1" si="35"/>
        <v>7</v>
      </c>
      <c r="I70" s="1"/>
      <c r="J70" s="1">
        <f t="shared" ca="1" si="36"/>
        <v>29</v>
      </c>
      <c r="K70" s="1">
        <f t="shared" ca="1" si="37"/>
        <v>2.4833453098644545</v>
      </c>
      <c r="L70" s="1">
        <f t="shared" ca="1" si="38"/>
        <v>21</v>
      </c>
      <c r="M70" s="1"/>
      <c r="N70" s="1">
        <f t="shared" ca="1" si="39"/>
        <v>697</v>
      </c>
      <c r="O70" s="1">
        <f t="shared" ca="1" si="40"/>
        <v>22</v>
      </c>
      <c r="P70" s="1"/>
      <c r="Q70" s="1">
        <f t="shared" ca="1" si="41"/>
        <v>0.34224002537620352</v>
      </c>
      <c r="R70" s="1">
        <f t="shared" ca="1" si="42"/>
        <v>288</v>
      </c>
      <c r="S70" s="1"/>
      <c r="T70" s="1">
        <f t="shared" ca="1" si="43"/>
        <v>1.7692755325461711E-2</v>
      </c>
      <c r="U70" s="1">
        <f t="shared" ca="1" si="44"/>
        <v>333</v>
      </c>
      <c r="V70" s="1">
        <f t="shared" ca="1" si="45"/>
        <v>18</v>
      </c>
      <c r="W70" s="1"/>
      <c r="X70" s="1">
        <f t="shared" ca="1" si="46"/>
        <v>8.4500909654540823</v>
      </c>
      <c r="Y70" s="1">
        <f t="shared" ca="1" si="47"/>
        <v>0.12180217387493984</v>
      </c>
      <c r="Z70" s="1">
        <f t="shared" ca="1" si="48"/>
        <v>118</v>
      </c>
      <c r="AB70" s="1">
        <f t="shared" ca="1" si="49"/>
        <v>0.9074679450408778</v>
      </c>
      <c r="AC70" s="1">
        <f t="shared" ca="1" si="50"/>
        <v>863</v>
      </c>
      <c r="AD70" s="1">
        <f t="shared" ca="1" si="51"/>
        <v>7.456905104148287E-3</v>
      </c>
      <c r="AE70" s="1"/>
      <c r="AF70" s="1">
        <f t="shared" ca="1" si="52"/>
        <v>0.49115555767237162</v>
      </c>
      <c r="AG70" s="1">
        <f t="shared" ca="1" si="53"/>
        <v>191</v>
      </c>
      <c r="AH70" s="1">
        <f t="shared" ca="1" si="54"/>
        <v>2.1394818479831424E-3</v>
      </c>
      <c r="AJ70" s="1">
        <f t="shared" ca="1" si="55"/>
        <v>0.82162247586043957</v>
      </c>
      <c r="AK70" s="1">
        <f t="shared" ca="1" si="56"/>
        <v>8.9900044424896675E-3</v>
      </c>
      <c r="AL70" s="1"/>
      <c r="AM70" s="1">
        <f t="shared" ca="1" si="57"/>
        <v>0.10987773878189032</v>
      </c>
      <c r="AN70" s="1">
        <f t="shared" ca="1" si="58"/>
        <v>13</v>
      </c>
      <c r="AO70" s="1">
        <f t="shared" ca="1" si="59"/>
        <v>15</v>
      </c>
    </row>
    <row r="71" spans="2:41" x14ac:dyDescent="0.25">
      <c r="B71">
        <f t="shared" ca="1" si="30"/>
        <v>524</v>
      </c>
      <c r="C71">
        <f t="shared" ca="1" si="31"/>
        <v>9</v>
      </c>
      <c r="D71">
        <f t="shared" ca="1" si="32"/>
        <v>6.7621731274227784E-2</v>
      </c>
      <c r="F71" s="1">
        <f t="shared" ca="1" si="33"/>
        <v>36</v>
      </c>
      <c r="G71" s="1">
        <f t="shared" ca="1" si="34"/>
        <v>18</v>
      </c>
      <c r="H71" s="1">
        <f t="shared" ca="1" si="35"/>
        <v>1</v>
      </c>
      <c r="I71" s="1"/>
      <c r="J71" s="1">
        <f t="shared" ca="1" si="36"/>
        <v>6</v>
      </c>
      <c r="K71" s="1">
        <f t="shared" ca="1" si="37"/>
        <v>2.8277150652935661</v>
      </c>
      <c r="L71" s="1">
        <f t="shared" ca="1" si="38"/>
        <v>34</v>
      </c>
      <c r="M71" s="1"/>
      <c r="N71" s="1">
        <f t="shared" ca="1" si="39"/>
        <v>955</v>
      </c>
      <c r="O71" s="1">
        <f t="shared" ca="1" si="40"/>
        <v>37</v>
      </c>
      <c r="P71" s="1"/>
      <c r="Q71" s="1">
        <f t="shared" ca="1" si="41"/>
        <v>4.5831902419761583</v>
      </c>
      <c r="R71" s="1">
        <f t="shared" ca="1" si="42"/>
        <v>385</v>
      </c>
      <c r="S71" s="1"/>
      <c r="T71" s="1">
        <f t="shared" ca="1" si="43"/>
        <v>8.7615020317286685E-2</v>
      </c>
      <c r="U71" s="1">
        <f t="shared" ca="1" si="44"/>
        <v>408</v>
      </c>
      <c r="V71" s="1">
        <f t="shared" ca="1" si="45"/>
        <v>52</v>
      </c>
      <c r="W71" s="1"/>
      <c r="X71" s="1">
        <f t="shared" ca="1" si="46"/>
        <v>7.9555190016081685</v>
      </c>
      <c r="Y71" s="1">
        <f t="shared" ca="1" si="47"/>
        <v>0.41894925042999104</v>
      </c>
      <c r="Z71" s="1">
        <f t="shared" ca="1" si="48"/>
        <v>1674</v>
      </c>
      <c r="AB71" s="1">
        <f t="shared" ca="1" si="49"/>
        <v>0.47258907398524264</v>
      </c>
      <c r="AC71" s="1">
        <f t="shared" ca="1" si="50"/>
        <v>820</v>
      </c>
      <c r="AD71" s="1">
        <f t="shared" ca="1" si="51"/>
        <v>2.3412134189163608E-3</v>
      </c>
      <c r="AE71" s="1"/>
      <c r="AF71" s="1">
        <f t="shared" ca="1" si="52"/>
        <v>0.2104855689561953</v>
      </c>
      <c r="AG71" s="1">
        <f t="shared" ca="1" si="53"/>
        <v>313</v>
      </c>
      <c r="AH71" s="1">
        <f t="shared" ca="1" si="54"/>
        <v>7.8328639144171867E-3</v>
      </c>
      <c r="AJ71" s="1">
        <f t="shared" ca="1" si="55"/>
        <v>0.51827641355749088</v>
      </c>
      <c r="AK71" s="1">
        <f t="shared" ca="1" si="56"/>
        <v>2.0247305053797816E-3</v>
      </c>
      <c r="AL71" s="1"/>
      <c r="AM71" s="1">
        <f t="shared" ca="1" si="57"/>
        <v>8.7996325273581297E-2</v>
      </c>
      <c r="AN71" s="1">
        <f t="shared" ca="1" si="58"/>
        <v>37</v>
      </c>
      <c r="AO71" s="1">
        <f t="shared" ca="1" si="59"/>
        <v>6</v>
      </c>
    </row>
    <row r="72" spans="2:41" x14ac:dyDescent="0.25">
      <c r="B72">
        <f t="shared" ca="1" si="30"/>
        <v>184</v>
      </c>
      <c r="C72">
        <f t="shared" ca="1" si="31"/>
        <v>14</v>
      </c>
      <c r="D72">
        <f t="shared" ca="1" si="32"/>
        <v>0.1459649479503396</v>
      </c>
      <c r="F72" s="1">
        <f t="shared" ca="1" si="33"/>
        <v>24</v>
      </c>
      <c r="G72" s="1">
        <f t="shared" ca="1" si="34"/>
        <v>22</v>
      </c>
      <c r="H72" s="1">
        <f t="shared" ca="1" si="35"/>
        <v>2</v>
      </c>
      <c r="I72" s="1"/>
      <c r="J72" s="1">
        <f t="shared" ca="1" si="36"/>
        <v>36</v>
      </c>
      <c r="K72" s="1">
        <f t="shared" ca="1" si="37"/>
        <v>1.8576958493415432</v>
      </c>
      <c r="L72" s="1">
        <f t="shared" ca="1" si="38"/>
        <v>9</v>
      </c>
      <c r="M72" s="1"/>
      <c r="N72" s="1">
        <f t="shared" ca="1" si="39"/>
        <v>419</v>
      </c>
      <c r="O72" s="1">
        <f t="shared" ca="1" si="40"/>
        <v>15</v>
      </c>
      <c r="P72" s="1"/>
      <c r="Q72" s="1">
        <f t="shared" ca="1" si="41"/>
        <v>1.4797996638729609</v>
      </c>
      <c r="R72" s="1">
        <f t="shared" ca="1" si="42"/>
        <v>919</v>
      </c>
      <c r="S72" s="1"/>
      <c r="T72" s="1">
        <f t="shared" ca="1" si="43"/>
        <v>0.12128304835051407</v>
      </c>
      <c r="U72" s="1">
        <f t="shared" ca="1" si="44"/>
        <v>329</v>
      </c>
      <c r="V72" s="1">
        <f t="shared" ca="1" si="45"/>
        <v>50</v>
      </c>
      <c r="W72" s="1"/>
      <c r="X72" s="1">
        <f t="shared" ca="1" si="46"/>
        <v>3.1513637723786099</v>
      </c>
      <c r="Y72" s="1">
        <f t="shared" ca="1" si="47"/>
        <v>0.17840868198178766</v>
      </c>
      <c r="Z72" s="1">
        <f t="shared" ca="1" si="48"/>
        <v>618</v>
      </c>
      <c r="AB72" s="1">
        <f t="shared" ca="1" si="49"/>
        <v>0.93344599045916499</v>
      </c>
      <c r="AC72" s="1">
        <f t="shared" ca="1" si="50"/>
        <v>232</v>
      </c>
      <c r="AD72" s="1">
        <f t="shared" ca="1" si="51"/>
        <v>3.7046985792772687E-3</v>
      </c>
      <c r="AE72" s="1"/>
      <c r="AF72" s="1">
        <f t="shared" ca="1" si="52"/>
        <v>0.73014755274746135</v>
      </c>
      <c r="AG72" s="1">
        <f t="shared" ca="1" si="53"/>
        <v>915</v>
      </c>
      <c r="AH72" s="1">
        <f t="shared" ca="1" si="54"/>
        <v>2.5627025157892065E-3</v>
      </c>
      <c r="AJ72" s="1">
        <f t="shared" ca="1" si="55"/>
        <v>0.83253206235048804</v>
      </c>
      <c r="AK72" s="1">
        <f t="shared" ca="1" si="56"/>
        <v>2.1793193917391189E-3</v>
      </c>
      <c r="AL72" s="1"/>
      <c r="AM72" s="1">
        <f t="shared" ca="1" si="57"/>
        <v>0.19988948263177697</v>
      </c>
      <c r="AN72" s="1">
        <f t="shared" ca="1" si="58"/>
        <v>52</v>
      </c>
      <c r="AO72" s="1">
        <f t="shared" ca="1" si="59"/>
        <v>2</v>
      </c>
    </row>
    <row r="73" spans="2:41" x14ac:dyDescent="0.25">
      <c r="B73">
        <f t="shared" ca="1" si="30"/>
        <v>463</v>
      </c>
      <c r="C73">
        <f t="shared" ca="1" si="31"/>
        <v>33</v>
      </c>
      <c r="D73">
        <f t="shared" ca="1" si="32"/>
        <v>0.18430872950257249</v>
      </c>
      <c r="F73" s="1">
        <f t="shared" ca="1" si="33"/>
        <v>27</v>
      </c>
      <c r="G73" s="1">
        <f t="shared" ca="1" si="34"/>
        <v>18</v>
      </c>
      <c r="H73" s="1">
        <f t="shared" ca="1" si="35"/>
        <v>8</v>
      </c>
      <c r="I73" s="1"/>
      <c r="J73" s="1">
        <f t="shared" ca="1" si="36"/>
        <v>37</v>
      </c>
      <c r="K73" s="1">
        <f t="shared" ca="1" si="37"/>
        <v>2.2911576440150787</v>
      </c>
      <c r="L73" s="1">
        <f t="shared" ca="1" si="38"/>
        <v>7</v>
      </c>
      <c r="M73" s="1"/>
      <c r="N73" s="1">
        <f t="shared" ca="1" si="39"/>
        <v>265</v>
      </c>
      <c r="O73" s="1">
        <f t="shared" ca="1" si="40"/>
        <v>21</v>
      </c>
      <c r="P73" s="1"/>
      <c r="Q73" s="1">
        <f t="shared" ca="1" si="41"/>
        <v>3.4618087337645513</v>
      </c>
      <c r="R73" s="1">
        <f t="shared" ca="1" si="42"/>
        <v>1192</v>
      </c>
      <c r="S73" s="1"/>
      <c r="T73" s="1">
        <f t="shared" ca="1" si="43"/>
        <v>0.10281766404700583</v>
      </c>
      <c r="U73" s="1">
        <f t="shared" ca="1" si="44"/>
        <v>322</v>
      </c>
      <c r="V73" s="1">
        <f t="shared" ca="1" si="45"/>
        <v>8</v>
      </c>
      <c r="W73" s="1"/>
      <c r="X73" s="1">
        <f t="shared" ca="1" si="46"/>
        <v>4.421771482518964</v>
      </c>
      <c r="Y73" s="1">
        <f t="shared" ca="1" si="47"/>
        <v>0.77187069230152217</v>
      </c>
      <c r="Z73" s="1">
        <f t="shared" ca="1" si="48"/>
        <v>1439</v>
      </c>
      <c r="AB73" s="1">
        <f t="shared" ca="1" si="49"/>
        <v>0.38111229353048159</v>
      </c>
      <c r="AC73" s="1">
        <f t="shared" ca="1" si="50"/>
        <v>859</v>
      </c>
      <c r="AD73" s="1">
        <f t="shared" ca="1" si="51"/>
        <v>9.9021733523196633E-3</v>
      </c>
      <c r="AE73" s="1"/>
      <c r="AF73" s="1">
        <f t="shared" ca="1" si="52"/>
        <v>0.361688818677385</v>
      </c>
      <c r="AG73" s="1">
        <f t="shared" ca="1" si="53"/>
        <v>118</v>
      </c>
      <c r="AH73" s="1">
        <f t="shared" ca="1" si="54"/>
        <v>2.3517520989403146E-3</v>
      </c>
      <c r="AJ73" s="1">
        <f t="shared" ca="1" si="55"/>
        <v>0.81765061457559429</v>
      </c>
      <c r="AK73" s="1">
        <f t="shared" ca="1" si="56"/>
        <v>2.7565362164130073E-3</v>
      </c>
      <c r="AL73" s="1"/>
      <c r="AM73" s="1">
        <f t="shared" ca="1" si="57"/>
        <v>5.5394834492226222E-2</v>
      </c>
      <c r="AN73" s="1">
        <f t="shared" ca="1" si="58"/>
        <v>71</v>
      </c>
      <c r="AO73" s="1">
        <f t="shared" ca="1" si="59"/>
        <v>6</v>
      </c>
    </row>
    <row r="74" spans="2:41" x14ac:dyDescent="0.25">
      <c r="B74">
        <f t="shared" ca="1" si="30"/>
        <v>604</v>
      </c>
      <c r="C74">
        <f t="shared" ca="1" si="31"/>
        <v>36</v>
      </c>
      <c r="D74">
        <f t="shared" ca="1" si="32"/>
        <v>8.2847985484612377E-2</v>
      </c>
      <c r="F74" s="1">
        <f t="shared" ca="1" si="33"/>
        <v>30</v>
      </c>
      <c r="G74" s="1">
        <f t="shared" ca="1" si="34"/>
        <v>2</v>
      </c>
      <c r="H74" s="1">
        <f t="shared" ca="1" si="35"/>
        <v>13</v>
      </c>
      <c r="I74" s="1"/>
      <c r="J74" s="1">
        <f t="shared" ca="1" si="36"/>
        <v>30</v>
      </c>
      <c r="K74" s="1">
        <f t="shared" ca="1" si="37"/>
        <v>2.7025886152054062</v>
      </c>
      <c r="L74" s="1">
        <f t="shared" ca="1" si="38"/>
        <v>18</v>
      </c>
      <c r="M74" s="1"/>
      <c r="N74" s="1">
        <f t="shared" ca="1" si="39"/>
        <v>577</v>
      </c>
      <c r="O74" s="1">
        <f t="shared" ca="1" si="40"/>
        <v>19</v>
      </c>
      <c r="P74" s="1"/>
      <c r="Q74" s="1">
        <f t="shared" ca="1" si="41"/>
        <v>0.86911563187930407</v>
      </c>
      <c r="R74" s="1">
        <f t="shared" ca="1" si="42"/>
        <v>1084</v>
      </c>
      <c r="S74" s="1"/>
      <c r="T74" s="1">
        <f t="shared" ca="1" si="43"/>
        <v>0.11400121573942168</v>
      </c>
      <c r="U74" s="1">
        <f t="shared" ca="1" si="44"/>
        <v>276</v>
      </c>
      <c r="V74" s="1">
        <f t="shared" ca="1" si="45"/>
        <v>25</v>
      </c>
      <c r="W74" s="1"/>
      <c r="X74" s="1">
        <f t="shared" ca="1" si="46"/>
        <v>2.0104677756738698</v>
      </c>
      <c r="Y74" s="1">
        <f t="shared" ca="1" si="47"/>
        <v>0.43596237052317433</v>
      </c>
      <c r="Z74" s="1">
        <f t="shared" ca="1" si="48"/>
        <v>437</v>
      </c>
      <c r="AB74" s="1">
        <f t="shared" ca="1" si="49"/>
        <v>0.234337991426954</v>
      </c>
      <c r="AC74" s="1">
        <f t="shared" ca="1" si="50"/>
        <v>154</v>
      </c>
      <c r="AD74" s="1">
        <f t="shared" ca="1" si="51"/>
        <v>2.0850901853550928E-3</v>
      </c>
      <c r="AE74" s="1"/>
      <c r="AF74" s="1">
        <f t="shared" ca="1" si="52"/>
        <v>0.84975235016622308</v>
      </c>
      <c r="AG74" s="1">
        <f t="shared" ca="1" si="53"/>
        <v>491</v>
      </c>
      <c r="AH74" s="1">
        <f t="shared" ca="1" si="54"/>
        <v>5.386178050896244E-3</v>
      </c>
      <c r="AJ74" s="1">
        <f t="shared" ca="1" si="55"/>
        <v>2.2171647476634693E-2</v>
      </c>
      <c r="AK74" s="1">
        <f t="shared" ca="1" si="56"/>
        <v>8.173896194137201E-3</v>
      </c>
      <c r="AL74" s="1"/>
      <c r="AM74" s="1">
        <f t="shared" ca="1" si="57"/>
        <v>0.11073390152048915</v>
      </c>
      <c r="AN74" s="1">
        <f t="shared" ca="1" si="58"/>
        <v>29</v>
      </c>
      <c r="AO74" s="1">
        <f t="shared" ca="1" si="59"/>
        <v>14</v>
      </c>
    </row>
    <row r="75" spans="2:41" x14ac:dyDescent="0.25">
      <c r="B75">
        <f t="shared" ca="1" si="30"/>
        <v>594</v>
      </c>
      <c r="C75">
        <f t="shared" ca="1" si="31"/>
        <v>44</v>
      </c>
      <c r="D75">
        <f t="shared" ca="1" si="32"/>
        <v>1.2149434489000448E-2</v>
      </c>
      <c r="F75" s="1">
        <f t="shared" ca="1" si="33"/>
        <v>45</v>
      </c>
      <c r="G75" s="1">
        <f t="shared" ca="1" si="34"/>
        <v>13</v>
      </c>
      <c r="H75" s="1">
        <f t="shared" ca="1" si="35"/>
        <v>14</v>
      </c>
      <c r="I75" s="1"/>
      <c r="J75" s="1">
        <f t="shared" ca="1" si="36"/>
        <v>30</v>
      </c>
      <c r="K75" s="1">
        <f t="shared" ca="1" si="37"/>
        <v>1.070104860519566</v>
      </c>
      <c r="L75" s="1">
        <f t="shared" ca="1" si="38"/>
        <v>5</v>
      </c>
      <c r="M75" s="1"/>
      <c r="N75" s="1">
        <f t="shared" ca="1" si="39"/>
        <v>420</v>
      </c>
      <c r="O75" s="1">
        <f t="shared" ca="1" si="40"/>
        <v>11</v>
      </c>
      <c r="P75" s="1"/>
      <c r="Q75" s="1">
        <f t="shared" ca="1" si="41"/>
        <v>1.4560312411217018</v>
      </c>
      <c r="R75" s="1">
        <f t="shared" ca="1" si="42"/>
        <v>946</v>
      </c>
      <c r="S75" s="1"/>
      <c r="T75" s="1">
        <f t="shared" ca="1" si="43"/>
        <v>1.1237523725224418E-2</v>
      </c>
      <c r="U75" s="1">
        <f t="shared" ca="1" si="44"/>
        <v>132</v>
      </c>
      <c r="V75" s="1">
        <f t="shared" ca="1" si="45"/>
        <v>17</v>
      </c>
      <c r="W75" s="1"/>
      <c r="X75" s="1">
        <f t="shared" ca="1" si="46"/>
        <v>8.7588644363146262</v>
      </c>
      <c r="Y75" s="1">
        <f t="shared" ca="1" si="47"/>
        <v>3.2696379807638461E-2</v>
      </c>
      <c r="Z75" s="1">
        <f t="shared" ca="1" si="48"/>
        <v>716</v>
      </c>
      <c r="AB75" s="1">
        <f t="shared" ca="1" si="49"/>
        <v>0.1208529214615684</v>
      </c>
      <c r="AC75" s="1">
        <f t="shared" ca="1" si="50"/>
        <v>301</v>
      </c>
      <c r="AD75" s="1">
        <f t="shared" ca="1" si="51"/>
        <v>8.9136908474229185E-3</v>
      </c>
      <c r="AE75" s="1"/>
      <c r="AF75" s="1">
        <f t="shared" ca="1" si="52"/>
        <v>0.7112825956918386</v>
      </c>
      <c r="AG75" s="1">
        <f t="shared" ca="1" si="53"/>
        <v>922</v>
      </c>
      <c r="AH75" s="1">
        <f t="shared" ca="1" si="54"/>
        <v>9.3235514662085295E-3</v>
      </c>
      <c r="AJ75" s="1">
        <f t="shared" ca="1" si="55"/>
        <v>0.16036111897550054</v>
      </c>
      <c r="AK75" s="1">
        <f t="shared" ca="1" si="56"/>
        <v>5.3076590676856472E-3</v>
      </c>
      <c r="AL75" s="1"/>
      <c r="AM75" s="1">
        <f t="shared" ca="1" si="57"/>
        <v>6.6945876878906199E-2</v>
      </c>
      <c r="AN75" s="1">
        <f t="shared" ca="1" si="58"/>
        <v>41</v>
      </c>
      <c r="AO75" s="1">
        <f t="shared" ca="1" si="59"/>
        <v>14</v>
      </c>
    </row>
    <row r="76" spans="2:41" x14ac:dyDescent="0.25">
      <c r="B76">
        <f t="shared" ca="1" si="30"/>
        <v>476</v>
      </c>
      <c r="C76">
        <f t="shared" ca="1" si="31"/>
        <v>13</v>
      </c>
      <c r="D76">
        <f t="shared" ca="1" si="32"/>
        <v>0.10640944925748379</v>
      </c>
      <c r="F76" s="1">
        <f t="shared" ca="1" si="33"/>
        <v>42</v>
      </c>
      <c r="G76" s="1">
        <f t="shared" ca="1" si="34"/>
        <v>20</v>
      </c>
      <c r="H76" s="1">
        <f t="shared" ca="1" si="35"/>
        <v>7</v>
      </c>
      <c r="I76" s="1"/>
      <c r="J76" s="1">
        <f t="shared" ca="1" si="36"/>
        <v>38</v>
      </c>
      <c r="K76" s="1">
        <f t="shared" ca="1" si="37"/>
        <v>1.4292350248578176</v>
      </c>
      <c r="L76" s="1">
        <f t="shared" ca="1" si="38"/>
        <v>12</v>
      </c>
      <c r="M76" s="1"/>
      <c r="N76" s="1">
        <f t="shared" ca="1" si="39"/>
        <v>90</v>
      </c>
      <c r="O76" s="1">
        <f t="shared" ca="1" si="40"/>
        <v>13</v>
      </c>
      <c r="P76" s="1"/>
      <c r="Q76" s="1">
        <f t="shared" ca="1" si="41"/>
        <v>4.7164546014226101</v>
      </c>
      <c r="R76" s="1">
        <f t="shared" ca="1" si="42"/>
        <v>1068</v>
      </c>
      <c r="S76" s="1"/>
      <c r="T76" s="1">
        <f t="shared" ca="1" si="43"/>
        <v>2.0590187881504372E-2</v>
      </c>
      <c r="U76" s="1">
        <f t="shared" ca="1" si="44"/>
        <v>423</v>
      </c>
      <c r="V76" s="1">
        <f t="shared" ca="1" si="45"/>
        <v>40</v>
      </c>
      <c r="W76" s="1"/>
      <c r="X76" s="1">
        <f t="shared" ca="1" si="46"/>
        <v>0.54989099841846212</v>
      </c>
      <c r="Y76" s="1">
        <f t="shared" ca="1" si="47"/>
        <v>0.13306571057785394</v>
      </c>
      <c r="Z76" s="1">
        <f t="shared" ca="1" si="48"/>
        <v>1422</v>
      </c>
      <c r="AB76" s="1">
        <f t="shared" ca="1" si="49"/>
        <v>0.29325663130751012</v>
      </c>
      <c r="AC76" s="1">
        <f t="shared" ca="1" si="50"/>
        <v>147</v>
      </c>
      <c r="AD76" s="1">
        <f t="shared" ca="1" si="51"/>
        <v>6.7851853302830552E-3</v>
      </c>
      <c r="AE76" s="1"/>
      <c r="AF76" s="1">
        <f t="shared" ca="1" si="52"/>
        <v>0.59709509068929312</v>
      </c>
      <c r="AG76" s="1">
        <f t="shared" ca="1" si="53"/>
        <v>240</v>
      </c>
      <c r="AH76" s="1">
        <f t="shared" ca="1" si="54"/>
        <v>3.917309480514778E-3</v>
      </c>
      <c r="AJ76" s="1">
        <f t="shared" ca="1" si="55"/>
        <v>0.3852452133007469</v>
      </c>
      <c r="AK76" s="1">
        <f t="shared" ca="1" si="56"/>
        <v>5.9059867199504146E-3</v>
      </c>
      <c r="AL76" s="1"/>
      <c r="AM76" s="1">
        <f t="shared" ca="1" si="57"/>
        <v>6.5996967147361738E-2</v>
      </c>
      <c r="AN76" s="1">
        <f t="shared" ca="1" si="58"/>
        <v>21</v>
      </c>
      <c r="AO76" s="1">
        <f t="shared" ca="1" si="59"/>
        <v>1</v>
      </c>
    </row>
    <row r="77" spans="2:41" x14ac:dyDescent="0.25">
      <c r="B77">
        <f t="shared" ca="1" si="30"/>
        <v>348</v>
      </c>
      <c r="C77">
        <f t="shared" ca="1" si="31"/>
        <v>10</v>
      </c>
      <c r="D77">
        <f t="shared" ca="1" si="32"/>
        <v>0.26620993595533349</v>
      </c>
      <c r="F77" s="1">
        <f t="shared" ca="1" si="33"/>
        <v>50</v>
      </c>
      <c r="G77" s="1">
        <f t="shared" ca="1" si="34"/>
        <v>5</v>
      </c>
      <c r="H77" s="1">
        <f t="shared" ca="1" si="35"/>
        <v>4</v>
      </c>
      <c r="I77" s="1"/>
      <c r="J77" s="1">
        <f t="shared" ca="1" si="36"/>
        <v>38</v>
      </c>
      <c r="K77" s="1">
        <f t="shared" ca="1" si="37"/>
        <v>1.3126779660379582</v>
      </c>
      <c r="L77" s="1">
        <f t="shared" ca="1" si="38"/>
        <v>2</v>
      </c>
      <c r="M77" s="1"/>
      <c r="N77" s="1">
        <f t="shared" ca="1" si="39"/>
        <v>750</v>
      </c>
      <c r="O77" s="1">
        <f t="shared" ca="1" si="40"/>
        <v>31</v>
      </c>
      <c r="P77" s="1"/>
      <c r="Q77" s="1">
        <f t="shared" ca="1" si="41"/>
        <v>2.0113154694432631</v>
      </c>
      <c r="R77" s="1">
        <f t="shared" ca="1" si="42"/>
        <v>1018</v>
      </c>
      <c r="S77" s="1"/>
      <c r="T77" s="1">
        <f t="shared" ca="1" si="43"/>
        <v>0.16351699854510302</v>
      </c>
      <c r="U77" s="1">
        <f t="shared" ca="1" si="44"/>
        <v>200</v>
      </c>
      <c r="V77" s="1">
        <f t="shared" ca="1" si="45"/>
        <v>20</v>
      </c>
      <c r="W77" s="1"/>
      <c r="X77" s="1">
        <f t="shared" ca="1" si="46"/>
        <v>3.9108619078255806</v>
      </c>
      <c r="Y77" s="1">
        <f t="shared" ca="1" si="47"/>
        <v>0.16349700830993458</v>
      </c>
      <c r="Z77" s="1">
        <f t="shared" ca="1" si="48"/>
        <v>820</v>
      </c>
      <c r="AB77" s="1">
        <f t="shared" ca="1" si="49"/>
        <v>0.13510702518380824</v>
      </c>
      <c r="AC77" s="1">
        <f t="shared" ca="1" si="50"/>
        <v>960</v>
      </c>
      <c r="AD77" s="1">
        <f t="shared" ca="1" si="51"/>
        <v>8.343259421156048E-3</v>
      </c>
      <c r="AE77" s="1"/>
      <c r="AF77" s="1">
        <f t="shared" ca="1" si="52"/>
        <v>0.66290825005455678</v>
      </c>
      <c r="AG77" s="1">
        <f t="shared" ca="1" si="53"/>
        <v>302</v>
      </c>
      <c r="AH77" s="1">
        <f t="shared" ca="1" si="54"/>
        <v>6.1092703075810093E-3</v>
      </c>
      <c r="AJ77" s="1">
        <f t="shared" ca="1" si="55"/>
        <v>0.34221885517144379</v>
      </c>
      <c r="AK77" s="1">
        <f t="shared" ca="1" si="56"/>
        <v>3.7907273767358936E-3</v>
      </c>
      <c r="AL77" s="1"/>
      <c r="AM77" s="1">
        <f t="shared" ca="1" si="57"/>
        <v>0.14547591363996412</v>
      </c>
      <c r="AN77" s="1">
        <f t="shared" ca="1" si="58"/>
        <v>20</v>
      </c>
      <c r="AO77" s="1">
        <f t="shared" ca="1" si="59"/>
        <v>19</v>
      </c>
    </row>
    <row r="78" spans="2:41" x14ac:dyDescent="0.25">
      <c r="B78">
        <f t="shared" ca="1" si="30"/>
        <v>71</v>
      </c>
      <c r="C78">
        <f t="shared" ca="1" si="31"/>
        <v>22</v>
      </c>
      <c r="D78">
        <f t="shared" ca="1" si="32"/>
        <v>5.8039203837750249E-2</v>
      </c>
      <c r="F78" s="1">
        <f t="shared" ca="1" si="33"/>
        <v>29</v>
      </c>
      <c r="G78" s="1">
        <f t="shared" ca="1" si="34"/>
        <v>14</v>
      </c>
      <c r="H78" s="1">
        <f t="shared" ca="1" si="35"/>
        <v>14</v>
      </c>
      <c r="I78" s="1"/>
      <c r="J78" s="1">
        <f t="shared" ca="1" si="36"/>
        <v>28</v>
      </c>
      <c r="K78" s="1">
        <f t="shared" ca="1" si="37"/>
        <v>2.1165577680903103</v>
      </c>
      <c r="L78" s="1">
        <f t="shared" ca="1" si="38"/>
        <v>14</v>
      </c>
      <c r="M78" s="1"/>
      <c r="N78" s="1">
        <f t="shared" ca="1" si="39"/>
        <v>512</v>
      </c>
      <c r="O78" s="1">
        <f t="shared" ca="1" si="40"/>
        <v>16</v>
      </c>
      <c r="P78" s="1"/>
      <c r="Q78" s="1">
        <f t="shared" ca="1" si="41"/>
        <v>2.8628557631736009</v>
      </c>
      <c r="R78" s="1">
        <f t="shared" ca="1" si="42"/>
        <v>858</v>
      </c>
      <c r="S78" s="1"/>
      <c r="T78" s="1">
        <f t="shared" ca="1" si="43"/>
        <v>0.13781033473978346</v>
      </c>
      <c r="U78" s="1">
        <f t="shared" ca="1" si="44"/>
        <v>242</v>
      </c>
      <c r="V78" s="1">
        <f t="shared" ca="1" si="45"/>
        <v>13</v>
      </c>
      <c r="W78" s="1"/>
      <c r="X78" s="1">
        <f t="shared" ca="1" si="46"/>
        <v>1.7654209312177029</v>
      </c>
      <c r="Y78" s="1">
        <f t="shared" ca="1" si="47"/>
        <v>0.19462646156222804</v>
      </c>
      <c r="Z78" s="1">
        <f t="shared" ca="1" si="48"/>
        <v>1222</v>
      </c>
      <c r="AB78" s="1">
        <f t="shared" ca="1" si="49"/>
        <v>0.26610916863031719</v>
      </c>
      <c r="AC78" s="1">
        <f t="shared" ca="1" si="50"/>
        <v>400</v>
      </c>
      <c r="AD78" s="1">
        <f t="shared" ca="1" si="51"/>
        <v>5.2767320603230757E-3</v>
      </c>
      <c r="AE78" s="1"/>
      <c r="AF78" s="1">
        <f t="shared" ca="1" si="52"/>
        <v>0.80413306243314409</v>
      </c>
      <c r="AG78" s="1">
        <f t="shared" ca="1" si="53"/>
        <v>659</v>
      </c>
      <c r="AH78" s="1">
        <f t="shared" ca="1" si="54"/>
        <v>6.265381095743261E-3</v>
      </c>
      <c r="AJ78" s="1">
        <f t="shared" ca="1" si="55"/>
        <v>0.95900182542170098</v>
      </c>
      <c r="AK78" s="1">
        <f t="shared" ca="1" si="56"/>
        <v>4.1460600632969588E-3</v>
      </c>
      <c r="AL78" s="1"/>
      <c r="AM78" s="1">
        <f t="shared" ca="1" si="57"/>
        <v>7.8589280626627053E-2</v>
      </c>
      <c r="AN78" s="1">
        <f t="shared" ca="1" si="58"/>
        <v>34</v>
      </c>
      <c r="AO78" s="1">
        <f t="shared" ca="1" si="59"/>
        <v>3</v>
      </c>
    </row>
    <row r="79" spans="2:41" x14ac:dyDescent="0.25">
      <c r="B79">
        <f t="shared" ca="1" si="30"/>
        <v>222</v>
      </c>
      <c r="C79">
        <f t="shared" ca="1" si="31"/>
        <v>38</v>
      </c>
      <c r="D79">
        <f t="shared" ca="1" si="32"/>
        <v>0.22862704151717028</v>
      </c>
      <c r="F79" s="1">
        <f t="shared" ca="1" si="33"/>
        <v>12</v>
      </c>
      <c r="G79" s="1">
        <f t="shared" ca="1" si="34"/>
        <v>26</v>
      </c>
      <c r="H79" s="1">
        <f t="shared" ca="1" si="35"/>
        <v>6</v>
      </c>
      <c r="I79" s="1"/>
      <c r="J79" s="1">
        <f t="shared" ca="1" si="36"/>
        <v>29</v>
      </c>
      <c r="K79" s="1">
        <f t="shared" ca="1" si="37"/>
        <v>1.3702079379306571</v>
      </c>
      <c r="L79" s="1">
        <f t="shared" ca="1" si="38"/>
        <v>31</v>
      </c>
      <c r="M79" s="1"/>
      <c r="N79" s="1">
        <f t="shared" ca="1" si="39"/>
        <v>547</v>
      </c>
      <c r="O79" s="1">
        <f t="shared" ca="1" si="40"/>
        <v>37</v>
      </c>
      <c r="P79" s="1"/>
      <c r="Q79" s="1">
        <f t="shared" ca="1" si="41"/>
        <v>4.8033773306153487</v>
      </c>
      <c r="R79" s="1">
        <f t="shared" ca="1" si="42"/>
        <v>1140</v>
      </c>
      <c r="S79" s="1"/>
      <c r="T79" s="1">
        <f t="shared" ca="1" si="43"/>
        <v>0.16585804081907843</v>
      </c>
      <c r="U79" s="1">
        <f t="shared" ca="1" si="44"/>
        <v>202</v>
      </c>
      <c r="V79" s="1">
        <f t="shared" ca="1" si="45"/>
        <v>29</v>
      </c>
      <c r="W79" s="1"/>
      <c r="X79" s="1">
        <f t="shared" ca="1" si="46"/>
        <v>5.6907882632529372</v>
      </c>
      <c r="Y79" s="1">
        <f t="shared" ca="1" si="47"/>
        <v>0.60883536924663784</v>
      </c>
      <c r="Z79" s="1">
        <f t="shared" ca="1" si="48"/>
        <v>272</v>
      </c>
      <c r="AB79" s="1">
        <f t="shared" ca="1" si="49"/>
        <v>0.18852101275257566</v>
      </c>
      <c r="AC79" s="1">
        <f t="shared" ca="1" si="50"/>
        <v>726</v>
      </c>
      <c r="AD79" s="1">
        <f t="shared" ca="1" si="51"/>
        <v>5.3849752730555601E-3</v>
      </c>
      <c r="AE79" s="1"/>
      <c r="AF79" s="1">
        <f t="shared" ca="1" si="52"/>
        <v>0.47901721925612362</v>
      </c>
      <c r="AG79" s="1">
        <f t="shared" ca="1" si="53"/>
        <v>694</v>
      </c>
      <c r="AH79" s="1">
        <f t="shared" ca="1" si="54"/>
        <v>1.6973191716241709E-3</v>
      </c>
      <c r="AJ79" s="1">
        <f t="shared" ca="1" si="55"/>
        <v>0.65652341783294055</v>
      </c>
      <c r="AK79" s="1">
        <f t="shared" ca="1" si="56"/>
        <v>8.9609365087436246E-3</v>
      </c>
      <c r="AL79" s="1"/>
      <c r="AM79" s="1">
        <f t="shared" ca="1" si="57"/>
        <v>7.2309002728786445E-2</v>
      </c>
      <c r="AN79" s="1">
        <f t="shared" ca="1" si="58"/>
        <v>51</v>
      </c>
      <c r="AO79" s="1">
        <f t="shared" ca="1" si="59"/>
        <v>15</v>
      </c>
    </row>
    <row r="80" spans="2:41" x14ac:dyDescent="0.25">
      <c r="B80">
        <f t="shared" ca="1" si="30"/>
        <v>603</v>
      </c>
      <c r="C80">
        <f t="shared" ca="1" si="31"/>
        <v>14</v>
      </c>
      <c r="D80">
        <f t="shared" ca="1" si="32"/>
        <v>5.8898789494539625E-2</v>
      </c>
      <c r="F80" s="1">
        <f t="shared" ca="1" si="33"/>
        <v>42</v>
      </c>
      <c r="G80" s="1">
        <f t="shared" ca="1" si="34"/>
        <v>11</v>
      </c>
      <c r="H80" s="1">
        <f t="shared" ca="1" si="35"/>
        <v>7</v>
      </c>
      <c r="I80" s="1"/>
      <c r="J80" s="1">
        <f t="shared" ca="1" si="36"/>
        <v>16</v>
      </c>
      <c r="K80" s="1">
        <f t="shared" ca="1" si="37"/>
        <v>1.3850528294979523</v>
      </c>
      <c r="L80" s="1">
        <f t="shared" ca="1" si="38"/>
        <v>12</v>
      </c>
      <c r="M80" s="1"/>
      <c r="N80" s="1">
        <f t="shared" ca="1" si="39"/>
        <v>675</v>
      </c>
      <c r="O80" s="1">
        <f t="shared" ca="1" si="40"/>
        <v>40</v>
      </c>
      <c r="P80" s="1"/>
      <c r="Q80" s="1">
        <f t="shared" ca="1" si="41"/>
        <v>4.3084836632548207</v>
      </c>
      <c r="R80" s="1">
        <f t="shared" ca="1" si="42"/>
        <v>359</v>
      </c>
      <c r="S80" s="1"/>
      <c r="T80" s="1">
        <f t="shared" ca="1" si="43"/>
        <v>8.9269496933107914E-2</v>
      </c>
      <c r="U80" s="1">
        <f t="shared" ca="1" si="44"/>
        <v>146</v>
      </c>
      <c r="V80" s="1">
        <f t="shared" ca="1" si="45"/>
        <v>37</v>
      </c>
      <c r="W80" s="1"/>
      <c r="X80" s="1">
        <f t="shared" ca="1" si="46"/>
        <v>4.1620161069629074</v>
      </c>
      <c r="Y80" s="1">
        <f t="shared" ca="1" si="47"/>
        <v>0.76345680071153832</v>
      </c>
      <c r="Z80" s="1">
        <f t="shared" ca="1" si="48"/>
        <v>267</v>
      </c>
      <c r="AB80" s="1">
        <f t="shared" ca="1" si="49"/>
        <v>0.41939147706825491</v>
      </c>
      <c r="AC80" s="1">
        <f t="shared" ca="1" si="50"/>
        <v>397</v>
      </c>
      <c r="AD80" s="1">
        <f t="shared" ca="1" si="51"/>
        <v>7.0711096877451914E-3</v>
      </c>
      <c r="AE80" s="1"/>
      <c r="AF80" s="1">
        <f t="shared" ca="1" si="52"/>
        <v>0.22502725643425167</v>
      </c>
      <c r="AG80" s="1">
        <f t="shared" ca="1" si="53"/>
        <v>225</v>
      </c>
      <c r="AH80" s="1">
        <f t="shared" ca="1" si="54"/>
        <v>1.7003652484012509E-3</v>
      </c>
      <c r="AJ80" s="1">
        <f t="shared" ca="1" si="55"/>
        <v>0.28759938080843028</v>
      </c>
      <c r="AK80" s="1">
        <f t="shared" ca="1" si="56"/>
        <v>7.457841562486388E-3</v>
      </c>
      <c r="AL80" s="1"/>
      <c r="AM80" s="1">
        <f t="shared" ca="1" si="57"/>
        <v>3.3833436525782842E-2</v>
      </c>
      <c r="AN80" s="1">
        <f t="shared" ca="1" si="58"/>
        <v>67</v>
      </c>
      <c r="AO80" s="1">
        <f t="shared" ca="1" si="59"/>
        <v>-1</v>
      </c>
    </row>
    <row r="81" spans="2:41" x14ac:dyDescent="0.25">
      <c r="B81">
        <f t="shared" ca="1" si="30"/>
        <v>149</v>
      </c>
      <c r="C81">
        <f t="shared" ca="1" si="31"/>
        <v>45</v>
      </c>
      <c r="D81">
        <f t="shared" ca="1" si="32"/>
        <v>0.25493702793402867</v>
      </c>
      <c r="F81" s="1">
        <f t="shared" ca="1" si="33"/>
        <v>9</v>
      </c>
      <c r="G81" s="1">
        <f t="shared" ca="1" si="34"/>
        <v>7</v>
      </c>
      <c r="H81" s="1">
        <f t="shared" ca="1" si="35"/>
        <v>9</v>
      </c>
      <c r="I81" s="1"/>
      <c r="J81" s="1">
        <f t="shared" ca="1" si="36"/>
        <v>8</v>
      </c>
      <c r="K81" s="1">
        <f t="shared" ca="1" si="37"/>
        <v>1.7704275688994582</v>
      </c>
      <c r="L81" s="1">
        <f t="shared" ca="1" si="38"/>
        <v>33</v>
      </c>
      <c r="M81" s="1"/>
      <c r="N81" s="1">
        <f t="shared" ca="1" si="39"/>
        <v>441</v>
      </c>
      <c r="O81" s="1">
        <f t="shared" ca="1" si="40"/>
        <v>5</v>
      </c>
      <c r="P81" s="1"/>
      <c r="Q81" s="1">
        <f t="shared" ca="1" si="41"/>
        <v>3.4018849307099286</v>
      </c>
      <c r="R81" s="1">
        <f t="shared" ca="1" si="42"/>
        <v>1114</v>
      </c>
      <c r="S81" s="1"/>
      <c r="T81" s="1">
        <f t="shared" ca="1" si="43"/>
        <v>0.13136021876348208</v>
      </c>
      <c r="U81" s="1">
        <f t="shared" ca="1" si="44"/>
        <v>158</v>
      </c>
      <c r="V81" s="1">
        <f t="shared" ca="1" si="45"/>
        <v>28</v>
      </c>
      <c r="W81" s="1"/>
      <c r="X81" s="1">
        <f t="shared" ca="1" si="46"/>
        <v>4.9199048289822951</v>
      </c>
      <c r="Y81" s="1">
        <f t="shared" ca="1" si="47"/>
        <v>0.74322595788253332</v>
      </c>
      <c r="Z81" s="1">
        <f t="shared" ca="1" si="48"/>
        <v>1887</v>
      </c>
      <c r="AB81" s="1">
        <f t="shared" ca="1" si="49"/>
        <v>0.53840135696762281</v>
      </c>
      <c r="AC81" s="1">
        <f t="shared" ca="1" si="50"/>
        <v>139</v>
      </c>
      <c r="AD81" s="1">
        <f t="shared" ca="1" si="51"/>
        <v>6.9224811020428085E-3</v>
      </c>
      <c r="AE81" s="1"/>
      <c r="AF81" s="1">
        <f t="shared" ca="1" si="52"/>
        <v>0.41845698829067224</v>
      </c>
      <c r="AG81" s="1">
        <f t="shared" ca="1" si="53"/>
        <v>964</v>
      </c>
      <c r="AH81" s="1">
        <f t="shared" ca="1" si="54"/>
        <v>1.5200141675819911E-3</v>
      </c>
      <c r="AJ81" s="1">
        <f t="shared" ca="1" si="55"/>
        <v>0.73134628663065671</v>
      </c>
      <c r="AK81" s="1">
        <f t="shared" ca="1" si="56"/>
        <v>7.9059205164335265E-3</v>
      </c>
      <c r="AL81" s="1"/>
      <c r="AM81" s="1">
        <f t="shared" ca="1" si="57"/>
        <v>6.3892514043509832E-2</v>
      </c>
      <c r="AN81" s="1">
        <f t="shared" ca="1" si="58"/>
        <v>59</v>
      </c>
      <c r="AO81" s="1">
        <f t="shared" ca="1" si="59"/>
        <v>1</v>
      </c>
    </row>
    <row r="82" spans="2:41" x14ac:dyDescent="0.25">
      <c r="B82">
        <f t="shared" ca="1" si="30"/>
        <v>650</v>
      </c>
      <c r="C82">
        <f t="shared" ca="1" si="31"/>
        <v>52</v>
      </c>
      <c r="D82">
        <f t="shared" ca="1" si="32"/>
        <v>0.18970762889617929</v>
      </c>
      <c r="F82" s="1">
        <f t="shared" ca="1" si="33"/>
        <v>29</v>
      </c>
      <c r="G82" s="1">
        <f t="shared" ca="1" si="34"/>
        <v>19</v>
      </c>
      <c r="H82" s="1">
        <f t="shared" ca="1" si="35"/>
        <v>4</v>
      </c>
      <c r="I82" s="1"/>
      <c r="J82" s="1">
        <f t="shared" ca="1" si="36"/>
        <v>15</v>
      </c>
      <c r="K82" s="1">
        <f t="shared" ca="1" si="37"/>
        <v>2.3335656670257094</v>
      </c>
      <c r="L82" s="1">
        <f t="shared" ca="1" si="38"/>
        <v>14</v>
      </c>
      <c r="M82" s="1"/>
      <c r="N82" s="1">
        <f t="shared" ca="1" si="39"/>
        <v>437</v>
      </c>
      <c r="O82" s="1">
        <f t="shared" ca="1" si="40"/>
        <v>25</v>
      </c>
      <c r="P82" s="1"/>
      <c r="Q82" s="1">
        <f t="shared" ca="1" si="41"/>
        <v>1.3388816553066307</v>
      </c>
      <c r="R82" s="1">
        <f t="shared" ca="1" si="42"/>
        <v>239</v>
      </c>
      <c r="S82" s="1"/>
      <c r="T82" s="1">
        <f t="shared" ca="1" si="43"/>
        <v>0.19960430307712509</v>
      </c>
      <c r="U82" s="1">
        <f t="shared" ca="1" si="44"/>
        <v>373</v>
      </c>
      <c r="V82" s="1">
        <f t="shared" ca="1" si="45"/>
        <v>7</v>
      </c>
      <c r="W82" s="1"/>
      <c r="X82" s="1">
        <f t="shared" ca="1" si="46"/>
        <v>4.1379891538993983</v>
      </c>
      <c r="Y82" s="1">
        <f t="shared" ca="1" si="47"/>
        <v>0.64177983219847035</v>
      </c>
      <c r="Z82" s="1">
        <f t="shared" ca="1" si="48"/>
        <v>1669</v>
      </c>
      <c r="AB82" s="1">
        <f t="shared" ca="1" si="49"/>
        <v>0.18718045058876828</v>
      </c>
      <c r="AC82" s="1">
        <f t="shared" ca="1" si="50"/>
        <v>436</v>
      </c>
      <c r="AD82" s="1">
        <f t="shared" ca="1" si="51"/>
        <v>4.6973063071187177E-3</v>
      </c>
      <c r="AE82" s="1"/>
      <c r="AF82" s="1">
        <f t="shared" ca="1" si="52"/>
        <v>0.56849442240811032</v>
      </c>
      <c r="AG82" s="1">
        <f t="shared" ca="1" si="53"/>
        <v>241</v>
      </c>
      <c r="AH82" s="1">
        <f t="shared" ca="1" si="54"/>
        <v>8.9973946008786096E-3</v>
      </c>
      <c r="AJ82" s="1">
        <f t="shared" ca="1" si="55"/>
        <v>0.36392060207013921</v>
      </c>
      <c r="AK82" s="1">
        <f t="shared" ca="1" si="56"/>
        <v>1.833599448965171E-3</v>
      </c>
      <c r="AL82" s="1"/>
      <c r="AM82" s="1">
        <f t="shared" ca="1" si="57"/>
        <v>0.16133986774045178</v>
      </c>
      <c r="AN82" s="1">
        <f t="shared" ca="1" si="58"/>
        <v>20</v>
      </c>
      <c r="AO82" s="1">
        <f t="shared" ca="1" si="59"/>
        <v>10</v>
      </c>
    </row>
    <row r="83" spans="2:41" x14ac:dyDescent="0.25">
      <c r="B83">
        <f t="shared" ca="1" si="30"/>
        <v>357</v>
      </c>
      <c r="C83">
        <f t="shared" ca="1" si="31"/>
        <v>27</v>
      </c>
      <c r="D83">
        <f t="shared" ca="1" si="32"/>
        <v>7.0965319852374004E-2</v>
      </c>
      <c r="F83" s="1">
        <f t="shared" ca="1" si="33"/>
        <v>11</v>
      </c>
      <c r="G83" s="1">
        <f t="shared" ca="1" si="34"/>
        <v>19</v>
      </c>
      <c r="H83" s="1">
        <f t="shared" ca="1" si="35"/>
        <v>3</v>
      </c>
      <c r="I83" s="1"/>
      <c r="J83" s="1">
        <f t="shared" ca="1" si="36"/>
        <v>39</v>
      </c>
      <c r="K83" s="1">
        <f t="shared" ca="1" si="37"/>
        <v>1.4236087533229189</v>
      </c>
      <c r="L83" s="1">
        <f t="shared" ca="1" si="38"/>
        <v>28</v>
      </c>
      <c r="M83" s="1"/>
      <c r="N83" s="1">
        <f t="shared" ca="1" si="39"/>
        <v>702</v>
      </c>
      <c r="O83" s="1">
        <f t="shared" ca="1" si="40"/>
        <v>14</v>
      </c>
      <c r="P83" s="1"/>
      <c r="Q83" s="1">
        <f t="shared" ca="1" si="41"/>
        <v>0.34050091340823169</v>
      </c>
      <c r="R83" s="1">
        <f t="shared" ca="1" si="42"/>
        <v>413</v>
      </c>
      <c r="S83" s="1"/>
      <c r="T83" s="1">
        <f t="shared" ca="1" si="43"/>
        <v>0.13876654657743268</v>
      </c>
      <c r="U83" s="1">
        <f t="shared" ca="1" si="44"/>
        <v>438</v>
      </c>
      <c r="V83" s="1">
        <f t="shared" ca="1" si="45"/>
        <v>19</v>
      </c>
      <c r="W83" s="1"/>
      <c r="X83" s="1">
        <f t="shared" ca="1" si="46"/>
        <v>1.5825234199995155</v>
      </c>
      <c r="Y83" s="1">
        <f t="shared" ca="1" si="47"/>
        <v>0.25193719799799841</v>
      </c>
      <c r="Z83" s="1">
        <f t="shared" ca="1" si="48"/>
        <v>1972</v>
      </c>
      <c r="AB83" s="1">
        <f t="shared" ca="1" si="49"/>
        <v>0.20351393632675258</v>
      </c>
      <c r="AC83" s="1">
        <f t="shared" ca="1" si="50"/>
        <v>649</v>
      </c>
      <c r="AD83" s="1">
        <f t="shared" ca="1" si="51"/>
        <v>4.6729389414761329E-3</v>
      </c>
      <c r="AE83" s="1"/>
      <c r="AF83" s="1">
        <f t="shared" ca="1" si="52"/>
        <v>0.33083111030999057</v>
      </c>
      <c r="AG83" s="1">
        <f t="shared" ca="1" si="53"/>
        <v>586</v>
      </c>
      <c r="AH83" s="1">
        <f t="shared" ca="1" si="54"/>
        <v>7.4758317030235513E-3</v>
      </c>
      <c r="AJ83" s="1">
        <f t="shared" ca="1" si="55"/>
        <v>0.85378089652465572</v>
      </c>
      <c r="AK83" s="1">
        <f t="shared" ca="1" si="56"/>
        <v>7.0913255319004533E-3</v>
      </c>
      <c r="AL83" s="1"/>
      <c r="AM83" s="1">
        <f t="shared" ca="1" si="57"/>
        <v>2.5231222888879353E-2</v>
      </c>
      <c r="AN83" s="1">
        <f t="shared" ca="1" si="58"/>
        <v>46</v>
      </c>
      <c r="AO83" s="1">
        <f t="shared" ca="1" si="59"/>
        <v>10</v>
      </c>
    </row>
    <row r="84" spans="2:41" x14ac:dyDescent="0.25">
      <c r="B84">
        <f t="shared" ca="1" si="30"/>
        <v>764</v>
      </c>
      <c r="C84">
        <f t="shared" ca="1" si="31"/>
        <v>12</v>
      </c>
      <c r="D84">
        <f t="shared" ca="1" si="32"/>
        <v>0.19829416863703717</v>
      </c>
      <c r="F84" s="1">
        <f t="shared" ca="1" si="33"/>
        <v>3</v>
      </c>
      <c r="G84" s="1">
        <f t="shared" ca="1" si="34"/>
        <v>25</v>
      </c>
      <c r="H84" s="1">
        <f t="shared" ca="1" si="35"/>
        <v>10</v>
      </c>
      <c r="I84" s="1"/>
      <c r="J84" s="1">
        <f t="shared" ca="1" si="36"/>
        <v>16</v>
      </c>
      <c r="K84" s="1">
        <f t="shared" ca="1" si="37"/>
        <v>2.8733553033381054</v>
      </c>
      <c r="L84" s="1">
        <f t="shared" ca="1" si="38"/>
        <v>33</v>
      </c>
      <c r="M84" s="1"/>
      <c r="N84" s="1">
        <f t="shared" ca="1" si="39"/>
        <v>981</v>
      </c>
      <c r="O84" s="1">
        <f t="shared" ca="1" si="40"/>
        <v>16</v>
      </c>
      <c r="P84" s="1"/>
      <c r="Q84" s="1">
        <f t="shared" ca="1" si="41"/>
        <v>4.1781541897794199</v>
      </c>
      <c r="R84" s="1">
        <f t="shared" ca="1" si="42"/>
        <v>783</v>
      </c>
      <c r="S84" s="1"/>
      <c r="T84" s="1">
        <f t="shared" ca="1" si="43"/>
        <v>2.8697316440164246E-2</v>
      </c>
      <c r="U84" s="1">
        <f t="shared" ca="1" si="44"/>
        <v>381</v>
      </c>
      <c r="V84" s="1">
        <f t="shared" ca="1" si="45"/>
        <v>48</v>
      </c>
      <c r="W84" s="1"/>
      <c r="X84" s="1">
        <f t="shared" ca="1" si="46"/>
        <v>8.9004921209603243</v>
      </c>
      <c r="Y84" s="1">
        <f t="shared" ca="1" si="47"/>
        <v>0.29752685446995752</v>
      </c>
      <c r="Z84" s="1">
        <f t="shared" ca="1" si="48"/>
        <v>104</v>
      </c>
      <c r="AB84" s="1">
        <f t="shared" ca="1" si="49"/>
        <v>0.30181387531587767</v>
      </c>
      <c r="AC84" s="1">
        <f t="shared" ca="1" si="50"/>
        <v>583</v>
      </c>
      <c r="AD84" s="1">
        <f t="shared" ca="1" si="51"/>
        <v>7.2603278311539447E-3</v>
      </c>
      <c r="AE84" s="1"/>
      <c r="AF84" s="1">
        <f t="shared" ca="1" si="52"/>
        <v>0.25241123366452745</v>
      </c>
      <c r="AG84" s="1">
        <f t="shared" ca="1" si="53"/>
        <v>865</v>
      </c>
      <c r="AH84" s="1">
        <f t="shared" ca="1" si="54"/>
        <v>2.7282351833957724E-3</v>
      </c>
      <c r="AJ84" s="1">
        <f t="shared" ca="1" si="55"/>
        <v>0.8714860759277554</v>
      </c>
      <c r="AK84" s="1">
        <f t="shared" ca="1" si="56"/>
        <v>8.4342283547739517E-3</v>
      </c>
      <c r="AL84" s="1"/>
      <c r="AM84" s="1">
        <f t="shared" ca="1" si="57"/>
        <v>0.18973298042794157</v>
      </c>
      <c r="AN84" s="1">
        <f t="shared" ca="1" si="58"/>
        <v>75</v>
      </c>
      <c r="AO84" s="1">
        <f t="shared" ca="1" si="59"/>
        <v>20</v>
      </c>
    </row>
    <row r="85" spans="2:41" x14ac:dyDescent="0.25">
      <c r="B85">
        <f t="shared" ca="1" si="30"/>
        <v>123</v>
      </c>
      <c r="C85">
        <f t="shared" ca="1" si="31"/>
        <v>30</v>
      </c>
      <c r="D85">
        <f t="shared" ca="1" si="32"/>
        <v>0.17430199660362827</v>
      </c>
      <c r="F85" s="1">
        <f t="shared" ca="1" si="33"/>
        <v>8</v>
      </c>
      <c r="G85" s="1">
        <f t="shared" ca="1" si="34"/>
        <v>26</v>
      </c>
      <c r="H85" s="1">
        <f t="shared" ca="1" si="35"/>
        <v>6</v>
      </c>
      <c r="I85" s="1"/>
      <c r="J85" s="1">
        <f t="shared" ca="1" si="36"/>
        <v>31</v>
      </c>
      <c r="K85" s="1">
        <f t="shared" ca="1" si="37"/>
        <v>1.5309121335474636</v>
      </c>
      <c r="L85" s="1">
        <f t="shared" ca="1" si="38"/>
        <v>23</v>
      </c>
      <c r="M85" s="1"/>
      <c r="N85" s="1">
        <f t="shared" ca="1" si="39"/>
        <v>356</v>
      </c>
      <c r="O85" s="1">
        <f t="shared" ca="1" si="40"/>
        <v>29</v>
      </c>
      <c r="P85" s="1"/>
      <c r="Q85" s="1">
        <f t="shared" ca="1" si="41"/>
        <v>2.7694404166336342</v>
      </c>
      <c r="R85" s="1">
        <f t="shared" ca="1" si="42"/>
        <v>365</v>
      </c>
      <c r="S85" s="1"/>
      <c r="T85" s="1">
        <f t="shared" ca="1" si="43"/>
        <v>7.619053799097357E-2</v>
      </c>
      <c r="U85" s="1">
        <f t="shared" ca="1" si="44"/>
        <v>425</v>
      </c>
      <c r="V85" s="1">
        <f t="shared" ca="1" si="45"/>
        <v>23</v>
      </c>
      <c r="W85" s="1"/>
      <c r="X85" s="1">
        <f t="shared" ca="1" si="46"/>
        <v>7.7318016474542972</v>
      </c>
      <c r="Y85" s="1">
        <f t="shared" ca="1" si="47"/>
        <v>0.57844381957876201</v>
      </c>
      <c r="Z85" s="1">
        <f t="shared" ca="1" si="48"/>
        <v>1541</v>
      </c>
      <c r="AB85" s="1">
        <f t="shared" ca="1" si="49"/>
        <v>0.45748644938744853</v>
      </c>
      <c r="AC85" s="1">
        <f t="shared" ca="1" si="50"/>
        <v>583</v>
      </c>
      <c r="AD85" s="1">
        <f t="shared" ca="1" si="51"/>
        <v>7.5995553771282401E-3</v>
      </c>
      <c r="AE85" s="1"/>
      <c r="AF85" s="1">
        <f t="shared" ca="1" si="52"/>
        <v>0.19768605096265129</v>
      </c>
      <c r="AG85" s="1">
        <f t="shared" ca="1" si="53"/>
        <v>341</v>
      </c>
      <c r="AH85" s="1">
        <f t="shared" ca="1" si="54"/>
        <v>6.8464502916371441E-4</v>
      </c>
      <c r="AJ85" s="1">
        <f t="shared" ca="1" si="55"/>
        <v>0.66630722212989613</v>
      </c>
      <c r="AK85" s="1">
        <f t="shared" ca="1" si="56"/>
        <v>1.269579707088925E-3</v>
      </c>
      <c r="AL85" s="1"/>
      <c r="AM85" s="1">
        <f t="shared" ca="1" si="57"/>
        <v>1.5715322280348658E-2</v>
      </c>
      <c r="AN85" s="1">
        <f t="shared" ca="1" si="58"/>
        <v>10</v>
      </c>
      <c r="AO85" s="1">
        <f t="shared" ca="1" si="59"/>
        <v>11</v>
      </c>
    </row>
    <row r="86" spans="2:41" x14ac:dyDescent="0.25">
      <c r="B86">
        <f t="shared" ca="1" si="30"/>
        <v>61</v>
      </c>
      <c r="C86">
        <f t="shared" ca="1" si="31"/>
        <v>15</v>
      </c>
      <c r="D86">
        <f t="shared" ca="1" si="32"/>
        <v>0.21893337123580481</v>
      </c>
      <c r="F86" s="1">
        <f t="shared" ca="1" si="33"/>
        <v>32</v>
      </c>
      <c r="G86" s="1">
        <f t="shared" ca="1" si="34"/>
        <v>29</v>
      </c>
      <c r="H86" s="1">
        <f t="shared" ca="1" si="35"/>
        <v>5</v>
      </c>
      <c r="I86" s="1"/>
      <c r="J86" s="1">
        <f t="shared" ca="1" si="36"/>
        <v>25</v>
      </c>
      <c r="K86" s="1">
        <f t="shared" ca="1" si="37"/>
        <v>1.7752497345869573</v>
      </c>
      <c r="L86" s="1">
        <f t="shared" ca="1" si="38"/>
        <v>20</v>
      </c>
      <c r="M86" s="1"/>
      <c r="N86" s="1">
        <f t="shared" ca="1" si="39"/>
        <v>419</v>
      </c>
      <c r="O86" s="1">
        <f t="shared" ca="1" si="40"/>
        <v>43</v>
      </c>
      <c r="P86" s="1"/>
      <c r="Q86" s="1">
        <f t="shared" ca="1" si="41"/>
        <v>3.4586589447392213</v>
      </c>
      <c r="R86" s="1">
        <f t="shared" ca="1" si="42"/>
        <v>567</v>
      </c>
      <c r="S86" s="1"/>
      <c r="T86" s="1">
        <f t="shared" ca="1" si="43"/>
        <v>8.9499293642372746E-2</v>
      </c>
      <c r="U86" s="1">
        <f t="shared" ca="1" si="44"/>
        <v>110</v>
      </c>
      <c r="V86" s="1">
        <f t="shared" ca="1" si="45"/>
        <v>36</v>
      </c>
      <c r="W86" s="1"/>
      <c r="X86" s="1">
        <f t="shared" ca="1" si="46"/>
        <v>0.81332958876522554</v>
      </c>
      <c r="Y86" s="1">
        <f t="shared" ca="1" si="47"/>
        <v>0.87349486215935113</v>
      </c>
      <c r="Z86" s="1">
        <f t="shared" ca="1" si="48"/>
        <v>1849</v>
      </c>
      <c r="AB86" s="1">
        <f t="shared" ca="1" si="49"/>
        <v>0.17321631394903234</v>
      </c>
      <c r="AC86" s="1">
        <f t="shared" ca="1" si="50"/>
        <v>677</v>
      </c>
      <c r="AD86" s="1">
        <f t="shared" ca="1" si="51"/>
        <v>8.1485294030108606E-3</v>
      </c>
      <c r="AE86" s="1"/>
      <c r="AF86" s="1">
        <f t="shared" ca="1" si="52"/>
        <v>0.2196402698940183</v>
      </c>
      <c r="AG86" s="1">
        <f t="shared" ca="1" si="53"/>
        <v>764</v>
      </c>
      <c r="AH86" s="1">
        <f t="shared" ca="1" si="54"/>
        <v>6.1016606030425691E-4</v>
      </c>
      <c r="AJ86" s="1">
        <f t="shared" ca="1" si="55"/>
        <v>0.46453042840416459</v>
      </c>
      <c r="AK86" s="1">
        <f t="shared" ca="1" si="56"/>
        <v>8.4522035288850748E-3</v>
      </c>
      <c r="AL86" s="1"/>
      <c r="AM86" s="1">
        <f t="shared" ca="1" si="57"/>
        <v>0.19362272037236972</v>
      </c>
      <c r="AN86" s="1">
        <f t="shared" ca="1" si="58"/>
        <v>52</v>
      </c>
      <c r="AO86" s="1">
        <f t="shared" ca="1" si="59"/>
        <v>1</v>
      </c>
    </row>
    <row r="87" spans="2:41" x14ac:dyDescent="0.25">
      <c r="B87">
        <f t="shared" ca="1" si="30"/>
        <v>496</v>
      </c>
      <c r="C87">
        <f t="shared" ca="1" si="31"/>
        <v>12</v>
      </c>
      <c r="D87">
        <f t="shared" ca="1" si="32"/>
        <v>1.0936929798281866E-2</v>
      </c>
      <c r="F87" s="1">
        <f t="shared" ca="1" si="33"/>
        <v>47</v>
      </c>
      <c r="G87" s="1">
        <f t="shared" ca="1" si="34"/>
        <v>9</v>
      </c>
      <c r="H87" s="1">
        <f t="shared" ca="1" si="35"/>
        <v>6</v>
      </c>
      <c r="I87" s="1"/>
      <c r="J87" s="1">
        <f t="shared" ca="1" si="36"/>
        <v>35</v>
      </c>
      <c r="K87" s="1">
        <f t="shared" ca="1" si="37"/>
        <v>1.80934713878382</v>
      </c>
      <c r="L87" s="1">
        <f t="shared" ca="1" si="38"/>
        <v>29</v>
      </c>
      <c r="M87" s="1"/>
      <c r="N87" s="1">
        <f t="shared" ca="1" si="39"/>
        <v>457</v>
      </c>
      <c r="O87" s="1">
        <f t="shared" ca="1" si="40"/>
        <v>30</v>
      </c>
      <c r="P87" s="1"/>
      <c r="Q87" s="1">
        <f t="shared" ca="1" si="41"/>
        <v>0.99065985139409141</v>
      </c>
      <c r="R87" s="1">
        <f t="shared" ca="1" si="42"/>
        <v>610</v>
      </c>
      <c r="S87" s="1"/>
      <c r="T87" s="1">
        <f t="shared" ca="1" si="43"/>
        <v>0.10065689048404783</v>
      </c>
      <c r="U87" s="1">
        <f t="shared" ca="1" si="44"/>
        <v>260</v>
      </c>
      <c r="V87" s="1">
        <f t="shared" ca="1" si="45"/>
        <v>27</v>
      </c>
      <c r="W87" s="1"/>
      <c r="X87" s="1">
        <f t="shared" ca="1" si="46"/>
        <v>9.0839765869830682</v>
      </c>
      <c r="Y87" s="1">
        <f t="shared" ca="1" si="47"/>
        <v>0.43015061404318494</v>
      </c>
      <c r="Z87" s="1">
        <f t="shared" ca="1" si="48"/>
        <v>1297</v>
      </c>
      <c r="AB87" s="1">
        <f t="shared" ca="1" si="49"/>
        <v>0.60852203078900491</v>
      </c>
      <c r="AC87" s="1">
        <f t="shared" ca="1" si="50"/>
        <v>370</v>
      </c>
      <c r="AD87" s="1">
        <f t="shared" ca="1" si="51"/>
        <v>1.7954478271881426E-4</v>
      </c>
      <c r="AE87" s="1"/>
      <c r="AF87" s="1">
        <f t="shared" ca="1" si="52"/>
        <v>0.89444082974465722</v>
      </c>
      <c r="AG87" s="1">
        <f t="shared" ca="1" si="53"/>
        <v>649</v>
      </c>
      <c r="AH87" s="1">
        <f t="shared" ca="1" si="54"/>
        <v>7.1303338861892817E-3</v>
      </c>
      <c r="AJ87" s="1">
        <f t="shared" ca="1" si="55"/>
        <v>0.75301415318226927</v>
      </c>
      <c r="AK87" s="1">
        <f t="shared" ca="1" si="56"/>
        <v>9.1879546036133641E-3</v>
      </c>
      <c r="AL87" s="1"/>
      <c r="AM87" s="1">
        <f t="shared" ca="1" si="57"/>
        <v>3.022056871748929E-2</v>
      </c>
      <c r="AN87" s="1">
        <f t="shared" ca="1" si="58"/>
        <v>20</v>
      </c>
      <c r="AO87" s="1">
        <f t="shared" ca="1" si="59"/>
        <v>14</v>
      </c>
    </row>
    <row r="88" spans="2:41" x14ac:dyDescent="0.25">
      <c r="B88">
        <f t="shared" ca="1" si="30"/>
        <v>856</v>
      </c>
      <c r="C88">
        <f t="shared" ca="1" si="31"/>
        <v>45</v>
      </c>
      <c r="D88">
        <f t="shared" ca="1" si="32"/>
        <v>0.16642581300895898</v>
      </c>
      <c r="F88" s="1">
        <f t="shared" ca="1" si="33"/>
        <v>17</v>
      </c>
      <c r="G88" s="1">
        <f t="shared" ca="1" si="34"/>
        <v>10</v>
      </c>
      <c r="H88" s="1">
        <f t="shared" ca="1" si="35"/>
        <v>10</v>
      </c>
      <c r="I88" s="1"/>
      <c r="J88" s="1">
        <f t="shared" ca="1" si="36"/>
        <v>39</v>
      </c>
      <c r="K88" s="1">
        <f t="shared" ca="1" si="37"/>
        <v>1.6561625427402591</v>
      </c>
      <c r="L88" s="1">
        <f t="shared" ca="1" si="38"/>
        <v>30</v>
      </c>
      <c r="M88" s="1"/>
      <c r="N88" s="1">
        <f t="shared" ca="1" si="39"/>
        <v>613</v>
      </c>
      <c r="O88" s="1">
        <f t="shared" ca="1" si="40"/>
        <v>12</v>
      </c>
      <c r="P88" s="1"/>
      <c r="Q88" s="1">
        <f t="shared" ca="1" si="41"/>
        <v>3.2968697042984254</v>
      </c>
      <c r="R88" s="1">
        <f t="shared" ca="1" si="42"/>
        <v>860</v>
      </c>
      <c r="S88" s="1"/>
      <c r="T88" s="1">
        <f t="shared" ca="1" si="43"/>
        <v>0.11835510765199696</v>
      </c>
      <c r="U88" s="1">
        <f t="shared" ca="1" si="44"/>
        <v>409</v>
      </c>
      <c r="V88" s="1">
        <f t="shared" ca="1" si="45"/>
        <v>7</v>
      </c>
      <c r="W88" s="1"/>
      <c r="X88" s="1">
        <f t="shared" ca="1" si="46"/>
        <v>7.1036061664797421</v>
      </c>
      <c r="Y88" s="1">
        <f t="shared" ca="1" si="47"/>
        <v>0.21235876391545749</v>
      </c>
      <c r="Z88" s="1">
        <f t="shared" ca="1" si="48"/>
        <v>988</v>
      </c>
      <c r="AB88" s="1">
        <f t="shared" ca="1" si="49"/>
        <v>0.90727024715966964</v>
      </c>
      <c r="AC88" s="1">
        <f t="shared" ca="1" si="50"/>
        <v>434</v>
      </c>
      <c r="AD88" s="1">
        <f t="shared" ca="1" si="51"/>
        <v>4.7553213719191906E-3</v>
      </c>
      <c r="AE88" s="1"/>
      <c r="AF88" s="1">
        <f t="shared" ca="1" si="52"/>
        <v>0.33356375851607989</v>
      </c>
      <c r="AG88" s="1">
        <f t="shared" ca="1" si="53"/>
        <v>869</v>
      </c>
      <c r="AH88" s="1">
        <f t="shared" ca="1" si="54"/>
        <v>3.7895436349949231E-4</v>
      </c>
      <c r="AJ88" s="1">
        <f t="shared" ca="1" si="55"/>
        <v>0.45340530068071805</v>
      </c>
      <c r="AK88" s="1">
        <f t="shared" ca="1" si="56"/>
        <v>9.9614575335738066E-3</v>
      </c>
      <c r="AL88" s="1"/>
      <c r="AM88" s="1">
        <f t="shared" ca="1" si="57"/>
        <v>5.8706893042364025E-2</v>
      </c>
      <c r="AN88" s="1">
        <f t="shared" ca="1" si="58"/>
        <v>79</v>
      </c>
      <c r="AO88" s="1">
        <f t="shared" ca="1" si="59"/>
        <v>7</v>
      </c>
    </row>
    <row r="89" spans="2:41" x14ac:dyDescent="0.25">
      <c r="B89">
        <f t="shared" ca="1" si="30"/>
        <v>401</v>
      </c>
      <c r="C89">
        <f t="shared" ca="1" si="31"/>
        <v>16</v>
      </c>
      <c r="D89">
        <f t="shared" ca="1" si="32"/>
        <v>9.0068707307002657E-2</v>
      </c>
      <c r="F89" s="1">
        <f t="shared" ca="1" si="33"/>
        <v>11</v>
      </c>
      <c r="G89" s="1">
        <f t="shared" ca="1" si="34"/>
        <v>30</v>
      </c>
      <c r="H89" s="1">
        <f t="shared" ca="1" si="35"/>
        <v>5</v>
      </c>
      <c r="I89" s="1"/>
      <c r="J89" s="1">
        <f t="shared" ca="1" si="36"/>
        <v>14</v>
      </c>
      <c r="K89" s="1">
        <f t="shared" ca="1" si="37"/>
        <v>1.2084702514042385</v>
      </c>
      <c r="L89" s="1">
        <f t="shared" ca="1" si="38"/>
        <v>18</v>
      </c>
      <c r="M89" s="1"/>
      <c r="N89" s="1">
        <f t="shared" ca="1" si="39"/>
        <v>300</v>
      </c>
      <c r="O89" s="1">
        <f t="shared" ca="1" si="40"/>
        <v>32</v>
      </c>
      <c r="P89" s="1"/>
      <c r="Q89" s="1">
        <f t="shared" ca="1" si="41"/>
        <v>1.1213530325964416</v>
      </c>
      <c r="R89" s="1">
        <f t="shared" ca="1" si="42"/>
        <v>714</v>
      </c>
      <c r="S89" s="1"/>
      <c r="T89" s="1">
        <f t="shared" ca="1" si="43"/>
        <v>4.8992249341780827E-2</v>
      </c>
      <c r="U89" s="1">
        <f t="shared" ca="1" si="44"/>
        <v>273</v>
      </c>
      <c r="V89" s="1">
        <f t="shared" ca="1" si="45"/>
        <v>32</v>
      </c>
      <c r="W89" s="1"/>
      <c r="X89" s="1">
        <f t="shared" ca="1" si="46"/>
        <v>7.825059002505891</v>
      </c>
      <c r="Y89" s="1">
        <f t="shared" ca="1" si="47"/>
        <v>0.30141576697933287</v>
      </c>
      <c r="Z89" s="1">
        <f t="shared" ca="1" si="48"/>
        <v>935</v>
      </c>
      <c r="AB89" s="1">
        <f t="shared" ca="1" si="49"/>
        <v>0.63614414460306701</v>
      </c>
      <c r="AC89" s="1">
        <f t="shared" ca="1" si="50"/>
        <v>960</v>
      </c>
      <c r="AD89" s="1">
        <f t="shared" ca="1" si="51"/>
        <v>5.3240750848099531E-4</v>
      </c>
      <c r="AE89" s="1"/>
      <c r="AF89" s="1">
        <f t="shared" ca="1" si="52"/>
        <v>0.12291845014652943</v>
      </c>
      <c r="AG89" s="1">
        <f t="shared" ca="1" si="53"/>
        <v>528</v>
      </c>
      <c r="AH89" s="1">
        <f t="shared" ca="1" si="54"/>
        <v>5.6491938447195784E-3</v>
      </c>
      <c r="AJ89" s="1">
        <f t="shared" ca="1" si="55"/>
        <v>1.0654687894752546E-2</v>
      </c>
      <c r="AK89" s="1">
        <f t="shared" ca="1" si="56"/>
        <v>4.8228289890166563E-3</v>
      </c>
      <c r="AL89" s="1"/>
      <c r="AM89" s="1">
        <f t="shared" ca="1" si="57"/>
        <v>0.1282265479733945</v>
      </c>
      <c r="AN89" s="1">
        <f t="shared" ca="1" si="58"/>
        <v>64</v>
      </c>
      <c r="AO89" s="1">
        <f t="shared" ca="1" si="59"/>
        <v>5</v>
      </c>
    </row>
    <row r="90" spans="2:41" x14ac:dyDescent="0.25">
      <c r="B90">
        <f t="shared" ca="1" si="30"/>
        <v>893</v>
      </c>
      <c r="C90">
        <f t="shared" ca="1" si="31"/>
        <v>45</v>
      </c>
      <c r="D90">
        <f t="shared" ca="1" si="32"/>
        <v>6.1950815942389E-2</v>
      </c>
      <c r="F90" s="1">
        <f t="shared" ca="1" si="33"/>
        <v>15</v>
      </c>
      <c r="G90" s="1">
        <f t="shared" ca="1" si="34"/>
        <v>8</v>
      </c>
      <c r="H90" s="1">
        <f t="shared" ca="1" si="35"/>
        <v>2</v>
      </c>
      <c r="I90" s="1"/>
      <c r="J90" s="1">
        <f t="shared" ca="1" si="36"/>
        <v>34</v>
      </c>
      <c r="K90" s="1">
        <f t="shared" ca="1" si="37"/>
        <v>2.2179715407029055</v>
      </c>
      <c r="L90" s="1">
        <f t="shared" ca="1" si="38"/>
        <v>30</v>
      </c>
      <c r="M90" s="1"/>
      <c r="N90" s="1">
        <f t="shared" ca="1" si="39"/>
        <v>475</v>
      </c>
      <c r="O90" s="1">
        <f t="shared" ca="1" si="40"/>
        <v>40</v>
      </c>
      <c r="P90" s="1"/>
      <c r="Q90" s="1">
        <f t="shared" ca="1" si="41"/>
        <v>0.58012196665173588</v>
      </c>
      <c r="R90" s="1">
        <f t="shared" ca="1" si="42"/>
        <v>769</v>
      </c>
      <c r="S90" s="1"/>
      <c r="T90" s="1">
        <f t="shared" ca="1" si="43"/>
        <v>7.3783881416873198E-2</v>
      </c>
      <c r="U90" s="1">
        <f t="shared" ca="1" si="44"/>
        <v>69</v>
      </c>
      <c r="V90" s="1">
        <f t="shared" ca="1" si="45"/>
        <v>3</v>
      </c>
      <c r="W90" s="1"/>
      <c r="X90" s="1">
        <f t="shared" ca="1" si="46"/>
        <v>2.3307748115924558</v>
      </c>
      <c r="Y90" s="1">
        <f t="shared" ca="1" si="47"/>
        <v>0.3519934325519008</v>
      </c>
      <c r="Z90" s="1">
        <f t="shared" ca="1" si="48"/>
        <v>386</v>
      </c>
      <c r="AB90" s="1">
        <f t="shared" ca="1" si="49"/>
        <v>0.98726930670595847</v>
      </c>
      <c r="AC90" s="1">
        <f t="shared" ca="1" si="50"/>
        <v>471</v>
      </c>
      <c r="AD90" s="1">
        <f t="shared" ca="1" si="51"/>
        <v>9.5259572597666429E-4</v>
      </c>
      <c r="AE90" s="1"/>
      <c r="AF90" s="1">
        <f t="shared" ca="1" si="52"/>
        <v>0.88337407721684891</v>
      </c>
      <c r="AG90" s="1">
        <f t="shared" ca="1" si="53"/>
        <v>997</v>
      </c>
      <c r="AH90" s="1">
        <f t="shared" ca="1" si="54"/>
        <v>7.9127126204669284E-3</v>
      </c>
      <c r="AJ90" s="1">
        <f t="shared" ca="1" si="55"/>
        <v>0.56910419993211181</v>
      </c>
      <c r="AK90" s="1">
        <f t="shared" ca="1" si="56"/>
        <v>4.7896785666062302E-3</v>
      </c>
      <c r="AL90" s="1"/>
      <c r="AM90" s="1">
        <f t="shared" ca="1" si="57"/>
        <v>8.6957683488731966E-2</v>
      </c>
      <c r="AN90" s="1">
        <f t="shared" ca="1" si="58"/>
        <v>13</v>
      </c>
      <c r="AO90" s="1">
        <f t="shared" ca="1" si="59"/>
        <v>14</v>
      </c>
    </row>
    <row r="91" spans="2:41" x14ac:dyDescent="0.25">
      <c r="B91">
        <f t="shared" ca="1" si="30"/>
        <v>955</v>
      </c>
      <c r="C91">
        <f t="shared" ca="1" si="31"/>
        <v>36</v>
      </c>
      <c r="D91">
        <f t="shared" ca="1" si="32"/>
        <v>0.29973617807316905</v>
      </c>
      <c r="F91" s="1">
        <f t="shared" ca="1" si="33"/>
        <v>39</v>
      </c>
      <c r="G91" s="1">
        <f t="shared" ca="1" si="34"/>
        <v>21</v>
      </c>
      <c r="H91" s="1">
        <f t="shared" ca="1" si="35"/>
        <v>8</v>
      </c>
      <c r="I91" s="1"/>
      <c r="J91" s="1">
        <f t="shared" ca="1" si="36"/>
        <v>9</v>
      </c>
      <c r="K91" s="1">
        <f t="shared" ca="1" si="37"/>
        <v>1.2713878945849173</v>
      </c>
      <c r="L91" s="1">
        <f t="shared" ca="1" si="38"/>
        <v>12</v>
      </c>
      <c r="M91" s="1"/>
      <c r="N91" s="1">
        <f t="shared" ca="1" si="39"/>
        <v>105</v>
      </c>
      <c r="O91" s="1">
        <f t="shared" ca="1" si="40"/>
        <v>16</v>
      </c>
      <c r="P91" s="1"/>
      <c r="Q91" s="1">
        <f t="shared" ca="1" si="41"/>
        <v>0.52362203590982492</v>
      </c>
      <c r="R91" s="1">
        <f t="shared" ca="1" si="42"/>
        <v>827</v>
      </c>
      <c r="S91" s="1"/>
      <c r="T91" s="1">
        <f t="shared" ca="1" si="43"/>
        <v>0.19799163668039022</v>
      </c>
      <c r="U91" s="1">
        <f t="shared" ca="1" si="44"/>
        <v>348</v>
      </c>
      <c r="V91" s="1">
        <f t="shared" ca="1" si="45"/>
        <v>35</v>
      </c>
      <c r="W91" s="1"/>
      <c r="X91" s="1">
        <f t="shared" ca="1" si="46"/>
        <v>3.3044019303449099</v>
      </c>
      <c r="Y91" s="1">
        <f t="shared" ca="1" si="47"/>
        <v>0.16954583707557322</v>
      </c>
      <c r="Z91" s="1">
        <f t="shared" ca="1" si="48"/>
        <v>808</v>
      </c>
      <c r="AB91" s="1">
        <f t="shared" ca="1" si="49"/>
        <v>1.1791975892940816E-2</v>
      </c>
      <c r="AC91" s="1">
        <f t="shared" ca="1" si="50"/>
        <v>181</v>
      </c>
      <c r="AD91" s="1">
        <f t="shared" ca="1" si="51"/>
        <v>6.6931266622434525E-3</v>
      </c>
      <c r="AE91" s="1"/>
      <c r="AF91" s="1">
        <f t="shared" ca="1" si="52"/>
        <v>0.40255349408018171</v>
      </c>
      <c r="AG91" s="1">
        <f t="shared" ca="1" si="53"/>
        <v>846</v>
      </c>
      <c r="AH91" s="1">
        <f t="shared" ca="1" si="54"/>
        <v>5.7074061338763431E-3</v>
      </c>
      <c r="AJ91" s="1">
        <f t="shared" ca="1" si="55"/>
        <v>0.81443449115937594</v>
      </c>
      <c r="AK91" s="1">
        <f t="shared" ca="1" si="56"/>
        <v>2.7026625151948164E-4</v>
      </c>
      <c r="AL91" s="1"/>
      <c r="AM91" s="1">
        <f t="shared" ca="1" si="57"/>
        <v>0.19568809996022848</v>
      </c>
      <c r="AN91" s="1">
        <f t="shared" ca="1" si="58"/>
        <v>35</v>
      </c>
      <c r="AO91" s="1">
        <f t="shared" ca="1" si="59"/>
        <v>0</v>
      </c>
    </row>
    <row r="92" spans="2:41" x14ac:dyDescent="0.25">
      <c r="B92">
        <f t="shared" ca="1" si="30"/>
        <v>518</v>
      </c>
      <c r="C92">
        <f t="shared" ca="1" si="31"/>
        <v>25</v>
      </c>
      <c r="D92">
        <f t="shared" ca="1" si="32"/>
        <v>0.29451866546245142</v>
      </c>
      <c r="F92" s="1">
        <f t="shared" ca="1" si="33"/>
        <v>3</v>
      </c>
      <c r="G92" s="1">
        <f t="shared" ca="1" si="34"/>
        <v>14</v>
      </c>
      <c r="H92" s="1">
        <f t="shared" ca="1" si="35"/>
        <v>15</v>
      </c>
      <c r="I92" s="1"/>
      <c r="J92" s="1">
        <f t="shared" ca="1" si="36"/>
        <v>37</v>
      </c>
      <c r="K92" s="1">
        <f t="shared" ca="1" si="37"/>
        <v>1.4312364309692402</v>
      </c>
      <c r="L92" s="1">
        <f t="shared" ca="1" si="38"/>
        <v>33</v>
      </c>
      <c r="M92" s="1"/>
      <c r="N92" s="1">
        <f t="shared" ca="1" si="39"/>
        <v>166</v>
      </c>
      <c r="O92" s="1">
        <f t="shared" ca="1" si="40"/>
        <v>3</v>
      </c>
      <c r="P92" s="1"/>
      <c r="Q92" s="1">
        <f t="shared" ca="1" si="41"/>
        <v>2.0730996188498465</v>
      </c>
      <c r="R92" s="1">
        <f t="shared" ca="1" si="42"/>
        <v>361</v>
      </c>
      <c r="S92" s="1"/>
      <c r="T92" s="1">
        <f t="shared" ca="1" si="43"/>
        <v>1.3168561931689107E-2</v>
      </c>
      <c r="U92" s="1">
        <f t="shared" ca="1" si="44"/>
        <v>239</v>
      </c>
      <c r="V92" s="1">
        <f t="shared" ca="1" si="45"/>
        <v>16</v>
      </c>
      <c r="W92" s="1"/>
      <c r="X92" s="1">
        <f t="shared" ca="1" si="46"/>
        <v>7.0681728425966508</v>
      </c>
      <c r="Y92" s="1">
        <f t="shared" ca="1" si="47"/>
        <v>8.9125584610504099E-2</v>
      </c>
      <c r="Z92" s="1">
        <f t="shared" ca="1" si="48"/>
        <v>219</v>
      </c>
      <c r="AB92" s="1">
        <f t="shared" ca="1" si="49"/>
        <v>0.2216317560465664</v>
      </c>
      <c r="AC92" s="1">
        <f t="shared" ca="1" si="50"/>
        <v>677</v>
      </c>
      <c r="AD92" s="1">
        <f t="shared" ca="1" si="51"/>
        <v>3.6871033227319108E-3</v>
      </c>
      <c r="AE92" s="1"/>
      <c r="AF92" s="1">
        <f t="shared" ca="1" si="52"/>
        <v>0.21466230391114768</v>
      </c>
      <c r="AG92" s="1">
        <f t="shared" ca="1" si="53"/>
        <v>575</v>
      </c>
      <c r="AH92" s="1">
        <f t="shared" ca="1" si="54"/>
        <v>4.0414967660055614E-3</v>
      </c>
      <c r="AJ92" s="1">
        <f t="shared" ca="1" si="55"/>
        <v>0.80521855906538675</v>
      </c>
      <c r="AK92" s="1">
        <f t="shared" ca="1" si="56"/>
        <v>6.6650975248572697E-3</v>
      </c>
      <c r="AL92" s="1"/>
      <c r="AM92" s="1">
        <f t="shared" ca="1" si="57"/>
        <v>1.876927695193132E-2</v>
      </c>
      <c r="AN92" s="1">
        <f t="shared" ca="1" si="58"/>
        <v>33</v>
      </c>
      <c r="AO92" s="1">
        <f t="shared" ca="1" si="59"/>
        <v>7</v>
      </c>
    </row>
    <row r="93" spans="2:41" x14ac:dyDescent="0.25">
      <c r="B93">
        <f t="shared" ca="1" si="30"/>
        <v>398</v>
      </c>
      <c r="C93">
        <f t="shared" ca="1" si="31"/>
        <v>2</v>
      </c>
      <c r="D93">
        <f t="shared" ca="1" si="32"/>
        <v>6.4956519335862203E-2</v>
      </c>
      <c r="F93" s="1">
        <f t="shared" ca="1" si="33"/>
        <v>14</v>
      </c>
      <c r="G93" s="1">
        <f t="shared" ca="1" si="34"/>
        <v>30</v>
      </c>
      <c r="H93" s="1">
        <f t="shared" ca="1" si="35"/>
        <v>12</v>
      </c>
      <c r="I93" s="1"/>
      <c r="J93" s="1">
        <f t="shared" ca="1" si="36"/>
        <v>5</v>
      </c>
      <c r="K93" s="1">
        <f t="shared" ca="1" si="37"/>
        <v>1.1782930373159806</v>
      </c>
      <c r="L93" s="1">
        <f t="shared" ca="1" si="38"/>
        <v>18</v>
      </c>
      <c r="M93" s="1"/>
      <c r="N93" s="1">
        <f t="shared" ca="1" si="39"/>
        <v>65</v>
      </c>
      <c r="O93" s="1">
        <f t="shared" ca="1" si="40"/>
        <v>29</v>
      </c>
      <c r="P93" s="1"/>
      <c r="Q93" s="1">
        <f t="shared" ca="1" si="41"/>
        <v>2.8697262142211084</v>
      </c>
      <c r="R93" s="1">
        <f t="shared" ca="1" si="42"/>
        <v>1164</v>
      </c>
      <c r="S93" s="1"/>
      <c r="T93" s="1">
        <f t="shared" ca="1" si="43"/>
        <v>0.12234683923349063</v>
      </c>
      <c r="U93" s="1">
        <f t="shared" ca="1" si="44"/>
        <v>144</v>
      </c>
      <c r="V93" s="1">
        <f t="shared" ca="1" si="45"/>
        <v>37</v>
      </c>
      <c r="W93" s="1"/>
      <c r="X93" s="1">
        <f t="shared" ca="1" si="46"/>
        <v>0.43410044128250286</v>
      </c>
      <c r="Y93" s="1">
        <f t="shared" ca="1" si="47"/>
        <v>0.82587777871926982</v>
      </c>
      <c r="Z93" s="1">
        <f t="shared" ca="1" si="48"/>
        <v>1457</v>
      </c>
      <c r="AB93" s="1">
        <f t="shared" ca="1" si="49"/>
        <v>0.89558276386742219</v>
      </c>
      <c r="AC93" s="1">
        <f t="shared" ca="1" si="50"/>
        <v>104</v>
      </c>
      <c r="AD93" s="1">
        <f t="shared" ca="1" si="51"/>
        <v>1.0537665939158798E-3</v>
      </c>
      <c r="AE93" s="1"/>
      <c r="AF93" s="1">
        <f t="shared" ca="1" si="52"/>
        <v>0.67784777697449705</v>
      </c>
      <c r="AG93" s="1">
        <f t="shared" ca="1" si="53"/>
        <v>971</v>
      </c>
      <c r="AH93" s="1">
        <f t="shared" ca="1" si="54"/>
        <v>9.6046827102791042E-4</v>
      </c>
      <c r="AJ93" s="1">
        <f t="shared" ca="1" si="55"/>
        <v>0.57618123585459002</v>
      </c>
      <c r="AK93" s="1">
        <f t="shared" ca="1" si="56"/>
        <v>6.1511933494414013E-3</v>
      </c>
      <c r="AL93" s="1"/>
      <c r="AM93" s="1">
        <f t="shared" ca="1" si="57"/>
        <v>0.10262053710240444</v>
      </c>
      <c r="AN93" s="1">
        <f t="shared" ca="1" si="58"/>
        <v>52</v>
      </c>
      <c r="AO93" s="1">
        <f t="shared" ca="1" si="59"/>
        <v>14</v>
      </c>
    </row>
    <row r="94" spans="2:41" x14ac:dyDescent="0.25">
      <c r="B94">
        <f t="shared" ca="1" si="30"/>
        <v>967</v>
      </c>
      <c r="C94">
        <f t="shared" ca="1" si="31"/>
        <v>41</v>
      </c>
      <c r="D94">
        <f t="shared" ca="1" si="32"/>
        <v>0.24112331648364663</v>
      </c>
      <c r="F94" s="1">
        <f t="shared" ca="1" si="33"/>
        <v>45</v>
      </c>
      <c r="G94" s="1">
        <f t="shared" ca="1" si="34"/>
        <v>27</v>
      </c>
      <c r="H94" s="1">
        <f t="shared" ca="1" si="35"/>
        <v>10</v>
      </c>
      <c r="I94" s="1"/>
      <c r="J94" s="1">
        <f t="shared" ca="1" si="36"/>
        <v>23</v>
      </c>
      <c r="K94" s="1">
        <f t="shared" ca="1" si="37"/>
        <v>2.0076944270144983</v>
      </c>
      <c r="L94" s="1">
        <f t="shared" ca="1" si="38"/>
        <v>12</v>
      </c>
      <c r="M94" s="1"/>
      <c r="N94" s="1">
        <f t="shared" ca="1" si="39"/>
        <v>879</v>
      </c>
      <c r="O94" s="1">
        <f t="shared" ca="1" si="40"/>
        <v>7</v>
      </c>
      <c r="P94" s="1"/>
      <c r="Q94" s="1">
        <f t="shared" ca="1" si="41"/>
        <v>3.9689273602365494</v>
      </c>
      <c r="R94" s="1">
        <f t="shared" ca="1" si="42"/>
        <v>1060</v>
      </c>
      <c r="S94" s="1"/>
      <c r="T94" s="1">
        <f t="shared" ca="1" si="43"/>
        <v>0.18060549942305251</v>
      </c>
      <c r="U94" s="1">
        <f t="shared" ca="1" si="44"/>
        <v>323</v>
      </c>
      <c r="V94" s="1">
        <f t="shared" ca="1" si="45"/>
        <v>11</v>
      </c>
      <c r="W94" s="1"/>
      <c r="X94" s="1">
        <f t="shared" ca="1" si="46"/>
        <v>2.099243092360942</v>
      </c>
      <c r="Y94" s="1">
        <f t="shared" ca="1" si="47"/>
        <v>0.41128041272892618</v>
      </c>
      <c r="Z94" s="1">
        <f t="shared" ca="1" si="48"/>
        <v>1838</v>
      </c>
      <c r="AB94" s="1">
        <f t="shared" ca="1" si="49"/>
        <v>6.4030567062414806E-2</v>
      </c>
      <c r="AC94" s="1">
        <f t="shared" ca="1" si="50"/>
        <v>968</v>
      </c>
      <c r="AD94" s="1">
        <f t="shared" ca="1" si="51"/>
        <v>2.802440204295284E-3</v>
      </c>
      <c r="AE94" s="1"/>
      <c r="AF94" s="1">
        <f t="shared" ca="1" si="52"/>
        <v>0.71810351252362414</v>
      </c>
      <c r="AG94" s="1">
        <f t="shared" ca="1" si="53"/>
        <v>918</v>
      </c>
      <c r="AH94" s="1">
        <f t="shared" ca="1" si="54"/>
        <v>5.5970033515816164E-4</v>
      </c>
      <c r="AJ94" s="1">
        <f t="shared" ca="1" si="55"/>
        <v>0.90127618661865672</v>
      </c>
      <c r="AK94" s="1">
        <f t="shared" ca="1" si="56"/>
        <v>9.0826795241244953E-3</v>
      </c>
      <c r="AL94" s="1"/>
      <c r="AM94" s="1">
        <f t="shared" ca="1" si="57"/>
        <v>0.19714816372550339</v>
      </c>
      <c r="AN94" s="1">
        <f t="shared" ca="1" si="58"/>
        <v>79</v>
      </c>
      <c r="AO94" s="1">
        <f t="shared" ca="1" si="59"/>
        <v>-1</v>
      </c>
    </row>
    <row r="95" spans="2:41" x14ac:dyDescent="0.25">
      <c r="B95">
        <f t="shared" ca="1" si="30"/>
        <v>669</v>
      </c>
      <c r="C95">
        <f t="shared" ca="1" si="31"/>
        <v>18</v>
      </c>
      <c r="D95">
        <f t="shared" ca="1" si="32"/>
        <v>0.25934992008154961</v>
      </c>
      <c r="F95" s="1">
        <f t="shared" ca="1" si="33"/>
        <v>28</v>
      </c>
      <c r="G95" s="1">
        <f t="shared" ca="1" si="34"/>
        <v>28</v>
      </c>
      <c r="H95" s="1">
        <f t="shared" ca="1" si="35"/>
        <v>1</v>
      </c>
      <c r="I95" s="1"/>
      <c r="J95" s="1">
        <f t="shared" ca="1" si="36"/>
        <v>36</v>
      </c>
      <c r="K95" s="1">
        <f t="shared" ca="1" si="37"/>
        <v>2.2131487607825124</v>
      </c>
      <c r="L95" s="1">
        <f t="shared" ca="1" si="38"/>
        <v>16</v>
      </c>
      <c r="M95" s="1"/>
      <c r="N95" s="1">
        <f t="shared" ca="1" si="39"/>
        <v>433</v>
      </c>
      <c r="O95" s="1">
        <f t="shared" ca="1" si="40"/>
        <v>51</v>
      </c>
      <c r="P95" s="1"/>
      <c r="Q95" s="1">
        <f t="shared" ca="1" si="41"/>
        <v>4.1291155861158169</v>
      </c>
      <c r="R95" s="1">
        <f t="shared" ca="1" si="42"/>
        <v>516</v>
      </c>
      <c r="S95" s="1"/>
      <c r="T95" s="1">
        <f t="shared" ca="1" si="43"/>
        <v>0.19222658928479891</v>
      </c>
      <c r="U95" s="1">
        <f t="shared" ca="1" si="44"/>
        <v>110</v>
      </c>
      <c r="V95" s="1">
        <f t="shared" ca="1" si="45"/>
        <v>37</v>
      </c>
      <c r="W95" s="1"/>
      <c r="X95" s="1">
        <f t="shared" ca="1" si="46"/>
        <v>8.3115771267006213</v>
      </c>
      <c r="Y95" s="1">
        <f t="shared" ca="1" si="47"/>
        <v>4.2711626061609796E-2</v>
      </c>
      <c r="Z95" s="1">
        <f t="shared" ca="1" si="48"/>
        <v>305</v>
      </c>
      <c r="AB95" s="1">
        <f t="shared" ca="1" si="49"/>
        <v>0.29379538574854686</v>
      </c>
      <c r="AC95" s="1">
        <f t="shared" ca="1" si="50"/>
        <v>706</v>
      </c>
      <c r="AD95" s="1">
        <f t="shared" ca="1" si="51"/>
        <v>1.1094513889554653E-3</v>
      </c>
      <c r="AE95" s="1"/>
      <c r="AF95" s="1">
        <f t="shared" ca="1" si="52"/>
        <v>0.45221774056362574</v>
      </c>
      <c r="AG95" s="1">
        <f t="shared" ca="1" si="53"/>
        <v>541</v>
      </c>
      <c r="AH95" s="1">
        <f t="shared" ca="1" si="54"/>
        <v>4.8637764663303322E-3</v>
      </c>
      <c r="AJ95" s="1">
        <f t="shared" ca="1" si="55"/>
        <v>0.18560988816948298</v>
      </c>
      <c r="AK95" s="1">
        <f t="shared" ca="1" si="56"/>
        <v>9.1275272437711507E-3</v>
      </c>
      <c r="AL95" s="1"/>
      <c r="AM95" s="1">
        <f t="shared" ca="1" si="57"/>
        <v>0.11936139929219546</v>
      </c>
      <c r="AN95" s="1">
        <f t="shared" ca="1" si="58"/>
        <v>80</v>
      </c>
      <c r="AO95" s="1">
        <f t="shared" ca="1" si="59"/>
        <v>14</v>
      </c>
    </row>
    <row r="96" spans="2:41" x14ac:dyDescent="0.25">
      <c r="B96">
        <f t="shared" ca="1" si="30"/>
        <v>36</v>
      </c>
      <c r="C96">
        <f t="shared" ca="1" si="31"/>
        <v>38</v>
      </c>
      <c r="D96">
        <f t="shared" ca="1" si="32"/>
        <v>0.13426033037742061</v>
      </c>
      <c r="F96" s="1">
        <f t="shared" ca="1" si="33"/>
        <v>4</v>
      </c>
      <c r="G96" s="1">
        <f t="shared" ca="1" si="34"/>
        <v>24</v>
      </c>
      <c r="H96" s="1">
        <f t="shared" ca="1" si="35"/>
        <v>6</v>
      </c>
      <c r="I96" s="1"/>
      <c r="J96" s="1">
        <f t="shared" ca="1" si="36"/>
        <v>34</v>
      </c>
      <c r="K96" s="1">
        <f t="shared" ca="1" si="37"/>
        <v>1.641673791595343</v>
      </c>
      <c r="L96" s="1">
        <f t="shared" ca="1" si="38"/>
        <v>30</v>
      </c>
      <c r="M96" s="1"/>
      <c r="N96" s="1">
        <f t="shared" ca="1" si="39"/>
        <v>567</v>
      </c>
      <c r="O96" s="1">
        <f t="shared" ca="1" si="40"/>
        <v>21</v>
      </c>
      <c r="P96" s="1"/>
      <c r="Q96" s="1">
        <f t="shared" ca="1" si="41"/>
        <v>3.8488754361211219</v>
      </c>
      <c r="R96" s="1">
        <f t="shared" ca="1" si="42"/>
        <v>804</v>
      </c>
      <c r="S96" s="1"/>
      <c r="T96" s="1">
        <f t="shared" ca="1" si="43"/>
        <v>4.1881036538625523E-2</v>
      </c>
      <c r="U96" s="1">
        <f t="shared" ca="1" si="44"/>
        <v>131</v>
      </c>
      <c r="V96" s="1">
        <f t="shared" ca="1" si="45"/>
        <v>11</v>
      </c>
      <c r="W96" s="1"/>
      <c r="X96" s="1">
        <f t="shared" ca="1" si="46"/>
        <v>9.7970632794168253</v>
      </c>
      <c r="Y96" s="1">
        <f t="shared" ca="1" si="47"/>
        <v>0.82196393547809588</v>
      </c>
      <c r="Z96" s="1">
        <f t="shared" ca="1" si="48"/>
        <v>897</v>
      </c>
      <c r="AB96" s="1">
        <f t="shared" ca="1" si="49"/>
        <v>0.12505046177823259</v>
      </c>
      <c r="AC96" s="1">
        <f t="shared" ca="1" si="50"/>
        <v>819</v>
      </c>
      <c r="AD96" s="1">
        <f t="shared" ca="1" si="51"/>
        <v>1.4300206818802256E-3</v>
      </c>
      <c r="AE96" s="1"/>
      <c r="AF96" s="1">
        <f t="shared" ca="1" si="52"/>
        <v>0.89473258215855167</v>
      </c>
      <c r="AG96" s="1">
        <f t="shared" ca="1" si="53"/>
        <v>871</v>
      </c>
      <c r="AH96" s="1">
        <f t="shared" ca="1" si="54"/>
        <v>5.1505666954087025E-3</v>
      </c>
      <c r="AJ96" s="1">
        <f t="shared" ca="1" si="55"/>
        <v>0.90882815338427447</v>
      </c>
      <c r="AK96" s="1">
        <f t="shared" ca="1" si="56"/>
        <v>7.2467784971827652E-3</v>
      </c>
      <c r="AL96" s="1"/>
      <c r="AM96" s="1">
        <f t="shared" ca="1" si="57"/>
        <v>4.9476570352878516E-2</v>
      </c>
      <c r="AN96" s="1">
        <f t="shared" ca="1" si="58"/>
        <v>46</v>
      </c>
      <c r="AO96" s="1">
        <f t="shared" ca="1" si="59"/>
        <v>17</v>
      </c>
    </row>
    <row r="97" spans="2:41" x14ac:dyDescent="0.25">
      <c r="B97">
        <f t="shared" ca="1" si="30"/>
        <v>370</v>
      </c>
      <c r="C97">
        <f t="shared" ca="1" si="31"/>
        <v>13</v>
      </c>
      <c r="D97">
        <f t="shared" ca="1" si="32"/>
        <v>1.8217667518938489E-2</v>
      </c>
      <c r="F97" s="1">
        <f t="shared" ca="1" si="33"/>
        <v>40</v>
      </c>
      <c r="G97" s="1">
        <f t="shared" ca="1" si="34"/>
        <v>29</v>
      </c>
      <c r="H97" s="1">
        <f t="shared" ca="1" si="35"/>
        <v>10</v>
      </c>
      <c r="I97" s="1"/>
      <c r="J97" s="1">
        <f t="shared" ca="1" si="36"/>
        <v>30</v>
      </c>
      <c r="K97" s="1">
        <f t="shared" ca="1" si="37"/>
        <v>1.6369085702096067</v>
      </c>
      <c r="L97" s="1">
        <f t="shared" ca="1" si="38"/>
        <v>25</v>
      </c>
      <c r="M97" s="1"/>
      <c r="N97" s="1">
        <f t="shared" ca="1" si="39"/>
        <v>532</v>
      </c>
      <c r="O97" s="1">
        <f t="shared" ca="1" si="40"/>
        <v>37</v>
      </c>
      <c r="P97" s="1"/>
      <c r="Q97" s="1">
        <f t="shared" ca="1" si="41"/>
        <v>1.3923602749352313</v>
      </c>
      <c r="R97" s="1">
        <f t="shared" ca="1" si="42"/>
        <v>214</v>
      </c>
      <c r="S97" s="1"/>
      <c r="T97" s="1">
        <f t="shared" ca="1" si="43"/>
        <v>0.14249871534627581</v>
      </c>
      <c r="U97" s="1">
        <f t="shared" ca="1" si="44"/>
        <v>234</v>
      </c>
      <c r="V97" s="1">
        <f t="shared" ca="1" si="45"/>
        <v>22</v>
      </c>
      <c r="W97" s="1"/>
      <c r="X97" s="1">
        <f t="shared" ca="1" si="46"/>
        <v>8.6610095836296441</v>
      </c>
      <c r="Y97" s="1">
        <f t="shared" ca="1" si="47"/>
        <v>0.49811279129690861</v>
      </c>
      <c r="Z97" s="1">
        <f t="shared" ca="1" si="48"/>
        <v>1986</v>
      </c>
      <c r="AB97" s="1">
        <f t="shared" ca="1" si="49"/>
        <v>0.81149662332868355</v>
      </c>
      <c r="AC97" s="1">
        <f t="shared" ca="1" si="50"/>
        <v>365</v>
      </c>
      <c r="AD97" s="1">
        <f t="shared" ca="1" si="51"/>
        <v>6.8174728659931442E-3</v>
      </c>
      <c r="AE97" s="1"/>
      <c r="AF97" s="1">
        <f t="shared" ca="1" si="52"/>
        <v>0.30149225748612429</v>
      </c>
      <c r="AG97" s="1">
        <f t="shared" ca="1" si="53"/>
        <v>296</v>
      </c>
      <c r="AH97" s="1">
        <f t="shared" ca="1" si="54"/>
        <v>8.2444098282057222E-3</v>
      </c>
      <c r="AJ97" s="1">
        <f t="shared" ca="1" si="55"/>
        <v>0.42973323109874617</v>
      </c>
      <c r="AK97" s="1">
        <f t="shared" ca="1" si="56"/>
        <v>8.355412941320953E-3</v>
      </c>
      <c r="AL97" s="1"/>
      <c r="AM97" s="1">
        <f t="shared" ca="1" si="57"/>
        <v>0.19731679404237168</v>
      </c>
      <c r="AN97" s="1">
        <f t="shared" ca="1" si="58"/>
        <v>38</v>
      </c>
      <c r="AO97" s="1">
        <f t="shared" ca="1" si="59"/>
        <v>17</v>
      </c>
    </row>
    <row r="98" spans="2:41" x14ac:dyDescent="0.25">
      <c r="B98">
        <f t="shared" ca="1" si="30"/>
        <v>460</v>
      </c>
      <c r="C98">
        <f t="shared" ca="1" si="31"/>
        <v>13</v>
      </c>
      <c r="D98">
        <f t="shared" ca="1" si="32"/>
        <v>6.1468880356169167E-2</v>
      </c>
      <c r="F98" s="1">
        <f t="shared" ca="1" si="33"/>
        <v>6</v>
      </c>
      <c r="G98" s="1">
        <f t="shared" ca="1" si="34"/>
        <v>28</v>
      </c>
      <c r="H98" s="1">
        <f t="shared" ca="1" si="35"/>
        <v>15</v>
      </c>
      <c r="I98" s="1"/>
      <c r="J98" s="1">
        <f t="shared" ca="1" si="36"/>
        <v>28</v>
      </c>
      <c r="K98" s="1">
        <f t="shared" ca="1" si="37"/>
        <v>2.7642521233347974</v>
      </c>
      <c r="L98" s="1">
        <f t="shared" ca="1" si="38"/>
        <v>16</v>
      </c>
      <c r="M98" s="1"/>
      <c r="N98" s="1">
        <f t="shared" ca="1" si="39"/>
        <v>179</v>
      </c>
      <c r="O98" s="1">
        <f t="shared" ca="1" si="40"/>
        <v>6</v>
      </c>
      <c r="P98" s="1"/>
      <c r="Q98" s="1">
        <f t="shared" ca="1" si="41"/>
        <v>3.7516524016353321</v>
      </c>
      <c r="R98" s="1">
        <f t="shared" ca="1" si="42"/>
        <v>518</v>
      </c>
      <c r="S98" s="1"/>
      <c r="T98" s="1">
        <f t="shared" ca="1" si="43"/>
        <v>5.1655704958971413E-2</v>
      </c>
      <c r="U98" s="1">
        <f t="shared" ca="1" si="44"/>
        <v>218</v>
      </c>
      <c r="V98" s="1">
        <f t="shared" ca="1" si="45"/>
        <v>3</v>
      </c>
      <c r="W98" s="1"/>
      <c r="X98" s="1">
        <f t="shared" ca="1" si="46"/>
        <v>5.7520977537312508</v>
      </c>
      <c r="Y98" s="1">
        <f t="shared" ca="1" si="47"/>
        <v>0.61758499581728221</v>
      </c>
      <c r="Z98" s="1">
        <f t="shared" ca="1" si="48"/>
        <v>119</v>
      </c>
      <c r="AB98" s="1">
        <f t="shared" ca="1" si="49"/>
        <v>4.4835008743378132E-2</v>
      </c>
      <c r="AC98" s="1">
        <f t="shared" ca="1" si="50"/>
        <v>824</v>
      </c>
      <c r="AD98" s="1">
        <f t="shared" ca="1" si="51"/>
        <v>3.7524215849441098E-3</v>
      </c>
      <c r="AE98" s="1"/>
      <c r="AF98" s="1">
        <f t="shared" ca="1" si="52"/>
        <v>0.59769505363183539</v>
      </c>
      <c r="AG98" s="1">
        <f t="shared" ca="1" si="53"/>
        <v>760</v>
      </c>
      <c r="AH98" s="1">
        <f t="shared" ca="1" si="54"/>
        <v>2.5175755644202481E-3</v>
      </c>
      <c r="AJ98" s="1">
        <f t="shared" ca="1" si="55"/>
        <v>0.81778163118637881</v>
      </c>
      <c r="AK98" s="1">
        <f t="shared" ca="1" si="56"/>
        <v>4.5395662477598105E-4</v>
      </c>
      <c r="AL98" s="1"/>
      <c r="AM98" s="1">
        <f t="shared" ca="1" si="57"/>
        <v>0.14698577077057381</v>
      </c>
      <c r="AN98" s="1">
        <f t="shared" ca="1" si="58"/>
        <v>59</v>
      </c>
      <c r="AO98" s="1">
        <f t="shared" ca="1" si="59"/>
        <v>12</v>
      </c>
    </row>
    <row r="99" spans="2:41" x14ac:dyDescent="0.25">
      <c r="B99">
        <f t="shared" ca="1" si="30"/>
        <v>274</v>
      </c>
      <c r="C99">
        <f t="shared" ca="1" si="31"/>
        <v>38</v>
      </c>
      <c r="D99">
        <f t="shared" ca="1" si="32"/>
        <v>0.22496686443780453</v>
      </c>
      <c r="F99" s="1">
        <f t="shared" ca="1" si="33"/>
        <v>48</v>
      </c>
      <c r="G99" s="1">
        <f t="shared" ca="1" si="34"/>
        <v>8</v>
      </c>
      <c r="H99" s="1">
        <f t="shared" ca="1" si="35"/>
        <v>7</v>
      </c>
      <c r="I99" s="1"/>
      <c r="J99" s="1">
        <f t="shared" ca="1" si="36"/>
        <v>39</v>
      </c>
      <c r="K99" s="1">
        <f t="shared" ca="1" si="37"/>
        <v>2.5783871927382811</v>
      </c>
      <c r="L99" s="1">
        <f t="shared" ca="1" si="38"/>
        <v>13</v>
      </c>
      <c r="M99" s="1"/>
      <c r="N99" s="1">
        <f t="shared" ca="1" si="39"/>
        <v>542</v>
      </c>
      <c r="O99" s="1">
        <f t="shared" ca="1" si="40"/>
        <v>13</v>
      </c>
      <c r="P99" s="1"/>
      <c r="Q99" s="1">
        <f t="shared" ca="1" si="41"/>
        <v>1.4755969849939392</v>
      </c>
      <c r="R99" s="1">
        <f t="shared" ca="1" si="42"/>
        <v>681</v>
      </c>
      <c r="S99" s="1"/>
      <c r="T99" s="1">
        <f t="shared" ca="1" si="43"/>
        <v>0.10636808247399242</v>
      </c>
      <c r="U99" s="1">
        <f t="shared" ca="1" si="44"/>
        <v>306</v>
      </c>
      <c r="V99" s="1">
        <f t="shared" ca="1" si="45"/>
        <v>4</v>
      </c>
      <c r="W99" s="1"/>
      <c r="X99" s="1">
        <f t="shared" ca="1" si="46"/>
        <v>4.8728629262418819</v>
      </c>
      <c r="Y99" s="1">
        <f t="shared" ca="1" si="47"/>
        <v>0.31772221973889997</v>
      </c>
      <c r="Z99" s="1">
        <f t="shared" ca="1" si="48"/>
        <v>322</v>
      </c>
      <c r="AB99" s="1">
        <f t="shared" ca="1" si="49"/>
        <v>0.55751630534879737</v>
      </c>
      <c r="AC99" s="1">
        <f t="shared" ca="1" si="50"/>
        <v>970</v>
      </c>
      <c r="AD99" s="1">
        <f t="shared" ca="1" si="51"/>
        <v>1.9204572059767572E-4</v>
      </c>
      <c r="AE99" s="1"/>
      <c r="AF99" s="1">
        <f t="shared" ca="1" si="52"/>
        <v>0.85631491918173042</v>
      </c>
      <c r="AG99" s="1">
        <f t="shared" ca="1" si="53"/>
        <v>330</v>
      </c>
      <c r="AH99" s="1">
        <f t="shared" ca="1" si="54"/>
        <v>1.7756729596463754E-3</v>
      </c>
      <c r="AJ99" s="1">
        <f t="shared" ca="1" si="55"/>
        <v>0.97727132670485106</v>
      </c>
      <c r="AK99" s="1">
        <f t="shared" ca="1" si="56"/>
        <v>6.8533653024166847E-3</v>
      </c>
      <c r="AL99" s="1"/>
      <c r="AM99" s="1">
        <f t="shared" ca="1" si="57"/>
        <v>4.3796410879607034E-2</v>
      </c>
      <c r="AN99" s="1">
        <f t="shared" ca="1" si="58"/>
        <v>22</v>
      </c>
      <c r="AO99" s="1">
        <f t="shared" ca="1" si="59"/>
        <v>3</v>
      </c>
    </row>
    <row r="100" spans="2:41" x14ac:dyDescent="0.25">
      <c r="B100">
        <f t="shared" ca="1" si="30"/>
        <v>359</v>
      </c>
      <c r="C100">
        <f t="shared" ca="1" si="31"/>
        <v>40</v>
      </c>
      <c r="D100">
        <f t="shared" ca="1" si="32"/>
        <v>0.12939459893455638</v>
      </c>
      <c r="F100" s="1">
        <f t="shared" ca="1" si="33"/>
        <v>43</v>
      </c>
      <c r="G100" s="1">
        <f t="shared" ca="1" si="34"/>
        <v>13</v>
      </c>
      <c r="H100" s="1">
        <f t="shared" ca="1" si="35"/>
        <v>15</v>
      </c>
      <c r="I100" s="1"/>
      <c r="J100" s="1">
        <f t="shared" ca="1" si="36"/>
        <v>9</v>
      </c>
      <c r="K100" s="1">
        <f t="shared" ca="1" si="37"/>
        <v>2.6860832366292957</v>
      </c>
      <c r="L100" s="1">
        <f t="shared" ca="1" si="38"/>
        <v>25</v>
      </c>
      <c r="M100" s="1"/>
      <c r="N100" s="1">
        <f t="shared" ca="1" si="39"/>
        <v>582</v>
      </c>
      <c r="O100" s="1">
        <f t="shared" ca="1" si="40"/>
        <v>41</v>
      </c>
      <c r="P100" s="1"/>
      <c r="Q100" s="1">
        <f t="shared" ca="1" si="41"/>
        <v>1.8151130047435136</v>
      </c>
      <c r="R100" s="1">
        <f t="shared" ca="1" si="42"/>
        <v>853</v>
      </c>
      <c r="S100" s="1"/>
      <c r="T100" s="1">
        <f t="shared" ca="1" si="43"/>
        <v>2.8507145969823462E-2</v>
      </c>
      <c r="U100" s="1">
        <f t="shared" ca="1" si="44"/>
        <v>413</v>
      </c>
      <c r="V100" s="1">
        <f t="shared" ca="1" si="45"/>
        <v>18</v>
      </c>
      <c r="W100" s="1"/>
      <c r="X100" s="1">
        <f t="shared" ca="1" si="46"/>
        <v>6.2355503685649492</v>
      </c>
      <c r="Y100" s="1">
        <f t="shared" ca="1" si="47"/>
        <v>0.82474521444756099</v>
      </c>
      <c r="Z100" s="1">
        <f t="shared" ca="1" si="48"/>
        <v>822</v>
      </c>
      <c r="AB100" s="1">
        <f t="shared" ca="1" si="49"/>
        <v>0.76509779441386661</v>
      </c>
      <c r="AC100" s="1">
        <f t="shared" ca="1" si="50"/>
        <v>355</v>
      </c>
      <c r="AD100" s="1">
        <f t="shared" ca="1" si="51"/>
        <v>5.4014784783518947E-4</v>
      </c>
      <c r="AE100" s="1"/>
      <c r="AF100" s="1">
        <f t="shared" ca="1" si="52"/>
        <v>0.43673649438444562</v>
      </c>
      <c r="AG100" s="1">
        <f t="shared" ca="1" si="53"/>
        <v>771</v>
      </c>
      <c r="AH100" s="1">
        <f t="shared" ca="1" si="54"/>
        <v>1.6882001443136185E-3</v>
      </c>
      <c r="AJ100" s="1">
        <f t="shared" ca="1" si="55"/>
        <v>0.10008728913873255</v>
      </c>
      <c r="AK100" s="1">
        <f t="shared" ca="1" si="56"/>
        <v>6.4595834916863068E-3</v>
      </c>
      <c r="AL100" s="1"/>
      <c r="AM100" s="1">
        <f t="shared" ca="1" si="57"/>
        <v>0.11984743741364218</v>
      </c>
      <c r="AN100" s="1">
        <f t="shared" ca="1" si="58"/>
        <v>54</v>
      </c>
      <c r="AO100" s="1">
        <f t="shared" ca="1" si="59"/>
        <v>20</v>
      </c>
    </row>
    <row r="101" spans="2:41" x14ac:dyDescent="0.25">
      <c r="B101">
        <f t="shared" ca="1" si="30"/>
        <v>608</v>
      </c>
      <c r="C101">
        <f t="shared" ca="1" si="31"/>
        <v>21</v>
      </c>
      <c r="D101">
        <f t="shared" ca="1" si="32"/>
        <v>0.27943075697362157</v>
      </c>
      <c r="F101" s="1">
        <f t="shared" ca="1" si="33"/>
        <v>27</v>
      </c>
      <c r="G101" s="1">
        <f t="shared" ca="1" si="34"/>
        <v>30</v>
      </c>
      <c r="H101" s="1">
        <f t="shared" ca="1" si="35"/>
        <v>4</v>
      </c>
      <c r="I101" s="1"/>
      <c r="J101" s="1">
        <f t="shared" ca="1" si="36"/>
        <v>24</v>
      </c>
      <c r="K101" s="1">
        <f t="shared" ca="1" si="37"/>
        <v>1.9405272010356587</v>
      </c>
      <c r="L101" s="1">
        <f t="shared" ca="1" si="38"/>
        <v>34</v>
      </c>
      <c r="M101" s="1"/>
      <c r="N101" s="1">
        <f t="shared" ca="1" si="39"/>
        <v>279</v>
      </c>
      <c r="O101" s="1">
        <f t="shared" ca="1" si="40"/>
        <v>15</v>
      </c>
      <c r="P101" s="1"/>
      <c r="Q101" s="1">
        <f t="shared" ca="1" si="41"/>
        <v>3.1539223602988891</v>
      </c>
      <c r="R101" s="1">
        <f t="shared" ca="1" si="42"/>
        <v>717</v>
      </c>
      <c r="S101" s="1"/>
      <c r="T101" s="1">
        <f t="shared" ca="1" si="43"/>
        <v>0.18949703742455115</v>
      </c>
      <c r="U101" s="1">
        <f t="shared" ca="1" si="44"/>
        <v>236</v>
      </c>
      <c r="V101" s="1">
        <f t="shared" ca="1" si="45"/>
        <v>27</v>
      </c>
      <c r="W101" s="1"/>
      <c r="X101" s="1">
        <f t="shared" ca="1" si="46"/>
        <v>9.3318284173018053</v>
      </c>
      <c r="Y101" s="1">
        <f t="shared" ca="1" si="47"/>
        <v>0.31457450394428443</v>
      </c>
      <c r="Z101" s="1">
        <f t="shared" ca="1" si="48"/>
        <v>1872</v>
      </c>
      <c r="AB101" s="1">
        <f t="shared" ca="1" si="49"/>
        <v>0.72842446604539046</v>
      </c>
      <c r="AC101" s="1">
        <f t="shared" ca="1" si="50"/>
        <v>612</v>
      </c>
      <c r="AD101" s="1">
        <f t="shared" ca="1" si="51"/>
        <v>1.4390030282289527E-3</v>
      </c>
      <c r="AE101" s="1"/>
      <c r="AF101" s="1">
        <f t="shared" ca="1" si="52"/>
        <v>0.36967835543125571</v>
      </c>
      <c r="AG101" s="1">
        <f t="shared" ca="1" si="53"/>
        <v>980</v>
      </c>
      <c r="AH101" s="1">
        <f t="shared" ca="1" si="54"/>
        <v>8.5678654293098299E-3</v>
      </c>
      <c r="AJ101" s="1">
        <f t="shared" ca="1" si="55"/>
        <v>0.15183799810658483</v>
      </c>
      <c r="AK101" s="1">
        <f t="shared" ca="1" si="56"/>
        <v>8.4290950195884437E-4</v>
      </c>
      <c r="AL101" s="1"/>
      <c r="AM101" s="1">
        <f t="shared" ca="1" si="57"/>
        <v>0.1217730648221623</v>
      </c>
      <c r="AN101" s="1">
        <f t="shared" ca="1" si="58"/>
        <v>23</v>
      </c>
      <c r="AO101" s="1">
        <f t="shared" ca="1" si="59"/>
        <v>9</v>
      </c>
    </row>
    <row r="102" spans="2:41" x14ac:dyDescent="0.25">
      <c r="B102">
        <f t="shared" ca="1" si="30"/>
        <v>922</v>
      </c>
      <c r="C102">
        <f t="shared" ca="1" si="31"/>
        <v>32</v>
      </c>
      <c r="D102">
        <f t="shared" ca="1" si="32"/>
        <v>7.4149266039061176E-2</v>
      </c>
      <c r="F102" s="1">
        <f t="shared" ca="1" si="33"/>
        <v>44</v>
      </c>
      <c r="G102" s="1">
        <f t="shared" ca="1" si="34"/>
        <v>3</v>
      </c>
      <c r="H102" s="1">
        <f t="shared" ca="1" si="35"/>
        <v>7</v>
      </c>
      <c r="I102" s="1"/>
      <c r="J102" s="1">
        <f t="shared" ca="1" si="36"/>
        <v>36</v>
      </c>
      <c r="K102" s="1">
        <f t="shared" ca="1" si="37"/>
        <v>1.2450908428600631</v>
      </c>
      <c r="L102" s="1">
        <f t="shared" ca="1" si="38"/>
        <v>5</v>
      </c>
      <c r="M102" s="1"/>
      <c r="N102" s="1">
        <f t="shared" ca="1" si="39"/>
        <v>429</v>
      </c>
      <c r="O102" s="1">
        <f t="shared" ca="1" si="40"/>
        <v>30</v>
      </c>
      <c r="P102" s="1"/>
      <c r="Q102" s="1">
        <f t="shared" ca="1" si="41"/>
        <v>4.6794549984547222</v>
      </c>
      <c r="R102" s="1">
        <f t="shared" ca="1" si="42"/>
        <v>935</v>
      </c>
      <c r="S102" s="1"/>
      <c r="T102" s="1">
        <f t="shared" ca="1" si="43"/>
        <v>0.15645409812199604</v>
      </c>
      <c r="U102" s="1">
        <f t="shared" ca="1" si="44"/>
        <v>145</v>
      </c>
      <c r="V102" s="1">
        <f t="shared" ca="1" si="45"/>
        <v>11</v>
      </c>
      <c r="W102" s="1"/>
      <c r="X102" s="1">
        <f t="shared" ca="1" si="46"/>
        <v>6.1803952011039671</v>
      </c>
      <c r="Y102" s="1">
        <f t="shared" ca="1" si="47"/>
        <v>0.42612254607542938</v>
      </c>
      <c r="Z102" s="1">
        <f t="shared" ca="1" si="48"/>
        <v>728</v>
      </c>
      <c r="AB102" s="1">
        <f t="shared" ca="1" si="49"/>
        <v>0.72559039657489977</v>
      </c>
      <c r="AC102" s="1">
        <f t="shared" ca="1" si="50"/>
        <v>719</v>
      </c>
      <c r="AD102" s="1">
        <f t="shared" ca="1" si="51"/>
        <v>2.2972465889107814E-3</v>
      </c>
      <c r="AE102" s="1"/>
      <c r="AF102" s="1">
        <f t="shared" ca="1" si="52"/>
        <v>0.58426219300274884</v>
      </c>
      <c r="AG102" s="1">
        <f t="shared" ca="1" si="53"/>
        <v>502</v>
      </c>
      <c r="AH102" s="1">
        <f t="shared" ca="1" si="54"/>
        <v>8.6895652829538927E-3</v>
      </c>
      <c r="AJ102" s="1">
        <f t="shared" ca="1" si="55"/>
        <v>0.53132242353476733</v>
      </c>
      <c r="AK102" s="1">
        <f t="shared" ca="1" si="56"/>
        <v>5.4683230242118643E-4</v>
      </c>
      <c r="AL102" s="1"/>
      <c r="AM102" s="1">
        <f t="shared" ca="1" si="57"/>
        <v>0.12475620536641385</v>
      </c>
      <c r="AN102" s="1">
        <f t="shared" ca="1" si="58"/>
        <v>22</v>
      </c>
      <c r="AO102" s="1">
        <f t="shared" ca="1" si="59"/>
        <v>12</v>
      </c>
    </row>
    <row r="103" spans="2:41" x14ac:dyDescent="0.25">
      <c r="B103">
        <f t="shared" ca="1" si="30"/>
        <v>169</v>
      </c>
      <c r="C103">
        <f t="shared" ca="1" si="31"/>
        <v>50</v>
      </c>
      <c r="D103">
        <f t="shared" ca="1" si="32"/>
        <v>1.5455796898650858E-2</v>
      </c>
      <c r="F103" s="1">
        <f t="shared" ca="1" si="33"/>
        <v>12</v>
      </c>
      <c r="G103" s="1">
        <f t="shared" ca="1" si="34"/>
        <v>26</v>
      </c>
      <c r="H103" s="1">
        <f t="shared" ca="1" si="35"/>
        <v>12</v>
      </c>
      <c r="I103" s="1"/>
      <c r="J103" s="1">
        <f t="shared" ca="1" si="36"/>
        <v>34</v>
      </c>
      <c r="K103" s="1">
        <f t="shared" ca="1" si="37"/>
        <v>1.386661219815492</v>
      </c>
      <c r="L103" s="1">
        <f t="shared" ca="1" si="38"/>
        <v>34</v>
      </c>
      <c r="M103" s="1"/>
      <c r="N103" s="1">
        <f t="shared" ca="1" si="39"/>
        <v>382</v>
      </c>
      <c r="O103" s="1">
        <f t="shared" ca="1" si="40"/>
        <v>20</v>
      </c>
      <c r="P103" s="1"/>
      <c r="Q103" s="1">
        <f t="shared" ca="1" si="41"/>
        <v>3.3041709126644738</v>
      </c>
      <c r="R103" s="1">
        <f t="shared" ca="1" si="42"/>
        <v>404</v>
      </c>
      <c r="S103" s="1"/>
      <c r="T103" s="1">
        <f t="shared" ca="1" si="43"/>
        <v>3.2790646338005526E-2</v>
      </c>
      <c r="U103" s="1">
        <f t="shared" ca="1" si="44"/>
        <v>149</v>
      </c>
      <c r="V103" s="1">
        <f t="shared" ca="1" si="45"/>
        <v>15</v>
      </c>
      <c r="W103" s="1"/>
      <c r="X103" s="1">
        <f t="shared" ca="1" si="46"/>
        <v>4.8495557966683229</v>
      </c>
      <c r="Y103" s="1">
        <f t="shared" ca="1" si="47"/>
        <v>0.71883335568515039</v>
      </c>
      <c r="Z103" s="1">
        <f t="shared" ca="1" si="48"/>
        <v>207</v>
      </c>
      <c r="AB103" s="1">
        <f t="shared" ca="1" si="49"/>
        <v>1.7775751910942023E-2</v>
      </c>
      <c r="AC103" s="1">
        <f t="shared" ca="1" si="50"/>
        <v>757</v>
      </c>
      <c r="AD103" s="1">
        <f t="shared" ca="1" si="51"/>
        <v>3.6133727768638131E-4</v>
      </c>
      <c r="AE103" s="1"/>
      <c r="AF103" s="1">
        <f t="shared" ca="1" si="52"/>
        <v>0.30270142351041163</v>
      </c>
      <c r="AG103" s="1">
        <f t="shared" ca="1" si="53"/>
        <v>160</v>
      </c>
      <c r="AH103" s="1">
        <f t="shared" ca="1" si="54"/>
        <v>1.4991417474836255E-4</v>
      </c>
      <c r="AJ103" s="1">
        <f t="shared" ca="1" si="55"/>
        <v>0.958927846851649</v>
      </c>
      <c r="AK103" s="1">
        <f t="shared" ca="1" si="56"/>
        <v>6.6536716672568217E-3</v>
      </c>
      <c r="AL103" s="1"/>
      <c r="AM103" s="1">
        <f t="shared" ca="1" si="57"/>
        <v>0.18834697169822689</v>
      </c>
      <c r="AN103" s="1">
        <f t="shared" ca="1" si="58"/>
        <v>16</v>
      </c>
      <c r="AO103" s="1">
        <f t="shared" ca="1" si="59"/>
        <v>13</v>
      </c>
    </row>
    <row r="104" spans="2:41" x14ac:dyDescent="0.25">
      <c r="B104">
        <f t="shared" ca="1" si="30"/>
        <v>968</v>
      </c>
      <c r="C104">
        <f t="shared" ca="1" si="31"/>
        <v>30</v>
      </c>
      <c r="D104">
        <f t="shared" ca="1" si="32"/>
        <v>9.8668864953163168E-2</v>
      </c>
      <c r="F104" s="1">
        <f t="shared" ca="1" si="33"/>
        <v>9</v>
      </c>
      <c r="G104" s="1">
        <f t="shared" ca="1" si="34"/>
        <v>23</v>
      </c>
      <c r="H104" s="1">
        <f t="shared" ca="1" si="35"/>
        <v>15</v>
      </c>
      <c r="I104" s="1"/>
      <c r="J104" s="1">
        <f t="shared" ca="1" si="36"/>
        <v>26</v>
      </c>
      <c r="K104" s="1">
        <f t="shared" ca="1" si="37"/>
        <v>2.6304376745765636</v>
      </c>
      <c r="L104" s="1">
        <f t="shared" ca="1" si="38"/>
        <v>9</v>
      </c>
      <c r="M104" s="1"/>
      <c r="N104" s="1">
        <f t="shared" ca="1" si="39"/>
        <v>648</v>
      </c>
      <c r="O104" s="1">
        <f t="shared" ca="1" si="40"/>
        <v>49</v>
      </c>
      <c r="P104" s="1"/>
      <c r="Q104" s="1">
        <f t="shared" ca="1" si="41"/>
        <v>3.4296660072164626</v>
      </c>
      <c r="R104" s="1">
        <f t="shared" ca="1" si="42"/>
        <v>204</v>
      </c>
      <c r="S104" s="1"/>
      <c r="T104" s="1">
        <f t="shared" ca="1" si="43"/>
        <v>0.19617602174668389</v>
      </c>
      <c r="U104" s="1">
        <f t="shared" ca="1" si="44"/>
        <v>163</v>
      </c>
      <c r="V104" s="1">
        <f t="shared" ca="1" si="45"/>
        <v>49</v>
      </c>
      <c r="W104" s="1"/>
      <c r="X104" s="1">
        <f t="shared" ca="1" si="46"/>
        <v>8.2018655343977667</v>
      </c>
      <c r="Y104" s="1">
        <f t="shared" ca="1" si="47"/>
        <v>0.45794782521520766</v>
      </c>
      <c r="Z104" s="1">
        <f t="shared" ca="1" si="48"/>
        <v>557</v>
      </c>
      <c r="AB104" s="1">
        <f t="shared" ca="1" si="49"/>
        <v>2.003229273735866E-2</v>
      </c>
      <c r="AC104" s="1">
        <f t="shared" ca="1" si="50"/>
        <v>407</v>
      </c>
      <c r="AD104" s="1">
        <f t="shared" ca="1" si="51"/>
        <v>3.5739584821475913E-3</v>
      </c>
      <c r="AE104" s="1"/>
      <c r="AF104" s="1">
        <f t="shared" ca="1" si="52"/>
        <v>0.18785677880215906</v>
      </c>
      <c r="AG104" s="1">
        <f t="shared" ca="1" si="53"/>
        <v>108</v>
      </c>
      <c r="AH104" s="1">
        <f t="shared" ca="1" si="54"/>
        <v>7.537661594837158E-3</v>
      </c>
      <c r="AJ104" s="1">
        <f t="shared" ca="1" si="55"/>
        <v>4.1408308969591023E-2</v>
      </c>
      <c r="AK104" s="1">
        <f t="shared" ca="1" si="56"/>
        <v>1.7850757394144473E-3</v>
      </c>
      <c r="AL104" s="1"/>
      <c r="AM104" s="1">
        <f t="shared" ca="1" si="57"/>
        <v>6.1293067365785221E-2</v>
      </c>
      <c r="AN104" s="1">
        <f t="shared" ca="1" si="58"/>
        <v>50</v>
      </c>
      <c r="AO104" s="1">
        <f t="shared" ca="1" si="59"/>
        <v>13</v>
      </c>
    </row>
    <row r="105" spans="2:41" x14ac:dyDescent="0.25">
      <c r="B105">
        <f t="shared" ca="1" si="30"/>
        <v>687</v>
      </c>
      <c r="C105">
        <f t="shared" ca="1" si="31"/>
        <v>42</v>
      </c>
      <c r="D105">
        <f t="shared" ca="1" si="32"/>
        <v>0.14442373954795806</v>
      </c>
      <c r="F105" s="1">
        <f t="shared" ca="1" si="33"/>
        <v>16</v>
      </c>
      <c r="G105" s="1">
        <f t="shared" ca="1" si="34"/>
        <v>30</v>
      </c>
      <c r="H105" s="1">
        <f t="shared" ca="1" si="35"/>
        <v>3</v>
      </c>
      <c r="I105" s="1"/>
      <c r="J105" s="1">
        <f t="shared" ca="1" si="36"/>
        <v>12</v>
      </c>
      <c r="K105" s="1">
        <f t="shared" ca="1" si="37"/>
        <v>1.8503770619278579</v>
      </c>
      <c r="L105" s="1">
        <f t="shared" ca="1" si="38"/>
        <v>11</v>
      </c>
      <c r="M105" s="1"/>
      <c r="N105" s="1">
        <f t="shared" ca="1" si="39"/>
        <v>567</v>
      </c>
      <c r="O105" s="1">
        <f t="shared" ca="1" si="40"/>
        <v>30</v>
      </c>
      <c r="P105" s="1"/>
      <c r="Q105" s="1">
        <f t="shared" ca="1" si="41"/>
        <v>1.0384707786864118</v>
      </c>
      <c r="R105" s="1">
        <f t="shared" ca="1" si="42"/>
        <v>204</v>
      </c>
      <c r="S105" s="1"/>
      <c r="T105" s="1">
        <f t="shared" ca="1" si="43"/>
        <v>3.1082152859010712E-2</v>
      </c>
      <c r="U105" s="1">
        <f t="shared" ca="1" si="44"/>
        <v>371</v>
      </c>
      <c r="V105" s="1">
        <f t="shared" ca="1" si="45"/>
        <v>5</v>
      </c>
      <c r="W105" s="1"/>
      <c r="X105" s="1">
        <f t="shared" ca="1" si="46"/>
        <v>6.3571154545624227</v>
      </c>
      <c r="Y105" s="1">
        <f t="shared" ca="1" si="47"/>
        <v>0.39083984586250359</v>
      </c>
      <c r="Z105" s="1">
        <f t="shared" ca="1" si="48"/>
        <v>1445</v>
      </c>
      <c r="AB105" s="1">
        <f t="shared" ca="1" si="49"/>
        <v>0.14972565449783504</v>
      </c>
      <c r="AC105" s="1">
        <f t="shared" ca="1" si="50"/>
        <v>467</v>
      </c>
      <c r="AD105" s="1">
        <f t="shared" ca="1" si="51"/>
        <v>8.0747006362807041E-3</v>
      </c>
      <c r="AE105" s="1"/>
      <c r="AF105" s="1">
        <f t="shared" ca="1" si="52"/>
        <v>0.87836719220348491</v>
      </c>
      <c r="AG105" s="1">
        <f t="shared" ca="1" si="53"/>
        <v>435</v>
      </c>
      <c r="AH105" s="1">
        <f t="shared" ca="1" si="54"/>
        <v>1.1033125501846886E-3</v>
      </c>
      <c r="AJ105" s="1">
        <f t="shared" ca="1" si="55"/>
        <v>0.19845109931468574</v>
      </c>
      <c r="AK105" s="1">
        <f t="shared" ca="1" si="56"/>
        <v>6.0785797327981899E-4</v>
      </c>
      <c r="AL105" s="1"/>
      <c r="AM105" s="1">
        <f t="shared" ca="1" si="57"/>
        <v>0.15453279941442838</v>
      </c>
      <c r="AN105" s="1">
        <f t="shared" ca="1" si="58"/>
        <v>13</v>
      </c>
      <c r="AO105" s="1">
        <f t="shared" ca="1" si="59"/>
        <v>-1</v>
      </c>
    </row>
    <row r="106" spans="2:41" x14ac:dyDescent="0.25">
      <c r="B106">
        <f t="shared" ca="1" si="30"/>
        <v>151</v>
      </c>
      <c r="C106">
        <f t="shared" ca="1" si="31"/>
        <v>9</v>
      </c>
      <c r="D106">
        <f t="shared" ca="1" si="32"/>
        <v>0.19815619126678061</v>
      </c>
      <c r="F106" s="1">
        <f t="shared" ca="1" si="33"/>
        <v>41</v>
      </c>
      <c r="G106" s="1">
        <f t="shared" ca="1" si="34"/>
        <v>26</v>
      </c>
      <c r="H106" s="1">
        <f t="shared" ca="1" si="35"/>
        <v>15</v>
      </c>
      <c r="I106" s="1"/>
      <c r="J106" s="1">
        <f t="shared" ca="1" si="36"/>
        <v>12</v>
      </c>
      <c r="K106" s="1">
        <f t="shared" ca="1" si="37"/>
        <v>2.5436914729202358</v>
      </c>
      <c r="L106" s="1">
        <f t="shared" ca="1" si="38"/>
        <v>18</v>
      </c>
      <c r="M106" s="1"/>
      <c r="N106" s="1">
        <f t="shared" ca="1" si="39"/>
        <v>939</v>
      </c>
      <c r="O106" s="1">
        <f t="shared" ca="1" si="40"/>
        <v>45</v>
      </c>
      <c r="P106" s="1"/>
      <c r="Q106" s="1">
        <f t="shared" ca="1" si="41"/>
        <v>0.16270275189855396</v>
      </c>
      <c r="R106" s="1">
        <f t="shared" ca="1" si="42"/>
        <v>1056</v>
      </c>
      <c r="S106" s="1"/>
      <c r="T106" s="1">
        <f t="shared" ca="1" si="43"/>
        <v>0.10980380426890841</v>
      </c>
      <c r="U106" s="1">
        <f t="shared" ca="1" si="44"/>
        <v>334</v>
      </c>
      <c r="V106" s="1">
        <f t="shared" ca="1" si="45"/>
        <v>21</v>
      </c>
      <c r="W106" s="1"/>
      <c r="X106" s="1">
        <f t="shared" ca="1" si="46"/>
        <v>3.5966944176287456</v>
      </c>
      <c r="Y106" s="1">
        <f t="shared" ca="1" si="47"/>
        <v>0.41994134000124073</v>
      </c>
      <c r="Z106" s="1">
        <f t="shared" ca="1" si="48"/>
        <v>1857</v>
      </c>
      <c r="AB106" s="1">
        <f t="shared" ca="1" si="49"/>
        <v>0.54336757813971148</v>
      </c>
      <c r="AC106" s="1">
        <f t="shared" ca="1" si="50"/>
        <v>395</v>
      </c>
      <c r="AD106" s="1">
        <f t="shared" ca="1" si="51"/>
        <v>3.5851638077383798E-3</v>
      </c>
      <c r="AE106" s="1"/>
      <c r="AF106" s="1">
        <f t="shared" ca="1" si="52"/>
        <v>0.11933726512955074</v>
      </c>
      <c r="AG106" s="1">
        <f t="shared" ca="1" si="53"/>
        <v>842</v>
      </c>
      <c r="AH106" s="1">
        <f t="shared" ca="1" si="54"/>
        <v>8.6294946783315449E-4</v>
      </c>
      <c r="AJ106" s="1">
        <f t="shared" ca="1" si="55"/>
        <v>0.41029900132858299</v>
      </c>
      <c r="AK106" s="1">
        <f t="shared" ca="1" si="56"/>
        <v>8.2888044832760688E-3</v>
      </c>
      <c r="AL106" s="1"/>
      <c r="AM106" s="1">
        <f t="shared" ca="1" si="57"/>
        <v>0.11565485450020312</v>
      </c>
      <c r="AN106" s="1">
        <f t="shared" ca="1" si="58"/>
        <v>13</v>
      </c>
      <c r="AO106" s="1">
        <f t="shared" ca="1" si="59"/>
        <v>0</v>
      </c>
    </row>
    <row r="107" spans="2:41" x14ac:dyDescent="0.25">
      <c r="B107">
        <f t="shared" ca="1" si="30"/>
        <v>229</v>
      </c>
      <c r="C107">
        <f t="shared" ca="1" si="31"/>
        <v>12</v>
      </c>
      <c r="D107">
        <f t="shared" ca="1" si="32"/>
        <v>0.18254451737027466</v>
      </c>
      <c r="F107" s="1">
        <f t="shared" ca="1" si="33"/>
        <v>45</v>
      </c>
      <c r="G107" s="1">
        <f t="shared" ca="1" si="34"/>
        <v>11</v>
      </c>
      <c r="H107" s="1">
        <f t="shared" ca="1" si="35"/>
        <v>13</v>
      </c>
      <c r="I107" s="1"/>
      <c r="J107" s="1">
        <f t="shared" ca="1" si="36"/>
        <v>37</v>
      </c>
      <c r="K107" s="1">
        <f t="shared" ca="1" si="37"/>
        <v>1.0459970868156525</v>
      </c>
      <c r="L107" s="1">
        <f t="shared" ca="1" si="38"/>
        <v>21</v>
      </c>
      <c r="M107" s="1"/>
      <c r="N107" s="1">
        <f t="shared" ca="1" si="39"/>
        <v>104</v>
      </c>
      <c r="O107" s="1">
        <f t="shared" ca="1" si="40"/>
        <v>21</v>
      </c>
      <c r="P107" s="1"/>
      <c r="Q107" s="1">
        <f t="shared" ca="1" si="41"/>
        <v>2.3133713041342783</v>
      </c>
      <c r="R107" s="1">
        <f t="shared" ca="1" si="42"/>
        <v>247</v>
      </c>
      <c r="S107" s="1"/>
      <c r="T107" s="1">
        <f t="shared" ca="1" si="43"/>
        <v>0.17903976919534453</v>
      </c>
      <c r="U107" s="1">
        <f t="shared" ca="1" si="44"/>
        <v>142</v>
      </c>
      <c r="V107" s="1">
        <f t="shared" ca="1" si="45"/>
        <v>23</v>
      </c>
      <c r="W107" s="1"/>
      <c r="X107" s="1">
        <f t="shared" ca="1" si="46"/>
        <v>0.20698693013837388</v>
      </c>
      <c r="Y107" s="1">
        <f t="shared" ca="1" si="47"/>
        <v>0.81678054047710735</v>
      </c>
      <c r="Z107" s="1">
        <f t="shared" ca="1" si="48"/>
        <v>1735</v>
      </c>
      <c r="AB107" s="1">
        <f t="shared" ca="1" si="49"/>
        <v>0.13819626567099572</v>
      </c>
      <c r="AC107" s="1">
        <f t="shared" ca="1" si="50"/>
        <v>343</v>
      </c>
      <c r="AD107" s="1">
        <f t="shared" ca="1" si="51"/>
        <v>6.7034306559714254E-3</v>
      </c>
      <c r="AE107" s="1"/>
      <c r="AF107" s="1">
        <f t="shared" ca="1" si="52"/>
        <v>0.24014539423368345</v>
      </c>
      <c r="AG107" s="1">
        <f t="shared" ca="1" si="53"/>
        <v>419</v>
      </c>
      <c r="AH107" s="1">
        <f t="shared" ca="1" si="54"/>
        <v>9.62064617648444E-3</v>
      </c>
      <c r="AJ107" s="1">
        <f t="shared" ca="1" si="55"/>
        <v>2.310857686496659E-2</v>
      </c>
      <c r="AK107" s="1">
        <f t="shared" ca="1" si="56"/>
        <v>5.172831542399889E-3</v>
      </c>
      <c r="AL107" s="1"/>
      <c r="AM107" s="1">
        <f t="shared" ca="1" si="57"/>
        <v>0.11228631729798125</v>
      </c>
      <c r="AN107" s="1">
        <f t="shared" ca="1" si="58"/>
        <v>24</v>
      </c>
      <c r="AO107" s="1">
        <f t="shared" ca="1" si="59"/>
        <v>7</v>
      </c>
    </row>
    <row r="108" spans="2:41" x14ac:dyDescent="0.25">
      <c r="B108">
        <f t="shared" ca="1" si="30"/>
        <v>247</v>
      </c>
      <c r="C108">
        <f t="shared" ca="1" si="31"/>
        <v>46</v>
      </c>
      <c r="D108">
        <f t="shared" ca="1" si="32"/>
        <v>0.24408101526088408</v>
      </c>
      <c r="F108" s="1">
        <f t="shared" ca="1" si="33"/>
        <v>15</v>
      </c>
      <c r="G108" s="1">
        <f t="shared" ca="1" si="34"/>
        <v>18</v>
      </c>
      <c r="H108" s="1">
        <f t="shared" ca="1" si="35"/>
        <v>7</v>
      </c>
      <c r="I108" s="1"/>
      <c r="J108" s="1">
        <f t="shared" ca="1" si="36"/>
        <v>22</v>
      </c>
      <c r="K108" s="1">
        <f t="shared" ca="1" si="37"/>
        <v>2.4570675174668204</v>
      </c>
      <c r="L108" s="1">
        <f t="shared" ca="1" si="38"/>
        <v>5</v>
      </c>
      <c r="M108" s="1"/>
      <c r="N108" s="1">
        <f t="shared" ca="1" si="39"/>
        <v>184</v>
      </c>
      <c r="O108" s="1">
        <f t="shared" ca="1" si="40"/>
        <v>15</v>
      </c>
      <c r="P108" s="1"/>
      <c r="Q108" s="1">
        <f t="shared" ca="1" si="41"/>
        <v>4.8262637745929409</v>
      </c>
      <c r="R108" s="1">
        <f t="shared" ca="1" si="42"/>
        <v>576</v>
      </c>
      <c r="S108" s="1"/>
      <c r="T108" s="1">
        <f t="shared" ca="1" si="43"/>
        <v>5.1915201846444797E-2</v>
      </c>
      <c r="U108" s="1">
        <f t="shared" ca="1" si="44"/>
        <v>275</v>
      </c>
      <c r="V108" s="1">
        <f t="shared" ca="1" si="45"/>
        <v>45</v>
      </c>
      <c r="W108" s="1"/>
      <c r="X108" s="1">
        <f t="shared" ca="1" si="46"/>
        <v>8.8005299810168101</v>
      </c>
      <c r="Y108" s="1">
        <f t="shared" ca="1" si="47"/>
        <v>0.915284339581105</v>
      </c>
      <c r="Z108" s="1">
        <f t="shared" ca="1" si="48"/>
        <v>266</v>
      </c>
      <c r="AB108" s="1">
        <f t="shared" ca="1" si="49"/>
        <v>0.68319306119749157</v>
      </c>
      <c r="AC108" s="1">
        <f t="shared" ca="1" si="50"/>
        <v>862</v>
      </c>
      <c r="AD108" s="1">
        <f t="shared" ca="1" si="51"/>
        <v>7.1278665491849068E-3</v>
      </c>
      <c r="AE108" s="1"/>
      <c r="AF108" s="1">
        <f t="shared" ca="1" si="52"/>
        <v>0.84304459887931149</v>
      </c>
      <c r="AG108" s="1">
        <f t="shared" ca="1" si="53"/>
        <v>683</v>
      </c>
      <c r="AH108" s="1">
        <f t="shared" ca="1" si="54"/>
        <v>1.5680531042614331E-3</v>
      </c>
      <c r="AJ108" s="1">
        <f t="shared" ca="1" si="55"/>
        <v>0.73606901353462562</v>
      </c>
      <c r="AK108" s="1">
        <f t="shared" ca="1" si="56"/>
        <v>5.6769522879049385E-3</v>
      </c>
      <c r="AL108" s="1"/>
      <c r="AM108" s="1">
        <f t="shared" ca="1" si="57"/>
        <v>0.15294445089601325</v>
      </c>
      <c r="AN108" s="1">
        <f t="shared" ca="1" si="58"/>
        <v>46</v>
      </c>
      <c r="AO108" s="1">
        <f t="shared" ca="1" si="59"/>
        <v>7</v>
      </c>
    </row>
    <row r="109" spans="2:41" x14ac:dyDescent="0.25">
      <c r="B109">
        <f t="shared" ca="1" si="30"/>
        <v>878</v>
      </c>
      <c r="C109">
        <f t="shared" ca="1" si="31"/>
        <v>22</v>
      </c>
      <c r="D109">
        <f t="shared" ca="1" si="32"/>
        <v>4.5378736392971908E-2</v>
      </c>
      <c r="F109" s="1">
        <f t="shared" ca="1" si="33"/>
        <v>22</v>
      </c>
      <c r="G109" s="1">
        <f t="shared" ca="1" si="34"/>
        <v>6</v>
      </c>
      <c r="H109" s="1">
        <f t="shared" ca="1" si="35"/>
        <v>12</v>
      </c>
      <c r="I109" s="1"/>
      <c r="J109" s="1">
        <f t="shared" ca="1" si="36"/>
        <v>6</v>
      </c>
      <c r="K109" s="1">
        <f t="shared" ca="1" si="37"/>
        <v>2.3541936251271571</v>
      </c>
      <c r="L109" s="1">
        <f t="shared" ca="1" si="38"/>
        <v>7</v>
      </c>
      <c r="M109" s="1"/>
      <c r="N109" s="1">
        <f t="shared" ca="1" si="39"/>
        <v>461</v>
      </c>
      <c r="O109" s="1">
        <f t="shared" ca="1" si="40"/>
        <v>12</v>
      </c>
      <c r="P109" s="1"/>
      <c r="Q109" s="1">
        <f t="shared" ca="1" si="41"/>
        <v>4.9158102304883178</v>
      </c>
      <c r="R109" s="1">
        <f t="shared" ca="1" si="42"/>
        <v>878</v>
      </c>
      <c r="S109" s="1"/>
      <c r="T109" s="1">
        <f t="shared" ca="1" si="43"/>
        <v>0.18699730659023212</v>
      </c>
      <c r="U109" s="1">
        <f t="shared" ca="1" si="44"/>
        <v>57</v>
      </c>
      <c r="V109" s="1">
        <f t="shared" ca="1" si="45"/>
        <v>2</v>
      </c>
      <c r="W109" s="1"/>
      <c r="X109" s="1">
        <f t="shared" ca="1" si="46"/>
        <v>0.35345568398722299</v>
      </c>
      <c r="Y109" s="1">
        <f t="shared" ca="1" si="47"/>
        <v>0.19515201683390204</v>
      </c>
      <c r="Z109" s="1">
        <f t="shared" ca="1" si="48"/>
        <v>1272</v>
      </c>
      <c r="AB109" s="1">
        <f t="shared" ca="1" si="49"/>
        <v>0.54873693324443418</v>
      </c>
      <c r="AC109" s="1">
        <f t="shared" ca="1" si="50"/>
        <v>516</v>
      </c>
      <c r="AD109" s="1">
        <f t="shared" ca="1" si="51"/>
        <v>1.4174808245460417E-3</v>
      </c>
      <c r="AE109" s="1"/>
      <c r="AF109" s="1">
        <f t="shared" ca="1" si="52"/>
        <v>0.44876001790571829</v>
      </c>
      <c r="AG109" s="1">
        <f t="shared" ca="1" si="53"/>
        <v>218</v>
      </c>
      <c r="AH109" s="1">
        <f t="shared" ca="1" si="54"/>
        <v>6.1149441784604597E-3</v>
      </c>
      <c r="AJ109" s="1">
        <f t="shared" ca="1" si="55"/>
        <v>0.79661415799420221</v>
      </c>
      <c r="AK109" s="1">
        <f t="shared" ca="1" si="56"/>
        <v>1.6581210566729858E-4</v>
      </c>
      <c r="AL109" s="1"/>
      <c r="AM109" s="1">
        <f t="shared" ca="1" si="57"/>
        <v>6.0194207418932791E-2</v>
      </c>
      <c r="AN109" s="1">
        <f t="shared" ca="1" si="58"/>
        <v>21</v>
      </c>
      <c r="AO109" s="1">
        <f t="shared" ca="1" si="59"/>
        <v>12</v>
      </c>
    </row>
    <row r="110" spans="2:41" x14ac:dyDescent="0.25">
      <c r="B110">
        <f t="shared" ca="1" si="30"/>
        <v>666</v>
      </c>
      <c r="C110">
        <f t="shared" ca="1" si="31"/>
        <v>9</v>
      </c>
      <c r="D110">
        <f t="shared" ca="1" si="32"/>
        <v>0.26412118077150182</v>
      </c>
      <c r="F110" s="1">
        <f t="shared" ca="1" si="33"/>
        <v>23</v>
      </c>
      <c r="G110" s="1">
        <f t="shared" ca="1" si="34"/>
        <v>23</v>
      </c>
      <c r="H110" s="1">
        <f t="shared" ca="1" si="35"/>
        <v>15</v>
      </c>
      <c r="I110" s="1"/>
      <c r="J110" s="1">
        <f t="shared" ca="1" si="36"/>
        <v>32</v>
      </c>
      <c r="K110" s="1">
        <f t="shared" ca="1" si="37"/>
        <v>2.7885518048097961</v>
      </c>
      <c r="L110" s="1">
        <f t="shared" ca="1" si="38"/>
        <v>18</v>
      </c>
      <c r="M110" s="1"/>
      <c r="N110" s="1">
        <f t="shared" ca="1" si="39"/>
        <v>30</v>
      </c>
      <c r="O110" s="1">
        <f t="shared" ca="1" si="40"/>
        <v>52</v>
      </c>
      <c r="P110" s="1"/>
      <c r="Q110" s="1">
        <f t="shared" ca="1" si="41"/>
        <v>2.7863321532479732</v>
      </c>
      <c r="R110" s="1">
        <f t="shared" ca="1" si="42"/>
        <v>801</v>
      </c>
      <c r="S110" s="1"/>
      <c r="T110" s="1">
        <f t="shared" ca="1" si="43"/>
        <v>0.17972371694322897</v>
      </c>
      <c r="U110" s="1">
        <f t="shared" ca="1" si="44"/>
        <v>326</v>
      </c>
      <c r="V110" s="1">
        <f t="shared" ca="1" si="45"/>
        <v>40</v>
      </c>
      <c r="W110" s="1"/>
      <c r="X110" s="1">
        <f t="shared" ca="1" si="46"/>
        <v>0.35173836120179081</v>
      </c>
      <c r="Y110" s="1">
        <f t="shared" ca="1" si="47"/>
        <v>0.21537996727986106</v>
      </c>
      <c r="Z110" s="1">
        <f t="shared" ca="1" si="48"/>
        <v>1757</v>
      </c>
      <c r="AB110" s="1">
        <f t="shared" ca="1" si="49"/>
        <v>0.32965945642801603</v>
      </c>
      <c r="AC110" s="1">
        <f t="shared" ca="1" si="50"/>
        <v>292</v>
      </c>
      <c r="AD110" s="1">
        <f t="shared" ca="1" si="51"/>
        <v>2.9709582639662278E-4</v>
      </c>
      <c r="AE110" s="1"/>
      <c r="AF110" s="1">
        <f t="shared" ca="1" si="52"/>
        <v>0.76266111787189217</v>
      </c>
      <c r="AG110" s="1">
        <f t="shared" ca="1" si="53"/>
        <v>975</v>
      </c>
      <c r="AH110" s="1">
        <f t="shared" ca="1" si="54"/>
        <v>3.1886045187816338E-3</v>
      </c>
      <c r="AJ110" s="1">
        <f t="shared" ca="1" si="55"/>
        <v>0.31510242641373409</v>
      </c>
      <c r="AK110" s="1">
        <f t="shared" ca="1" si="56"/>
        <v>8.3360720088714209E-3</v>
      </c>
      <c r="AL110" s="1"/>
      <c r="AM110" s="1">
        <f t="shared" ca="1" si="57"/>
        <v>6.1756420920602399E-2</v>
      </c>
      <c r="AN110" s="1">
        <f t="shared" ca="1" si="58"/>
        <v>75</v>
      </c>
      <c r="AO110" s="1">
        <f t="shared" ca="1" si="59"/>
        <v>1</v>
      </c>
    </row>
    <row r="111" spans="2:41" x14ac:dyDescent="0.25">
      <c r="B111">
        <f t="shared" ca="1" si="30"/>
        <v>324</v>
      </c>
      <c r="C111">
        <f t="shared" ca="1" si="31"/>
        <v>15</v>
      </c>
      <c r="D111">
        <f t="shared" ca="1" si="32"/>
        <v>0.18077021358452369</v>
      </c>
      <c r="F111" s="1">
        <f t="shared" ca="1" si="33"/>
        <v>6</v>
      </c>
      <c r="G111" s="1">
        <f t="shared" ca="1" si="34"/>
        <v>24</v>
      </c>
      <c r="H111" s="1">
        <f t="shared" ca="1" si="35"/>
        <v>6</v>
      </c>
      <c r="I111" s="1"/>
      <c r="J111" s="1">
        <f t="shared" ca="1" si="36"/>
        <v>3</v>
      </c>
      <c r="K111" s="1">
        <f t="shared" ca="1" si="37"/>
        <v>1.1208735881560348</v>
      </c>
      <c r="L111" s="1">
        <f t="shared" ca="1" si="38"/>
        <v>22</v>
      </c>
      <c r="M111" s="1"/>
      <c r="N111" s="1">
        <f t="shared" ca="1" si="39"/>
        <v>506</v>
      </c>
      <c r="O111" s="1">
        <f t="shared" ca="1" si="40"/>
        <v>45</v>
      </c>
      <c r="P111" s="1"/>
      <c r="Q111" s="1">
        <f t="shared" ca="1" si="41"/>
        <v>0.21598846499695082</v>
      </c>
      <c r="R111" s="1">
        <f t="shared" ca="1" si="42"/>
        <v>226</v>
      </c>
      <c r="S111" s="1"/>
      <c r="T111" s="1">
        <f t="shared" ca="1" si="43"/>
        <v>3.2897804072699731E-2</v>
      </c>
      <c r="U111" s="1">
        <f t="shared" ca="1" si="44"/>
        <v>90</v>
      </c>
      <c r="V111" s="1">
        <f t="shared" ca="1" si="45"/>
        <v>16</v>
      </c>
      <c r="W111" s="1"/>
      <c r="X111" s="1">
        <f t="shared" ca="1" si="46"/>
        <v>0.21059529755736126</v>
      </c>
      <c r="Y111" s="1">
        <f t="shared" ca="1" si="47"/>
        <v>0.96103275202629279</v>
      </c>
      <c r="Z111" s="1">
        <f t="shared" ca="1" si="48"/>
        <v>1252</v>
      </c>
      <c r="AB111" s="1">
        <f t="shared" ca="1" si="49"/>
        <v>0.12621411299279622</v>
      </c>
      <c r="AC111" s="1">
        <f t="shared" ca="1" si="50"/>
        <v>344</v>
      </c>
      <c r="AD111" s="1">
        <f t="shared" ca="1" si="51"/>
        <v>5.330116627089803E-3</v>
      </c>
      <c r="AE111" s="1"/>
      <c r="AF111" s="1">
        <f t="shared" ca="1" si="52"/>
        <v>0.85081365078128479</v>
      </c>
      <c r="AG111" s="1">
        <f t="shared" ca="1" si="53"/>
        <v>786</v>
      </c>
      <c r="AH111" s="1">
        <f t="shared" ca="1" si="54"/>
        <v>7.782520086556309E-4</v>
      </c>
      <c r="AJ111" s="1">
        <f t="shared" ca="1" si="55"/>
        <v>0.2320274389937349</v>
      </c>
      <c r="AK111" s="1">
        <f t="shared" ca="1" si="56"/>
        <v>2.6000375531267674E-3</v>
      </c>
      <c r="AL111" s="1"/>
      <c r="AM111" s="1">
        <f t="shared" ca="1" si="57"/>
        <v>0.11264442034601656</v>
      </c>
      <c r="AN111" s="1">
        <f t="shared" ca="1" si="58"/>
        <v>31</v>
      </c>
      <c r="AO111" s="1">
        <f t="shared" ca="1" si="59"/>
        <v>5</v>
      </c>
    </row>
    <row r="112" spans="2:41" x14ac:dyDescent="0.25">
      <c r="B112">
        <f t="shared" ca="1" si="30"/>
        <v>396</v>
      </c>
      <c r="C112">
        <f t="shared" ca="1" si="31"/>
        <v>15</v>
      </c>
      <c r="D112">
        <f t="shared" ca="1" si="32"/>
        <v>2.0166797152115598E-2</v>
      </c>
      <c r="F112" s="1">
        <f t="shared" ca="1" si="33"/>
        <v>8</v>
      </c>
      <c r="G112" s="1">
        <f t="shared" ca="1" si="34"/>
        <v>30</v>
      </c>
      <c r="H112" s="1">
        <f t="shared" ca="1" si="35"/>
        <v>11</v>
      </c>
      <c r="I112" s="1"/>
      <c r="J112" s="1">
        <f t="shared" ca="1" si="36"/>
        <v>35</v>
      </c>
      <c r="K112" s="1">
        <f t="shared" ca="1" si="37"/>
        <v>2.1755658559872897</v>
      </c>
      <c r="L112" s="1">
        <f t="shared" ca="1" si="38"/>
        <v>10</v>
      </c>
      <c r="M112" s="1"/>
      <c r="N112" s="1">
        <f t="shared" ca="1" si="39"/>
        <v>593</v>
      </c>
      <c r="O112" s="1">
        <f t="shared" ca="1" si="40"/>
        <v>47</v>
      </c>
      <c r="P112" s="1"/>
      <c r="Q112" s="1">
        <f t="shared" ca="1" si="41"/>
        <v>1.1140596241004526</v>
      </c>
      <c r="R112" s="1">
        <f t="shared" ca="1" si="42"/>
        <v>564</v>
      </c>
      <c r="S112" s="1"/>
      <c r="T112" s="1">
        <f t="shared" ca="1" si="43"/>
        <v>3.8890117724424425E-2</v>
      </c>
      <c r="U112" s="1">
        <f t="shared" ca="1" si="44"/>
        <v>132</v>
      </c>
      <c r="V112" s="1">
        <f t="shared" ca="1" si="45"/>
        <v>42</v>
      </c>
      <c r="W112" s="1"/>
      <c r="X112" s="1">
        <f t="shared" ca="1" si="46"/>
        <v>3.1408177553875407</v>
      </c>
      <c r="Y112" s="1">
        <f t="shared" ca="1" si="47"/>
        <v>0.19017756397025967</v>
      </c>
      <c r="Z112" s="1">
        <f t="shared" ca="1" si="48"/>
        <v>1603</v>
      </c>
      <c r="AB112" s="1">
        <f t="shared" ca="1" si="49"/>
        <v>0.59620903209221299</v>
      </c>
      <c r="AC112" s="1">
        <f t="shared" ca="1" si="50"/>
        <v>325</v>
      </c>
      <c r="AD112" s="1">
        <f t="shared" ca="1" si="51"/>
        <v>2.476340833712092E-3</v>
      </c>
      <c r="AE112" s="1"/>
      <c r="AF112" s="1">
        <f t="shared" ca="1" si="52"/>
        <v>0.32455311968036893</v>
      </c>
      <c r="AG112" s="1">
        <f t="shared" ca="1" si="53"/>
        <v>905</v>
      </c>
      <c r="AH112" s="1">
        <f t="shared" ca="1" si="54"/>
        <v>9.3134283319021658E-3</v>
      </c>
      <c r="AJ112" s="1">
        <f t="shared" ca="1" si="55"/>
        <v>0.19162689242163855</v>
      </c>
      <c r="AK112" s="1">
        <f t="shared" ca="1" si="56"/>
        <v>7.3312916046513292E-3</v>
      </c>
      <c r="AL112" s="1"/>
      <c r="AM112" s="1">
        <f t="shared" ca="1" si="57"/>
        <v>0.1458136144116772</v>
      </c>
      <c r="AN112" s="1">
        <f t="shared" ca="1" si="58"/>
        <v>11</v>
      </c>
      <c r="AO112" s="1">
        <f t="shared" ca="1" si="59"/>
        <v>19</v>
      </c>
    </row>
    <row r="113" spans="2:41" x14ac:dyDescent="0.25">
      <c r="B113">
        <f t="shared" ca="1" si="30"/>
        <v>56</v>
      </c>
      <c r="C113">
        <f t="shared" ca="1" si="31"/>
        <v>24</v>
      </c>
      <c r="D113">
        <f t="shared" ca="1" si="32"/>
        <v>4.6879549057306659E-2</v>
      </c>
      <c r="F113" s="1">
        <f t="shared" ca="1" si="33"/>
        <v>4</v>
      </c>
      <c r="G113" s="1">
        <f t="shared" ca="1" si="34"/>
        <v>11</v>
      </c>
      <c r="H113" s="1">
        <f t="shared" ca="1" si="35"/>
        <v>11</v>
      </c>
      <c r="I113" s="1"/>
      <c r="J113" s="1">
        <f t="shared" ca="1" si="36"/>
        <v>7</v>
      </c>
      <c r="K113" s="1">
        <f t="shared" ca="1" si="37"/>
        <v>2.6305026227660386</v>
      </c>
      <c r="L113" s="1">
        <f t="shared" ca="1" si="38"/>
        <v>33</v>
      </c>
      <c r="M113" s="1"/>
      <c r="N113" s="1">
        <f t="shared" ca="1" si="39"/>
        <v>695</v>
      </c>
      <c r="O113" s="1">
        <f t="shared" ca="1" si="40"/>
        <v>19</v>
      </c>
      <c r="P113" s="1"/>
      <c r="Q113" s="1">
        <f t="shared" ca="1" si="41"/>
        <v>1.9378673494637377</v>
      </c>
      <c r="R113" s="1">
        <f t="shared" ca="1" si="42"/>
        <v>802</v>
      </c>
      <c r="S113" s="1"/>
      <c r="T113" s="1">
        <f t="shared" ca="1" si="43"/>
        <v>0.13055524822237097</v>
      </c>
      <c r="U113" s="1">
        <f t="shared" ca="1" si="44"/>
        <v>290</v>
      </c>
      <c r="V113" s="1">
        <f t="shared" ca="1" si="45"/>
        <v>6</v>
      </c>
      <c r="W113" s="1"/>
      <c r="X113" s="1">
        <f t="shared" ca="1" si="46"/>
        <v>6.5772629506348199</v>
      </c>
      <c r="Y113" s="1">
        <f t="shared" ca="1" si="47"/>
        <v>0.21721045201379227</v>
      </c>
      <c r="Z113" s="1">
        <f t="shared" ca="1" si="48"/>
        <v>1146</v>
      </c>
      <c r="AB113" s="1">
        <f t="shared" ca="1" si="49"/>
        <v>0.8088194307108999</v>
      </c>
      <c r="AC113" s="1">
        <f t="shared" ca="1" si="50"/>
        <v>419</v>
      </c>
      <c r="AD113" s="1">
        <f t="shared" ca="1" si="51"/>
        <v>4.8332769185799969E-3</v>
      </c>
      <c r="AE113" s="1"/>
      <c r="AF113" s="1">
        <f t="shared" ca="1" si="52"/>
        <v>0.10419311414638868</v>
      </c>
      <c r="AG113" s="1">
        <f t="shared" ca="1" si="53"/>
        <v>513</v>
      </c>
      <c r="AH113" s="1">
        <f t="shared" ca="1" si="54"/>
        <v>1.0655411887189313E-3</v>
      </c>
      <c r="AJ113" s="1">
        <f t="shared" ca="1" si="55"/>
        <v>9.445737068275839E-2</v>
      </c>
      <c r="AK113" s="1">
        <f t="shared" ca="1" si="56"/>
        <v>6.1722083544170168E-3</v>
      </c>
      <c r="AL113" s="1"/>
      <c r="AM113" s="1">
        <f t="shared" ca="1" si="57"/>
        <v>5.5035641978402432E-2</v>
      </c>
      <c r="AN113" s="1">
        <f t="shared" ca="1" si="58"/>
        <v>19</v>
      </c>
      <c r="AO113" s="1">
        <f t="shared" ca="1" si="59"/>
        <v>0</v>
      </c>
    </row>
    <row r="114" spans="2:41" x14ac:dyDescent="0.25">
      <c r="B114">
        <f t="shared" ca="1" si="30"/>
        <v>818</v>
      </c>
      <c r="C114">
        <f t="shared" ca="1" si="31"/>
        <v>31</v>
      </c>
      <c r="D114">
        <f t="shared" ca="1" si="32"/>
        <v>0.16026610719280582</v>
      </c>
      <c r="F114" s="1">
        <f t="shared" ca="1" si="33"/>
        <v>36</v>
      </c>
      <c r="G114" s="1">
        <f t="shared" ca="1" si="34"/>
        <v>23</v>
      </c>
      <c r="H114" s="1">
        <f t="shared" ca="1" si="35"/>
        <v>15</v>
      </c>
      <c r="I114" s="1"/>
      <c r="J114" s="1">
        <f t="shared" ca="1" si="36"/>
        <v>29</v>
      </c>
      <c r="K114" s="1">
        <f t="shared" ca="1" si="37"/>
        <v>2.9569456012832798</v>
      </c>
      <c r="L114" s="1">
        <f t="shared" ca="1" si="38"/>
        <v>11</v>
      </c>
      <c r="M114" s="1"/>
      <c r="N114" s="1">
        <f t="shared" ca="1" si="39"/>
        <v>464</v>
      </c>
      <c r="O114" s="1">
        <f t="shared" ca="1" si="40"/>
        <v>51</v>
      </c>
      <c r="P114" s="1"/>
      <c r="Q114" s="1">
        <f t="shared" ca="1" si="41"/>
        <v>1.860809707664111</v>
      </c>
      <c r="R114" s="1">
        <f t="shared" ca="1" si="42"/>
        <v>1065</v>
      </c>
      <c r="S114" s="1"/>
      <c r="T114" s="1">
        <f t="shared" ca="1" si="43"/>
        <v>1.8031323332153328E-2</v>
      </c>
      <c r="U114" s="1">
        <f t="shared" ca="1" si="44"/>
        <v>265</v>
      </c>
      <c r="V114" s="1">
        <f t="shared" ca="1" si="45"/>
        <v>16</v>
      </c>
      <c r="W114" s="1"/>
      <c r="X114" s="1">
        <f t="shared" ca="1" si="46"/>
        <v>5.3735616690683807</v>
      </c>
      <c r="Y114" s="1">
        <f t="shared" ca="1" si="47"/>
        <v>0.98163179192471717</v>
      </c>
      <c r="Z114" s="1">
        <f t="shared" ca="1" si="48"/>
        <v>1893</v>
      </c>
      <c r="AB114" s="1">
        <f t="shared" ca="1" si="49"/>
        <v>0.55537476061562363</v>
      </c>
      <c r="AC114" s="1">
        <f t="shared" ca="1" si="50"/>
        <v>711</v>
      </c>
      <c r="AD114" s="1">
        <f t="shared" ca="1" si="51"/>
        <v>6.626606779873782E-3</v>
      </c>
      <c r="AE114" s="1"/>
      <c r="AF114" s="1">
        <f t="shared" ca="1" si="52"/>
        <v>0.66859371526304856</v>
      </c>
      <c r="AG114" s="1">
        <f t="shared" ca="1" si="53"/>
        <v>726</v>
      </c>
      <c r="AH114" s="1">
        <f t="shared" ca="1" si="54"/>
        <v>1.7629165789139853E-3</v>
      </c>
      <c r="AJ114" s="1">
        <f t="shared" ca="1" si="55"/>
        <v>0.9815265045090682</v>
      </c>
      <c r="AK114" s="1">
        <f t="shared" ca="1" si="56"/>
        <v>9.1416239390978322E-3</v>
      </c>
      <c r="AL114" s="1"/>
      <c r="AM114" s="1">
        <f t="shared" ca="1" si="57"/>
        <v>8.600929934500319E-2</v>
      </c>
      <c r="AN114" s="1">
        <f t="shared" ca="1" si="58"/>
        <v>17</v>
      </c>
      <c r="AO114" s="1">
        <f t="shared" ca="1" si="59"/>
        <v>16</v>
      </c>
    </row>
    <row r="115" spans="2:41" x14ac:dyDescent="0.25">
      <c r="B115">
        <f t="shared" ca="1" si="30"/>
        <v>444</v>
      </c>
      <c r="C115">
        <f t="shared" ca="1" si="31"/>
        <v>52</v>
      </c>
      <c r="D115">
        <f t="shared" ca="1" si="32"/>
        <v>1.2769905997118122E-2</v>
      </c>
      <c r="F115" s="1">
        <f t="shared" ca="1" si="33"/>
        <v>7</v>
      </c>
      <c r="G115" s="1">
        <f t="shared" ca="1" si="34"/>
        <v>9</v>
      </c>
      <c r="H115" s="1">
        <f t="shared" ca="1" si="35"/>
        <v>12</v>
      </c>
      <c r="I115" s="1"/>
      <c r="J115" s="1">
        <f t="shared" ca="1" si="36"/>
        <v>7</v>
      </c>
      <c r="K115" s="1">
        <f t="shared" ca="1" si="37"/>
        <v>2.0154294681639682</v>
      </c>
      <c r="L115" s="1">
        <f t="shared" ca="1" si="38"/>
        <v>12</v>
      </c>
      <c r="M115" s="1"/>
      <c r="N115" s="1">
        <f t="shared" ca="1" si="39"/>
        <v>495</v>
      </c>
      <c r="O115" s="1">
        <f t="shared" ca="1" si="40"/>
        <v>35</v>
      </c>
      <c r="P115" s="1"/>
      <c r="Q115" s="1">
        <f t="shared" ca="1" si="41"/>
        <v>0.88517207007014342</v>
      </c>
      <c r="R115" s="1">
        <f t="shared" ca="1" si="42"/>
        <v>510</v>
      </c>
      <c r="S115" s="1"/>
      <c r="T115" s="1">
        <f t="shared" ca="1" si="43"/>
        <v>0.17908684287087098</v>
      </c>
      <c r="U115" s="1">
        <f t="shared" ca="1" si="44"/>
        <v>243</v>
      </c>
      <c r="V115" s="1">
        <f t="shared" ca="1" si="45"/>
        <v>23</v>
      </c>
      <c r="W115" s="1"/>
      <c r="X115" s="1">
        <f t="shared" ca="1" si="46"/>
        <v>1.7519552299886068</v>
      </c>
      <c r="Y115" s="1">
        <f t="shared" ca="1" si="47"/>
        <v>0.16826581056777939</v>
      </c>
      <c r="Z115" s="1">
        <f t="shared" ca="1" si="48"/>
        <v>1742</v>
      </c>
      <c r="AB115" s="1">
        <f t="shared" ca="1" si="49"/>
        <v>0.88989189366652233</v>
      </c>
      <c r="AC115" s="1">
        <f t="shared" ca="1" si="50"/>
        <v>132</v>
      </c>
      <c r="AD115" s="1">
        <f t="shared" ca="1" si="51"/>
        <v>2.0983039830665064E-4</v>
      </c>
      <c r="AE115" s="1"/>
      <c r="AF115" s="1">
        <f t="shared" ca="1" si="52"/>
        <v>0.20965629863179772</v>
      </c>
      <c r="AG115" s="1">
        <f t="shared" ca="1" si="53"/>
        <v>877</v>
      </c>
      <c r="AH115" s="1">
        <f t="shared" ca="1" si="54"/>
        <v>8.0320314572458126E-3</v>
      </c>
      <c r="AJ115" s="1">
        <f t="shared" ca="1" si="55"/>
        <v>0.62545635834510926</v>
      </c>
      <c r="AK115" s="1">
        <f t="shared" ca="1" si="56"/>
        <v>5.5998814825544679E-3</v>
      </c>
      <c r="AL115" s="1"/>
      <c r="AM115" s="1">
        <f t="shared" ca="1" si="57"/>
        <v>8.0422435132704116E-3</v>
      </c>
      <c r="AN115" s="1">
        <f t="shared" ca="1" si="58"/>
        <v>17</v>
      </c>
      <c r="AO115" s="1">
        <f t="shared" ca="1" si="59"/>
        <v>17</v>
      </c>
    </row>
    <row r="116" spans="2:41" x14ac:dyDescent="0.25">
      <c r="B116">
        <f t="shared" ca="1" si="30"/>
        <v>861</v>
      </c>
      <c r="C116">
        <f t="shared" ca="1" si="31"/>
        <v>13</v>
      </c>
      <c r="D116">
        <f t="shared" ca="1" si="32"/>
        <v>4.1624439944704925E-2</v>
      </c>
      <c r="F116" s="1">
        <f t="shared" ca="1" si="33"/>
        <v>35</v>
      </c>
      <c r="G116" s="1">
        <f t="shared" ca="1" si="34"/>
        <v>2</v>
      </c>
      <c r="H116" s="1">
        <f t="shared" ca="1" si="35"/>
        <v>10</v>
      </c>
      <c r="I116" s="1"/>
      <c r="J116" s="1">
        <f t="shared" ca="1" si="36"/>
        <v>20</v>
      </c>
      <c r="K116" s="1">
        <f t="shared" ca="1" si="37"/>
        <v>1.5993912505073098</v>
      </c>
      <c r="L116" s="1">
        <f t="shared" ca="1" si="38"/>
        <v>23</v>
      </c>
      <c r="M116" s="1"/>
      <c r="N116" s="1">
        <f t="shared" ca="1" si="39"/>
        <v>248</v>
      </c>
      <c r="O116" s="1">
        <f t="shared" ca="1" si="40"/>
        <v>17</v>
      </c>
      <c r="P116" s="1"/>
      <c r="Q116" s="1">
        <f t="shared" ca="1" si="41"/>
        <v>1.3849109055374178</v>
      </c>
      <c r="R116" s="1">
        <f t="shared" ca="1" si="42"/>
        <v>213</v>
      </c>
      <c r="S116" s="1"/>
      <c r="T116" s="1">
        <f t="shared" ca="1" si="43"/>
        <v>5.71975728377608E-2</v>
      </c>
      <c r="U116" s="1">
        <f t="shared" ca="1" si="44"/>
        <v>305</v>
      </c>
      <c r="V116" s="1">
        <f t="shared" ca="1" si="45"/>
        <v>42</v>
      </c>
      <c r="W116" s="1"/>
      <c r="X116" s="1">
        <f t="shared" ca="1" si="46"/>
        <v>2.9025053653258457</v>
      </c>
      <c r="Y116" s="1">
        <f t="shared" ca="1" si="47"/>
        <v>0.85604167381407859</v>
      </c>
      <c r="Z116" s="1">
        <f t="shared" ca="1" si="48"/>
        <v>860</v>
      </c>
      <c r="AB116" s="1">
        <f t="shared" ca="1" si="49"/>
        <v>0.94922715574827166</v>
      </c>
      <c r="AC116" s="1">
        <f t="shared" ca="1" si="50"/>
        <v>410</v>
      </c>
      <c r="AD116" s="1">
        <f t="shared" ca="1" si="51"/>
        <v>2.2964421681272005E-4</v>
      </c>
      <c r="AE116" s="1"/>
      <c r="AF116" s="1">
        <f t="shared" ca="1" si="52"/>
        <v>0.49303578360403255</v>
      </c>
      <c r="AG116" s="1">
        <f t="shared" ca="1" si="53"/>
        <v>674</v>
      </c>
      <c r="AH116" s="1">
        <f t="shared" ca="1" si="54"/>
        <v>7.7729730074792953E-4</v>
      </c>
      <c r="AJ116" s="1">
        <f t="shared" ca="1" si="55"/>
        <v>0.65537460227604183</v>
      </c>
      <c r="AK116" s="1">
        <f t="shared" ca="1" si="56"/>
        <v>4.2808952536150663E-3</v>
      </c>
      <c r="AL116" s="1"/>
      <c r="AM116" s="1">
        <f t="shared" ca="1" si="57"/>
        <v>2.7052545032560434E-2</v>
      </c>
      <c r="AN116" s="1">
        <f t="shared" ca="1" si="58"/>
        <v>47</v>
      </c>
      <c r="AO116" s="1">
        <f t="shared" ca="1" si="59"/>
        <v>12</v>
      </c>
    </row>
    <row r="117" spans="2:41" x14ac:dyDescent="0.25">
      <c r="B117">
        <f t="shared" ca="1" si="30"/>
        <v>180</v>
      </c>
      <c r="C117">
        <f t="shared" ca="1" si="31"/>
        <v>38</v>
      </c>
      <c r="D117">
        <f t="shared" ca="1" si="32"/>
        <v>4.3632075532174755E-2</v>
      </c>
      <c r="F117" s="1">
        <f t="shared" ca="1" si="33"/>
        <v>32</v>
      </c>
      <c r="G117" s="1">
        <f t="shared" ca="1" si="34"/>
        <v>12</v>
      </c>
      <c r="H117" s="1">
        <f t="shared" ca="1" si="35"/>
        <v>4</v>
      </c>
      <c r="I117" s="1"/>
      <c r="J117" s="1">
        <f t="shared" ca="1" si="36"/>
        <v>14</v>
      </c>
      <c r="K117" s="1">
        <f t="shared" ca="1" si="37"/>
        <v>1.1813539403280204</v>
      </c>
      <c r="L117" s="1">
        <f t="shared" ca="1" si="38"/>
        <v>33</v>
      </c>
      <c r="M117" s="1"/>
      <c r="N117" s="1">
        <f t="shared" ca="1" si="39"/>
        <v>179</v>
      </c>
      <c r="O117" s="1">
        <f t="shared" ca="1" si="40"/>
        <v>27</v>
      </c>
      <c r="P117" s="1"/>
      <c r="Q117" s="1">
        <f t="shared" ca="1" si="41"/>
        <v>1.2050391278749186</v>
      </c>
      <c r="R117" s="1">
        <f t="shared" ca="1" si="42"/>
        <v>703</v>
      </c>
      <c r="S117" s="1"/>
      <c r="T117" s="1">
        <f t="shared" ca="1" si="43"/>
        <v>0.13493956542237337</v>
      </c>
      <c r="U117" s="1">
        <f t="shared" ca="1" si="44"/>
        <v>326</v>
      </c>
      <c r="V117" s="1">
        <f t="shared" ca="1" si="45"/>
        <v>49</v>
      </c>
      <c r="W117" s="1"/>
      <c r="X117" s="1">
        <f t="shared" ca="1" si="46"/>
        <v>1.554069347095681</v>
      </c>
      <c r="Y117" s="1">
        <f t="shared" ca="1" si="47"/>
        <v>0.72736778981966577</v>
      </c>
      <c r="Z117" s="1">
        <f t="shared" ca="1" si="48"/>
        <v>1620</v>
      </c>
      <c r="AB117" s="1">
        <f t="shared" ca="1" si="49"/>
        <v>0.20233629819823715</v>
      </c>
      <c r="AC117" s="1">
        <f t="shared" ca="1" si="50"/>
        <v>713</v>
      </c>
      <c r="AD117" s="1">
        <f t="shared" ca="1" si="51"/>
        <v>7.1922882322233029E-4</v>
      </c>
      <c r="AE117" s="1"/>
      <c r="AF117" s="1">
        <f t="shared" ca="1" si="52"/>
        <v>0.26222060522877255</v>
      </c>
      <c r="AG117" s="1">
        <f t="shared" ca="1" si="53"/>
        <v>623</v>
      </c>
      <c r="AH117" s="1">
        <f t="shared" ca="1" si="54"/>
        <v>3.4387667061358067E-3</v>
      </c>
      <c r="AJ117" s="1">
        <f t="shared" ca="1" si="55"/>
        <v>0.85565618280447597</v>
      </c>
      <c r="AK117" s="1">
        <f t="shared" ca="1" si="56"/>
        <v>5.5501260610296005E-3</v>
      </c>
      <c r="AL117" s="1"/>
      <c r="AM117" s="1">
        <f t="shared" ca="1" si="57"/>
        <v>0.15037451749108435</v>
      </c>
      <c r="AN117" s="1">
        <f t="shared" ca="1" si="58"/>
        <v>21</v>
      </c>
      <c r="AO117" s="1">
        <f t="shared" ca="1" si="59"/>
        <v>15</v>
      </c>
    </row>
    <row r="118" spans="2:41" x14ac:dyDescent="0.25">
      <c r="B118">
        <f t="shared" ca="1" si="30"/>
        <v>16</v>
      </c>
      <c r="C118">
        <f t="shared" ca="1" si="31"/>
        <v>28</v>
      </c>
      <c r="D118">
        <f t="shared" ca="1" si="32"/>
        <v>0.19628473790146156</v>
      </c>
      <c r="F118" s="1">
        <f t="shared" ca="1" si="33"/>
        <v>22</v>
      </c>
      <c r="G118" s="1">
        <f t="shared" ca="1" si="34"/>
        <v>19</v>
      </c>
      <c r="H118" s="1">
        <f t="shared" ca="1" si="35"/>
        <v>12</v>
      </c>
      <c r="I118" s="1"/>
      <c r="J118" s="1">
        <f t="shared" ca="1" si="36"/>
        <v>9</v>
      </c>
      <c r="K118" s="1">
        <f t="shared" ca="1" si="37"/>
        <v>2.4830541181475567</v>
      </c>
      <c r="L118" s="1">
        <f t="shared" ca="1" si="38"/>
        <v>18</v>
      </c>
      <c r="M118" s="1"/>
      <c r="N118" s="1">
        <f t="shared" ca="1" si="39"/>
        <v>200</v>
      </c>
      <c r="O118" s="1">
        <f t="shared" ca="1" si="40"/>
        <v>44</v>
      </c>
      <c r="P118" s="1"/>
      <c r="Q118" s="1">
        <f t="shared" ca="1" si="41"/>
        <v>3.9445235651702446</v>
      </c>
      <c r="R118" s="1">
        <f t="shared" ca="1" si="42"/>
        <v>1135</v>
      </c>
      <c r="S118" s="1"/>
      <c r="T118" s="1">
        <f t="shared" ca="1" si="43"/>
        <v>0.17958495932820465</v>
      </c>
      <c r="U118" s="1">
        <f t="shared" ca="1" si="44"/>
        <v>108</v>
      </c>
      <c r="V118" s="1">
        <f t="shared" ca="1" si="45"/>
        <v>16</v>
      </c>
      <c r="W118" s="1"/>
      <c r="X118" s="1">
        <f t="shared" ca="1" si="46"/>
        <v>8.9018383406301727</v>
      </c>
      <c r="Y118" s="1">
        <f t="shared" ca="1" si="47"/>
        <v>0.66617004816729997</v>
      </c>
      <c r="Z118" s="1">
        <f t="shared" ca="1" si="48"/>
        <v>510</v>
      </c>
      <c r="AB118" s="1">
        <f t="shared" ca="1" si="49"/>
        <v>0.71480893265463852</v>
      </c>
      <c r="AC118" s="1">
        <f t="shared" ca="1" si="50"/>
        <v>504</v>
      </c>
      <c r="AD118" s="1">
        <f t="shared" ca="1" si="51"/>
        <v>6.8755515459385406E-3</v>
      </c>
      <c r="AE118" s="1"/>
      <c r="AF118" s="1">
        <f t="shared" ca="1" si="52"/>
        <v>0.25840454614093489</v>
      </c>
      <c r="AG118" s="1">
        <f t="shared" ca="1" si="53"/>
        <v>771</v>
      </c>
      <c r="AH118" s="1">
        <f t="shared" ca="1" si="54"/>
        <v>7.6976903960999628E-3</v>
      </c>
      <c r="AJ118" s="1">
        <f t="shared" ca="1" si="55"/>
        <v>0.51340980237204747</v>
      </c>
      <c r="AK118" s="1">
        <f t="shared" ca="1" si="56"/>
        <v>9.0243554128191222E-3</v>
      </c>
      <c r="AL118" s="1"/>
      <c r="AM118" s="1">
        <f t="shared" ca="1" si="57"/>
        <v>7.2871262909517509E-2</v>
      </c>
      <c r="AN118" s="1">
        <f t="shared" ca="1" si="58"/>
        <v>58</v>
      </c>
      <c r="AO118" s="1">
        <f t="shared" ca="1" si="59"/>
        <v>8</v>
      </c>
    </row>
    <row r="119" spans="2:41" x14ac:dyDescent="0.25">
      <c r="B119">
        <f t="shared" ca="1" si="30"/>
        <v>341</v>
      </c>
      <c r="C119">
        <f t="shared" ca="1" si="31"/>
        <v>12</v>
      </c>
      <c r="D119">
        <f t="shared" ca="1" si="32"/>
        <v>0.23862389381277646</v>
      </c>
      <c r="F119" s="1">
        <f t="shared" ca="1" si="33"/>
        <v>24</v>
      </c>
      <c r="G119" s="1">
        <f t="shared" ca="1" si="34"/>
        <v>22</v>
      </c>
      <c r="H119" s="1">
        <f t="shared" ca="1" si="35"/>
        <v>15</v>
      </c>
      <c r="I119" s="1"/>
      <c r="J119" s="1">
        <f t="shared" ca="1" si="36"/>
        <v>27</v>
      </c>
      <c r="K119" s="1">
        <f t="shared" ca="1" si="37"/>
        <v>1.220186918080439</v>
      </c>
      <c r="L119" s="1">
        <f t="shared" ca="1" si="38"/>
        <v>15</v>
      </c>
      <c r="M119" s="1"/>
      <c r="N119" s="1">
        <f t="shared" ca="1" si="39"/>
        <v>674</v>
      </c>
      <c r="O119" s="1">
        <f t="shared" ca="1" si="40"/>
        <v>18</v>
      </c>
      <c r="P119" s="1"/>
      <c r="Q119" s="1">
        <f t="shared" ca="1" si="41"/>
        <v>3.0466288478386891</v>
      </c>
      <c r="R119" s="1">
        <f t="shared" ca="1" si="42"/>
        <v>367</v>
      </c>
      <c r="S119" s="1"/>
      <c r="T119" s="1">
        <f t="shared" ca="1" si="43"/>
        <v>0.18314185166113897</v>
      </c>
      <c r="U119" s="1">
        <f t="shared" ca="1" si="44"/>
        <v>103</v>
      </c>
      <c r="V119" s="1">
        <f t="shared" ca="1" si="45"/>
        <v>31</v>
      </c>
      <c r="W119" s="1"/>
      <c r="X119" s="1">
        <f t="shared" ca="1" si="46"/>
        <v>6.3969866128043726</v>
      </c>
      <c r="Y119" s="1">
        <f t="shared" ca="1" si="47"/>
        <v>0.33256923474470379</v>
      </c>
      <c r="Z119" s="1">
        <f t="shared" ca="1" si="48"/>
        <v>1055</v>
      </c>
      <c r="AB119" s="1">
        <f t="shared" ca="1" si="49"/>
        <v>0.50457606637483687</v>
      </c>
      <c r="AC119" s="1">
        <f t="shared" ca="1" si="50"/>
        <v>511</v>
      </c>
      <c r="AD119" s="1">
        <f t="shared" ca="1" si="51"/>
        <v>2.9992834040167495E-3</v>
      </c>
      <c r="AE119" s="1"/>
      <c r="AF119" s="1">
        <f t="shared" ca="1" si="52"/>
        <v>0.71371957686617449</v>
      </c>
      <c r="AG119" s="1">
        <f t="shared" ca="1" si="53"/>
        <v>145</v>
      </c>
      <c r="AH119" s="1">
        <f t="shared" ca="1" si="54"/>
        <v>3.72513530167696E-3</v>
      </c>
      <c r="AJ119" s="1">
        <f t="shared" ca="1" si="55"/>
        <v>0.73521046606211038</v>
      </c>
      <c r="AK119" s="1">
        <f t="shared" ca="1" si="56"/>
        <v>5.8566110045004524E-3</v>
      </c>
      <c r="AL119" s="1"/>
      <c r="AM119" s="1">
        <f t="shared" ca="1" si="57"/>
        <v>7.2665633697318157E-3</v>
      </c>
      <c r="AN119" s="1">
        <f t="shared" ca="1" si="58"/>
        <v>24</v>
      </c>
      <c r="AO119" s="1">
        <f t="shared" ca="1" si="59"/>
        <v>13</v>
      </c>
    </row>
    <row r="120" spans="2:41" x14ac:dyDescent="0.25">
      <c r="B120">
        <f t="shared" ca="1" si="30"/>
        <v>847</v>
      </c>
      <c r="C120">
        <f t="shared" ca="1" si="31"/>
        <v>23</v>
      </c>
      <c r="D120">
        <f t="shared" ca="1" si="32"/>
        <v>0.20347586800056702</v>
      </c>
      <c r="F120" s="1">
        <f t="shared" ca="1" si="33"/>
        <v>25</v>
      </c>
      <c r="G120" s="1">
        <f t="shared" ca="1" si="34"/>
        <v>5</v>
      </c>
      <c r="H120" s="1">
        <f t="shared" ca="1" si="35"/>
        <v>9</v>
      </c>
      <c r="I120" s="1"/>
      <c r="J120" s="1">
        <f t="shared" ca="1" si="36"/>
        <v>17</v>
      </c>
      <c r="K120" s="1">
        <f t="shared" ca="1" si="37"/>
        <v>1.6974607971781679</v>
      </c>
      <c r="L120" s="1">
        <f t="shared" ca="1" si="38"/>
        <v>19</v>
      </c>
      <c r="M120" s="1"/>
      <c r="N120" s="1">
        <f t="shared" ca="1" si="39"/>
        <v>445</v>
      </c>
      <c r="O120" s="1">
        <f t="shared" ca="1" si="40"/>
        <v>49</v>
      </c>
      <c r="P120" s="1"/>
      <c r="Q120" s="1">
        <f t="shared" ca="1" si="41"/>
        <v>4.6571988523470651</v>
      </c>
      <c r="R120" s="1">
        <f t="shared" ca="1" si="42"/>
        <v>778</v>
      </c>
      <c r="S120" s="1"/>
      <c r="T120" s="1">
        <f t="shared" ca="1" si="43"/>
        <v>0.18471774774612509</v>
      </c>
      <c r="U120" s="1">
        <f t="shared" ca="1" si="44"/>
        <v>94</v>
      </c>
      <c r="V120" s="1">
        <f t="shared" ca="1" si="45"/>
        <v>3</v>
      </c>
      <c r="W120" s="1"/>
      <c r="X120" s="1">
        <f t="shared" ca="1" si="46"/>
        <v>1.9860275611670777</v>
      </c>
      <c r="Y120" s="1">
        <f t="shared" ca="1" si="47"/>
        <v>0.74463892649885777</v>
      </c>
      <c r="Z120" s="1">
        <f t="shared" ca="1" si="48"/>
        <v>1099</v>
      </c>
      <c r="AB120" s="1">
        <f t="shared" ca="1" si="49"/>
        <v>0.24192718724496498</v>
      </c>
      <c r="AC120" s="1">
        <f t="shared" ca="1" si="50"/>
        <v>487</v>
      </c>
      <c r="AD120" s="1">
        <f t="shared" ca="1" si="51"/>
        <v>9.9288518216996378E-3</v>
      </c>
      <c r="AE120" s="1"/>
      <c r="AF120" s="1">
        <f t="shared" ca="1" si="52"/>
        <v>0.48980826298834068</v>
      </c>
      <c r="AG120" s="1">
        <f t="shared" ca="1" si="53"/>
        <v>657</v>
      </c>
      <c r="AH120" s="1">
        <f t="shared" ca="1" si="54"/>
        <v>2.0076568030513151E-3</v>
      </c>
      <c r="AJ120" s="1">
        <f t="shared" ca="1" si="55"/>
        <v>0.18375234490670977</v>
      </c>
      <c r="AK120" s="1">
        <f t="shared" ca="1" si="56"/>
        <v>8.3893070222412717E-3</v>
      </c>
      <c r="AL120" s="1"/>
      <c r="AM120" s="1">
        <f t="shared" ca="1" si="57"/>
        <v>0.1209922399992506</v>
      </c>
      <c r="AN120" s="1">
        <f t="shared" ca="1" si="58"/>
        <v>58</v>
      </c>
      <c r="AO120" s="1">
        <f t="shared" ca="1" si="59"/>
        <v>-1</v>
      </c>
    </row>
    <row r="121" spans="2:41" x14ac:dyDescent="0.25">
      <c r="B121">
        <f t="shared" ca="1" si="30"/>
        <v>272</v>
      </c>
      <c r="C121">
        <f t="shared" ca="1" si="31"/>
        <v>10</v>
      </c>
      <c r="D121">
        <f t="shared" ca="1" si="32"/>
        <v>5.0083592183229463E-2</v>
      </c>
      <c r="F121" s="1">
        <f t="shared" ca="1" si="33"/>
        <v>8</v>
      </c>
      <c r="G121" s="1">
        <f t="shared" ca="1" si="34"/>
        <v>2</v>
      </c>
      <c r="H121" s="1">
        <f t="shared" ca="1" si="35"/>
        <v>13</v>
      </c>
      <c r="I121" s="1"/>
      <c r="J121" s="1">
        <f t="shared" ca="1" si="36"/>
        <v>25</v>
      </c>
      <c r="K121" s="1">
        <f t="shared" ca="1" si="37"/>
        <v>1.0346675138923678</v>
      </c>
      <c r="L121" s="1">
        <f t="shared" ca="1" si="38"/>
        <v>13</v>
      </c>
      <c r="M121" s="1"/>
      <c r="N121" s="1">
        <f t="shared" ca="1" si="39"/>
        <v>391</v>
      </c>
      <c r="O121" s="1">
        <f t="shared" ca="1" si="40"/>
        <v>27</v>
      </c>
      <c r="P121" s="1"/>
      <c r="Q121" s="1">
        <f t="shared" ca="1" si="41"/>
        <v>1.6595884150386702</v>
      </c>
      <c r="R121" s="1">
        <f t="shared" ca="1" si="42"/>
        <v>371</v>
      </c>
      <c r="S121" s="1"/>
      <c r="T121" s="1">
        <f t="shared" ca="1" si="43"/>
        <v>4.9951754335200091E-2</v>
      </c>
      <c r="U121" s="1">
        <f t="shared" ca="1" si="44"/>
        <v>97</v>
      </c>
      <c r="V121" s="1">
        <f t="shared" ca="1" si="45"/>
        <v>29</v>
      </c>
      <c r="W121" s="1"/>
      <c r="X121" s="1">
        <f t="shared" ca="1" si="46"/>
        <v>0.7475644559813458</v>
      </c>
      <c r="Y121" s="1">
        <f t="shared" ca="1" si="47"/>
        <v>0.92871802831606753</v>
      </c>
      <c r="Z121" s="1">
        <f t="shared" ca="1" si="48"/>
        <v>1556</v>
      </c>
      <c r="AB121" s="1">
        <f t="shared" ca="1" si="49"/>
        <v>0.62931635265089625</v>
      </c>
      <c r="AC121" s="1">
        <f t="shared" ca="1" si="50"/>
        <v>290</v>
      </c>
      <c r="AD121" s="1">
        <f t="shared" ca="1" si="51"/>
        <v>4.8221460764604554E-3</v>
      </c>
      <c r="AE121" s="1"/>
      <c r="AF121" s="1">
        <f t="shared" ca="1" si="52"/>
        <v>0.37326710344002845</v>
      </c>
      <c r="AG121" s="1">
        <f t="shared" ca="1" si="53"/>
        <v>178</v>
      </c>
      <c r="AH121" s="1">
        <f t="shared" ca="1" si="54"/>
        <v>8.9679015678307186E-3</v>
      </c>
      <c r="AJ121" s="1">
        <f t="shared" ca="1" si="55"/>
        <v>0.81726030135770289</v>
      </c>
      <c r="AK121" s="1">
        <f t="shared" ca="1" si="56"/>
        <v>1.9942935315454612E-4</v>
      </c>
      <c r="AL121" s="1"/>
      <c r="AM121" s="1">
        <f t="shared" ca="1" si="57"/>
        <v>5.2952490074228545E-2</v>
      </c>
      <c r="AN121" s="1">
        <f t="shared" ca="1" si="58"/>
        <v>28</v>
      </c>
      <c r="AO121" s="1">
        <f t="shared" ca="1" si="59"/>
        <v>0</v>
      </c>
    </row>
    <row r="122" spans="2:41" x14ac:dyDescent="0.25">
      <c r="B122">
        <f t="shared" ca="1" si="30"/>
        <v>181</v>
      </c>
      <c r="C122">
        <f t="shared" ca="1" si="31"/>
        <v>21</v>
      </c>
      <c r="D122">
        <f t="shared" ca="1" si="32"/>
        <v>0.22815204282464083</v>
      </c>
      <c r="F122" s="1">
        <f t="shared" ca="1" si="33"/>
        <v>48</v>
      </c>
      <c r="G122" s="1">
        <f t="shared" ca="1" si="34"/>
        <v>9</v>
      </c>
      <c r="H122" s="1">
        <f t="shared" ca="1" si="35"/>
        <v>10</v>
      </c>
      <c r="I122" s="1"/>
      <c r="J122" s="1">
        <f t="shared" ca="1" si="36"/>
        <v>7</v>
      </c>
      <c r="K122" s="1">
        <f t="shared" ca="1" si="37"/>
        <v>1.9765554393831597</v>
      </c>
      <c r="L122" s="1">
        <f t="shared" ca="1" si="38"/>
        <v>34</v>
      </c>
      <c r="M122" s="1"/>
      <c r="N122" s="1">
        <f t="shared" ca="1" si="39"/>
        <v>76</v>
      </c>
      <c r="O122" s="1">
        <f t="shared" ca="1" si="40"/>
        <v>8</v>
      </c>
      <c r="P122" s="1"/>
      <c r="Q122" s="1">
        <f t="shared" ca="1" si="41"/>
        <v>4.1546583568703372</v>
      </c>
      <c r="R122" s="1">
        <f t="shared" ca="1" si="42"/>
        <v>952</v>
      </c>
      <c r="S122" s="1"/>
      <c r="T122" s="1">
        <f t="shared" ca="1" si="43"/>
        <v>0.11766002706290533</v>
      </c>
      <c r="U122" s="1">
        <f t="shared" ca="1" si="44"/>
        <v>60</v>
      </c>
      <c r="V122" s="1">
        <f t="shared" ca="1" si="45"/>
        <v>30</v>
      </c>
      <c r="W122" s="1"/>
      <c r="X122" s="1">
        <f t="shared" ca="1" si="46"/>
        <v>1.365582591490671</v>
      </c>
      <c r="Y122" s="1">
        <f t="shared" ca="1" si="47"/>
        <v>0.7176799870434154</v>
      </c>
      <c r="Z122" s="1">
        <f t="shared" ca="1" si="48"/>
        <v>839</v>
      </c>
      <c r="AB122" s="1">
        <f t="shared" ca="1" si="49"/>
        <v>0.23257761413593658</v>
      </c>
      <c r="AC122" s="1">
        <f t="shared" ca="1" si="50"/>
        <v>127</v>
      </c>
      <c r="AD122" s="1">
        <f t="shared" ca="1" si="51"/>
        <v>7.2573936821237637E-4</v>
      </c>
      <c r="AE122" s="1"/>
      <c r="AF122" s="1">
        <f t="shared" ca="1" si="52"/>
        <v>0.24504590024439221</v>
      </c>
      <c r="AG122" s="1">
        <f t="shared" ca="1" si="53"/>
        <v>494</v>
      </c>
      <c r="AH122" s="1">
        <f t="shared" ca="1" si="54"/>
        <v>4.4392233975563732E-3</v>
      </c>
      <c r="AJ122" s="1">
        <f t="shared" ca="1" si="55"/>
        <v>0.2365860496939538</v>
      </c>
      <c r="AK122" s="1">
        <f t="shared" ca="1" si="56"/>
        <v>9.7237107831090186E-3</v>
      </c>
      <c r="AL122" s="1"/>
      <c r="AM122" s="1">
        <f t="shared" ca="1" si="57"/>
        <v>0.14338594526867479</v>
      </c>
      <c r="AN122" s="1">
        <f t="shared" ca="1" si="58"/>
        <v>38</v>
      </c>
      <c r="AO122" s="1">
        <f t="shared" ca="1" si="59"/>
        <v>20</v>
      </c>
    </row>
    <row r="123" spans="2:41" x14ac:dyDescent="0.25">
      <c r="B123">
        <f t="shared" ca="1" si="30"/>
        <v>332</v>
      </c>
      <c r="C123">
        <f t="shared" ca="1" si="31"/>
        <v>49</v>
      </c>
      <c r="D123">
        <f t="shared" ca="1" si="32"/>
        <v>6.8331649238043579E-2</v>
      </c>
      <c r="F123" s="1">
        <f t="shared" ca="1" si="33"/>
        <v>48</v>
      </c>
      <c r="G123" s="1">
        <f t="shared" ca="1" si="34"/>
        <v>18</v>
      </c>
      <c r="H123" s="1">
        <f t="shared" ca="1" si="35"/>
        <v>8</v>
      </c>
      <c r="I123" s="1"/>
      <c r="J123" s="1">
        <f t="shared" ca="1" si="36"/>
        <v>13</v>
      </c>
      <c r="K123" s="1">
        <f t="shared" ca="1" si="37"/>
        <v>1.040165826623352</v>
      </c>
      <c r="L123" s="1">
        <f t="shared" ca="1" si="38"/>
        <v>26</v>
      </c>
      <c r="M123" s="1"/>
      <c r="N123" s="1">
        <f t="shared" ca="1" si="39"/>
        <v>399</v>
      </c>
      <c r="O123" s="1">
        <f t="shared" ca="1" si="40"/>
        <v>41</v>
      </c>
      <c r="P123" s="1"/>
      <c r="Q123" s="1">
        <f t="shared" ca="1" si="41"/>
        <v>3.7776276091401844</v>
      </c>
      <c r="R123" s="1">
        <f t="shared" ca="1" si="42"/>
        <v>1022</v>
      </c>
      <c r="S123" s="1"/>
      <c r="T123" s="1">
        <f t="shared" ca="1" si="43"/>
        <v>4.7670996924095072E-2</v>
      </c>
      <c r="U123" s="1">
        <f t="shared" ca="1" si="44"/>
        <v>409</v>
      </c>
      <c r="V123" s="1">
        <f t="shared" ca="1" si="45"/>
        <v>11</v>
      </c>
      <c r="W123" s="1"/>
      <c r="X123" s="1">
        <f t="shared" ca="1" si="46"/>
        <v>9.0477724725051907</v>
      </c>
      <c r="Y123" s="1">
        <f t="shared" ca="1" si="47"/>
        <v>0.8584889111750218</v>
      </c>
      <c r="Z123" s="1">
        <f t="shared" ca="1" si="48"/>
        <v>284</v>
      </c>
      <c r="AB123" s="1">
        <f t="shared" ca="1" si="49"/>
        <v>5.9434181779669942E-3</v>
      </c>
      <c r="AC123" s="1">
        <f t="shared" ca="1" si="50"/>
        <v>621</v>
      </c>
      <c r="AD123" s="1">
        <f t="shared" ca="1" si="51"/>
        <v>3.8435346016941095E-3</v>
      </c>
      <c r="AE123" s="1"/>
      <c r="AF123" s="1">
        <f t="shared" ca="1" si="52"/>
        <v>0.77202708496210259</v>
      </c>
      <c r="AG123" s="1">
        <f t="shared" ca="1" si="53"/>
        <v>457</v>
      </c>
      <c r="AH123" s="1">
        <f t="shared" ca="1" si="54"/>
        <v>4.4366278936777805E-3</v>
      </c>
      <c r="AJ123" s="1">
        <f t="shared" ca="1" si="55"/>
        <v>9.7068258358400938E-2</v>
      </c>
      <c r="AK123" s="1">
        <f t="shared" ca="1" si="56"/>
        <v>9.1045623602712192E-3</v>
      </c>
      <c r="AL123" s="1"/>
      <c r="AM123" s="1">
        <f t="shared" ca="1" si="57"/>
        <v>2.2400626060241912E-2</v>
      </c>
      <c r="AN123" s="1">
        <f t="shared" ca="1" si="58"/>
        <v>36</v>
      </c>
      <c r="AO123" s="1">
        <f t="shared" ca="1" si="59"/>
        <v>12</v>
      </c>
    </row>
    <row r="124" spans="2:41" x14ac:dyDescent="0.25">
      <c r="B124">
        <f t="shared" ca="1" si="30"/>
        <v>202</v>
      </c>
      <c r="C124">
        <f t="shared" ca="1" si="31"/>
        <v>3</v>
      </c>
      <c r="D124">
        <f t="shared" ca="1" si="32"/>
        <v>0.29006169559469835</v>
      </c>
      <c r="F124" s="1">
        <f t="shared" ca="1" si="33"/>
        <v>15</v>
      </c>
      <c r="G124" s="1">
        <f t="shared" ca="1" si="34"/>
        <v>17</v>
      </c>
      <c r="H124" s="1">
        <f t="shared" ca="1" si="35"/>
        <v>11</v>
      </c>
      <c r="I124" s="1"/>
      <c r="J124" s="1">
        <f t="shared" ca="1" si="36"/>
        <v>9</v>
      </c>
      <c r="K124" s="1">
        <f t="shared" ca="1" si="37"/>
        <v>1.9532937802091104</v>
      </c>
      <c r="L124" s="1">
        <f t="shared" ca="1" si="38"/>
        <v>7</v>
      </c>
      <c r="M124" s="1"/>
      <c r="N124" s="1">
        <f t="shared" ca="1" si="39"/>
        <v>821</v>
      </c>
      <c r="O124" s="1">
        <f t="shared" ca="1" si="40"/>
        <v>35</v>
      </c>
      <c r="P124" s="1"/>
      <c r="Q124" s="1">
        <f t="shared" ca="1" si="41"/>
        <v>1.1596340837319743</v>
      </c>
      <c r="R124" s="1">
        <f t="shared" ca="1" si="42"/>
        <v>240</v>
      </c>
      <c r="S124" s="1"/>
      <c r="T124" s="1">
        <f t="shared" ca="1" si="43"/>
        <v>4.559970404467581E-2</v>
      </c>
      <c r="U124" s="1">
        <f t="shared" ca="1" si="44"/>
        <v>311</v>
      </c>
      <c r="V124" s="1">
        <f t="shared" ca="1" si="45"/>
        <v>3</v>
      </c>
      <c r="W124" s="1"/>
      <c r="X124" s="1">
        <f t="shared" ca="1" si="46"/>
        <v>9.57412357461806</v>
      </c>
      <c r="Y124" s="1">
        <f t="shared" ca="1" si="47"/>
        <v>0.87811649632758693</v>
      </c>
      <c r="Z124" s="1">
        <f t="shared" ca="1" si="48"/>
        <v>810</v>
      </c>
      <c r="AB124" s="1">
        <f t="shared" ca="1" si="49"/>
        <v>0.58422829175646762</v>
      </c>
      <c r="AC124" s="1">
        <f t="shared" ca="1" si="50"/>
        <v>908</v>
      </c>
      <c r="AD124" s="1">
        <f t="shared" ca="1" si="51"/>
        <v>9.5518538739163394E-3</v>
      </c>
      <c r="AE124" s="1"/>
      <c r="AF124" s="1">
        <f t="shared" ca="1" si="52"/>
        <v>0.79723453800393129</v>
      </c>
      <c r="AG124" s="1">
        <f t="shared" ca="1" si="53"/>
        <v>878</v>
      </c>
      <c r="AH124" s="1">
        <f t="shared" ca="1" si="54"/>
        <v>7.5487650448354598E-3</v>
      </c>
      <c r="AJ124" s="1">
        <f t="shared" ca="1" si="55"/>
        <v>0.13468649504249253</v>
      </c>
      <c r="AK124" s="1">
        <f t="shared" ca="1" si="56"/>
        <v>7.5949337466901905E-3</v>
      </c>
      <c r="AL124" s="1"/>
      <c r="AM124" s="1">
        <f t="shared" ca="1" si="57"/>
        <v>0.1686930279474452</v>
      </c>
      <c r="AN124" s="1">
        <f t="shared" ca="1" si="58"/>
        <v>46</v>
      </c>
      <c r="AO124" s="1">
        <f t="shared" ca="1" si="59"/>
        <v>10</v>
      </c>
    </row>
    <row r="125" spans="2:41" x14ac:dyDescent="0.25">
      <c r="B125">
        <f t="shared" ca="1" si="30"/>
        <v>985</v>
      </c>
      <c r="C125">
        <f t="shared" ca="1" si="31"/>
        <v>22</v>
      </c>
      <c r="D125">
        <f t="shared" ca="1" si="32"/>
        <v>0.12182766766479476</v>
      </c>
      <c r="F125" s="1">
        <f t="shared" ca="1" si="33"/>
        <v>27</v>
      </c>
      <c r="G125" s="1">
        <f t="shared" ca="1" si="34"/>
        <v>21</v>
      </c>
      <c r="H125" s="1">
        <f t="shared" ca="1" si="35"/>
        <v>14</v>
      </c>
      <c r="I125" s="1"/>
      <c r="J125" s="1">
        <f t="shared" ca="1" si="36"/>
        <v>33</v>
      </c>
      <c r="K125" s="1">
        <f t="shared" ca="1" si="37"/>
        <v>2.9542224448152803</v>
      </c>
      <c r="L125" s="1">
        <f t="shared" ca="1" si="38"/>
        <v>33</v>
      </c>
      <c r="M125" s="1"/>
      <c r="N125" s="1">
        <f t="shared" ca="1" si="39"/>
        <v>741</v>
      </c>
      <c r="O125" s="1">
        <f t="shared" ca="1" si="40"/>
        <v>43</v>
      </c>
      <c r="P125" s="1"/>
      <c r="Q125" s="1">
        <f t="shared" ca="1" si="41"/>
        <v>1.7354983238879551</v>
      </c>
      <c r="R125" s="1">
        <f t="shared" ca="1" si="42"/>
        <v>586</v>
      </c>
      <c r="S125" s="1"/>
      <c r="T125" s="1">
        <f t="shared" ca="1" si="43"/>
        <v>2.3827812699381196E-2</v>
      </c>
      <c r="U125" s="1">
        <f t="shared" ca="1" si="44"/>
        <v>423</v>
      </c>
      <c r="V125" s="1">
        <f t="shared" ca="1" si="45"/>
        <v>49</v>
      </c>
      <c r="W125" s="1"/>
      <c r="X125" s="1">
        <f t="shared" ca="1" si="46"/>
        <v>2.2666523071498288</v>
      </c>
      <c r="Y125" s="1">
        <f t="shared" ca="1" si="47"/>
        <v>0.48664648087764623</v>
      </c>
      <c r="Z125" s="1">
        <f t="shared" ca="1" si="48"/>
        <v>1229</v>
      </c>
      <c r="AB125" s="1">
        <f t="shared" ca="1" si="49"/>
        <v>0.74588308693182348</v>
      </c>
      <c r="AC125" s="1">
        <f t="shared" ca="1" si="50"/>
        <v>296</v>
      </c>
      <c r="AD125" s="1">
        <f t="shared" ca="1" si="51"/>
        <v>5.9258528936900721E-3</v>
      </c>
      <c r="AE125" s="1"/>
      <c r="AF125" s="1">
        <f t="shared" ca="1" si="52"/>
        <v>0.70091021907194473</v>
      </c>
      <c r="AG125" s="1">
        <f t="shared" ca="1" si="53"/>
        <v>306</v>
      </c>
      <c r="AH125" s="1">
        <f t="shared" ca="1" si="54"/>
        <v>9.6912962016340969E-3</v>
      </c>
      <c r="AJ125" s="1">
        <f t="shared" ca="1" si="55"/>
        <v>0.28390590671343507</v>
      </c>
      <c r="AK125" s="1">
        <f t="shared" ca="1" si="56"/>
        <v>6.1000082919092967E-3</v>
      </c>
      <c r="AL125" s="1"/>
      <c r="AM125" s="1">
        <f t="shared" ca="1" si="57"/>
        <v>0.18715307021903613</v>
      </c>
      <c r="AN125" s="1">
        <f t="shared" ca="1" si="58"/>
        <v>48</v>
      </c>
      <c r="AO125" s="1">
        <f t="shared" ca="1" si="59"/>
        <v>14</v>
      </c>
    </row>
    <row r="126" spans="2:41" x14ac:dyDescent="0.25">
      <c r="B126">
        <f t="shared" ca="1" si="30"/>
        <v>752</v>
      </c>
      <c r="C126">
        <f t="shared" ca="1" si="31"/>
        <v>52</v>
      </c>
      <c r="D126">
        <f t="shared" ca="1" si="32"/>
        <v>9.5470615638446263E-2</v>
      </c>
      <c r="F126" s="1">
        <f t="shared" ca="1" si="33"/>
        <v>48</v>
      </c>
      <c r="G126" s="1">
        <f t="shared" ca="1" si="34"/>
        <v>22</v>
      </c>
      <c r="H126" s="1">
        <f t="shared" ca="1" si="35"/>
        <v>9</v>
      </c>
      <c r="I126" s="1"/>
      <c r="J126" s="1">
        <f t="shared" ca="1" si="36"/>
        <v>9</v>
      </c>
      <c r="K126" s="1">
        <f t="shared" ca="1" si="37"/>
        <v>1.4980502173033283</v>
      </c>
      <c r="L126" s="1">
        <f t="shared" ca="1" si="38"/>
        <v>5</v>
      </c>
      <c r="M126" s="1"/>
      <c r="N126" s="1">
        <f t="shared" ca="1" si="39"/>
        <v>467</v>
      </c>
      <c r="O126" s="1">
        <f t="shared" ca="1" si="40"/>
        <v>22</v>
      </c>
      <c r="P126" s="1"/>
      <c r="Q126" s="1">
        <f t="shared" ca="1" si="41"/>
        <v>4.7810366288180752</v>
      </c>
      <c r="R126" s="1">
        <f t="shared" ca="1" si="42"/>
        <v>930</v>
      </c>
      <c r="S126" s="1"/>
      <c r="T126" s="1">
        <f t="shared" ca="1" si="43"/>
        <v>0.15406329096966714</v>
      </c>
      <c r="U126" s="1">
        <f t="shared" ca="1" si="44"/>
        <v>282</v>
      </c>
      <c r="V126" s="1">
        <f t="shared" ca="1" si="45"/>
        <v>18</v>
      </c>
      <c r="W126" s="1"/>
      <c r="X126" s="1">
        <f t="shared" ca="1" si="46"/>
        <v>1.2643842335201092</v>
      </c>
      <c r="Y126" s="1">
        <f t="shared" ca="1" si="47"/>
        <v>9.1377942813417753E-2</v>
      </c>
      <c r="Z126" s="1">
        <f t="shared" ca="1" si="48"/>
        <v>383</v>
      </c>
      <c r="AB126" s="1">
        <f t="shared" ca="1" si="49"/>
        <v>0.97160146570577</v>
      </c>
      <c r="AC126" s="1">
        <f t="shared" ca="1" si="50"/>
        <v>417</v>
      </c>
      <c r="AD126" s="1">
        <f t="shared" ca="1" si="51"/>
        <v>9.3191599902873422E-3</v>
      </c>
      <c r="AE126" s="1"/>
      <c r="AF126" s="1">
        <f t="shared" ca="1" si="52"/>
        <v>0.79768497111374026</v>
      </c>
      <c r="AG126" s="1">
        <f t="shared" ca="1" si="53"/>
        <v>384</v>
      </c>
      <c r="AH126" s="1">
        <f t="shared" ca="1" si="54"/>
        <v>5.7969163180042063E-3</v>
      </c>
      <c r="AJ126" s="1">
        <f t="shared" ca="1" si="55"/>
        <v>0.78473327385756708</v>
      </c>
      <c r="AK126" s="1">
        <f t="shared" ca="1" si="56"/>
        <v>9.9935389691628278E-3</v>
      </c>
      <c r="AL126" s="1"/>
      <c r="AM126" s="1">
        <f t="shared" ca="1" si="57"/>
        <v>6.9452891409435957E-3</v>
      </c>
      <c r="AN126" s="1">
        <f t="shared" ca="1" si="58"/>
        <v>75</v>
      </c>
      <c r="AO126" s="1">
        <f t="shared" ca="1" si="59"/>
        <v>13</v>
      </c>
    </row>
    <row r="127" spans="2:41" x14ac:dyDescent="0.25">
      <c r="B127">
        <f t="shared" ca="1" si="30"/>
        <v>475</v>
      </c>
      <c r="C127">
        <f t="shared" ca="1" si="31"/>
        <v>15</v>
      </c>
      <c r="D127">
        <f t="shared" ca="1" si="32"/>
        <v>0.23676310227469435</v>
      </c>
      <c r="F127" s="1">
        <f t="shared" ca="1" si="33"/>
        <v>29</v>
      </c>
      <c r="G127" s="1">
        <f t="shared" ca="1" si="34"/>
        <v>13</v>
      </c>
      <c r="H127" s="1">
        <f t="shared" ca="1" si="35"/>
        <v>15</v>
      </c>
      <c r="I127" s="1"/>
      <c r="J127" s="1">
        <f t="shared" ca="1" si="36"/>
        <v>31</v>
      </c>
      <c r="K127" s="1">
        <f t="shared" ca="1" si="37"/>
        <v>1.177939861973575</v>
      </c>
      <c r="L127" s="1">
        <f t="shared" ca="1" si="38"/>
        <v>17</v>
      </c>
      <c r="M127" s="1"/>
      <c r="N127" s="1">
        <f t="shared" ca="1" si="39"/>
        <v>856</v>
      </c>
      <c r="O127" s="1">
        <f t="shared" ca="1" si="40"/>
        <v>15</v>
      </c>
      <c r="P127" s="1"/>
      <c r="Q127" s="1">
        <f t="shared" ca="1" si="41"/>
        <v>4.1062363876761712</v>
      </c>
      <c r="R127" s="1">
        <f t="shared" ca="1" si="42"/>
        <v>289</v>
      </c>
      <c r="S127" s="1"/>
      <c r="T127" s="1">
        <f t="shared" ca="1" si="43"/>
        <v>0.14087292708018176</v>
      </c>
      <c r="U127" s="1">
        <f t="shared" ca="1" si="44"/>
        <v>231</v>
      </c>
      <c r="V127" s="1">
        <f t="shared" ca="1" si="45"/>
        <v>31</v>
      </c>
      <c r="W127" s="1"/>
      <c r="X127" s="1">
        <f t="shared" ca="1" si="46"/>
        <v>8.019671347153503</v>
      </c>
      <c r="Y127" s="1">
        <f t="shared" ca="1" si="47"/>
        <v>0.30247493048547652</v>
      </c>
      <c r="Z127" s="1">
        <f t="shared" ca="1" si="48"/>
        <v>806</v>
      </c>
      <c r="AB127" s="1">
        <f t="shared" ca="1" si="49"/>
        <v>0.28362696875457188</v>
      </c>
      <c r="AC127" s="1">
        <f t="shared" ca="1" si="50"/>
        <v>397</v>
      </c>
      <c r="AD127" s="1">
        <f t="shared" ca="1" si="51"/>
        <v>4.3546788465381606E-3</v>
      </c>
      <c r="AE127" s="1"/>
      <c r="AF127" s="1">
        <f t="shared" ca="1" si="52"/>
        <v>0.54097238487425525</v>
      </c>
      <c r="AG127" s="1">
        <f t="shared" ca="1" si="53"/>
        <v>291</v>
      </c>
      <c r="AH127" s="1">
        <f t="shared" ca="1" si="54"/>
        <v>4.3870757518436789E-4</v>
      </c>
      <c r="AJ127" s="1">
        <f t="shared" ca="1" si="55"/>
        <v>0.62266667747409854</v>
      </c>
      <c r="AK127" s="1">
        <f t="shared" ca="1" si="56"/>
        <v>4.7528924910044262E-3</v>
      </c>
      <c r="AL127" s="1"/>
      <c r="AM127" s="1">
        <f t="shared" ca="1" si="57"/>
        <v>0.14479031879278428</v>
      </c>
      <c r="AN127" s="1">
        <f t="shared" ca="1" si="58"/>
        <v>50</v>
      </c>
      <c r="AO127" s="1">
        <f t="shared" ca="1" si="59"/>
        <v>-1</v>
      </c>
    </row>
    <row r="128" spans="2:41" x14ac:dyDescent="0.25">
      <c r="B128">
        <f t="shared" ca="1" si="30"/>
        <v>141</v>
      </c>
      <c r="C128">
        <f t="shared" ca="1" si="31"/>
        <v>26</v>
      </c>
      <c r="D128">
        <f t="shared" ca="1" si="32"/>
        <v>0.28871377720316316</v>
      </c>
      <c r="F128" s="1">
        <f t="shared" ca="1" si="33"/>
        <v>51</v>
      </c>
      <c r="G128" s="1">
        <f t="shared" ca="1" si="34"/>
        <v>15</v>
      </c>
      <c r="H128" s="1">
        <f t="shared" ca="1" si="35"/>
        <v>9</v>
      </c>
      <c r="I128" s="1"/>
      <c r="J128" s="1">
        <f t="shared" ca="1" si="36"/>
        <v>24</v>
      </c>
      <c r="K128" s="1">
        <f t="shared" ca="1" si="37"/>
        <v>2.4280073437746257</v>
      </c>
      <c r="L128" s="1">
        <f t="shared" ca="1" si="38"/>
        <v>9</v>
      </c>
      <c r="M128" s="1"/>
      <c r="N128" s="1">
        <f t="shared" ca="1" si="39"/>
        <v>286</v>
      </c>
      <c r="O128" s="1">
        <f t="shared" ca="1" si="40"/>
        <v>28</v>
      </c>
      <c r="P128" s="1"/>
      <c r="Q128" s="1">
        <f t="shared" ca="1" si="41"/>
        <v>0.63594176449408024</v>
      </c>
      <c r="R128" s="1">
        <f t="shared" ca="1" si="42"/>
        <v>535</v>
      </c>
      <c r="S128" s="1"/>
      <c r="T128" s="1">
        <f t="shared" ca="1" si="43"/>
        <v>4.0577154619054409E-2</v>
      </c>
      <c r="U128" s="1">
        <f t="shared" ca="1" si="44"/>
        <v>212</v>
      </c>
      <c r="V128" s="1">
        <f t="shared" ca="1" si="45"/>
        <v>10</v>
      </c>
      <c r="W128" s="1"/>
      <c r="X128" s="1">
        <f t="shared" ca="1" si="46"/>
        <v>4.2076516426425803</v>
      </c>
      <c r="Y128" s="1">
        <f t="shared" ca="1" si="47"/>
        <v>0.59175159362463869</v>
      </c>
      <c r="Z128" s="1">
        <f t="shared" ca="1" si="48"/>
        <v>781</v>
      </c>
      <c r="AB128" s="1">
        <f t="shared" ca="1" si="49"/>
        <v>0.98213059618724674</v>
      </c>
      <c r="AC128" s="1">
        <f t="shared" ca="1" si="50"/>
        <v>296</v>
      </c>
      <c r="AD128" s="1">
        <f t="shared" ca="1" si="51"/>
        <v>6.0145362847448623E-3</v>
      </c>
      <c r="AE128" s="1"/>
      <c r="AF128" s="1">
        <f t="shared" ca="1" si="52"/>
        <v>0.73518872518054257</v>
      </c>
      <c r="AG128" s="1">
        <f t="shared" ca="1" si="53"/>
        <v>678</v>
      </c>
      <c r="AH128" s="1">
        <f t="shared" ca="1" si="54"/>
        <v>9.3222816869931516E-3</v>
      </c>
      <c r="AJ128" s="1">
        <f t="shared" ca="1" si="55"/>
        <v>0.52162400063130132</v>
      </c>
      <c r="AK128" s="1">
        <f t="shared" ca="1" si="56"/>
        <v>3.1740521384562115E-3</v>
      </c>
      <c r="AL128" s="1"/>
      <c r="AM128" s="1">
        <f t="shared" ca="1" si="57"/>
        <v>5.1372112075942722E-2</v>
      </c>
      <c r="AN128" s="1">
        <f t="shared" ca="1" si="58"/>
        <v>11</v>
      </c>
      <c r="AO128" s="1">
        <f t="shared" ca="1" si="59"/>
        <v>6</v>
      </c>
    </row>
    <row r="129" spans="2:41" x14ac:dyDescent="0.25">
      <c r="B129">
        <f t="shared" ca="1" si="30"/>
        <v>206</v>
      </c>
      <c r="C129">
        <f t="shared" ca="1" si="31"/>
        <v>48</v>
      </c>
      <c r="D129">
        <f t="shared" ca="1" si="32"/>
        <v>0.12582138655634212</v>
      </c>
      <c r="F129" s="1">
        <f t="shared" ca="1" si="33"/>
        <v>23</v>
      </c>
      <c r="G129" s="1">
        <f t="shared" ca="1" si="34"/>
        <v>4</v>
      </c>
      <c r="H129" s="1">
        <f t="shared" ca="1" si="35"/>
        <v>8</v>
      </c>
      <c r="I129" s="1"/>
      <c r="J129" s="1">
        <f t="shared" ca="1" si="36"/>
        <v>29</v>
      </c>
      <c r="K129" s="1">
        <f t="shared" ca="1" si="37"/>
        <v>1.9884215898099495</v>
      </c>
      <c r="L129" s="1">
        <f t="shared" ca="1" si="38"/>
        <v>10</v>
      </c>
      <c r="M129" s="1"/>
      <c r="N129" s="1">
        <f t="shared" ca="1" si="39"/>
        <v>934</v>
      </c>
      <c r="O129" s="1">
        <f t="shared" ca="1" si="40"/>
        <v>33</v>
      </c>
      <c r="P129" s="1"/>
      <c r="Q129" s="1">
        <f t="shared" ca="1" si="41"/>
        <v>4.3406027189054806</v>
      </c>
      <c r="R129" s="1">
        <f t="shared" ca="1" si="42"/>
        <v>1075</v>
      </c>
      <c r="S129" s="1"/>
      <c r="T129" s="1">
        <f t="shared" ca="1" si="43"/>
        <v>0.125365533642781</v>
      </c>
      <c r="U129" s="1">
        <f t="shared" ca="1" si="44"/>
        <v>358</v>
      </c>
      <c r="V129" s="1">
        <f t="shared" ca="1" si="45"/>
        <v>50</v>
      </c>
      <c r="W129" s="1"/>
      <c r="X129" s="1">
        <f t="shared" ca="1" si="46"/>
        <v>7.9825206345875861</v>
      </c>
      <c r="Y129" s="1">
        <f t="shared" ca="1" si="47"/>
        <v>0.67236695273625335</v>
      </c>
      <c r="Z129" s="1">
        <f t="shared" ca="1" si="48"/>
        <v>1240</v>
      </c>
      <c r="AB129" s="1">
        <f t="shared" ca="1" si="49"/>
        <v>0.91553946330870506</v>
      </c>
      <c r="AC129" s="1">
        <f t="shared" ca="1" si="50"/>
        <v>260</v>
      </c>
      <c r="AD129" s="1">
        <f t="shared" ca="1" si="51"/>
        <v>8.909810121107458E-3</v>
      </c>
      <c r="AE129" s="1"/>
      <c r="AF129" s="1">
        <f t="shared" ca="1" si="52"/>
        <v>0.69473813612354884</v>
      </c>
      <c r="AG129" s="1">
        <f t="shared" ca="1" si="53"/>
        <v>670</v>
      </c>
      <c r="AH129" s="1">
        <f t="shared" ca="1" si="54"/>
        <v>2.61971921453602E-3</v>
      </c>
      <c r="AJ129" s="1">
        <f t="shared" ca="1" si="55"/>
        <v>0.20817045269095991</v>
      </c>
      <c r="AK129" s="1">
        <f t="shared" ca="1" si="56"/>
        <v>3.6479279432820254E-3</v>
      </c>
      <c r="AL129" s="1"/>
      <c r="AM129" s="1">
        <f t="shared" ca="1" si="57"/>
        <v>9.7560256084975441E-2</v>
      </c>
      <c r="AN129" s="1">
        <f t="shared" ca="1" si="58"/>
        <v>12</v>
      </c>
      <c r="AO129" s="1">
        <f t="shared" ca="1" si="59"/>
        <v>9</v>
      </c>
    </row>
    <row r="130" spans="2:41" x14ac:dyDescent="0.25">
      <c r="B130">
        <f t="shared" ca="1" si="30"/>
        <v>336</v>
      </c>
      <c r="C130">
        <f t="shared" ca="1" si="31"/>
        <v>40</v>
      </c>
      <c r="D130">
        <f t="shared" ca="1" si="32"/>
        <v>7.9837035889390492E-2</v>
      </c>
      <c r="F130" s="1">
        <f t="shared" ca="1" si="33"/>
        <v>20</v>
      </c>
      <c r="G130" s="1">
        <f t="shared" ca="1" si="34"/>
        <v>15</v>
      </c>
      <c r="H130" s="1">
        <f t="shared" ca="1" si="35"/>
        <v>14</v>
      </c>
      <c r="I130" s="1"/>
      <c r="J130" s="1">
        <f t="shared" ca="1" si="36"/>
        <v>29</v>
      </c>
      <c r="K130" s="1">
        <f t="shared" ca="1" si="37"/>
        <v>1.2019453902574777</v>
      </c>
      <c r="L130" s="1">
        <f t="shared" ca="1" si="38"/>
        <v>33</v>
      </c>
      <c r="M130" s="1"/>
      <c r="N130" s="1">
        <f t="shared" ca="1" si="39"/>
        <v>171</v>
      </c>
      <c r="O130" s="1">
        <f t="shared" ca="1" si="40"/>
        <v>24</v>
      </c>
      <c r="P130" s="1"/>
      <c r="Q130" s="1">
        <f t="shared" ca="1" si="41"/>
        <v>1.6119275231599302</v>
      </c>
      <c r="R130" s="1">
        <f t="shared" ca="1" si="42"/>
        <v>295</v>
      </c>
      <c r="S130" s="1"/>
      <c r="T130" s="1">
        <f t="shared" ca="1" si="43"/>
        <v>0.19555388360368703</v>
      </c>
      <c r="U130" s="1">
        <f t="shared" ca="1" si="44"/>
        <v>370</v>
      </c>
      <c r="V130" s="1">
        <f t="shared" ca="1" si="45"/>
        <v>52</v>
      </c>
      <c r="W130" s="1"/>
      <c r="X130" s="1">
        <f t="shared" ca="1" si="46"/>
        <v>6.5316552624292203</v>
      </c>
      <c r="Y130" s="1">
        <f t="shared" ca="1" si="47"/>
        <v>0.50209052083851247</v>
      </c>
      <c r="Z130" s="1">
        <f t="shared" ca="1" si="48"/>
        <v>503</v>
      </c>
      <c r="AB130" s="1">
        <f t="shared" ca="1" si="49"/>
        <v>0.22286283420368055</v>
      </c>
      <c r="AC130" s="1">
        <f t="shared" ca="1" si="50"/>
        <v>618</v>
      </c>
      <c r="AD130" s="1">
        <f t="shared" ca="1" si="51"/>
        <v>9.2178411423976085E-3</v>
      </c>
      <c r="AE130" s="1"/>
      <c r="AF130" s="1">
        <f t="shared" ca="1" si="52"/>
        <v>0.69443269228053406</v>
      </c>
      <c r="AG130" s="1">
        <f t="shared" ca="1" si="53"/>
        <v>301</v>
      </c>
      <c r="AH130" s="1">
        <f t="shared" ca="1" si="54"/>
        <v>7.0240552840669457E-3</v>
      </c>
      <c r="AJ130" s="1">
        <f t="shared" ca="1" si="55"/>
        <v>0.53606915459090632</v>
      </c>
      <c r="AK130" s="1">
        <f t="shared" ca="1" si="56"/>
        <v>4.3364671605882112E-3</v>
      </c>
      <c r="AL130" s="1"/>
      <c r="AM130" s="1">
        <f t="shared" ca="1" si="57"/>
        <v>6.6049717970390165E-2</v>
      </c>
      <c r="AN130" s="1">
        <f t="shared" ca="1" si="58"/>
        <v>79</v>
      </c>
      <c r="AO130" s="1">
        <f t="shared" ca="1" si="59"/>
        <v>11</v>
      </c>
    </row>
    <row r="131" spans="2:41" x14ac:dyDescent="0.25">
      <c r="B131">
        <f t="shared" ca="1" si="30"/>
        <v>532</v>
      </c>
      <c r="C131">
        <f t="shared" ca="1" si="31"/>
        <v>52</v>
      </c>
      <c r="D131">
        <f t="shared" ca="1" si="32"/>
        <v>0.24289789125492775</v>
      </c>
      <c r="F131" s="1">
        <f t="shared" ca="1" si="33"/>
        <v>5</v>
      </c>
      <c r="G131" s="1">
        <f t="shared" ca="1" si="34"/>
        <v>25</v>
      </c>
      <c r="H131" s="1">
        <f t="shared" ca="1" si="35"/>
        <v>14</v>
      </c>
      <c r="I131" s="1"/>
      <c r="J131" s="1">
        <f t="shared" ca="1" si="36"/>
        <v>19</v>
      </c>
      <c r="K131" s="1">
        <f t="shared" ca="1" si="37"/>
        <v>1.1542509720620149</v>
      </c>
      <c r="L131" s="1">
        <f t="shared" ca="1" si="38"/>
        <v>7</v>
      </c>
      <c r="M131" s="1"/>
      <c r="N131" s="1">
        <f t="shared" ca="1" si="39"/>
        <v>246</v>
      </c>
      <c r="O131" s="1">
        <f t="shared" ca="1" si="40"/>
        <v>37</v>
      </c>
      <c r="P131" s="1"/>
      <c r="Q131" s="1">
        <f t="shared" ca="1" si="41"/>
        <v>3.3940308462083779</v>
      </c>
      <c r="R131" s="1">
        <f t="shared" ca="1" si="42"/>
        <v>600</v>
      </c>
      <c r="S131" s="1"/>
      <c r="T131" s="1">
        <f t="shared" ca="1" si="43"/>
        <v>0.15401281400976757</v>
      </c>
      <c r="U131" s="1">
        <f t="shared" ca="1" si="44"/>
        <v>144</v>
      </c>
      <c r="V131" s="1">
        <f t="shared" ca="1" si="45"/>
        <v>17</v>
      </c>
      <c r="W131" s="1"/>
      <c r="X131" s="1">
        <f t="shared" ca="1" si="46"/>
        <v>6.686966962578623</v>
      </c>
      <c r="Y131" s="1">
        <f t="shared" ca="1" si="47"/>
        <v>0.82614078215189646</v>
      </c>
      <c r="Z131" s="1">
        <f t="shared" ca="1" si="48"/>
        <v>1255</v>
      </c>
      <c r="AB131" s="1">
        <f t="shared" ca="1" si="49"/>
        <v>0.48064385568858492</v>
      </c>
      <c r="AC131" s="1">
        <f t="shared" ca="1" si="50"/>
        <v>322</v>
      </c>
      <c r="AD131" s="1">
        <f t="shared" ca="1" si="51"/>
        <v>4.0309163536617161E-3</v>
      </c>
      <c r="AE131" s="1"/>
      <c r="AF131" s="1">
        <f t="shared" ca="1" si="52"/>
        <v>0.77481473982407578</v>
      </c>
      <c r="AG131" s="1">
        <f t="shared" ca="1" si="53"/>
        <v>130</v>
      </c>
      <c r="AH131" s="1">
        <f t="shared" ca="1" si="54"/>
        <v>1.3672774983620871E-3</v>
      </c>
      <c r="AJ131" s="1">
        <f t="shared" ca="1" si="55"/>
        <v>0.11188078325933093</v>
      </c>
      <c r="AK131" s="1">
        <f t="shared" ca="1" si="56"/>
        <v>3.4243067553126599E-3</v>
      </c>
      <c r="AL131" s="1"/>
      <c r="AM131" s="1">
        <f t="shared" ca="1" si="57"/>
        <v>9.9339815424736091E-2</v>
      </c>
      <c r="AN131" s="1">
        <f t="shared" ca="1" si="58"/>
        <v>48</v>
      </c>
      <c r="AO131" s="1">
        <f t="shared" ca="1" si="59"/>
        <v>14</v>
      </c>
    </row>
    <row r="132" spans="2:41" x14ac:dyDescent="0.25">
      <c r="B132">
        <f t="shared" ref="B132:B195" ca="1" si="60">RANDBETWEEN(15,1000)</f>
        <v>311</v>
      </c>
      <c r="C132">
        <f t="shared" ref="C132:C195" ca="1" si="61">RANDBETWEEN(2,52)</f>
        <v>16</v>
      </c>
      <c r="D132">
        <f t="shared" ref="D132:D195" ca="1" si="62">RAND()*(0.3-0.01)+0.01</f>
        <v>9.0871882828266567E-2</v>
      </c>
      <c r="F132" s="1">
        <f t="shared" ref="F132:F195" ca="1" si="63">RANDBETWEEN(2,52)</f>
        <v>24</v>
      </c>
      <c r="G132" s="1">
        <f t="shared" ref="G132:G195" ca="1" si="64">RANDBETWEEN(2,30)</f>
        <v>29</v>
      </c>
      <c r="H132" s="1">
        <f t="shared" ref="H132:H195" ca="1" si="65">RANDBETWEEN(1,15)</f>
        <v>10</v>
      </c>
      <c r="I132" s="1"/>
      <c r="J132" s="1">
        <f t="shared" ref="J132:J195" ca="1" si="66">RANDBETWEEN(1,39)</f>
        <v>17</v>
      </c>
      <c r="K132" s="1">
        <f t="shared" ref="K132:K195" ca="1" si="67">RAND()*(3-1)+1</f>
        <v>1.1252213486069189</v>
      </c>
      <c r="L132" s="1">
        <f t="shared" ref="L132:L195" ca="1" si="68">RANDBETWEEN(2,35)</f>
        <v>28</v>
      </c>
      <c r="M132" s="1"/>
      <c r="N132" s="1">
        <f t="shared" ref="N132:N195" ca="1" si="69">RANDBETWEEN(15,1000)</f>
        <v>756</v>
      </c>
      <c r="O132" s="1">
        <f t="shared" ref="O132:O195" ca="1" si="70">RANDBETWEEN(2,52)</f>
        <v>22</v>
      </c>
      <c r="P132" s="1"/>
      <c r="Q132" s="1">
        <f t="shared" ref="Q132:Q195" ca="1" si="71">RAND()*(5-0.01)+0.01</f>
        <v>4.0398780249113377</v>
      </c>
      <c r="R132" s="1">
        <f t="shared" ref="R132:R195" ca="1" si="72">RANDBETWEEN(200,1200)</f>
        <v>711</v>
      </c>
      <c r="S132" s="1"/>
      <c r="T132" s="1">
        <f t="shared" ref="T132:T195" ca="1" si="73">RAND()*(0.2-0.01)+0.01</f>
        <v>0.12274695051978744</v>
      </c>
      <c r="U132" s="1">
        <f t="shared" ref="U132:U195" ca="1" si="74">RANDBETWEEN(50,450)</f>
        <v>58</v>
      </c>
      <c r="V132" s="1">
        <f t="shared" ref="V132:V195" ca="1" si="75">RANDBETWEEN(2,52)</f>
        <v>51</v>
      </c>
      <c r="W132" s="1"/>
      <c r="X132" s="1">
        <f t="shared" ref="X132:X195" ca="1" si="76">RAND()*(10-0.01)+0.01</f>
        <v>1.7559751681135771</v>
      </c>
      <c r="Y132" s="1">
        <f t="shared" ref="Y132:Y195" ca="1" si="77">RAND()*(1-0.0001)+0.0001</f>
        <v>0.42584144331271945</v>
      </c>
      <c r="Z132" s="1">
        <f t="shared" ref="Z132:Z195" ca="1" si="78">RANDBETWEEN(100,2000)</f>
        <v>1856</v>
      </c>
      <c r="AB132" s="1">
        <f t="shared" ref="AB132:AB195" ca="1" si="79">RAND()*(1-0.0001)+0.0001</f>
        <v>0.44641133234528879</v>
      </c>
      <c r="AC132" s="1">
        <f t="shared" ref="AC132:AC195" ca="1" si="80">RANDBETWEEN(100,1000)</f>
        <v>476</v>
      </c>
      <c r="AD132" s="1">
        <f t="shared" ref="AD132:AD195" ca="1" si="81">RAND()*(0.01-0.00001)+0.00001</f>
        <v>6.3527629195764485E-3</v>
      </c>
      <c r="AE132" s="1"/>
      <c r="AF132" s="1">
        <f t="shared" ref="AF132:AF195" ca="1" si="82">RAND()*(0.9-0.1)+0.1</f>
        <v>0.85426125820534782</v>
      </c>
      <c r="AG132" s="1">
        <f t="shared" ref="AG132:AG195" ca="1" si="83">RANDBETWEEN(100,1000)</f>
        <v>220</v>
      </c>
      <c r="AH132" s="1">
        <f t="shared" ref="AH132:AH195" ca="1" si="84">RAND()*(0.01-0.00001)+0.00001</f>
        <v>4.3990934183184699E-3</v>
      </c>
      <c r="AJ132" s="1">
        <f t="shared" ref="AJ132:AJ195" ca="1" si="85">RAND()*(1-0)+0</f>
        <v>0.99027864852617609</v>
      </c>
      <c r="AK132" s="1">
        <f t="shared" ref="AK132:AK195" ca="1" si="86">RAND()*(0.01-0.00001)+0.00001</f>
        <v>8.5443152143179694E-4</v>
      </c>
      <c r="AL132" s="1"/>
      <c r="AM132" s="1">
        <f t="shared" ref="AM132:AM195" ca="1" si="87">RAND()*(0.2-0.005)+0.005</f>
        <v>3.4120031888724159E-2</v>
      </c>
      <c r="AN132" s="1">
        <f t="shared" ref="AN132:AN195" ca="1" si="88">RANDBETWEEN(10,80)</f>
        <v>24</v>
      </c>
      <c r="AO132" s="1">
        <f t="shared" ref="AO132:AO195" ca="1" si="89">RANDBETWEEN(-1,20)</f>
        <v>17</v>
      </c>
    </row>
    <row r="133" spans="2:41" x14ac:dyDescent="0.25">
      <c r="B133">
        <f t="shared" ca="1" si="60"/>
        <v>126</v>
      </c>
      <c r="C133">
        <f t="shared" ca="1" si="61"/>
        <v>13</v>
      </c>
      <c r="D133">
        <f t="shared" ca="1" si="62"/>
        <v>0.2064327701528561</v>
      </c>
      <c r="F133" s="1">
        <f t="shared" ca="1" si="63"/>
        <v>9</v>
      </c>
      <c r="G133" s="1">
        <f t="shared" ca="1" si="64"/>
        <v>18</v>
      </c>
      <c r="H133" s="1">
        <f t="shared" ca="1" si="65"/>
        <v>12</v>
      </c>
      <c r="I133" s="1"/>
      <c r="J133" s="1">
        <f t="shared" ca="1" si="66"/>
        <v>24</v>
      </c>
      <c r="K133" s="1">
        <f t="shared" ca="1" si="67"/>
        <v>1.8110439222344601</v>
      </c>
      <c r="L133" s="1">
        <f t="shared" ca="1" si="68"/>
        <v>22</v>
      </c>
      <c r="M133" s="1"/>
      <c r="N133" s="1">
        <f t="shared" ca="1" si="69"/>
        <v>441</v>
      </c>
      <c r="O133" s="1">
        <f t="shared" ca="1" si="70"/>
        <v>16</v>
      </c>
      <c r="P133" s="1"/>
      <c r="Q133" s="1">
        <f t="shared" ca="1" si="71"/>
        <v>0.33605489076474065</v>
      </c>
      <c r="R133" s="1">
        <f t="shared" ca="1" si="72"/>
        <v>956</v>
      </c>
      <c r="S133" s="1"/>
      <c r="T133" s="1">
        <f t="shared" ca="1" si="73"/>
        <v>1.3089402857665279E-2</v>
      </c>
      <c r="U133" s="1">
        <f t="shared" ca="1" si="74"/>
        <v>277</v>
      </c>
      <c r="V133" s="1">
        <f t="shared" ca="1" si="75"/>
        <v>49</v>
      </c>
      <c r="W133" s="1"/>
      <c r="X133" s="1">
        <f t="shared" ca="1" si="76"/>
        <v>5.0086080425649806</v>
      </c>
      <c r="Y133" s="1">
        <f t="shared" ca="1" si="77"/>
        <v>0.32281079989617922</v>
      </c>
      <c r="Z133" s="1">
        <f t="shared" ca="1" si="78"/>
        <v>1092</v>
      </c>
      <c r="AB133" s="1">
        <f t="shared" ca="1" si="79"/>
        <v>0.87376496682592486</v>
      </c>
      <c r="AC133" s="1">
        <f t="shared" ca="1" si="80"/>
        <v>194</v>
      </c>
      <c r="AD133" s="1">
        <f t="shared" ca="1" si="81"/>
        <v>7.4638358865056287E-3</v>
      </c>
      <c r="AE133" s="1"/>
      <c r="AF133" s="1">
        <f t="shared" ca="1" si="82"/>
        <v>0.53189749486101356</v>
      </c>
      <c r="AG133" s="1">
        <f t="shared" ca="1" si="83"/>
        <v>991</v>
      </c>
      <c r="AH133" s="1">
        <f t="shared" ca="1" si="84"/>
        <v>2.3571902432986242E-3</v>
      </c>
      <c r="AJ133" s="1">
        <f t="shared" ca="1" si="85"/>
        <v>9.0779814422243366E-2</v>
      </c>
      <c r="AK133" s="1">
        <f t="shared" ca="1" si="86"/>
        <v>2.5191489281994935E-3</v>
      </c>
      <c r="AL133" s="1"/>
      <c r="AM133" s="1">
        <f t="shared" ca="1" si="87"/>
        <v>7.1322187929866998E-2</v>
      </c>
      <c r="AN133" s="1">
        <f t="shared" ca="1" si="88"/>
        <v>42</v>
      </c>
      <c r="AO133" s="1">
        <f t="shared" ca="1" si="89"/>
        <v>4</v>
      </c>
    </row>
    <row r="134" spans="2:41" x14ac:dyDescent="0.25">
      <c r="B134">
        <f t="shared" ca="1" si="60"/>
        <v>833</v>
      </c>
      <c r="C134">
        <f t="shared" ca="1" si="61"/>
        <v>31</v>
      </c>
      <c r="D134">
        <f t="shared" ca="1" si="62"/>
        <v>0.21342767135980317</v>
      </c>
      <c r="F134" s="1">
        <f t="shared" ca="1" si="63"/>
        <v>24</v>
      </c>
      <c r="G134" s="1">
        <f t="shared" ca="1" si="64"/>
        <v>23</v>
      </c>
      <c r="H134" s="1">
        <f t="shared" ca="1" si="65"/>
        <v>3</v>
      </c>
      <c r="I134" s="1"/>
      <c r="J134" s="1">
        <f t="shared" ca="1" si="66"/>
        <v>20</v>
      </c>
      <c r="K134" s="1">
        <f t="shared" ca="1" si="67"/>
        <v>2.0431106608708034</v>
      </c>
      <c r="L134" s="1">
        <f t="shared" ca="1" si="68"/>
        <v>6</v>
      </c>
      <c r="M134" s="1"/>
      <c r="N134" s="1">
        <f t="shared" ca="1" si="69"/>
        <v>847</v>
      </c>
      <c r="O134" s="1">
        <f t="shared" ca="1" si="70"/>
        <v>7</v>
      </c>
      <c r="P134" s="1"/>
      <c r="Q134" s="1">
        <f t="shared" ca="1" si="71"/>
        <v>2.1731721709025895</v>
      </c>
      <c r="R134" s="1">
        <f t="shared" ca="1" si="72"/>
        <v>305</v>
      </c>
      <c r="S134" s="1"/>
      <c r="T134" s="1">
        <f t="shared" ca="1" si="73"/>
        <v>3.0095419479824359E-2</v>
      </c>
      <c r="U134" s="1">
        <f t="shared" ca="1" si="74"/>
        <v>181</v>
      </c>
      <c r="V134" s="1">
        <f t="shared" ca="1" si="75"/>
        <v>7</v>
      </c>
      <c r="W134" s="1"/>
      <c r="X134" s="1">
        <f t="shared" ca="1" si="76"/>
        <v>5.9656054593400176</v>
      </c>
      <c r="Y134" s="1">
        <f t="shared" ca="1" si="77"/>
        <v>0.71833235029946263</v>
      </c>
      <c r="Z134" s="1">
        <f t="shared" ca="1" si="78"/>
        <v>1364</v>
      </c>
      <c r="AB134" s="1">
        <f t="shared" ca="1" si="79"/>
        <v>0.27289522767642632</v>
      </c>
      <c r="AC134" s="1">
        <f t="shared" ca="1" si="80"/>
        <v>566</v>
      </c>
      <c r="AD134" s="1">
        <f t="shared" ca="1" si="81"/>
        <v>3.1627084135594555E-3</v>
      </c>
      <c r="AE134" s="1"/>
      <c r="AF134" s="1">
        <f t="shared" ca="1" si="82"/>
        <v>0.44282845738875842</v>
      </c>
      <c r="AG134" s="1">
        <f t="shared" ca="1" si="83"/>
        <v>902</v>
      </c>
      <c r="AH134" s="1">
        <f t="shared" ca="1" si="84"/>
        <v>2.8741420174573451E-3</v>
      </c>
      <c r="AJ134" s="1">
        <f t="shared" ca="1" si="85"/>
        <v>0.31713021637471106</v>
      </c>
      <c r="AK134" s="1">
        <f t="shared" ca="1" si="86"/>
        <v>7.6076150866604946E-3</v>
      </c>
      <c r="AL134" s="1"/>
      <c r="AM134" s="1">
        <f t="shared" ca="1" si="87"/>
        <v>0.13559201700266627</v>
      </c>
      <c r="AN134" s="1">
        <f t="shared" ca="1" si="88"/>
        <v>64</v>
      </c>
      <c r="AO134" s="1">
        <f t="shared" ca="1" si="89"/>
        <v>14</v>
      </c>
    </row>
    <row r="135" spans="2:41" x14ac:dyDescent="0.25">
      <c r="B135">
        <f t="shared" ca="1" si="60"/>
        <v>553</v>
      </c>
      <c r="C135">
        <f t="shared" ca="1" si="61"/>
        <v>31</v>
      </c>
      <c r="D135">
        <f t="shared" ca="1" si="62"/>
        <v>1.4415909573182145E-2</v>
      </c>
      <c r="F135" s="1">
        <f t="shared" ca="1" si="63"/>
        <v>42</v>
      </c>
      <c r="G135" s="1">
        <f t="shared" ca="1" si="64"/>
        <v>4</v>
      </c>
      <c r="H135" s="1">
        <f t="shared" ca="1" si="65"/>
        <v>14</v>
      </c>
      <c r="I135" s="1"/>
      <c r="J135" s="1">
        <f t="shared" ca="1" si="66"/>
        <v>7</v>
      </c>
      <c r="K135" s="1">
        <f t="shared" ca="1" si="67"/>
        <v>2.2737095587884384</v>
      </c>
      <c r="L135" s="1">
        <f t="shared" ca="1" si="68"/>
        <v>16</v>
      </c>
      <c r="M135" s="1"/>
      <c r="N135" s="1">
        <f t="shared" ca="1" si="69"/>
        <v>932</v>
      </c>
      <c r="O135" s="1">
        <f t="shared" ca="1" si="70"/>
        <v>41</v>
      </c>
      <c r="P135" s="1"/>
      <c r="Q135" s="1">
        <f t="shared" ca="1" si="71"/>
        <v>2.1025306552809964</v>
      </c>
      <c r="R135" s="1">
        <f t="shared" ca="1" si="72"/>
        <v>376</v>
      </c>
      <c r="S135" s="1"/>
      <c r="T135" s="1">
        <f t="shared" ca="1" si="73"/>
        <v>0.12354060962599407</v>
      </c>
      <c r="U135" s="1">
        <f t="shared" ca="1" si="74"/>
        <v>381</v>
      </c>
      <c r="V135" s="1">
        <f t="shared" ca="1" si="75"/>
        <v>15</v>
      </c>
      <c r="W135" s="1"/>
      <c r="X135" s="1">
        <f t="shared" ca="1" si="76"/>
        <v>1.7471276809392204</v>
      </c>
      <c r="Y135" s="1">
        <f t="shared" ca="1" si="77"/>
        <v>0.18878451230732016</v>
      </c>
      <c r="Z135" s="1">
        <f t="shared" ca="1" si="78"/>
        <v>1375</v>
      </c>
      <c r="AB135" s="1">
        <f t="shared" ca="1" si="79"/>
        <v>6.5342783818159555E-2</v>
      </c>
      <c r="AC135" s="1">
        <f t="shared" ca="1" si="80"/>
        <v>530</v>
      </c>
      <c r="AD135" s="1">
        <f t="shared" ca="1" si="81"/>
        <v>9.359933610072842E-3</v>
      </c>
      <c r="AE135" s="1"/>
      <c r="AF135" s="1">
        <f t="shared" ca="1" si="82"/>
        <v>0.43224922748939154</v>
      </c>
      <c r="AG135" s="1">
        <f t="shared" ca="1" si="83"/>
        <v>369</v>
      </c>
      <c r="AH135" s="1">
        <f t="shared" ca="1" si="84"/>
        <v>6.659116083128489E-3</v>
      </c>
      <c r="AJ135" s="1">
        <f t="shared" ca="1" si="85"/>
        <v>0.57726999314488148</v>
      </c>
      <c r="AK135" s="1">
        <f t="shared" ca="1" si="86"/>
        <v>9.6599278600821015E-3</v>
      </c>
      <c r="AL135" s="1"/>
      <c r="AM135" s="1">
        <f t="shared" ca="1" si="87"/>
        <v>0.16292962728370461</v>
      </c>
      <c r="AN135" s="1">
        <f t="shared" ca="1" si="88"/>
        <v>56</v>
      </c>
      <c r="AO135" s="1">
        <f t="shared" ca="1" si="89"/>
        <v>8</v>
      </c>
    </row>
    <row r="136" spans="2:41" x14ac:dyDescent="0.25">
      <c r="B136">
        <f t="shared" ca="1" si="60"/>
        <v>678</v>
      </c>
      <c r="C136">
        <f t="shared" ca="1" si="61"/>
        <v>24</v>
      </c>
      <c r="D136">
        <f t="shared" ca="1" si="62"/>
        <v>3.3696284303665232E-2</v>
      </c>
      <c r="F136" s="1">
        <f t="shared" ca="1" si="63"/>
        <v>17</v>
      </c>
      <c r="G136" s="1">
        <f t="shared" ca="1" si="64"/>
        <v>3</v>
      </c>
      <c r="H136" s="1">
        <f t="shared" ca="1" si="65"/>
        <v>5</v>
      </c>
      <c r="I136" s="1"/>
      <c r="J136" s="1">
        <f t="shared" ca="1" si="66"/>
        <v>23</v>
      </c>
      <c r="K136" s="1">
        <f t="shared" ca="1" si="67"/>
        <v>2.3777309225729439</v>
      </c>
      <c r="L136" s="1">
        <f t="shared" ca="1" si="68"/>
        <v>24</v>
      </c>
      <c r="M136" s="1"/>
      <c r="N136" s="1">
        <f t="shared" ca="1" si="69"/>
        <v>743</v>
      </c>
      <c r="O136" s="1">
        <f t="shared" ca="1" si="70"/>
        <v>10</v>
      </c>
      <c r="P136" s="1"/>
      <c r="Q136" s="1">
        <f t="shared" ca="1" si="71"/>
        <v>3.3549894362465285</v>
      </c>
      <c r="R136" s="1">
        <f t="shared" ca="1" si="72"/>
        <v>1043</v>
      </c>
      <c r="S136" s="1"/>
      <c r="T136" s="1">
        <f t="shared" ca="1" si="73"/>
        <v>0.13183036092658074</v>
      </c>
      <c r="U136" s="1">
        <f t="shared" ca="1" si="74"/>
        <v>441</v>
      </c>
      <c r="V136" s="1">
        <f t="shared" ca="1" si="75"/>
        <v>14</v>
      </c>
      <c r="W136" s="1"/>
      <c r="X136" s="1">
        <f t="shared" ca="1" si="76"/>
        <v>4.2576880238421166</v>
      </c>
      <c r="Y136" s="1">
        <f t="shared" ca="1" si="77"/>
        <v>0.64311068611618527</v>
      </c>
      <c r="Z136" s="1">
        <f t="shared" ca="1" si="78"/>
        <v>1757</v>
      </c>
      <c r="AB136" s="1">
        <f t="shared" ca="1" si="79"/>
        <v>0.45610811433851184</v>
      </c>
      <c r="AC136" s="1">
        <f t="shared" ca="1" si="80"/>
        <v>366</v>
      </c>
      <c r="AD136" s="1">
        <f t="shared" ca="1" si="81"/>
        <v>2.6818795177274133E-3</v>
      </c>
      <c r="AE136" s="1"/>
      <c r="AF136" s="1">
        <f t="shared" ca="1" si="82"/>
        <v>0.43318266782130355</v>
      </c>
      <c r="AG136" s="1">
        <f t="shared" ca="1" si="83"/>
        <v>148</v>
      </c>
      <c r="AH136" s="1">
        <f t="shared" ca="1" si="84"/>
        <v>5.1878130252178819E-3</v>
      </c>
      <c r="AJ136" s="1">
        <f t="shared" ca="1" si="85"/>
        <v>0.7371052962245227</v>
      </c>
      <c r="AK136" s="1">
        <f t="shared" ca="1" si="86"/>
        <v>8.9567854500451627E-3</v>
      </c>
      <c r="AL136" s="1"/>
      <c r="AM136" s="1">
        <f t="shared" ca="1" si="87"/>
        <v>9.5865411396656761E-2</v>
      </c>
      <c r="AN136" s="1">
        <f t="shared" ca="1" si="88"/>
        <v>36</v>
      </c>
      <c r="AO136" s="1">
        <f t="shared" ca="1" si="89"/>
        <v>5</v>
      </c>
    </row>
    <row r="137" spans="2:41" x14ac:dyDescent="0.25">
      <c r="B137">
        <f t="shared" ca="1" si="60"/>
        <v>455</v>
      </c>
      <c r="C137">
        <f t="shared" ca="1" si="61"/>
        <v>3</v>
      </c>
      <c r="D137">
        <f t="shared" ca="1" si="62"/>
        <v>1.7758743519557366E-2</v>
      </c>
      <c r="F137" s="1">
        <f t="shared" ca="1" si="63"/>
        <v>25</v>
      </c>
      <c r="G137" s="1">
        <f t="shared" ca="1" si="64"/>
        <v>14</v>
      </c>
      <c r="H137" s="1">
        <f t="shared" ca="1" si="65"/>
        <v>5</v>
      </c>
      <c r="I137" s="1"/>
      <c r="J137" s="1">
        <f t="shared" ca="1" si="66"/>
        <v>14</v>
      </c>
      <c r="K137" s="1">
        <f t="shared" ca="1" si="67"/>
        <v>1.5859250823654683</v>
      </c>
      <c r="L137" s="1">
        <f t="shared" ca="1" si="68"/>
        <v>24</v>
      </c>
      <c r="M137" s="1"/>
      <c r="N137" s="1">
        <f t="shared" ca="1" si="69"/>
        <v>425</v>
      </c>
      <c r="O137" s="1">
        <f t="shared" ca="1" si="70"/>
        <v>21</v>
      </c>
      <c r="P137" s="1"/>
      <c r="Q137" s="1">
        <f t="shared" ca="1" si="71"/>
        <v>4.4510007695231115</v>
      </c>
      <c r="R137" s="1">
        <f t="shared" ca="1" si="72"/>
        <v>949</v>
      </c>
      <c r="S137" s="1"/>
      <c r="T137" s="1">
        <f t="shared" ca="1" si="73"/>
        <v>7.877145330817982E-2</v>
      </c>
      <c r="U137" s="1">
        <f t="shared" ca="1" si="74"/>
        <v>195</v>
      </c>
      <c r="V137" s="1">
        <f t="shared" ca="1" si="75"/>
        <v>23</v>
      </c>
      <c r="W137" s="1"/>
      <c r="X137" s="1">
        <f t="shared" ca="1" si="76"/>
        <v>8.5381997388896487</v>
      </c>
      <c r="Y137" s="1">
        <f t="shared" ca="1" si="77"/>
        <v>0.96532606023956424</v>
      </c>
      <c r="Z137" s="1">
        <f t="shared" ca="1" si="78"/>
        <v>930</v>
      </c>
      <c r="AB137" s="1">
        <f t="shared" ca="1" si="79"/>
        <v>0.30876263446819707</v>
      </c>
      <c r="AC137" s="1">
        <f t="shared" ca="1" si="80"/>
        <v>731</v>
      </c>
      <c r="AD137" s="1">
        <f t="shared" ca="1" si="81"/>
        <v>8.3559357794689062E-3</v>
      </c>
      <c r="AE137" s="1"/>
      <c r="AF137" s="1">
        <f t="shared" ca="1" si="82"/>
        <v>0.77952391252079722</v>
      </c>
      <c r="AG137" s="1">
        <f t="shared" ca="1" si="83"/>
        <v>442</v>
      </c>
      <c r="AH137" s="1">
        <f t="shared" ca="1" si="84"/>
        <v>3.3357477396856561E-3</v>
      </c>
      <c r="AJ137" s="1">
        <f t="shared" ca="1" si="85"/>
        <v>9.6702954963939547E-2</v>
      </c>
      <c r="AK137" s="1">
        <f t="shared" ca="1" si="86"/>
        <v>7.0129799101577867E-3</v>
      </c>
      <c r="AL137" s="1"/>
      <c r="AM137" s="1">
        <f t="shared" ca="1" si="87"/>
        <v>3.8689350171247146E-2</v>
      </c>
      <c r="AN137" s="1">
        <f t="shared" ca="1" si="88"/>
        <v>41</v>
      </c>
      <c r="AO137" s="1">
        <f t="shared" ca="1" si="89"/>
        <v>15</v>
      </c>
    </row>
    <row r="138" spans="2:41" x14ac:dyDescent="0.25">
      <c r="B138">
        <f t="shared" ca="1" si="60"/>
        <v>935</v>
      </c>
      <c r="C138">
        <f t="shared" ca="1" si="61"/>
        <v>41</v>
      </c>
      <c r="D138">
        <f t="shared" ca="1" si="62"/>
        <v>0.28090628844427201</v>
      </c>
      <c r="F138" s="1">
        <f t="shared" ca="1" si="63"/>
        <v>33</v>
      </c>
      <c r="G138" s="1">
        <f t="shared" ca="1" si="64"/>
        <v>6</v>
      </c>
      <c r="H138" s="1">
        <f t="shared" ca="1" si="65"/>
        <v>14</v>
      </c>
      <c r="I138" s="1"/>
      <c r="J138" s="1">
        <f t="shared" ca="1" si="66"/>
        <v>22</v>
      </c>
      <c r="K138" s="1">
        <f t="shared" ca="1" si="67"/>
        <v>1.9904893701552806</v>
      </c>
      <c r="L138" s="1">
        <f t="shared" ca="1" si="68"/>
        <v>4</v>
      </c>
      <c r="M138" s="1"/>
      <c r="N138" s="1">
        <f t="shared" ca="1" si="69"/>
        <v>686</v>
      </c>
      <c r="O138" s="1">
        <f t="shared" ca="1" si="70"/>
        <v>26</v>
      </c>
      <c r="P138" s="1"/>
      <c r="Q138" s="1">
        <f t="shared" ca="1" si="71"/>
        <v>4.3729745661242311E-2</v>
      </c>
      <c r="R138" s="1">
        <f t="shared" ca="1" si="72"/>
        <v>881</v>
      </c>
      <c r="S138" s="1"/>
      <c r="T138" s="1">
        <f t="shared" ca="1" si="73"/>
        <v>0.13215677557792346</v>
      </c>
      <c r="U138" s="1">
        <f t="shared" ca="1" si="74"/>
        <v>252</v>
      </c>
      <c r="V138" s="1">
        <f t="shared" ca="1" si="75"/>
        <v>14</v>
      </c>
      <c r="W138" s="1"/>
      <c r="X138" s="1">
        <f t="shared" ca="1" si="76"/>
        <v>7.0011739403910829</v>
      </c>
      <c r="Y138" s="1">
        <f t="shared" ca="1" si="77"/>
        <v>0.80543572371213334</v>
      </c>
      <c r="Z138" s="1">
        <f t="shared" ca="1" si="78"/>
        <v>873</v>
      </c>
      <c r="AB138" s="1">
        <f t="shared" ca="1" si="79"/>
        <v>0.47374726742117662</v>
      </c>
      <c r="AC138" s="1">
        <f t="shared" ca="1" si="80"/>
        <v>554</v>
      </c>
      <c r="AD138" s="1">
        <f t="shared" ca="1" si="81"/>
        <v>6.8596020995140916E-3</v>
      </c>
      <c r="AE138" s="1"/>
      <c r="AF138" s="1">
        <f t="shared" ca="1" si="82"/>
        <v>0.51463162368383319</v>
      </c>
      <c r="AG138" s="1">
        <f t="shared" ca="1" si="83"/>
        <v>299</v>
      </c>
      <c r="AH138" s="1">
        <f t="shared" ca="1" si="84"/>
        <v>7.5508727909669466E-3</v>
      </c>
      <c r="AJ138" s="1">
        <f t="shared" ca="1" si="85"/>
        <v>0.31886614734536101</v>
      </c>
      <c r="AK138" s="1">
        <f t="shared" ca="1" si="86"/>
        <v>3.4141147705947805E-3</v>
      </c>
      <c r="AL138" s="1"/>
      <c r="AM138" s="1">
        <f t="shared" ca="1" si="87"/>
        <v>8.6740009472949506E-2</v>
      </c>
      <c r="AN138" s="1">
        <f t="shared" ca="1" si="88"/>
        <v>43</v>
      </c>
      <c r="AO138" s="1">
        <f t="shared" ca="1" si="89"/>
        <v>11</v>
      </c>
    </row>
    <row r="139" spans="2:41" x14ac:dyDescent="0.25">
      <c r="B139">
        <f t="shared" ca="1" si="60"/>
        <v>384</v>
      </c>
      <c r="C139">
        <f t="shared" ca="1" si="61"/>
        <v>21</v>
      </c>
      <c r="D139">
        <f t="shared" ca="1" si="62"/>
        <v>0.29334606282356068</v>
      </c>
      <c r="F139" s="1">
        <f t="shared" ca="1" si="63"/>
        <v>42</v>
      </c>
      <c r="G139" s="1">
        <f t="shared" ca="1" si="64"/>
        <v>8</v>
      </c>
      <c r="H139" s="1">
        <f t="shared" ca="1" si="65"/>
        <v>12</v>
      </c>
      <c r="I139" s="1"/>
      <c r="J139" s="1">
        <f t="shared" ca="1" si="66"/>
        <v>12</v>
      </c>
      <c r="K139" s="1">
        <f t="shared" ca="1" si="67"/>
        <v>1.7583294570947814</v>
      </c>
      <c r="L139" s="1">
        <f t="shared" ca="1" si="68"/>
        <v>4</v>
      </c>
      <c r="M139" s="1"/>
      <c r="N139" s="1">
        <f t="shared" ca="1" si="69"/>
        <v>391</v>
      </c>
      <c r="O139" s="1">
        <f t="shared" ca="1" si="70"/>
        <v>29</v>
      </c>
      <c r="P139" s="1"/>
      <c r="Q139" s="1">
        <f t="shared" ca="1" si="71"/>
        <v>2.2483954366515895</v>
      </c>
      <c r="R139" s="1">
        <f t="shared" ca="1" si="72"/>
        <v>1135</v>
      </c>
      <c r="S139" s="1"/>
      <c r="T139" s="1">
        <f t="shared" ca="1" si="73"/>
        <v>0.11322231544379129</v>
      </c>
      <c r="U139" s="1">
        <f t="shared" ca="1" si="74"/>
        <v>393</v>
      </c>
      <c r="V139" s="1">
        <f t="shared" ca="1" si="75"/>
        <v>4</v>
      </c>
      <c r="W139" s="1"/>
      <c r="X139" s="1">
        <f t="shared" ca="1" si="76"/>
        <v>3.9796062562480445</v>
      </c>
      <c r="Y139" s="1">
        <f t="shared" ca="1" si="77"/>
        <v>1.9642920471018906E-2</v>
      </c>
      <c r="Z139" s="1">
        <f t="shared" ca="1" si="78"/>
        <v>1328</v>
      </c>
      <c r="AB139" s="1">
        <f t="shared" ca="1" si="79"/>
        <v>0.46625247608757253</v>
      </c>
      <c r="AC139" s="1">
        <f t="shared" ca="1" si="80"/>
        <v>613</v>
      </c>
      <c r="AD139" s="1">
        <f t="shared" ca="1" si="81"/>
        <v>6.9273414215031137E-3</v>
      </c>
      <c r="AE139" s="1"/>
      <c r="AF139" s="1">
        <f t="shared" ca="1" si="82"/>
        <v>0.2952571518896786</v>
      </c>
      <c r="AG139" s="1">
        <f t="shared" ca="1" si="83"/>
        <v>541</v>
      </c>
      <c r="AH139" s="1">
        <f t="shared" ca="1" si="84"/>
        <v>1.2691433029215766E-3</v>
      </c>
      <c r="AJ139" s="1">
        <f t="shared" ca="1" si="85"/>
        <v>0.7254145917337449</v>
      </c>
      <c r="AK139" s="1">
        <f t="shared" ca="1" si="86"/>
        <v>5.1292438639666373E-3</v>
      </c>
      <c r="AL139" s="1"/>
      <c r="AM139" s="1">
        <f t="shared" ca="1" si="87"/>
        <v>2.7977889408919616E-2</v>
      </c>
      <c r="AN139" s="1">
        <f t="shared" ca="1" si="88"/>
        <v>45</v>
      </c>
      <c r="AO139" s="1">
        <f t="shared" ca="1" si="89"/>
        <v>14</v>
      </c>
    </row>
    <row r="140" spans="2:41" x14ac:dyDescent="0.25">
      <c r="B140">
        <f t="shared" ca="1" si="60"/>
        <v>383</v>
      </c>
      <c r="C140">
        <f t="shared" ca="1" si="61"/>
        <v>11</v>
      </c>
      <c r="D140">
        <f t="shared" ca="1" si="62"/>
        <v>0.15067796040913509</v>
      </c>
      <c r="F140" s="1">
        <f t="shared" ca="1" si="63"/>
        <v>3</v>
      </c>
      <c r="G140" s="1">
        <f t="shared" ca="1" si="64"/>
        <v>22</v>
      </c>
      <c r="H140" s="1">
        <f t="shared" ca="1" si="65"/>
        <v>12</v>
      </c>
      <c r="I140" s="1"/>
      <c r="J140" s="1">
        <f t="shared" ca="1" si="66"/>
        <v>23</v>
      </c>
      <c r="K140" s="1">
        <f t="shared" ca="1" si="67"/>
        <v>1.211868638280404</v>
      </c>
      <c r="L140" s="1">
        <f t="shared" ca="1" si="68"/>
        <v>26</v>
      </c>
      <c r="M140" s="1"/>
      <c r="N140" s="1">
        <f t="shared" ca="1" si="69"/>
        <v>34</v>
      </c>
      <c r="O140" s="1">
        <f t="shared" ca="1" si="70"/>
        <v>44</v>
      </c>
      <c r="P140" s="1"/>
      <c r="Q140" s="1">
        <f t="shared" ca="1" si="71"/>
        <v>0.38027017008714198</v>
      </c>
      <c r="R140" s="1">
        <f t="shared" ca="1" si="72"/>
        <v>656</v>
      </c>
      <c r="S140" s="1"/>
      <c r="T140" s="1">
        <f t="shared" ca="1" si="73"/>
        <v>0.18405753821031801</v>
      </c>
      <c r="U140" s="1">
        <f t="shared" ca="1" si="74"/>
        <v>349</v>
      </c>
      <c r="V140" s="1">
        <f t="shared" ca="1" si="75"/>
        <v>20</v>
      </c>
      <c r="W140" s="1"/>
      <c r="X140" s="1">
        <f t="shared" ca="1" si="76"/>
        <v>5.8059734233350024</v>
      </c>
      <c r="Y140" s="1">
        <f t="shared" ca="1" si="77"/>
        <v>2.1382015704143314E-2</v>
      </c>
      <c r="Z140" s="1">
        <f t="shared" ca="1" si="78"/>
        <v>905</v>
      </c>
      <c r="AB140" s="1">
        <f t="shared" ca="1" si="79"/>
        <v>0.28412031041553326</v>
      </c>
      <c r="AC140" s="1">
        <f t="shared" ca="1" si="80"/>
        <v>328</v>
      </c>
      <c r="AD140" s="1">
        <f t="shared" ca="1" si="81"/>
        <v>2.5670342186942611E-4</v>
      </c>
      <c r="AE140" s="1"/>
      <c r="AF140" s="1">
        <f t="shared" ca="1" si="82"/>
        <v>0.66973175852466671</v>
      </c>
      <c r="AG140" s="1">
        <f t="shared" ca="1" si="83"/>
        <v>763</v>
      </c>
      <c r="AH140" s="1">
        <f t="shared" ca="1" si="84"/>
        <v>4.5903371689846317E-3</v>
      </c>
      <c r="AJ140" s="1">
        <f t="shared" ca="1" si="85"/>
        <v>0.84038513525917002</v>
      </c>
      <c r="AK140" s="1">
        <f t="shared" ca="1" si="86"/>
        <v>3.9066326187818089E-3</v>
      </c>
      <c r="AL140" s="1"/>
      <c r="AM140" s="1">
        <f t="shared" ca="1" si="87"/>
        <v>8.4569118221179768E-2</v>
      </c>
      <c r="AN140" s="1">
        <f t="shared" ca="1" si="88"/>
        <v>19</v>
      </c>
      <c r="AO140" s="1">
        <f t="shared" ca="1" si="89"/>
        <v>7</v>
      </c>
    </row>
    <row r="141" spans="2:41" x14ac:dyDescent="0.25">
      <c r="B141">
        <f t="shared" ca="1" si="60"/>
        <v>659</v>
      </c>
      <c r="C141">
        <f t="shared" ca="1" si="61"/>
        <v>41</v>
      </c>
      <c r="D141">
        <f t="shared" ca="1" si="62"/>
        <v>5.2542812334206393E-2</v>
      </c>
      <c r="F141" s="1">
        <f t="shared" ca="1" si="63"/>
        <v>4</v>
      </c>
      <c r="G141" s="1">
        <f t="shared" ca="1" si="64"/>
        <v>13</v>
      </c>
      <c r="H141" s="1">
        <f t="shared" ca="1" si="65"/>
        <v>3</v>
      </c>
      <c r="I141" s="1"/>
      <c r="J141" s="1">
        <f t="shared" ca="1" si="66"/>
        <v>27</v>
      </c>
      <c r="K141" s="1">
        <f t="shared" ca="1" si="67"/>
        <v>2.8876629497042141</v>
      </c>
      <c r="L141" s="1">
        <f t="shared" ca="1" si="68"/>
        <v>27</v>
      </c>
      <c r="M141" s="1"/>
      <c r="N141" s="1">
        <f t="shared" ca="1" si="69"/>
        <v>377</v>
      </c>
      <c r="O141" s="1">
        <f t="shared" ca="1" si="70"/>
        <v>20</v>
      </c>
      <c r="P141" s="1"/>
      <c r="Q141" s="1">
        <f t="shared" ca="1" si="71"/>
        <v>3.4995842863863675</v>
      </c>
      <c r="R141" s="1">
        <f t="shared" ca="1" si="72"/>
        <v>670</v>
      </c>
      <c r="S141" s="1"/>
      <c r="T141" s="1">
        <f t="shared" ca="1" si="73"/>
        <v>9.7463628187345802E-2</v>
      </c>
      <c r="U141" s="1">
        <f t="shared" ca="1" si="74"/>
        <v>132</v>
      </c>
      <c r="V141" s="1">
        <f t="shared" ca="1" si="75"/>
        <v>35</v>
      </c>
      <c r="W141" s="1"/>
      <c r="X141" s="1">
        <f t="shared" ca="1" si="76"/>
        <v>4.221435707115722</v>
      </c>
      <c r="Y141" s="1">
        <f t="shared" ca="1" si="77"/>
        <v>4.0171763629276526E-2</v>
      </c>
      <c r="Z141" s="1">
        <f t="shared" ca="1" si="78"/>
        <v>1256</v>
      </c>
      <c r="AB141" s="1">
        <f t="shared" ca="1" si="79"/>
        <v>0.14631620616745794</v>
      </c>
      <c r="AC141" s="1">
        <f t="shared" ca="1" si="80"/>
        <v>234</v>
      </c>
      <c r="AD141" s="1">
        <f t="shared" ca="1" si="81"/>
        <v>2.0002438393735898E-3</v>
      </c>
      <c r="AE141" s="1"/>
      <c r="AF141" s="1">
        <f t="shared" ca="1" si="82"/>
        <v>0.74484427305871959</v>
      </c>
      <c r="AG141" s="1">
        <f t="shared" ca="1" si="83"/>
        <v>652</v>
      </c>
      <c r="AH141" s="1">
        <f t="shared" ca="1" si="84"/>
        <v>9.7643173554397954E-3</v>
      </c>
      <c r="AJ141" s="1">
        <f t="shared" ca="1" si="85"/>
        <v>0.50711659341743109</v>
      </c>
      <c r="AK141" s="1">
        <f t="shared" ca="1" si="86"/>
        <v>8.7219016595146779E-3</v>
      </c>
      <c r="AL141" s="1"/>
      <c r="AM141" s="1">
        <f t="shared" ca="1" si="87"/>
        <v>7.234017334189527E-2</v>
      </c>
      <c r="AN141" s="1">
        <f t="shared" ca="1" si="88"/>
        <v>66</v>
      </c>
      <c r="AO141" s="1">
        <f t="shared" ca="1" si="89"/>
        <v>18</v>
      </c>
    </row>
    <row r="142" spans="2:41" x14ac:dyDescent="0.25">
      <c r="B142">
        <f t="shared" ca="1" si="60"/>
        <v>384</v>
      </c>
      <c r="C142">
        <f t="shared" ca="1" si="61"/>
        <v>10</v>
      </c>
      <c r="D142">
        <f t="shared" ca="1" si="62"/>
        <v>0.28639106297123823</v>
      </c>
      <c r="F142" s="1">
        <f t="shared" ca="1" si="63"/>
        <v>38</v>
      </c>
      <c r="G142" s="1">
        <f t="shared" ca="1" si="64"/>
        <v>16</v>
      </c>
      <c r="H142" s="1">
        <f t="shared" ca="1" si="65"/>
        <v>5</v>
      </c>
      <c r="I142" s="1"/>
      <c r="J142" s="1">
        <f t="shared" ca="1" si="66"/>
        <v>15</v>
      </c>
      <c r="K142" s="1">
        <f t="shared" ca="1" si="67"/>
        <v>1.5150617973288933</v>
      </c>
      <c r="L142" s="1">
        <f t="shared" ca="1" si="68"/>
        <v>2</v>
      </c>
      <c r="M142" s="1"/>
      <c r="N142" s="1">
        <f t="shared" ca="1" si="69"/>
        <v>479</v>
      </c>
      <c r="O142" s="1">
        <f t="shared" ca="1" si="70"/>
        <v>4</v>
      </c>
      <c r="P142" s="1"/>
      <c r="Q142" s="1">
        <f t="shared" ca="1" si="71"/>
        <v>2.8132093812661507</v>
      </c>
      <c r="R142" s="1">
        <f t="shared" ca="1" si="72"/>
        <v>225</v>
      </c>
      <c r="S142" s="1"/>
      <c r="T142" s="1">
        <f t="shared" ca="1" si="73"/>
        <v>5.4035842676851992E-2</v>
      </c>
      <c r="U142" s="1">
        <f t="shared" ca="1" si="74"/>
        <v>144</v>
      </c>
      <c r="V142" s="1">
        <f t="shared" ca="1" si="75"/>
        <v>33</v>
      </c>
      <c r="W142" s="1"/>
      <c r="X142" s="1">
        <f t="shared" ca="1" si="76"/>
        <v>7.0391922634233275</v>
      </c>
      <c r="Y142" s="1">
        <f t="shared" ca="1" si="77"/>
        <v>0.68040895818966163</v>
      </c>
      <c r="Z142" s="1">
        <f t="shared" ca="1" si="78"/>
        <v>1802</v>
      </c>
      <c r="AB142" s="1">
        <f t="shared" ca="1" si="79"/>
        <v>0.40065252602525514</v>
      </c>
      <c r="AC142" s="1">
        <f t="shared" ca="1" si="80"/>
        <v>579</v>
      </c>
      <c r="AD142" s="1">
        <f t="shared" ca="1" si="81"/>
        <v>8.7112958491849957E-3</v>
      </c>
      <c r="AE142" s="1"/>
      <c r="AF142" s="1">
        <f t="shared" ca="1" si="82"/>
        <v>0.10036968553711843</v>
      </c>
      <c r="AG142" s="1">
        <f t="shared" ca="1" si="83"/>
        <v>691</v>
      </c>
      <c r="AH142" s="1">
        <f t="shared" ca="1" si="84"/>
        <v>7.4070357020059804E-3</v>
      </c>
      <c r="AJ142" s="1">
        <f t="shared" ca="1" si="85"/>
        <v>0.65773502210924839</v>
      </c>
      <c r="AK142" s="1">
        <f t="shared" ca="1" si="86"/>
        <v>6.1474855542330139E-3</v>
      </c>
      <c r="AL142" s="1"/>
      <c r="AM142" s="1">
        <f t="shared" ca="1" si="87"/>
        <v>8.569260516574756E-2</v>
      </c>
      <c r="AN142" s="1">
        <f t="shared" ca="1" si="88"/>
        <v>17</v>
      </c>
      <c r="AO142" s="1">
        <f t="shared" ca="1" si="89"/>
        <v>2</v>
      </c>
    </row>
    <row r="143" spans="2:41" x14ac:dyDescent="0.25">
      <c r="B143">
        <f t="shared" ca="1" si="60"/>
        <v>43</v>
      </c>
      <c r="C143">
        <f t="shared" ca="1" si="61"/>
        <v>4</v>
      </c>
      <c r="D143">
        <f t="shared" ca="1" si="62"/>
        <v>0.12976552372447084</v>
      </c>
      <c r="F143" s="1">
        <f t="shared" ca="1" si="63"/>
        <v>29</v>
      </c>
      <c r="G143" s="1">
        <f t="shared" ca="1" si="64"/>
        <v>27</v>
      </c>
      <c r="H143" s="1">
        <f t="shared" ca="1" si="65"/>
        <v>7</v>
      </c>
      <c r="I143" s="1"/>
      <c r="J143" s="1">
        <f t="shared" ca="1" si="66"/>
        <v>2</v>
      </c>
      <c r="K143" s="1">
        <f t="shared" ca="1" si="67"/>
        <v>1.2547369738049683</v>
      </c>
      <c r="L143" s="1">
        <f t="shared" ca="1" si="68"/>
        <v>22</v>
      </c>
      <c r="M143" s="1"/>
      <c r="N143" s="1">
        <f t="shared" ca="1" si="69"/>
        <v>986</v>
      </c>
      <c r="O143" s="1">
        <f t="shared" ca="1" si="70"/>
        <v>46</v>
      </c>
      <c r="P143" s="1"/>
      <c r="Q143" s="1">
        <f t="shared" ca="1" si="71"/>
        <v>4.8700277240831005</v>
      </c>
      <c r="R143" s="1">
        <f t="shared" ca="1" si="72"/>
        <v>257</v>
      </c>
      <c r="S143" s="1"/>
      <c r="T143" s="1">
        <f t="shared" ca="1" si="73"/>
        <v>1.5677475578484038E-2</v>
      </c>
      <c r="U143" s="1">
        <f t="shared" ca="1" si="74"/>
        <v>84</v>
      </c>
      <c r="V143" s="1">
        <f t="shared" ca="1" si="75"/>
        <v>37</v>
      </c>
      <c r="W143" s="1"/>
      <c r="X143" s="1">
        <f t="shared" ca="1" si="76"/>
        <v>0.9526474010793855</v>
      </c>
      <c r="Y143" s="1">
        <f t="shared" ca="1" si="77"/>
        <v>0.92387499904894499</v>
      </c>
      <c r="Z143" s="1">
        <f t="shared" ca="1" si="78"/>
        <v>1020</v>
      </c>
      <c r="AB143" s="1">
        <f t="shared" ca="1" si="79"/>
        <v>0.97320176431560745</v>
      </c>
      <c r="AC143" s="1">
        <f t="shared" ca="1" si="80"/>
        <v>830</v>
      </c>
      <c r="AD143" s="1">
        <f t="shared" ca="1" si="81"/>
        <v>1.0808071349461099E-3</v>
      </c>
      <c r="AE143" s="1"/>
      <c r="AF143" s="1">
        <f t="shared" ca="1" si="82"/>
        <v>0.18053330297124059</v>
      </c>
      <c r="AG143" s="1">
        <f t="shared" ca="1" si="83"/>
        <v>750</v>
      </c>
      <c r="AH143" s="1">
        <f t="shared" ca="1" si="84"/>
        <v>9.5128220866888477E-3</v>
      </c>
      <c r="AJ143" s="1">
        <f t="shared" ca="1" si="85"/>
        <v>0.42541672825813592</v>
      </c>
      <c r="AK143" s="1">
        <f t="shared" ca="1" si="86"/>
        <v>6.5407167917985471E-3</v>
      </c>
      <c r="AL143" s="1"/>
      <c r="AM143" s="1">
        <f t="shared" ca="1" si="87"/>
        <v>0.17950809156116759</v>
      </c>
      <c r="AN143" s="1">
        <f t="shared" ca="1" si="88"/>
        <v>39</v>
      </c>
      <c r="AO143" s="1">
        <f t="shared" ca="1" si="89"/>
        <v>15</v>
      </c>
    </row>
    <row r="144" spans="2:41" x14ac:dyDescent="0.25">
      <c r="B144">
        <f t="shared" ca="1" si="60"/>
        <v>802</v>
      </c>
      <c r="C144">
        <f t="shared" ca="1" si="61"/>
        <v>16</v>
      </c>
      <c r="D144">
        <f t="shared" ca="1" si="62"/>
        <v>0.14425656814997725</v>
      </c>
      <c r="F144" s="1">
        <f t="shared" ca="1" si="63"/>
        <v>31</v>
      </c>
      <c r="G144" s="1">
        <f t="shared" ca="1" si="64"/>
        <v>8</v>
      </c>
      <c r="H144" s="1">
        <f t="shared" ca="1" si="65"/>
        <v>11</v>
      </c>
      <c r="I144" s="1"/>
      <c r="J144" s="1">
        <f t="shared" ca="1" si="66"/>
        <v>22</v>
      </c>
      <c r="K144" s="1">
        <f t="shared" ca="1" si="67"/>
        <v>2.6788460695977516</v>
      </c>
      <c r="L144" s="1">
        <f t="shared" ca="1" si="68"/>
        <v>12</v>
      </c>
      <c r="M144" s="1"/>
      <c r="N144" s="1">
        <f t="shared" ca="1" si="69"/>
        <v>369</v>
      </c>
      <c r="O144" s="1">
        <f t="shared" ca="1" si="70"/>
        <v>31</v>
      </c>
      <c r="P144" s="1"/>
      <c r="Q144" s="1">
        <f t="shared" ca="1" si="71"/>
        <v>0.18815902128711562</v>
      </c>
      <c r="R144" s="1">
        <f t="shared" ca="1" si="72"/>
        <v>739</v>
      </c>
      <c r="S144" s="1"/>
      <c r="T144" s="1">
        <f t="shared" ca="1" si="73"/>
        <v>0.18559556446431869</v>
      </c>
      <c r="U144" s="1">
        <f t="shared" ca="1" si="74"/>
        <v>126</v>
      </c>
      <c r="V144" s="1">
        <f t="shared" ca="1" si="75"/>
        <v>39</v>
      </c>
      <c r="W144" s="1"/>
      <c r="X144" s="1">
        <f t="shared" ca="1" si="76"/>
        <v>5.9917480506080594</v>
      </c>
      <c r="Y144" s="1">
        <f t="shared" ca="1" si="77"/>
        <v>0.95242403564137168</v>
      </c>
      <c r="Z144" s="1">
        <f t="shared" ca="1" si="78"/>
        <v>1772</v>
      </c>
      <c r="AB144" s="1">
        <f t="shared" ca="1" si="79"/>
        <v>0.58124410786746528</v>
      </c>
      <c r="AC144" s="1">
        <f t="shared" ca="1" si="80"/>
        <v>948</v>
      </c>
      <c r="AD144" s="1">
        <f t="shared" ca="1" si="81"/>
        <v>8.6244791983692455E-3</v>
      </c>
      <c r="AE144" s="1"/>
      <c r="AF144" s="1">
        <f t="shared" ca="1" si="82"/>
        <v>0.52114707959466688</v>
      </c>
      <c r="AG144" s="1">
        <f t="shared" ca="1" si="83"/>
        <v>614</v>
      </c>
      <c r="AH144" s="1">
        <f t="shared" ca="1" si="84"/>
        <v>6.1906383335573224E-3</v>
      </c>
      <c r="AJ144" s="1">
        <f t="shared" ca="1" si="85"/>
        <v>0.64193946251653078</v>
      </c>
      <c r="AK144" s="1">
        <f t="shared" ca="1" si="86"/>
        <v>9.2169270945014359E-3</v>
      </c>
      <c r="AL144" s="1"/>
      <c r="AM144" s="1">
        <f t="shared" ca="1" si="87"/>
        <v>1.7030163020724305E-2</v>
      </c>
      <c r="AN144" s="1">
        <f t="shared" ca="1" si="88"/>
        <v>64</v>
      </c>
      <c r="AO144" s="1">
        <f t="shared" ca="1" si="89"/>
        <v>9</v>
      </c>
    </row>
    <row r="145" spans="2:41" x14ac:dyDescent="0.25">
      <c r="B145">
        <f t="shared" ca="1" si="60"/>
        <v>460</v>
      </c>
      <c r="C145">
        <f t="shared" ca="1" si="61"/>
        <v>16</v>
      </c>
      <c r="D145">
        <f t="shared" ca="1" si="62"/>
        <v>0.28455289265015909</v>
      </c>
      <c r="F145" s="1">
        <f t="shared" ca="1" si="63"/>
        <v>26</v>
      </c>
      <c r="G145" s="1">
        <f t="shared" ca="1" si="64"/>
        <v>30</v>
      </c>
      <c r="H145" s="1">
        <f t="shared" ca="1" si="65"/>
        <v>2</v>
      </c>
      <c r="I145" s="1"/>
      <c r="J145" s="1">
        <f t="shared" ca="1" si="66"/>
        <v>4</v>
      </c>
      <c r="K145" s="1">
        <f t="shared" ca="1" si="67"/>
        <v>2.2793704772402226</v>
      </c>
      <c r="L145" s="1">
        <f t="shared" ca="1" si="68"/>
        <v>24</v>
      </c>
      <c r="M145" s="1"/>
      <c r="N145" s="1">
        <f t="shared" ca="1" si="69"/>
        <v>936</v>
      </c>
      <c r="O145" s="1">
        <f t="shared" ca="1" si="70"/>
        <v>48</v>
      </c>
      <c r="P145" s="1"/>
      <c r="Q145" s="1">
        <f t="shared" ca="1" si="71"/>
        <v>2.3568242566294915</v>
      </c>
      <c r="R145" s="1">
        <f t="shared" ca="1" si="72"/>
        <v>1003</v>
      </c>
      <c r="S145" s="1"/>
      <c r="T145" s="1">
        <f t="shared" ca="1" si="73"/>
        <v>0.12336434581423682</v>
      </c>
      <c r="U145" s="1">
        <f t="shared" ca="1" si="74"/>
        <v>220</v>
      </c>
      <c r="V145" s="1">
        <f t="shared" ca="1" si="75"/>
        <v>49</v>
      </c>
      <c r="W145" s="1"/>
      <c r="X145" s="1">
        <f t="shared" ca="1" si="76"/>
        <v>3.5225005411548196</v>
      </c>
      <c r="Y145" s="1">
        <f t="shared" ca="1" si="77"/>
        <v>0.29442059756109445</v>
      </c>
      <c r="Z145" s="1">
        <f t="shared" ca="1" si="78"/>
        <v>1325</v>
      </c>
      <c r="AB145" s="1">
        <f t="shared" ca="1" si="79"/>
        <v>0.73563691590207692</v>
      </c>
      <c r="AC145" s="1">
        <f t="shared" ca="1" si="80"/>
        <v>275</v>
      </c>
      <c r="AD145" s="1">
        <f t="shared" ca="1" si="81"/>
        <v>4.3725565732798206E-5</v>
      </c>
      <c r="AE145" s="1"/>
      <c r="AF145" s="1">
        <f t="shared" ca="1" si="82"/>
        <v>0.85029241334394579</v>
      </c>
      <c r="AG145" s="1">
        <f t="shared" ca="1" si="83"/>
        <v>579</v>
      </c>
      <c r="AH145" s="1">
        <f t="shared" ca="1" si="84"/>
        <v>8.1217472344797328E-3</v>
      </c>
      <c r="AJ145" s="1">
        <f t="shared" ca="1" si="85"/>
        <v>0.8731587727940634</v>
      </c>
      <c r="AK145" s="1">
        <f t="shared" ca="1" si="86"/>
        <v>3.0468288650763549E-3</v>
      </c>
      <c r="AL145" s="1"/>
      <c r="AM145" s="1">
        <f t="shared" ca="1" si="87"/>
        <v>2.698592604481484E-2</v>
      </c>
      <c r="AN145" s="1">
        <f t="shared" ca="1" si="88"/>
        <v>80</v>
      </c>
      <c r="AO145" s="1">
        <f t="shared" ca="1" si="89"/>
        <v>4</v>
      </c>
    </row>
    <row r="146" spans="2:41" x14ac:dyDescent="0.25">
      <c r="B146">
        <f t="shared" ca="1" si="60"/>
        <v>666</v>
      </c>
      <c r="C146">
        <f t="shared" ca="1" si="61"/>
        <v>38</v>
      </c>
      <c r="D146">
        <f t="shared" ca="1" si="62"/>
        <v>0.15697111292931104</v>
      </c>
      <c r="F146" s="1">
        <f t="shared" ca="1" si="63"/>
        <v>42</v>
      </c>
      <c r="G146" s="1">
        <f t="shared" ca="1" si="64"/>
        <v>14</v>
      </c>
      <c r="H146" s="1">
        <f t="shared" ca="1" si="65"/>
        <v>11</v>
      </c>
      <c r="I146" s="1"/>
      <c r="J146" s="1">
        <f t="shared" ca="1" si="66"/>
        <v>17</v>
      </c>
      <c r="K146" s="1">
        <f t="shared" ca="1" si="67"/>
        <v>1.1100286490721756</v>
      </c>
      <c r="L146" s="1">
        <f t="shared" ca="1" si="68"/>
        <v>32</v>
      </c>
      <c r="M146" s="1"/>
      <c r="N146" s="1">
        <f t="shared" ca="1" si="69"/>
        <v>603</v>
      </c>
      <c r="O146" s="1">
        <f t="shared" ca="1" si="70"/>
        <v>31</v>
      </c>
      <c r="P146" s="1"/>
      <c r="Q146" s="1">
        <f t="shared" ca="1" si="71"/>
        <v>3.9961812098532126</v>
      </c>
      <c r="R146" s="1">
        <f t="shared" ca="1" si="72"/>
        <v>715</v>
      </c>
      <c r="S146" s="1"/>
      <c r="T146" s="1">
        <f t="shared" ca="1" si="73"/>
        <v>2.2384425392343789E-2</v>
      </c>
      <c r="U146" s="1">
        <f t="shared" ca="1" si="74"/>
        <v>431</v>
      </c>
      <c r="V146" s="1">
        <f t="shared" ca="1" si="75"/>
        <v>44</v>
      </c>
      <c r="W146" s="1"/>
      <c r="X146" s="1">
        <f t="shared" ca="1" si="76"/>
        <v>4.7424630140703909</v>
      </c>
      <c r="Y146" s="1">
        <f t="shared" ca="1" si="77"/>
        <v>0.17247143481911559</v>
      </c>
      <c r="Z146" s="1">
        <f t="shared" ca="1" si="78"/>
        <v>1427</v>
      </c>
      <c r="AB146" s="1">
        <f t="shared" ca="1" si="79"/>
        <v>0.69946280917152892</v>
      </c>
      <c r="AC146" s="1">
        <f t="shared" ca="1" si="80"/>
        <v>106</v>
      </c>
      <c r="AD146" s="1">
        <f t="shared" ca="1" si="81"/>
        <v>1.865005049313575E-3</v>
      </c>
      <c r="AE146" s="1"/>
      <c r="AF146" s="1">
        <f t="shared" ca="1" si="82"/>
        <v>0.55454582060008528</v>
      </c>
      <c r="AG146" s="1">
        <f t="shared" ca="1" si="83"/>
        <v>949</v>
      </c>
      <c r="AH146" s="1">
        <f t="shared" ca="1" si="84"/>
        <v>5.967935154501957E-3</v>
      </c>
      <c r="AJ146" s="1">
        <f t="shared" ca="1" si="85"/>
        <v>5.1599169889641083E-2</v>
      </c>
      <c r="AK146" s="1">
        <f t="shared" ca="1" si="86"/>
        <v>8.6953438976080377E-3</v>
      </c>
      <c r="AL146" s="1"/>
      <c r="AM146" s="1">
        <f t="shared" ca="1" si="87"/>
        <v>0.17325110347997169</v>
      </c>
      <c r="AN146" s="1">
        <f t="shared" ca="1" si="88"/>
        <v>63</v>
      </c>
      <c r="AO146" s="1">
        <f t="shared" ca="1" si="89"/>
        <v>18</v>
      </c>
    </row>
    <row r="147" spans="2:41" x14ac:dyDescent="0.25">
      <c r="B147">
        <f t="shared" ca="1" si="60"/>
        <v>402</v>
      </c>
      <c r="C147">
        <f t="shared" ca="1" si="61"/>
        <v>3</v>
      </c>
      <c r="D147">
        <f t="shared" ca="1" si="62"/>
        <v>3.3596095056339773E-2</v>
      </c>
      <c r="F147" s="1">
        <f t="shared" ca="1" si="63"/>
        <v>30</v>
      </c>
      <c r="G147" s="1">
        <f t="shared" ca="1" si="64"/>
        <v>8</v>
      </c>
      <c r="H147" s="1">
        <f t="shared" ca="1" si="65"/>
        <v>13</v>
      </c>
      <c r="I147" s="1"/>
      <c r="J147" s="1">
        <f t="shared" ca="1" si="66"/>
        <v>32</v>
      </c>
      <c r="K147" s="1">
        <f t="shared" ca="1" si="67"/>
        <v>2.3739930181849291</v>
      </c>
      <c r="L147" s="1">
        <f t="shared" ca="1" si="68"/>
        <v>18</v>
      </c>
      <c r="M147" s="1"/>
      <c r="N147" s="1">
        <f t="shared" ca="1" si="69"/>
        <v>200</v>
      </c>
      <c r="O147" s="1">
        <f t="shared" ca="1" si="70"/>
        <v>5</v>
      </c>
      <c r="P147" s="1"/>
      <c r="Q147" s="1">
        <f t="shared" ca="1" si="71"/>
        <v>2.9734193856816447</v>
      </c>
      <c r="R147" s="1">
        <f t="shared" ca="1" si="72"/>
        <v>1064</v>
      </c>
      <c r="S147" s="1"/>
      <c r="T147" s="1">
        <f t="shared" ca="1" si="73"/>
        <v>5.3036000407292207E-2</v>
      </c>
      <c r="U147" s="1">
        <f t="shared" ca="1" si="74"/>
        <v>351</v>
      </c>
      <c r="V147" s="1">
        <f t="shared" ca="1" si="75"/>
        <v>35</v>
      </c>
      <c r="W147" s="1"/>
      <c r="X147" s="1">
        <f t="shared" ca="1" si="76"/>
        <v>2.8990973185876139</v>
      </c>
      <c r="Y147" s="1">
        <f t="shared" ca="1" si="77"/>
        <v>0.52160562932759469</v>
      </c>
      <c r="Z147" s="1">
        <f t="shared" ca="1" si="78"/>
        <v>1801</v>
      </c>
      <c r="AB147" s="1">
        <f t="shared" ca="1" si="79"/>
        <v>0.11293274210863621</v>
      </c>
      <c r="AC147" s="1">
        <f t="shared" ca="1" si="80"/>
        <v>689</v>
      </c>
      <c r="AD147" s="1">
        <f t="shared" ca="1" si="81"/>
        <v>7.2008819502966262E-3</v>
      </c>
      <c r="AE147" s="1"/>
      <c r="AF147" s="1">
        <f t="shared" ca="1" si="82"/>
        <v>0.31417820764800308</v>
      </c>
      <c r="AG147" s="1">
        <f t="shared" ca="1" si="83"/>
        <v>743</v>
      </c>
      <c r="AH147" s="1">
        <f t="shared" ca="1" si="84"/>
        <v>5.3814296194266628E-3</v>
      </c>
      <c r="AJ147" s="1">
        <f t="shared" ca="1" si="85"/>
        <v>0.67061494400905175</v>
      </c>
      <c r="AK147" s="1">
        <f t="shared" ca="1" si="86"/>
        <v>7.2592545440284661E-4</v>
      </c>
      <c r="AL147" s="1"/>
      <c r="AM147" s="1">
        <f t="shared" ca="1" si="87"/>
        <v>6.4455971982776772E-3</v>
      </c>
      <c r="AN147" s="1">
        <f t="shared" ca="1" si="88"/>
        <v>25</v>
      </c>
      <c r="AO147" s="1">
        <f t="shared" ca="1" si="89"/>
        <v>16</v>
      </c>
    </row>
    <row r="148" spans="2:41" x14ac:dyDescent="0.25">
      <c r="B148">
        <f t="shared" ca="1" si="60"/>
        <v>427</v>
      </c>
      <c r="C148">
        <f t="shared" ca="1" si="61"/>
        <v>30</v>
      </c>
      <c r="D148">
        <f t="shared" ca="1" si="62"/>
        <v>0.2270956910511745</v>
      </c>
      <c r="F148" s="1">
        <f t="shared" ca="1" si="63"/>
        <v>42</v>
      </c>
      <c r="G148" s="1">
        <f t="shared" ca="1" si="64"/>
        <v>10</v>
      </c>
      <c r="H148" s="1">
        <f t="shared" ca="1" si="65"/>
        <v>1</v>
      </c>
      <c r="I148" s="1"/>
      <c r="J148" s="1">
        <f t="shared" ca="1" si="66"/>
        <v>14</v>
      </c>
      <c r="K148" s="1">
        <f t="shared" ca="1" si="67"/>
        <v>2.3624723305332784</v>
      </c>
      <c r="L148" s="1">
        <f t="shared" ca="1" si="68"/>
        <v>16</v>
      </c>
      <c r="M148" s="1"/>
      <c r="N148" s="1">
        <f t="shared" ca="1" si="69"/>
        <v>223</v>
      </c>
      <c r="O148" s="1">
        <f t="shared" ca="1" si="70"/>
        <v>7</v>
      </c>
      <c r="P148" s="1"/>
      <c r="Q148" s="1">
        <f t="shared" ca="1" si="71"/>
        <v>4.5688329094558453</v>
      </c>
      <c r="R148" s="1">
        <f t="shared" ca="1" si="72"/>
        <v>550</v>
      </c>
      <c r="S148" s="1"/>
      <c r="T148" s="1">
        <f t="shared" ca="1" si="73"/>
        <v>6.5853297462338242E-2</v>
      </c>
      <c r="U148" s="1">
        <f t="shared" ca="1" si="74"/>
        <v>386</v>
      </c>
      <c r="V148" s="1">
        <f t="shared" ca="1" si="75"/>
        <v>31</v>
      </c>
      <c r="W148" s="1"/>
      <c r="X148" s="1">
        <f t="shared" ca="1" si="76"/>
        <v>6.4376488966873744</v>
      </c>
      <c r="Y148" s="1">
        <f t="shared" ca="1" si="77"/>
        <v>0.49720284943419862</v>
      </c>
      <c r="Z148" s="1">
        <f t="shared" ca="1" si="78"/>
        <v>1902</v>
      </c>
      <c r="AB148" s="1">
        <f t="shared" ca="1" si="79"/>
        <v>0.43890421966334103</v>
      </c>
      <c r="AC148" s="1">
        <f t="shared" ca="1" si="80"/>
        <v>475</v>
      </c>
      <c r="AD148" s="1">
        <f t="shared" ca="1" si="81"/>
        <v>2.3606288519186975E-3</v>
      </c>
      <c r="AE148" s="1"/>
      <c r="AF148" s="1">
        <f t="shared" ca="1" si="82"/>
        <v>0.25560050878463925</v>
      </c>
      <c r="AG148" s="1">
        <f t="shared" ca="1" si="83"/>
        <v>601</v>
      </c>
      <c r="AH148" s="1">
        <f t="shared" ca="1" si="84"/>
        <v>1.2122032171926289E-3</v>
      </c>
      <c r="AJ148" s="1">
        <f t="shared" ca="1" si="85"/>
        <v>0.60689896655165498</v>
      </c>
      <c r="AK148" s="1">
        <f t="shared" ca="1" si="86"/>
        <v>6.3665427966224999E-3</v>
      </c>
      <c r="AL148" s="1"/>
      <c r="AM148" s="1">
        <f t="shared" ca="1" si="87"/>
        <v>1.3590680905048717E-2</v>
      </c>
      <c r="AN148" s="1">
        <f t="shared" ca="1" si="88"/>
        <v>25</v>
      </c>
      <c r="AO148" s="1">
        <f t="shared" ca="1" si="89"/>
        <v>4</v>
      </c>
    </row>
    <row r="149" spans="2:41" x14ac:dyDescent="0.25">
      <c r="B149">
        <f t="shared" ca="1" si="60"/>
        <v>380</v>
      </c>
      <c r="C149">
        <f t="shared" ca="1" si="61"/>
        <v>50</v>
      </c>
      <c r="D149">
        <f t="shared" ca="1" si="62"/>
        <v>0.26964291330492834</v>
      </c>
      <c r="F149" s="1">
        <f t="shared" ca="1" si="63"/>
        <v>36</v>
      </c>
      <c r="G149" s="1">
        <f t="shared" ca="1" si="64"/>
        <v>30</v>
      </c>
      <c r="H149" s="1">
        <f t="shared" ca="1" si="65"/>
        <v>13</v>
      </c>
      <c r="I149" s="1"/>
      <c r="J149" s="1">
        <f t="shared" ca="1" si="66"/>
        <v>4</v>
      </c>
      <c r="K149" s="1">
        <f t="shared" ca="1" si="67"/>
        <v>2.3311320449552793</v>
      </c>
      <c r="L149" s="1">
        <f t="shared" ca="1" si="68"/>
        <v>15</v>
      </c>
      <c r="M149" s="1"/>
      <c r="N149" s="1">
        <f t="shared" ca="1" si="69"/>
        <v>905</v>
      </c>
      <c r="O149" s="1">
        <f t="shared" ca="1" si="70"/>
        <v>49</v>
      </c>
      <c r="P149" s="1"/>
      <c r="Q149" s="1">
        <f t="shared" ca="1" si="71"/>
        <v>3.5893699714432632</v>
      </c>
      <c r="R149" s="1">
        <f t="shared" ca="1" si="72"/>
        <v>839</v>
      </c>
      <c r="S149" s="1"/>
      <c r="T149" s="1">
        <f t="shared" ca="1" si="73"/>
        <v>0.10931874702079751</v>
      </c>
      <c r="U149" s="1">
        <f t="shared" ca="1" si="74"/>
        <v>265</v>
      </c>
      <c r="V149" s="1">
        <f t="shared" ca="1" si="75"/>
        <v>7</v>
      </c>
      <c r="W149" s="1"/>
      <c r="X149" s="1">
        <f t="shared" ca="1" si="76"/>
        <v>9.5011243719859415</v>
      </c>
      <c r="Y149" s="1">
        <f t="shared" ca="1" si="77"/>
        <v>0.39996543291993319</v>
      </c>
      <c r="Z149" s="1">
        <f t="shared" ca="1" si="78"/>
        <v>457</v>
      </c>
      <c r="AB149" s="1">
        <f t="shared" ca="1" si="79"/>
        <v>0.37358155124014114</v>
      </c>
      <c r="AC149" s="1">
        <f t="shared" ca="1" si="80"/>
        <v>267</v>
      </c>
      <c r="AD149" s="1">
        <f t="shared" ca="1" si="81"/>
        <v>5.5745917241256269E-3</v>
      </c>
      <c r="AE149" s="1"/>
      <c r="AF149" s="1">
        <f t="shared" ca="1" si="82"/>
        <v>0.4006904247315386</v>
      </c>
      <c r="AG149" s="1">
        <f t="shared" ca="1" si="83"/>
        <v>538</v>
      </c>
      <c r="AH149" s="1">
        <f t="shared" ca="1" si="84"/>
        <v>5.7389483794248702E-4</v>
      </c>
      <c r="AJ149" s="1">
        <f t="shared" ca="1" si="85"/>
        <v>0.31900594147744654</v>
      </c>
      <c r="AK149" s="1">
        <f t="shared" ca="1" si="86"/>
        <v>5.167176730127441E-3</v>
      </c>
      <c r="AL149" s="1"/>
      <c r="AM149" s="1">
        <f t="shared" ca="1" si="87"/>
        <v>0.17735323917376558</v>
      </c>
      <c r="AN149" s="1">
        <f t="shared" ca="1" si="88"/>
        <v>63</v>
      </c>
      <c r="AO149" s="1">
        <f t="shared" ca="1" si="89"/>
        <v>5</v>
      </c>
    </row>
    <row r="150" spans="2:41" x14ac:dyDescent="0.25">
      <c r="B150">
        <f t="shared" ca="1" si="60"/>
        <v>626</v>
      </c>
      <c r="C150">
        <f t="shared" ca="1" si="61"/>
        <v>5</v>
      </c>
      <c r="D150">
        <f t="shared" ca="1" si="62"/>
        <v>0.25484691353116057</v>
      </c>
      <c r="F150" s="1">
        <f t="shared" ca="1" si="63"/>
        <v>15</v>
      </c>
      <c r="G150" s="1">
        <f t="shared" ca="1" si="64"/>
        <v>3</v>
      </c>
      <c r="H150" s="1">
        <f t="shared" ca="1" si="65"/>
        <v>10</v>
      </c>
      <c r="I150" s="1"/>
      <c r="J150" s="1">
        <f t="shared" ca="1" si="66"/>
        <v>27</v>
      </c>
      <c r="K150" s="1">
        <f t="shared" ca="1" si="67"/>
        <v>1.4662273237600667</v>
      </c>
      <c r="L150" s="1">
        <f t="shared" ca="1" si="68"/>
        <v>34</v>
      </c>
      <c r="M150" s="1"/>
      <c r="N150" s="1">
        <f t="shared" ca="1" si="69"/>
        <v>536</v>
      </c>
      <c r="O150" s="1">
        <f t="shared" ca="1" si="70"/>
        <v>28</v>
      </c>
      <c r="P150" s="1"/>
      <c r="Q150" s="1">
        <f t="shared" ca="1" si="71"/>
        <v>1.5977725665896199</v>
      </c>
      <c r="R150" s="1">
        <f t="shared" ca="1" si="72"/>
        <v>814</v>
      </c>
      <c r="S150" s="1"/>
      <c r="T150" s="1">
        <f t="shared" ca="1" si="73"/>
        <v>0.19929835165019694</v>
      </c>
      <c r="U150" s="1">
        <f t="shared" ca="1" si="74"/>
        <v>212</v>
      </c>
      <c r="V150" s="1">
        <f t="shared" ca="1" si="75"/>
        <v>20</v>
      </c>
      <c r="W150" s="1"/>
      <c r="X150" s="1">
        <f t="shared" ca="1" si="76"/>
        <v>2.3623137022302489</v>
      </c>
      <c r="Y150" s="1">
        <f t="shared" ca="1" si="77"/>
        <v>0.99745236765100542</v>
      </c>
      <c r="Z150" s="1">
        <f t="shared" ca="1" si="78"/>
        <v>1522</v>
      </c>
      <c r="AB150" s="1">
        <f t="shared" ca="1" si="79"/>
        <v>0.93459588820229511</v>
      </c>
      <c r="AC150" s="1">
        <f t="shared" ca="1" si="80"/>
        <v>222</v>
      </c>
      <c r="AD150" s="1">
        <f t="shared" ca="1" si="81"/>
        <v>2.0649077515271113E-3</v>
      </c>
      <c r="AE150" s="1"/>
      <c r="AF150" s="1">
        <f t="shared" ca="1" si="82"/>
        <v>0.3854151966260243</v>
      </c>
      <c r="AG150" s="1">
        <f t="shared" ca="1" si="83"/>
        <v>610</v>
      </c>
      <c r="AH150" s="1">
        <f t="shared" ca="1" si="84"/>
        <v>7.4712077615225227E-3</v>
      </c>
      <c r="AJ150" s="1">
        <f t="shared" ca="1" si="85"/>
        <v>0.2897535614815111</v>
      </c>
      <c r="AK150" s="1">
        <f t="shared" ca="1" si="86"/>
        <v>5.5698149433191374E-3</v>
      </c>
      <c r="AL150" s="1"/>
      <c r="AM150" s="1">
        <f t="shared" ca="1" si="87"/>
        <v>0.12284445582766729</v>
      </c>
      <c r="AN150" s="1">
        <f t="shared" ca="1" si="88"/>
        <v>66</v>
      </c>
      <c r="AO150" s="1">
        <f t="shared" ca="1" si="89"/>
        <v>16</v>
      </c>
    </row>
    <row r="151" spans="2:41" x14ac:dyDescent="0.25">
      <c r="B151">
        <f t="shared" ca="1" si="60"/>
        <v>731</v>
      </c>
      <c r="C151">
        <f t="shared" ca="1" si="61"/>
        <v>52</v>
      </c>
      <c r="D151">
        <f t="shared" ca="1" si="62"/>
        <v>5.3558059594361968E-2</v>
      </c>
      <c r="F151" s="1">
        <f t="shared" ca="1" si="63"/>
        <v>29</v>
      </c>
      <c r="G151" s="1">
        <f t="shared" ca="1" si="64"/>
        <v>11</v>
      </c>
      <c r="H151" s="1">
        <f t="shared" ca="1" si="65"/>
        <v>8</v>
      </c>
      <c r="I151" s="1"/>
      <c r="J151" s="1">
        <f t="shared" ca="1" si="66"/>
        <v>35</v>
      </c>
      <c r="K151" s="1">
        <f t="shared" ca="1" si="67"/>
        <v>2.5234752964227187</v>
      </c>
      <c r="L151" s="1">
        <f t="shared" ca="1" si="68"/>
        <v>35</v>
      </c>
      <c r="M151" s="1"/>
      <c r="N151" s="1">
        <f t="shared" ca="1" si="69"/>
        <v>765</v>
      </c>
      <c r="O151" s="1">
        <f t="shared" ca="1" si="70"/>
        <v>26</v>
      </c>
      <c r="P151" s="1"/>
      <c r="Q151" s="1">
        <f t="shared" ca="1" si="71"/>
        <v>2.2411665449541851</v>
      </c>
      <c r="R151" s="1">
        <f t="shared" ca="1" si="72"/>
        <v>784</v>
      </c>
      <c r="S151" s="1"/>
      <c r="T151" s="1">
        <f t="shared" ca="1" si="73"/>
        <v>0.19957626591188518</v>
      </c>
      <c r="U151" s="1">
        <f t="shared" ca="1" si="74"/>
        <v>224</v>
      </c>
      <c r="V151" s="1">
        <f t="shared" ca="1" si="75"/>
        <v>5</v>
      </c>
      <c r="W151" s="1"/>
      <c r="X151" s="1">
        <f t="shared" ca="1" si="76"/>
        <v>2.030260972712997</v>
      </c>
      <c r="Y151" s="1">
        <f t="shared" ca="1" si="77"/>
        <v>0.15147338028471888</v>
      </c>
      <c r="Z151" s="1">
        <f t="shared" ca="1" si="78"/>
        <v>720</v>
      </c>
      <c r="AB151" s="1">
        <f t="shared" ca="1" si="79"/>
        <v>8.9896849524385994E-2</v>
      </c>
      <c r="AC151" s="1">
        <f t="shared" ca="1" si="80"/>
        <v>361</v>
      </c>
      <c r="AD151" s="1">
        <f t="shared" ca="1" si="81"/>
        <v>4.9712105176198595E-3</v>
      </c>
      <c r="AE151" s="1"/>
      <c r="AF151" s="1">
        <f t="shared" ca="1" si="82"/>
        <v>0.69726678353878413</v>
      </c>
      <c r="AG151" s="1">
        <f t="shared" ca="1" si="83"/>
        <v>315</v>
      </c>
      <c r="AH151" s="1">
        <f t="shared" ca="1" si="84"/>
        <v>1.5040526726893609E-3</v>
      </c>
      <c r="AJ151" s="1">
        <f t="shared" ca="1" si="85"/>
        <v>8.633635470603862E-2</v>
      </c>
      <c r="AK151" s="1">
        <f t="shared" ca="1" si="86"/>
        <v>7.511182693779238E-3</v>
      </c>
      <c r="AL151" s="1"/>
      <c r="AM151" s="1">
        <f t="shared" ca="1" si="87"/>
        <v>8.5212715209858944E-2</v>
      </c>
      <c r="AN151" s="1">
        <f t="shared" ca="1" si="88"/>
        <v>26</v>
      </c>
      <c r="AO151" s="1">
        <f t="shared" ca="1" si="89"/>
        <v>6</v>
      </c>
    </row>
    <row r="152" spans="2:41" x14ac:dyDescent="0.25">
      <c r="B152">
        <f t="shared" ca="1" si="60"/>
        <v>247</v>
      </c>
      <c r="C152">
        <f t="shared" ca="1" si="61"/>
        <v>30</v>
      </c>
      <c r="D152">
        <f t="shared" ca="1" si="62"/>
        <v>0.19544547490573505</v>
      </c>
      <c r="F152" s="1">
        <f t="shared" ca="1" si="63"/>
        <v>31</v>
      </c>
      <c r="G152" s="1">
        <f t="shared" ca="1" si="64"/>
        <v>12</v>
      </c>
      <c r="H152" s="1">
        <f t="shared" ca="1" si="65"/>
        <v>11</v>
      </c>
      <c r="I152" s="1"/>
      <c r="J152" s="1">
        <f t="shared" ca="1" si="66"/>
        <v>15</v>
      </c>
      <c r="K152" s="1">
        <f t="shared" ca="1" si="67"/>
        <v>2.2618225523467661</v>
      </c>
      <c r="L152" s="1">
        <f t="shared" ca="1" si="68"/>
        <v>17</v>
      </c>
      <c r="M152" s="1"/>
      <c r="N152" s="1">
        <f t="shared" ca="1" si="69"/>
        <v>73</v>
      </c>
      <c r="O152" s="1">
        <f t="shared" ca="1" si="70"/>
        <v>5</v>
      </c>
      <c r="P152" s="1"/>
      <c r="Q152" s="1">
        <f t="shared" ca="1" si="71"/>
        <v>2.962502208638798</v>
      </c>
      <c r="R152" s="1">
        <f t="shared" ca="1" si="72"/>
        <v>1194</v>
      </c>
      <c r="S152" s="1"/>
      <c r="T152" s="1">
        <f t="shared" ca="1" si="73"/>
        <v>9.2580516405181071E-2</v>
      </c>
      <c r="U152" s="1">
        <f t="shared" ca="1" si="74"/>
        <v>126</v>
      </c>
      <c r="V152" s="1">
        <f t="shared" ca="1" si="75"/>
        <v>5</v>
      </c>
      <c r="W152" s="1"/>
      <c r="X152" s="1">
        <f t="shared" ca="1" si="76"/>
        <v>5.4670096929333249</v>
      </c>
      <c r="Y152" s="1">
        <f t="shared" ca="1" si="77"/>
        <v>0.47930029515276695</v>
      </c>
      <c r="Z152" s="1">
        <f t="shared" ca="1" si="78"/>
        <v>215</v>
      </c>
      <c r="AB152" s="1">
        <f t="shared" ca="1" si="79"/>
        <v>0.27545539540177416</v>
      </c>
      <c r="AC152" s="1">
        <f t="shared" ca="1" si="80"/>
        <v>586</v>
      </c>
      <c r="AD152" s="1">
        <f t="shared" ca="1" si="81"/>
        <v>5.6551488377428591E-3</v>
      </c>
      <c r="AE152" s="1"/>
      <c r="AF152" s="1">
        <f t="shared" ca="1" si="82"/>
        <v>0.51179139087081915</v>
      </c>
      <c r="AG152" s="1">
        <f t="shared" ca="1" si="83"/>
        <v>282</v>
      </c>
      <c r="AH152" s="1">
        <f t="shared" ca="1" si="84"/>
        <v>2.6718686638707188E-3</v>
      </c>
      <c r="AJ152" s="1">
        <f t="shared" ca="1" si="85"/>
        <v>0.20597624403913628</v>
      </c>
      <c r="AK152" s="1">
        <f t="shared" ca="1" si="86"/>
        <v>1.3639716967494332E-3</v>
      </c>
      <c r="AL152" s="1"/>
      <c r="AM152" s="1">
        <f t="shared" ca="1" si="87"/>
        <v>0.10084178612780761</v>
      </c>
      <c r="AN152" s="1">
        <f t="shared" ca="1" si="88"/>
        <v>62</v>
      </c>
      <c r="AO152" s="1">
        <f t="shared" ca="1" si="89"/>
        <v>-1</v>
      </c>
    </row>
    <row r="153" spans="2:41" x14ac:dyDescent="0.25">
      <c r="B153">
        <f t="shared" ca="1" si="60"/>
        <v>338</v>
      </c>
      <c r="C153">
        <f t="shared" ca="1" si="61"/>
        <v>52</v>
      </c>
      <c r="D153">
        <f t="shared" ca="1" si="62"/>
        <v>9.5846460084066776E-2</v>
      </c>
      <c r="F153" s="1">
        <f t="shared" ca="1" si="63"/>
        <v>38</v>
      </c>
      <c r="G153" s="1">
        <f t="shared" ca="1" si="64"/>
        <v>13</v>
      </c>
      <c r="H153" s="1">
        <f t="shared" ca="1" si="65"/>
        <v>1</v>
      </c>
      <c r="I153" s="1"/>
      <c r="J153" s="1">
        <f t="shared" ca="1" si="66"/>
        <v>22</v>
      </c>
      <c r="K153" s="1">
        <f t="shared" ca="1" si="67"/>
        <v>2.657720887690572</v>
      </c>
      <c r="L153" s="1">
        <f t="shared" ca="1" si="68"/>
        <v>21</v>
      </c>
      <c r="M153" s="1"/>
      <c r="N153" s="1">
        <f t="shared" ca="1" si="69"/>
        <v>800</v>
      </c>
      <c r="O153" s="1">
        <f t="shared" ca="1" si="70"/>
        <v>36</v>
      </c>
      <c r="P153" s="1"/>
      <c r="Q153" s="1">
        <f t="shared" ca="1" si="71"/>
        <v>4.479525590549617</v>
      </c>
      <c r="R153" s="1">
        <f t="shared" ca="1" si="72"/>
        <v>400</v>
      </c>
      <c r="S153" s="1"/>
      <c r="T153" s="1">
        <f t="shared" ca="1" si="73"/>
        <v>1.6996104501336554E-2</v>
      </c>
      <c r="U153" s="1">
        <f t="shared" ca="1" si="74"/>
        <v>284</v>
      </c>
      <c r="V153" s="1">
        <f t="shared" ca="1" si="75"/>
        <v>10</v>
      </c>
      <c r="W153" s="1"/>
      <c r="X153" s="1">
        <f t="shared" ca="1" si="76"/>
        <v>4.2122455223507398</v>
      </c>
      <c r="Y153" s="1">
        <f t="shared" ca="1" si="77"/>
        <v>0.83703029493794434</v>
      </c>
      <c r="Z153" s="1">
        <f t="shared" ca="1" si="78"/>
        <v>910</v>
      </c>
      <c r="AB153" s="1">
        <f t="shared" ca="1" si="79"/>
        <v>0.85736225196221005</v>
      </c>
      <c r="AC153" s="1">
        <f t="shared" ca="1" si="80"/>
        <v>429</v>
      </c>
      <c r="AD153" s="1">
        <f t="shared" ca="1" si="81"/>
        <v>4.9946491063540448E-3</v>
      </c>
      <c r="AE153" s="1"/>
      <c r="AF153" s="1">
        <f t="shared" ca="1" si="82"/>
        <v>0.19370350260448863</v>
      </c>
      <c r="AG153" s="1">
        <f t="shared" ca="1" si="83"/>
        <v>346</v>
      </c>
      <c r="AH153" s="1">
        <f t="shared" ca="1" si="84"/>
        <v>2.5363749256477044E-3</v>
      </c>
      <c r="AJ153" s="1">
        <f t="shared" ca="1" si="85"/>
        <v>0.25778299703783214</v>
      </c>
      <c r="AK153" s="1">
        <f t="shared" ca="1" si="86"/>
        <v>9.8473380998332968E-3</v>
      </c>
      <c r="AL153" s="1"/>
      <c r="AM153" s="1">
        <f t="shared" ca="1" si="87"/>
        <v>0.10958280937055788</v>
      </c>
      <c r="AN153" s="1">
        <f t="shared" ca="1" si="88"/>
        <v>24</v>
      </c>
      <c r="AO153" s="1">
        <f t="shared" ca="1" si="89"/>
        <v>2</v>
      </c>
    </row>
    <row r="154" spans="2:41" x14ac:dyDescent="0.25">
      <c r="B154">
        <f t="shared" ca="1" si="60"/>
        <v>321</v>
      </c>
      <c r="C154">
        <f t="shared" ca="1" si="61"/>
        <v>31</v>
      </c>
      <c r="D154">
        <f t="shared" ca="1" si="62"/>
        <v>8.2010678259156811E-2</v>
      </c>
      <c r="F154" s="1">
        <f t="shared" ca="1" si="63"/>
        <v>4</v>
      </c>
      <c r="G154" s="1">
        <f t="shared" ca="1" si="64"/>
        <v>22</v>
      </c>
      <c r="H154" s="1">
        <f t="shared" ca="1" si="65"/>
        <v>12</v>
      </c>
      <c r="I154" s="1"/>
      <c r="J154" s="1">
        <f t="shared" ca="1" si="66"/>
        <v>17</v>
      </c>
      <c r="K154" s="1">
        <f t="shared" ca="1" si="67"/>
        <v>1.4782163579726095</v>
      </c>
      <c r="L154" s="1">
        <f t="shared" ca="1" si="68"/>
        <v>6</v>
      </c>
      <c r="M154" s="1"/>
      <c r="N154" s="1">
        <f t="shared" ca="1" si="69"/>
        <v>385</v>
      </c>
      <c r="O154" s="1">
        <f t="shared" ca="1" si="70"/>
        <v>52</v>
      </c>
      <c r="P154" s="1"/>
      <c r="Q154" s="1">
        <f t="shared" ca="1" si="71"/>
        <v>3.2170352305923324</v>
      </c>
      <c r="R154" s="1">
        <f t="shared" ca="1" si="72"/>
        <v>1112</v>
      </c>
      <c r="S154" s="1"/>
      <c r="T154" s="1">
        <f t="shared" ca="1" si="73"/>
        <v>0.19332692820106975</v>
      </c>
      <c r="U154" s="1">
        <f t="shared" ca="1" si="74"/>
        <v>288</v>
      </c>
      <c r="V154" s="1">
        <f t="shared" ca="1" si="75"/>
        <v>6</v>
      </c>
      <c r="W154" s="1"/>
      <c r="X154" s="1">
        <f t="shared" ca="1" si="76"/>
        <v>3.6991277957586179</v>
      </c>
      <c r="Y154" s="1">
        <f t="shared" ca="1" si="77"/>
        <v>0.88421951463573722</v>
      </c>
      <c r="Z154" s="1">
        <f t="shared" ca="1" si="78"/>
        <v>663</v>
      </c>
      <c r="AB154" s="1">
        <f t="shared" ca="1" si="79"/>
        <v>0.26434472144709747</v>
      </c>
      <c r="AC154" s="1">
        <f t="shared" ca="1" si="80"/>
        <v>912</v>
      </c>
      <c r="AD154" s="1">
        <f t="shared" ca="1" si="81"/>
        <v>9.3043313245756397E-3</v>
      </c>
      <c r="AE154" s="1"/>
      <c r="AF154" s="1">
        <f t="shared" ca="1" si="82"/>
        <v>0.83202595533807366</v>
      </c>
      <c r="AG154" s="1">
        <f t="shared" ca="1" si="83"/>
        <v>286</v>
      </c>
      <c r="AH154" s="1">
        <f t="shared" ca="1" si="84"/>
        <v>9.055008561987295E-3</v>
      </c>
      <c r="AJ154" s="1">
        <f t="shared" ca="1" si="85"/>
        <v>0.87842151716682382</v>
      </c>
      <c r="AK154" s="1">
        <f t="shared" ca="1" si="86"/>
        <v>8.1803329956742742E-3</v>
      </c>
      <c r="AL154" s="1"/>
      <c r="AM154" s="1">
        <f t="shared" ca="1" si="87"/>
        <v>0.13443246867755931</v>
      </c>
      <c r="AN154" s="1">
        <f t="shared" ca="1" si="88"/>
        <v>24</v>
      </c>
      <c r="AO154" s="1">
        <f t="shared" ca="1" si="89"/>
        <v>3</v>
      </c>
    </row>
    <row r="155" spans="2:41" x14ac:dyDescent="0.25">
      <c r="B155">
        <f t="shared" ca="1" si="60"/>
        <v>499</v>
      </c>
      <c r="C155">
        <f t="shared" ca="1" si="61"/>
        <v>16</v>
      </c>
      <c r="D155">
        <f t="shared" ca="1" si="62"/>
        <v>0.11333021290224576</v>
      </c>
      <c r="F155" s="1">
        <f t="shared" ca="1" si="63"/>
        <v>10</v>
      </c>
      <c r="G155" s="1">
        <f t="shared" ca="1" si="64"/>
        <v>17</v>
      </c>
      <c r="H155" s="1">
        <f t="shared" ca="1" si="65"/>
        <v>10</v>
      </c>
      <c r="I155" s="1"/>
      <c r="J155" s="1">
        <f t="shared" ca="1" si="66"/>
        <v>38</v>
      </c>
      <c r="K155" s="1">
        <f t="shared" ca="1" si="67"/>
        <v>1.2196319680742251</v>
      </c>
      <c r="L155" s="1">
        <f t="shared" ca="1" si="68"/>
        <v>4</v>
      </c>
      <c r="M155" s="1"/>
      <c r="N155" s="1">
        <f t="shared" ca="1" si="69"/>
        <v>16</v>
      </c>
      <c r="O155" s="1">
        <f t="shared" ca="1" si="70"/>
        <v>47</v>
      </c>
      <c r="P155" s="1"/>
      <c r="Q155" s="1">
        <f t="shared" ca="1" si="71"/>
        <v>1.8021654170860639</v>
      </c>
      <c r="R155" s="1">
        <f t="shared" ca="1" si="72"/>
        <v>921</v>
      </c>
      <c r="S155" s="1"/>
      <c r="T155" s="1">
        <f t="shared" ca="1" si="73"/>
        <v>0.16656014449262041</v>
      </c>
      <c r="U155" s="1">
        <f t="shared" ca="1" si="74"/>
        <v>120</v>
      </c>
      <c r="V155" s="1">
        <f t="shared" ca="1" si="75"/>
        <v>35</v>
      </c>
      <c r="W155" s="1"/>
      <c r="X155" s="1">
        <f t="shared" ca="1" si="76"/>
        <v>7.4288660251346084</v>
      </c>
      <c r="Y155" s="1">
        <f t="shared" ca="1" si="77"/>
        <v>0.52887802171047782</v>
      </c>
      <c r="Z155" s="1">
        <f t="shared" ca="1" si="78"/>
        <v>1512</v>
      </c>
      <c r="AB155" s="1">
        <f t="shared" ca="1" si="79"/>
        <v>0.15079079082298619</v>
      </c>
      <c r="AC155" s="1">
        <f t="shared" ca="1" si="80"/>
        <v>577</v>
      </c>
      <c r="AD155" s="1">
        <f t="shared" ca="1" si="81"/>
        <v>2.8220894357110214E-3</v>
      </c>
      <c r="AE155" s="1"/>
      <c r="AF155" s="1">
        <f t="shared" ca="1" si="82"/>
        <v>0.15698058763167069</v>
      </c>
      <c r="AG155" s="1">
        <f t="shared" ca="1" si="83"/>
        <v>375</v>
      </c>
      <c r="AH155" s="1">
        <f t="shared" ca="1" si="84"/>
        <v>6.132592608973547E-3</v>
      </c>
      <c r="AJ155" s="1">
        <f t="shared" ca="1" si="85"/>
        <v>0.50271156155405483</v>
      </c>
      <c r="AK155" s="1">
        <f t="shared" ca="1" si="86"/>
        <v>6.8071024032737015E-5</v>
      </c>
      <c r="AL155" s="1"/>
      <c r="AM155" s="1">
        <f t="shared" ca="1" si="87"/>
        <v>0.15567701693138444</v>
      </c>
      <c r="AN155" s="1">
        <f t="shared" ca="1" si="88"/>
        <v>39</v>
      </c>
      <c r="AO155" s="1">
        <f t="shared" ca="1" si="89"/>
        <v>20</v>
      </c>
    </row>
    <row r="156" spans="2:41" x14ac:dyDescent="0.25">
      <c r="B156">
        <f t="shared" ca="1" si="60"/>
        <v>416</v>
      </c>
      <c r="C156">
        <f t="shared" ca="1" si="61"/>
        <v>39</v>
      </c>
      <c r="D156">
        <f t="shared" ca="1" si="62"/>
        <v>0.14834755502071281</v>
      </c>
      <c r="F156" s="1">
        <f t="shared" ca="1" si="63"/>
        <v>7</v>
      </c>
      <c r="G156" s="1">
        <f t="shared" ca="1" si="64"/>
        <v>6</v>
      </c>
      <c r="H156" s="1">
        <f t="shared" ca="1" si="65"/>
        <v>3</v>
      </c>
      <c r="I156" s="1"/>
      <c r="J156" s="1">
        <f t="shared" ca="1" si="66"/>
        <v>24</v>
      </c>
      <c r="K156" s="1">
        <f t="shared" ca="1" si="67"/>
        <v>1.2075324135440717</v>
      </c>
      <c r="L156" s="1">
        <f t="shared" ca="1" si="68"/>
        <v>26</v>
      </c>
      <c r="M156" s="1"/>
      <c r="N156" s="1">
        <f t="shared" ca="1" si="69"/>
        <v>77</v>
      </c>
      <c r="O156" s="1">
        <f t="shared" ca="1" si="70"/>
        <v>30</v>
      </c>
      <c r="P156" s="1"/>
      <c r="Q156" s="1">
        <f t="shared" ca="1" si="71"/>
        <v>1.7828482810582906</v>
      </c>
      <c r="R156" s="1">
        <f t="shared" ca="1" si="72"/>
        <v>1062</v>
      </c>
      <c r="S156" s="1"/>
      <c r="T156" s="1">
        <f t="shared" ca="1" si="73"/>
        <v>3.3527883793156923E-2</v>
      </c>
      <c r="U156" s="1">
        <f t="shared" ca="1" si="74"/>
        <v>192</v>
      </c>
      <c r="V156" s="1">
        <f t="shared" ca="1" si="75"/>
        <v>12</v>
      </c>
      <c r="W156" s="1"/>
      <c r="X156" s="1">
        <f t="shared" ca="1" si="76"/>
        <v>6.3721099738373947</v>
      </c>
      <c r="Y156" s="1">
        <f t="shared" ca="1" si="77"/>
        <v>0.84674548397459581</v>
      </c>
      <c r="Z156" s="1">
        <f t="shared" ca="1" si="78"/>
        <v>390</v>
      </c>
      <c r="AB156" s="1">
        <f t="shared" ca="1" si="79"/>
        <v>0.49619871143848682</v>
      </c>
      <c r="AC156" s="1">
        <f t="shared" ca="1" si="80"/>
        <v>298</v>
      </c>
      <c r="AD156" s="1">
        <f t="shared" ca="1" si="81"/>
        <v>7.4089743403694969E-3</v>
      </c>
      <c r="AE156" s="1"/>
      <c r="AF156" s="1">
        <f t="shared" ca="1" si="82"/>
        <v>0.35206655792421448</v>
      </c>
      <c r="AG156" s="1">
        <f t="shared" ca="1" si="83"/>
        <v>890</v>
      </c>
      <c r="AH156" s="1">
        <f t="shared" ca="1" si="84"/>
        <v>3.7136295688625235E-3</v>
      </c>
      <c r="AJ156" s="1">
        <f t="shared" ca="1" si="85"/>
        <v>0.24931890603845541</v>
      </c>
      <c r="AK156" s="1">
        <f t="shared" ca="1" si="86"/>
        <v>3.987123603406687E-3</v>
      </c>
      <c r="AL156" s="1"/>
      <c r="AM156" s="1">
        <f t="shared" ca="1" si="87"/>
        <v>0.15546195514139749</v>
      </c>
      <c r="AN156" s="1">
        <f t="shared" ca="1" si="88"/>
        <v>22</v>
      </c>
      <c r="AO156" s="1">
        <f t="shared" ca="1" si="89"/>
        <v>13</v>
      </c>
    </row>
    <row r="157" spans="2:41" x14ac:dyDescent="0.25">
      <c r="B157">
        <f t="shared" ca="1" si="60"/>
        <v>621</v>
      </c>
      <c r="C157">
        <f t="shared" ca="1" si="61"/>
        <v>19</v>
      </c>
      <c r="D157">
        <f t="shared" ca="1" si="62"/>
        <v>4.1750372115126937E-2</v>
      </c>
      <c r="F157" s="1">
        <f t="shared" ca="1" si="63"/>
        <v>43</v>
      </c>
      <c r="G157" s="1">
        <f t="shared" ca="1" si="64"/>
        <v>19</v>
      </c>
      <c r="H157" s="1">
        <f t="shared" ca="1" si="65"/>
        <v>6</v>
      </c>
      <c r="I157" s="1"/>
      <c r="J157" s="1">
        <f t="shared" ca="1" si="66"/>
        <v>32</v>
      </c>
      <c r="K157" s="1">
        <f t="shared" ca="1" si="67"/>
        <v>1.8972201150374077</v>
      </c>
      <c r="L157" s="1">
        <f t="shared" ca="1" si="68"/>
        <v>30</v>
      </c>
      <c r="M157" s="1"/>
      <c r="N157" s="1">
        <f t="shared" ca="1" si="69"/>
        <v>531</v>
      </c>
      <c r="O157" s="1">
        <f t="shared" ca="1" si="70"/>
        <v>4</v>
      </c>
      <c r="P157" s="1"/>
      <c r="Q157" s="1">
        <f t="shared" ca="1" si="71"/>
        <v>1.3806430787865793</v>
      </c>
      <c r="R157" s="1">
        <f t="shared" ca="1" si="72"/>
        <v>1069</v>
      </c>
      <c r="S157" s="1"/>
      <c r="T157" s="1">
        <f t="shared" ca="1" si="73"/>
        <v>0.19787885615611092</v>
      </c>
      <c r="U157" s="1">
        <f t="shared" ca="1" si="74"/>
        <v>386</v>
      </c>
      <c r="V157" s="1">
        <f t="shared" ca="1" si="75"/>
        <v>9</v>
      </c>
      <c r="W157" s="1"/>
      <c r="X157" s="1">
        <f t="shared" ca="1" si="76"/>
        <v>8.5231859329165367</v>
      </c>
      <c r="Y157" s="1">
        <f t="shared" ca="1" si="77"/>
        <v>0.8182175005983231</v>
      </c>
      <c r="Z157" s="1">
        <f t="shared" ca="1" si="78"/>
        <v>723</v>
      </c>
      <c r="AB157" s="1">
        <f t="shared" ca="1" si="79"/>
        <v>0.23238569957312</v>
      </c>
      <c r="AC157" s="1">
        <f t="shared" ca="1" si="80"/>
        <v>385</v>
      </c>
      <c r="AD157" s="1">
        <f t="shared" ca="1" si="81"/>
        <v>6.2357167489134873E-3</v>
      </c>
      <c r="AE157" s="1"/>
      <c r="AF157" s="1">
        <f t="shared" ca="1" si="82"/>
        <v>0.38531976118069033</v>
      </c>
      <c r="AG157" s="1">
        <f t="shared" ca="1" si="83"/>
        <v>157</v>
      </c>
      <c r="AH157" s="1">
        <f t="shared" ca="1" si="84"/>
        <v>5.2563594657034952E-3</v>
      </c>
      <c r="AJ157" s="1">
        <f t="shared" ca="1" si="85"/>
        <v>0.94778066315724108</v>
      </c>
      <c r="AK157" s="1">
        <f t="shared" ca="1" si="86"/>
        <v>3.6480840477896375E-3</v>
      </c>
      <c r="AL157" s="1"/>
      <c r="AM157" s="1">
        <f t="shared" ca="1" si="87"/>
        <v>5.7648505949325817E-3</v>
      </c>
      <c r="AN157" s="1">
        <f t="shared" ca="1" si="88"/>
        <v>54</v>
      </c>
      <c r="AO157" s="1">
        <f t="shared" ca="1" si="89"/>
        <v>13</v>
      </c>
    </row>
    <row r="158" spans="2:41" x14ac:dyDescent="0.25">
      <c r="B158">
        <f t="shared" ca="1" si="60"/>
        <v>691</v>
      </c>
      <c r="C158">
        <f t="shared" ca="1" si="61"/>
        <v>12</v>
      </c>
      <c r="D158">
        <f t="shared" ca="1" si="62"/>
        <v>0.23214541690584489</v>
      </c>
      <c r="F158" s="1">
        <f t="shared" ca="1" si="63"/>
        <v>45</v>
      </c>
      <c r="G158" s="1">
        <f t="shared" ca="1" si="64"/>
        <v>18</v>
      </c>
      <c r="H158" s="1">
        <f t="shared" ca="1" si="65"/>
        <v>3</v>
      </c>
      <c r="I158" s="1"/>
      <c r="J158" s="1">
        <f t="shared" ca="1" si="66"/>
        <v>5</v>
      </c>
      <c r="K158" s="1">
        <f t="shared" ca="1" si="67"/>
        <v>2.1155367908411806</v>
      </c>
      <c r="L158" s="1">
        <f t="shared" ca="1" si="68"/>
        <v>2</v>
      </c>
      <c r="M158" s="1"/>
      <c r="N158" s="1">
        <f t="shared" ca="1" si="69"/>
        <v>947</v>
      </c>
      <c r="O158" s="1">
        <f t="shared" ca="1" si="70"/>
        <v>36</v>
      </c>
      <c r="P158" s="1"/>
      <c r="Q158" s="1">
        <f t="shared" ca="1" si="71"/>
        <v>0.50442805541911373</v>
      </c>
      <c r="R158" s="1">
        <f t="shared" ca="1" si="72"/>
        <v>827</v>
      </c>
      <c r="S158" s="1"/>
      <c r="T158" s="1">
        <f t="shared" ca="1" si="73"/>
        <v>0.10634330062119517</v>
      </c>
      <c r="U158" s="1">
        <f t="shared" ca="1" si="74"/>
        <v>446</v>
      </c>
      <c r="V158" s="1">
        <f t="shared" ca="1" si="75"/>
        <v>3</v>
      </c>
      <c r="W158" s="1"/>
      <c r="X158" s="1">
        <f t="shared" ca="1" si="76"/>
        <v>6.1416045456280326</v>
      </c>
      <c r="Y158" s="1">
        <f t="shared" ca="1" si="77"/>
        <v>0.74416505388234366</v>
      </c>
      <c r="Z158" s="1">
        <f t="shared" ca="1" si="78"/>
        <v>1996</v>
      </c>
      <c r="AB158" s="1">
        <f t="shared" ca="1" si="79"/>
        <v>0.50211797200105834</v>
      </c>
      <c r="AC158" s="1">
        <f t="shared" ca="1" si="80"/>
        <v>175</v>
      </c>
      <c r="AD158" s="1">
        <f t="shared" ca="1" si="81"/>
        <v>3.5184038982644253E-3</v>
      </c>
      <c r="AE158" s="1"/>
      <c r="AF158" s="1">
        <f t="shared" ca="1" si="82"/>
        <v>0.56087857632625249</v>
      </c>
      <c r="AG158" s="1">
        <f t="shared" ca="1" si="83"/>
        <v>505</v>
      </c>
      <c r="AH158" s="1">
        <f t="shared" ca="1" si="84"/>
        <v>6.200028143609321E-5</v>
      </c>
      <c r="AJ158" s="1">
        <f t="shared" ca="1" si="85"/>
        <v>0.81810096885907768</v>
      </c>
      <c r="AK158" s="1">
        <f t="shared" ca="1" si="86"/>
        <v>2.1331868649332023E-3</v>
      </c>
      <c r="AL158" s="1"/>
      <c r="AM158" s="1">
        <f t="shared" ca="1" si="87"/>
        <v>0.15097316567647481</v>
      </c>
      <c r="AN158" s="1">
        <f t="shared" ca="1" si="88"/>
        <v>38</v>
      </c>
      <c r="AO158" s="1">
        <f t="shared" ca="1" si="89"/>
        <v>8</v>
      </c>
    </row>
    <row r="159" spans="2:41" x14ac:dyDescent="0.25">
      <c r="B159">
        <f t="shared" ca="1" si="60"/>
        <v>922</v>
      </c>
      <c r="C159">
        <f t="shared" ca="1" si="61"/>
        <v>42</v>
      </c>
      <c r="D159">
        <f t="shared" ca="1" si="62"/>
        <v>0.26184233594985978</v>
      </c>
      <c r="F159" s="1">
        <f t="shared" ca="1" si="63"/>
        <v>40</v>
      </c>
      <c r="G159" s="1">
        <f t="shared" ca="1" si="64"/>
        <v>13</v>
      </c>
      <c r="H159" s="1">
        <f t="shared" ca="1" si="65"/>
        <v>6</v>
      </c>
      <c r="I159" s="1"/>
      <c r="J159" s="1">
        <f t="shared" ca="1" si="66"/>
        <v>1</v>
      </c>
      <c r="K159" s="1">
        <f t="shared" ca="1" si="67"/>
        <v>2.8100723245687185</v>
      </c>
      <c r="L159" s="1">
        <f t="shared" ca="1" si="68"/>
        <v>12</v>
      </c>
      <c r="M159" s="1"/>
      <c r="N159" s="1">
        <f t="shared" ca="1" si="69"/>
        <v>80</v>
      </c>
      <c r="O159" s="1">
        <f t="shared" ca="1" si="70"/>
        <v>12</v>
      </c>
      <c r="P159" s="1"/>
      <c r="Q159" s="1">
        <f t="shared" ca="1" si="71"/>
        <v>1.7904333757694861</v>
      </c>
      <c r="R159" s="1">
        <f t="shared" ca="1" si="72"/>
        <v>454</v>
      </c>
      <c r="S159" s="1"/>
      <c r="T159" s="1">
        <f t="shared" ca="1" si="73"/>
        <v>0.10661470262535729</v>
      </c>
      <c r="U159" s="1">
        <f t="shared" ca="1" si="74"/>
        <v>69</v>
      </c>
      <c r="V159" s="1">
        <f t="shared" ca="1" si="75"/>
        <v>2</v>
      </c>
      <c r="W159" s="1"/>
      <c r="X159" s="1">
        <f t="shared" ca="1" si="76"/>
        <v>0.43717994450790543</v>
      </c>
      <c r="Y159" s="1">
        <f t="shared" ca="1" si="77"/>
        <v>0.98919588865827968</v>
      </c>
      <c r="Z159" s="1">
        <f t="shared" ca="1" si="78"/>
        <v>214</v>
      </c>
      <c r="AB159" s="1">
        <f t="shared" ca="1" si="79"/>
        <v>0.95301133279316719</v>
      </c>
      <c r="AC159" s="1">
        <f t="shared" ca="1" si="80"/>
        <v>681</v>
      </c>
      <c r="AD159" s="1">
        <f t="shared" ca="1" si="81"/>
        <v>5.932026018226141E-3</v>
      </c>
      <c r="AE159" s="1"/>
      <c r="AF159" s="1">
        <f t="shared" ca="1" si="82"/>
        <v>0.48618447382813434</v>
      </c>
      <c r="AG159" s="1">
        <f t="shared" ca="1" si="83"/>
        <v>830</v>
      </c>
      <c r="AH159" s="1">
        <f t="shared" ca="1" si="84"/>
        <v>3.9239967111157114E-3</v>
      </c>
      <c r="AJ159" s="1">
        <f t="shared" ca="1" si="85"/>
        <v>0.17942358904730893</v>
      </c>
      <c r="AK159" s="1">
        <f t="shared" ca="1" si="86"/>
        <v>3.0871287873449581E-3</v>
      </c>
      <c r="AL159" s="1"/>
      <c r="AM159" s="1">
        <f t="shared" ca="1" si="87"/>
        <v>0.17946061139077524</v>
      </c>
      <c r="AN159" s="1">
        <f t="shared" ca="1" si="88"/>
        <v>24</v>
      </c>
      <c r="AO159" s="1">
        <f t="shared" ca="1" si="89"/>
        <v>19</v>
      </c>
    </row>
    <row r="160" spans="2:41" x14ac:dyDescent="0.25">
      <c r="B160">
        <f t="shared" ca="1" si="60"/>
        <v>540</v>
      </c>
      <c r="C160">
        <f t="shared" ca="1" si="61"/>
        <v>29</v>
      </c>
      <c r="D160">
        <f t="shared" ca="1" si="62"/>
        <v>0.21080126323604526</v>
      </c>
      <c r="F160" s="1">
        <f t="shared" ca="1" si="63"/>
        <v>14</v>
      </c>
      <c r="G160" s="1">
        <f t="shared" ca="1" si="64"/>
        <v>26</v>
      </c>
      <c r="H160" s="1">
        <f t="shared" ca="1" si="65"/>
        <v>10</v>
      </c>
      <c r="I160" s="1"/>
      <c r="J160" s="1">
        <f t="shared" ca="1" si="66"/>
        <v>21</v>
      </c>
      <c r="K160" s="1">
        <f t="shared" ca="1" si="67"/>
        <v>1.9393930278707603</v>
      </c>
      <c r="L160" s="1">
        <f t="shared" ca="1" si="68"/>
        <v>29</v>
      </c>
      <c r="M160" s="1"/>
      <c r="N160" s="1">
        <f t="shared" ca="1" si="69"/>
        <v>32</v>
      </c>
      <c r="O160" s="1">
        <f t="shared" ca="1" si="70"/>
        <v>8</v>
      </c>
      <c r="P160" s="1"/>
      <c r="Q160" s="1">
        <f t="shared" ca="1" si="71"/>
        <v>3.7549926728507659</v>
      </c>
      <c r="R160" s="1">
        <f t="shared" ca="1" si="72"/>
        <v>950</v>
      </c>
      <c r="S160" s="1"/>
      <c r="T160" s="1">
        <f t="shared" ca="1" si="73"/>
        <v>4.5592531964112983E-2</v>
      </c>
      <c r="U160" s="1">
        <f t="shared" ca="1" si="74"/>
        <v>163</v>
      </c>
      <c r="V160" s="1">
        <f t="shared" ca="1" si="75"/>
        <v>35</v>
      </c>
      <c r="W160" s="1"/>
      <c r="X160" s="1">
        <f t="shared" ca="1" si="76"/>
        <v>9.0763973116574714</v>
      </c>
      <c r="Y160" s="1">
        <f t="shared" ca="1" si="77"/>
        <v>0.39140491440082903</v>
      </c>
      <c r="Z160" s="1">
        <f t="shared" ca="1" si="78"/>
        <v>1454</v>
      </c>
      <c r="AB160" s="1">
        <f t="shared" ca="1" si="79"/>
        <v>0.23912273153441566</v>
      </c>
      <c r="AC160" s="1">
        <f t="shared" ca="1" si="80"/>
        <v>186</v>
      </c>
      <c r="AD160" s="1">
        <f t="shared" ca="1" si="81"/>
        <v>9.1976684333312228E-5</v>
      </c>
      <c r="AE160" s="1"/>
      <c r="AF160" s="1">
        <f t="shared" ca="1" si="82"/>
        <v>0.46270132148736975</v>
      </c>
      <c r="AG160" s="1">
        <f t="shared" ca="1" si="83"/>
        <v>597</v>
      </c>
      <c r="AH160" s="1">
        <f t="shared" ca="1" si="84"/>
        <v>9.1962167199980613E-3</v>
      </c>
      <c r="AJ160" s="1">
        <f t="shared" ca="1" si="85"/>
        <v>0.7268870661375374</v>
      </c>
      <c r="AK160" s="1">
        <f t="shared" ca="1" si="86"/>
        <v>4.9581724421743027E-3</v>
      </c>
      <c r="AL160" s="1"/>
      <c r="AM160" s="1">
        <f t="shared" ca="1" si="87"/>
        <v>8.0583226148949111E-2</v>
      </c>
      <c r="AN160" s="1">
        <f t="shared" ca="1" si="88"/>
        <v>47</v>
      </c>
      <c r="AO160" s="1">
        <f t="shared" ca="1" si="89"/>
        <v>12</v>
      </c>
    </row>
    <row r="161" spans="2:41" x14ac:dyDescent="0.25">
      <c r="B161">
        <f t="shared" ca="1" si="60"/>
        <v>268</v>
      </c>
      <c r="C161">
        <f t="shared" ca="1" si="61"/>
        <v>45</v>
      </c>
      <c r="D161">
        <f t="shared" ca="1" si="62"/>
        <v>0.13710592877428388</v>
      </c>
      <c r="F161" s="1">
        <f t="shared" ca="1" si="63"/>
        <v>3</v>
      </c>
      <c r="G161" s="1">
        <f t="shared" ca="1" si="64"/>
        <v>5</v>
      </c>
      <c r="H161" s="1">
        <f t="shared" ca="1" si="65"/>
        <v>11</v>
      </c>
      <c r="I161" s="1"/>
      <c r="J161" s="1">
        <f t="shared" ca="1" si="66"/>
        <v>24</v>
      </c>
      <c r="K161" s="1">
        <f t="shared" ca="1" si="67"/>
        <v>2.9236009157272331</v>
      </c>
      <c r="L161" s="1">
        <f t="shared" ca="1" si="68"/>
        <v>5</v>
      </c>
      <c r="M161" s="1"/>
      <c r="N161" s="1">
        <f t="shared" ca="1" si="69"/>
        <v>799</v>
      </c>
      <c r="O161" s="1">
        <f t="shared" ca="1" si="70"/>
        <v>10</v>
      </c>
      <c r="P161" s="1"/>
      <c r="Q161" s="1">
        <f t="shared" ca="1" si="71"/>
        <v>4.6193335785902923</v>
      </c>
      <c r="R161" s="1">
        <f t="shared" ca="1" si="72"/>
        <v>494</v>
      </c>
      <c r="S161" s="1"/>
      <c r="T161" s="1">
        <f t="shared" ca="1" si="73"/>
        <v>0.1385676082062024</v>
      </c>
      <c r="U161" s="1">
        <f t="shared" ca="1" si="74"/>
        <v>92</v>
      </c>
      <c r="V161" s="1">
        <f t="shared" ca="1" si="75"/>
        <v>29</v>
      </c>
      <c r="W161" s="1"/>
      <c r="X161" s="1">
        <f t="shared" ca="1" si="76"/>
        <v>6.8471225456116169</v>
      </c>
      <c r="Y161" s="1">
        <f t="shared" ca="1" si="77"/>
        <v>0.11605962316098879</v>
      </c>
      <c r="Z161" s="1">
        <f t="shared" ca="1" si="78"/>
        <v>1042</v>
      </c>
      <c r="AB161" s="1">
        <f t="shared" ca="1" si="79"/>
        <v>0.26906935742264243</v>
      </c>
      <c r="AC161" s="1">
        <f t="shared" ca="1" si="80"/>
        <v>250</v>
      </c>
      <c r="AD161" s="1">
        <f t="shared" ca="1" si="81"/>
        <v>4.9418352941001178E-3</v>
      </c>
      <c r="AE161" s="1"/>
      <c r="AF161" s="1">
        <f t="shared" ca="1" si="82"/>
        <v>0.29188273089525635</v>
      </c>
      <c r="AG161" s="1">
        <f t="shared" ca="1" si="83"/>
        <v>135</v>
      </c>
      <c r="AH161" s="1">
        <f t="shared" ca="1" si="84"/>
        <v>3.2763193808087046E-3</v>
      </c>
      <c r="AJ161" s="1">
        <f t="shared" ca="1" si="85"/>
        <v>0.90983956071550054</v>
      </c>
      <c r="AK161" s="1">
        <f t="shared" ca="1" si="86"/>
        <v>7.2092581050331355E-3</v>
      </c>
      <c r="AL161" s="1"/>
      <c r="AM161" s="1">
        <f t="shared" ca="1" si="87"/>
        <v>1.31017901419015E-2</v>
      </c>
      <c r="AN161" s="1">
        <f t="shared" ca="1" si="88"/>
        <v>39</v>
      </c>
      <c r="AO161" s="1">
        <f t="shared" ca="1" si="89"/>
        <v>12</v>
      </c>
    </row>
    <row r="162" spans="2:41" x14ac:dyDescent="0.25">
      <c r="B162">
        <f t="shared" ca="1" si="60"/>
        <v>389</v>
      </c>
      <c r="C162">
        <f t="shared" ca="1" si="61"/>
        <v>36</v>
      </c>
      <c r="D162">
        <f t="shared" ca="1" si="62"/>
        <v>0.26914081290230285</v>
      </c>
      <c r="F162" s="1">
        <f t="shared" ca="1" si="63"/>
        <v>15</v>
      </c>
      <c r="G162" s="1">
        <f t="shared" ca="1" si="64"/>
        <v>14</v>
      </c>
      <c r="H162" s="1">
        <f t="shared" ca="1" si="65"/>
        <v>1</v>
      </c>
      <c r="I162" s="1"/>
      <c r="J162" s="1">
        <f t="shared" ca="1" si="66"/>
        <v>7</v>
      </c>
      <c r="K162" s="1">
        <f t="shared" ca="1" si="67"/>
        <v>1.1629537252948574</v>
      </c>
      <c r="L162" s="1">
        <f t="shared" ca="1" si="68"/>
        <v>3</v>
      </c>
      <c r="M162" s="1"/>
      <c r="N162" s="1">
        <f t="shared" ca="1" si="69"/>
        <v>826</v>
      </c>
      <c r="O162" s="1">
        <f t="shared" ca="1" si="70"/>
        <v>49</v>
      </c>
      <c r="P162" s="1"/>
      <c r="Q162" s="1">
        <f t="shared" ca="1" si="71"/>
        <v>4.0818125151254936</v>
      </c>
      <c r="R162" s="1">
        <f t="shared" ca="1" si="72"/>
        <v>885</v>
      </c>
      <c r="S162" s="1"/>
      <c r="T162" s="1">
        <f t="shared" ca="1" si="73"/>
        <v>0.13102333549596926</v>
      </c>
      <c r="U162" s="1">
        <f t="shared" ca="1" si="74"/>
        <v>219</v>
      </c>
      <c r="V162" s="1">
        <f t="shared" ca="1" si="75"/>
        <v>38</v>
      </c>
      <c r="W162" s="1"/>
      <c r="X162" s="1">
        <f t="shared" ca="1" si="76"/>
        <v>0.32048349617856514</v>
      </c>
      <c r="Y162" s="1">
        <f t="shared" ca="1" si="77"/>
        <v>0.24150704839268014</v>
      </c>
      <c r="Z162" s="1">
        <f t="shared" ca="1" si="78"/>
        <v>502</v>
      </c>
      <c r="AB162" s="1">
        <f t="shared" ca="1" si="79"/>
        <v>0.74862513279360354</v>
      </c>
      <c r="AC162" s="1">
        <f t="shared" ca="1" si="80"/>
        <v>998</v>
      </c>
      <c r="AD162" s="1">
        <f t="shared" ca="1" si="81"/>
        <v>8.0556835473279079E-3</v>
      </c>
      <c r="AE162" s="1"/>
      <c r="AF162" s="1">
        <f t="shared" ca="1" si="82"/>
        <v>0.14530007355850563</v>
      </c>
      <c r="AG162" s="1">
        <f t="shared" ca="1" si="83"/>
        <v>668</v>
      </c>
      <c r="AH162" s="1">
        <f t="shared" ca="1" si="84"/>
        <v>6.225037295306806E-3</v>
      </c>
      <c r="AJ162" s="1">
        <f t="shared" ca="1" si="85"/>
        <v>0.76782464391190386</v>
      </c>
      <c r="AK162" s="1">
        <f t="shared" ca="1" si="86"/>
        <v>9.7654248610412591E-3</v>
      </c>
      <c r="AL162" s="1"/>
      <c r="AM162" s="1">
        <f t="shared" ca="1" si="87"/>
        <v>1.3100805681692595E-2</v>
      </c>
      <c r="AN162" s="1">
        <f t="shared" ca="1" si="88"/>
        <v>80</v>
      </c>
      <c r="AO162" s="1">
        <f t="shared" ca="1" si="89"/>
        <v>17</v>
      </c>
    </row>
    <row r="163" spans="2:41" x14ac:dyDescent="0.25">
      <c r="B163">
        <f t="shared" ca="1" si="60"/>
        <v>901</v>
      </c>
      <c r="C163">
        <f t="shared" ca="1" si="61"/>
        <v>46</v>
      </c>
      <c r="D163">
        <f t="shared" ca="1" si="62"/>
        <v>2.2454202465958882E-2</v>
      </c>
      <c r="F163" s="1">
        <f t="shared" ca="1" si="63"/>
        <v>16</v>
      </c>
      <c r="G163" s="1">
        <f t="shared" ca="1" si="64"/>
        <v>3</v>
      </c>
      <c r="H163" s="1">
        <f t="shared" ca="1" si="65"/>
        <v>7</v>
      </c>
      <c r="I163" s="1"/>
      <c r="J163" s="1">
        <f t="shared" ca="1" si="66"/>
        <v>39</v>
      </c>
      <c r="K163" s="1">
        <f t="shared" ca="1" si="67"/>
        <v>1.37637920135254</v>
      </c>
      <c r="L163" s="1">
        <f t="shared" ca="1" si="68"/>
        <v>13</v>
      </c>
      <c r="M163" s="1"/>
      <c r="N163" s="1">
        <f t="shared" ca="1" si="69"/>
        <v>785</v>
      </c>
      <c r="O163" s="1">
        <f t="shared" ca="1" si="70"/>
        <v>29</v>
      </c>
      <c r="P163" s="1"/>
      <c r="Q163" s="1">
        <f t="shared" ca="1" si="71"/>
        <v>2.1778842849185751</v>
      </c>
      <c r="R163" s="1">
        <f t="shared" ca="1" si="72"/>
        <v>922</v>
      </c>
      <c r="S163" s="1"/>
      <c r="T163" s="1">
        <f t="shared" ca="1" si="73"/>
        <v>8.191214598177779E-2</v>
      </c>
      <c r="U163" s="1">
        <f t="shared" ca="1" si="74"/>
        <v>253</v>
      </c>
      <c r="V163" s="1">
        <f t="shared" ca="1" si="75"/>
        <v>51</v>
      </c>
      <c r="W163" s="1"/>
      <c r="X163" s="1">
        <f t="shared" ca="1" si="76"/>
        <v>9.5292995506893945</v>
      </c>
      <c r="Y163" s="1">
        <f t="shared" ca="1" si="77"/>
        <v>0.15385099160090593</v>
      </c>
      <c r="Z163" s="1">
        <f t="shared" ca="1" si="78"/>
        <v>1952</v>
      </c>
      <c r="AB163" s="1">
        <f t="shared" ca="1" si="79"/>
        <v>4.7920572041679058E-2</v>
      </c>
      <c r="AC163" s="1">
        <f t="shared" ca="1" si="80"/>
        <v>706</v>
      </c>
      <c r="AD163" s="1">
        <f t="shared" ca="1" si="81"/>
        <v>2.9643647176456943E-3</v>
      </c>
      <c r="AE163" s="1"/>
      <c r="AF163" s="1">
        <f t="shared" ca="1" si="82"/>
        <v>0.26852457497737331</v>
      </c>
      <c r="AG163" s="1">
        <f t="shared" ca="1" si="83"/>
        <v>585</v>
      </c>
      <c r="AH163" s="1">
        <f t="shared" ca="1" si="84"/>
        <v>2.4363506473704821E-4</v>
      </c>
      <c r="AJ163" s="1">
        <f t="shared" ca="1" si="85"/>
        <v>0.37309806112895771</v>
      </c>
      <c r="AK163" s="1">
        <f t="shared" ca="1" si="86"/>
        <v>7.1868549742182845E-3</v>
      </c>
      <c r="AL163" s="1"/>
      <c r="AM163" s="1">
        <f t="shared" ca="1" si="87"/>
        <v>7.2163487063583914E-2</v>
      </c>
      <c r="AN163" s="1">
        <f t="shared" ca="1" si="88"/>
        <v>64</v>
      </c>
      <c r="AO163" s="1">
        <f t="shared" ca="1" si="89"/>
        <v>14</v>
      </c>
    </row>
    <row r="164" spans="2:41" x14ac:dyDescent="0.25">
      <c r="B164">
        <f t="shared" ca="1" si="60"/>
        <v>76</v>
      </c>
      <c r="C164">
        <f t="shared" ca="1" si="61"/>
        <v>21</v>
      </c>
      <c r="D164">
        <f t="shared" ca="1" si="62"/>
        <v>2.0803481454582759E-2</v>
      </c>
      <c r="F164" s="1">
        <f t="shared" ca="1" si="63"/>
        <v>11</v>
      </c>
      <c r="G164" s="1">
        <f t="shared" ca="1" si="64"/>
        <v>18</v>
      </c>
      <c r="H164" s="1">
        <f t="shared" ca="1" si="65"/>
        <v>15</v>
      </c>
      <c r="I164" s="1"/>
      <c r="J164" s="1">
        <f t="shared" ca="1" si="66"/>
        <v>26</v>
      </c>
      <c r="K164" s="1">
        <f t="shared" ca="1" si="67"/>
        <v>2.1944043820034795</v>
      </c>
      <c r="L164" s="1">
        <f t="shared" ca="1" si="68"/>
        <v>29</v>
      </c>
      <c r="M164" s="1"/>
      <c r="N164" s="1">
        <f t="shared" ca="1" si="69"/>
        <v>527</v>
      </c>
      <c r="O164" s="1">
        <f t="shared" ca="1" si="70"/>
        <v>46</v>
      </c>
      <c r="P164" s="1"/>
      <c r="Q164" s="1">
        <f t="shared" ca="1" si="71"/>
        <v>1.1174208307948825</v>
      </c>
      <c r="R164" s="1">
        <f t="shared" ca="1" si="72"/>
        <v>304</v>
      </c>
      <c r="S164" s="1"/>
      <c r="T164" s="1">
        <f t="shared" ca="1" si="73"/>
        <v>8.5361633149339103E-2</v>
      </c>
      <c r="U164" s="1">
        <f t="shared" ca="1" si="74"/>
        <v>108</v>
      </c>
      <c r="V164" s="1">
        <f t="shared" ca="1" si="75"/>
        <v>11</v>
      </c>
      <c r="W164" s="1"/>
      <c r="X164" s="1">
        <f t="shared" ca="1" si="76"/>
        <v>1.6597822474793664</v>
      </c>
      <c r="Y164" s="1">
        <f t="shared" ca="1" si="77"/>
        <v>0.95656267245245308</v>
      </c>
      <c r="Z164" s="1">
        <f t="shared" ca="1" si="78"/>
        <v>150</v>
      </c>
      <c r="AB164" s="1">
        <f t="shared" ca="1" si="79"/>
        <v>6.7101750703247573E-2</v>
      </c>
      <c r="AC164" s="1">
        <f t="shared" ca="1" si="80"/>
        <v>524</v>
      </c>
      <c r="AD164" s="1">
        <f t="shared" ca="1" si="81"/>
        <v>9.5717888411481159E-3</v>
      </c>
      <c r="AE164" s="1"/>
      <c r="AF164" s="1">
        <f t="shared" ca="1" si="82"/>
        <v>0.51609121219055454</v>
      </c>
      <c r="AG164" s="1">
        <f t="shared" ca="1" si="83"/>
        <v>311</v>
      </c>
      <c r="AH164" s="1">
        <f t="shared" ca="1" si="84"/>
        <v>9.7794409282101133E-3</v>
      </c>
      <c r="AJ164" s="1">
        <f t="shared" ca="1" si="85"/>
        <v>0.97537341845029812</v>
      </c>
      <c r="AK164" s="1">
        <f t="shared" ca="1" si="86"/>
        <v>6.1102474722052151E-3</v>
      </c>
      <c r="AL164" s="1"/>
      <c r="AM164" s="1">
        <f t="shared" ca="1" si="87"/>
        <v>1.8999702021479263E-2</v>
      </c>
      <c r="AN164" s="1">
        <f t="shared" ca="1" si="88"/>
        <v>22</v>
      </c>
      <c r="AO164" s="1">
        <f t="shared" ca="1" si="89"/>
        <v>9</v>
      </c>
    </row>
    <row r="165" spans="2:41" x14ac:dyDescent="0.25">
      <c r="B165">
        <f t="shared" ca="1" si="60"/>
        <v>786</v>
      </c>
      <c r="C165">
        <f t="shared" ca="1" si="61"/>
        <v>22</v>
      </c>
      <c r="D165">
        <f t="shared" ca="1" si="62"/>
        <v>0.24164597466815621</v>
      </c>
      <c r="F165" s="1">
        <f t="shared" ca="1" si="63"/>
        <v>50</v>
      </c>
      <c r="G165" s="1">
        <f t="shared" ca="1" si="64"/>
        <v>17</v>
      </c>
      <c r="H165" s="1">
        <f t="shared" ca="1" si="65"/>
        <v>15</v>
      </c>
      <c r="I165" s="1"/>
      <c r="J165" s="1">
        <f t="shared" ca="1" si="66"/>
        <v>23</v>
      </c>
      <c r="K165" s="1">
        <f t="shared" ca="1" si="67"/>
        <v>2.3986046848899916</v>
      </c>
      <c r="L165" s="1">
        <f t="shared" ca="1" si="68"/>
        <v>3</v>
      </c>
      <c r="M165" s="1"/>
      <c r="N165" s="1">
        <f t="shared" ca="1" si="69"/>
        <v>449</v>
      </c>
      <c r="O165" s="1">
        <f t="shared" ca="1" si="70"/>
        <v>8</v>
      </c>
      <c r="P165" s="1"/>
      <c r="Q165" s="1">
        <f t="shared" ca="1" si="71"/>
        <v>4.0727077265616991</v>
      </c>
      <c r="R165" s="1">
        <f t="shared" ca="1" si="72"/>
        <v>928</v>
      </c>
      <c r="S165" s="1"/>
      <c r="T165" s="1">
        <f t="shared" ca="1" si="73"/>
        <v>2.5222606697157944E-2</v>
      </c>
      <c r="U165" s="1">
        <f t="shared" ca="1" si="74"/>
        <v>225</v>
      </c>
      <c r="V165" s="1">
        <f t="shared" ca="1" si="75"/>
        <v>6</v>
      </c>
      <c r="W165" s="1"/>
      <c r="X165" s="1">
        <f t="shared" ca="1" si="76"/>
        <v>3.0052743266672515</v>
      </c>
      <c r="Y165" s="1">
        <f t="shared" ca="1" si="77"/>
        <v>0.50348548326303821</v>
      </c>
      <c r="Z165" s="1">
        <f t="shared" ca="1" si="78"/>
        <v>114</v>
      </c>
      <c r="AB165" s="1">
        <f t="shared" ca="1" si="79"/>
        <v>0.40902696405362093</v>
      </c>
      <c r="AC165" s="1">
        <f t="shared" ca="1" si="80"/>
        <v>887</v>
      </c>
      <c r="AD165" s="1">
        <f t="shared" ca="1" si="81"/>
        <v>8.692815985918167E-4</v>
      </c>
      <c r="AE165" s="1"/>
      <c r="AF165" s="1">
        <f t="shared" ca="1" si="82"/>
        <v>0.42512241091971426</v>
      </c>
      <c r="AG165" s="1">
        <f t="shared" ca="1" si="83"/>
        <v>316</v>
      </c>
      <c r="AH165" s="1">
        <f t="shared" ca="1" si="84"/>
        <v>2.8160453374947545E-3</v>
      </c>
      <c r="AJ165" s="1">
        <f t="shared" ca="1" si="85"/>
        <v>0.82223825505797432</v>
      </c>
      <c r="AK165" s="1">
        <f t="shared" ca="1" si="86"/>
        <v>1.5966890585071484E-3</v>
      </c>
      <c r="AL165" s="1"/>
      <c r="AM165" s="1">
        <f t="shared" ca="1" si="87"/>
        <v>1.2682721015984558E-2</v>
      </c>
      <c r="AN165" s="1">
        <f t="shared" ca="1" si="88"/>
        <v>37</v>
      </c>
      <c r="AO165" s="1">
        <f t="shared" ca="1" si="89"/>
        <v>15</v>
      </c>
    </row>
    <row r="166" spans="2:41" x14ac:dyDescent="0.25">
      <c r="B166">
        <f t="shared" ca="1" si="60"/>
        <v>597</v>
      </c>
      <c r="C166">
        <f t="shared" ca="1" si="61"/>
        <v>32</v>
      </c>
      <c r="D166">
        <f t="shared" ca="1" si="62"/>
        <v>1.6442034923189561E-2</v>
      </c>
      <c r="F166" s="1">
        <f t="shared" ca="1" si="63"/>
        <v>52</v>
      </c>
      <c r="G166" s="1">
        <f t="shared" ca="1" si="64"/>
        <v>19</v>
      </c>
      <c r="H166" s="1">
        <f t="shared" ca="1" si="65"/>
        <v>1</v>
      </c>
      <c r="I166" s="1"/>
      <c r="J166" s="1">
        <f t="shared" ca="1" si="66"/>
        <v>9</v>
      </c>
      <c r="K166" s="1">
        <f t="shared" ca="1" si="67"/>
        <v>2.532326358399609</v>
      </c>
      <c r="L166" s="1">
        <f t="shared" ca="1" si="68"/>
        <v>18</v>
      </c>
      <c r="M166" s="1"/>
      <c r="N166" s="1">
        <f t="shared" ca="1" si="69"/>
        <v>976</v>
      </c>
      <c r="O166" s="1">
        <f t="shared" ca="1" si="70"/>
        <v>13</v>
      </c>
      <c r="P166" s="1"/>
      <c r="Q166" s="1">
        <f t="shared" ca="1" si="71"/>
        <v>0.60170762499049502</v>
      </c>
      <c r="R166" s="1">
        <f t="shared" ca="1" si="72"/>
        <v>727</v>
      </c>
      <c r="S166" s="1"/>
      <c r="T166" s="1">
        <f t="shared" ca="1" si="73"/>
        <v>0.13636603582410756</v>
      </c>
      <c r="U166" s="1">
        <f t="shared" ca="1" si="74"/>
        <v>282</v>
      </c>
      <c r="V166" s="1">
        <f t="shared" ca="1" si="75"/>
        <v>16</v>
      </c>
      <c r="W166" s="1"/>
      <c r="X166" s="1">
        <f t="shared" ca="1" si="76"/>
        <v>5.214520951085504</v>
      </c>
      <c r="Y166" s="1">
        <f t="shared" ca="1" si="77"/>
        <v>0.22288226390613822</v>
      </c>
      <c r="Z166" s="1">
        <f t="shared" ca="1" si="78"/>
        <v>317</v>
      </c>
      <c r="AB166" s="1">
        <f t="shared" ca="1" si="79"/>
        <v>0.68070152624864144</v>
      </c>
      <c r="AC166" s="1">
        <f t="shared" ca="1" si="80"/>
        <v>498</v>
      </c>
      <c r="AD166" s="1">
        <f t="shared" ca="1" si="81"/>
        <v>3.6312657835813646E-3</v>
      </c>
      <c r="AE166" s="1"/>
      <c r="AF166" s="1">
        <f t="shared" ca="1" si="82"/>
        <v>0.39957279946908375</v>
      </c>
      <c r="AG166" s="1">
        <f t="shared" ca="1" si="83"/>
        <v>547</v>
      </c>
      <c r="AH166" s="1">
        <f t="shared" ca="1" si="84"/>
        <v>6.3415555603289573E-3</v>
      </c>
      <c r="AJ166" s="1">
        <f t="shared" ca="1" si="85"/>
        <v>0.36835665869597456</v>
      </c>
      <c r="AK166" s="1">
        <f t="shared" ca="1" si="86"/>
        <v>4.022246007362484E-3</v>
      </c>
      <c r="AL166" s="1"/>
      <c r="AM166" s="1">
        <f t="shared" ca="1" si="87"/>
        <v>0.15815081893623389</v>
      </c>
      <c r="AN166" s="1">
        <f t="shared" ca="1" si="88"/>
        <v>31</v>
      </c>
      <c r="AO166" s="1">
        <f t="shared" ca="1" si="89"/>
        <v>19</v>
      </c>
    </row>
    <row r="167" spans="2:41" x14ac:dyDescent="0.25">
      <c r="B167">
        <f t="shared" ca="1" si="60"/>
        <v>731</v>
      </c>
      <c r="C167">
        <f t="shared" ca="1" si="61"/>
        <v>40</v>
      </c>
      <c r="D167">
        <f t="shared" ca="1" si="62"/>
        <v>0.2963770683228128</v>
      </c>
      <c r="F167" s="1">
        <f t="shared" ca="1" si="63"/>
        <v>22</v>
      </c>
      <c r="G167" s="1">
        <f t="shared" ca="1" si="64"/>
        <v>9</v>
      </c>
      <c r="H167" s="1">
        <f t="shared" ca="1" si="65"/>
        <v>2</v>
      </c>
      <c r="I167" s="1"/>
      <c r="J167" s="1">
        <f t="shared" ca="1" si="66"/>
        <v>25</v>
      </c>
      <c r="K167" s="1">
        <f t="shared" ca="1" si="67"/>
        <v>1.4337524520724401</v>
      </c>
      <c r="L167" s="1">
        <f t="shared" ca="1" si="68"/>
        <v>12</v>
      </c>
      <c r="M167" s="1"/>
      <c r="N167" s="1">
        <f t="shared" ca="1" si="69"/>
        <v>224</v>
      </c>
      <c r="O167" s="1">
        <f t="shared" ca="1" si="70"/>
        <v>41</v>
      </c>
      <c r="P167" s="1"/>
      <c r="Q167" s="1">
        <f t="shared" ca="1" si="71"/>
        <v>1.1916755539385395</v>
      </c>
      <c r="R167" s="1">
        <f t="shared" ca="1" si="72"/>
        <v>952</v>
      </c>
      <c r="S167" s="1"/>
      <c r="T167" s="1">
        <f t="shared" ca="1" si="73"/>
        <v>0.13458486076784468</v>
      </c>
      <c r="U167" s="1">
        <f t="shared" ca="1" si="74"/>
        <v>177</v>
      </c>
      <c r="V167" s="1">
        <f t="shared" ca="1" si="75"/>
        <v>12</v>
      </c>
      <c r="W167" s="1"/>
      <c r="X167" s="1">
        <f t="shared" ca="1" si="76"/>
        <v>7.0871125752425987</v>
      </c>
      <c r="Y167" s="1">
        <f t="shared" ca="1" si="77"/>
        <v>0.10040847110592341</v>
      </c>
      <c r="Z167" s="1">
        <f t="shared" ca="1" si="78"/>
        <v>1334</v>
      </c>
      <c r="AB167" s="1">
        <f t="shared" ca="1" si="79"/>
        <v>0.56658978942603722</v>
      </c>
      <c r="AC167" s="1">
        <f t="shared" ca="1" si="80"/>
        <v>835</v>
      </c>
      <c r="AD167" s="1">
        <f t="shared" ca="1" si="81"/>
        <v>8.4737175642942975E-3</v>
      </c>
      <c r="AE167" s="1"/>
      <c r="AF167" s="1">
        <f t="shared" ca="1" si="82"/>
        <v>0.55490099631526713</v>
      </c>
      <c r="AG167" s="1">
        <f t="shared" ca="1" si="83"/>
        <v>407</v>
      </c>
      <c r="AH167" s="1">
        <f t="shared" ca="1" si="84"/>
        <v>6.7434505878975629E-3</v>
      </c>
      <c r="AJ167" s="1">
        <f t="shared" ca="1" si="85"/>
        <v>0.73482241550747895</v>
      </c>
      <c r="AK167" s="1">
        <f t="shared" ca="1" si="86"/>
        <v>3.9647994131909656E-3</v>
      </c>
      <c r="AL167" s="1"/>
      <c r="AM167" s="1">
        <f t="shared" ca="1" si="87"/>
        <v>0.13977919965486754</v>
      </c>
      <c r="AN167" s="1">
        <f t="shared" ca="1" si="88"/>
        <v>72</v>
      </c>
      <c r="AO167" s="1">
        <f t="shared" ca="1" si="89"/>
        <v>14</v>
      </c>
    </row>
    <row r="168" spans="2:41" x14ac:dyDescent="0.25">
      <c r="B168">
        <f t="shared" ca="1" si="60"/>
        <v>596</v>
      </c>
      <c r="C168">
        <f t="shared" ca="1" si="61"/>
        <v>28</v>
      </c>
      <c r="D168">
        <f t="shared" ca="1" si="62"/>
        <v>0.2434819636846291</v>
      </c>
      <c r="F168" s="1">
        <f t="shared" ca="1" si="63"/>
        <v>42</v>
      </c>
      <c r="G168" s="1">
        <f t="shared" ca="1" si="64"/>
        <v>6</v>
      </c>
      <c r="H168" s="1">
        <f t="shared" ca="1" si="65"/>
        <v>5</v>
      </c>
      <c r="I168" s="1"/>
      <c r="J168" s="1">
        <f t="shared" ca="1" si="66"/>
        <v>31</v>
      </c>
      <c r="K168" s="1">
        <f t="shared" ca="1" si="67"/>
        <v>2.2492232194254935</v>
      </c>
      <c r="L168" s="1">
        <f t="shared" ca="1" si="68"/>
        <v>14</v>
      </c>
      <c r="M168" s="1"/>
      <c r="N168" s="1">
        <f t="shared" ca="1" si="69"/>
        <v>437</v>
      </c>
      <c r="O168" s="1">
        <f t="shared" ca="1" si="70"/>
        <v>49</v>
      </c>
      <c r="P168" s="1"/>
      <c r="Q168" s="1">
        <f t="shared" ca="1" si="71"/>
        <v>0.92232869689302532</v>
      </c>
      <c r="R168" s="1">
        <f t="shared" ca="1" si="72"/>
        <v>401</v>
      </c>
      <c r="S168" s="1"/>
      <c r="T168" s="1">
        <f t="shared" ca="1" si="73"/>
        <v>0.17018740606099095</v>
      </c>
      <c r="U168" s="1">
        <f t="shared" ca="1" si="74"/>
        <v>395</v>
      </c>
      <c r="V168" s="1">
        <f t="shared" ca="1" si="75"/>
        <v>22</v>
      </c>
      <c r="W168" s="1"/>
      <c r="X168" s="1">
        <f t="shared" ca="1" si="76"/>
        <v>1.6552225566821179</v>
      </c>
      <c r="Y168" s="1">
        <f t="shared" ca="1" si="77"/>
        <v>0.40824864678617601</v>
      </c>
      <c r="Z168" s="1">
        <f t="shared" ca="1" si="78"/>
        <v>1270</v>
      </c>
      <c r="AB168" s="1">
        <f t="shared" ca="1" si="79"/>
        <v>0.16266210541434747</v>
      </c>
      <c r="AC168" s="1">
        <f t="shared" ca="1" si="80"/>
        <v>819</v>
      </c>
      <c r="AD168" s="1">
        <f t="shared" ca="1" si="81"/>
        <v>2.3844845261081046E-3</v>
      </c>
      <c r="AE168" s="1"/>
      <c r="AF168" s="1">
        <f t="shared" ca="1" si="82"/>
        <v>0.89881725350540032</v>
      </c>
      <c r="AG168" s="1">
        <f t="shared" ca="1" si="83"/>
        <v>529</v>
      </c>
      <c r="AH168" s="1">
        <f t="shared" ca="1" si="84"/>
        <v>5.0058369121832764E-3</v>
      </c>
      <c r="AJ168" s="1">
        <f t="shared" ca="1" si="85"/>
        <v>0.56742283709279284</v>
      </c>
      <c r="AK168" s="1">
        <f t="shared" ca="1" si="86"/>
        <v>5.8732134251266478E-3</v>
      </c>
      <c r="AL168" s="1"/>
      <c r="AM168" s="1">
        <f t="shared" ca="1" si="87"/>
        <v>9.0975792133951308E-2</v>
      </c>
      <c r="AN168" s="1">
        <f t="shared" ca="1" si="88"/>
        <v>25</v>
      </c>
      <c r="AO168" s="1">
        <f t="shared" ca="1" si="89"/>
        <v>20</v>
      </c>
    </row>
    <row r="169" spans="2:41" x14ac:dyDescent="0.25">
      <c r="B169">
        <f t="shared" ca="1" si="60"/>
        <v>62</v>
      </c>
      <c r="C169">
        <f t="shared" ca="1" si="61"/>
        <v>46</v>
      </c>
      <c r="D169">
        <f t="shared" ca="1" si="62"/>
        <v>0.23885098790189269</v>
      </c>
      <c r="F169" s="1">
        <f t="shared" ca="1" si="63"/>
        <v>45</v>
      </c>
      <c r="G169" s="1">
        <f t="shared" ca="1" si="64"/>
        <v>10</v>
      </c>
      <c r="H169" s="1">
        <f t="shared" ca="1" si="65"/>
        <v>3</v>
      </c>
      <c r="I169" s="1"/>
      <c r="J169" s="1">
        <f t="shared" ca="1" si="66"/>
        <v>2</v>
      </c>
      <c r="K169" s="1">
        <f t="shared" ca="1" si="67"/>
        <v>2.8834688074065387</v>
      </c>
      <c r="L169" s="1">
        <f t="shared" ca="1" si="68"/>
        <v>9</v>
      </c>
      <c r="M169" s="1"/>
      <c r="N169" s="1">
        <f t="shared" ca="1" si="69"/>
        <v>820</v>
      </c>
      <c r="O169" s="1">
        <f t="shared" ca="1" si="70"/>
        <v>20</v>
      </c>
      <c r="P169" s="1"/>
      <c r="Q169" s="1">
        <f t="shared" ca="1" si="71"/>
        <v>4.0511439943671919</v>
      </c>
      <c r="R169" s="1">
        <f t="shared" ca="1" si="72"/>
        <v>904</v>
      </c>
      <c r="S169" s="1"/>
      <c r="T169" s="1">
        <f t="shared" ca="1" si="73"/>
        <v>7.0418447427262346E-2</v>
      </c>
      <c r="U169" s="1">
        <f t="shared" ca="1" si="74"/>
        <v>242</v>
      </c>
      <c r="V169" s="1">
        <f t="shared" ca="1" si="75"/>
        <v>49</v>
      </c>
      <c r="W169" s="1"/>
      <c r="X169" s="1">
        <f t="shared" ca="1" si="76"/>
        <v>2.2610302132548274</v>
      </c>
      <c r="Y169" s="1">
        <f t="shared" ca="1" si="77"/>
        <v>0.88009097096952982</v>
      </c>
      <c r="Z169" s="1">
        <f t="shared" ca="1" si="78"/>
        <v>1004</v>
      </c>
      <c r="AB169" s="1">
        <f t="shared" ca="1" si="79"/>
        <v>0.65645724834811414</v>
      </c>
      <c r="AC169" s="1">
        <f t="shared" ca="1" si="80"/>
        <v>767</v>
      </c>
      <c r="AD169" s="1">
        <f t="shared" ca="1" si="81"/>
        <v>4.3052982742824378E-3</v>
      </c>
      <c r="AE169" s="1"/>
      <c r="AF169" s="1">
        <f t="shared" ca="1" si="82"/>
        <v>0.89253977156999054</v>
      </c>
      <c r="AG169" s="1">
        <f t="shared" ca="1" si="83"/>
        <v>128</v>
      </c>
      <c r="AH169" s="1">
        <f t="shared" ca="1" si="84"/>
        <v>2.1513541847509696E-3</v>
      </c>
      <c r="AJ169" s="1">
        <f t="shared" ca="1" si="85"/>
        <v>0.93832053961687789</v>
      </c>
      <c r="AK169" s="1">
        <f t="shared" ca="1" si="86"/>
        <v>7.5678539655725675E-3</v>
      </c>
      <c r="AL169" s="1"/>
      <c r="AM169" s="1">
        <f t="shared" ca="1" si="87"/>
        <v>6.6908201779585591E-2</v>
      </c>
      <c r="AN169" s="1">
        <f t="shared" ca="1" si="88"/>
        <v>62</v>
      </c>
      <c r="AO169" s="1">
        <f t="shared" ca="1" si="89"/>
        <v>9</v>
      </c>
    </row>
    <row r="170" spans="2:41" x14ac:dyDescent="0.25">
      <c r="B170">
        <f t="shared" ca="1" si="60"/>
        <v>755</v>
      </c>
      <c r="C170">
        <f t="shared" ca="1" si="61"/>
        <v>30</v>
      </c>
      <c r="D170">
        <f t="shared" ca="1" si="62"/>
        <v>0.2701274231698878</v>
      </c>
      <c r="F170" s="1">
        <f t="shared" ca="1" si="63"/>
        <v>19</v>
      </c>
      <c r="G170" s="1">
        <f t="shared" ca="1" si="64"/>
        <v>9</v>
      </c>
      <c r="H170" s="1">
        <f t="shared" ca="1" si="65"/>
        <v>8</v>
      </c>
      <c r="I170" s="1"/>
      <c r="J170" s="1">
        <f t="shared" ca="1" si="66"/>
        <v>23</v>
      </c>
      <c r="K170" s="1">
        <f t="shared" ca="1" si="67"/>
        <v>1.1109671864130988</v>
      </c>
      <c r="L170" s="1">
        <f t="shared" ca="1" si="68"/>
        <v>15</v>
      </c>
      <c r="M170" s="1"/>
      <c r="N170" s="1">
        <f t="shared" ca="1" si="69"/>
        <v>537</v>
      </c>
      <c r="O170" s="1">
        <f t="shared" ca="1" si="70"/>
        <v>4</v>
      </c>
      <c r="P170" s="1"/>
      <c r="Q170" s="1">
        <f t="shared" ca="1" si="71"/>
        <v>4.0219196057907416</v>
      </c>
      <c r="R170" s="1">
        <f t="shared" ca="1" si="72"/>
        <v>1011</v>
      </c>
      <c r="S170" s="1"/>
      <c r="T170" s="1">
        <f t="shared" ca="1" si="73"/>
        <v>0.17609827238419856</v>
      </c>
      <c r="U170" s="1">
        <f t="shared" ca="1" si="74"/>
        <v>277</v>
      </c>
      <c r="V170" s="1">
        <f t="shared" ca="1" si="75"/>
        <v>4</v>
      </c>
      <c r="W170" s="1"/>
      <c r="X170" s="1">
        <f t="shared" ca="1" si="76"/>
        <v>0.20434674538693268</v>
      </c>
      <c r="Y170" s="1">
        <f t="shared" ca="1" si="77"/>
        <v>0.20340220793648872</v>
      </c>
      <c r="Z170" s="1">
        <f t="shared" ca="1" si="78"/>
        <v>701</v>
      </c>
      <c r="AB170" s="1">
        <f t="shared" ca="1" si="79"/>
        <v>0.19578306450788138</v>
      </c>
      <c r="AC170" s="1">
        <f t="shared" ca="1" si="80"/>
        <v>328</v>
      </c>
      <c r="AD170" s="1">
        <f t="shared" ca="1" si="81"/>
        <v>9.9429583713250124E-3</v>
      </c>
      <c r="AE170" s="1"/>
      <c r="AF170" s="1">
        <f t="shared" ca="1" si="82"/>
        <v>0.79914867035311565</v>
      </c>
      <c r="AG170" s="1">
        <f t="shared" ca="1" si="83"/>
        <v>613</v>
      </c>
      <c r="AH170" s="1">
        <f t="shared" ca="1" si="84"/>
        <v>7.0409254308279878E-3</v>
      </c>
      <c r="AJ170" s="1">
        <f t="shared" ca="1" si="85"/>
        <v>7.5718774363826902E-2</v>
      </c>
      <c r="AK170" s="1">
        <f t="shared" ca="1" si="86"/>
        <v>1.0267352949245349E-3</v>
      </c>
      <c r="AL170" s="1"/>
      <c r="AM170" s="1">
        <f t="shared" ca="1" si="87"/>
        <v>6.391370841401571E-2</v>
      </c>
      <c r="AN170" s="1">
        <f t="shared" ca="1" si="88"/>
        <v>24</v>
      </c>
      <c r="AO170" s="1">
        <f t="shared" ca="1" si="89"/>
        <v>20</v>
      </c>
    </row>
    <row r="171" spans="2:41" x14ac:dyDescent="0.25">
      <c r="B171">
        <f t="shared" ca="1" si="60"/>
        <v>992</v>
      </c>
      <c r="C171">
        <f t="shared" ca="1" si="61"/>
        <v>29</v>
      </c>
      <c r="D171">
        <f t="shared" ca="1" si="62"/>
        <v>0.28858631501776749</v>
      </c>
      <c r="F171" s="1">
        <f t="shared" ca="1" si="63"/>
        <v>36</v>
      </c>
      <c r="G171" s="1">
        <f t="shared" ca="1" si="64"/>
        <v>24</v>
      </c>
      <c r="H171" s="1">
        <f t="shared" ca="1" si="65"/>
        <v>1</v>
      </c>
      <c r="I171" s="1"/>
      <c r="J171" s="1">
        <f t="shared" ca="1" si="66"/>
        <v>31</v>
      </c>
      <c r="K171" s="1">
        <f t="shared" ca="1" si="67"/>
        <v>2.3733100888714747</v>
      </c>
      <c r="L171" s="1">
        <f t="shared" ca="1" si="68"/>
        <v>28</v>
      </c>
      <c r="M171" s="1"/>
      <c r="N171" s="1">
        <f t="shared" ca="1" si="69"/>
        <v>473</v>
      </c>
      <c r="O171" s="1">
        <f t="shared" ca="1" si="70"/>
        <v>33</v>
      </c>
      <c r="P171" s="1"/>
      <c r="Q171" s="1">
        <f t="shared" ca="1" si="71"/>
        <v>2.9038081092006909</v>
      </c>
      <c r="R171" s="1">
        <f t="shared" ca="1" si="72"/>
        <v>1055</v>
      </c>
      <c r="S171" s="1"/>
      <c r="T171" s="1">
        <f t="shared" ca="1" si="73"/>
        <v>0.10152434504700898</v>
      </c>
      <c r="U171" s="1">
        <f t="shared" ca="1" si="74"/>
        <v>399</v>
      </c>
      <c r="V171" s="1">
        <f t="shared" ca="1" si="75"/>
        <v>20</v>
      </c>
      <c r="W171" s="1"/>
      <c r="X171" s="1">
        <f t="shared" ca="1" si="76"/>
        <v>1.4531533734740394</v>
      </c>
      <c r="Y171" s="1">
        <f t="shared" ca="1" si="77"/>
        <v>0.64240890287314256</v>
      </c>
      <c r="Z171" s="1">
        <f t="shared" ca="1" si="78"/>
        <v>871</v>
      </c>
      <c r="AB171" s="1">
        <f t="shared" ca="1" si="79"/>
        <v>0.51808982789749225</v>
      </c>
      <c r="AC171" s="1">
        <f t="shared" ca="1" si="80"/>
        <v>422</v>
      </c>
      <c r="AD171" s="1">
        <f t="shared" ca="1" si="81"/>
        <v>1.9170572450011895E-3</v>
      </c>
      <c r="AE171" s="1"/>
      <c r="AF171" s="1">
        <f t="shared" ca="1" si="82"/>
        <v>0.61932924724751126</v>
      </c>
      <c r="AG171" s="1">
        <f t="shared" ca="1" si="83"/>
        <v>162</v>
      </c>
      <c r="AH171" s="1">
        <f t="shared" ca="1" si="84"/>
        <v>2.7089227781474517E-3</v>
      </c>
      <c r="AJ171" s="1">
        <f t="shared" ca="1" si="85"/>
        <v>0.25095542487559219</v>
      </c>
      <c r="AK171" s="1">
        <f t="shared" ca="1" si="86"/>
        <v>6.9408277548366837E-3</v>
      </c>
      <c r="AL171" s="1"/>
      <c r="AM171" s="1">
        <f t="shared" ca="1" si="87"/>
        <v>0.10494138497340887</v>
      </c>
      <c r="AN171" s="1">
        <f t="shared" ca="1" si="88"/>
        <v>13</v>
      </c>
      <c r="AO171" s="1">
        <f t="shared" ca="1" si="89"/>
        <v>6</v>
      </c>
    </row>
    <row r="172" spans="2:41" x14ac:dyDescent="0.25">
      <c r="B172">
        <f t="shared" ca="1" si="60"/>
        <v>717</v>
      </c>
      <c r="C172">
        <f t="shared" ca="1" si="61"/>
        <v>5</v>
      </c>
      <c r="D172">
        <f t="shared" ca="1" si="62"/>
        <v>0.27278530717817673</v>
      </c>
      <c r="F172" s="1">
        <f t="shared" ca="1" si="63"/>
        <v>14</v>
      </c>
      <c r="G172" s="1">
        <f t="shared" ca="1" si="64"/>
        <v>19</v>
      </c>
      <c r="H172" s="1">
        <f t="shared" ca="1" si="65"/>
        <v>7</v>
      </c>
      <c r="I172" s="1"/>
      <c r="J172" s="1">
        <f t="shared" ca="1" si="66"/>
        <v>36</v>
      </c>
      <c r="K172" s="1">
        <f t="shared" ca="1" si="67"/>
        <v>1.5061819571537882</v>
      </c>
      <c r="L172" s="1">
        <f t="shared" ca="1" si="68"/>
        <v>14</v>
      </c>
      <c r="M172" s="1"/>
      <c r="N172" s="1">
        <f t="shared" ca="1" si="69"/>
        <v>106</v>
      </c>
      <c r="O172" s="1">
        <f t="shared" ca="1" si="70"/>
        <v>48</v>
      </c>
      <c r="P172" s="1"/>
      <c r="Q172" s="1">
        <f t="shared" ca="1" si="71"/>
        <v>3.9193966191355796</v>
      </c>
      <c r="R172" s="1">
        <f t="shared" ca="1" si="72"/>
        <v>1118</v>
      </c>
      <c r="S172" s="1"/>
      <c r="T172" s="1">
        <f t="shared" ca="1" si="73"/>
        <v>8.9689837576558282E-2</v>
      </c>
      <c r="U172" s="1">
        <f t="shared" ca="1" si="74"/>
        <v>351</v>
      </c>
      <c r="V172" s="1">
        <f t="shared" ca="1" si="75"/>
        <v>29</v>
      </c>
      <c r="W172" s="1"/>
      <c r="X172" s="1">
        <f t="shared" ca="1" si="76"/>
        <v>8.676409239947386</v>
      </c>
      <c r="Y172" s="1">
        <f t="shared" ca="1" si="77"/>
        <v>0.39346614839153565</v>
      </c>
      <c r="Z172" s="1">
        <f t="shared" ca="1" si="78"/>
        <v>1276</v>
      </c>
      <c r="AB172" s="1">
        <f t="shared" ca="1" si="79"/>
        <v>0.71863645796285558</v>
      </c>
      <c r="AC172" s="1">
        <f t="shared" ca="1" si="80"/>
        <v>530</v>
      </c>
      <c r="AD172" s="1">
        <f t="shared" ca="1" si="81"/>
        <v>8.0794475182698958E-3</v>
      </c>
      <c r="AE172" s="1"/>
      <c r="AF172" s="1">
        <f t="shared" ca="1" si="82"/>
        <v>0.14414156279710488</v>
      </c>
      <c r="AG172" s="1">
        <f t="shared" ca="1" si="83"/>
        <v>136</v>
      </c>
      <c r="AH172" s="1">
        <f t="shared" ca="1" si="84"/>
        <v>7.235573821079694E-4</v>
      </c>
      <c r="AJ172" s="1">
        <f t="shared" ca="1" si="85"/>
        <v>0.6319877969163763</v>
      </c>
      <c r="AK172" s="1">
        <f t="shared" ca="1" si="86"/>
        <v>1.2149918580375101E-3</v>
      </c>
      <c r="AL172" s="1"/>
      <c r="AM172" s="1">
        <f t="shared" ca="1" si="87"/>
        <v>3.2530076045098617E-2</v>
      </c>
      <c r="AN172" s="1">
        <f t="shared" ca="1" si="88"/>
        <v>17</v>
      </c>
      <c r="AO172" s="1">
        <f t="shared" ca="1" si="89"/>
        <v>16</v>
      </c>
    </row>
    <row r="173" spans="2:41" x14ac:dyDescent="0.25">
      <c r="B173">
        <f t="shared" ca="1" si="60"/>
        <v>248</v>
      </c>
      <c r="C173">
        <f t="shared" ca="1" si="61"/>
        <v>11</v>
      </c>
      <c r="D173">
        <f t="shared" ca="1" si="62"/>
        <v>7.9454119813334959E-2</v>
      </c>
      <c r="F173" s="1">
        <f t="shared" ca="1" si="63"/>
        <v>21</v>
      </c>
      <c r="G173" s="1">
        <f t="shared" ca="1" si="64"/>
        <v>3</v>
      </c>
      <c r="H173" s="1">
        <f t="shared" ca="1" si="65"/>
        <v>3</v>
      </c>
      <c r="I173" s="1"/>
      <c r="J173" s="1">
        <f t="shared" ca="1" si="66"/>
        <v>21</v>
      </c>
      <c r="K173" s="1">
        <f t="shared" ca="1" si="67"/>
        <v>1.1616980895201854</v>
      </c>
      <c r="L173" s="1">
        <f t="shared" ca="1" si="68"/>
        <v>3</v>
      </c>
      <c r="M173" s="1"/>
      <c r="N173" s="1">
        <f t="shared" ca="1" si="69"/>
        <v>150</v>
      </c>
      <c r="O173" s="1">
        <f t="shared" ca="1" si="70"/>
        <v>34</v>
      </c>
      <c r="P173" s="1"/>
      <c r="Q173" s="1">
        <f t="shared" ca="1" si="71"/>
        <v>3.6926168559310022</v>
      </c>
      <c r="R173" s="1">
        <f t="shared" ca="1" si="72"/>
        <v>815</v>
      </c>
      <c r="S173" s="1"/>
      <c r="T173" s="1">
        <f t="shared" ca="1" si="73"/>
        <v>0.10125526345979574</v>
      </c>
      <c r="U173" s="1">
        <f t="shared" ca="1" si="74"/>
        <v>187</v>
      </c>
      <c r="V173" s="1">
        <f t="shared" ca="1" si="75"/>
        <v>39</v>
      </c>
      <c r="W173" s="1"/>
      <c r="X173" s="1">
        <f t="shared" ca="1" si="76"/>
        <v>0.22490758463907262</v>
      </c>
      <c r="Y173" s="1">
        <f t="shared" ca="1" si="77"/>
        <v>6.8111078216991118E-3</v>
      </c>
      <c r="Z173" s="1">
        <f t="shared" ca="1" si="78"/>
        <v>1050</v>
      </c>
      <c r="AB173" s="1">
        <f t="shared" ca="1" si="79"/>
        <v>0.11198385825927294</v>
      </c>
      <c r="AC173" s="1">
        <f t="shared" ca="1" si="80"/>
        <v>894</v>
      </c>
      <c r="AD173" s="1">
        <f t="shared" ca="1" si="81"/>
        <v>9.5218570944166864E-4</v>
      </c>
      <c r="AE173" s="1"/>
      <c r="AF173" s="1">
        <f t="shared" ca="1" si="82"/>
        <v>0.37028890866242925</v>
      </c>
      <c r="AG173" s="1">
        <f t="shared" ca="1" si="83"/>
        <v>346</v>
      </c>
      <c r="AH173" s="1">
        <f t="shared" ca="1" si="84"/>
        <v>6.6624729174399105E-3</v>
      </c>
      <c r="AJ173" s="1">
        <f t="shared" ca="1" si="85"/>
        <v>0.95849128427316088</v>
      </c>
      <c r="AK173" s="1">
        <f t="shared" ca="1" si="86"/>
        <v>4.325910878030104E-3</v>
      </c>
      <c r="AL173" s="1"/>
      <c r="AM173" s="1">
        <f t="shared" ca="1" si="87"/>
        <v>7.4216270760375083E-2</v>
      </c>
      <c r="AN173" s="1">
        <f t="shared" ca="1" si="88"/>
        <v>59</v>
      </c>
      <c r="AO173" s="1">
        <f t="shared" ca="1" si="89"/>
        <v>5</v>
      </c>
    </row>
    <row r="174" spans="2:41" x14ac:dyDescent="0.25">
      <c r="B174">
        <f t="shared" ca="1" si="60"/>
        <v>724</v>
      </c>
      <c r="C174">
        <f t="shared" ca="1" si="61"/>
        <v>19</v>
      </c>
      <c r="D174">
        <f t="shared" ca="1" si="62"/>
        <v>5.8226989527851415E-2</v>
      </c>
      <c r="F174" s="1">
        <f t="shared" ca="1" si="63"/>
        <v>24</v>
      </c>
      <c r="G174" s="1">
        <f t="shared" ca="1" si="64"/>
        <v>20</v>
      </c>
      <c r="H174" s="1">
        <f t="shared" ca="1" si="65"/>
        <v>1</v>
      </c>
      <c r="I174" s="1"/>
      <c r="J174" s="1">
        <f t="shared" ca="1" si="66"/>
        <v>18</v>
      </c>
      <c r="K174" s="1">
        <f t="shared" ca="1" si="67"/>
        <v>1.9373612969166605</v>
      </c>
      <c r="L174" s="1">
        <f t="shared" ca="1" si="68"/>
        <v>22</v>
      </c>
      <c r="M174" s="1"/>
      <c r="N174" s="1">
        <f t="shared" ca="1" si="69"/>
        <v>749</v>
      </c>
      <c r="O174" s="1">
        <f t="shared" ca="1" si="70"/>
        <v>30</v>
      </c>
      <c r="P174" s="1"/>
      <c r="Q174" s="1">
        <f t="shared" ca="1" si="71"/>
        <v>1.5936384243133248</v>
      </c>
      <c r="R174" s="1">
        <f t="shared" ca="1" si="72"/>
        <v>674</v>
      </c>
      <c r="S174" s="1"/>
      <c r="T174" s="1">
        <f t="shared" ca="1" si="73"/>
        <v>2.3443679473239293E-2</v>
      </c>
      <c r="U174" s="1">
        <f t="shared" ca="1" si="74"/>
        <v>300</v>
      </c>
      <c r="V174" s="1">
        <f t="shared" ca="1" si="75"/>
        <v>34</v>
      </c>
      <c r="W174" s="1"/>
      <c r="X174" s="1">
        <f t="shared" ca="1" si="76"/>
        <v>8.1168502367580277</v>
      </c>
      <c r="Y174" s="1">
        <f t="shared" ca="1" si="77"/>
        <v>0.17501786104098974</v>
      </c>
      <c r="Z174" s="1">
        <f t="shared" ca="1" si="78"/>
        <v>755</v>
      </c>
      <c r="AB174" s="1">
        <f t="shared" ca="1" si="79"/>
        <v>0.13412206871635202</v>
      </c>
      <c r="AC174" s="1">
        <f t="shared" ca="1" si="80"/>
        <v>551</v>
      </c>
      <c r="AD174" s="1">
        <f t="shared" ca="1" si="81"/>
        <v>8.0498754799756822E-3</v>
      </c>
      <c r="AE174" s="1"/>
      <c r="AF174" s="1">
        <f t="shared" ca="1" si="82"/>
        <v>0.5209319984751708</v>
      </c>
      <c r="AG174" s="1">
        <f t="shared" ca="1" si="83"/>
        <v>675</v>
      </c>
      <c r="AH174" s="1">
        <f t="shared" ca="1" si="84"/>
        <v>7.3734072929960504E-3</v>
      </c>
      <c r="AJ174" s="1">
        <f t="shared" ca="1" si="85"/>
        <v>0.64205997992171537</v>
      </c>
      <c r="AK174" s="1">
        <f t="shared" ca="1" si="86"/>
        <v>5.5424798848676387E-3</v>
      </c>
      <c r="AL174" s="1"/>
      <c r="AM174" s="1">
        <f t="shared" ca="1" si="87"/>
        <v>0.11985618806968694</v>
      </c>
      <c r="AN174" s="1">
        <f t="shared" ca="1" si="88"/>
        <v>56</v>
      </c>
      <c r="AO174" s="1">
        <f t="shared" ca="1" si="89"/>
        <v>19</v>
      </c>
    </row>
    <row r="175" spans="2:41" x14ac:dyDescent="0.25">
      <c r="B175">
        <f t="shared" ca="1" si="60"/>
        <v>920</v>
      </c>
      <c r="C175">
        <f t="shared" ca="1" si="61"/>
        <v>9</v>
      </c>
      <c r="D175">
        <f t="shared" ca="1" si="62"/>
        <v>0.29668479737649056</v>
      </c>
      <c r="F175" s="1">
        <f t="shared" ca="1" si="63"/>
        <v>14</v>
      </c>
      <c r="G175" s="1">
        <f t="shared" ca="1" si="64"/>
        <v>23</v>
      </c>
      <c r="H175" s="1">
        <f t="shared" ca="1" si="65"/>
        <v>1</v>
      </c>
      <c r="I175" s="1"/>
      <c r="J175" s="1">
        <f t="shared" ca="1" si="66"/>
        <v>24</v>
      </c>
      <c r="K175" s="1">
        <f t="shared" ca="1" si="67"/>
        <v>2.2741625507979233</v>
      </c>
      <c r="L175" s="1">
        <f t="shared" ca="1" si="68"/>
        <v>35</v>
      </c>
      <c r="M175" s="1"/>
      <c r="N175" s="1">
        <f t="shared" ca="1" si="69"/>
        <v>761</v>
      </c>
      <c r="O175" s="1">
        <f t="shared" ca="1" si="70"/>
        <v>50</v>
      </c>
      <c r="P175" s="1"/>
      <c r="Q175" s="1">
        <f t="shared" ca="1" si="71"/>
        <v>4.6709098913142197</v>
      </c>
      <c r="R175" s="1">
        <f t="shared" ca="1" si="72"/>
        <v>644</v>
      </c>
      <c r="S175" s="1"/>
      <c r="T175" s="1">
        <f t="shared" ca="1" si="73"/>
        <v>7.0984241725970093E-2</v>
      </c>
      <c r="U175" s="1">
        <f t="shared" ca="1" si="74"/>
        <v>72</v>
      </c>
      <c r="V175" s="1">
        <f t="shared" ca="1" si="75"/>
        <v>22</v>
      </c>
      <c r="W175" s="1"/>
      <c r="X175" s="1">
        <f t="shared" ca="1" si="76"/>
        <v>5.4837984995761104</v>
      </c>
      <c r="Y175" s="1">
        <f t="shared" ca="1" si="77"/>
        <v>0.33376385706609335</v>
      </c>
      <c r="Z175" s="1">
        <f t="shared" ca="1" si="78"/>
        <v>136</v>
      </c>
      <c r="AB175" s="1">
        <f t="shared" ca="1" si="79"/>
        <v>0.64685717998380277</v>
      </c>
      <c r="AC175" s="1">
        <f t="shared" ca="1" si="80"/>
        <v>731</v>
      </c>
      <c r="AD175" s="1">
        <f t="shared" ca="1" si="81"/>
        <v>5.1808286973870363E-3</v>
      </c>
      <c r="AE175" s="1"/>
      <c r="AF175" s="1">
        <f t="shared" ca="1" si="82"/>
        <v>0.14772820018198712</v>
      </c>
      <c r="AG175" s="1">
        <f t="shared" ca="1" si="83"/>
        <v>308</v>
      </c>
      <c r="AH175" s="1">
        <f t="shared" ca="1" si="84"/>
        <v>5.862509252759795E-3</v>
      </c>
      <c r="AJ175" s="1">
        <f t="shared" ca="1" si="85"/>
        <v>0.96092319496677892</v>
      </c>
      <c r="AK175" s="1">
        <f t="shared" ca="1" si="86"/>
        <v>1.4399496651773874E-3</v>
      </c>
      <c r="AL175" s="1"/>
      <c r="AM175" s="1">
        <f t="shared" ca="1" si="87"/>
        <v>0.17924968445474085</v>
      </c>
      <c r="AN175" s="1">
        <f t="shared" ca="1" si="88"/>
        <v>11</v>
      </c>
      <c r="AO175" s="1">
        <f t="shared" ca="1" si="89"/>
        <v>0</v>
      </c>
    </row>
    <row r="176" spans="2:41" x14ac:dyDescent="0.25">
      <c r="B176">
        <f t="shared" ca="1" si="60"/>
        <v>852</v>
      </c>
      <c r="C176">
        <f t="shared" ca="1" si="61"/>
        <v>38</v>
      </c>
      <c r="D176">
        <f t="shared" ca="1" si="62"/>
        <v>0.1355881387497124</v>
      </c>
      <c r="F176" s="1">
        <f t="shared" ca="1" si="63"/>
        <v>17</v>
      </c>
      <c r="G176" s="1">
        <f t="shared" ca="1" si="64"/>
        <v>10</v>
      </c>
      <c r="H176" s="1">
        <f t="shared" ca="1" si="65"/>
        <v>14</v>
      </c>
      <c r="I176" s="1"/>
      <c r="J176" s="1">
        <f t="shared" ca="1" si="66"/>
        <v>30</v>
      </c>
      <c r="K176" s="1">
        <f t="shared" ca="1" si="67"/>
        <v>2.3683390751259776</v>
      </c>
      <c r="L176" s="1">
        <f t="shared" ca="1" si="68"/>
        <v>10</v>
      </c>
      <c r="M176" s="1"/>
      <c r="N176" s="1">
        <f t="shared" ca="1" si="69"/>
        <v>529</v>
      </c>
      <c r="O176" s="1">
        <f t="shared" ca="1" si="70"/>
        <v>7</v>
      </c>
      <c r="P176" s="1"/>
      <c r="Q176" s="1">
        <f t="shared" ca="1" si="71"/>
        <v>2.118792630327587</v>
      </c>
      <c r="R176" s="1">
        <f t="shared" ca="1" si="72"/>
        <v>1025</v>
      </c>
      <c r="S176" s="1"/>
      <c r="T176" s="1">
        <f t="shared" ca="1" si="73"/>
        <v>0.12024342830854279</v>
      </c>
      <c r="U176" s="1">
        <f t="shared" ca="1" si="74"/>
        <v>172</v>
      </c>
      <c r="V176" s="1">
        <f t="shared" ca="1" si="75"/>
        <v>34</v>
      </c>
      <c r="W176" s="1"/>
      <c r="X176" s="1">
        <f t="shared" ca="1" si="76"/>
        <v>3.7845163396864736</v>
      </c>
      <c r="Y176" s="1">
        <f t="shared" ca="1" si="77"/>
        <v>0.50721587818715608</v>
      </c>
      <c r="Z176" s="1">
        <f t="shared" ca="1" si="78"/>
        <v>1909</v>
      </c>
      <c r="AB176" s="1">
        <f t="shared" ca="1" si="79"/>
        <v>0.36277952134391722</v>
      </c>
      <c r="AC176" s="1">
        <f t="shared" ca="1" si="80"/>
        <v>740</v>
      </c>
      <c r="AD176" s="1">
        <f t="shared" ca="1" si="81"/>
        <v>7.3414394629992144E-3</v>
      </c>
      <c r="AE176" s="1"/>
      <c r="AF176" s="1">
        <f t="shared" ca="1" si="82"/>
        <v>0.26499946768071558</v>
      </c>
      <c r="AG176" s="1">
        <f t="shared" ca="1" si="83"/>
        <v>989</v>
      </c>
      <c r="AH176" s="1">
        <f t="shared" ca="1" si="84"/>
        <v>4.0791633460925915E-3</v>
      </c>
      <c r="AJ176" s="1">
        <f t="shared" ca="1" si="85"/>
        <v>0.19471184765328109</v>
      </c>
      <c r="AK176" s="1">
        <f t="shared" ca="1" si="86"/>
        <v>3.8821234040322607E-3</v>
      </c>
      <c r="AL176" s="1"/>
      <c r="AM176" s="1">
        <f t="shared" ca="1" si="87"/>
        <v>0.17125118327996852</v>
      </c>
      <c r="AN176" s="1">
        <f t="shared" ca="1" si="88"/>
        <v>35</v>
      </c>
      <c r="AO176" s="1">
        <f t="shared" ca="1" si="89"/>
        <v>1</v>
      </c>
    </row>
    <row r="177" spans="2:41" x14ac:dyDescent="0.25">
      <c r="B177">
        <f t="shared" ca="1" si="60"/>
        <v>932</v>
      </c>
      <c r="C177">
        <f t="shared" ca="1" si="61"/>
        <v>42</v>
      </c>
      <c r="D177">
        <f t="shared" ca="1" si="62"/>
        <v>0.23330726408115673</v>
      </c>
      <c r="F177" s="1">
        <f t="shared" ca="1" si="63"/>
        <v>9</v>
      </c>
      <c r="G177" s="1">
        <f t="shared" ca="1" si="64"/>
        <v>20</v>
      </c>
      <c r="H177" s="1">
        <f t="shared" ca="1" si="65"/>
        <v>10</v>
      </c>
      <c r="I177" s="1"/>
      <c r="J177" s="1">
        <f t="shared" ca="1" si="66"/>
        <v>19</v>
      </c>
      <c r="K177" s="1">
        <f t="shared" ca="1" si="67"/>
        <v>1.3555597966234452</v>
      </c>
      <c r="L177" s="1">
        <f t="shared" ca="1" si="68"/>
        <v>7</v>
      </c>
      <c r="M177" s="1"/>
      <c r="N177" s="1">
        <f t="shared" ca="1" si="69"/>
        <v>490</v>
      </c>
      <c r="O177" s="1">
        <f t="shared" ca="1" si="70"/>
        <v>37</v>
      </c>
      <c r="P177" s="1"/>
      <c r="Q177" s="1">
        <f t="shared" ca="1" si="71"/>
        <v>4.6492812556987522</v>
      </c>
      <c r="R177" s="1">
        <f t="shared" ca="1" si="72"/>
        <v>676</v>
      </c>
      <c r="S177" s="1"/>
      <c r="T177" s="1">
        <f t="shared" ca="1" si="73"/>
        <v>0.13543680055726703</v>
      </c>
      <c r="U177" s="1">
        <f t="shared" ca="1" si="74"/>
        <v>61</v>
      </c>
      <c r="V177" s="1">
        <f t="shared" ca="1" si="75"/>
        <v>2</v>
      </c>
      <c r="W177" s="1"/>
      <c r="X177" s="1">
        <f t="shared" ca="1" si="76"/>
        <v>3.7125710420780731</v>
      </c>
      <c r="Y177" s="1">
        <f t="shared" ca="1" si="77"/>
        <v>0.75149530655889707</v>
      </c>
      <c r="Z177" s="1">
        <f t="shared" ca="1" si="78"/>
        <v>241</v>
      </c>
      <c r="AB177" s="1">
        <f t="shared" ca="1" si="79"/>
        <v>2.9304327788202446E-3</v>
      </c>
      <c r="AC177" s="1">
        <f t="shared" ca="1" si="80"/>
        <v>993</v>
      </c>
      <c r="AD177" s="1">
        <f t="shared" ca="1" si="81"/>
        <v>1.6016745573882479E-3</v>
      </c>
      <c r="AE177" s="1"/>
      <c r="AF177" s="1">
        <f t="shared" ca="1" si="82"/>
        <v>0.69604680636253102</v>
      </c>
      <c r="AG177" s="1">
        <f t="shared" ca="1" si="83"/>
        <v>922</v>
      </c>
      <c r="AH177" s="1">
        <f t="shared" ca="1" si="84"/>
        <v>8.2908331820330406E-3</v>
      </c>
      <c r="AJ177" s="1">
        <f t="shared" ca="1" si="85"/>
        <v>0.25984943346164657</v>
      </c>
      <c r="AK177" s="1">
        <f t="shared" ca="1" si="86"/>
        <v>4.0002120842064421E-4</v>
      </c>
      <c r="AL177" s="1"/>
      <c r="AM177" s="1">
        <f t="shared" ca="1" si="87"/>
        <v>0.11825484905102361</v>
      </c>
      <c r="AN177" s="1">
        <f t="shared" ca="1" si="88"/>
        <v>48</v>
      </c>
      <c r="AO177" s="1">
        <f t="shared" ca="1" si="89"/>
        <v>16</v>
      </c>
    </row>
    <row r="178" spans="2:41" x14ac:dyDescent="0.25">
      <c r="B178">
        <f t="shared" ca="1" si="60"/>
        <v>209</v>
      </c>
      <c r="C178">
        <f t="shared" ca="1" si="61"/>
        <v>42</v>
      </c>
      <c r="D178">
        <f t="shared" ca="1" si="62"/>
        <v>4.0080250934495056E-2</v>
      </c>
      <c r="F178" s="1">
        <f t="shared" ca="1" si="63"/>
        <v>2</v>
      </c>
      <c r="G178" s="1">
        <f t="shared" ca="1" si="64"/>
        <v>30</v>
      </c>
      <c r="H178" s="1">
        <f t="shared" ca="1" si="65"/>
        <v>5</v>
      </c>
      <c r="I178" s="1"/>
      <c r="J178" s="1">
        <f t="shared" ca="1" si="66"/>
        <v>6</v>
      </c>
      <c r="K178" s="1">
        <f t="shared" ca="1" si="67"/>
        <v>2.0583865033389221</v>
      </c>
      <c r="L178" s="1">
        <f t="shared" ca="1" si="68"/>
        <v>3</v>
      </c>
      <c r="M178" s="1"/>
      <c r="N178" s="1">
        <f t="shared" ca="1" si="69"/>
        <v>197</v>
      </c>
      <c r="O178" s="1">
        <f t="shared" ca="1" si="70"/>
        <v>30</v>
      </c>
      <c r="P178" s="1"/>
      <c r="Q178" s="1">
        <f t="shared" ca="1" si="71"/>
        <v>3.7482847195770512</v>
      </c>
      <c r="R178" s="1">
        <f t="shared" ca="1" si="72"/>
        <v>1096</v>
      </c>
      <c r="S178" s="1"/>
      <c r="T178" s="1">
        <f t="shared" ca="1" si="73"/>
        <v>0.15838916990070909</v>
      </c>
      <c r="U178" s="1">
        <f t="shared" ca="1" si="74"/>
        <v>420</v>
      </c>
      <c r="V178" s="1">
        <f t="shared" ca="1" si="75"/>
        <v>8</v>
      </c>
      <c r="W178" s="1"/>
      <c r="X178" s="1">
        <f t="shared" ca="1" si="76"/>
        <v>0.44033333789879164</v>
      </c>
      <c r="Y178" s="1">
        <f t="shared" ca="1" si="77"/>
        <v>0.56495099863962028</v>
      </c>
      <c r="Z178" s="1">
        <f t="shared" ca="1" si="78"/>
        <v>1914</v>
      </c>
      <c r="AB178" s="1">
        <f t="shared" ca="1" si="79"/>
        <v>0.52643585488335454</v>
      </c>
      <c r="AC178" s="1">
        <f t="shared" ca="1" si="80"/>
        <v>439</v>
      </c>
      <c r="AD178" s="1">
        <f t="shared" ca="1" si="81"/>
        <v>4.3425281705019858E-3</v>
      </c>
      <c r="AE178" s="1"/>
      <c r="AF178" s="1">
        <f t="shared" ca="1" si="82"/>
        <v>0.73751178274275475</v>
      </c>
      <c r="AG178" s="1">
        <f t="shared" ca="1" si="83"/>
        <v>326</v>
      </c>
      <c r="AH178" s="1">
        <f t="shared" ca="1" si="84"/>
        <v>8.2301929487852039E-3</v>
      </c>
      <c r="AJ178" s="1">
        <f t="shared" ca="1" si="85"/>
        <v>0.53517790417767208</v>
      </c>
      <c r="AK178" s="1">
        <f t="shared" ca="1" si="86"/>
        <v>2.407643730012557E-3</v>
      </c>
      <c r="AL178" s="1"/>
      <c r="AM178" s="1">
        <f t="shared" ca="1" si="87"/>
        <v>0.10609227504008736</v>
      </c>
      <c r="AN178" s="1">
        <f t="shared" ca="1" si="88"/>
        <v>67</v>
      </c>
      <c r="AO178" s="1">
        <f t="shared" ca="1" si="89"/>
        <v>17</v>
      </c>
    </row>
    <row r="179" spans="2:41" x14ac:dyDescent="0.25">
      <c r="B179">
        <f t="shared" ca="1" si="60"/>
        <v>428</v>
      </c>
      <c r="C179">
        <f t="shared" ca="1" si="61"/>
        <v>30</v>
      </c>
      <c r="D179">
        <f t="shared" ca="1" si="62"/>
        <v>9.2717649020993359E-2</v>
      </c>
      <c r="F179" s="1">
        <f t="shared" ca="1" si="63"/>
        <v>27</v>
      </c>
      <c r="G179" s="1">
        <f t="shared" ca="1" si="64"/>
        <v>26</v>
      </c>
      <c r="H179" s="1">
        <f t="shared" ca="1" si="65"/>
        <v>2</v>
      </c>
      <c r="I179" s="1"/>
      <c r="J179" s="1">
        <f t="shared" ca="1" si="66"/>
        <v>2</v>
      </c>
      <c r="K179" s="1">
        <f t="shared" ca="1" si="67"/>
        <v>1.8387355677435122</v>
      </c>
      <c r="L179" s="1">
        <f t="shared" ca="1" si="68"/>
        <v>14</v>
      </c>
      <c r="M179" s="1"/>
      <c r="N179" s="1">
        <f t="shared" ca="1" si="69"/>
        <v>196</v>
      </c>
      <c r="O179" s="1">
        <f t="shared" ca="1" si="70"/>
        <v>35</v>
      </c>
      <c r="P179" s="1"/>
      <c r="Q179" s="1">
        <f t="shared" ca="1" si="71"/>
        <v>2.7967471838425118</v>
      </c>
      <c r="R179" s="1">
        <f t="shared" ca="1" si="72"/>
        <v>590</v>
      </c>
      <c r="S179" s="1"/>
      <c r="T179" s="1">
        <f t="shared" ca="1" si="73"/>
        <v>9.2054067144115723E-2</v>
      </c>
      <c r="U179" s="1">
        <f t="shared" ca="1" si="74"/>
        <v>113</v>
      </c>
      <c r="V179" s="1">
        <f t="shared" ca="1" si="75"/>
        <v>32</v>
      </c>
      <c r="W179" s="1"/>
      <c r="X179" s="1">
        <f t="shared" ca="1" si="76"/>
        <v>7.7045233144006344</v>
      </c>
      <c r="Y179" s="1">
        <f t="shared" ca="1" si="77"/>
        <v>0.61430390538437174</v>
      </c>
      <c r="Z179" s="1">
        <f t="shared" ca="1" si="78"/>
        <v>1153</v>
      </c>
      <c r="AB179" s="1">
        <f t="shared" ca="1" si="79"/>
        <v>0.45234094882502185</v>
      </c>
      <c r="AC179" s="1">
        <f t="shared" ca="1" si="80"/>
        <v>375</v>
      </c>
      <c r="AD179" s="1">
        <f t="shared" ca="1" si="81"/>
        <v>7.4866952771973283E-3</v>
      </c>
      <c r="AE179" s="1"/>
      <c r="AF179" s="1">
        <f t="shared" ca="1" si="82"/>
        <v>0.177606652855539</v>
      </c>
      <c r="AG179" s="1">
        <f t="shared" ca="1" si="83"/>
        <v>374</v>
      </c>
      <c r="AH179" s="1">
        <f t="shared" ca="1" si="84"/>
        <v>9.7899568806492851E-3</v>
      </c>
      <c r="AJ179" s="1">
        <f t="shared" ca="1" si="85"/>
        <v>0.95782671494109384</v>
      </c>
      <c r="AK179" s="1">
        <f t="shared" ca="1" si="86"/>
        <v>1.9803822652201511E-3</v>
      </c>
      <c r="AL179" s="1"/>
      <c r="AM179" s="1">
        <f t="shared" ca="1" si="87"/>
        <v>3.1510919745832727E-2</v>
      </c>
      <c r="AN179" s="1">
        <f t="shared" ca="1" si="88"/>
        <v>16</v>
      </c>
      <c r="AO179" s="1">
        <f t="shared" ca="1" si="89"/>
        <v>13</v>
      </c>
    </row>
    <row r="180" spans="2:41" x14ac:dyDescent="0.25">
      <c r="B180">
        <f t="shared" ca="1" si="60"/>
        <v>702</v>
      </c>
      <c r="C180">
        <f t="shared" ca="1" si="61"/>
        <v>7</v>
      </c>
      <c r="D180">
        <f t="shared" ca="1" si="62"/>
        <v>0.14294737854020437</v>
      </c>
      <c r="F180" s="1">
        <f t="shared" ca="1" si="63"/>
        <v>52</v>
      </c>
      <c r="G180" s="1">
        <f t="shared" ca="1" si="64"/>
        <v>17</v>
      </c>
      <c r="H180" s="1">
        <f t="shared" ca="1" si="65"/>
        <v>12</v>
      </c>
      <c r="I180" s="1"/>
      <c r="J180" s="1">
        <f t="shared" ca="1" si="66"/>
        <v>19</v>
      </c>
      <c r="K180" s="1">
        <f t="shared" ca="1" si="67"/>
        <v>1.1985801005126264</v>
      </c>
      <c r="L180" s="1">
        <f t="shared" ca="1" si="68"/>
        <v>19</v>
      </c>
      <c r="M180" s="1"/>
      <c r="N180" s="1">
        <f t="shared" ca="1" si="69"/>
        <v>440</v>
      </c>
      <c r="O180" s="1">
        <f t="shared" ca="1" si="70"/>
        <v>36</v>
      </c>
      <c r="P180" s="1"/>
      <c r="Q180" s="1">
        <f t="shared" ca="1" si="71"/>
        <v>2.3679060779252632</v>
      </c>
      <c r="R180" s="1">
        <f t="shared" ca="1" si="72"/>
        <v>233</v>
      </c>
      <c r="S180" s="1"/>
      <c r="T180" s="1">
        <f t="shared" ca="1" si="73"/>
        <v>9.2480050315435422E-2</v>
      </c>
      <c r="U180" s="1">
        <f t="shared" ca="1" si="74"/>
        <v>112</v>
      </c>
      <c r="V180" s="1">
        <f t="shared" ca="1" si="75"/>
        <v>2</v>
      </c>
      <c r="W180" s="1"/>
      <c r="X180" s="1">
        <f t="shared" ca="1" si="76"/>
        <v>6.1027836766777694</v>
      </c>
      <c r="Y180" s="1">
        <f t="shared" ca="1" si="77"/>
        <v>0.15348685675696591</v>
      </c>
      <c r="Z180" s="1">
        <f t="shared" ca="1" si="78"/>
        <v>1535</v>
      </c>
      <c r="AB180" s="1">
        <f t="shared" ca="1" si="79"/>
        <v>0.61983496206667721</v>
      </c>
      <c r="AC180" s="1">
        <f t="shared" ca="1" si="80"/>
        <v>432</v>
      </c>
      <c r="AD180" s="1">
        <f t="shared" ca="1" si="81"/>
        <v>9.0650685122280941E-3</v>
      </c>
      <c r="AE180" s="1"/>
      <c r="AF180" s="1">
        <f t="shared" ca="1" si="82"/>
        <v>0.5935683850282566</v>
      </c>
      <c r="AG180" s="1">
        <f t="shared" ca="1" si="83"/>
        <v>858</v>
      </c>
      <c r="AH180" s="1">
        <f t="shared" ca="1" si="84"/>
        <v>3.7966662163677191E-3</v>
      </c>
      <c r="AJ180" s="1">
        <f t="shared" ca="1" si="85"/>
        <v>0.25320696235902129</v>
      </c>
      <c r="AK180" s="1">
        <f t="shared" ca="1" si="86"/>
        <v>8.8585343765048754E-3</v>
      </c>
      <c r="AL180" s="1"/>
      <c r="AM180" s="1">
        <f t="shared" ca="1" si="87"/>
        <v>7.4105538555233802E-2</v>
      </c>
      <c r="AN180" s="1">
        <f t="shared" ca="1" si="88"/>
        <v>71</v>
      </c>
      <c r="AO180" s="1">
        <f t="shared" ca="1" si="89"/>
        <v>6</v>
      </c>
    </row>
    <row r="181" spans="2:41" x14ac:dyDescent="0.25">
      <c r="B181">
        <f t="shared" ca="1" si="60"/>
        <v>846</v>
      </c>
      <c r="C181">
        <f t="shared" ca="1" si="61"/>
        <v>51</v>
      </c>
      <c r="D181">
        <f t="shared" ca="1" si="62"/>
        <v>7.7477690718722333E-2</v>
      </c>
      <c r="F181" s="1">
        <f t="shared" ca="1" si="63"/>
        <v>29</v>
      </c>
      <c r="G181" s="1">
        <f t="shared" ca="1" si="64"/>
        <v>14</v>
      </c>
      <c r="H181" s="1">
        <f t="shared" ca="1" si="65"/>
        <v>9</v>
      </c>
      <c r="I181" s="1"/>
      <c r="J181" s="1">
        <f t="shared" ca="1" si="66"/>
        <v>13</v>
      </c>
      <c r="K181" s="1">
        <f t="shared" ca="1" si="67"/>
        <v>1.1291274475783104</v>
      </c>
      <c r="L181" s="1">
        <f t="shared" ca="1" si="68"/>
        <v>17</v>
      </c>
      <c r="M181" s="1"/>
      <c r="N181" s="1">
        <f t="shared" ca="1" si="69"/>
        <v>780</v>
      </c>
      <c r="O181" s="1">
        <f t="shared" ca="1" si="70"/>
        <v>4</v>
      </c>
      <c r="P181" s="1"/>
      <c r="Q181" s="1">
        <f t="shared" ca="1" si="71"/>
        <v>4.8923421202902073</v>
      </c>
      <c r="R181" s="1">
        <f t="shared" ca="1" si="72"/>
        <v>666</v>
      </c>
      <c r="S181" s="1"/>
      <c r="T181" s="1">
        <f t="shared" ca="1" si="73"/>
        <v>0.11050257015454608</v>
      </c>
      <c r="U181" s="1">
        <f t="shared" ca="1" si="74"/>
        <v>133</v>
      </c>
      <c r="V181" s="1">
        <f t="shared" ca="1" si="75"/>
        <v>36</v>
      </c>
      <c r="W181" s="1"/>
      <c r="X181" s="1">
        <f t="shared" ca="1" si="76"/>
        <v>3.7411340377356543</v>
      </c>
      <c r="Y181" s="1">
        <f t="shared" ca="1" si="77"/>
        <v>0.86867661069091429</v>
      </c>
      <c r="Z181" s="1">
        <f t="shared" ca="1" si="78"/>
        <v>1522</v>
      </c>
      <c r="AB181" s="1">
        <f t="shared" ca="1" si="79"/>
        <v>0.28842380903004761</v>
      </c>
      <c r="AC181" s="1">
        <f t="shared" ca="1" si="80"/>
        <v>920</v>
      </c>
      <c r="AD181" s="1">
        <f t="shared" ca="1" si="81"/>
        <v>9.7142371293038304E-3</v>
      </c>
      <c r="AE181" s="1"/>
      <c r="AF181" s="1">
        <f t="shared" ca="1" si="82"/>
        <v>0.63366019063223522</v>
      </c>
      <c r="AG181" s="1">
        <f t="shared" ca="1" si="83"/>
        <v>365</v>
      </c>
      <c r="AH181" s="1">
        <f t="shared" ca="1" si="84"/>
        <v>3.7373904275661554E-3</v>
      </c>
      <c r="AJ181" s="1">
        <f t="shared" ca="1" si="85"/>
        <v>0.93319122356946571</v>
      </c>
      <c r="AK181" s="1">
        <f t="shared" ca="1" si="86"/>
        <v>3.3811247050709193E-3</v>
      </c>
      <c r="AL181" s="1"/>
      <c r="AM181" s="1">
        <f t="shared" ca="1" si="87"/>
        <v>8.9654108951997047E-2</v>
      </c>
      <c r="AN181" s="1">
        <f t="shared" ca="1" si="88"/>
        <v>15</v>
      </c>
      <c r="AO181" s="1">
        <f t="shared" ca="1" si="89"/>
        <v>20</v>
      </c>
    </row>
    <row r="182" spans="2:41" x14ac:dyDescent="0.25">
      <c r="B182">
        <f t="shared" ca="1" si="60"/>
        <v>643</v>
      </c>
      <c r="C182">
        <f t="shared" ca="1" si="61"/>
        <v>19</v>
      </c>
      <c r="D182">
        <f t="shared" ca="1" si="62"/>
        <v>0.13072613079470802</v>
      </c>
      <c r="F182" s="1">
        <f t="shared" ca="1" si="63"/>
        <v>19</v>
      </c>
      <c r="G182" s="1">
        <f t="shared" ca="1" si="64"/>
        <v>22</v>
      </c>
      <c r="H182" s="1">
        <f t="shared" ca="1" si="65"/>
        <v>9</v>
      </c>
      <c r="I182" s="1"/>
      <c r="J182" s="1">
        <f t="shared" ca="1" si="66"/>
        <v>14</v>
      </c>
      <c r="K182" s="1">
        <f t="shared" ca="1" si="67"/>
        <v>2.2225377198303091</v>
      </c>
      <c r="L182" s="1">
        <f t="shared" ca="1" si="68"/>
        <v>19</v>
      </c>
      <c r="M182" s="1"/>
      <c r="N182" s="1">
        <f t="shared" ca="1" si="69"/>
        <v>583</v>
      </c>
      <c r="O182" s="1">
        <f t="shared" ca="1" si="70"/>
        <v>14</v>
      </c>
      <c r="P182" s="1"/>
      <c r="Q182" s="1">
        <f t="shared" ca="1" si="71"/>
        <v>3.0949101434557726</v>
      </c>
      <c r="R182" s="1">
        <f t="shared" ca="1" si="72"/>
        <v>768</v>
      </c>
      <c r="S182" s="1"/>
      <c r="T182" s="1">
        <f t="shared" ca="1" si="73"/>
        <v>3.583766715735888E-2</v>
      </c>
      <c r="U182" s="1">
        <f t="shared" ca="1" si="74"/>
        <v>400</v>
      </c>
      <c r="V182" s="1">
        <f t="shared" ca="1" si="75"/>
        <v>42</v>
      </c>
      <c r="W182" s="1"/>
      <c r="X182" s="1">
        <f t="shared" ca="1" si="76"/>
        <v>9.0685350537340117</v>
      </c>
      <c r="Y182" s="1">
        <f t="shared" ca="1" si="77"/>
        <v>6.4397194776054392E-2</v>
      </c>
      <c r="Z182" s="1">
        <f t="shared" ca="1" si="78"/>
        <v>807</v>
      </c>
      <c r="AB182" s="1">
        <f t="shared" ca="1" si="79"/>
        <v>0.19908502478846457</v>
      </c>
      <c r="AC182" s="1">
        <f t="shared" ca="1" si="80"/>
        <v>986</v>
      </c>
      <c r="AD182" s="1">
        <f t="shared" ca="1" si="81"/>
        <v>4.530493962695099E-3</v>
      </c>
      <c r="AE182" s="1"/>
      <c r="AF182" s="1">
        <f t="shared" ca="1" si="82"/>
        <v>0.39745743533416444</v>
      </c>
      <c r="AG182" s="1">
        <f t="shared" ca="1" si="83"/>
        <v>945</v>
      </c>
      <c r="AH182" s="1">
        <f t="shared" ca="1" si="84"/>
        <v>3.8468365729385271E-3</v>
      </c>
      <c r="AJ182" s="1">
        <f t="shared" ca="1" si="85"/>
        <v>0.91507476245372388</v>
      </c>
      <c r="AK182" s="1">
        <f t="shared" ca="1" si="86"/>
        <v>4.4315813898983701E-3</v>
      </c>
      <c r="AL182" s="1"/>
      <c r="AM182" s="1">
        <f t="shared" ca="1" si="87"/>
        <v>0.1172019422293737</v>
      </c>
      <c r="AN182" s="1">
        <f t="shared" ca="1" si="88"/>
        <v>73</v>
      </c>
      <c r="AO182" s="1">
        <f t="shared" ca="1" si="89"/>
        <v>1</v>
      </c>
    </row>
    <row r="183" spans="2:41" x14ac:dyDescent="0.25">
      <c r="B183">
        <f t="shared" ca="1" si="60"/>
        <v>319</v>
      </c>
      <c r="C183">
        <f t="shared" ca="1" si="61"/>
        <v>51</v>
      </c>
      <c r="D183">
        <f t="shared" ca="1" si="62"/>
        <v>0.28869137793889238</v>
      </c>
      <c r="F183" s="1">
        <f t="shared" ca="1" si="63"/>
        <v>28</v>
      </c>
      <c r="G183" s="1">
        <f t="shared" ca="1" si="64"/>
        <v>11</v>
      </c>
      <c r="H183" s="1">
        <f t="shared" ca="1" si="65"/>
        <v>10</v>
      </c>
      <c r="I183" s="1"/>
      <c r="J183" s="1">
        <f t="shared" ca="1" si="66"/>
        <v>20</v>
      </c>
      <c r="K183" s="1">
        <f t="shared" ca="1" si="67"/>
        <v>1.3167971669807854</v>
      </c>
      <c r="L183" s="1">
        <f t="shared" ca="1" si="68"/>
        <v>5</v>
      </c>
      <c r="M183" s="1"/>
      <c r="N183" s="1">
        <f t="shared" ca="1" si="69"/>
        <v>55</v>
      </c>
      <c r="O183" s="1">
        <f t="shared" ca="1" si="70"/>
        <v>23</v>
      </c>
      <c r="P183" s="1"/>
      <c r="Q183" s="1">
        <f t="shared" ca="1" si="71"/>
        <v>1.1387499752698209</v>
      </c>
      <c r="R183" s="1">
        <f t="shared" ca="1" si="72"/>
        <v>801</v>
      </c>
      <c r="S183" s="1"/>
      <c r="T183" s="1">
        <f t="shared" ca="1" si="73"/>
        <v>2.0870945247669505E-2</v>
      </c>
      <c r="U183" s="1">
        <f t="shared" ca="1" si="74"/>
        <v>170</v>
      </c>
      <c r="V183" s="1">
        <f t="shared" ca="1" si="75"/>
        <v>31</v>
      </c>
      <c r="W183" s="1"/>
      <c r="X183" s="1">
        <f t="shared" ca="1" si="76"/>
        <v>1.7946377355104024</v>
      </c>
      <c r="Y183" s="1">
        <f t="shared" ca="1" si="77"/>
        <v>0.44208409684221495</v>
      </c>
      <c r="Z183" s="1">
        <f t="shared" ca="1" si="78"/>
        <v>1055</v>
      </c>
      <c r="AB183" s="1">
        <f t="shared" ca="1" si="79"/>
        <v>0.32420400757229223</v>
      </c>
      <c r="AC183" s="1">
        <f t="shared" ca="1" si="80"/>
        <v>993</v>
      </c>
      <c r="AD183" s="1">
        <f t="shared" ca="1" si="81"/>
        <v>6.7976092802871256E-3</v>
      </c>
      <c r="AE183" s="1"/>
      <c r="AF183" s="1">
        <f t="shared" ca="1" si="82"/>
        <v>0.82864286638965556</v>
      </c>
      <c r="AG183" s="1">
        <f t="shared" ca="1" si="83"/>
        <v>668</v>
      </c>
      <c r="AH183" s="1">
        <f t="shared" ca="1" si="84"/>
        <v>4.5397679171135978E-3</v>
      </c>
      <c r="AJ183" s="1">
        <f t="shared" ca="1" si="85"/>
        <v>0.62251665850321691</v>
      </c>
      <c r="AK183" s="1">
        <f t="shared" ca="1" si="86"/>
        <v>9.4071352782055754E-3</v>
      </c>
      <c r="AL183" s="1"/>
      <c r="AM183" s="1">
        <f t="shared" ca="1" si="87"/>
        <v>5.4958288457329866E-3</v>
      </c>
      <c r="AN183" s="1">
        <f t="shared" ca="1" si="88"/>
        <v>58</v>
      </c>
      <c r="AO183" s="1">
        <f t="shared" ca="1" si="89"/>
        <v>2</v>
      </c>
    </row>
    <row r="184" spans="2:41" x14ac:dyDescent="0.25">
      <c r="B184">
        <f t="shared" ca="1" si="60"/>
        <v>24</v>
      </c>
      <c r="C184">
        <f t="shared" ca="1" si="61"/>
        <v>44</v>
      </c>
      <c r="D184">
        <f t="shared" ca="1" si="62"/>
        <v>0.22436822954059749</v>
      </c>
      <c r="F184" s="1">
        <f t="shared" ca="1" si="63"/>
        <v>38</v>
      </c>
      <c r="G184" s="1">
        <f t="shared" ca="1" si="64"/>
        <v>16</v>
      </c>
      <c r="H184" s="1">
        <f t="shared" ca="1" si="65"/>
        <v>11</v>
      </c>
      <c r="I184" s="1"/>
      <c r="J184" s="1">
        <f t="shared" ca="1" si="66"/>
        <v>35</v>
      </c>
      <c r="K184" s="1">
        <f t="shared" ca="1" si="67"/>
        <v>1.2198895477835505</v>
      </c>
      <c r="L184" s="1">
        <f t="shared" ca="1" si="68"/>
        <v>35</v>
      </c>
      <c r="M184" s="1"/>
      <c r="N184" s="1">
        <f t="shared" ca="1" si="69"/>
        <v>518</v>
      </c>
      <c r="O184" s="1">
        <f t="shared" ca="1" si="70"/>
        <v>14</v>
      </c>
      <c r="P184" s="1"/>
      <c r="Q184" s="1">
        <f t="shared" ca="1" si="71"/>
        <v>3.0021347136366821</v>
      </c>
      <c r="R184" s="1">
        <f t="shared" ca="1" si="72"/>
        <v>644</v>
      </c>
      <c r="S184" s="1"/>
      <c r="T184" s="1">
        <f t="shared" ca="1" si="73"/>
        <v>5.9620779948846458E-2</v>
      </c>
      <c r="U184" s="1">
        <f t="shared" ca="1" si="74"/>
        <v>299</v>
      </c>
      <c r="V184" s="1">
        <f t="shared" ca="1" si="75"/>
        <v>17</v>
      </c>
      <c r="W184" s="1"/>
      <c r="X184" s="1">
        <f t="shared" ca="1" si="76"/>
        <v>3.8176566651370645</v>
      </c>
      <c r="Y184" s="1">
        <f t="shared" ca="1" si="77"/>
        <v>0.54567118256114477</v>
      </c>
      <c r="Z184" s="1">
        <f t="shared" ca="1" si="78"/>
        <v>1372</v>
      </c>
      <c r="AB184" s="1">
        <f t="shared" ca="1" si="79"/>
        <v>0.16904769143347054</v>
      </c>
      <c r="AC184" s="1">
        <f t="shared" ca="1" si="80"/>
        <v>439</v>
      </c>
      <c r="AD184" s="1">
        <f t="shared" ca="1" si="81"/>
        <v>5.6704627944434705E-3</v>
      </c>
      <c r="AE184" s="1"/>
      <c r="AF184" s="1">
        <f t="shared" ca="1" si="82"/>
        <v>0.62984791927773975</v>
      </c>
      <c r="AG184" s="1">
        <f t="shared" ca="1" si="83"/>
        <v>791</v>
      </c>
      <c r="AH184" s="1">
        <f t="shared" ca="1" si="84"/>
        <v>7.4088549505862663E-3</v>
      </c>
      <c r="AJ184" s="1">
        <f t="shared" ca="1" si="85"/>
        <v>0.76086869687999692</v>
      </c>
      <c r="AK184" s="1">
        <f t="shared" ca="1" si="86"/>
        <v>2.9240650337854627E-3</v>
      </c>
      <c r="AL184" s="1"/>
      <c r="AM184" s="1">
        <f t="shared" ca="1" si="87"/>
        <v>2.6576083516279322E-2</v>
      </c>
      <c r="AN184" s="1">
        <f t="shared" ca="1" si="88"/>
        <v>33</v>
      </c>
      <c r="AO184" s="1">
        <f t="shared" ca="1" si="89"/>
        <v>10</v>
      </c>
    </row>
    <row r="185" spans="2:41" x14ac:dyDescent="0.25">
      <c r="B185">
        <f t="shared" ca="1" si="60"/>
        <v>488</v>
      </c>
      <c r="C185">
        <f t="shared" ca="1" si="61"/>
        <v>47</v>
      </c>
      <c r="D185">
        <f t="shared" ca="1" si="62"/>
        <v>0.14133666445674678</v>
      </c>
      <c r="F185" s="1">
        <f t="shared" ca="1" si="63"/>
        <v>52</v>
      </c>
      <c r="G185" s="1">
        <f t="shared" ca="1" si="64"/>
        <v>17</v>
      </c>
      <c r="H185" s="1">
        <f t="shared" ca="1" si="65"/>
        <v>13</v>
      </c>
      <c r="I185" s="1"/>
      <c r="J185" s="1">
        <f t="shared" ca="1" si="66"/>
        <v>3</v>
      </c>
      <c r="K185" s="1">
        <f t="shared" ca="1" si="67"/>
        <v>2.3761795004290591</v>
      </c>
      <c r="L185" s="1">
        <f t="shared" ca="1" si="68"/>
        <v>11</v>
      </c>
      <c r="M185" s="1"/>
      <c r="N185" s="1">
        <f t="shared" ca="1" si="69"/>
        <v>798</v>
      </c>
      <c r="O185" s="1">
        <f t="shared" ca="1" si="70"/>
        <v>40</v>
      </c>
      <c r="P185" s="1"/>
      <c r="Q185" s="1">
        <f t="shared" ca="1" si="71"/>
        <v>1.4778300741601738</v>
      </c>
      <c r="R185" s="1">
        <f t="shared" ca="1" si="72"/>
        <v>816</v>
      </c>
      <c r="S185" s="1"/>
      <c r="T185" s="1">
        <f t="shared" ca="1" si="73"/>
        <v>0.13524884368055817</v>
      </c>
      <c r="U185" s="1">
        <f t="shared" ca="1" si="74"/>
        <v>375</v>
      </c>
      <c r="V185" s="1">
        <f t="shared" ca="1" si="75"/>
        <v>40</v>
      </c>
      <c r="W185" s="1"/>
      <c r="X185" s="1">
        <f t="shared" ca="1" si="76"/>
        <v>1.2937585665487026</v>
      </c>
      <c r="Y185" s="1">
        <f t="shared" ca="1" si="77"/>
        <v>0.9443885951675548</v>
      </c>
      <c r="Z185" s="1">
        <f t="shared" ca="1" si="78"/>
        <v>1126</v>
      </c>
      <c r="AB185" s="1">
        <f t="shared" ca="1" si="79"/>
        <v>0.5838504248039964</v>
      </c>
      <c r="AC185" s="1">
        <f t="shared" ca="1" si="80"/>
        <v>855</v>
      </c>
      <c r="AD185" s="1">
        <f t="shared" ca="1" si="81"/>
        <v>1.2533954606834105E-3</v>
      </c>
      <c r="AE185" s="1"/>
      <c r="AF185" s="1">
        <f t="shared" ca="1" si="82"/>
        <v>0.59132558670200341</v>
      </c>
      <c r="AG185" s="1">
        <f t="shared" ca="1" si="83"/>
        <v>274</v>
      </c>
      <c r="AH185" s="1">
        <f t="shared" ca="1" si="84"/>
        <v>1.60344027113874E-3</v>
      </c>
      <c r="AJ185" s="1">
        <f t="shared" ca="1" si="85"/>
        <v>7.1420406108836709E-2</v>
      </c>
      <c r="AK185" s="1">
        <f t="shared" ca="1" si="86"/>
        <v>4.3609107571029012E-3</v>
      </c>
      <c r="AL185" s="1"/>
      <c r="AM185" s="1">
        <f t="shared" ca="1" si="87"/>
        <v>0.15877949819227022</v>
      </c>
      <c r="AN185" s="1">
        <f t="shared" ca="1" si="88"/>
        <v>71</v>
      </c>
      <c r="AO185" s="1">
        <f t="shared" ca="1" si="89"/>
        <v>13</v>
      </c>
    </row>
    <row r="186" spans="2:41" x14ac:dyDescent="0.25">
      <c r="B186">
        <f t="shared" ca="1" si="60"/>
        <v>329</v>
      </c>
      <c r="C186">
        <f t="shared" ca="1" si="61"/>
        <v>39</v>
      </c>
      <c r="D186">
        <f t="shared" ca="1" si="62"/>
        <v>0.18500108985683966</v>
      </c>
      <c r="F186" s="1">
        <f t="shared" ca="1" si="63"/>
        <v>45</v>
      </c>
      <c r="G186" s="1">
        <f t="shared" ca="1" si="64"/>
        <v>7</v>
      </c>
      <c r="H186" s="1">
        <f t="shared" ca="1" si="65"/>
        <v>13</v>
      </c>
      <c r="I186" s="1"/>
      <c r="J186" s="1">
        <f t="shared" ca="1" si="66"/>
        <v>14</v>
      </c>
      <c r="K186" s="1">
        <f t="shared" ca="1" si="67"/>
        <v>1.6215839937095669</v>
      </c>
      <c r="L186" s="1">
        <f t="shared" ca="1" si="68"/>
        <v>26</v>
      </c>
      <c r="M186" s="1"/>
      <c r="N186" s="1">
        <f t="shared" ca="1" si="69"/>
        <v>448</v>
      </c>
      <c r="O186" s="1">
        <f t="shared" ca="1" si="70"/>
        <v>44</v>
      </c>
      <c r="P186" s="1"/>
      <c r="Q186" s="1">
        <f t="shared" ca="1" si="71"/>
        <v>1.6162983586850137</v>
      </c>
      <c r="R186" s="1">
        <f t="shared" ca="1" si="72"/>
        <v>364</v>
      </c>
      <c r="S186" s="1"/>
      <c r="T186" s="1">
        <f t="shared" ca="1" si="73"/>
        <v>0.11514165714187213</v>
      </c>
      <c r="U186" s="1">
        <f t="shared" ca="1" si="74"/>
        <v>318</v>
      </c>
      <c r="V186" s="1">
        <f t="shared" ca="1" si="75"/>
        <v>11</v>
      </c>
      <c r="W186" s="1"/>
      <c r="X186" s="1">
        <f t="shared" ca="1" si="76"/>
        <v>7.298821359957496</v>
      </c>
      <c r="Y186" s="1">
        <f t="shared" ca="1" si="77"/>
        <v>0.38317821070743446</v>
      </c>
      <c r="Z186" s="1">
        <f t="shared" ca="1" si="78"/>
        <v>1336</v>
      </c>
      <c r="AB186" s="1">
        <f t="shared" ca="1" si="79"/>
        <v>0.37152616839660502</v>
      </c>
      <c r="AC186" s="1">
        <f t="shared" ca="1" si="80"/>
        <v>155</v>
      </c>
      <c r="AD186" s="1">
        <f t="shared" ca="1" si="81"/>
        <v>2.6858117864345952E-3</v>
      </c>
      <c r="AE186" s="1"/>
      <c r="AF186" s="1">
        <f t="shared" ca="1" si="82"/>
        <v>0.80893347215232003</v>
      </c>
      <c r="AG186" s="1">
        <f t="shared" ca="1" si="83"/>
        <v>756</v>
      </c>
      <c r="AH186" s="1">
        <f t="shared" ca="1" si="84"/>
        <v>8.0516246037057523E-3</v>
      </c>
      <c r="AJ186" s="1">
        <f t="shared" ca="1" si="85"/>
        <v>0.80412713854635354</v>
      </c>
      <c r="AK186" s="1">
        <f t="shared" ca="1" si="86"/>
        <v>6.8519728441722117E-3</v>
      </c>
      <c r="AL186" s="1"/>
      <c r="AM186" s="1">
        <f t="shared" ca="1" si="87"/>
        <v>2.6162309467587748E-2</v>
      </c>
      <c r="AN186" s="1">
        <f t="shared" ca="1" si="88"/>
        <v>56</v>
      </c>
      <c r="AO186" s="1">
        <f t="shared" ca="1" si="89"/>
        <v>-1</v>
      </c>
    </row>
    <row r="187" spans="2:41" x14ac:dyDescent="0.25">
      <c r="B187">
        <f t="shared" ca="1" si="60"/>
        <v>644</v>
      </c>
      <c r="C187">
        <f t="shared" ca="1" si="61"/>
        <v>42</v>
      </c>
      <c r="D187">
        <f t="shared" ca="1" si="62"/>
        <v>2.6709783293526509E-2</v>
      </c>
      <c r="F187" s="1">
        <f t="shared" ca="1" si="63"/>
        <v>12</v>
      </c>
      <c r="G187" s="1">
        <f t="shared" ca="1" si="64"/>
        <v>10</v>
      </c>
      <c r="H187" s="1">
        <f t="shared" ca="1" si="65"/>
        <v>2</v>
      </c>
      <c r="I187" s="1"/>
      <c r="J187" s="1">
        <f t="shared" ca="1" si="66"/>
        <v>13</v>
      </c>
      <c r="K187" s="1">
        <f t="shared" ca="1" si="67"/>
        <v>2.207100128022184</v>
      </c>
      <c r="L187" s="1">
        <f t="shared" ca="1" si="68"/>
        <v>27</v>
      </c>
      <c r="M187" s="1"/>
      <c r="N187" s="1">
        <f t="shared" ca="1" si="69"/>
        <v>951</v>
      </c>
      <c r="O187" s="1">
        <f t="shared" ca="1" si="70"/>
        <v>52</v>
      </c>
      <c r="P187" s="1"/>
      <c r="Q187" s="1">
        <f t="shared" ca="1" si="71"/>
        <v>2.9284746050388666</v>
      </c>
      <c r="R187" s="1">
        <f t="shared" ca="1" si="72"/>
        <v>1090</v>
      </c>
      <c r="S187" s="1"/>
      <c r="T187" s="1">
        <f t="shared" ca="1" si="73"/>
        <v>6.497474408129264E-2</v>
      </c>
      <c r="U187" s="1">
        <f t="shared" ca="1" si="74"/>
        <v>189</v>
      </c>
      <c r="V187" s="1">
        <f t="shared" ca="1" si="75"/>
        <v>5</v>
      </c>
      <c r="W187" s="1"/>
      <c r="X187" s="1">
        <f t="shared" ca="1" si="76"/>
        <v>8.5590506554782522</v>
      </c>
      <c r="Y187" s="1">
        <f t="shared" ca="1" si="77"/>
        <v>0.25265040397878852</v>
      </c>
      <c r="Z187" s="1">
        <f t="shared" ca="1" si="78"/>
        <v>632</v>
      </c>
      <c r="AB187" s="1">
        <f t="shared" ca="1" si="79"/>
        <v>0.15158292972665302</v>
      </c>
      <c r="AC187" s="1">
        <f t="shared" ca="1" si="80"/>
        <v>745</v>
      </c>
      <c r="AD187" s="1">
        <f t="shared" ca="1" si="81"/>
        <v>3.700428256124383E-3</v>
      </c>
      <c r="AE187" s="1"/>
      <c r="AF187" s="1">
        <f t="shared" ca="1" si="82"/>
        <v>0.84972586499164426</v>
      </c>
      <c r="AG187" s="1">
        <f t="shared" ca="1" si="83"/>
        <v>524</v>
      </c>
      <c r="AH187" s="1">
        <f t="shared" ca="1" si="84"/>
        <v>5.598624439792285E-3</v>
      </c>
      <c r="AJ187" s="1">
        <f t="shared" ca="1" si="85"/>
        <v>0.70310173789716712</v>
      </c>
      <c r="AK187" s="1">
        <f t="shared" ca="1" si="86"/>
        <v>6.7095955254291339E-4</v>
      </c>
      <c r="AL187" s="1"/>
      <c r="AM187" s="1">
        <f t="shared" ca="1" si="87"/>
        <v>4.679282363532733E-2</v>
      </c>
      <c r="AN187" s="1">
        <f t="shared" ca="1" si="88"/>
        <v>37</v>
      </c>
      <c r="AO187" s="1">
        <f t="shared" ca="1" si="89"/>
        <v>-1</v>
      </c>
    </row>
    <row r="188" spans="2:41" x14ac:dyDescent="0.25">
      <c r="B188">
        <f t="shared" ca="1" si="60"/>
        <v>17</v>
      </c>
      <c r="C188">
        <f t="shared" ca="1" si="61"/>
        <v>8</v>
      </c>
      <c r="D188">
        <f t="shared" ca="1" si="62"/>
        <v>7.7874683170517919E-2</v>
      </c>
      <c r="F188" s="1">
        <f t="shared" ca="1" si="63"/>
        <v>26</v>
      </c>
      <c r="G188" s="1">
        <f t="shared" ca="1" si="64"/>
        <v>18</v>
      </c>
      <c r="H188" s="1">
        <f t="shared" ca="1" si="65"/>
        <v>3</v>
      </c>
      <c r="I188" s="1"/>
      <c r="J188" s="1">
        <f t="shared" ca="1" si="66"/>
        <v>39</v>
      </c>
      <c r="K188" s="1">
        <f t="shared" ca="1" si="67"/>
        <v>1.0354748487345546</v>
      </c>
      <c r="L188" s="1">
        <f t="shared" ca="1" si="68"/>
        <v>17</v>
      </c>
      <c r="M188" s="1"/>
      <c r="N188" s="1">
        <f t="shared" ca="1" si="69"/>
        <v>341</v>
      </c>
      <c r="O188" s="1">
        <f t="shared" ca="1" si="70"/>
        <v>26</v>
      </c>
      <c r="P188" s="1"/>
      <c r="Q188" s="1">
        <f t="shared" ca="1" si="71"/>
        <v>1.4185456307520214</v>
      </c>
      <c r="R188" s="1">
        <f t="shared" ca="1" si="72"/>
        <v>432</v>
      </c>
      <c r="S188" s="1"/>
      <c r="T188" s="1">
        <f t="shared" ca="1" si="73"/>
        <v>9.4602479973550216E-2</v>
      </c>
      <c r="U188" s="1">
        <f t="shared" ca="1" si="74"/>
        <v>334</v>
      </c>
      <c r="V188" s="1">
        <f t="shared" ca="1" si="75"/>
        <v>44</v>
      </c>
      <c r="W188" s="1"/>
      <c r="X188" s="1">
        <f t="shared" ca="1" si="76"/>
        <v>6.9465602931270736</v>
      </c>
      <c r="Y188" s="1">
        <f t="shared" ca="1" si="77"/>
        <v>0.34027150210816909</v>
      </c>
      <c r="Z188" s="1">
        <f t="shared" ca="1" si="78"/>
        <v>647</v>
      </c>
      <c r="AB188" s="1">
        <f t="shared" ca="1" si="79"/>
        <v>0.82170405139441549</v>
      </c>
      <c r="AC188" s="1">
        <f t="shared" ca="1" si="80"/>
        <v>684</v>
      </c>
      <c r="AD188" s="1">
        <f t="shared" ca="1" si="81"/>
        <v>8.097423293682831E-3</v>
      </c>
      <c r="AE188" s="1"/>
      <c r="AF188" s="1">
        <f t="shared" ca="1" si="82"/>
        <v>0.19182288231547881</v>
      </c>
      <c r="AG188" s="1">
        <f t="shared" ca="1" si="83"/>
        <v>212</v>
      </c>
      <c r="AH188" s="1">
        <f t="shared" ca="1" si="84"/>
        <v>6.740325399674299E-3</v>
      </c>
      <c r="AJ188" s="1">
        <f t="shared" ca="1" si="85"/>
        <v>0.36389744457254836</v>
      </c>
      <c r="AK188" s="1">
        <f t="shared" ca="1" si="86"/>
        <v>4.108887728684711E-3</v>
      </c>
      <c r="AL188" s="1"/>
      <c r="AM188" s="1">
        <f t="shared" ca="1" si="87"/>
        <v>2.8392005585366344E-2</v>
      </c>
      <c r="AN188" s="1">
        <f t="shared" ca="1" si="88"/>
        <v>42</v>
      </c>
      <c r="AO188" s="1">
        <f t="shared" ca="1" si="89"/>
        <v>5</v>
      </c>
    </row>
    <row r="189" spans="2:41" x14ac:dyDescent="0.25">
      <c r="B189">
        <f t="shared" ca="1" si="60"/>
        <v>246</v>
      </c>
      <c r="C189">
        <f t="shared" ca="1" si="61"/>
        <v>4</v>
      </c>
      <c r="D189">
        <f t="shared" ca="1" si="62"/>
        <v>0.20206839671237314</v>
      </c>
      <c r="F189" s="1">
        <f t="shared" ca="1" si="63"/>
        <v>5</v>
      </c>
      <c r="G189" s="1">
        <f t="shared" ca="1" si="64"/>
        <v>12</v>
      </c>
      <c r="H189" s="1">
        <f t="shared" ca="1" si="65"/>
        <v>2</v>
      </c>
      <c r="I189" s="1"/>
      <c r="J189" s="1">
        <f t="shared" ca="1" si="66"/>
        <v>1</v>
      </c>
      <c r="K189" s="1">
        <f t="shared" ca="1" si="67"/>
        <v>1.9989481493584258</v>
      </c>
      <c r="L189" s="1">
        <f t="shared" ca="1" si="68"/>
        <v>18</v>
      </c>
      <c r="M189" s="1"/>
      <c r="N189" s="1">
        <f t="shared" ca="1" si="69"/>
        <v>63</v>
      </c>
      <c r="O189" s="1">
        <f t="shared" ca="1" si="70"/>
        <v>7</v>
      </c>
      <c r="P189" s="1"/>
      <c r="Q189" s="1">
        <f t="shared" ca="1" si="71"/>
        <v>4.155426034744307E-2</v>
      </c>
      <c r="R189" s="1">
        <f t="shared" ca="1" si="72"/>
        <v>664</v>
      </c>
      <c r="S189" s="1"/>
      <c r="T189" s="1">
        <f t="shared" ca="1" si="73"/>
        <v>7.4924814602993189E-2</v>
      </c>
      <c r="U189" s="1">
        <f t="shared" ca="1" si="74"/>
        <v>311</v>
      </c>
      <c r="V189" s="1">
        <f t="shared" ca="1" si="75"/>
        <v>46</v>
      </c>
      <c r="W189" s="1"/>
      <c r="X189" s="1">
        <f t="shared" ca="1" si="76"/>
        <v>3.2221827680822765</v>
      </c>
      <c r="Y189" s="1">
        <f t="shared" ca="1" si="77"/>
        <v>0.73945672619194203</v>
      </c>
      <c r="Z189" s="1">
        <f t="shared" ca="1" si="78"/>
        <v>1772</v>
      </c>
      <c r="AB189" s="1">
        <f t="shared" ca="1" si="79"/>
        <v>0.45134824102713905</v>
      </c>
      <c r="AC189" s="1">
        <f t="shared" ca="1" si="80"/>
        <v>664</v>
      </c>
      <c r="AD189" s="1">
        <f t="shared" ca="1" si="81"/>
        <v>7.7417448433693813E-3</v>
      </c>
      <c r="AE189" s="1"/>
      <c r="AF189" s="1">
        <f t="shared" ca="1" si="82"/>
        <v>0.12722531145388968</v>
      </c>
      <c r="AG189" s="1">
        <f t="shared" ca="1" si="83"/>
        <v>207</v>
      </c>
      <c r="AH189" s="1">
        <f t="shared" ca="1" si="84"/>
        <v>1.3350646993885954E-3</v>
      </c>
      <c r="AJ189" s="1">
        <f t="shared" ca="1" si="85"/>
        <v>0.35619468574861179</v>
      </c>
      <c r="AK189" s="1">
        <f t="shared" ca="1" si="86"/>
        <v>8.5806021597088621E-3</v>
      </c>
      <c r="AL189" s="1"/>
      <c r="AM189" s="1">
        <f t="shared" ca="1" si="87"/>
        <v>4.5219789050001756E-2</v>
      </c>
      <c r="AN189" s="1">
        <f t="shared" ca="1" si="88"/>
        <v>66</v>
      </c>
      <c r="AO189" s="1">
        <f t="shared" ca="1" si="89"/>
        <v>6</v>
      </c>
    </row>
    <row r="190" spans="2:41" x14ac:dyDescent="0.25">
      <c r="B190">
        <f t="shared" ca="1" si="60"/>
        <v>814</v>
      </c>
      <c r="C190">
        <f t="shared" ca="1" si="61"/>
        <v>37</v>
      </c>
      <c r="D190">
        <f t="shared" ca="1" si="62"/>
        <v>0.15535190279933281</v>
      </c>
      <c r="F190" s="1">
        <f t="shared" ca="1" si="63"/>
        <v>52</v>
      </c>
      <c r="G190" s="1">
        <f t="shared" ca="1" si="64"/>
        <v>2</v>
      </c>
      <c r="H190" s="1">
        <f t="shared" ca="1" si="65"/>
        <v>2</v>
      </c>
      <c r="I190" s="1"/>
      <c r="J190" s="1">
        <f t="shared" ca="1" si="66"/>
        <v>27</v>
      </c>
      <c r="K190" s="1">
        <f t="shared" ca="1" si="67"/>
        <v>2.6333808276120925</v>
      </c>
      <c r="L190" s="1">
        <f t="shared" ca="1" si="68"/>
        <v>25</v>
      </c>
      <c r="M190" s="1"/>
      <c r="N190" s="1">
        <f t="shared" ca="1" si="69"/>
        <v>199</v>
      </c>
      <c r="O190" s="1">
        <f t="shared" ca="1" si="70"/>
        <v>44</v>
      </c>
      <c r="P190" s="1"/>
      <c r="Q190" s="1">
        <f t="shared" ca="1" si="71"/>
        <v>3.205859376137921</v>
      </c>
      <c r="R190" s="1">
        <f t="shared" ca="1" si="72"/>
        <v>815</v>
      </c>
      <c r="S190" s="1"/>
      <c r="T190" s="1">
        <f t="shared" ca="1" si="73"/>
        <v>0.18940721879692116</v>
      </c>
      <c r="U190" s="1">
        <f t="shared" ca="1" si="74"/>
        <v>294</v>
      </c>
      <c r="V190" s="1">
        <f t="shared" ca="1" si="75"/>
        <v>28</v>
      </c>
      <c r="W190" s="1"/>
      <c r="X190" s="1">
        <f t="shared" ca="1" si="76"/>
        <v>0.25746706939815117</v>
      </c>
      <c r="Y190" s="1">
        <f t="shared" ca="1" si="77"/>
        <v>0.46084749176041662</v>
      </c>
      <c r="Z190" s="1">
        <f t="shared" ca="1" si="78"/>
        <v>635</v>
      </c>
      <c r="AB190" s="1">
        <f t="shared" ca="1" si="79"/>
        <v>0.82454158127486543</v>
      </c>
      <c r="AC190" s="1">
        <f t="shared" ca="1" si="80"/>
        <v>873</v>
      </c>
      <c r="AD190" s="1">
        <f t="shared" ca="1" si="81"/>
        <v>4.3036462954815051E-3</v>
      </c>
      <c r="AE190" s="1"/>
      <c r="AF190" s="1">
        <f t="shared" ca="1" si="82"/>
        <v>0.82788567025118753</v>
      </c>
      <c r="AG190" s="1">
        <f t="shared" ca="1" si="83"/>
        <v>558</v>
      </c>
      <c r="AH190" s="1">
        <f t="shared" ca="1" si="84"/>
        <v>1.1231075607655492E-3</v>
      </c>
      <c r="AJ190" s="1">
        <f t="shared" ca="1" si="85"/>
        <v>1.9008556607665983E-2</v>
      </c>
      <c r="AK190" s="1">
        <f t="shared" ca="1" si="86"/>
        <v>5.8025930215617177E-3</v>
      </c>
      <c r="AL190" s="1"/>
      <c r="AM190" s="1">
        <f t="shared" ca="1" si="87"/>
        <v>0.12495039026747419</v>
      </c>
      <c r="AN190" s="1">
        <f t="shared" ca="1" si="88"/>
        <v>14</v>
      </c>
      <c r="AO190" s="1">
        <f t="shared" ca="1" si="89"/>
        <v>13</v>
      </c>
    </row>
    <row r="191" spans="2:41" x14ac:dyDescent="0.25">
      <c r="B191">
        <f t="shared" ca="1" si="60"/>
        <v>201</v>
      </c>
      <c r="C191">
        <f t="shared" ca="1" si="61"/>
        <v>18</v>
      </c>
      <c r="D191">
        <f t="shared" ca="1" si="62"/>
        <v>0.20818211029267464</v>
      </c>
      <c r="F191" s="1">
        <f t="shared" ca="1" si="63"/>
        <v>46</v>
      </c>
      <c r="G191" s="1">
        <f t="shared" ca="1" si="64"/>
        <v>29</v>
      </c>
      <c r="H191" s="1">
        <f t="shared" ca="1" si="65"/>
        <v>14</v>
      </c>
      <c r="I191" s="1"/>
      <c r="J191" s="1">
        <f t="shared" ca="1" si="66"/>
        <v>18</v>
      </c>
      <c r="K191" s="1">
        <f t="shared" ca="1" si="67"/>
        <v>1.1942640670876563</v>
      </c>
      <c r="L191" s="1">
        <f t="shared" ca="1" si="68"/>
        <v>32</v>
      </c>
      <c r="M191" s="1"/>
      <c r="N191" s="1">
        <f t="shared" ca="1" si="69"/>
        <v>314</v>
      </c>
      <c r="O191" s="1">
        <f t="shared" ca="1" si="70"/>
        <v>45</v>
      </c>
      <c r="P191" s="1"/>
      <c r="Q191" s="1">
        <f t="shared" ca="1" si="71"/>
        <v>3.134651016136083</v>
      </c>
      <c r="R191" s="1">
        <f t="shared" ca="1" si="72"/>
        <v>1188</v>
      </c>
      <c r="S191" s="1"/>
      <c r="T191" s="1">
        <f t="shared" ca="1" si="73"/>
        <v>0.12533888880506386</v>
      </c>
      <c r="U191" s="1">
        <f t="shared" ca="1" si="74"/>
        <v>368</v>
      </c>
      <c r="V191" s="1">
        <f t="shared" ca="1" si="75"/>
        <v>13</v>
      </c>
      <c r="W191" s="1"/>
      <c r="X191" s="1">
        <f t="shared" ca="1" si="76"/>
        <v>1.7774318167117531</v>
      </c>
      <c r="Y191" s="1">
        <f t="shared" ca="1" si="77"/>
        <v>0.83311928272906055</v>
      </c>
      <c r="Z191" s="1">
        <f t="shared" ca="1" si="78"/>
        <v>858</v>
      </c>
      <c r="AB191" s="1">
        <f t="shared" ca="1" si="79"/>
        <v>0.86201072640432774</v>
      </c>
      <c r="AC191" s="1">
        <f t="shared" ca="1" si="80"/>
        <v>667</v>
      </c>
      <c r="AD191" s="1">
        <f t="shared" ca="1" si="81"/>
        <v>9.6291340990570951E-3</v>
      </c>
      <c r="AE191" s="1"/>
      <c r="AF191" s="1">
        <f t="shared" ca="1" si="82"/>
        <v>0.45320644700907908</v>
      </c>
      <c r="AG191" s="1">
        <f t="shared" ca="1" si="83"/>
        <v>318</v>
      </c>
      <c r="AH191" s="1">
        <f t="shared" ca="1" si="84"/>
        <v>4.2964673090935658E-3</v>
      </c>
      <c r="AJ191" s="1">
        <f t="shared" ca="1" si="85"/>
        <v>0.47628487560632038</v>
      </c>
      <c r="AK191" s="1">
        <f t="shared" ca="1" si="86"/>
        <v>5.0002338111066321E-3</v>
      </c>
      <c r="AL191" s="1"/>
      <c r="AM191" s="1">
        <f t="shared" ca="1" si="87"/>
        <v>0.15351484891191175</v>
      </c>
      <c r="AN191" s="1">
        <f t="shared" ca="1" si="88"/>
        <v>37</v>
      </c>
      <c r="AO191" s="1">
        <f t="shared" ca="1" si="89"/>
        <v>20</v>
      </c>
    </row>
    <row r="192" spans="2:41" x14ac:dyDescent="0.25">
      <c r="B192">
        <f t="shared" ca="1" si="60"/>
        <v>878</v>
      </c>
      <c r="C192">
        <f t="shared" ca="1" si="61"/>
        <v>32</v>
      </c>
      <c r="D192">
        <f t="shared" ca="1" si="62"/>
        <v>0.22371301330232726</v>
      </c>
      <c r="F192" s="1">
        <f t="shared" ca="1" si="63"/>
        <v>46</v>
      </c>
      <c r="G192" s="1">
        <f t="shared" ca="1" si="64"/>
        <v>22</v>
      </c>
      <c r="H192" s="1">
        <f t="shared" ca="1" si="65"/>
        <v>6</v>
      </c>
      <c r="I192" s="1"/>
      <c r="J192" s="1">
        <f t="shared" ca="1" si="66"/>
        <v>3</v>
      </c>
      <c r="K192" s="1">
        <f t="shared" ca="1" si="67"/>
        <v>2.8301623102333267</v>
      </c>
      <c r="L192" s="1">
        <f t="shared" ca="1" si="68"/>
        <v>30</v>
      </c>
      <c r="M192" s="1"/>
      <c r="N192" s="1">
        <f t="shared" ca="1" si="69"/>
        <v>206</v>
      </c>
      <c r="O192" s="1">
        <f t="shared" ca="1" si="70"/>
        <v>9</v>
      </c>
      <c r="P192" s="1"/>
      <c r="Q192" s="1">
        <f t="shared" ca="1" si="71"/>
        <v>0.23968719593848542</v>
      </c>
      <c r="R192" s="1">
        <f t="shared" ca="1" si="72"/>
        <v>287</v>
      </c>
      <c r="S192" s="1"/>
      <c r="T192" s="1">
        <f t="shared" ca="1" si="73"/>
        <v>0.14375996856632764</v>
      </c>
      <c r="U192" s="1">
        <f t="shared" ca="1" si="74"/>
        <v>405</v>
      </c>
      <c r="V192" s="1">
        <f t="shared" ca="1" si="75"/>
        <v>50</v>
      </c>
      <c r="W192" s="1"/>
      <c r="X192" s="1">
        <f t="shared" ca="1" si="76"/>
        <v>3.5059570831393643</v>
      </c>
      <c r="Y192" s="1">
        <f t="shared" ca="1" si="77"/>
        <v>0.75392404558092663</v>
      </c>
      <c r="Z192" s="1">
        <f t="shared" ca="1" si="78"/>
        <v>651</v>
      </c>
      <c r="AB192" s="1">
        <f t="shared" ca="1" si="79"/>
        <v>0.12122534741813874</v>
      </c>
      <c r="AC192" s="1">
        <f t="shared" ca="1" si="80"/>
        <v>382</v>
      </c>
      <c r="AD192" s="1">
        <f t="shared" ca="1" si="81"/>
        <v>1.5137048693453046E-3</v>
      </c>
      <c r="AE192" s="1"/>
      <c r="AF192" s="1">
        <f t="shared" ca="1" si="82"/>
        <v>0.64384317048672579</v>
      </c>
      <c r="AG192" s="1">
        <f t="shared" ca="1" si="83"/>
        <v>933</v>
      </c>
      <c r="AH192" s="1">
        <f t="shared" ca="1" si="84"/>
        <v>4.6419615282853955E-3</v>
      </c>
      <c r="AJ192" s="1">
        <f t="shared" ca="1" si="85"/>
        <v>0.63138599315609467</v>
      </c>
      <c r="AK192" s="1">
        <f t="shared" ca="1" si="86"/>
        <v>5.4587625455106538E-3</v>
      </c>
      <c r="AL192" s="1"/>
      <c r="AM192" s="1">
        <f t="shared" ca="1" si="87"/>
        <v>5.9972863761407175E-2</v>
      </c>
      <c r="AN192" s="1">
        <f t="shared" ca="1" si="88"/>
        <v>69</v>
      </c>
      <c r="AO192" s="1">
        <f t="shared" ca="1" si="89"/>
        <v>17</v>
      </c>
    </row>
    <row r="193" spans="2:41" x14ac:dyDescent="0.25">
      <c r="B193">
        <f t="shared" ca="1" si="60"/>
        <v>253</v>
      </c>
      <c r="C193">
        <f t="shared" ca="1" si="61"/>
        <v>10</v>
      </c>
      <c r="D193">
        <f t="shared" ca="1" si="62"/>
        <v>3.23241800014792E-2</v>
      </c>
      <c r="F193" s="1">
        <f t="shared" ca="1" si="63"/>
        <v>7</v>
      </c>
      <c r="G193" s="1">
        <f t="shared" ca="1" si="64"/>
        <v>22</v>
      </c>
      <c r="H193" s="1">
        <f t="shared" ca="1" si="65"/>
        <v>8</v>
      </c>
      <c r="I193" s="1"/>
      <c r="J193" s="1">
        <f t="shared" ca="1" si="66"/>
        <v>11</v>
      </c>
      <c r="K193" s="1">
        <f t="shared" ca="1" si="67"/>
        <v>1.9471810473148454</v>
      </c>
      <c r="L193" s="1">
        <f t="shared" ca="1" si="68"/>
        <v>20</v>
      </c>
      <c r="M193" s="1"/>
      <c r="N193" s="1">
        <f t="shared" ca="1" si="69"/>
        <v>584</v>
      </c>
      <c r="O193" s="1">
        <f t="shared" ca="1" si="70"/>
        <v>40</v>
      </c>
      <c r="P193" s="1"/>
      <c r="Q193" s="1">
        <f t="shared" ca="1" si="71"/>
        <v>4.633345044328637</v>
      </c>
      <c r="R193" s="1">
        <f t="shared" ca="1" si="72"/>
        <v>564</v>
      </c>
      <c r="S193" s="1"/>
      <c r="T193" s="1">
        <f t="shared" ca="1" si="73"/>
        <v>0.12447253931998591</v>
      </c>
      <c r="U193" s="1">
        <f t="shared" ca="1" si="74"/>
        <v>248</v>
      </c>
      <c r="V193" s="1">
        <f t="shared" ca="1" si="75"/>
        <v>34</v>
      </c>
      <c r="W193" s="1"/>
      <c r="X193" s="1">
        <f t="shared" ca="1" si="76"/>
        <v>4.3864756043317445</v>
      </c>
      <c r="Y193" s="1">
        <f t="shared" ca="1" si="77"/>
        <v>4.0107727420017433E-2</v>
      </c>
      <c r="Z193" s="1">
        <f t="shared" ca="1" si="78"/>
        <v>1094</v>
      </c>
      <c r="AB193" s="1">
        <f t="shared" ca="1" si="79"/>
        <v>0.31839980273323187</v>
      </c>
      <c r="AC193" s="1">
        <f t="shared" ca="1" si="80"/>
        <v>109</v>
      </c>
      <c r="AD193" s="1">
        <f t="shared" ca="1" si="81"/>
        <v>5.3534850801138128E-4</v>
      </c>
      <c r="AE193" s="1"/>
      <c r="AF193" s="1">
        <f t="shared" ca="1" si="82"/>
        <v>0.10054401893402894</v>
      </c>
      <c r="AG193" s="1">
        <f t="shared" ca="1" si="83"/>
        <v>652</v>
      </c>
      <c r="AH193" s="1">
        <f t="shared" ca="1" si="84"/>
        <v>9.7316985844919934E-3</v>
      </c>
      <c r="AJ193" s="1">
        <f t="shared" ca="1" si="85"/>
        <v>0.90691856798068515</v>
      </c>
      <c r="AK193" s="1">
        <f t="shared" ca="1" si="86"/>
        <v>7.5797399064701882E-3</v>
      </c>
      <c r="AL193" s="1"/>
      <c r="AM193" s="1">
        <f t="shared" ca="1" si="87"/>
        <v>8.0324139950635434E-2</v>
      </c>
      <c r="AN193" s="1">
        <f t="shared" ca="1" si="88"/>
        <v>74</v>
      </c>
      <c r="AO193" s="1">
        <f t="shared" ca="1" si="89"/>
        <v>5</v>
      </c>
    </row>
    <row r="194" spans="2:41" x14ac:dyDescent="0.25">
      <c r="B194">
        <f t="shared" ca="1" si="60"/>
        <v>920</v>
      </c>
      <c r="C194">
        <f t="shared" ca="1" si="61"/>
        <v>43</v>
      </c>
      <c r="D194">
        <f t="shared" ca="1" si="62"/>
        <v>9.7449563011479223E-2</v>
      </c>
      <c r="F194" s="1">
        <f t="shared" ca="1" si="63"/>
        <v>12</v>
      </c>
      <c r="G194" s="1">
        <f t="shared" ca="1" si="64"/>
        <v>2</v>
      </c>
      <c r="H194" s="1">
        <f t="shared" ca="1" si="65"/>
        <v>7</v>
      </c>
      <c r="I194" s="1"/>
      <c r="J194" s="1">
        <f t="shared" ca="1" si="66"/>
        <v>28</v>
      </c>
      <c r="K194" s="1">
        <f t="shared" ca="1" si="67"/>
        <v>2.8568338621183873</v>
      </c>
      <c r="L194" s="1">
        <f t="shared" ca="1" si="68"/>
        <v>31</v>
      </c>
      <c r="M194" s="1"/>
      <c r="N194" s="1">
        <f t="shared" ca="1" si="69"/>
        <v>758</v>
      </c>
      <c r="O194" s="1">
        <f t="shared" ca="1" si="70"/>
        <v>21</v>
      </c>
      <c r="P194" s="1"/>
      <c r="Q194" s="1">
        <f t="shared" ca="1" si="71"/>
        <v>4.4204955621411166</v>
      </c>
      <c r="R194" s="1">
        <f t="shared" ca="1" si="72"/>
        <v>1138</v>
      </c>
      <c r="S194" s="1"/>
      <c r="T194" s="1">
        <f t="shared" ca="1" si="73"/>
        <v>1.6571556264812895E-2</v>
      </c>
      <c r="U194" s="1">
        <f t="shared" ca="1" si="74"/>
        <v>322</v>
      </c>
      <c r="V194" s="1">
        <f t="shared" ca="1" si="75"/>
        <v>30</v>
      </c>
      <c r="W194" s="1"/>
      <c r="X194" s="1">
        <f t="shared" ca="1" si="76"/>
        <v>5.8200745898438697</v>
      </c>
      <c r="Y194" s="1">
        <f t="shared" ca="1" si="77"/>
        <v>0.76211552186633902</v>
      </c>
      <c r="Z194" s="1">
        <f t="shared" ca="1" si="78"/>
        <v>406</v>
      </c>
      <c r="AB194" s="1">
        <f t="shared" ca="1" si="79"/>
        <v>0.26189388748970083</v>
      </c>
      <c r="AC194" s="1">
        <f t="shared" ca="1" si="80"/>
        <v>420</v>
      </c>
      <c r="AD194" s="1">
        <f t="shared" ca="1" si="81"/>
        <v>4.2286147125201248E-3</v>
      </c>
      <c r="AE194" s="1"/>
      <c r="AF194" s="1">
        <f t="shared" ca="1" si="82"/>
        <v>0.25803768913349456</v>
      </c>
      <c r="AG194" s="1">
        <f t="shared" ca="1" si="83"/>
        <v>878</v>
      </c>
      <c r="AH194" s="1">
        <f t="shared" ca="1" si="84"/>
        <v>9.7170152078487962E-3</v>
      </c>
      <c r="AJ194" s="1">
        <f t="shared" ca="1" si="85"/>
        <v>0.90217530215922104</v>
      </c>
      <c r="AK194" s="1">
        <f t="shared" ca="1" si="86"/>
        <v>8.6032103003680204E-3</v>
      </c>
      <c r="AL194" s="1"/>
      <c r="AM194" s="1">
        <f t="shared" ca="1" si="87"/>
        <v>4.5326923541328362E-2</v>
      </c>
      <c r="AN194" s="1">
        <f t="shared" ca="1" si="88"/>
        <v>71</v>
      </c>
      <c r="AO194" s="1">
        <f t="shared" ca="1" si="89"/>
        <v>15</v>
      </c>
    </row>
    <row r="195" spans="2:41" x14ac:dyDescent="0.25">
      <c r="B195">
        <f t="shared" ca="1" si="60"/>
        <v>835</v>
      </c>
      <c r="C195">
        <f t="shared" ca="1" si="61"/>
        <v>22</v>
      </c>
      <c r="D195">
        <f t="shared" ca="1" si="62"/>
        <v>1.1043267904025057E-2</v>
      </c>
      <c r="F195" s="1">
        <f t="shared" ca="1" si="63"/>
        <v>22</v>
      </c>
      <c r="G195" s="1">
        <f t="shared" ca="1" si="64"/>
        <v>3</v>
      </c>
      <c r="H195" s="1">
        <f t="shared" ca="1" si="65"/>
        <v>15</v>
      </c>
      <c r="I195" s="1"/>
      <c r="J195" s="1">
        <f t="shared" ca="1" si="66"/>
        <v>25</v>
      </c>
      <c r="K195" s="1">
        <f t="shared" ca="1" si="67"/>
        <v>2.9777144232862147</v>
      </c>
      <c r="L195" s="1">
        <f t="shared" ca="1" si="68"/>
        <v>3</v>
      </c>
      <c r="M195" s="1"/>
      <c r="N195" s="1">
        <f t="shared" ca="1" si="69"/>
        <v>278</v>
      </c>
      <c r="O195" s="1">
        <f t="shared" ca="1" si="70"/>
        <v>13</v>
      </c>
      <c r="P195" s="1"/>
      <c r="Q195" s="1">
        <f t="shared" ca="1" si="71"/>
        <v>1.1188856014566302</v>
      </c>
      <c r="R195" s="1">
        <f t="shared" ca="1" si="72"/>
        <v>954</v>
      </c>
      <c r="S195" s="1"/>
      <c r="T195" s="1">
        <f t="shared" ca="1" si="73"/>
        <v>8.4576163847559907E-2</v>
      </c>
      <c r="U195" s="1">
        <f t="shared" ca="1" si="74"/>
        <v>186</v>
      </c>
      <c r="V195" s="1">
        <f t="shared" ca="1" si="75"/>
        <v>33</v>
      </c>
      <c r="W195" s="1"/>
      <c r="X195" s="1">
        <f t="shared" ca="1" si="76"/>
        <v>2.9768045542177819</v>
      </c>
      <c r="Y195" s="1">
        <f t="shared" ca="1" si="77"/>
        <v>0.23701674093329839</v>
      </c>
      <c r="Z195" s="1">
        <f t="shared" ca="1" si="78"/>
        <v>1502</v>
      </c>
      <c r="AB195" s="1">
        <f t="shared" ca="1" si="79"/>
        <v>0.10776958086784022</v>
      </c>
      <c r="AC195" s="1">
        <f t="shared" ca="1" si="80"/>
        <v>303</v>
      </c>
      <c r="AD195" s="1">
        <f t="shared" ca="1" si="81"/>
        <v>4.130408611423126E-3</v>
      </c>
      <c r="AE195" s="1"/>
      <c r="AF195" s="1">
        <f t="shared" ca="1" si="82"/>
        <v>0.54280066803886451</v>
      </c>
      <c r="AG195" s="1">
        <f t="shared" ca="1" si="83"/>
        <v>604</v>
      </c>
      <c r="AH195" s="1">
        <f t="shared" ca="1" si="84"/>
        <v>6.0061448619867248E-3</v>
      </c>
      <c r="AJ195" s="1">
        <f t="shared" ca="1" si="85"/>
        <v>8.7653516226887551E-2</v>
      </c>
      <c r="AK195" s="1">
        <f t="shared" ca="1" si="86"/>
        <v>6.8386921692060757E-3</v>
      </c>
      <c r="AL195" s="1"/>
      <c r="AM195" s="1">
        <f t="shared" ca="1" si="87"/>
        <v>5.7090768022454594E-2</v>
      </c>
      <c r="AN195" s="1">
        <f t="shared" ca="1" si="88"/>
        <v>38</v>
      </c>
      <c r="AO195" s="1">
        <f t="shared" ca="1" si="89"/>
        <v>2</v>
      </c>
    </row>
    <row r="196" spans="2:41" x14ac:dyDescent="0.25">
      <c r="B196">
        <f t="shared" ref="B196:B202" ca="1" si="90">RANDBETWEEN(15,1000)</f>
        <v>316</v>
      </c>
      <c r="C196">
        <f t="shared" ref="C196:C202" ca="1" si="91">RANDBETWEEN(2,52)</f>
        <v>52</v>
      </c>
      <c r="D196">
        <f t="shared" ref="D196:D202" ca="1" si="92">RAND()*(0.3-0.01)+0.01</f>
        <v>0.20162386445922312</v>
      </c>
      <c r="F196" s="1">
        <f t="shared" ref="F196:F202" ca="1" si="93">RANDBETWEEN(2,52)</f>
        <v>23</v>
      </c>
      <c r="G196" s="1">
        <f t="shared" ref="G196:G202" ca="1" si="94">RANDBETWEEN(2,30)</f>
        <v>25</v>
      </c>
      <c r="H196" s="1">
        <f t="shared" ref="H196:H202" ca="1" si="95">RANDBETWEEN(1,15)</f>
        <v>7</v>
      </c>
      <c r="I196" s="1"/>
      <c r="J196" s="1">
        <f t="shared" ref="J196:J202" ca="1" si="96">RANDBETWEEN(1,39)</f>
        <v>39</v>
      </c>
      <c r="K196" s="1">
        <f t="shared" ref="K196:K202" ca="1" si="97">RAND()*(3-1)+1</f>
        <v>1.1458392097755234</v>
      </c>
      <c r="L196" s="1">
        <f t="shared" ref="L196:L202" ca="1" si="98">RANDBETWEEN(2,35)</f>
        <v>26</v>
      </c>
      <c r="M196" s="1"/>
      <c r="N196" s="1">
        <f t="shared" ref="N196:N202" ca="1" si="99">RANDBETWEEN(15,1000)</f>
        <v>567</v>
      </c>
      <c r="O196" s="1">
        <f t="shared" ref="O196:O202" ca="1" si="100">RANDBETWEEN(2,52)</f>
        <v>19</v>
      </c>
      <c r="P196" s="1"/>
      <c r="Q196" s="1">
        <f t="shared" ref="Q196:Q202" ca="1" si="101">RAND()*(5-0.01)+0.01</f>
        <v>4.1377911166435508</v>
      </c>
      <c r="R196" s="1">
        <f t="shared" ref="R196:R202" ca="1" si="102">RANDBETWEEN(200,1200)</f>
        <v>394</v>
      </c>
      <c r="S196" s="1"/>
      <c r="T196" s="1">
        <f t="shared" ref="T196:T202" ca="1" si="103">RAND()*(0.2-0.01)+0.01</f>
        <v>8.7530578540030879E-2</v>
      </c>
      <c r="U196" s="1">
        <f t="shared" ref="U196:U202" ca="1" si="104">RANDBETWEEN(50,450)</f>
        <v>263</v>
      </c>
      <c r="V196" s="1">
        <f t="shared" ref="V196:V202" ca="1" si="105">RANDBETWEEN(2,52)</f>
        <v>25</v>
      </c>
      <c r="W196" s="1"/>
      <c r="X196" s="1">
        <f t="shared" ref="X196:X202" ca="1" si="106">RAND()*(10-0.01)+0.01</f>
        <v>3.7653194017717317</v>
      </c>
      <c r="Y196" s="1">
        <f t="shared" ref="Y196:Y202" ca="1" si="107">RAND()*(1-0.0001)+0.0001</f>
        <v>7.5656044622154792E-2</v>
      </c>
      <c r="Z196" s="1">
        <f t="shared" ref="Z196:Z202" ca="1" si="108">RANDBETWEEN(100,2000)</f>
        <v>1723</v>
      </c>
      <c r="AB196" s="1">
        <f t="shared" ref="AB196:AB202" ca="1" si="109">RAND()*(1-0.0001)+0.0001</f>
        <v>0.47582248597623039</v>
      </c>
      <c r="AC196" s="1">
        <f t="shared" ref="AC196:AC202" ca="1" si="110">RANDBETWEEN(100,1000)</f>
        <v>627</v>
      </c>
      <c r="AD196" s="1">
        <f t="shared" ref="AD196:AD202" ca="1" si="111">RAND()*(0.01-0.00001)+0.00001</f>
        <v>6.839502783102986E-3</v>
      </c>
      <c r="AE196" s="1"/>
      <c r="AF196" s="1">
        <f t="shared" ref="AF196:AF202" ca="1" si="112">RAND()*(0.9-0.1)+0.1</f>
        <v>0.62057369950284791</v>
      </c>
      <c r="AG196" s="1">
        <f t="shared" ref="AG196:AG202" ca="1" si="113">RANDBETWEEN(100,1000)</f>
        <v>971</v>
      </c>
      <c r="AH196" s="1">
        <f t="shared" ref="AH196:AH202" ca="1" si="114">RAND()*(0.01-0.00001)+0.00001</f>
        <v>6.6195385443540682E-3</v>
      </c>
      <c r="AJ196" s="1">
        <f t="shared" ref="AJ196:AJ202" ca="1" si="115">RAND()*(1-0)+0</f>
        <v>0.62242058005462464</v>
      </c>
      <c r="AK196" s="1">
        <f t="shared" ref="AK196:AK202" ca="1" si="116">RAND()*(0.01-0.00001)+0.00001</f>
        <v>4.0183428456889193E-3</v>
      </c>
      <c r="AL196" s="1"/>
      <c r="AM196" s="1">
        <f t="shared" ref="AM196:AM202" ca="1" si="117">RAND()*(0.2-0.005)+0.005</f>
        <v>6.5717201208576353E-2</v>
      </c>
      <c r="AN196" s="1">
        <f t="shared" ref="AN196:AN202" ca="1" si="118">RANDBETWEEN(10,80)</f>
        <v>42</v>
      </c>
      <c r="AO196" s="1">
        <f t="shared" ref="AO196:AO202" ca="1" si="119">RANDBETWEEN(-1,20)</f>
        <v>11</v>
      </c>
    </row>
    <row r="197" spans="2:41" x14ac:dyDescent="0.25">
      <c r="B197">
        <f t="shared" ca="1" si="90"/>
        <v>742</v>
      </c>
      <c r="C197">
        <f t="shared" ca="1" si="91"/>
        <v>41</v>
      </c>
      <c r="D197">
        <f t="shared" ca="1" si="92"/>
        <v>0.23186992158306954</v>
      </c>
      <c r="F197" s="1">
        <f t="shared" ca="1" si="93"/>
        <v>45</v>
      </c>
      <c r="G197" s="1">
        <f t="shared" ca="1" si="94"/>
        <v>24</v>
      </c>
      <c r="H197" s="1">
        <f t="shared" ca="1" si="95"/>
        <v>9</v>
      </c>
      <c r="I197" s="1"/>
      <c r="J197" s="1">
        <f t="shared" ca="1" si="96"/>
        <v>16</v>
      </c>
      <c r="K197" s="1">
        <f t="shared" ca="1" si="97"/>
        <v>2.1732602987685139</v>
      </c>
      <c r="L197" s="1">
        <f t="shared" ca="1" si="98"/>
        <v>24</v>
      </c>
      <c r="M197" s="1"/>
      <c r="N197" s="1">
        <f t="shared" ca="1" si="99"/>
        <v>737</v>
      </c>
      <c r="O197" s="1">
        <f t="shared" ca="1" si="100"/>
        <v>37</v>
      </c>
      <c r="P197" s="1"/>
      <c r="Q197" s="1">
        <f t="shared" ca="1" si="101"/>
        <v>0.73986791859187861</v>
      </c>
      <c r="R197" s="1">
        <f t="shared" ca="1" si="102"/>
        <v>638</v>
      </c>
      <c r="S197" s="1"/>
      <c r="T197" s="1">
        <f t="shared" ca="1" si="103"/>
        <v>0.1806869454677224</v>
      </c>
      <c r="U197" s="1">
        <f t="shared" ca="1" si="104"/>
        <v>192</v>
      </c>
      <c r="V197" s="1">
        <f t="shared" ca="1" si="105"/>
        <v>36</v>
      </c>
      <c r="W197" s="1"/>
      <c r="X197" s="1">
        <f t="shared" ca="1" si="106"/>
        <v>0.76463309296733006</v>
      </c>
      <c r="Y197" s="1">
        <f t="shared" ca="1" si="107"/>
        <v>0.32100519248483395</v>
      </c>
      <c r="Z197" s="1">
        <f t="shared" ca="1" si="108"/>
        <v>1533</v>
      </c>
      <c r="AB197" s="1">
        <f t="shared" ca="1" si="109"/>
        <v>0.63354197569010751</v>
      </c>
      <c r="AC197" s="1">
        <f t="shared" ca="1" si="110"/>
        <v>679</v>
      </c>
      <c r="AD197" s="1">
        <f t="shared" ca="1" si="111"/>
        <v>1.665795977511943E-3</v>
      </c>
      <c r="AE197" s="1"/>
      <c r="AF197" s="1">
        <f t="shared" ca="1" si="112"/>
        <v>0.44959566968211129</v>
      </c>
      <c r="AG197" s="1">
        <f t="shared" ca="1" si="113"/>
        <v>129</v>
      </c>
      <c r="AH197" s="1">
        <f t="shared" ca="1" si="114"/>
        <v>3.740188361698983E-3</v>
      </c>
      <c r="AJ197" s="1">
        <f t="shared" ca="1" si="115"/>
        <v>0.39521342440339591</v>
      </c>
      <c r="AK197" s="1">
        <f t="shared" ca="1" si="116"/>
        <v>1.0254598075392926E-3</v>
      </c>
      <c r="AL197" s="1"/>
      <c r="AM197" s="1">
        <f t="shared" ca="1" si="117"/>
        <v>0.16912711753494364</v>
      </c>
      <c r="AN197" s="1">
        <f t="shared" ca="1" si="118"/>
        <v>75</v>
      </c>
      <c r="AO197" s="1">
        <f t="shared" ca="1" si="119"/>
        <v>6</v>
      </c>
    </row>
    <row r="198" spans="2:41" x14ac:dyDescent="0.25">
      <c r="B198">
        <f t="shared" ca="1" si="90"/>
        <v>775</v>
      </c>
      <c r="C198">
        <f t="shared" ca="1" si="91"/>
        <v>2</v>
      </c>
      <c r="D198">
        <f t="shared" ca="1" si="92"/>
        <v>0.12957456067436515</v>
      </c>
      <c r="F198" s="1">
        <f t="shared" ca="1" si="93"/>
        <v>5</v>
      </c>
      <c r="G198" s="1">
        <f t="shared" ca="1" si="94"/>
        <v>27</v>
      </c>
      <c r="H198" s="1">
        <f t="shared" ca="1" si="95"/>
        <v>7</v>
      </c>
      <c r="I198" s="1"/>
      <c r="J198" s="1">
        <f t="shared" ca="1" si="96"/>
        <v>13</v>
      </c>
      <c r="K198" s="1">
        <f t="shared" ca="1" si="97"/>
        <v>2.2519601888093916</v>
      </c>
      <c r="L198" s="1">
        <f t="shared" ca="1" si="98"/>
        <v>30</v>
      </c>
      <c r="M198" s="1"/>
      <c r="N198" s="1">
        <f t="shared" ca="1" si="99"/>
        <v>852</v>
      </c>
      <c r="O198" s="1">
        <f t="shared" ca="1" si="100"/>
        <v>9</v>
      </c>
      <c r="P198" s="1"/>
      <c r="Q198" s="1">
        <f t="shared" ca="1" si="101"/>
        <v>2.7780085306865243</v>
      </c>
      <c r="R198" s="1">
        <f t="shared" ca="1" si="102"/>
        <v>935</v>
      </c>
      <c r="S198" s="1"/>
      <c r="T198" s="1">
        <f t="shared" ca="1" si="103"/>
        <v>0.14484315408380707</v>
      </c>
      <c r="U198" s="1">
        <f t="shared" ca="1" si="104"/>
        <v>261</v>
      </c>
      <c r="V198" s="1">
        <f t="shared" ca="1" si="105"/>
        <v>5</v>
      </c>
      <c r="W198" s="1"/>
      <c r="X198" s="1">
        <f t="shared" ca="1" si="106"/>
        <v>8.5228064998161273</v>
      </c>
      <c r="Y198" s="1">
        <f t="shared" ca="1" si="107"/>
        <v>0.58845935386683301</v>
      </c>
      <c r="Z198" s="1">
        <f t="shared" ca="1" si="108"/>
        <v>1040</v>
      </c>
      <c r="AB198" s="1">
        <f t="shared" ca="1" si="109"/>
        <v>0.48729710710386681</v>
      </c>
      <c r="AC198" s="1">
        <f t="shared" ca="1" si="110"/>
        <v>397</v>
      </c>
      <c r="AD198" s="1">
        <f t="shared" ca="1" si="111"/>
        <v>7.589643845946405E-3</v>
      </c>
      <c r="AE198" s="1"/>
      <c r="AF198" s="1">
        <f t="shared" ca="1" si="112"/>
        <v>0.12470555883496273</v>
      </c>
      <c r="AG198" s="1">
        <f t="shared" ca="1" si="113"/>
        <v>417</v>
      </c>
      <c r="AH198" s="1">
        <f t="shared" ca="1" si="114"/>
        <v>4.0566478260079088E-3</v>
      </c>
      <c r="AJ198" s="1">
        <f t="shared" ca="1" si="115"/>
        <v>0.42037642673083697</v>
      </c>
      <c r="AK198" s="1">
        <f t="shared" ca="1" si="116"/>
        <v>5.0792289253402314E-3</v>
      </c>
      <c r="AL198" s="1"/>
      <c r="AM198" s="1">
        <f t="shared" ca="1" si="117"/>
        <v>5.6449970564417052E-3</v>
      </c>
      <c r="AN198" s="1">
        <f t="shared" ca="1" si="118"/>
        <v>76</v>
      </c>
      <c r="AO198" s="1">
        <f t="shared" ca="1" si="119"/>
        <v>6</v>
      </c>
    </row>
    <row r="199" spans="2:41" x14ac:dyDescent="0.25">
      <c r="B199">
        <f t="shared" ca="1" si="90"/>
        <v>885</v>
      </c>
      <c r="C199">
        <f t="shared" ca="1" si="91"/>
        <v>35</v>
      </c>
      <c r="D199">
        <f t="shared" ca="1" si="92"/>
        <v>6.0540601145371013E-2</v>
      </c>
      <c r="F199" s="1">
        <f t="shared" ca="1" si="93"/>
        <v>13</v>
      </c>
      <c r="G199" s="1">
        <f t="shared" ca="1" si="94"/>
        <v>10</v>
      </c>
      <c r="H199" s="1">
        <f t="shared" ca="1" si="95"/>
        <v>11</v>
      </c>
      <c r="I199" s="1"/>
      <c r="J199" s="1">
        <f t="shared" ca="1" si="96"/>
        <v>2</v>
      </c>
      <c r="K199" s="1">
        <f t="shared" ca="1" si="97"/>
        <v>1.6677684612861519</v>
      </c>
      <c r="L199" s="1">
        <f t="shared" ca="1" si="98"/>
        <v>21</v>
      </c>
      <c r="M199" s="1"/>
      <c r="N199" s="1">
        <f t="shared" ca="1" si="99"/>
        <v>211</v>
      </c>
      <c r="O199" s="1">
        <f t="shared" ca="1" si="100"/>
        <v>37</v>
      </c>
      <c r="P199" s="1"/>
      <c r="Q199" s="1">
        <f t="shared" ca="1" si="101"/>
        <v>1.367602642075511</v>
      </c>
      <c r="R199" s="1">
        <f t="shared" ca="1" si="102"/>
        <v>333</v>
      </c>
      <c r="S199" s="1"/>
      <c r="T199" s="1">
        <f t="shared" ca="1" si="103"/>
        <v>5.5795903725392094E-2</v>
      </c>
      <c r="U199" s="1">
        <f t="shared" ca="1" si="104"/>
        <v>300</v>
      </c>
      <c r="V199" s="1">
        <f t="shared" ca="1" si="105"/>
        <v>6</v>
      </c>
      <c r="W199" s="1"/>
      <c r="X199" s="1">
        <f t="shared" ca="1" si="106"/>
        <v>2.6338589277662852</v>
      </c>
      <c r="Y199" s="1">
        <f t="shared" ca="1" si="107"/>
        <v>0.46931694700830257</v>
      </c>
      <c r="Z199" s="1">
        <f t="shared" ca="1" si="108"/>
        <v>1023</v>
      </c>
      <c r="AB199" s="1">
        <f t="shared" ca="1" si="109"/>
        <v>0.97744166185123693</v>
      </c>
      <c r="AC199" s="1">
        <f t="shared" ca="1" si="110"/>
        <v>284</v>
      </c>
      <c r="AD199" s="1">
        <f t="shared" ca="1" si="111"/>
        <v>2.6100821158943827E-3</v>
      </c>
      <c r="AE199" s="1"/>
      <c r="AF199" s="1">
        <f t="shared" ca="1" si="112"/>
        <v>0.32845121849882936</v>
      </c>
      <c r="AG199" s="1">
        <f t="shared" ca="1" si="113"/>
        <v>597</v>
      </c>
      <c r="AH199" s="1">
        <f t="shared" ca="1" si="114"/>
        <v>2.2234352475437144E-3</v>
      </c>
      <c r="AJ199" s="1">
        <f t="shared" ca="1" si="115"/>
        <v>5.7407104030595013E-2</v>
      </c>
      <c r="AK199" s="1">
        <f t="shared" ca="1" si="116"/>
        <v>6.877499347164721E-3</v>
      </c>
      <c r="AL199" s="1"/>
      <c r="AM199" s="1">
        <f t="shared" ca="1" si="117"/>
        <v>0.19023323528646915</v>
      </c>
      <c r="AN199" s="1">
        <f t="shared" ca="1" si="118"/>
        <v>54</v>
      </c>
      <c r="AO199" s="1">
        <f t="shared" ca="1" si="119"/>
        <v>14</v>
      </c>
    </row>
    <row r="200" spans="2:41" x14ac:dyDescent="0.25">
      <c r="B200">
        <f t="shared" ca="1" si="90"/>
        <v>519</v>
      </c>
      <c r="C200">
        <f t="shared" ca="1" si="91"/>
        <v>28</v>
      </c>
      <c r="D200">
        <f t="shared" ca="1" si="92"/>
        <v>3.9975581161090928E-2</v>
      </c>
      <c r="F200" s="1">
        <f t="shared" ca="1" si="93"/>
        <v>50</v>
      </c>
      <c r="G200" s="1">
        <f t="shared" ca="1" si="94"/>
        <v>11</v>
      </c>
      <c r="H200" s="1">
        <f t="shared" ca="1" si="95"/>
        <v>1</v>
      </c>
      <c r="I200" s="1"/>
      <c r="J200" s="1">
        <f t="shared" ca="1" si="96"/>
        <v>8</v>
      </c>
      <c r="K200" s="1">
        <f t="shared" ca="1" si="97"/>
        <v>1.3486600635770205</v>
      </c>
      <c r="L200" s="1">
        <f t="shared" ca="1" si="98"/>
        <v>25</v>
      </c>
      <c r="M200" s="1"/>
      <c r="N200" s="1">
        <f t="shared" ca="1" si="99"/>
        <v>36</v>
      </c>
      <c r="O200" s="1">
        <f t="shared" ca="1" si="100"/>
        <v>30</v>
      </c>
      <c r="P200" s="1"/>
      <c r="Q200" s="1">
        <f t="shared" ca="1" si="101"/>
        <v>1.9660515983512215</v>
      </c>
      <c r="R200" s="1">
        <f t="shared" ca="1" si="102"/>
        <v>390</v>
      </c>
      <c r="S200" s="1"/>
      <c r="T200" s="1">
        <f t="shared" ca="1" si="103"/>
        <v>2.2338957033041264E-2</v>
      </c>
      <c r="U200" s="1">
        <f t="shared" ca="1" si="104"/>
        <v>416</v>
      </c>
      <c r="V200" s="1">
        <f t="shared" ca="1" si="105"/>
        <v>45</v>
      </c>
      <c r="W200" s="1"/>
      <c r="X200" s="1">
        <f t="shared" ca="1" si="106"/>
        <v>1.5026882034168612</v>
      </c>
      <c r="Y200" s="1">
        <f t="shared" ca="1" si="107"/>
        <v>0.63584672183770274</v>
      </c>
      <c r="Z200" s="1">
        <f t="shared" ca="1" si="108"/>
        <v>170</v>
      </c>
      <c r="AB200" s="1">
        <f t="shared" ca="1" si="109"/>
        <v>0.37861167041196758</v>
      </c>
      <c r="AC200" s="1">
        <f t="shared" ca="1" si="110"/>
        <v>627</v>
      </c>
      <c r="AD200" s="1">
        <f t="shared" ca="1" si="111"/>
        <v>6.1756110464479073E-3</v>
      </c>
      <c r="AE200" s="1"/>
      <c r="AF200" s="1">
        <f t="shared" ca="1" si="112"/>
        <v>0.75924389704743678</v>
      </c>
      <c r="AG200" s="1">
        <f t="shared" ca="1" si="113"/>
        <v>151</v>
      </c>
      <c r="AH200" s="1">
        <f t="shared" ca="1" si="114"/>
        <v>4.9471035842825577E-3</v>
      </c>
      <c r="AJ200" s="1">
        <f t="shared" ca="1" si="115"/>
        <v>0.70815314118988015</v>
      </c>
      <c r="AK200" s="1">
        <f t="shared" ca="1" si="116"/>
        <v>1.9036203235783887E-3</v>
      </c>
      <c r="AL200" s="1"/>
      <c r="AM200" s="1">
        <f t="shared" ca="1" si="117"/>
        <v>1.9893695852729942E-2</v>
      </c>
      <c r="AN200" s="1">
        <f t="shared" ca="1" si="118"/>
        <v>17</v>
      </c>
      <c r="AO200" s="1">
        <f t="shared" ca="1" si="119"/>
        <v>16</v>
      </c>
    </row>
    <row r="201" spans="2:41" x14ac:dyDescent="0.25">
      <c r="B201">
        <f t="shared" ca="1" si="90"/>
        <v>423</v>
      </c>
      <c r="C201">
        <f t="shared" ca="1" si="91"/>
        <v>44</v>
      </c>
      <c r="D201">
        <f t="shared" ca="1" si="92"/>
        <v>0.29325032049233962</v>
      </c>
      <c r="F201" s="1">
        <f t="shared" ca="1" si="93"/>
        <v>35</v>
      </c>
      <c r="G201" s="1">
        <f t="shared" ca="1" si="94"/>
        <v>23</v>
      </c>
      <c r="H201" s="1">
        <f t="shared" ca="1" si="95"/>
        <v>8</v>
      </c>
      <c r="I201" s="1"/>
      <c r="J201" s="1">
        <f t="shared" ca="1" si="96"/>
        <v>30</v>
      </c>
      <c r="K201" s="1">
        <f t="shared" ca="1" si="97"/>
        <v>2.1903390774873799</v>
      </c>
      <c r="L201" s="1">
        <f t="shared" ca="1" si="98"/>
        <v>18</v>
      </c>
      <c r="M201" s="1"/>
      <c r="N201" s="1">
        <f t="shared" ca="1" si="99"/>
        <v>518</v>
      </c>
      <c r="O201" s="1">
        <f t="shared" ca="1" si="100"/>
        <v>30</v>
      </c>
      <c r="P201" s="1"/>
      <c r="Q201" s="1">
        <f t="shared" ca="1" si="101"/>
        <v>4.6968789053246605</v>
      </c>
      <c r="R201" s="1">
        <f t="shared" ca="1" si="102"/>
        <v>879</v>
      </c>
      <c r="S201" s="1"/>
      <c r="T201" s="1">
        <f t="shared" ca="1" si="103"/>
        <v>7.6208133729141966E-2</v>
      </c>
      <c r="U201" s="1">
        <f t="shared" ca="1" si="104"/>
        <v>151</v>
      </c>
      <c r="V201" s="1">
        <f t="shared" ca="1" si="105"/>
        <v>27</v>
      </c>
      <c r="W201" s="1"/>
      <c r="X201" s="1">
        <f t="shared" ca="1" si="106"/>
        <v>5.071377004864468</v>
      </c>
      <c r="Y201" s="1">
        <f t="shared" ca="1" si="107"/>
        <v>0.39501234283248621</v>
      </c>
      <c r="Z201" s="1">
        <f t="shared" ca="1" si="108"/>
        <v>515</v>
      </c>
      <c r="AB201" s="1">
        <f t="shared" ca="1" si="109"/>
        <v>0.64708793846857104</v>
      </c>
      <c r="AC201" s="1">
        <f t="shared" ca="1" si="110"/>
        <v>373</v>
      </c>
      <c r="AD201" s="1">
        <f t="shared" ca="1" si="111"/>
        <v>1.1395680369387446E-4</v>
      </c>
      <c r="AE201" s="1"/>
      <c r="AF201" s="1">
        <f t="shared" ca="1" si="112"/>
        <v>0.39651847875387436</v>
      </c>
      <c r="AG201" s="1">
        <f t="shared" ca="1" si="113"/>
        <v>834</v>
      </c>
      <c r="AH201" s="1">
        <f t="shared" ca="1" si="114"/>
        <v>8.2227130942488062E-3</v>
      </c>
      <c r="AJ201" s="1">
        <f t="shared" ca="1" si="115"/>
        <v>0.98179492681564917</v>
      </c>
      <c r="AK201" s="1">
        <f t="shared" ca="1" si="116"/>
        <v>1.2344412413014831E-3</v>
      </c>
      <c r="AL201" s="1"/>
      <c r="AM201" s="1">
        <f t="shared" ca="1" si="117"/>
        <v>0.1138878918359193</v>
      </c>
      <c r="AN201" s="1">
        <f t="shared" ca="1" si="118"/>
        <v>52</v>
      </c>
      <c r="AO201" s="1">
        <f t="shared" ca="1" si="119"/>
        <v>12</v>
      </c>
    </row>
    <row r="202" spans="2:41" x14ac:dyDescent="0.25">
      <c r="B202">
        <f t="shared" ca="1" si="90"/>
        <v>197</v>
      </c>
      <c r="C202">
        <f t="shared" ca="1" si="91"/>
        <v>8</v>
      </c>
      <c r="D202">
        <f t="shared" ca="1" si="92"/>
        <v>0.12468532649896406</v>
      </c>
      <c r="F202" s="1">
        <f t="shared" ca="1" si="93"/>
        <v>14</v>
      </c>
      <c r="G202" s="1">
        <f t="shared" ca="1" si="94"/>
        <v>7</v>
      </c>
      <c r="H202" s="1">
        <f t="shared" ca="1" si="95"/>
        <v>7</v>
      </c>
      <c r="I202" s="1"/>
      <c r="J202" s="1">
        <f t="shared" ca="1" si="96"/>
        <v>23</v>
      </c>
      <c r="K202" s="1">
        <f t="shared" ca="1" si="97"/>
        <v>2.4760753298660525</v>
      </c>
      <c r="L202" s="1">
        <f t="shared" ca="1" si="98"/>
        <v>30</v>
      </c>
      <c r="M202" s="1"/>
      <c r="N202" s="1">
        <f t="shared" ca="1" si="99"/>
        <v>481</v>
      </c>
      <c r="O202" s="1">
        <f t="shared" ca="1" si="100"/>
        <v>45</v>
      </c>
      <c r="P202" s="1"/>
      <c r="Q202" s="1">
        <f t="shared" ca="1" si="101"/>
        <v>2.2003026559484589</v>
      </c>
      <c r="R202" s="1">
        <f t="shared" ca="1" si="102"/>
        <v>724</v>
      </c>
      <c r="S202" s="1"/>
      <c r="T202" s="1">
        <f t="shared" ca="1" si="103"/>
        <v>0.14495408707942317</v>
      </c>
      <c r="U202" s="1">
        <f t="shared" ca="1" si="104"/>
        <v>255</v>
      </c>
      <c r="V202" s="1">
        <f t="shared" ca="1" si="105"/>
        <v>39</v>
      </c>
      <c r="W202" s="1"/>
      <c r="X202" s="1">
        <f t="shared" ca="1" si="106"/>
        <v>1.0782641991229209</v>
      </c>
      <c r="Y202" s="1">
        <f t="shared" ca="1" si="107"/>
        <v>0.36212402128525623</v>
      </c>
      <c r="Z202" s="1">
        <f t="shared" ca="1" si="108"/>
        <v>175</v>
      </c>
      <c r="AB202" s="1">
        <f t="shared" ca="1" si="109"/>
        <v>0.30629989799153029</v>
      </c>
      <c r="AC202" s="1">
        <f t="shared" ca="1" si="110"/>
        <v>394</v>
      </c>
      <c r="AD202" s="1">
        <f t="shared" ca="1" si="111"/>
        <v>8.3069423439321236E-3</v>
      </c>
      <c r="AE202" s="1"/>
      <c r="AF202" s="1">
        <f t="shared" ca="1" si="112"/>
        <v>0.77908954489143134</v>
      </c>
      <c r="AG202" s="1">
        <f t="shared" ca="1" si="113"/>
        <v>548</v>
      </c>
      <c r="AH202" s="1">
        <f t="shared" ca="1" si="114"/>
        <v>2.9237828769099075E-4</v>
      </c>
      <c r="AJ202" s="1">
        <f t="shared" ca="1" si="115"/>
        <v>0.40098246215129962</v>
      </c>
      <c r="AK202" s="1">
        <f t="shared" ca="1" si="116"/>
        <v>6.0228445272151876E-3</v>
      </c>
      <c r="AL202" s="1"/>
      <c r="AM202" s="1">
        <f t="shared" ca="1" si="117"/>
        <v>0.12642276018569007</v>
      </c>
      <c r="AN202" s="1">
        <f t="shared" ca="1" si="118"/>
        <v>54</v>
      </c>
      <c r="AO202" s="1">
        <f t="shared" ca="1" si="119"/>
        <v>0</v>
      </c>
    </row>
  </sheetData>
  <mergeCells count="11">
    <mergeCell ref="AM1:AO1"/>
    <mergeCell ref="B1:D1"/>
    <mergeCell ref="F1:H1"/>
    <mergeCell ref="J1:L1"/>
    <mergeCell ref="N1:O1"/>
    <mergeCell ref="Q1:R1"/>
    <mergeCell ref="AJ1:AK1"/>
    <mergeCell ref="AB1:AD1"/>
    <mergeCell ref="AF1:AH1"/>
    <mergeCell ref="T1:V1"/>
    <mergeCell ref="X1: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2026-04-15T06:55:03Z</dcterms:modified>
</cp:coreProperties>
</file>