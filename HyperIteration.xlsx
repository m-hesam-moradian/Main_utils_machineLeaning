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m\Desktop\ML\"/>
    </mc:Choice>
  </mc:AlternateContent>
  <xr:revisionPtr revIDLastSave="0" documentId="13_ncr:1_{6B9E2B6B-CD84-429A-B2A6-75349C2D39F2}" xr6:coauthVersionLast="47" xr6:coauthVersionMax="47" xr10:uidLastSave="{00000000-0000-0000-0000-000000000000}"/>
  <bookViews>
    <workbookView xWindow="-11232" yWindow="10692" windowWidth="16296" windowHeight="90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S4" i="1" l="1"/>
  <c r="DT4" i="1"/>
  <c r="DU4" i="1"/>
  <c r="DS5" i="1"/>
  <c r="DT5" i="1"/>
  <c r="DU5" i="1"/>
  <c r="DS6" i="1"/>
  <c r="DT6" i="1"/>
  <c r="DU6" i="1"/>
  <c r="DS7" i="1"/>
  <c r="DT7" i="1"/>
  <c r="DU7" i="1"/>
  <c r="DU3" i="1"/>
  <c r="DT3" i="1"/>
  <c r="DS3" i="1"/>
  <c r="CV10" i="1"/>
  <c r="CW10" i="1"/>
  <c r="CX10" i="1"/>
  <c r="CV11" i="1"/>
  <c r="CW11" i="1"/>
  <c r="CX11" i="1"/>
  <c r="CV12" i="1"/>
  <c r="CW12" i="1"/>
  <c r="CX12" i="1"/>
  <c r="CV13" i="1"/>
  <c r="CW13" i="1"/>
  <c r="CX13" i="1"/>
  <c r="CV14" i="1"/>
  <c r="CW14" i="1"/>
  <c r="CX14" i="1"/>
  <c r="CV15" i="1"/>
  <c r="CW15" i="1"/>
  <c r="CX15" i="1"/>
  <c r="CV16" i="1"/>
  <c r="CW16" i="1"/>
  <c r="CX16" i="1"/>
  <c r="CV17" i="1"/>
  <c r="CW17" i="1"/>
  <c r="CX17" i="1"/>
  <c r="CV18" i="1"/>
  <c r="CW18" i="1"/>
  <c r="CX18" i="1"/>
  <c r="CV19" i="1"/>
  <c r="CW19" i="1"/>
  <c r="CX19" i="1"/>
  <c r="CV20" i="1"/>
  <c r="CW20" i="1"/>
  <c r="CX20" i="1"/>
  <c r="CV21" i="1"/>
  <c r="CW21" i="1"/>
  <c r="CX21" i="1"/>
  <c r="CV22" i="1"/>
  <c r="CW22" i="1"/>
  <c r="CX22" i="1"/>
  <c r="CV23" i="1"/>
  <c r="CW23" i="1"/>
  <c r="CX23" i="1"/>
  <c r="CV24" i="1"/>
  <c r="CW24" i="1"/>
  <c r="CX24" i="1"/>
  <c r="CV25" i="1"/>
  <c r="CW25" i="1"/>
  <c r="CX25" i="1"/>
  <c r="CV26" i="1"/>
  <c r="CW26" i="1"/>
  <c r="CX26" i="1"/>
  <c r="CV27" i="1"/>
  <c r="CW27" i="1"/>
  <c r="CX27" i="1"/>
  <c r="CV28" i="1"/>
  <c r="CW28" i="1"/>
  <c r="CX28" i="1"/>
  <c r="CV29" i="1"/>
  <c r="CW29" i="1"/>
  <c r="CX29" i="1"/>
  <c r="CV30" i="1"/>
  <c r="CW30" i="1"/>
  <c r="CX30" i="1"/>
  <c r="CV31" i="1"/>
  <c r="CW31" i="1"/>
  <c r="CX31" i="1"/>
  <c r="CV32" i="1"/>
  <c r="CW32" i="1"/>
  <c r="CX32" i="1"/>
  <c r="CV33" i="1"/>
  <c r="CW33" i="1"/>
  <c r="CX33" i="1"/>
  <c r="CV34" i="1"/>
  <c r="CW34" i="1"/>
  <c r="CX34" i="1"/>
  <c r="CV35" i="1"/>
  <c r="CW35" i="1"/>
  <c r="CX35" i="1"/>
  <c r="CV36" i="1"/>
  <c r="CW36" i="1"/>
  <c r="CX36" i="1"/>
  <c r="CV37" i="1"/>
  <c r="CW37" i="1"/>
  <c r="CX37" i="1"/>
  <c r="CV38" i="1"/>
  <c r="CW38" i="1"/>
  <c r="CX38" i="1"/>
  <c r="CV39" i="1"/>
  <c r="CW39" i="1"/>
  <c r="CX39" i="1"/>
  <c r="CV40" i="1"/>
  <c r="CW40" i="1"/>
  <c r="CX40" i="1"/>
  <c r="CV41" i="1"/>
  <c r="CW41" i="1"/>
  <c r="CX41" i="1"/>
  <c r="CV42" i="1"/>
  <c r="CW42" i="1"/>
  <c r="CX42" i="1"/>
  <c r="CV43" i="1"/>
  <c r="CW43" i="1"/>
  <c r="CX43" i="1"/>
  <c r="CV44" i="1"/>
  <c r="CW44" i="1"/>
  <c r="CX44" i="1"/>
  <c r="CV45" i="1"/>
  <c r="CW45" i="1"/>
  <c r="CX45" i="1"/>
  <c r="CV46" i="1"/>
  <c r="CW46" i="1"/>
  <c r="CX46" i="1"/>
  <c r="CV47" i="1"/>
  <c r="CW47" i="1"/>
  <c r="CX47" i="1"/>
  <c r="CV48" i="1"/>
  <c r="CW48" i="1"/>
  <c r="CX48" i="1"/>
  <c r="CV49" i="1"/>
  <c r="CW49" i="1"/>
  <c r="CX49" i="1"/>
  <c r="CV50" i="1"/>
  <c r="CW50" i="1"/>
  <c r="CX50" i="1"/>
  <c r="CV51" i="1"/>
  <c r="CW51" i="1"/>
  <c r="CX51" i="1"/>
  <c r="CV52" i="1"/>
  <c r="CW52" i="1"/>
  <c r="CX52" i="1"/>
  <c r="CV53" i="1"/>
  <c r="CW53" i="1"/>
  <c r="CX53" i="1"/>
  <c r="CV54" i="1"/>
  <c r="CW54" i="1"/>
  <c r="CX54" i="1"/>
  <c r="CV55" i="1"/>
  <c r="CW55" i="1"/>
  <c r="CX55" i="1"/>
  <c r="CV56" i="1"/>
  <c r="CW56" i="1"/>
  <c r="CX56" i="1"/>
  <c r="CV57" i="1"/>
  <c r="CW57" i="1"/>
  <c r="CX57" i="1"/>
  <c r="CV58" i="1"/>
  <c r="CW58" i="1"/>
  <c r="CX58" i="1"/>
  <c r="CV59" i="1"/>
  <c r="CW59" i="1"/>
  <c r="CX59" i="1"/>
  <c r="CV60" i="1"/>
  <c r="CW60" i="1"/>
  <c r="CX60" i="1"/>
  <c r="CV61" i="1"/>
  <c r="CW61" i="1"/>
  <c r="CX61" i="1"/>
  <c r="CV62" i="1"/>
  <c r="CW62" i="1"/>
  <c r="CX62" i="1"/>
  <c r="CV63" i="1"/>
  <c r="CW63" i="1"/>
  <c r="CX63" i="1"/>
  <c r="CV64" i="1"/>
  <c r="CW64" i="1"/>
  <c r="CX64" i="1"/>
  <c r="CV65" i="1"/>
  <c r="CW65" i="1"/>
  <c r="CX65" i="1"/>
  <c r="CV66" i="1"/>
  <c r="CW66" i="1"/>
  <c r="CX66" i="1"/>
  <c r="CV67" i="1"/>
  <c r="CW67" i="1"/>
  <c r="CX67" i="1"/>
  <c r="CV68" i="1"/>
  <c r="CW68" i="1"/>
  <c r="CX68" i="1"/>
  <c r="CV69" i="1"/>
  <c r="CW69" i="1"/>
  <c r="CX69" i="1"/>
  <c r="CV70" i="1"/>
  <c r="CW70" i="1"/>
  <c r="CX70" i="1"/>
  <c r="CV71" i="1"/>
  <c r="CW71" i="1"/>
  <c r="CX71" i="1"/>
  <c r="CV72" i="1"/>
  <c r="CW72" i="1"/>
  <c r="CX72" i="1"/>
  <c r="CV73" i="1"/>
  <c r="CW73" i="1"/>
  <c r="CX73" i="1"/>
  <c r="CV74" i="1"/>
  <c r="CW74" i="1"/>
  <c r="CX74" i="1"/>
  <c r="CV75" i="1"/>
  <c r="CW75" i="1"/>
  <c r="CX75" i="1"/>
  <c r="CV76" i="1"/>
  <c r="CW76" i="1"/>
  <c r="CX76" i="1"/>
  <c r="CV77" i="1"/>
  <c r="CW77" i="1"/>
  <c r="CX77" i="1"/>
  <c r="CV78" i="1"/>
  <c r="CW78" i="1"/>
  <c r="CX78" i="1"/>
  <c r="CV79" i="1"/>
  <c r="CW79" i="1"/>
  <c r="CX79" i="1"/>
  <c r="CV80" i="1"/>
  <c r="CW80" i="1"/>
  <c r="CX80" i="1"/>
  <c r="CV81" i="1"/>
  <c r="CW81" i="1"/>
  <c r="CX81" i="1"/>
  <c r="CV82" i="1"/>
  <c r="CW82" i="1"/>
  <c r="CX82" i="1"/>
  <c r="CV83" i="1"/>
  <c r="CW83" i="1"/>
  <c r="CX83" i="1"/>
  <c r="CV84" i="1"/>
  <c r="CW84" i="1"/>
  <c r="CX84" i="1"/>
  <c r="CV85" i="1"/>
  <c r="CW85" i="1"/>
  <c r="CX85" i="1"/>
  <c r="CV86" i="1"/>
  <c r="CW86" i="1"/>
  <c r="CX86" i="1"/>
  <c r="CV87" i="1"/>
  <c r="CW87" i="1"/>
  <c r="CX87" i="1"/>
  <c r="CV88" i="1"/>
  <c r="CW88" i="1"/>
  <c r="CX88" i="1"/>
  <c r="CV89" i="1"/>
  <c r="CW89" i="1"/>
  <c r="CX89" i="1"/>
  <c r="CV90" i="1"/>
  <c r="CW90" i="1"/>
  <c r="CX90" i="1"/>
  <c r="CV91" i="1"/>
  <c r="CW91" i="1"/>
  <c r="CX91" i="1"/>
  <c r="CV92" i="1"/>
  <c r="CW92" i="1"/>
  <c r="CX92" i="1"/>
  <c r="CV93" i="1"/>
  <c r="CW93" i="1"/>
  <c r="CX93" i="1"/>
  <c r="CV94" i="1"/>
  <c r="CW94" i="1"/>
  <c r="CX94" i="1"/>
  <c r="CV95" i="1"/>
  <c r="CW95" i="1"/>
  <c r="CX95" i="1"/>
  <c r="CV96" i="1"/>
  <c r="CW96" i="1"/>
  <c r="CX96" i="1"/>
  <c r="CV97" i="1"/>
  <c r="CW97" i="1"/>
  <c r="CX97" i="1"/>
  <c r="CV98" i="1"/>
  <c r="CW98" i="1"/>
  <c r="CX98" i="1"/>
  <c r="CV99" i="1"/>
  <c r="CW99" i="1"/>
  <c r="CX99" i="1"/>
  <c r="CV100" i="1"/>
  <c r="CW100" i="1"/>
  <c r="CX100" i="1"/>
  <c r="CV101" i="1"/>
  <c r="CW101" i="1"/>
  <c r="CX101" i="1"/>
  <c r="CV102" i="1"/>
  <c r="CW102" i="1"/>
  <c r="CX102" i="1"/>
  <c r="CV103" i="1"/>
  <c r="CW103" i="1"/>
  <c r="CX103" i="1"/>
  <c r="CV104" i="1"/>
  <c r="CW104" i="1"/>
  <c r="CX104" i="1"/>
  <c r="CV105" i="1"/>
  <c r="CW105" i="1"/>
  <c r="CX105" i="1"/>
  <c r="CV106" i="1"/>
  <c r="CW106" i="1"/>
  <c r="CX106" i="1"/>
  <c r="CV107" i="1"/>
  <c r="CW107" i="1"/>
  <c r="CX107" i="1"/>
  <c r="CV108" i="1"/>
  <c r="CW108" i="1"/>
  <c r="CX108" i="1"/>
  <c r="CV109" i="1"/>
  <c r="CW109" i="1"/>
  <c r="CX109" i="1"/>
  <c r="CV110" i="1"/>
  <c r="CW110" i="1"/>
  <c r="CX110" i="1"/>
  <c r="CV111" i="1"/>
  <c r="CW111" i="1"/>
  <c r="CX111" i="1"/>
  <c r="CV112" i="1"/>
  <c r="CW112" i="1"/>
  <c r="CX112" i="1"/>
  <c r="CV113" i="1"/>
  <c r="CW113" i="1"/>
  <c r="CX113" i="1"/>
  <c r="CV114" i="1"/>
  <c r="CW114" i="1"/>
  <c r="CX114" i="1"/>
  <c r="CV115" i="1"/>
  <c r="CW115" i="1"/>
  <c r="CX115" i="1"/>
  <c r="CV116" i="1"/>
  <c r="CW116" i="1"/>
  <c r="CX116" i="1"/>
  <c r="CV117" i="1"/>
  <c r="CW117" i="1"/>
  <c r="CX117" i="1"/>
  <c r="CV118" i="1"/>
  <c r="CW118" i="1"/>
  <c r="CX118" i="1"/>
  <c r="CV119" i="1"/>
  <c r="CW119" i="1"/>
  <c r="CX119" i="1"/>
  <c r="CV120" i="1"/>
  <c r="CW120" i="1"/>
  <c r="CX120" i="1"/>
  <c r="CV121" i="1"/>
  <c r="CW121" i="1"/>
  <c r="CX121" i="1"/>
  <c r="CV122" i="1"/>
  <c r="CW122" i="1"/>
  <c r="CX122" i="1"/>
  <c r="CV123" i="1"/>
  <c r="CW123" i="1"/>
  <c r="CX123" i="1"/>
  <c r="CV124" i="1"/>
  <c r="CW124" i="1"/>
  <c r="CX124" i="1"/>
  <c r="CV125" i="1"/>
  <c r="CW125" i="1"/>
  <c r="CX125" i="1"/>
  <c r="CV126" i="1"/>
  <c r="CW126" i="1"/>
  <c r="CX126" i="1"/>
  <c r="CV127" i="1"/>
  <c r="CW127" i="1"/>
  <c r="CX127" i="1"/>
  <c r="CV128" i="1"/>
  <c r="CW128" i="1"/>
  <c r="CX128" i="1"/>
  <c r="CV129" i="1"/>
  <c r="CW129" i="1"/>
  <c r="CX129" i="1"/>
  <c r="CV130" i="1"/>
  <c r="CW130" i="1"/>
  <c r="CX130" i="1"/>
  <c r="CV131" i="1"/>
  <c r="CW131" i="1"/>
  <c r="CX131" i="1"/>
  <c r="CV132" i="1"/>
  <c r="CW132" i="1"/>
  <c r="CX132" i="1"/>
  <c r="CV133" i="1"/>
  <c r="CW133" i="1"/>
  <c r="CX133" i="1"/>
  <c r="CV134" i="1"/>
  <c r="CW134" i="1"/>
  <c r="CX134" i="1"/>
  <c r="CV135" i="1"/>
  <c r="CW135" i="1"/>
  <c r="CX135" i="1"/>
  <c r="CV136" i="1"/>
  <c r="CW136" i="1"/>
  <c r="CX136" i="1"/>
  <c r="CV137" i="1"/>
  <c r="CW137" i="1"/>
  <c r="CX137" i="1"/>
  <c r="CV138" i="1"/>
  <c r="CW138" i="1"/>
  <c r="CX138" i="1"/>
  <c r="CV139" i="1"/>
  <c r="CW139" i="1"/>
  <c r="CX139" i="1"/>
  <c r="CV140" i="1"/>
  <c r="CW140" i="1"/>
  <c r="CX140" i="1"/>
  <c r="CV141" i="1"/>
  <c r="CW141" i="1"/>
  <c r="CX141" i="1"/>
  <c r="CV142" i="1"/>
  <c r="CW142" i="1"/>
  <c r="CX142" i="1"/>
  <c r="CV143" i="1"/>
  <c r="CW143" i="1"/>
  <c r="CX143" i="1"/>
  <c r="CV144" i="1"/>
  <c r="CW144" i="1"/>
  <c r="CX144" i="1"/>
  <c r="CV145" i="1"/>
  <c r="CW145" i="1"/>
  <c r="CX145" i="1"/>
  <c r="CV146" i="1"/>
  <c r="CW146" i="1"/>
  <c r="CX146" i="1"/>
  <c r="CV147" i="1"/>
  <c r="CW147" i="1"/>
  <c r="CX147" i="1"/>
  <c r="CV148" i="1"/>
  <c r="CW148" i="1"/>
  <c r="CX148" i="1"/>
  <c r="CV149" i="1"/>
  <c r="CW149" i="1"/>
  <c r="CX149" i="1"/>
  <c r="CV150" i="1"/>
  <c r="CW150" i="1"/>
  <c r="CX150" i="1"/>
  <c r="CV151" i="1"/>
  <c r="CW151" i="1"/>
  <c r="CX151" i="1"/>
  <c r="CV152" i="1"/>
  <c r="CW152" i="1"/>
  <c r="CX152" i="1"/>
  <c r="CV153" i="1"/>
  <c r="CW153" i="1"/>
  <c r="CX153" i="1"/>
  <c r="CV154" i="1"/>
  <c r="CW154" i="1"/>
  <c r="CX154" i="1"/>
  <c r="CV155" i="1"/>
  <c r="CW155" i="1"/>
  <c r="CX155" i="1"/>
  <c r="CV156" i="1"/>
  <c r="CW156" i="1"/>
  <c r="CX156" i="1"/>
  <c r="CV157" i="1"/>
  <c r="CW157" i="1"/>
  <c r="CX157" i="1"/>
  <c r="CV158" i="1"/>
  <c r="CW158" i="1"/>
  <c r="CX158" i="1"/>
  <c r="CV159" i="1"/>
  <c r="CW159" i="1"/>
  <c r="CX159" i="1"/>
  <c r="CV160" i="1"/>
  <c r="CW160" i="1"/>
  <c r="CX160" i="1"/>
  <c r="CV161" i="1"/>
  <c r="CW161" i="1"/>
  <c r="CX161" i="1"/>
  <c r="CV162" i="1"/>
  <c r="CW162" i="1"/>
  <c r="CX162" i="1"/>
  <c r="CV163" i="1"/>
  <c r="CW163" i="1"/>
  <c r="CX163" i="1"/>
  <c r="CV164" i="1"/>
  <c r="CW164" i="1"/>
  <c r="CX164" i="1"/>
  <c r="CV165" i="1"/>
  <c r="CW165" i="1"/>
  <c r="CX165" i="1"/>
  <c r="CV166" i="1"/>
  <c r="CW166" i="1"/>
  <c r="CX166" i="1"/>
  <c r="CV167" i="1"/>
  <c r="CW167" i="1"/>
  <c r="CX167" i="1"/>
  <c r="CV168" i="1"/>
  <c r="CW168" i="1"/>
  <c r="CX168" i="1"/>
  <c r="CV169" i="1"/>
  <c r="CW169" i="1"/>
  <c r="CX169" i="1"/>
  <c r="CV170" i="1"/>
  <c r="CW170" i="1"/>
  <c r="CX170" i="1"/>
  <c r="CV171" i="1"/>
  <c r="CW171" i="1"/>
  <c r="CX171" i="1"/>
  <c r="CV172" i="1"/>
  <c r="CW172" i="1"/>
  <c r="CX172" i="1"/>
  <c r="CV173" i="1"/>
  <c r="CW173" i="1"/>
  <c r="CX173" i="1"/>
  <c r="CV174" i="1"/>
  <c r="CW174" i="1"/>
  <c r="CX174" i="1"/>
  <c r="CV175" i="1"/>
  <c r="CW175" i="1"/>
  <c r="CX175" i="1"/>
  <c r="CV176" i="1"/>
  <c r="CW176" i="1"/>
  <c r="CX176" i="1"/>
  <c r="CV177" i="1"/>
  <c r="CW177" i="1"/>
  <c r="CX177" i="1"/>
  <c r="CV178" i="1"/>
  <c r="CW178" i="1"/>
  <c r="CX178" i="1"/>
  <c r="CV179" i="1"/>
  <c r="CW179" i="1"/>
  <c r="CX179" i="1"/>
  <c r="CV180" i="1"/>
  <c r="CW180" i="1"/>
  <c r="CX180" i="1"/>
  <c r="CV181" i="1"/>
  <c r="CW181" i="1"/>
  <c r="CX181" i="1"/>
  <c r="CV182" i="1"/>
  <c r="CW182" i="1"/>
  <c r="CX182" i="1"/>
  <c r="CV183" i="1"/>
  <c r="CW183" i="1"/>
  <c r="CX183" i="1"/>
  <c r="CV184" i="1"/>
  <c r="CW184" i="1"/>
  <c r="CX184" i="1"/>
  <c r="CV185" i="1"/>
  <c r="CW185" i="1"/>
  <c r="CX185" i="1"/>
  <c r="CV186" i="1"/>
  <c r="CW186" i="1"/>
  <c r="CX186" i="1"/>
  <c r="CV187" i="1"/>
  <c r="CW187" i="1"/>
  <c r="CX187" i="1"/>
  <c r="CV188" i="1"/>
  <c r="CW188" i="1"/>
  <c r="CX188" i="1"/>
  <c r="CV189" i="1"/>
  <c r="CW189" i="1"/>
  <c r="CX189" i="1"/>
  <c r="CV190" i="1"/>
  <c r="CW190" i="1"/>
  <c r="CX190" i="1"/>
  <c r="CV191" i="1"/>
  <c r="CW191" i="1"/>
  <c r="CX191" i="1"/>
  <c r="CV192" i="1"/>
  <c r="CW192" i="1"/>
  <c r="CX192" i="1"/>
  <c r="CV193" i="1"/>
  <c r="CW193" i="1"/>
  <c r="CX193" i="1"/>
  <c r="CV194" i="1"/>
  <c r="CW194" i="1"/>
  <c r="CX194" i="1"/>
  <c r="CV195" i="1"/>
  <c r="CW195" i="1"/>
  <c r="CX195" i="1"/>
  <c r="CV196" i="1"/>
  <c r="CW196" i="1"/>
  <c r="CX196" i="1"/>
  <c r="CV197" i="1"/>
  <c r="CW197" i="1"/>
  <c r="CX197" i="1"/>
  <c r="CV198" i="1"/>
  <c r="CW198" i="1"/>
  <c r="CX198" i="1"/>
  <c r="CV199" i="1"/>
  <c r="CW199" i="1"/>
  <c r="CX199" i="1"/>
  <c r="CV200" i="1"/>
  <c r="CW200" i="1"/>
  <c r="CX200" i="1"/>
  <c r="CV201" i="1"/>
  <c r="CW201" i="1"/>
  <c r="CX201" i="1"/>
  <c r="CV202" i="1"/>
  <c r="CW202" i="1"/>
  <c r="CX202" i="1"/>
  <c r="CV4" i="1"/>
  <c r="CW4" i="1"/>
  <c r="CX4" i="1"/>
  <c r="CV5" i="1"/>
  <c r="CW5" i="1"/>
  <c r="CX5" i="1"/>
  <c r="CV6" i="1"/>
  <c r="CW6" i="1"/>
  <c r="CX6" i="1"/>
  <c r="CV7" i="1"/>
  <c r="CW7" i="1"/>
  <c r="CX7" i="1"/>
  <c r="CV8" i="1"/>
  <c r="CW8" i="1"/>
  <c r="CX8" i="1"/>
  <c r="CV9" i="1"/>
  <c r="CW9" i="1"/>
  <c r="CX9" i="1"/>
  <c r="BG4" i="1"/>
  <c r="BH4" i="1"/>
  <c r="BI4" i="1"/>
  <c r="BG5" i="1"/>
  <c r="BH5" i="1"/>
  <c r="BI5" i="1"/>
  <c r="BG6" i="1"/>
  <c r="BH6" i="1"/>
  <c r="BI6" i="1"/>
  <c r="BG7" i="1"/>
  <c r="BH7" i="1"/>
  <c r="BI7" i="1"/>
  <c r="BG8" i="1"/>
  <c r="BH8" i="1"/>
  <c r="BI8" i="1"/>
  <c r="BG9" i="1"/>
  <c r="BH9" i="1"/>
  <c r="BI9" i="1"/>
  <c r="BG10" i="1"/>
  <c r="BH10" i="1"/>
  <c r="BI10" i="1"/>
  <c r="BG11" i="1"/>
  <c r="BH11" i="1"/>
  <c r="BI11" i="1"/>
  <c r="BG12" i="1"/>
  <c r="BH12" i="1"/>
  <c r="BI12" i="1"/>
  <c r="BG13" i="1"/>
  <c r="BH13" i="1"/>
  <c r="BI13" i="1"/>
  <c r="BG14" i="1"/>
  <c r="BH14" i="1"/>
  <c r="BI14" i="1"/>
  <c r="BG15" i="1"/>
  <c r="BH15" i="1"/>
  <c r="BI15" i="1"/>
  <c r="BG16" i="1"/>
  <c r="BH16" i="1"/>
  <c r="BI16" i="1"/>
  <c r="BG17" i="1"/>
  <c r="BH17" i="1"/>
  <c r="BI17" i="1"/>
  <c r="BG18" i="1"/>
  <c r="BH18" i="1"/>
  <c r="BI18" i="1"/>
  <c r="BG19" i="1"/>
  <c r="BH19" i="1"/>
  <c r="BI19" i="1"/>
  <c r="BG20" i="1"/>
  <c r="BH20" i="1"/>
  <c r="BI20" i="1"/>
  <c r="BG21" i="1"/>
  <c r="BH21" i="1"/>
  <c r="BI21" i="1"/>
  <c r="BG22" i="1"/>
  <c r="BH22" i="1"/>
  <c r="BI22" i="1"/>
  <c r="BG23" i="1"/>
  <c r="BH23" i="1"/>
  <c r="BI23" i="1"/>
  <c r="BG24" i="1"/>
  <c r="BH24" i="1"/>
  <c r="BI24" i="1"/>
  <c r="BG25" i="1"/>
  <c r="BH25" i="1"/>
  <c r="BI25" i="1"/>
  <c r="BG26" i="1"/>
  <c r="BH26" i="1"/>
  <c r="BI26" i="1"/>
  <c r="BG27" i="1"/>
  <c r="BH27" i="1"/>
  <c r="BI27" i="1"/>
  <c r="BG28" i="1"/>
  <c r="BH28" i="1"/>
  <c r="BI28" i="1"/>
  <c r="BG29" i="1"/>
  <c r="BH29" i="1"/>
  <c r="BI29" i="1"/>
  <c r="BG30" i="1"/>
  <c r="BH30" i="1"/>
  <c r="BI30" i="1"/>
  <c r="BG31" i="1"/>
  <c r="BH31" i="1"/>
  <c r="BI31" i="1"/>
  <c r="BG32" i="1"/>
  <c r="BH32" i="1"/>
  <c r="BI32" i="1"/>
  <c r="BG33" i="1"/>
  <c r="BH33" i="1"/>
  <c r="BI33" i="1"/>
  <c r="BG34" i="1"/>
  <c r="BH34" i="1"/>
  <c r="BI34" i="1"/>
  <c r="BG35" i="1"/>
  <c r="BH35" i="1"/>
  <c r="BI35" i="1"/>
  <c r="BG36" i="1"/>
  <c r="BH36" i="1"/>
  <c r="BI36" i="1"/>
  <c r="BG37" i="1"/>
  <c r="BH37" i="1"/>
  <c r="BI37" i="1"/>
  <c r="BG38" i="1"/>
  <c r="BH38" i="1"/>
  <c r="BI38" i="1"/>
  <c r="BG39" i="1"/>
  <c r="BH39" i="1"/>
  <c r="BI39" i="1"/>
  <c r="BG40" i="1"/>
  <c r="BH40" i="1"/>
  <c r="BI40" i="1"/>
  <c r="BG41" i="1"/>
  <c r="BH41" i="1"/>
  <c r="BI41" i="1"/>
  <c r="BG42" i="1"/>
  <c r="BH42" i="1"/>
  <c r="BI42" i="1"/>
  <c r="BG43" i="1"/>
  <c r="BH43" i="1"/>
  <c r="BI43" i="1"/>
  <c r="BG44" i="1"/>
  <c r="BH44" i="1"/>
  <c r="BI44" i="1"/>
  <c r="BG45" i="1"/>
  <c r="BH45" i="1"/>
  <c r="BI45" i="1"/>
  <c r="BG46" i="1"/>
  <c r="BH46" i="1"/>
  <c r="BI46" i="1"/>
  <c r="BG47" i="1"/>
  <c r="BH47" i="1"/>
  <c r="BI47" i="1"/>
  <c r="BG48" i="1"/>
  <c r="BH48" i="1"/>
  <c r="BI48" i="1"/>
  <c r="BG49" i="1"/>
  <c r="BH49" i="1"/>
  <c r="BI49" i="1"/>
  <c r="BG50" i="1"/>
  <c r="BH50" i="1"/>
  <c r="BI50" i="1"/>
  <c r="BG51" i="1"/>
  <c r="BH51" i="1"/>
  <c r="BI51" i="1"/>
  <c r="BG52" i="1"/>
  <c r="BH52" i="1"/>
  <c r="BI52" i="1"/>
  <c r="BG53" i="1"/>
  <c r="BH53" i="1"/>
  <c r="BI53" i="1"/>
  <c r="BG54" i="1"/>
  <c r="BH54" i="1"/>
  <c r="BI54" i="1"/>
  <c r="BG55" i="1"/>
  <c r="BH55" i="1"/>
  <c r="BI55" i="1"/>
  <c r="BG56" i="1"/>
  <c r="BH56" i="1"/>
  <c r="BI56" i="1"/>
  <c r="BG57" i="1"/>
  <c r="BH57" i="1"/>
  <c r="BI57" i="1"/>
  <c r="BG58" i="1"/>
  <c r="BH58" i="1"/>
  <c r="BI58" i="1"/>
  <c r="BG59" i="1"/>
  <c r="BH59" i="1"/>
  <c r="BI59" i="1"/>
  <c r="BG60" i="1"/>
  <c r="BH60" i="1"/>
  <c r="BI60" i="1"/>
  <c r="BG61" i="1"/>
  <c r="BH61" i="1"/>
  <c r="BI61" i="1"/>
  <c r="BG62" i="1"/>
  <c r="BH62" i="1"/>
  <c r="BI62" i="1"/>
  <c r="BG63" i="1"/>
  <c r="BH63" i="1"/>
  <c r="BI63" i="1"/>
  <c r="BG64" i="1"/>
  <c r="BH64" i="1"/>
  <c r="BI64" i="1"/>
  <c r="BG65" i="1"/>
  <c r="BH65" i="1"/>
  <c r="BI65" i="1"/>
  <c r="BG66" i="1"/>
  <c r="BH66" i="1"/>
  <c r="BI66" i="1"/>
  <c r="BG67" i="1"/>
  <c r="BH67" i="1"/>
  <c r="BI67" i="1"/>
  <c r="BG68" i="1"/>
  <c r="BH68" i="1"/>
  <c r="BI68" i="1"/>
  <c r="BG69" i="1"/>
  <c r="BH69" i="1"/>
  <c r="BI69" i="1"/>
  <c r="BG70" i="1"/>
  <c r="BH70" i="1"/>
  <c r="BI70" i="1"/>
  <c r="BG71" i="1"/>
  <c r="BH71" i="1"/>
  <c r="BI71" i="1"/>
  <c r="BG72" i="1"/>
  <c r="BH72" i="1"/>
  <c r="BI72" i="1"/>
  <c r="BG73" i="1"/>
  <c r="BH73" i="1"/>
  <c r="BI73" i="1"/>
  <c r="BG74" i="1"/>
  <c r="BH74" i="1"/>
  <c r="BI74" i="1"/>
  <c r="BG75" i="1"/>
  <c r="BH75" i="1"/>
  <c r="BI75" i="1"/>
  <c r="BG76" i="1"/>
  <c r="BH76" i="1"/>
  <c r="BI76" i="1"/>
  <c r="BG77" i="1"/>
  <c r="BH77" i="1"/>
  <c r="BI77" i="1"/>
  <c r="BG78" i="1"/>
  <c r="BH78" i="1"/>
  <c r="BI78" i="1"/>
  <c r="BG79" i="1"/>
  <c r="BH79" i="1"/>
  <c r="BI79" i="1"/>
  <c r="BG80" i="1"/>
  <c r="BH80" i="1"/>
  <c r="BI80" i="1"/>
  <c r="BG81" i="1"/>
  <c r="BH81" i="1"/>
  <c r="BI81" i="1"/>
  <c r="BG82" i="1"/>
  <c r="BH82" i="1"/>
  <c r="BI82" i="1"/>
  <c r="BG83" i="1"/>
  <c r="BH83" i="1"/>
  <c r="BI83" i="1"/>
  <c r="BG84" i="1"/>
  <c r="BH84" i="1"/>
  <c r="BI84" i="1"/>
  <c r="BG85" i="1"/>
  <c r="BH85" i="1"/>
  <c r="BI85" i="1"/>
  <c r="BG86" i="1"/>
  <c r="BH86" i="1"/>
  <c r="BI86" i="1"/>
  <c r="BG87" i="1"/>
  <c r="BH87" i="1"/>
  <c r="BI87" i="1"/>
  <c r="BG88" i="1"/>
  <c r="BH88" i="1"/>
  <c r="BI88" i="1"/>
  <c r="BG89" i="1"/>
  <c r="BH89" i="1"/>
  <c r="BI89" i="1"/>
  <c r="BG90" i="1"/>
  <c r="BH90" i="1"/>
  <c r="BI90" i="1"/>
  <c r="BG91" i="1"/>
  <c r="BH91" i="1"/>
  <c r="BI91" i="1"/>
  <c r="BG92" i="1"/>
  <c r="BH92" i="1"/>
  <c r="BI92" i="1"/>
  <c r="BG93" i="1"/>
  <c r="BH93" i="1"/>
  <c r="BI93" i="1"/>
  <c r="BG94" i="1"/>
  <c r="BH94" i="1"/>
  <c r="BI94" i="1"/>
  <c r="BG95" i="1"/>
  <c r="BH95" i="1"/>
  <c r="BI95" i="1"/>
  <c r="BG96" i="1"/>
  <c r="BH96" i="1"/>
  <c r="BI96" i="1"/>
  <c r="BG97" i="1"/>
  <c r="BH97" i="1"/>
  <c r="BI97" i="1"/>
  <c r="BG98" i="1"/>
  <c r="BH98" i="1"/>
  <c r="BI98" i="1"/>
  <c r="BG99" i="1"/>
  <c r="BH99" i="1"/>
  <c r="BI99" i="1"/>
  <c r="BG100" i="1"/>
  <c r="BH100" i="1"/>
  <c r="BI100" i="1"/>
  <c r="BG101" i="1"/>
  <c r="BH101" i="1"/>
  <c r="BI101" i="1"/>
  <c r="BG102" i="1"/>
  <c r="BH102" i="1"/>
  <c r="BI102" i="1"/>
  <c r="BG103" i="1"/>
  <c r="BH103" i="1"/>
  <c r="BI103" i="1"/>
  <c r="BG104" i="1"/>
  <c r="BH104" i="1"/>
  <c r="BI104" i="1"/>
  <c r="BG105" i="1"/>
  <c r="BH105" i="1"/>
  <c r="BI105" i="1"/>
  <c r="BG106" i="1"/>
  <c r="BH106" i="1"/>
  <c r="BI106" i="1"/>
  <c r="BG107" i="1"/>
  <c r="BH107" i="1"/>
  <c r="BI107" i="1"/>
  <c r="BG108" i="1"/>
  <c r="BH108" i="1"/>
  <c r="BI108" i="1"/>
  <c r="BG109" i="1"/>
  <c r="BH109" i="1"/>
  <c r="BI109" i="1"/>
  <c r="BG110" i="1"/>
  <c r="BH110" i="1"/>
  <c r="BI110" i="1"/>
  <c r="BG111" i="1"/>
  <c r="BH111" i="1"/>
  <c r="BI111" i="1"/>
  <c r="BG112" i="1"/>
  <c r="BH112" i="1"/>
  <c r="BI112" i="1"/>
  <c r="BG113" i="1"/>
  <c r="BH113" i="1"/>
  <c r="BI113" i="1"/>
  <c r="BG114" i="1"/>
  <c r="BH114" i="1"/>
  <c r="BI114" i="1"/>
  <c r="BG115" i="1"/>
  <c r="BH115" i="1"/>
  <c r="BI115" i="1"/>
  <c r="BG116" i="1"/>
  <c r="BH116" i="1"/>
  <c r="BI116" i="1"/>
  <c r="BG117" i="1"/>
  <c r="BH117" i="1"/>
  <c r="BI117" i="1"/>
  <c r="BG118" i="1"/>
  <c r="BH118" i="1"/>
  <c r="BI118" i="1"/>
  <c r="BG119" i="1"/>
  <c r="BH119" i="1"/>
  <c r="BI119" i="1"/>
  <c r="BG120" i="1"/>
  <c r="BH120" i="1"/>
  <c r="BI120" i="1"/>
  <c r="BG121" i="1"/>
  <c r="BH121" i="1"/>
  <c r="BI121" i="1"/>
  <c r="BG122" i="1"/>
  <c r="BH122" i="1"/>
  <c r="BI122" i="1"/>
  <c r="BG123" i="1"/>
  <c r="BH123" i="1"/>
  <c r="BI123" i="1"/>
  <c r="BG124" i="1"/>
  <c r="BH124" i="1"/>
  <c r="BI124" i="1"/>
  <c r="BG125" i="1"/>
  <c r="BH125" i="1"/>
  <c r="BI125" i="1"/>
  <c r="BG126" i="1"/>
  <c r="BH126" i="1"/>
  <c r="BI126" i="1"/>
  <c r="BG127" i="1"/>
  <c r="BH127" i="1"/>
  <c r="BI127" i="1"/>
  <c r="BG128" i="1"/>
  <c r="BH128" i="1"/>
  <c r="BI128" i="1"/>
  <c r="BG129" i="1"/>
  <c r="BH129" i="1"/>
  <c r="BI129" i="1"/>
  <c r="BG130" i="1"/>
  <c r="BH130" i="1"/>
  <c r="BI130" i="1"/>
  <c r="BG131" i="1"/>
  <c r="BH131" i="1"/>
  <c r="BI131" i="1"/>
  <c r="BG132" i="1"/>
  <c r="BH132" i="1"/>
  <c r="BI132" i="1"/>
  <c r="BG133" i="1"/>
  <c r="BH133" i="1"/>
  <c r="BI133" i="1"/>
  <c r="BG134" i="1"/>
  <c r="BH134" i="1"/>
  <c r="BI134" i="1"/>
  <c r="BG135" i="1"/>
  <c r="BH135" i="1"/>
  <c r="BI135" i="1"/>
  <c r="BG136" i="1"/>
  <c r="BH136" i="1"/>
  <c r="BI136" i="1"/>
  <c r="BG137" i="1"/>
  <c r="BH137" i="1"/>
  <c r="BI137" i="1"/>
  <c r="BG138" i="1"/>
  <c r="BH138" i="1"/>
  <c r="BI138" i="1"/>
  <c r="BG139" i="1"/>
  <c r="BH139" i="1"/>
  <c r="BI139" i="1"/>
  <c r="BG140" i="1"/>
  <c r="BH140" i="1"/>
  <c r="BI140" i="1"/>
  <c r="BG141" i="1"/>
  <c r="BH141" i="1"/>
  <c r="BI141" i="1"/>
  <c r="BG142" i="1"/>
  <c r="BH142" i="1"/>
  <c r="BI142" i="1"/>
  <c r="BG143" i="1"/>
  <c r="BH143" i="1"/>
  <c r="BI143" i="1"/>
  <c r="BG144" i="1"/>
  <c r="BH144" i="1"/>
  <c r="BI144" i="1"/>
  <c r="BG145" i="1"/>
  <c r="BH145" i="1"/>
  <c r="BI145" i="1"/>
  <c r="BG146" i="1"/>
  <c r="BH146" i="1"/>
  <c r="BI146" i="1"/>
  <c r="BG147" i="1"/>
  <c r="BH147" i="1"/>
  <c r="BI147" i="1"/>
  <c r="BG148" i="1"/>
  <c r="BH148" i="1"/>
  <c r="BI148" i="1"/>
  <c r="BG149" i="1"/>
  <c r="BH149" i="1"/>
  <c r="BI149" i="1"/>
  <c r="BG150" i="1"/>
  <c r="BH150" i="1"/>
  <c r="BI150" i="1"/>
  <c r="BG151" i="1"/>
  <c r="BH151" i="1"/>
  <c r="BI151" i="1"/>
  <c r="BG152" i="1"/>
  <c r="BH152" i="1"/>
  <c r="BI152" i="1"/>
  <c r="BG153" i="1"/>
  <c r="BH153" i="1"/>
  <c r="BI153" i="1"/>
  <c r="BG154" i="1"/>
  <c r="BH154" i="1"/>
  <c r="BI154" i="1"/>
  <c r="BG155" i="1"/>
  <c r="BH155" i="1"/>
  <c r="BI155" i="1"/>
  <c r="BG156" i="1"/>
  <c r="BH156" i="1"/>
  <c r="BI156" i="1"/>
  <c r="BG157" i="1"/>
  <c r="BH157" i="1"/>
  <c r="BI157" i="1"/>
  <c r="BG158" i="1"/>
  <c r="BH158" i="1"/>
  <c r="BI158" i="1"/>
  <c r="BG159" i="1"/>
  <c r="BH159" i="1"/>
  <c r="BI159" i="1"/>
  <c r="BG160" i="1"/>
  <c r="BH160" i="1"/>
  <c r="BI160" i="1"/>
  <c r="BG161" i="1"/>
  <c r="BH161" i="1"/>
  <c r="BI161" i="1"/>
  <c r="BG162" i="1"/>
  <c r="BH162" i="1"/>
  <c r="BI162" i="1"/>
  <c r="BG163" i="1"/>
  <c r="BH163" i="1"/>
  <c r="BI163" i="1"/>
  <c r="BG164" i="1"/>
  <c r="BH164" i="1"/>
  <c r="BI164" i="1"/>
  <c r="BG165" i="1"/>
  <c r="BH165" i="1"/>
  <c r="BI165" i="1"/>
  <c r="BG166" i="1"/>
  <c r="BH166" i="1"/>
  <c r="BI166" i="1"/>
  <c r="BG167" i="1"/>
  <c r="BH167" i="1"/>
  <c r="BI167" i="1"/>
  <c r="BG168" i="1"/>
  <c r="BH168" i="1"/>
  <c r="BI168" i="1"/>
  <c r="BG169" i="1"/>
  <c r="BH169" i="1"/>
  <c r="BI169" i="1"/>
  <c r="BG170" i="1"/>
  <c r="BH170" i="1"/>
  <c r="BI170" i="1"/>
  <c r="BG171" i="1"/>
  <c r="BH171" i="1"/>
  <c r="BI171" i="1"/>
  <c r="BG172" i="1"/>
  <c r="BH172" i="1"/>
  <c r="BI172" i="1"/>
  <c r="BG173" i="1"/>
  <c r="BH173" i="1"/>
  <c r="BI173" i="1"/>
  <c r="BG174" i="1"/>
  <c r="BH174" i="1"/>
  <c r="BI174" i="1"/>
  <c r="BG175" i="1"/>
  <c r="BH175" i="1"/>
  <c r="BI175" i="1"/>
  <c r="BG176" i="1"/>
  <c r="BH176" i="1"/>
  <c r="BI176" i="1"/>
  <c r="BG177" i="1"/>
  <c r="BH177" i="1"/>
  <c r="BI177" i="1"/>
  <c r="BG178" i="1"/>
  <c r="BH178" i="1"/>
  <c r="BI178" i="1"/>
  <c r="BG179" i="1"/>
  <c r="BH179" i="1"/>
  <c r="BI179" i="1"/>
  <c r="BG180" i="1"/>
  <c r="BH180" i="1"/>
  <c r="BI180" i="1"/>
  <c r="BG181" i="1"/>
  <c r="BH181" i="1"/>
  <c r="BI181" i="1"/>
  <c r="BG182" i="1"/>
  <c r="BH182" i="1"/>
  <c r="BI182" i="1"/>
  <c r="BG183" i="1"/>
  <c r="BH183" i="1"/>
  <c r="BI183" i="1"/>
  <c r="BG184" i="1"/>
  <c r="BH184" i="1"/>
  <c r="BI184" i="1"/>
  <c r="BG185" i="1"/>
  <c r="BH185" i="1"/>
  <c r="BI185" i="1"/>
  <c r="BG186" i="1"/>
  <c r="BH186" i="1"/>
  <c r="BI186" i="1"/>
  <c r="BG187" i="1"/>
  <c r="BH187" i="1"/>
  <c r="BI187" i="1"/>
  <c r="BG188" i="1"/>
  <c r="BH188" i="1"/>
  <c r="BI188" i="1"/>
  <c r="BG189" i="1"/>
  <c r="BH189" i="1"/>
  <c r="BI189" i="1"/>
  <c r="BG190" i="1"/>
  <c r="BH190" i="1"/>
  <c r="BI190" i="1"/>
  <c r="BG191" i="1"/>
  <c r="BH191" i="1"/>
  <c r="BI191" i="1"/>
  <c r="BG192" i="1"/>
  <c r="BH192" i="1"/>
  <c r="BI192" i="1"/>
  <c r="BG193" i="1"/>
  <c r="BH193" i="1"/>
  <c r="BI193" i="1"/>
  <c r="BG194" i="1"/>
  <c r="BH194" i="1"/>
  <c r="BI194" i="1"/>
  <c r="BG195" i="1"/>
  <c r="BH195" i="1"/>
  <c r="BI195" i="1"/>
  <c r="BG196" i="1"/>
  <c r="BH196" i="1"/>
  <c r="BI196" i="1"/>
  <c r="BG197" i="1"/>
  <c r="BH197" i="1"/>
  <c r="BI197" i="1"/>
  <c r="BG198" i="1"/>
  <c r="BH198" i="1"/>
  <c r="BI198" i="1"/>
  <c r="BG199" i="1"/>
  <c r="BH199" i="1"/>
  <c r="BI199" i="1"/>
  <c r="BG200" i="1"/>
  <c r="BH200" i="1"/>
  <c r="BI200" i="1"/>
  <c r="BG201" i="1"/>
  <c r="BH201" i="1"/>
  <c r="BI201" i="1"/>
  <c r="BG202" i="1"/>
  <c r="BH202" i="1"/>
  <c r="BI202" i="1"/>
  <c r="DL4" i="1"/>
  <c r="DM4" i="1"/>
  <c r="DN4" i="1"/>
  <c r="DL5" i="1"/>
  <c r="DM5" i="1"/>
  <c r="DN5" i="1"/>
  <c r="DL6" i="1"/>
  <c r="DM6" i="1"/>
  <c r="DN6" i="1"/>
  <c r="DL7" i="1"/>
  <c r="DM7" i="1"/>
  <c r="DN7" i="1"/>
  <c r="DL8" i="1"/>
  <c r="DM8" i="1"/>
  <c r="DN8" i="1"/>
  <c r="DL9" i="1"/>
  <c r="DM9" i="1"/>
  <c r="DN9" i="1"/>
  <c r="DL10" i="1"/>
  <c r="DM10" i="1"/>
  <c r="DN10" i="1"/>
  <c r="DL11" i="1"/>
  <c r="DM11" i="1"/>
  <c r="DN11" i="1"/>
  <c r="DL12" i="1"/>
  <c r="DM12" i="1"/>
  <c r="DN12" i="1"/>
  <c r="DL13" i="1"/>
  <c r="DM13" i="1"/>
  <c r="DN13" i="1"/>
  <c r="DL14" i="1"/>
  <c r="DM14" i="1"/>
  <c r="DN14" i="1"/>
  <c r="DL15" i="1"/>
  <c r="DM15" i="1"/>
  <c r="DN15" i="1"/>
  <c r="DL16" i="1"/>
  <c r="DM16" i="1"/>
  <c r="DN16" i="1"/>
  <c r="DL17" i="1"/>
  <c r="DM17" i="1"/>
  <c r="DN17" i="1"/>
  <c r="DL18" i="1"/>
  <c r="DM18" i="1"/>
  <c r="DN18" i="1"/>
  <c r="DL19" i="1"/>
  <c r="DM19" i="1"/>
  <c r="DN19" i="1"/>
  <c r="DL20" i="1"/>
  <c r="DM20" i="1"/>
  <c r="DN20" i="1"/>
  <c r="DL21" i="1"/>
  <c r="DM21" i="1"/>
  <c r="DN21" i="1"/>
  <c r="DL22" i="1"/>
  <c r="DM22" i="1"/>
  <c r="DN22" i="1"/>
  <c r="DL23" i="1"/>
  <c r="DM23" i="1"/>
  <c r="DN23" i="1"/>
  <c r="DL24" i="1"/>
  <c r="DM24" i="1"/>
  <c r="DN24" i="1"/>
  <c r="DL25" i="1"/>
  <c r="DM25" i="1"/>
  <c r="DN25" i="1"/>
  <c r="DL26" i="1"/>
  <c r="DM26" i="1"/>
  <c r="DN26" i="1"/>
  <c r="DL27" i="1"/>
  <c r="DM27" i="1"/>
  <c r="DN27" i="1"/>
  <c r="DL28" i="1"/>
  <c r="DM28" i="1"/>
  <c r="DN28" i="1"/>
  <c r="DL29" i="1"/>
  <c r="DM29" i="1"/>
  <c r="DN29" i="1"/>
  <c r="DL30" i="1"/>
  <c r="DM30" i="1"/>
  <c r="DN30" i="1"/>
  <c r="DL31" i="1"/>
  <c r="DM31" i="1"/>
  <c r="DN31" i="1"/>
  <c r="DL32" i="1"/>
  <c r="DM32" i="1"/>
  <c r="DN32" i="1"/>
  <c r="DL33" i="1"/>
  <c r="DM33" i="1"/>
  <c r="DN33" i="1"/>
  <c r="DL34" i="1"/>
  <c r="DM34" i="1"/>
  <c r="DN34" i="1"/>
  <c r="DL35" i="1"/>
  <c r="DM35" i="1"/>
  <c r="DN35" i="1"/>
  <c r="DL36" i="1"/>
  <c r="DM36" i="1"/>
  <c r="DN36" i="1"/>
  <c r="DL37" i="1"/>
  <c r="DM37" i="1"/>
  <c r="DN37" i="1"/>
  <c r="DL38" i="1"/>
  <c r="DM38" i="1"/>
  <c r="DN38" i="1"/>
  <c r="DL39" i="1"/>
  <c r="DM39" i="1"/>
  <c r="DN39" i="1"/>
  <c r="DL40" i="1"/>
  <c r="DM40" i="1"/>
  <c r="DN40" i="1"/>
  <c r="DL41" i="1"/>
  <c r="DM41" i="1"/>
  <c r="DN41" i="1"/>
  <c r="DL42" i="1"/>
  <c r="DM42" i="1"/>
  <c r="DN42" i="1"/>
  <c r="DL43" i="1"/>
  <c r="DM43" i="1"/>
  <c r="DN43" i="1"/>
  <c r="DL44" i="1"/>
  <c r="DM44" i="1"/>
  <c r="DN44" i="1"/>
  <c r="DL45" i="1"/>
  <c r="DM45" i="1"/>
  <c r="DN45" i="1"/>
  <c r="DL46" i="1"/>
  <c r="DM46" i="1"/>
  <c r="DN46" i="1"/>
  <c r="DL47" i="1"/>
  <c r="DM47" i="1"/>
  <c r="DN47" i="1"/>
  <c r="DL48" i="1"/>
  <c r="DM48" i="1"/>
  <c r="DN48" i="1"/>
  <c r="DL49" i="1"/>
  <c r="DM49" i="1"/>
  <c r="DN49" i="1"/>
  <c r="DL50" i="1"/>
  <c r="DM50" i="1"/>
  <c r="DN50" i="1"/>
  <c r="DL51" i="1"/>
  <c r="DM51" i="1"/>
  <c r="DN51" i="1"/>
  <c r="DL52" i="1"/>
  <c r="DM52" i="1"/>
  <c r="DN52" i="1"/>
  <c r="DL53" i="1"/>
  <c r="DM53" i="1"/>
  <c r="DN53" i="1"/>
  <c r="DL54" i="1"/>
  <c r="DM54" i="1"/>
  <c r="DN54" i="1"/>
  <c r="DL55" i="1"/>
  <c r="DM55" i="1"/>
  <c r="DN55" i="1"/>
  <c r="DL56" i="1"/>
  <c r="DM56" i="1"/>
  <c r="DN56" i="1"/>
  <c r="DL57" i="1"/>
  <c r="DM57" i="1"/>
  <c r="DN57" i="1"/>
  <c r="DL58" i="1"/>
  <c r="DM58" i="1"/>
  <c r="DN58" i="1"/>
  <c r="DL59" i="1"/>
  <c r="DM59" i="1"/>
  <c r="DN59" i="1"/>
  <c r="DL60" i="1"/>
  <c r="DM60" i="1"/>
  <c r="DN60" i="1"/>
  <c r="DL61" i="1"/>
  <c r="DM61" i="1"/>
  <c r="DN61" i="1"/>
  <c r="DL62" i="1"/>
  <c r="DM62" i="1"/>
  <c r="DN62" i="1"/>
  <c r="DL63" i="1"/>
  <c r="DM63" i="1"/>
  <c r="DN63" i="1"/>
  <c r="DL64" i="1"/>
  <c r="DM64" i="1"/>
  <c r="DN64" i="1"/>
  <c r="DL65" i="1"/>
  <c r="DM65" i="1"/>
  <c r="DN65" i="1"/>
  <c r="DL66" i="1"/>
  <c r="DM66" i="1"/>
  <c r="DN66" i="1"/>
  <c r="DL67" i="1"/>
  <c r="DM67" i="1"/>
  <c r="DN67" i="1"/>
  <c r="DL68" i="1"/>
  <c r="DM68" i="1"/>
  <c r="DN68" i="1"/>
  <c r="DL69" i="1"/>
  <c r="DM69" i="1"/>
  <c r="DN69" i="1"/>
  <c r="DL70" i="1"/>
  <c r="DM70" i="1"/>
  <c r="DN70" i="1"/>
  <c r="DL71" i="1"/>
  <c r="DM71" i="1"/>
  <c r="DN71" i="1"/>
  <c r="DL72" i="1"/>
  <c r="DM72" i="1"/>
  <c r="DN72" i="1"/>
  <c r="DL73" i="1"/>
  <c r="DM73" i="1"/>
  <c r="DN73" i="1"/>
  <c r="DL74" i="1"/>
  <c r="DM74" i="1"/>
  <c r="DN74" i="1"/>
  <c r="DL75" i="1"/>
  <c r="DM75" i="1"/>
  <c r="DN75" i="1"/>
  <c r="DL76" i="1"/>
  <c r="DM76" i="1"/>
  <c r="DN76" i="1"/>
  <c r="DL77" i="1"/>
  <c r="DM77" i="1"/>
  <c r="DN77" i="1"/>
  <c r="DL78" i="1"/>
  <c r="DM78" i="1"/>
  <c r="DN78" i="1"/>
  <c r="DL79" i="1"/>
  <c r="DM79" i="1"/>
  <c r="DN79" i="1"/>
  <c r="DL80" i="1"/>
  <c r="DM80" i="1"/>
  <c r="DN80" i="1"/>
  <c r="DL81" i="1"/>
  <c r="DM81" i="1"/>
  <c r="DN81" i="1"/>
  <c r="DL82" i="1"/>
  <c r="DM82" i="1"/>
  <c r="DN82" i="1"/>
  <c r="DL83" i="1"/>
  <c r="DM83" i="1"/>
  <c r="DN83" i="1"/>
  <c r="DL84" i="1"/>
  <c r="DM84" i="1"/>
  <c r="DN84" i="1"/>
  <c r="DL85" i="1"/>
  <c r="DM85" i="1"/>
  <c r="DN85" i="1"/>
  <c r="DL86" i="1"/>
  <c r="DM86" i="1"/>
  <c r="DN86" i="1"/>
  <c r="DL87" i="1"/>
  <c r="DM87" i="1"/>
  <c r="DN87" i="1"/>
  <c r="DL88" i="1"/>
  <c r="DM88" i="1"/>
  <c r="DN88" i="1"/>
  <c r="DL89" i="1"/>
  <c r="DM89" i="1"/>
  <c r="DN89" i="1"/>
  <c r="DL90" i="1"/>
  <c r="DM90" i="1"/>
  <c r="DN90" i="1"/>
  <c r="DL91" i="1"/>
  <c r="DM91" i="1"/>
  <c r="DN91" i="1"/>
  <c r="DL92" i="1"/>
  <c r="DM92" i="1"/>
  <c r="DN92" i="1"/>
  <c r="DL93" i="1"/>
  <c r="DM93" i="1"/>
  <c r="DN93" i="1"/>
  <c r="DL94" i="1"/>
  <c r="DM94" i="1"/>
  <c r="DN94" i="1"/>
  <c r="DL95" i="1"/>
  <c r="DM95" i="1"/>
  <c r="DN95" i="1"/>
  <c r="DL96" i="1"/>
  <c r="DM96" i="1"/>
  <c r="DN96" i="1"/>
  <c r="DL97" i="1"/>
  <c r="DM97" i="1"/>
  <c r="DN97" i="1"/>
  <c r="DL98" i="1"/>
  <c r="DM98" i="1"/>
  <c r="DN98" i="1"/>
  <c r="DL99" i="1"/>
  <c r="DM99" i="1"/>
  <c r="DN99" i="1"/>
  <c r="DL100" i="1"/>
  <c r="DM100" i="1"/>
  <c r="DN100" i="1"/>
  <c r="DL101" i="1"/>
  <c r="DM101" i="1"/>
  <c r="DN101" i="1"/>
  <c r="DL102" i="1"/>
  <c r="DM102" i="1"/>
  <c r="DN102" i="1"/>
  <c r="DL103" i="1"/>
  <c r="DM103" i="1"/>
  <c r="DN103" i="1"/>
  <c r="DL104" i="1"/>
  <c r="DM104" i="1"/>
  <c r="DN104" i="1"/>
  <c r="DL105" i="1"/>
  <c r="DM105" i="1"/>
  <c r="DN105" i="1"/>
  <c r="DL106" i="1"/>
  <c r="DM106" i="1"/>
  <c r="DN106" i="1"/>
  <c r="DL107" i="1"/>
  <c r="DM107" i="1"/>
  <c r="DN107" i="1"/>
  <c r="DL108" i="1"/>
  <c r="DM108" i="1"/>
  <c r="DN108" i="1"/>
  <c r="DL109" i="1"/>
  <c r="DM109" i="1"/>
  <c r="DN109" i="1"/>
  <c r="DL110" i="1"/>
  <c r="DM110" i="1"/>
  <c r="DN110" i="1"/>
  <c r="DL111" i="1"/>
  <c r="DM111" i="1"/>
  <c r="DN111" i="1"/>
  <c r="DL112" i="1"/>
  <c r="DM112" i="1"/>
  <c r="DN112" i="1"/>
  <c r="DL113" i="1"/>
  <c r="DM113" i="1"/>
  <c r="DN113" i="1"/>
  <c r="DL114" i="1"/>
  <c r="DM114" i="1"/>
  <c r="DN114" i="1"/>
  <c r="DL115" i="1"/>
  <c r="DM115" i="1"/>
  <c r="DN115" i="1"/>
  <c r="DL116" i="1"/>
  <c r="DM116" i="1"/>
  <c r="DN116" i="1"/>
  <c r="DL117" i="1"/>
  <c r="DM117" i="1"/>
  <c r="DN117" i="1"/>
  <c r="DL118" i="1"/>
  <c r="DM118" i="1"/>
  <c r="DN118" i="1"/>
  <c r="DL119" i="1"/>
  <c r="DM119" i="1"/>
  <c r="DN119" i="1"/>
  <c r="DL120" i="1"/>
  <c r="DM120" i="1"/>
  <c r="DN120" i="1"/>
  <c r="DL121" i="1"/>
  <c r="DM121" i="1"/>
  <c r="DN121" i="1"/>
  <c r="DL122" i="1"/>
  <c r="DM122" i="1"/>
  <c r="DN122" i="1"/>
  <c r="DL123" i="1"/>
  <c r="DM123" i="1"/>
  <c r="DN123" i="1"/>
  <c r="DL124" i="1"/>
  <c r="DM124" i="1"/>
  <c r="DN124" i="1"/>
  <c r="DL125" i="1"/>
  <c r="DM125" i="1"/>
  <c r="DN125" i="1"/>
  <c r="DL126" i="1"/>
  <c r="DM126" i="1"/>
  <c r="DN126" i="1"/>
  <c r="DL127" i="1"/>
  <c r="DM127" i="1"/>
  <c r="DN127" i="1"/>
  <c r="DL128" i="1"/>
  <c r="DM128" i="1"/>
  <c r="DN128" i="1"/>
  <c r="DL129" i="1"/>
  <c r="DM129" i="1"/>
  <c r="DN129" i="1"/>
  <c r="DL130" i="1"/>
  <c r="DM130" i="1"/>
  <c r="DN130" i="1"/>
  <c r="DL131" i="1"/>
  <c r="DM131" i="1"/>
  <c r="DN131" i="1"/>
  <c r="DL132" i="1"/>
  <c r="DM132" i="1"/>
  <c r="DN132" i="1"/>
  <c r="DL133" i="1"/>
  <c r="DM133" i="1"/>
  <c r="DN133" i="1"/>
  <c r="DL134" i="1"/>
  <c r="DM134" i="1"/>
  <c r="DN134" i="1"/>
  <c r="DL135" i="1"/>
  <c r="DM135" i="1"/>
  <c r="DN135" i="1"/>
  <c r="DL136" i="1"/>
  <c r="DM136" i="1"/>
  <c r="DN136" i="1"/>
  <c r="DL137" i="1"/>
  <c r="DM137" i="1"/>
  <c r="DN137" i="1"/>
  <c r="DL138" i="1"/>
  <c r="DM138" i="1"/>
  <c r="DN138" i="1"/>
  <c r="DL139" i="1"/>
  <c r="DM139" i="1"/>
  <c r="DN139" i="1"/>
  <c r="DL140" i="1"/>
  <c r="DM140" i="1"/>
  <c r="DN140" i="1"/>
  <c r="DL141" i="1"/>
  <c r="DM141" i="1"/>
  <c r="DN141" i="1"/>
  <c r="DL142" i="1"/>
  <c r="DM142" i="1"/>
  <c r="DN142" i="1"/>
  <c r="DL143" i="1"/>
  <c r="DM143" i="1"/>
  <c r="DN143" i="1"/>
  <c r="DL144" i="1"/>
  <c r="DM144" i="1"/>
  <c r="DN144" i="1"/>
  <c r="DL145" i="1"/>
  <c r="DM145" i="1"/>
  <c r="DN145" i="1"/>
  <c r="DL146" i="1"/>
  <c r="DM146" i="1"/>
  <c r="DN146" i="1"/>
  <c r="DL147" i="1"/>
  <c r="DM147" i="1"/>
  <c r="DN147" i="1"/>
  <c r="DL148" i="1"/>
  <c r="DM148" i="1"/>
  <c r="DN148" i="1"/>
  <c r="DL149" i="1"/>
  <c r="DM149" i="1"/>
  <c r="DN149" i="1"/>
  <c r="DL150" i="1"/>
  <c r="DM150" i="1"/>
  <c r="DN150" i="1"/>
  <c r="DL151" i="1"/>
  <c r="DM151" i="1"/>
  <c r="DN151" i="1"/>
  <c r="DL152" i="1"/>
  <c r="DM152" i="1"/>
  <c r="DN152" i="1"/>
  <c r="DL153" i="1"/>
  <c r="DM153" i="1"/>
  <c r="DN153" i="1"/>
  <c r="DL154" i="1"/>
  <c r="DM154" i="1"/>
  <c r="DN154" i="1"/>
  <c r="DL155" i="1"/>
  <c r="DM155" i="1"/>
  <c r="DN155" i="1"/>
  <c r="DL156" i="1"/>
  <c r="DM156" i="1"/>
  <c r="DN156" i="1"/>
  <c r="DL157" i="1"/>
  <c r="DM157" i="1"/>
  <c r="DN157" i="1"/>
  <c r="DL158" i="1"/>
  <c r="DM158" i="1"/>
  <c r="DN158" i="1"/>
  <c r="DL159" i="1"/>
  <c r="DM159" i="1"/>
  <c r="DN159" i="1"/>
  <c r="DL160" i="1"/>
  <c r="DM160" i="1"/>
  <c r="DN160" i="1"/>
  <c r="DL161" i="1"/>
  <c r="DM161" i="1"/>
  <c r="DN161" i="1"/>
  <c r="DL162" i="1"/>
  <c r="DM162" i="1"/>
  <c r="DN162" i="1"/>
  <c r="DL163" i="1"/>
  <c r="DM163" i="1"/>
  <c r="DN163" i="1"/>
  <c r="DL164" i="1"/>
  <c r="DM164" i="1"/>
  <c r="DN164" i="1"/>
  <c r="DL165" i="1"/>
  <c r="DM165" i="1"/>
  <c r="DN165" i="1"/>
  <c r="DL166" i="1"/>
  <c r="DM166" i="1"/>
  <c r="DN166" i="1"/>
  <c r="DL167" i="1"/>
  <c r="DM167" i="1"/>
  <c r="DN167" i="1"/>
  <c r="DL168" i="1"/>
  <c r="DM168" i="1"/>
  <c r="DN168" i="1"/>
  <c r="DL169" i="1"/>
  <c r="DM169" i="1"/>
  <c r="DN169" i="1"/>
  <c r="DL170" i="1"/>
  <c r="DM170" i="1"/>
  <c r="DN170" i="1"/>
  <c r="DL171" i="1"/>
  <c r="DM171" i="1"/>
  <c r="DN171" i="1"/>
  <c r="DL172" i="1"/>
  <c r="DM172" i="1"/>
  <c r="DN172" i="1"/>
  <c r="DL173" i="1"/>
  <c r="DM173" i="1"/>
  <c r="DN173" i="1"/>
  <c r="DL174" i="1"/>
  <c r="DM174" i="1"/>
  <c r="DN174" i="1"/>
  <c r="DL175" i="1"/>
  <c r="DM175" i="1"/>
  <c r="DN175" i="1"/>
  <c r="DL176" i="1"/>
  <c r="DM176" i="1"/>
  <c r="DN176" i="1"/>
  <c r="DL177" i="1"/>
  <c r="DM177" i="1"/>
  <c r="DN177" i="1"/>
  <c r="DL178" i="1"/>
  <c r="DM178" i="1"/>
  <c r="DN178" i="1"/>
  <c r="DL179" i="1"/>
  <c r="DM179" i="1"/>
  <c r="DN179" i="1"/>
  <c r="DL180" i="1"/>
  <c r="DM180" i="1"/>
  <c r="DN180" i="1"/>
  <c r="DL181" i="1"/>
  <c r="DM181" i="1"/>
  <c r="DN181" i="1"/>
  <c r="DL182" i="1"/>
  <c r="DM182" i="1"/>
  <c r="DN182" i="1"/>
  <c r="DL183" i="1"/>
  <c r="DM183" i="1"/>
  <c r="DN183" i="1"/>
  <c r="DL184" i="1"/>
  <c r="DM184" i="1"/>
  <c r="DN184" i="1"/>
  <c r="DL185" i="1"/>
  <c r="DM185" i="1"/>
  <c r="DN185" i="1"/>
  <c r="DL186" i="1"/>
  <c r="DM186" i="1"/>
  <c r="DN186" i="1"/>
  <c r="DL187" i="1"/>
  <c r="DM187" i="1"/>
  <c r="DN187" i="1"/>
  <c r="DL188" i="1"/>
  <c r="DM188" i="1"/>
  <c r="DN188" i="1"/>
  <c r="DL189" i="1"/>
  <c r="DM189" i="1"/>
  <c r="DN189" i="1"/>
  <c r="DL190" i="1"/>
  <c r="DM190" i="1"/>
  <c r="DN190" i="1"/>
  <c r="DL191" i="1"/>
  <c r="DM191" i="1"/>
  <c r="DN191" i="1"/>
  <c r="DL192" i="1"/>
  <c r="DM192" i="1"/>
  <c r="DN192" i="1"/>
  <c r="DL193" i="1"/>
  <c r="DM193" i="1"/>
  <c r="DN193" i="1"/>
  <c r="DL194" i="1"/>
  <c r="DM194" i="1"/>
  <c r="DN194" i="1"/>
  <c r="DL195" i="1"/>
  <c r="DM195" i="1"/>
  <c r="DN195" i="1"/>
  <c r="DL196" i="1"/>
  <c r="DM196" i="1"/>
  <c r="DN196" i="1"/>
  <c r="DL197" i="1"/>
  <c r="DM197" i="1"/>
  <c r="DN197" i="1"/>
  <c r="DL198" i="1"/>
  <c r="DM198" i="1"/>
  <c r="DN198" i="1"/>
  <c r="DL199" i="1"/>
  <c r="DM199" i="1"/>
  <c r="DN199" i="1"/>
  <c r="DL200" i="1"/>
  <c r="DM200" i="1"/>
  <c r="DN200" i="1"/>
  <c r="DL201" i="1"/>
  <c r="DM201" i="1"/>
  <c r="DN201" i="1"/>
  <c r="DL202" i="1"/>
  <c r="DM202" i="1"/>
  <c r="DN202" i="1"/>
  <c r="DL3" i="1"/>
  <c r="DM3" i="1"/>
  <c r="DN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H4" i="1"/>
  <c r="DH5" i="1"/>
  <c r="DH6" i="1"/>
  <c r="DH7" i="1"/>
  <c r="DH8" i="1"/>
  <c r="DH9" i="1"/>
  <c r="DH10" i="1"/>
  <c r="DH11" i="1"/>
  <c r="DH12" i="1"/>
  <c r="DH13" i="1"/>
  <c r="DH14" i="1"/>
  <c r="DH15" i="1"/>
  <c r="DH16" i="1"/>
  <c r="DH17" i="1"/>
  <c r="DH18" i="1"/>
  <c r="DH19" i="1"/>
  <c r="DH20" i="1"/>
  <c r="DH21" i="1"/>
  <c r="DH22" i="1"/>
  <c r="DH23" i="1"/>
  <c r="DH24" i="1"/>
  <c r="DH25" i="1"/>
  <c r="DH26" i="1"/>
  <c r="DH27" i="1"/>
  <c r="DH28" i="1"/>
  <c r="DH29" i="1"/>
  <c r="DH30" i="1"/>
  <c r="DH31" i="1"/>
  <c r="DH32" i="1"/>
  <c r="DH33" i="1"/>
  <c r="DH34" i="1"/>
  <c r="DH35" i="1"/>
  <c r="DH36" i="1"/>
  <c r="DH37" i="1"/>
  <c r="DH38" i="1"/>
  <c r="DH39" i="1"/>
  <c r="DH40" i="1"/>
  <c r="DH41" i="1"/>
  <c r="DH42" i="1"/>
  <c r="DH43" i="1"/>
  <c r="DH44" i="1"/>
  <c r="DH45" i="1"/>
  <c r="DH46" i="1"/>
  <c r="DH47" i="1"/>
  <c r="DH48" i="1"/>
  <c r="DH49" i="1"/>
  <c r="DH50" i="1"/>
  <c r="DH51" i="1"/>
  <c r="DH52" i="1"/>
  <c r="DH53" i="1"/>
  <c r="DH54" i="1"/>
  <c r="DH55" i="1"/>
  <c r="DH56" i="1"/>
  <c r="DH57" i="1"/>
  <c r="DH58" i="1"/>
  <c r="DH59" i="1"/>
  <c r="DH60" i="1"/>
  <c r="DH61" i="1"/>
  <c r="DH62" i="1"/>
  <c r="DH63" i="1"/>
  <c r="DH64" i="1"/>
  <c r="DH65" i="1"/>
  <c r="DH66" i="1"/>
  <c r="DH67" i="1"/>
  <c r="DH68" i="1"/>
  <c r="DH69" i="1"/>
  <c r="DH70" i="1"/>
  <c r="DH71" i="1"/>
  <c r="DH72" i="1"/>
  <c r="DH73" i="1"/>
  <c r="DH74" i="1"/>
  <c r="DH75" i="1"/>
  <c r="DH76" i="1"/>
  <c r="DH77" i="1"/>
  <c r="DH78" i="1"/>
  <c r="DH79" i="1"/>
  <c r="DH80" i="1"/>
  <c r="DH81" i="1"/>
  <c r="DH82" i="1"/>
  <c r="DH83" i="1"/>
  <c r="DH84" i="1"/>
  <c r="DH85" i="1"/>
  <c r="DH86" i="1"/>
  <c r="DH87" i="1"/>
  <c r="DH88" i="1"/>
  <c r="DH89" i="1"/>
  <c r="DH90" i="1"/>
  <c r="DH91" i="1"/>
  <c r="DH92" i="1"/>
  <c r="DH93" i="1"/>
  <c r="DH94" i="1"/>
  <c r="DH95" i="1"/>
  <c r="DH96" i="1"/>
  <c r="DH97" i="1"/>
  <c r="DH98" i="1"/>
  <c r="DH99" i="1"/>
  <c r="DH100" i="1"/>
  <c r="DH101" i="1"/>
  <c r="DH102" i="1"/>
  <c r="DH103" i="1"/>
  <c r="DH104" i="1"/>
  <c r="DH105" i="1"/>
  <c r="DH106" i="1"/>
  <c r="DH107" i="1"/>
  <c r="DH108" i="1"/>
  <c r="DH109" i="1"/>
  <c r="DH110" i="1"/>
  <c r="DH111" i="1"/>
  <c r="DH112" i="1"/>
  <c r="DH113" i="1"/>
  <c r="DH114" i="1"/>
  <c r="DH115" i="1"/>
  <c r="DH116" i="1"/>
  <c r="DH117" i="1"/>
  <c r="DH118" i="1"/>
  <c r="DH119" i="1"/>
  <c r="DH120" i="1"/>
  <c r="DH121" i="1"/>
  <c r="DH122" i="1"/>
  <c r="DH123" i="1"/>
  <c r="DH124" i="1"/>
  <c r="DH125" i="1"/>
  <c r="DH126" i="1"/>
  <c r="DH127" i="1"/>
  <c r="DH128" i="1"/>
  <c r="DH129" i="1"/>
  <c r="DH130" i="1"/>
  <c r="DH131" i="1"/>
  <c r="DH132" i="1"/>
  <c r="DH133" i="1"/>
  <c r="DH134" i="1"/>
  <c r="DH135" i="1"/>
  <c r="DH136" i="1"/>
  <c r="DH137" i="1"/>
  <c r="DH138" i="1"/>
  <c r="DH139" i="1"/>
  <c r="DH140" i="1"/>
  <c r="DH141" i="1"/>
  <c r="DH142" i="1"/>
  <c r="DH143" i="1"/>
  <c r="DH144" i="1"/>
  <c r="DH145" i="1"/>
  <c r="DH146" i="1"/>
  <c r="DH147" i="1"/>
  <c r="DH148" i="1"/>
  <c r="DH149" i="1"/>
  <c r="DH150" i="1"/>
  <c r="DH151" i="1"/>
  <c r="DH152" i="1"/>
  <c r="DH153" i="1"/>
  <c r="DH154" i="1"/>
  <c r="DH155" i="1"/>
  <c r="DH156" i="1"/>
  <c r="DH157" i="1"/>
  <c r="DH158" i="1"/>
  <c r="DH159" i="1"/>
  <c r="DH160" i="1"/>
  <c r="DH161" i="1"/>
  <c r="DH162" i="1"/>
  <c r="DH163" i="1"/>
  <c r="DH164" i="1"/>
  <c r="DH165" i="1"/>
  <c r="DH166" i="1"/>
  <c r="DH167" i="1"/>
  <c r="DH168" i="1"/>
  <c r="DH169" i="1"/>
  <c r="DH170" i="1"/>
  <c r="DH171" i="1"/>
  <c r="DH172" i="1"/>
  <c r="DH173" i="1"/>
  <c r="DH174" i="1"/>
  <c r="DH175" i="1"/>
  <c r="DH176" i="1"/>
  <c r="DH177" i="1"/>
  <c r="DH178" i="1"/>
  <c r="DH179" i="1"/>
  <c r="DH180" i="1"/>
  <c r="DH181" i="1"/>
  <c r="DH182" i="1"/>
  <c r="DH183" i="1"/>
  <c r="DH184" i="1"/>
  <c r="DH185" i="1"/>
  <c r="DH186" i="1"/>
  <c r="DH187" i="1"/>
  <c r="DH188" i="1"/>
  <c r="DH189" i="1"/>
  <c r="DH190" i="1"/>
  <c r="DH191" i="1"/>
  <c r="DH192" i="1"/>
  <c r="DH193" i="1"/>
  <c r="DH194" i="1"/>
  <c r="DH195" i="1"/>
  <c r="DH196" i="1"/>
  <c r="DH197" i="1"/>
  <c r="DH198" i="1"/>
  <c r="DH199" i="1"/>
  <c r="DH200" i="1"/>
  <c r="DH201" i="1"/>
  <c r="DH202" i="1"/>
  <c r="DH3" i="1"/>
  <c r="DJ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3" i="1"/>
  <c r="DD3" i="1"/>
  <c r="DE3" i="1"/>
  <c r="DF3" i="1"/>
  <c r="CZ3" i="1"/>
  <c r="DA3" i="1"/>
  <c r="DB3" i="1"/>
  <c r="CV3" i="1"/>
  <c r="CW3" i="1"/>
  <c r="CX3" i="1"/>
  <c r="CS3" i="1"/>
  <c r="CT3" i="1"/>
  <c r="CN4" i="1"/>
  <c r="CO4" i="1"/>
  <c r="CP4" i="1"/>
  <c r="CN5" i="1"/>
  <c r="CO5" i="1"/>
  <c r="CP5" i="1"/>
  <c r="CN6" i="1"/>
  <c r="CO6" i="1"/>
  <c r="CP6" i="1"/>
  <c r="CN7" i="1"/>
  <c r="CO7" i="1"/>
  <c r="CP7" i="1"/>
  <c r="CN8" i="1"/>
  <c r="CO8" i="1"/>
  <c r="CP8" i="1"/>
  <c r="CN9" i="1"/>
  <c r="CO9" i="1"/>
  <c r="CP9" i="1"/>
  <c r="CN10" i="1"/>
  <c r="CO10" i="1"/>
  <c r="CP10" i="1"/>
  <c r="CN11" i="1"/>
  <c r="CO11" i="1"/>
  <c r="CP11" i="1"/>
  <c r="CN12" i="1"/>
  <c r="CO12" i="1"/>
  <c r="CP12" i="1"/>
  <c r="CN13" i="1"/>
  <c r="CO13" i="1"/>
  <c r="CP13" i="1"/>
  <c r="CN14" i="1"/>
  <c r="CO14" i="1"/>
  <c r="CP14" i="1"/>
  <c r="CN15" i="1"/>
  <c r="CO15" i="1"/>
  <c r="CP15" i="1"/>
  <c r="CN16" i="1"/>
  <c r="CO16" i="1"/>
  <c r="CP16" i="1"/>
  <c r="CN17" i="1"/>
  <c r="CO17" i="1"/>
  <c r="CP17" i="1"/>
  <c r="CN18" i="1"/>
  <c r="CO18" i="1"/>
  <c r="CP18" i="1"/>
  <c r="CN19" i="1"/>
  <c r="CO19" i="1"/>
  <c r="CP19" i="1"/>
  <c r="CN20" i="1"/>
  <c r="CO20" i="1"/>
  <c r="CP20" i="1"/>
  <c r="CN21" i="1"/>
  <c r="CO21" i="1"/>
  <c r="CP21" i="1"/>
  <c r="CN22" i="1"/>
  <c r="CO22" i="1"/>
  <c r="CP22" i="1"/>
  <c r="CN23" i="1"/>
  <c r="CO23" i="1"/>
  <c r="CP23" i="1"/>
  <c r="CN24" i="1"/>
  <c r="CO24" i="1"/>
  <c r="CP24" i="1"/>
  <c r="CN25" i="1"/>
  <c r="CO25" i="1"/>
  <c r="CP25" i="1"/>
  <c r="CN26" i="1"/>
  <c r="CO26" i="1"/>
  <c r="CP26" i="1"/>
  <c r="CN27" i="1"/>
  <c r="CO27" i="1"/>
  <c r="CP27" i="1"/>
  <c r="CN28" i="1"/>
  <c r="CO28" i="1"/>
  <c r="CP28" i="1"/>
  <c r="CN29" i="1"/>
  <c r="CO29" i="1"/>
  <c r="CP29" i="1"/>
  <c r="CN30" i="1"/>
  <c r="CO30" i="1"/>
  <c r="CP30" i="1"/>
  <c r="CN31" i="1"/>
  <c r="CO31" i="1"/>
  <c r="CP31" i="1"/>
  <c r="CN32" i="1"/>
  <c r="CO32" i="1"/>
  <c r="CP32" i="1"/>
  <c r="CN33" i="1"/>
  <c r="CO33" i="1"/>
  <c r="CP33" i="1"/>
  <c r="CN34" i="1"/>
  <c r="CO34" i="1"/>
  <c r="CP34" i="1"/>
  <c r="CN35" i="1"/>
  <c r="CO35" i="1"/>
  <c r="CP35" i="1"/>
  <c r="CN36" i="1"/>
  <c r="CO36" i="1"/>
  <c r="CP36" i="1"/>
  <c r="CN37" i="1"/>
  <c r="CO37" i="1"/>
  <c r="CP37" i="1"/>
  <c r="CN38" i="1"/>
  <c r="CO38" i="1"/>
  <c r="CP38" i="1"/>
  <c r="CN39" i="1"/>
  <c r="CO39" i="1"/>
  <c r="CP39" i="1"/>
  <c r="CN40" i="1"/>
  <c r="CO40" i="1"/>
  <c r="CP40" i="1"/>
  <c r="CN41" i="1"/>
  <c r="CO41" i="1"/>
  <c r="CP41" i="1"/>
  <c r="CN42" i="1"/>
  <c r="CO42" i="1"/>
  <c r="CP42" i="1"/>
  <c r="CN43" i="1"/>
  <c r="CO43" i="1"/>
  <c r="CP43" i="1"/>
  <c r="CN44" i="1"/>
  <c r="CO44" i="1"/>
  <c r="CP44" i="1"/>
  <c r="CN45" i="1"/>
  <c r="CO45" i="1"/>
  <c r="CP45" i="1"/>
  <c r="CN46" i="1"/>
  <c r="CO46" i="1"/>
  <c r="CP46" i="1"/>
  <c r="CN47" i="1"/>
  <c r="CO47" i="1"/>
  <c r="CP47" i="1"/>
  <c r="CN48" i="1"/>
  <c r="CO48" i="1"/>
  <c r="CP48" i="1"/>
  <c r="CN49" i="1"/>
  <c r="CO49" i="1"/>
  <c r="CP49" i="1"/>
  <c r="CN50" i="1"/>
  <c r="CO50" i="1"/>
  <c r="CP50" i="1"/>
  <c r="CN51" i="1"/>
  <c r="CO51" i="1"/>
  <c r="CP51" i="1"/>
  <c r="CN52" i="1"/>
  <c r="CO52" i="1"/>
  <c r="CP52" i="1"/>
  <c r="CN53" i="1"/>
  <c r="CO53" i="1"/>
  <c r="CP53" i="1"/>
  <c r="CN54" i="1"/>
  <c r="CO54" i="1"/>
  <c r="CP54" i="1"/>
  <c r="CN55" i="1"/>
  <c r="CO55" i="1"/>
  <c r="CP55" i="1"/>
  <c r="CN56" i="1"/>
  <c r="CO56" i="1"/>
  <c r="CP56" i="1"/>
  <c r="CN57" i="1"/>
  <c r="CO57" i="1"/>
  <c r="CP57" i="1"/>
  <c r="CN58" i="1"/>
  <c r="CO58" i="1"/>
  <c r="CP58" i="1"/>
  <c r="CN59" i="1"/>
  <c r="CO59" i="1"/>
  <c r="CP59" i="1"/>
  <c r="CN60" i="1"/>
  <c r="CO60" i="1"/>
  <c r="CP60" i="1"/>
  <c r="CN61" i="1"/>
  <c r="CO61" i="1"/>
  <c r="CP61" i="1"/>
  <c r="CN62" i="1"/>
  <c r="CO62" i="1"/>
  <c r="CP62" i="1"/>
  <c r="CN63" i="1"/>
  <c r="CO63" i="1"/>
  <c r="CP63" i="1"/>
  <c r="CN64" i="1"/>
  <c r="CO64" i="1"/>
  <c r="CP64" i="1"/>
  <c r="CN65" i="1"/>
  <c r="CO65" i="1"/>
  <c r="CP65" i="1"/>
  <c r="CN66" i="1"/>
  <c r="CO66" i="1"/>
  <c r="CP66" i="1"/>
  <c r="CN67" i="1"/>
  <c r="CO67" i="1"/>
  <c r="CP67" i="1"/>
  <c r="CN68" i="1"/>
  <c r="CO68" i="1"/>
  <c r="CP68" i="1"/>
  <c r="CN69" i="1"/>
  <c r="CO69" i="1"/>
  <c r="CP69" i="1"/>
  <c r="CN70" i="1"/>
  <c r="CO70" i="1"/>
  <c r="CP70" i="1"/>
  <c r="CN71" i="1"/>
  <c r="CO71" i="1"/>
  <c r="CP71" i="1"/>
  <c r="CN72" i="1"/>
  <c r="CO72" i="1"/>
  <c r="CP72" i="1"/>
  <c r="CN73" i="1"/>
  <c r="CO73" i="1"/>
  <c r="CP73" i="1"/>
  <c r="CN74" i="1"/>
  <c r="CO74" i="1"/>
  <c r="CP74" i="1"/>
  <c r="CN75" i="1"/>
  <c r="CO75" i="1"/>
  <c r="CP75" i="1"/>
  <c r="CN76" i="1"/>
  <c r="CO76" i="1"/>
  <c r="CP76" i="1"/>
  <c r="CN77" i="1"/>
  <c r="CO77" i="1"/>
  <c r="CP77" i="1"/>
  <c r="CN78" i="1"/>
  <c r="CO78" i="1"/>
  <c r="CP78" i="1"/>
  <c r="CN79" i="1"/>
  <c r="CO79" i="1"/>
  <c r="CP79" i="1"/>
  <c r="CN80" i="1"/>
  <c r="CO80" i="1"/>
  <c r="CP80" i="1"/>
  <c r="CN81" i="1"/>
  <c r="CO81" i="1"/>
  <c r="CP81" i="1"/>
  <c r="CN82" i="1"/>
  <c r="CO82" i="1"/>
  <c r="CP82" i="1"/>
  <c r="CN83" i="1"/>
  <c r="CO83" i="1"/>
  <c r="CP83" i="1"/>
  <c r="CN84" i="1"/>
  <c r="CO84" i="1"/>
  <c r="CP84" i="1"/>
  <c r="CN85" i="1"/>
  <c r="CO85" i="1"/>
  <c r="CP85" i="1"/>
  <c r="CN86" i="1"/>
  <c r="CO86" i="1"/>
  <c r="CP86" i="1"/>
  <c r="CN87" i="1"/>
  <c r="CO87" i="1"/>
  <c r="CP87" i="1"/>
  <c r="CN88" i="1"/>
  <c r="CO88" i="1"/>
  <c r="CP88" i="1"/>
  <c r="CN89" i="1"/>
  <c r="CO89" i="1"/>
  <c r="CP89" i="1"/>
  <c r="CN90" i="1"/>
  <c r="CO90" i="1"/>
  <c r="CP90" i="1"/>
  <c r="CN91" i="1"/>
  <c r="CO91" i="1"/>
  <c r="CP91" i="1"/>
  <c r="CN92" i="1"/>
  <c r="CO92" i="1"/>
  <c r="CP92" i="1"/>
  <c r="CN93" i="1"/>
  <c r="CO93" i="1"/>
  <c r="CP93" i="1"/>
  <c r="CN94" i="1"/>
  <c r="CO94" i="1"/>
  <c r="CP94" i="1"/>
  <c r="CN95" i="1"/>
  <c r="CO95" i="1"/>
  <c r="CP95" i="1"/>
  <c r="CN96" i="1"/>
  <c r="CO96" i="1"/>
  <c r="CP96" i="1"/>
  <c r="CN97" i="1"/>
  <c r="CO97" i="1"/>
  <c r="CP97" i="1"/>
  <c r="CN98" i="1"/>
  <c r="CO98" i="1"/>
  <c r="CP98" i="1"/>
  <c r="CN99" i="1"/>
  <c r="CO99" i="1"/>
  <c r="CP99" i="1"/>
  <c r="CN100" i="1"/>
  <c r="CO100" i="1"/>
  <c r="CP100" i="1"/>
  <c r="CN101" i="1"/>
  <c r="CO101" i="1"/>
  <c r="CP101" i="1"/>
  <c r="CN102" i="1"/>
  <c r="CO102" i="1"/>
  <c r="CP102" i="1"/>
  <c r="CN103" i="1"/>
  <c r="CO103" i="1"/>
  <c r="CP103" i="1"/>
  <c r="CN104" i="1"/>
  <c r="CO104" i="1"/>
  <c r="CP104" i="1"/>
  <c r="CN105" i="1"/>
  <c r="CO105" i="1"/>
  <c r="CP105" i="1"/>
  <c r="CN106" i="1"/>
  <c r="CO106" i="1"/>
  <c r="CP106" i="1"/>
  <c r="CN107" i="1"/>
  <c r="CO107" i="1"/>
  <c r="CP107" i="1"/>
  <c r="CN108" i="1"/>
  <c r="CO108" i="1"/>
  <c r="CP108" i="1"/>
  <c r="CN109" i="1"/>
  <c r="CO109" i="1"/>
  <c r="CP109" i="1"/>
  <c r="CN110" i="1"/>
  <c r="CO110" i="1"/>
  <c r="CP110" i="1"/>
  <c r="CN111" i="1"/>
  <c r="CO111" i="1"/>
  <c r="CP111" i="1"/>
  <c r="CN112" i="1"/>
  <c r="CO112" i="1"/>
  <c r="CP112" i="1"/>
  <c r="CN113" i="1"/>
  <c r="CO113" i="1"/>
  <c r="CP113" i="1"/>
  <c r="CN114" i="1"/>
  <c r="CO114" i="1"/>
  <c r="CP114" i="1"/>
  <c r="CN115" i="1"/>
  <c r="CO115" i="1"/>
  <c r="CP115" i="1"/>
  <c r="CN116" i="1"/>
  <c r="CO116" i="1"/>
  <c r="CP116" i="1"/>
  <c r="CN117" i="1"/>
  <c r="CO117" i="1"/>
  <c r="CP117" i="1"/>
  <c r="CN118" i="1"/>
  <c r="CO118" i="1"/>
  <c r="CP118" i="1"/>
  <c r="CN119" i="1"/>
  <c r="CO119" i="1"/>
  <c r="CP119" i="1"/>
  <c r="CN120" i="1"/>
  <c r="CO120" i="1"/>
  <c r="CP120" i="1"/>
  <c r="CN121" i="1"/>
  <c r="CO121" i="1"/>
  <c r="CP121" i="1"/>
  <c r="CN122" i="1"/>
  <c r="CO122" i="1"/>
  <c r="CP122" i="1"/>
  <c r="CN123" i="1"/>
  <c r="CO123" i="1"/>
  <c r="CP123" i="1"/>
  <c r="CN124" i="1"/>
  <c r="CO124" i="1"/>
  <c r="CP124" i="1"/>
  <c r="CN125" i="1"/>
  <c r="CO125" i="1"/>
  <c r="CP125" i="1"/>
  <c r="CN126" i="1"/>
  <c r="CO126" i="1"/>
  <c r="CP126" i="1"/>
  <c r="CN127" i="1"/>
  <c r="CO127" i="1"/>
  <c r="CP127" i="1"/>
  <c r="CN128" i="1"/>
  <c r="CO128" i="1"/>
  <c r="CP128" i="1"/>
  <c r="CN129" i="1"/>
  <c r="CO129" i="1"/>
  <c r="CP129" i="1"/>
  <c r="CN130" i="1"/>
  <c r="CO130" i="1"/>
  <c r="CP130" i="1"/>
  <c r="CN131" i="1"/>
  <c r="CO131" i="1"/>
  <c r="CP131" i="1"/>
  <c r="CN132" i="1"/>
  <c r="CO132" i="1"/>
  <c r="CP132" i="1"/>
  <c r="CN133" i="1"/>
  <c r="CO133" i="1"/>
  <c r="CP133" i="1"/>
  <c r="CN134" i="1"/>
  <c r="CO134" i="1"/>
  <c r="CP134" i="1"/>
  <c r="CN135" i="1"/>
  <c r="CO135" i="1"/>
  <c r="CP135" i="1"/>
  <c r="CN136" i="1"/>
  <c r="CO136" i="1"/>
  <c r="CP136" i="1"/>
  <c r="CN137" i="1"/>
  <c r="CO137" i="1"/>
  <c r="CP137" i="1"/>
  <c r="CN138" i="1"/>
  <c r="CO138" i="1"/>
  <c r="CP138" i="1"/>
  <c r="CN139" i="1"/>
  <c r="CO139" i="1"/>
  <c r="CP139" i="1"/>
  <c r="CN140" i="1"/>
  <c r="CO140" i="1"/>
  <c r="CP140" i="1"/>
  <c r="CN141" i="1"/>
  <c r="CO141" i="1"/>
  <c r="CP141" i="1"/>
  <c r="CN142" i="1"/>
  <c r="CO142" i="1"/>
  <c r="CP142" i="1"/>
  <c r="CN143" i="1"/>
  <c r="CO143" i="1"/>
  <c r="CP143" i="1"/>
  <c r="CN144" i="1"/>
  <c r="CO144" i="1"/>
  <c r="CP144" i="1"/>
  <c r="CN145" i="1"/>
  <c r="CO145" i="1"/>
  <c r="CP145" i="1"/>
  <c r="CN146" i="1"/>
  <c r="CO146" i="1"/>
  <c r="CP146" i="1"/>
  <c r="CN147" i="1"/>
  <c r="CO147" i="1"/>
  <c r="CP147" i="1"/>
  <c r="CN148" i="1"/>
  <c r="CO148" i="1"/>
  <c r="CP148" i="1"/>
  <c r="CN149" i="1"/>
  <c r="CO149" i="1"/>
  <c r="CP149" i="1"/>
  <c r="CN150" i="1"/>
  <c r="CO150" i="1"/>
  <c r="CP150" i="1"/>
  <c r="CN151" i="1"/>
  <c r="CO151" i="1"/>
  <c r="CP151" i="1"/>
  <c r="CN152" i="1"/>
  <c r="CO152" i="1"/>
  <c r="CP152" i="1"/>
  <c r="CN153" i="1"/>
  <c r="CO153" i="1"/>
  <c r="CP153" i="1"/>
  <c r="CN154" i="1"/>
  <c r="CO154" i="1"/>
  <c r="CP154" i="1"/>
  <c r="CN155" i="1"/>
  <c r="CO155" i="1"/>
  <c r="CP155" i="1"/>
  <c r="CN156" i="1"/>
  <c r="CO156" i="1"/>
  <c r="CP156" i="1"/>
  <c r="CN157" i="1"/>
  <c r="CO157" i="1"/>
  <c r="CP157" i="1"/>
  <c r="CN158" i="1"/>
  <c r="CO158" i="1"/>
  <c r="CP158" i="1"/>
  <c r="CN159" i="1"/>
  <c r="CO159" i="1"/>
  <c r="CP159" i="1"/>
  <c r="CN160" i="1"/>
  <c r="CO160" i="1"/>
  <c r="CP160" i="1"/>
  <c r="CN161" i="1"/>
  <c r="CO161" i="1"/>
  <c r="CP161" i="1"/>
  <c r="CN162" i="1"/>
  <c r="CO162" i="1"/>
  <c r="CP162" i="1"/>
  <c r="CN163" i="1"/>
  <c r="CO163" i="1"/>
  <c r="CP163" i="1"/>
  <c r="CN164" i="1"/>
  <c r="CO164" i="1"/>
  <c r="CP164" i="1"/>
  <c r="CN165" i="1"/>
  <c r="CO165" i="1"/>
  <c r="CP165" i="1"/>
  <c r="CN166" i="1"/>
  <c r="CO166" i="1"/>
  <c r="CP166" i="1"/>
  <c r="CN167" i="1"/>
  <c r="CO167" i="1"/>
  <c r="CP167" i="1"/>
  <c r="CN168" i="1"/>
  <c r="CO168" i="1"/>
  <c r="CP168" i="1"/>
  <c r="CN169" i="1"/>
  <c r="CO169" i="1"/>
  <c r="CP169" i="1"/>
  <c r="CN170" i="1"/>
  <c r="CO170" i="1"/>
  <c r="CP170" i="1"/>
  <c r="CN171" i="1"/>
  <c r="CO171" i="1"/>
  <c r="CP171" i="1"/>
  <c r="CN172" i="1"/>
  <c r="CO172" i="1"/>
  <c r="CP172" i="1"/>
  <c r="CN173" i="1"/>
  <c r="CO173" i="1"/>
  <c r="CP173" i="1"/>
  <c r="CN174" i="1"/>
  <c r="CO174" i="1"/>
  <c r="CP174" i="1"/>
  <c r="CN175" i="1"/>
  <c r="CO175" i="1"/>
  <c r="CP175" i="1"/>
  <c r="CN176" i="1"/>
  <c r="CO176" i="1"/>
  <c r="CP176" i="1"/>
  <c r="CN177" i="1"/>
  <c r="CO177" i="1"/>
  <c r="CP177" i="1"/>
  <c r="CN178" i="1"/>
  <c r="CO178" i="1"/>
  <c r="CP178" i="1"/>
  <c r="CN179" i="1"/>
  <c r="CO179" i="1"/>
  <c r="CP179" i="1"/>
  <c r="CN180" i="1"/>
  <c r="CO180" i="1"/>
  <c r="CP180" i="1"/>
  <c r="CN181" i="1"/>
  <c r="CO181" i="1"/>
  <c r="CP181" i="1"/>
  <c r="CN182" i="1"/>
  <c r="CO182" i="1"/>
  <c r="CP182" i="1"/>
  <c r="CN183" i="1"/>
  <c r="CO183" i="1"/>
  <c r="CP183" i="1"/>
  <c r="CN184" i="1"/>
  <c r="CO184" i="1"/>
  <c r="CP184" i="1"/>
  <c r="CN185" i="1"/>
  <c r="CO185" i="1"/>
  <c r="CP185" i="1"/>
  <c r="CN186" i="1"/>
  <c r="CO186" i="1"/>
  <c r="CP186" i="1"/>
  <c r="CN187" i="1"/>
  <c r="CO187" i="1"/>
  <c r="CP187" i="1"/>
  <c r="CN188" i="1"/>
  <c r="CO188" i="1"/>
  <c r="CP188" i="1"/>
  <c r="CN189" i="1"/>
  <c r="CO189" i="1"/>
  <c r="CP189" i="1"/>
  <c r="CN190" i="1"/>
  <c r="CO190" i="1"/>
  <c r="CP190" i="1"/>
  <c r="CN191" i="1"/>
  <c r="CO191" i="1"/>
  <c r="CP191" i="1"/>
  <c r="CN192" i="1"/>
  <c r="CO192" i="1"/>
  <c r="CP192" i="1"/>
  <c r="CN193" i="1"/>
  <c r="CO193" i="1"/>
  <c r="CP193" i="1"/>
  <c r="CN194" i="1"/>
  <c r="CO194" i="1"/>
  <c r="CP194" i="1"/>
  <c r="CN195" i="1"/>
  <c r="CO195" i="1"/>
  <c r="CP195" i="1"/>
  <c r="CN196" i="1"/>
  <c r="CO196" i="1"/>
  <c r="CP196" i="1"/>
  <c r="CN197" i="1"/>
  <c r="CO197" i="1"/>
  <c r="CP197" i="1"/>
  <c r="CN198" i="1"/>
  <c r="CO198" i="1"/>
  <c r="CP198" i="1"/>
  <c r="CN199" i="1"/>
  <c r="CO199" i="1"/>
  <c r="CP199" i="1"/>
  <c r="CN200" i="1"/>
  <c r="CO200" i="1"/>
  <c r="CP200" i="1"/>
  <c r="CN201" i="1"/>
  <c r="CO201" i="1"/>
  <c r="CP201" i="1"/>
  <c r="CN202" i="1"/>
  <c r="CO202" i="1"/>
  <c r="CP202" i="1"/>
  <c r="CN3" i="1"/>
  <c r="CO3" i="1"/>
  <c r="CP3" i="1"/>
  <c r="CH4" i="1"/>
  <c r="CI4" i="1"/>
  <c r="CJ4" i="1"/>
  <c r="CK4" i="1"/>
  <c r="CL4" i="1"/>
  <c r="CH5" i="1"/>
  <c r="CI5" i="1"/>
  <c r="CJ5" i="1"/>
  <c r="CK5" i="1"/>
  <c r="CL5" i="1"/>
  <c r="CH6" i="1"/>
  <c r="CI6" i="1"/>
  <c r="CJ6" i="1"/>
  <c r="CK6" i="1"/>
  <c r="CL6" i="1"/>
  <c r="CH7" i="1"/>
  <c r="CI7" i="1"/>
  <c r="CJ7" i="1"/>
  <c r="CK7" i="1"/>
  <c r="CL7" i="1"/>
  <c r="CH8" i="1"/>
  <c r="CI8" i="1"/>
  <c r="CJ8" i="1"/>
  <c r="CK8" i="1"/>
  <c r="CL8" i="1"/>
  <c r="CH9" i="1"/>
  <c r="CI9" i="1"/>
  <c r="CJ9" i="1"/>
  <c r="CK9" i="1"/>
  <c r="CL9" i="1"/>
  <c r="CH10" i="1"/>
  <c r="CI10" i="1"/>
  <c r="CJ10" i="1"/>
  <c r="CK10" i="1"/>
  <c r="CL10" i="1"/>
  <c r="CH11" i="1"/>
  <c r="CI11" i="1"/>
  <c r="CJ11" i="1"/>
  <c r="CK11" i="1"/>
  <c r="CL11" i="1"/>
  <c r="CH12" i="1"/>
  <c r="CI12" i="1"/>
  <c r="CJ12" i="1"/>
  <c r="CK12" i="1"/>
  <c r="CL12" i="1"/>
  <c r="CH13" i="1"/>
  <c r="CI13" i="1"/>
  <c r="CJ13" i="1"/>
  <c r="CK13" i="1"/>
  <c r="CL13" i="1"/>
  <c r="CH14" i="1"/>
  <c r="CI14" i="1"/>
  <c r="CJ14" i="1"/>
  <c r="CK14" i="1"/>
  <c r="CL14" i="1"/>
  <c r="CH15" i="1"/>
  <c r="CI15" i="1"/>
  <c r="CJ15" i="1"/>
  <c r="CK15" i="1"/>
  <c r="CL15" i="1"/>
  <c r="CH16" i="1"/>
  <c r="CI16" i="1"/>
  <c r="CJ16" i="1"/>
  <c r="CK16" i="1"/>
  <c r="CL16" i="1"/>
  <c r="CH17" i="1"/>
  <c r="CI17" i="1"/>
  <c r="CJ17" i="1"/>
  <c r="CK17" i="1"/>
  <c r="CL17" i="1"/>
  <c r="CH18" i="1"/>
  <c r="CI18" i="1"/>
  <c r="CJ18" i="1"/>
  <c r="CK18" i="1"/>
  <c r="CL18" i="1"/>
  <c r="CH19" i="1"/>
  <c r="CI19" i="1"/>
  <c r="CJ19" i="1"/>
  <c r="CK19" i="1"/>
  <c r="CL19" i="1"/>
  <c r="CH20" i="1"/>
  <c r="CI20" i="1"/>
  <c r="CJ20" i="1"/>
  <c r="CK20" i="1"/>
  <c r="CL20" i="1"/>
  <c r="CH21" i="1"/>
  <c r="CI21" i="1"/>
  <c r="CJ21" i="1"/>
  <c r="CK21" i="1"/>
  <c r="CL21" i="1"/>
  <c r="CH22" i="1"/>
  <c r="CI22" i="1"/>
  <c r="CJ22" i="1"/>
  <c r="CK22" i="1"/>
  <c r="CL22" i="1"/>
  <c r="CH23" i="1"/>
  <c r="CI23" i="1"/>
  <c r="CJ23" i="1"/>
  <c r="CK23" i="1"/>
  <c r="CL23" i="1"/>
  <c r="CH24" i="1"/>
  <c r="CI24" i="1"/>
  <c r="CJ24" i="1"/>
  <c r="CK24" i="1"/>
  <c r="CL24" i="1"/>
  <c r="CH25" i="1"/>
  <c r="CI25" i="1"/>
  <c r="CJ25" i="1"/>
  <c r="CK25" i="1"/>
  <c r="CL25" i="1"/>
  <c r="CH26" i="1"/>
  <c r="CI26" i="1"/>
  <c r="CJ26" i="1"/>
  <c r="CK26" i="1"/>
  <c r="CL26" i="1"/>
  <c r="CH27" i="1"/>
  <c r="CI27" i="1"/>
  <c r="CJ27" i="1"/>
  <c r="CK27" i="1"/>
  <c r="CL27" i="1"/>
  <c r="CH28" i="1"/>
  <c r="CI28" i="1"/>
  <c r="CJ28" i="1"/>
  <c r="CK28" i="1"/>
  <c r="CL28" i="1"/>
  <c r="CH29" i="1"/>
  <c r="CI29" i="1"/>
  <c r="CJ29" i="1"/>
  <c r="CK29" i="1"/>
  <c r="CL29" i="1"/>
  <c r="CH30" i="1"/>
  <c r="CI30" i="1"/>
  <c r="CJ30" i="1"/>
  <c r="CK30" i="1"/>
  <c r="CL30" i="1"/>
  <c r="CH31" i="1"/>
  <c r="CI31" i="1"/>
  <c r="CJ31" i="1"/>
  <c r="CK31" i="1"/>
  <c r="CL31" i="1"/>
  <c r="CH32" i="1"/>
  <c r="CI32" i="1"/>
  <c r="CJ32" i="1"/>
  <c r="CK32" i="1"/>
  <c r="CL32" i="1"/>
  <c r="CH33" i="1"/>
  <c r="CI33" i="1"/>
  <c r="CJ33" i="1"/>
  <c r="CK33" i="1"/>
  <c r="CL33" i="1"/>
  <c r="CH34" i="1"/>
  <c r="CI34" i="1"/>
  <c r="CJ34" i="1"/>
  <c r="CK34" i="1"/>
  <c r="CL34" i="1"/>
  <c r="CH35" i="1"/>
  <c r="CI35" i="1"/>
  <c r="CJ35" i="1"/>
  <c r="CK35" i="1"/>
  <c r="CL35" i="1"/>
  <c r="CH36" i="1"/>
  <c r="CI36" i="1"/>
  <c r="CJ36" i="1"/>
  <c r="CK36" i="1"/>
  <c r="CL36" i="1"/>
  <c r="CH37" i="1"/>
  <c r="CI37" i="1"/>
  <c r="CJ37" i="1"/>
  <c r="CK37" i="1"/>
  <c r="CL37" i="1"/>
  <c r="CH38" i="1"/>
  <c r="CI38" i="1"/>
  <c r="CJ38" i="1"/>
  <c r="CK38" i="1"/>
  <c r="CL38" i="1"/>
  <c r="CH39" i="1"/>
  <c r="CI39" i="1"/>
  <c r="CJ39" i="1"/>
  <c r="CK39" i="1"/>
  <c r="CL39" i="1"/>
  <c r="CH40" i="1"/>
  <c r="CI40" i="1"/>
  <c r="CJ40" i="1"/>
  <c r="CK40" i="1"/>
  <c r="CL40" i="1"/>
  <c r="CH41" i="1"/>
  <c r="CI41" i="1"/>
  <c r="CJ41" i="1"/>
  <c r="CK41" i="1"/>
  <c r="CL41" i="1"/>
  <c r="CH42" i="1"/>
  <c r="CI42" i="1"/>
  <c r="CJ42" i="1"/>
  <c r="CK42" i="1"/>
  <c r="CL42" i="1"/>
  <c r="CH43" i="1"/>
  <c r="CI43" i="1"/>
  <c r="CJ43" i="1"/>
  <c r="CK43" i="1"/>
  <c r="CL43" i="1"/>
  <c r="CH44" i="1"/>
  <c r="CI44" i="1"/>
  <c r="CJ44" i="1"/>
  <c r="CK44" i="1"/>
  <c r="CL44" i="1"/>
  <c r="CH45" i="1"/>
  <c r="CI45" i="1"/>
  <c r="CJ45" i="1"/>
  <c r="CK45" i="1"/>
  <c r="CL45" i="1"/>
  <c r="CH46" i="1"/>
  <c r="CI46" i="1"/>
  <c r="CJ46" i="1"/>
  <c r="CK46" i="1"/>
  <c r="CL46" i="1"/>
  <c r="CH47" i="1"/>
  <c r="CI47" i="1"/>
  <c r="CJ47" i="1"/>
  <c r="CK47" i="1"/>
  <c r="CL47" i="1"/>
  <c r="CH48" i="1"/>
  <c r="CI48" i="1"/>
  <c r="CJ48" i="1"/>
  <c r="CK48" i="1"/>
  <c r="CL48" i="1"/>
  <c r="CH49" i="1"/>
  <c r="CI49" i="1"/>
  <c r="CJ49" i="1"/>
  <c r="CK49" i="1"/>
  <c r="CL49" i="1"/>
  <c r="CH50" i="1"/>
  <c r="CI50" i="1"/>
  <c r="CJ50" i="1"/>
  <c r="CK50" i="1"/>
  <c r="CL50" i="1"/>
  <c r="CH51" i="1"/>
  <c r="CI51" i="1"/>
  <c r="CJ51" i="1"/>
  <c r="CK51" i="1"/>
  <c r="CL51" i="1"/>
  <c r="CH52" i="1"/>
  <c r="CI52" i="1"/>
  <c r="CJ52" i="1"/>
  <c r="CK52" i="1"/>
  <c r="CL52" i="1"/>
  <c r="CH53" i="1"/>
  <c r="CI53" i="1"/>
  <c r="CJ53" i="1"/>
  <c r="CK53" i="1"/>
  <c r="CL53" i="1"/>
  <c r="CH54" i="1"/>
  <c r="CI54" i="1"/>
  <c r="CJ54" i="1"/>
  <c r="CK54" i="1"/>
  <c r="CL54" i="1"/>
  <c r="CH55" i="1"/>
  <c r="CI55" i="1"/>
  <c r="CJ55" i="1"/>
  <c r="CK55" i="1"/>
  <c r="CL55" i="1"/>
  <c r="CH56" i="1"/>
  <c r="CI56" i="1"/>
  <c r="CJ56" i="1"/>
  <c r="CK56" i="1"/>
  <c r="CL56" i="1"/>
  <c r="CH57" i="1"/>
  <c r="CI57" i="1"/>
  <c r="CJ57" i="1"/>
  <c r="CK57" i="1"/>
  <c r="CL57" i="1"/>
  <c r="CH58" i="1"/>
  <c r="CI58" i="1"/>
  <c r="CJ58" i="1"/>
  <c r="CK58" i="1"/>
  <c r="CL58" i="1"/>
  <c r="CH59" i="1"/>
  <c r="CI59" i="1"/>
  <c r="CJ59" i="1"/>
  <c r="CK59" i="1"/>
  <c r="CL59" i="1"/>
  <c r="CH60" i="1"/>
  <c r="CI60" i="1"/>
  <c r="CJ60" i="1"/>
  <c r="CK60" i="1"/>
  <c r="CL60" i="1"/>
  <c r="CH61" i="1"/>
  <c r="CI61" i="1"/>
  <c r="CJ61" i="1"/>
  <c r="CK61" i="1"/>
  <c r="CL61" i="1"/>
  <c r="CH62" i="1"/>
  <c r="CI62" i="1"/>
  <c r="CJ62" i="1"/>
  <c r="CK62" i="1"/>
  <c r="CL62" i="1"/>
  <c r="CH63" i="1"/>
  <c r="CI63" i="1"/>
  <c r="CJ63" i="1"/>
  <c r="CK63" i="1"/>
  <c r="CL63" i="1"/>
  <c r="CH64" i="1"/>
  <c r="CI64" i="1"/>
  <c r="CJ64" i="1"/>
  <c r="CK64" i="1"/>
  <c r="CL64" i="1"/>
  <c r="CH65" i="1"/>
  <c r="CI65" i="1"/>
  <c r="CJ65" i="1"/>
  <c r="CK65" i="1"/>
  <c r="CL65" i="1"/>
  <c r="CH66" i="1"/>
  <c r="CI66" i="1"/>
  <c r="CJ66" i="1"/>
  <c r="CK66" i="1"/>
  <c r="CL66" i="1"/>
  <c r="CH67" i="1"/>
  <c r="CI67" i="1"/>
  <c r="CJ67" i="1"/>
  <c r="CK67" i="1"/>
  <c r="CL67" i="1"/>
  <c r="CH68" i="1"/>
  <c r="CI68" i="1"/>
  <c r="CJ68" i="1"/>
  <c r="CK68" i="1"/>
  <c r="CL68" i="1"/>
  <c r="CH69" i="1"/>
  <c r="CI69" i="1"/>
  <c r="CJ69" i="1"/>
  <c r="CK69" i="1"/>
  <c r="CL69" i="1"/>
  <c r="CH70" i="1"/>
  <c r="CI70" i="1"/>
  <c r="CJ70" i="1"/>
  <c r="CK70" i="1"/>
  <c r="CL70" i="1"/>
  <c r="CH71" i="1"/>
  <c r="CI71" i="1"/>
  <c r="CJ71" i="1"/>
  <c r="CK71" i="1"/>
  <c r="CL71" i="1"/>
  <c r="CH72" i="1"/>
  <c r="CI72" i="1"/>
  <c r="CJ72" i="1"/>
  <c r="CK72" i="1"/>
  <c r="CL72" i="1"/>
  <c r="CH73" i="1"/>
  <c r="CI73" i="1"/>
  <c r="CJ73" i="1"/>
  <c r="CK73" i="1"/>
  <c r="CL73" i="1"/>
  <c r="CH74" i="1"/>
  <c r="CI74" i="1"/>
  <c r="CJ74" i="1"/>
  <c r="CK74" i="1"/>
  <c r="CL74" i="1"/>
  <c r="CH75" i="1"/>
  <c r="CI75" i="1"/>
  <c r="CJ75" i="1"/>
  <c r="CK75" i="1"/>
  <c r="CL75" i="1"/>
  <c r="CH76" i="1"/>
  <c r="CI76" i="1"/>
  <c r="CJ76" i="1"/>
  <c r="CK76" i="1"/>
  <c r="CL76" i="1"/>
  <c r="CH77" i="1"/>
  <c r="CI77" i="1"/>
  <c r="CJ77" i="1"/>
  <c r="CK77" i="1"/>
  <c r="CL77" i="1"/>
  <c r="CH78" i="1"/>
  <c r="CI78" i="1"/>
  <c r="CJ78" i="1"/>
  <c r="CK78" i="1"/>
  <c r="CL78" i="1"/>
  <c r="CH79" i="1"/>
  <c r="CI79" i="1"/>
  <c r="CJ79" i="1"/>
  <c r="CK79" i="1"/>
  <c r="CL79" i="1"/>
  <c r="CH80" i="1"/>
  <c r="CI80" i="1"/>
  <c r="CJ80" i="1"/>
  <c r="CK80" i="1"/>
  <c r="CL80" i="1"/>
  <c r="CH81" i="1"/>
  <c r="CI81" i="1"/>
  <c r="CJ81" i="1"/>
  <c r="CK81" i="1"/>
  <c r="CL81" i="1"/>
  <c r="CH82" i="1"/>
  <c r="CI82" i="1"/>
  <c r="CJ82" i="1"/>
  <c r="CK82" i="1"/>
  <c r="CL82" i="1"/>
  <c r="CH83" i="1"/>
  <c r="CI83" i="1"/>
  <c r="CJ83" i="1"/>
  <c r="CK83" i="1"/>
  <c r="CL83" i="1"/>
  <c r="CH84" i="1"/>
  <c r="CI84" i="1"/>
  <c r="CJ84" i="1"/>
  <c r="CK84" i="1"/>
  <c r="CL84" i="1"/>
  <c r="CH85" i="1"/>
  <c r="CI85" i="1"/>
  <c r="CJ85" i="1"/>
  <c r="CK85" i="1"/>
  <c r="CL85" i="1"/>
  <c r="CH86" i="1"/>
  <c r="CI86" i="1"/>
  <c r="CJ86" i="1"/>
  <c r="CK86" i="1"/>
  <c r="CL86" i="1"/>
  <c r="CH87" i="1"/>
  <c r="CI87" i="1"/>
  <c r="CJ87" i="1"/>
  <c r="CK87" i="1"/>
  <c r="CL87" i="1"/>
  <c r="CH88" i="1"/>
  <c r="CI88" i="1"/>
  <c r="CJ88" i="1"/>
  <c r="CK88" i="1"/>
  <c r="CL88" i="1"/>
  <c r="CH89" i="1"/>
  <c r="CI89" i="1"/>
  <c r="CJ89" i="1"/>
  <c r="CK89" i="1"/>
  <c r="CL89" i="1"/>
  <c r="CH90" i="1"/>
  <c r="CI90" i="1"/>
  <c r="CJ90" i="1"/>
  <c r="CK90" i="1"/>
  <c r="CL90" i="1"/>
  <c r="CH91" i="1"/>
  <c r="CI91" i="1"/>
  <c r="CJ91" i="1"/>
  <c r="CK91" i="1"/>
  <c r="CL91" i="1"/>
  <c r="CH92" i="1"/>
  <c r="CI92" i="1"/>
  <c r="CJ92" i="1"/>
  <c r="CK92" i="1"/>
  <c r="CL92" i="1"/>
  <c r="CH93" i="1"/>
  <c r="CI93" i="1"/>
  <c r="CJ93" i="1"/>
  <c r="CK93" i="1"/>
  <c r="CL93" i="1"/>
  <c r="CH94" i="1"/>
  <c r="CI94" i="1"/>
  <c r="CJ94" i="1"/>
  <c r="CK94" i="1"/>
  <c r="CL94" i="1"/>
  <c r="CH95" i="1"/>
  <c r="CI95" i="1"/>
  <c r="CJ95" i="1"/>
  <c r="CK95" i="1"/>
  <c r="CL95" i="1"/>
  <c r="CH96" i="1"/>
  <c r="CI96" i="1"/>
  <c r="CJ96" i="1"/>
  <c r="CK96" i="1"/>
  <c r="CL96" i="1"/>
  <c r="CH97" i="1"/>
  <c r="CI97" i="1"/>
  <c r="CJ97" i="1"/>
  <c r="CK97" i="1"/>
  <c r="CL97" i="1"/>
  <c r="CH98" i="1"/>
  <c r="CI98" i="1"/>
  <c r="CJ98" i="1"/>
  <c r="CK98" i="1"/>
  <c r="CL98" i="1"/>
  <c r="CH99" i="1"/>
  <c r="CI99" i="1"/>
  <c r="CJ99" i="1"/>
  <c r="CK99" i="1"/>
  <c r="CL99" i="1"/>
  <c r="CH100" i="1"/>
  <c r="CI100" i="1"/>
  <c r="CJ100" i="1"/>
  <c r="CK100" i="1"/>
  <c r="CL100" i="1"/>
  <c r="CH101" i="1"/>
  <c r="CI101" i="1"/>
  <c r="CJ101" i="1"/>
  <c r="CK101" i="1"/>
  <c r="CL101" i="1"/>
  <c r="CH102" i="1"/>
  <c r="CI102" i="1"/>
  <c r="CJ102" i="1"/>
  <c r="CK102" i="1"/>
  <c r="CL102" i="1"/>
  <c r="CH103" i="1"/>
  <c r="CI103" i="1"/>
  <c r="CJ103" i="1"/>
  <c r="CK103" i="1"/>
  <c r="CL103" i="1"/>
  <c r="CH104" i="1"/>
  <c r="CI104" i="1"/>
  <c r="CJ104" i="1"/>
  <c r="CK104" i="1"/>
  <c r="CL104" i="1"/>
  <c r="CH105" i="1"/>
  <c r="CI105" i="1"/>
  <c r="CJ105" i="1"/>
  <c r="CK105" i="1"/>
  <c r="CL105" i="1"/>
  <c r="CH106" i="1"/>
  <c r="CI106" i="1"/>
  <c r="CJ106" i="1"/>
  <c r="CK106" i="1"/>
  <c r="CL106" i="1"/>
  <c r="CH107" i="1"/>
  <c r="CI107" i="1"/>
  <c r="CJ107" i="1"/>
  <c r="CK107" i="1"/>
  <c r="CL107" i="1"/>
  <c r="CH108" i="1"/>
  <c r="CI108" i="1"/>
  <c r="CJ108" i="1"/>
  <c r="CK108" i="1"/>
  <c r="CL108" i="1"/>
  <c r="CH109" i="1"/>
  <c r="CI109" i="1"/>
  <c r="CJ109" i="1"/>
  <c r="CK109" i="1"/>
  <c r="CL109" i="1"/>
  <c r="CH110" i="1"/>
  <c r="CI110" i="1"/>
  <c r="CJ110" i="1"/>
  <c r="CK110" i="1"/>
  <c r="CL110" i="1"/>
  <c r="CH111" i="1"/>
  <c r="CI111" i="1"/>
  <c r="CJ111" i="1"/>
  <c r="CK111" i="1"/>
  <c r="CL111" i="1"/>
  <c r="CH112" i="1"/>
  <c r="CI112" i="1"/>
  <c r="CJ112" i="1"/>
  <c r="CK112" i="1"/>
  <c r="CL112" i="1"/>
  <c r="CH113" i="1"/>
  <c r="CI113" i="1"/>
  <c r="CJ113" i="1"/>
  <c r="CK113" i="1"/>
  <c r="CL113" i="1"/>
  <c r="CH114" i="1"/>
  <c r="CI114" i="1"/>
  <c r="CJ114" i="1"/>
  <c r="CK114" i="1"/>
  <c r="CL114" i="1"/>
  <c r="CH115" i="1"/>
  <c r="CI115" i="1"/>
  <c r="CJ115" i="1"/>
  <c r="CK115" i="1"/>
  <c r="CL115" i="1"/>
  <c r="CH116" i="1"/>
  <c r="CI116" i="1"/>
  <c r="CJ116" i="1"/>
  <c r="CK116" i="1"/>
  <c r="CL116" i="1"/>
  <c r="CH117" i="1"/>
  <c r="CI117" i="1"/>
  <c r="CJ117" i="1"/>
  <c r="CK117" i="1"/>
  <c r="CL117" i="1"/>
  <c r="CH118" i="1"/>
  <c r="CI118" i="1"/>
  <c r="CJ118" i="1"/>
  <c r="CK118" i="1"/>
  <c r="CL118" i="1"/>
  <c r="CH119" i="1"/>
  <c r="CI119" i="1"/>
  <c r="CJ119" i="1"/>
  <c r="CK119" i="1"/>
  <c r="CL119" i="1"/>
  <c r="CH120" i="1"/>
  <c r="CI120" i="1"/>
  <c r="CJ120" i="1"/>
  <c r="CK120" i="1"/>
  <c r="CL120" i="1"/>
  <c r="CH121" i="1"/>
  <c r="CI121" i="1"/>
  <c r="CJ121" i="1"/>
  <c r="CK121" i="1"/>
  <c r="CL121" i="1"/>
  <c r="CH122" i="1"/>
  <c r="CI122" i="1"/>
  <c r="CJ122" i="1"/>
  <c r="CK122" i="1"/>
  <c r="CL122" i="1"/>
  <c r="CH123" i="1"/>
  <c r="CI123" i="1"/>
  <c r="CJ123" i="1"/>
  <c r="CK123" i="1"/>
  <c r="CL123" i="1"/>
  <c r="CH124" i="1"/>
  <c r="CI124" i="1"/>
  <c r="CJ124" i="1"/>
  <c r="CK124" i="1"/>
  <c r="CL124" i="1"/>
  <c r="CH125" i="1"/>
  <c r="CI125" i="1"/>
  <c r="CJ125" i="1"/>
  <c r="CK125" i="1"/>
  <c r="CL125" i="1"/>
  <c r="CH126" i="1"/>
  <c r="CI126" i="1"/>
  <c r="CJ126" i="1"/>
  <c r="CK126" i="1"/>
  <c r="CL126" i="1"/>
  <c r="CH127" i="1"/>
  <c r="CI127" i="1"/>
  <c r="CJ127" i="1"/>
  <c r="CK127" i="1"/>
  <c r="CL127" i="1"/>
  <c r="CH128" i="1"/>
  <c r="CI128" i="1"/>
  <c r="CJ128" i="1"/>
  <c r="CK128" i="1"/>
  <c r="CL128" i="1"/>
  <c r="CH129" i="1"/>
  <c r="CI129" i="1"/>
  <c r="CJ129" i="1"/>
  <c r="CK129" i="1"/>
  <c r="CL129" i="1"/>
  <c r="CH130" i="1"/>
  <c r="CI130" i="1"/>
  <c r="CJ130" i="1"/>
  <c r="CK130" i="1"/>
  <c r="CL130" i="1"/>
  <c r="CH131" i="1"/>
  <c r="CI131" i="1"/>
  <c r="CJ131" i="1"/>
  <c r="CK131" i="1"/>
  <c r="CL131" i="1"/>
  <c r="CH132" i="1"/>
  <c r="CI132" i="1"/>
  <c r="CJ132" i="1"/>
  <c r="CK132" i="1"/>
  <c r="CL132" i="1"/>
  <c r="CH133" i="1"/>
  <c r="CI133" i="1"/>
  <c r="CJ133" i="1"/>
  <c r="CK133" i="1"/>
  <c r="CL133" i="1"/>
  <c r="CH134" i="1"/>
  <c r="CI134" i="1"/>
  <c r="CJ134" i="1"/>
  <c r="CK134" i="1"/>
  <c r="CL134" i="1"/>
  <c r="CH135" i="1"/>
  <c r="CI135" i="1"/>
  <c r="CJ135" i="1"/>
  <c r="CK135" i="1"/>
  <c r="CL135" i="1"/>
  <c r="CH136" i="1"/>
  <c r="CI136" i="1"/>
  <c r="CJ136" i="1"/>
  <c r="CK136" i="1"/>
  <c r="CL136" i="1"/>
  <c r="CH137" i="1"/>
  <c r="CI137" i="1"/>
  <c r="CJ137" i="1"/>
  <c r="CK137" i="1"/>
  <c r="CL137" i="1"/>
  <c r="CH138" i="1"/>
  <c r="CI138" i="1"/>
  <c r="CJ138" i="1"/>
  <c r="CK138" i="1"/>
  <c r="CL138" i="1"/>
  <c r="CH139" i="1"/>
  <c r="CI139" i="1"/>
  <c r="CJ139" i="1"/>
  <c r="CK139" i="1"/>
  <c r="CL139" i="1"/>
  <c r="CH140" i="1"/>
  <c r="CI140" i="1"/>
  <c r="CJ140" i="1"/>
  <c r="CK140" i="1"/>
  <c r="CL140" i="1"/>
  <c r="CH141" i="1"/>
  <c r="CI141" i="1"/>
  <c r="CJ141" i="1"/>
  <c r="CK141" i="1"/>
  <c r="CL141" i="1"/>
  <c r="CH142" i="1"/>
  <c r="CI142" i="1"/>
  <c r="CJ142" i="1"/>
  <c r="CK142" i="1"/>
  <c r="CL142" i="1"/>
  <c r="CH143" i="1"/>
  <c r="CI143" i="1"/>
  <c r="CJ143" i="1"/>
  <c r="CK143" i="1"/>
  <c r="CL143" i="1"/>
  <c r="CH144" i="1"/>
  <c r="CI144" i="1"/>
  <c r="CJ144" i="1"/>
  <c r="CK144" i="1"/>
  <c r="CL144" i="1"/>
  <c r="CH145" i="1"/>
  <c r="CI145" i="1"/>
  <c r="CJ145" i="1"/>
  <c r="CK145" i="1"/>
  <c r="CL145" i="1"/>
  <c r="CH146" i="1"/>
  <c r="CI146" i="1"/>
  <c r="CJ146" i="1"/>
  <c r="CK146" i="1"/>
  <c r="CL146" i="1"/>
  <c r="CH147" i="1"/>
  <c r="CI147" i="1"/>
  <c r="CJ147" i="1"/>
  <c r="CK147" i="1"/>
  <c r="CL147" i="1"/>
  <c r="CH148" i="1"/>
  <c r="CI148" i="1"/>
  <c r="CJ148" i="1"/>
  <c r="CK148" i="1"/>
  <c r="CL148" i="1"/>
  <c r="CH149" i="1"/>
  <c r="CI149" i="1"/>
  <c r="CJ149" i="1"/>
  <c r="CK149" i="1"/>
  <c r="CL149" i="1"/>
  <c r="CH150" i="1"/>
  <c r="CI150" i="1"/>
  <c r="CJ150" i="1"/>
  <c r="CK150" i="1"/>
  <c r="CL150" i="1"/>
  <c r="CH151" i="1"/>
  <c r="CI151" i="1"/>
  <c r="CJ151" i="1"/>
  <c r="CK151" i="1"/>
  <c r="CL151" i="1"/>
  <c r="CH152" i="1"/>
  <c r="CI152" i="1"/>
  <c r="CJ152" i="1"/>
  <c r="CK152" i="1"/>
  <c r="CL152" i="1"/>
  <c r="CH153" i="1"/>
  <c r="CI153" i="1"/>
  <c r="CJ153" i="1"/>
  <c r="CK153" i="1"/>
  <c r="CL153" i="1"/>
  <c r="CH154" i="1"/>
  <c r="CI154" i="1"/>
  <c r="CJ154" i="1"/>
  <c r="CK154" i="1"/>
  <c r="CL154" i="1"/>
  <c r="CH155" i="1"/>
  <c r="CI155" i="1"/>
  <c r="CJ155" i="1"/>
  <c r="CK155" i="1"/>
  <c r="CL155" i="1"/>
  <c r="CH156" i="1"/>
  <c r="CI156" i="1"/>
  <c r="CJ156" i="1"/>
  <c r="CK156" i="1"/>
  <c r="CL156" i="1"/>
  <c r="CH157" i="1"/>
  <c r="CI157" i="1"/>
  <c r="CJ157" i="1"/>
  <c r="CK157" i="1"/>
  <c r="CL157" i="1"/>
  <c r="CH158" i="1"/>
  <c r="CI158" i="1"/>
  <c r="CJ158" i="1"/>
  <c r="CK158" i="1"/>
  <c r="CL158" i="1"/>
  <c r="CH159" i="1"/>
  <c r="CI159" i="1"/>
  <c r="CJ159" i="1"/>
  <c r="CK159" i="1"/>
  <c r="CL159" i="1"/>
  <c r="CH160" i="1"/>
  <c r="CI160" i="1"/>
  <c r="CJ160" i="1"/>
  <c r="CK160" i="1"/>
  <c r="CL160" i="1"/>
  <c r="CH161" i="1"/>
  <c r="CI161" i="1"/>
  <c r="CJ161" i="1"/>
  <c r="CK161" i="1"/>
  <c r="CL161" i="1"/>
  <c r="CH162" i="1"/>
  <c r="CI162" i="1"/>
  <c r="CJ162" i="1"/>
  <c r="CK162" i="1"/>
  <c r="CL162" i="1"/>
  <c r="CH163" i="1"/>
  <c r="CI163" i="1"/>
  <c r="CJ163" i="1"/>
  <c r="CK163" i="1"/>
  <c r="CL163" i="1"/>
  <c r="CH164" i="1"/>
  <c r="CI164" i="1"/>
  <c r="CJ164" i="1"/>
  <c r="CK164" i="1"/>
  <c r="CL164" i="1"/>
  <c r="CH165" i="1"/>
  <c r="CI165" i="1"/>
  <c r="CJ165" i="1"/>
  <c r="CK165" i="1"/>
  <c r="CL165" i="1"/>
  <c r="CH166" i="1"/>
  <c r="CI166" i="1"/>
  <c r="CJ166" i="1"/>
  <c r="CK166" i="1"/>
  <c r="CL166" i="1"/>
  <c r="CH167" i="1"/>
  <c r="CI167" i="1"/>
  <c r="CJ167" i="1"/>
  <c r="CK167" i="1"/>
  <c r="CL167" i="1"/>
  <c r="CH168" i="1"/>
  <c r="CI168" i="1"/>
  <c r="CJ168" i="1"/>
  <c r="CK168" i="1"/>
  <c r="CL168" i="1"/>
  <c r="CH169" i="1"/>
  <c r="CI169" i="1"/>
  <c r="CJ169" i="1"/>
  <c r="CK169" i="1"/>
  <c r="CL169" i="1"/>
  <c r="CH170" i="1"/>
  <c r="CI170" i="1"/>
  <c r="CJ170" i="1"/>
  <c r="CK170" i="1"/>
  <c r="CL170" i="1"/>
  <c r="CH171" i="1"/>
  <c r="CI171" i="1"/>
  <c r="CJ171" i="1"/>
  <c r="CK171" i="1"/>
  <c r="CL171" i="1"/>
  <c r="CH172" i="1"/>
  <c r="CI172" i="1"/>
  <c r="CJ172" i="1"/>
  <c r="CK172" i="1"/>
  <c r="CL172" i="1"/>
  <c r="CH173" i="1"/>
  <c r="CI173" i="1"/>
  <c r="CJ173" i="1"/>
  <c r="CK173" i="1"/>
  <c r="CL173" i="1"/>
  <c r="CH174" i="1"/>
  <c r="CI174" i="1"/>
  <c r="CJ174" i="1"/>
  <c r="CK174" i="1"/>
  <c r="CL174" i="1"/>
  <c r="CH175" i="1"/>
  <c r="CI175" i="1"/>
  <c r="CJ175" i="1"/>
  <c r="CK175" i="1"/>
  <c r="CL175" i="1"/>
  <c r="CH176" i="1"/>
  <c r="CI176" i="1"/>
  <c r="CJ176" i="1"/>
  <c r="CK176" i="1"/>
  <c r="CL176" i="1"/>
  <c r="CH177" i="1"/>
  <c r="CI177" i="1"/>
  <c r="CJ177" i="1"/>
  <c r="CK177" i="1"/>
  <c r="CL177" i="1"/>
  <c r="CH178" i="1"/>
  <c r="CI178" i="1"/>
  <c r="CJ178" i="1"/>
  <c r="CK178" i="1"/>
  <c r="CL178" i="1"/>
  <c r="CH179" i="1"/>
  <c r="CI179" i="1"/>
  <c r="CJ179" i="1"/>
  <c r="CK179" i="1"/>
  <c r="CL179" i="1"/>
  <c r="CH180" i="1"/>
  <c r="CI180" i="1"/>
  <c r="CJ180" i="1"/>
  <c r="CK180" i="1"/>
  <c r="CL180" i="1"/>
  <c r="CH181" i="1"/>
  <c r="CI181" i="1"/>
  <c r="CJ181" i="1"/>
  <c r="CK181" i="1"/>
  <c r="CL181" i="1"/>
  <c r="CH182" i="1"/>
  <c r="CI182" i="1"/>
  <c r="CJ182" i="1"/>
  <c r="CK182" i="1"/>
  <c r="CL182" i="1"/>
  <c r="CH183" i="1"/>
  <c r="CI183" i="1"/>
  <c r="CJ183" i="1"/>
  <c r="CK183" i="1"/>
  <c r="CL183" i="1"/>
  <c r="CH184" i="1"/>
  <c r="CI184" i="1"/>
  <c r="CJ184" i="1"/>
  <c r="CK184" i="1"/>
  <c r="CL184" i="1"/>
  <c r="CH185" i="1"/>
  <c r="CI185" i="1"/>
  <c r="CJ185" i="1"/>
  <c r="CK185" i="1"/>
  <c r="CL185" i="1"/>
  <c r="CH186" i="1"/>
  <c r="CI186" i="1"/>
  <c r="CJ186" i="1"/>
  <c r="CK186" i="1"/>
  <c r="CL186" i="1"/>
  <c r="CH187" i="1"/>
  <c r="CI187" i="1"/>
  <c r="CJ187" i="1"/>
  <c r="CK187" i="1"/>
  <c r="CL187" i="1"/>
  <c r="CH188" i="1"/>
  <c r="CI188" i="1"/>
  <c r="CJ188" i="1"/>
  <c r="CK188" i="1"/>
  <c r="CL188" i="1"/>
  <c r="CH189" i="1"/>
  <c r="CI189" i="1"/>
  <c r="CJ189" i="1"/>
  <c r="CK189" i="1"/>
  <c r="CL189" i="1"/>
  <c r="CH190" i="1"/>
  <c r="CI190" i="1"/>
  <c r="CJ190" i="1"/>
  <c r="CK190" i="1"/>
  <c r="CL190" i="1"/>
  <c r="CH191" i="1"/>
  <c r="CI191" i="1"/>
  <c r="CJ191" i="1"/>
  <c r="CK191" i="1"/>
  <c r="CL191" i="1"/>
  <c r="CH192" i="1"/>
  <c r="CI192" i="1"/>
  <c r="CJ192" i="1"/>
  <c r="CK192" i="1"/>
  <c r="CL192" i="1"/>
  <c r="CH193" i="1"/>
  <c r="CI193" i="1"/>
  <c r="CJ193" i="1"/>
  <c r="CK193" i="1"/>
  <c r="CL193" i="1"/>
  <c r="CH194" i="1"/>
  <c r="CI194" i="1"/>
  <c r="CJ194" i="1"/>
  <c r="CK194" i="1"/>
  <c r="CL194" i="1"/>
  <c r="CH195" i="1"/>
  <c r="CI195" i="1"/>
  <c r="CJ195" i="1"/>
  <c r="CK195" i="1"/>
  <c r="CL195" i="1"/>
  <c r="CH196" i="1"/>
  <c r="CI196" i="1"/>
  <c r="CJ196" i="1"/>
  <c r="CK196" i="1"/>
  <c r="CL196" i="1"/>
  <c r="CH197" i="1"/>
  <c r="CI197" i="1"/>
  <c r="CJ197" i="1"/>
  <c r="CK197" i="1"/>
  <c r="CL197" i="1"/>
  <c r="CH198" i="1"/>
  <c r="CI198" i="1"/>
  <c r="CJ198" i="1"/>
  <c r="CK198" i="1"/>
  <c r="CL198" i="1"/>
  <c r="CH199" i="1"/>
  <c r="CI199" i="1"/>
  <c r="CJ199" i="1"/>
  <c r="CK199" i="1"/>
  <c r="CL199" i="1"/>
  <c r="CH200" i="1"/>
  <c r="CI200" i="1"/>
  <c r="CJ200" i="1"/>
  <c r="CK200" i="1"/>
  <c r="CL200" i="1"/>
  <c r="CH201" i="1"/>
  <c r="CI201" i="1"/>
  <c r="CJ201" i="1"/>
  <c r="CK201" i="1"/>
  <c r="CL201" i="1"/>
  <c r="CH202" i="1"/>
  <c r="CI202" i="1"/>
  <c r="CJ202" i="1"/>
  <c r="CK202" i="1"/>
  <c r="CL202" i="1"/>
  <c r="CH3" i="1"/>
  <c r="CI3" i="1"/>
  <c r="CJ3" i="1"/>
  <c r="CK3" i="1"/>
  <c r="CL3" i="1"/>
  <c r="CB4" i="1"/>
  <c r="CC4" i="1"/>
  <c r="CD4" i="1"/>
  <c r="CE4" i="1"/>
  <c r="CF4" i="1"/>
  <c r="CB5" i="1"/>
  <c r="CC5" i="1"/>
  <c r="CD5" i="1"/>
  <c r="CE5" i="1"/>
  <c r="CF5" i="1"/>
  <c r="CB6" i="1"/>
  <c r="CC6" i="1"/>
  <c r="CD6" i="1"/>
  <c r="CE6" i="1"/>
  <c r="CF6" i="1"/>
  <c r="CB7" i="1"/>
  <c r="CC7" i="1"/>
  <c r="CD7" i="1"/>
  <c r="CE7" i="1"/>
  <c r="CF7" i="1"/>
  <c r="CB8" i="1"/>
  <c r="CC8" i="1"/>
  <c r="CD8" i="1"/>
  <c r="CE8" i="1"/>
  <c r="CF8" i="1"/>
  <c r="CB9" i="1"/>
  <c r="CC9" i="1"/>
  <c r="CD9" i="1"/>
  <c r="CE9" i="1"/>
  <c r="CF9" i="1"/>
  <c r="CB10" i="1"/>
  <c r="CC10" i="1"/>
  <c r="CD10" i="1"/>
  <c r="CE10" i="1"/>
  <c r="CF10" i="1"/>
  <c r="CB11" i="1"/>
  <c r="CC11" i="1"/>
  <c r="CD11" i="1"/>
  <c r="CE11" i="1"/>
  <c r="CF11" i="1"/>
  <c r="CB12" i="1"/>
  <c r="CC12" i="1"/>
  <c r="CD12" i="1"/>
  <c r="CE12" i="1"/>
  <c r="CF12" i="1"/>
  <c r="CB13" i="1"/>
  <c r="CC13" i="1"/>
  <c r="CD13" i="1"/>
  <c r="CE13" i="1"/>
  <c r="CF13" i="1"/>
  <c r="CB14" i="1"/>
  <c r="CC14" i="1"/>
  <c r="CD14" i="1"/>
  <c r="CE14" i="1"/>
  <c r="CF14" i="1"/>
  <c r="CB15" i="1"/>
  <c r="CC15" i="1"/>
  <c r="CD15" i="1"/>
  <c r="CE15" i="1"/>
  <c r="CF15" i="1"/>
  <c r="CB16" i="1"/>
  <c r="CC16" i="1"/>
  <c r="CD16" i="1"/>
  <c r="CE16" i="1"/>
  <c r="CF16" i="1"/>
  <c r="CB17" i="1"/>
  <c r="CC17" i="1"/>
  <c r="CD17" i="1"/>
  <c r="CE17" i="1"/>
  <c r="CF17" i="1"/>
  <c r="CB18" i="1"/>
  <c r="CC18" i="1"/>
  <c r="CD18" i="1"/>
  <c r="CE18" i="1"/>
  <c r="CF18" i="1"/>
  <c r="CB19" i="1"/>
  <c r="CC19" i="1"/>
  <c r="CD19" i="1"/>
  <c r="CE19" i="1"/>
  <c r="CF19" i="1"/>
  <c r="CB20" i="1"/>
  <c r="CC20" i="1"/>
  <c r="CD20" i="1"/>
  <c r="CE20" i="1"/>
  <c r="CF20" i="1"/>
  <c r="CB21" i="1"/>
  <c r="CC21" i="1"/>
  <c r="CD21" i="1"/>
  <c r="CE21" i="1"/>
  <c r="CF21" i="1"/>
  <c r="CB22" i="1"/>
  <c r="CC22" i="1"/>
  <c r="CD22" i="1"/>
  <c r="CE22" i="1"/>
  <c r="CF22" i="1"/>
  <c r="CB23" i="1"/>
  <c r="CC23" i="1"/>
  <c r="CD23" i="1"/>
  <c r="CE23" i="1"/>
  <c r="CF23" i="1"/>
  <c r="CB24" i="1"/>
  <c r="CC24" i="1"/>
  <c r="CD24" i="1"/>
  <c r="CE24" i="1"/>
  <c r="CF24" i="1"/>
  <c r="CB25" i="1"/>
  <c r="CC25" i="1"/>
  <c r="CD25" i="1"/>
  <c r="CE25" i="1"/>
  <c r="CF25" i="1"/>
  <c r="CB26" i="1"/>
  <c r="CC26" i="1"/>
  <c r="CD26" i="1"/>
  <c r="CE26" i="1"/>
  <c r="CF26" i="1"/>
  <c r="CB27" i="1"/>
  <c r="CC27" i="1"/>
  <c r="CD27" i="1"/>
  <c r="CE27" i="1"/>
  <c r="CF27" i="1"/>
  <c r="CB28" i="1"/>
  <c r="CC28" i="1"/>
  <c r="CD28" i="1"/>
  <c r="CE28" i="1"/>
  <c r="CF28" i="1"/>
  <c r="CB29" i="1"/>
  <c r="CC29" i="1"/>
  <c r="CD29" i="1"/>
  <c r="CE29" i="1"/>
  <c r="CF29" i="1"/>
  <c r="CB30" i="1"/>
  <c r="CC30" i="1"/>
  <c r="CD30" i="1"/>
  <c r="CE30" i="1"/>
  <c r="CF30" i="1"/>
  <c r="CB31" i="1"/>
  <c r="CC31" i="1"/>
  <c r="CD31" i="1"/>
  <c r="CE31" i="1"/>
  <c r="CF31" i="1"/>
  <c r="CB32" i="1"/>
  <c r="CC32" i="1"/>
  <c r="CD32" i="1"/>
  <c r="CE32" i="1"/>
  <c r="CF32" i="1"/>
  <c r="CB33" i="1"/>
  <c r="CC33" i="1"/>
  <c r="CD33" i="1"/>
  <c r="CE33" i="1"/>
  <c r="CF33" i="1"/>
  <c r="CB34" i="1"/>
  <c r="CC34" i="1"/>
  <c r="CD34" i="1"/>
  <c r="CE34" i="1"/>
  <c r="CF34" i="1"/>
  <c r="CB35" i="1"/>
  <c r="CC35" i="1"/>
  <c r="CD35" i="1"/>
  <c r="CE35" i="1"/>
  <c r="CF35" i="1"/>
  <c r="CB36" i="1"/>
  <c r="CC36" i="1"/>
  <c r="CD36" i="1"/>
  <c r="CE36" i="1"/>
  <c r="CF36" i="1"/>
  <c r="CB37" i="1"/>
  <c r="CC37" i="1"/>
  <c r="CD37" i="1"/>
  <c r="CE37" i="1"/>
  <c r="CF37" i="1"/>
  <c r="CB38" i="1"/>
  <c r="CC38" i="1"/>
  <c r="CD38" i="1"/>
  <c r="CE38" i="1"/>
  <c r="CF38" i="1"/>
  <c r="CB39" i="1"/>
  <c r="CC39" i="1"/>
  <c r="CD39" i="1"/>
  <c r="CE39" i="1"/>
  <c r="CF39" i="1"/>
  <c r="CB40" i="1"/>
  <c r="CC40" i="1"/>
  <c r="CD40" i="1"/>
  <c r="CE40" i="1"/>
  <c r="CF40" i="1"/>
  <c r="CB41" i="1"/>
  <c r="CC41" i="1"/>
  <c r="CD41" i="1"/>
  <c r="CE41" i="1"/>
  <c r="CF41" i="1"/>
  <c r="CB42" i="1"/>
  <c r="CC42" i="1"/>
  <c r="CD42" i="1"/>
  <c r="CE42" i="1"/>
  <c r="CF42" i="1"/>
  <c r="CB43" i="1"/>
  <c r="CC43" i="1"/>
  <c r="CD43" i="1"/>
  <c r="CE43" i="1"/>
  <c r="CF43" i="1"/>
  <c r="CB44" i="1"/>
  <c r="CC44" i="1"/>
  <c r="CD44" i="1"/>
  <c r="CE44" i="1"/>
  <c r="CF44" i="1"/>
  <c r="CB45" i="1"/>
  <c r="CC45" i="1"/>
  <c r="CD45" i="1"/>
  <c r="CE45" i="1"/>
  <c r="CF45" i="1"/>
  <c r="CB46" i="1"/>
  <c r="CC46" i="1"/>
  <c r="CD46" i="1"/>
  <c r="CE46" i="1"/>
  <c r="CF46" i="1"/>
  <c r="CB47" i="1"/>
  <c r="CC47" i="1"/>
  <c r="CD47" i="1"/>
  <c r="CE47" i="1"/>
  <c r="CF47" i="1"/>
  <c r="CB48" i="1"/>
  <c r="CC48" i="1"/>
  <c r="CD48" i="1"/>
  <c r="CE48" i="1"/>
  <c r="CF48" i="1"/>
  <c r="CB49" i="1"/>
  <c r="CC49" i="1"/>
  <c r="CD49" i="1"/>
  <c r="CE49" i="1"/>
  <c r="CF49" i="1"/>
  <c r="CB50" i="1"/>
  <c r="CC50" i="1"/>
  <c r="CD50" i="1"/>
  <c r="CE50" i="1"/>
  <c r="CF50" i="1"/>
  <c r="CB51" i="1"/>
  <c r="CC51" i="1"/>
  <c r="CD51" i="1"/>
  <c r="CE51" i="1"/>
  <c r="CF51" i="1"/>
  <c r="CB52" i="1"/>
  <c r="CC52" i="1"/>
  <c r="CD52" i="1"/>
  <c r="CE52" i="1"/>
  <c r="CF52" i="1"/>
  <c r="CB53" i="1"/>
  <c r="CC53" i="1"/>
  <c r="CD53" i="1"/>
  <c r="CE53" i="1"/>
  <c r="CF53" i="1"/>
  <c r="CB54" i="1"/>
  <c r="CC54" i="1"/>
  <c r="CD54" i="1"/>
  <c r="CE54" i="1"/>
  <c r="CF54" i="1"/>
  <c r="CB55" i="1"/>
  <c r="CC55" i="1"/>
  <c r="CD55" i="1"/>
  <c r="CE55" i="1"/>
  <c r="CF55" i="1"/>
  <c r="CB56" i="1"/>
  <c r="CC56" i="1"/>
  <c r="CD56" i="1"/>
  <c r="CE56" i="1"/>
  <c r="CF56" i="1"/>
  <c r="CB57" i="1"/>
  <c r="CC57" i="1"/>
  <c r="CD57" i="1"/>
  <c r="CE57" i="1"/>
  <c r="CF57" i="1"/>
  <c r="CB58" i="1"/>
  <c r="CC58" i="1"/>
  <c r="CD58" i="1"/>
  <c r="CE58" i="1"/>
  <c r="CF58" i="1"/>
  <c r="CB59" i="1"/>
  <c r="CC59" i="1"/>
  <c r="CD59" i="1"/>
  <c r="CE59" i="1"/>
  <c r="CF59" i="1"/>
  <c r="CB60" i="1"/>
  <c r="CC60" i="1"/>
  <c r="CD60" i="1"/>
  <c r="CE60" i="1"/>
  <c r="CF60" i="1"/>
  <c r="CB61" i="1"/>
  <c r="CC61" i="1"/>
  <c r="CD61" i="1"/>
  <c r="CE61" i="1"/>
  <c r="CF61" i="1"/>
  <c r="CB62" i="1"/>
  <c r="CC62" i="1"/>
  <c r="CD62" i="1"/>
  <c r="CE62" i="1"/>
  <c r="CF62" i="1"/>
  <c r="CB63" i="1"/>
  <c r="CC63" i="1"/>
  <c r="CD63" i="1"/>
  <c r="CE63" i="1"/>
  <c r="CF63" i="1"/>
  <c r="CB64" i="1"/>
  <c r="CC64" i="1"/>
  <c r="CD64" i="1"/>
  <c r="CE64" i="1"/>
  <c r="CF64" i="1"/>
  <c r="CB65" i="1"/>
  <c r="CC65" i="1"/>
  <c r="CD65" i="1"/>
  <c r="CE65" i="1"/>
  <c r="CF65" i="1"/>
  <c r="CB66" i="1"/>
  <c r="CC66" i="1"/>
  <c r="CD66" i="1"/>
  <c r="CE66" i="1"/>
  <c r="CF66" i="1"/>
  <c r="CB67" i="1"/>
  <c r="CC67" i="1"/>
  <c r="CD67" i="1"/>
  <c r="CE67" i="1"/>
  <c r="CF67" i="1"/>
  <c r="CB68" i="1"/>
  <c r="CC68" i="1"/>
  <c r="CD68" i="1"/>
  <c r="CE68" i="1"/>
  <c r="CF68" i="1"/>
  <c r="CB69" i="1"/>
  <c r="CC69" i="1"/>
  <c r="CD69" i="1"/>
  <c r="CE69" i="1"/>
  <c r="CF69" i="1"/>
  <c r="CB70" i="1"/>
  <c r="CC70" i="1"/>
  <c r="CD70" i="1"/>
  <c r="CE70" i="1"/>
  <c r="CF70" i="1"/>
  <c r="CB71" i="1"/>
  <c r="CC71" i="1"/>
  <c r="CD71" i="1"/>
  <c r="CE71" i="1"/>
  <c r="CF71" i="1"/>
  <c r="CB72" i="1"/>
  <c r="CC72" i="1"/>
  <c r="CD72" i="1"/>
  <c r="CE72" i="1"/>
  <c r="CF72" i="1"/>
  <c r="CB73" i="1"/>
  <c r="CC73" i="1"/>
  <c r="CD73" i="1"/>
  <c r="CE73" i="1"/>
  <c r="CF73" i="1"/>
  <c r="CB74" i="1"/>
  <c r="CC74" i="1"/>
  <c r="CD74" i="1"/>
  <c r="CE74" i="1"/>
  <c r="CF74" i="1"/>
  <c r="CB75" i="1"/>
  <c r="CC75" i="1"/>
  <c r="CD75" i="1"/>
  <c r="CE75" i="1"/>
  <c r="CF75" i="1"/>
  <c r="CB76" i="1"/>
  <c r="CC76" i="1"/>
  <c r="CD76" i="1"/>
  <c r="CE76" i="1"/>
  <c r="CF76" i="1"/>
  <c r="CB77" i="1"/>
  <c r="CC77" i="1"/>
  <c r="CD77" i="1"/>
  <c r="CE77" i="1"/>
  <c r="CF77" i="1"/>
  <c r="CB78" i="1"/>
  <c r="CC78" i="1"/>
  <c r="CD78" i="1"/>
  <c r="CE78" i="1"/>
  <c r="CF78" i="1"/>
  <c r="CB79" i="1"/>
  <c r="CC79" i="1"/>
  <c r="CD79" i="1"/>
  <c r="CE79" i="1"/>
  <c r="CF79" i="1"/>
  <c r="CB80" i="1"/>
  <c r="CC80" i="1"/>
  <c r="CD80" i="1"/>
  <c r="CE80" i="1"/>
  <c r="CF80" i="1"/>
  <c r="CB81" i="1"/>
  <c r="CC81" i="1"/>
  <c r="CD81" i="1"/>
  <c r="CE81" i="1"/>
  <c r="CF81" i="1"/>
  <c r="CB82" i="1"/>
  <c r="CC82" i="1"/>
  <c r="CD82" i="1"/>
  <c r="CE82" i="1"/>
  <c r="CF82" i="1"/>
  <c r="CB83" i="1"/>
  <c r="CC83" i="1"/>
  <c r="CD83" i="1"/>
  <c r="CE83" i="1"/>
  <c r="CF83" i="1"/>
  <c r="CB84" i="1"/>
  <c r="CC84" i="1"/>
  <c r="CD84" i="1"/>
  <c r="CE84" i="1"/>
  <c r="CF84" i="1"/>
  <c r="CB85" i="1"/>
  <c r="CC85" i="1"/>
  <c r="CD85" i="1"/>
  <c r="CE85" i="1"/>
  <c r="CF85" i="1"/>
  <c r="CB86" i="1"/>
  <c r="CC86" i="1"/>
  <c r="CD86" i="1"/>
  <c r="CE86" i="1"/>
  <c r="CF86" i="1"/>
  <c r="CB87" i="1"/>
  <c r="CC87" i="1"/>
  <c r="CD87" i="1"/>
  <c r="CE87" i="1"/>
  <c r="CF87" i="1"/>
  <c r="CB88" i="1"/>
  <c r="CC88" i="1"/>
  <c r="CD88" i="1"/>
  <c r="CE88" i="1"/>
  <c r="CF88" i="1"/>
  <c r="CB89" i="1"/>
  <c r="CC89" i="1"/>
  <c r="CD89" i="1"/>
  <c r="CE89" i="1"/>
  <c r="CF89" i="1"/>
  <c r="CB90" i="1"/>
  <c r="CC90" i="1"/>
  <c r="CD90" i="1"/>
  <c r="CE90" i="1"/>
  <c r="CF90" i="1"/>
  <c r="CB91" i="1"/>
  <c r="CC91" i="1"/>
  <c r="CD91" i="1"/>
  <c r="CE91" i="1"/>
  <c r="CF91" i="1"/>
  <c r="CB92" i="1"/>
  <c r="CC92" i="1"/>
  <c r="CD92" i="1"/>
  <c r="CE92" i="1"/>
  <c r="CF92" i="1"/>
  <c r="CB93" i="1"/>
  <c r="CC93" i="1"/>
  <c r="CD93" i="1"/>
  <c r="CE93" i="1"/>
  <c r="CF93" i="1"/>
  <c r="CB94" i="1"/>
  <c r="CC94" i="1"/>
  <c r="CD94" i="1"/>
  <c r="CE94" i="1"/>
  <c r="CF94" i="1"/>
  <c r="CB95" i="1"/>
  <c r="CC95" i="1"/>
  <c r="CD95" i="1"/>
  <c r="CE95" i="1"/>
  <c r="CF95" i="1"/>
  <c r="CB96" i="1"/>
  <c r="CC96" i="1"/>
  <c r="CD96" i="1"/>
  <c r="CE96" i="1"/>
  <c r="CF96" i="1"/>
  <c r="CB97" i="1"/>
  <c r="CC97" i="1"/>
  <c r="CD97" i="1"/>
  <c r="CE97" i="1"/>
  <c r="CF97" i="1"/>
  <c r="CB98" i="1"/>
  <c r="CC98" i="1"/>
  <c r="CD98" i="1"/>
  <c r="CE98" i="1"/>
  <c r="CF98" i="1"/>
  <c r="CB99" i="1"/>
  <c r="CC99" i="1"/>
  <c r="CD99" i="1"/>
  <c r="CE99" i="1"/>
  <c r="CF99" i="1"/>
  <c r="CB100" i="1"/>
  <c r="CC100" i="1"/>
  <c r="CD100" i="1"/>
  <c r="CE100" i="1"/>
  <c r="CF100" i="1"/>
  <c r="CB101" i="1"/>
  <c r="CC101" i="1"/>
  <c r="CD101" i="1"/>
  <c r="CE101" i="1"/>
  <c r="CF101" i="1"/>
  <c r="CB102" i="1"/>
  <c r="CC102" i="1"/>
  <c r="CD102" i="1"/>
  <c r="CE102" i="1"/>
  <c r="CF102" i="1"/>
  <c r="CB103" i="1"/>
  <c r="CC103" i="1"/>
  <c r="CD103" i="1"/>
  <c r="CE103" i="1"/>
  <c r="CF103" i="1"/>
  <c r="CB104" i="1"/>
  <c r="CC104" i="1"/>
  <c r="CD104" i="1"/>
  <c r="CE104" i="1"/>
  <c r="CF104" i="1"/>
  <c r="CB105" i="1"/>
  <c r="CC105" i="1"/>
  <c r="CD105" i="1"/>
  <c r="CE105" i="1"/>
  <c r="CF105" i="1"/>
  <c r="CB106" i="1"/>
  <c r="CC106" i="1"/>
  <c r="CD106" i="1"/>
  <c r="CE106" i="1"/>
  <c r="CF106" i="1"/>
  <c r="CB107" i="1"/>
  <c r="CC107" i="1"/>
  <c r="CD107" i="1"/>
  <c r="CE107" i="1"/>
  <c r="CF107" i="1"/>
  <c r="CB108" i="1"/>
  <c r="CC108" i="1"/>
  <c r="CD108" i="1"/>
  <c r="CE108" i="1"/>
  <c r="CF108" i="1"/>
  <c r="CB109" i="1"/>
  <c r="CC109" i="1"/>
  <c r="CD109" i="1"/>
  <c r="CE109" i="1"/>
  <c r="CF109" i="1"/>
  <c r="CB110" i="1"/>
  <c r="CC110" i="1"/>
  <c r="CD110" i="1"/>
  <c r="CE110" i="1"/>
  <c r="CF110" i="1"/>
  <c r="CB111" i="1"/>
  <c r="CC111" i="1"/>
  <c r="CD111" i="1"/>
  <c r="CE111" i="1"/>
  <c r="CF111" i="1"/>
  <c r="CB112" i="1"/>
  <c r="CC112" i="1"/>
  <c r="CD112" i="1"/>
  <c r="CE112" i="1"/>
  <c r="CF112" i="1"/>
  <c r="CB113" i="1"/>
  <c r="CC113" i="1"/>
  <c r="CD113" i="1"/>
  <c r="CE113" i="1"/>
  <c r="CF113" i="1"/>
  <c r="CB114" i="1"/>
  <c r="CC114" i="1"/>
  <c r="CD114" i="1"/>
  <c r="CE114" i="1"/>
  <c r="CF114" i="1"/>
  <c r="CB115" i="1"/>
  <c r="CC115" i="1"/>
  <c r="CD115" i="1"/>
  <c r="CE115" i="1"/>
  <c r="CF115" i="1"/>
  <c r="CB116" i="1"/>
  <c r="CC116" i="1"/>
  <c r="CD116" i="1"/>
  <c r="CE116" i="1"/>
  <c r="CF116" i="1"/>
  <c r="CB117" i="1"/>
  <c r="CC117" i="1"/>
  <c r="CD117" i="1"/>
  <c r="CE117" i="1"/>
  <c r="CF117" i="1"/>
  <c r="CB118" i="1"/>
  <c r="CC118" i="1"/>
  <c r="CD118" i="1"/>
  <c r="CE118" i="1"/>
  <c r="CF118" i="1"/>
  <c r="CB119" i="1"/>
  <c r="CC119" i="1"/>
  <c r="CD119" i="1"/>
  <c r="CE119" i="1"/>
  <c r="CF119" i="1"/>
  <c r="CB120" i="1"/>
  <c r="CC120" i="1"/>
  <c r="CD120" i="1"/>
  <c r="CE120" i="1"/>
  <c r="CF120" i="1"/>
  <c r="CB121" i="1"/>
  <c r="CC121" i="1"/>
  <c r="CD121" i="1"/>
  <c r="CE121" i="1"/>
  <c r="CF121" i="1"/>
  <c r="CB122" i="1"/>
  <c r="CC122" i="1"/>
  <c r="CD122" i="1"/>
  <c r="CE122" i="1"/>
  <c r="CF122" i="1"/>
  <c r="CB123" i="1"/>
  <c r="CC123" i="1"/>
  <c r="CD123" i="1"/>
  <c r="CE123" i="1"/>
  <c r="CF123" i="1"/>
  <c r="CB124" i="1"/>
  <c r="CC124" i="1"/>
  <c r="CD124" i="1"/>
  <c r="CE124" i="1"/>
  <c r="CF124" i="1"/>
  <c r="CB125" i="1"/>
  <c r="CC125" i="1"/>
  <c r="CD125" i="1"/>
  <c r="CE125" i="1"/>
  <c r="CF125" i="1"/>
  <c r="CB126" i="1"/>
  <c r="CC126" i="1"/>
  <c r="CD126" i="1"/>
  <c r="CE126" i="1"/>
  <c r="CF126" i="1"/>
  <c r="CB127" i="1"/>
  <c r="CC127" i="1"/>
  <c r="CD127" i="1"/>
  <c r="CE127" i="1"/>
  <c r="CF127" i="1"/>
  <c r="CB128" i="1"/>
  <c r="CC128" i="1"/>
  <c r="CD128" i="1"/>
  <c r="CE128" i="1"/>
  <c r="CF128" i="1"/>
  <c r="CB129" i="1"/>
  <c r="CC129" i="1"/>
  <c r="CD129" i="1"/>
  <c r="CE129" i="1"/>
  <c r="CF129" i="1"/>
  <c r="CB130" i="1"/>
  <c r="CC130" i="1"/>
  <c r="CD130" i="1"/>
  <c r="CE130" i="1"/>
  <c r="CF130" i="1"/>
  <c r="CB131" i="1"/>
  <c r="CC131" i="1"/>
  <c r="CD131" i="1"/>
  <c r="CE131" i="1"/>
  <c r="CF131" i="1"/>
  <c r="CB132" i="1"/>
  <c r="CC132" i="1"/>
  <c r="CD132" i="1"/>
  <c r="CE132" i="1"/>
  <c r="CF132" i="1"/>
  <c r="CB133" i="1"/>
  <c r="CC133" i="1"/>
  <c r="CD133" i="1"/>
  <c r="CE133" i="1"/>
  <c r="CF133" i="1"/>
  <c r="CB134" i="1"/>
  <c r="CC134" i="1"/>
  <c r="CD134" i="1"/>
  <c r="CE134" i="1"/>
  <c r="CF134" i="1"/>
  <c r="CB135" i="1"/>
  <c r="CC135" i="1"/>
  <c r="CD135" i="1"/>
  <c r="CE135" i="1"/>
  <c r="CF135" i="1"/>
  <c r="CB136" i="1"/>
  <c r="CC136" i="1"/>
  <c r="CD136" i="1"/>
  <c r="CE136" i="1"/>
  <c r="CF136" i="1"/>
  <c r="CB137" i="1"/>
  <c r="CC137" i="1"/>
  <c r="CD137" i="1"/>
  <c r="CE137" i="1"/>
  <c r="CF137" i="1"/>
  <c r="CB138" i="1"/>
  <c r="CC138" i="1"/>
  <c r="CD138" i="1"/>
  <c r="CE138" i="1"/>
  <c r="CF138" i="1"/>
  <c r="CB139" i="1"/>
  <c r="CC139" i="1"/>
  <c r="CD139" i="1"/>
  <c r="CE139" i="1"/>
  <c r="CF139" i="1"/>
  <c r="CB140" i="1"/>
  <c r="CC140" i="1"/>
  <c r="CD140" i="1"/>
  <c r="CE140" i="1"/>
  <c r="CF140" i="1"/>
  <c r="CB141" i="1"/>
  <c r="CC141" i="1"/>
  <c r="CD141" i="1"/>
  <c r="CE141" i="1"/>
  <c r="CF141" i="1"/>
  <c r="CB142" i="1"/>
  <c r="CC142" i="1"/>
  <c r="CD142" i="1"/>
  <c r="CE142" i="1"/>
  <c r="CF142" i="1"/>
  <c r="CB143" i="1"/>
  <c r="CC143" i="1"/>
  <c r="CD143" i="1"/>
  <c r="CE143" i="1"/>
  <c r="CF143" i="1"/>
  <c r="CB144" i="1"/>
  <c r="CC144" i="1"/>
  <c r="CD144" i="1"/>
  <c r="CE144" i="1"/>
  <c r="CF144" i="1"/>
  <c r="CB145" i="1"/>
  <c r="CC145" i="1"/>
  <c r="CD145" i="1"/>
  <c r="CE145" i="1"/>
  <c r="CF145" i="1"/>
  <c r="CB146" i="1"/>
  <c r="CC146" i="1"/>
  <c r="CD146" i="1"/>
  <c r="CE146" i="1"/>
  <c r="CF146" i="1"/>
  <c r="CB147" i="1"/>
  <c r="CC147" i="1"/>
  <c r="CD147" i="1"/>
  <c r="CE147" i="1"/>
  <c r="CF147" i="1"/>
  <c r="CB148" i="1"/>
  <c r="CC148" i="1"/>
  <c r="CD148" i="1"/>
  <c r="CE148" i="1"/>
  <c r="CF148" i="1"/>
  <c r="CB149" i="1"/>
  <c r="CC149" i="1"/>
  <c r="CD149" i="1"/>
  <c r="CE149" i="1"/>
  <c r="CF149" i="1"/>
  <c r="CB150" i="1"/>
  <c r="CC150" i="1"/>
  <c r="CD150" i="1"/>
  <c r="CE150" i="1"/>
  <c r="CF150" i="1"/>
  <c r="CB151" i="1"/>
  <c r="CC151" i="1"/>
  <c r="CD151" i="1"/>
  <c r="CE151" i="1"/>
  <c r="CF151" i="1"/>
  <c r="CB152" i="1"/>
  <c r="CC152" i="1"/>
  <c r="CD152" i="1"/>
  <c r="CE152" i="1"/>
  <c r="CF152" i="1"/>
  <c r="CB153" i="1"/>
  <c r="CC153" i="1"/>
  <c r="CD153" i="1"/>
  <c r="CE153" i="1"/>
  <c r="CF153" i="1"/>
  <c r="CB154" i="1"/>
  <c r="CC154" i="1"/>
  <c r="CD154" i="1"/>
  <c r="CE154" i="1"/>
  <c r="CF154" i="1"/>
  <c r="CB155" i="1"/>
  <c r="CC155" i="1"/>
  <c r="CD155" i="1"/>
  <c r="CE155" i="1"/>
  <c r="CF155" i="1"/>
  <c r="CB156" i="1"/>
  <c r="CC156" i="1"/>
  <c r="CD156" i="1"/>
  <c r="CE156" i="1"/>
  <c r="CF156" i="1"/>
  <c r="CB157" i="1"/>
  <c r="CC157" i="1"/>
  <c r="CD157" i="1"/>
  <c r="CE157" i="1"/>
  <c r="CF157" i="1"/>
  <c r="CB158" i="1"/>
  <c r="CC158" i="1"/>
  <c r="CD158" i="1"/>
  <c r="CE158" i="1"/>
  <c r="CF158" i="1"/>
  <c r="CB159" i="1"/>
  <c r="CC159" i="1"/>
  <c r="CD159" i="1"/>
  <c r="CE159" i="1"/>
  <c r="CF159" i="1"/>
  <c r="CB160" i="1"/>
  <c r="CC160" i="1"/>
  <c r="CD160" i="1"/>
  <c r="CE160" i="1"/>
  <c r="CF160" i="1"/>
  <c r="CB161" i="1"/>
  <c r="CC161" i="1"/>
  <c r="CD161" i="1"/>
  <c r="CE161" i="1"/>
  <c r="CF161" i="1"/>
  <c r="CB162" i="1"/>
  <c r="CC162" i="1"/>
  <c r="CD162" i="1"/>
  <c r="CE162" i="1"/>
  <c r="CF162" i="1"/>
  <c r="CB163" i="1"/>
  <c r="CC163" i="1"/>
  <c r="CD163" i="1"/>
  <c r="CE163" i="1"/>
  <c r="CF163" i="1"/>
  <c r="CB164" i="1"/>
  <c r="CC164" i="1"/>
  <c r="CD164" i="1"/>
  <c r="CE164" i="1"/>
  <c r="CF164" i="1"/>
  <c r="CB165" i="1"/>
  <c r="CC165" i="1"/>
  <c r="CD165" i="1"/>
  <c r="CE165" i="1"/>
  <c r="CF165" i="1"/>
  <c r="CB166" i="1"/>
  <c r="CC166" i="1"/>
  <c r="CD166" i="1"/>
  <c r="CE166" i="1"/>
  <c r="CF166" i="1"/>
  <c r="CB167" i="1"/>
  <c r="CC167" i="1"/>
  <c r="CD167" i="1"/>
  <c r="CE167" i="1"/>
  <c r="CF167" i="1"/>
  <c r="CB168" i="1"/>
  <c r="CC168" i="1"/>
  <c r="CD168" i="1"/>
  <c r="CE168" i="1"/>
  <c r="CF168" i="1"/>
  <c r="CB169" i="1"/>
  <c r="CC169" i="1"/>
  <c r="CD169" i="1"/>
  <c r="CE169" i="1"/>
  <c r="CF169" i="1"/>
  <c r="CB170" i="1"/>
  <c r="CC170" i="1"/>
  <c r="CD170" i="1"/>
  <c r="CE170" i="1"/>
  <c r="CF170" i="1"/>
  <c r="CB171" i="1"/>
  <c r="CC171" i="1"/>
  <c r="CD171" i="1"/>
  <c r="CE171" i="1"/>
  <c r="CF171" i="1"/>
  <c r="CB172" i="1"/>
  <c r="CC172" i="1"/>
  <c r="CD172" i="1"/>
  <c r="CE172" i="1"/>
  <c r="CF172" i="1"/>
  <c r="CB173" i="1"/>
  <c r="CC173" i="1"/>
  <c r="CD173" i="1"/>
  <c r="CE173" i="1"/>
  <c r="CF173" i="1"/>
  <c r="CB174" i="1"/>
  <c r="CC174" i="1"/>
  <c r="CD174" i="1"/>
  <c r="CE174" i="1"/>
  <c r="CF174" i="1"/>
  <c r="CB175" i="1"/>
  <c r="CC175" i="1"/>
  <c r="CD175" i="1"/>
  <c r="CE175" i="1"/>
  <c r="CF175" i="1"/>
  <c r="CB176" i="1"/>
  <c r="CC176" i="1"/>
  <c r="CD176" i="1"/>
  <c r="CE176" i="1"/>
  <c r="CF176" i="1"/>
  <c r="CB177" i="1"/>
  <c r="CC177" i="1"/>
  <c r="CD177" i="1"/>
  <c r="CE177" i="1"/>
  <c r="CF177" i="1"/>
  <c r="CB178" i="1"/>
  <c r="CC178" i="1"/>
  <c r="CD178" i="1"/>
  <c r="CE178" i="1"/>
  <c r="CF178" i="1"/>
  <c r="CB179" i="1"/>
  <c r="CC179" i="1"/>
  <c r="CD179" i="1"/>
  <c r="CE179" i="1"/>
  <c r="CF179" i="1"/>
  <c r="CB180" i="1"/>
  <c r="CC180" i="1"/>
  <c r="CD180" i="1"/>
  <c r="CE180" i="1"/>
  <c r="CF180" i="1"/>
  <c r="CB181" i="1"/>
  <c r="CC181" i="1"/>
  <c r="CD181" i="1"/>
  <c r="CE181" i="1"/>
  <c r="CF181" i="1"/>
  <c r="CB182" i="1"/>
  <c r="CC182" i="1"/>
  <c r="CD182" i="1"/>
  <c r="CE182" i="1"/>
  <c r="CF182" i="1"/>
  <c r="CB183" i="1"/>
  <c r="CC183" i="1"/>
  <c r="CD183" i="1"/>
  <c r="CE183" i="1"/>
  <c r="CF183" i="1"/>
  <c r="CB184" i="1"/>
  <c r="CC184" i="1"/>
  <c r="CD184" i="1"/>
  <c r="CE184" i="1"/>
  <c r="CF184" i="1"/>
  <c r="CB185" i="1"/>
  <c r="CC185" i="1"/>
  <c r="CD185" i="1"/>
  <c r="CE185" i="1"/>
  <c r="CF185" i="1"/>
  <c r="CB186" i="1"/>
  <c r="CC186" i="1"/>
  <c r="CD186" i="1"/>
  <c r="CE186" i="1"/>
  <c r="CF186" i="1"/>
  <c r="CB187" i="1"/>
  <c r="CC187" i="1"/>
  <c r="CD187" i="1"/>
  <c r="CE187" i="1"/>
  <c r="CF187" i="1"/>
  <c r="CB188" i="1"/>
  <c r="CC188" i="1"/>
  <c r="CD188" i="1"/>
  <c r="CE188" i="1"/>
  <c r="CF188" i="1"/>
  <c r="CB189" i="1"/>
  <c r="CC189" i="1"/>
  <c r="CD189" i="1"/>
  <c r="CE189" i="1"/>
  <c r="CF189" i="1"/>
  <c r="CB190" i="1"/>
  <c r="CC190" i="1"/>
  <c r="CD190" i="1"/>
  <c r="CE190" i="1"/>
  <c r="CF190" i="1"/>
  <c r="CB191" i="1"/>
  <c r="CC191" i="1"/>
  <c r="CD191" i="1"/>
  <c r="CE191" i="1"/>
  <c r="CF191" i="1"/>
  <c r="CB192" i="1"/>
  <c r="CC192" i="1"/>
  <c r="CD192" i="1"/>
  <c r="CE192" i="1"/>
  <c r="CF192" i="1"/>
  <c r="CB193" i="1"/>
  <c r="CC193" i="1"/>
  <c r="CD193" i="1"/>
  <c r="CE193" i="1"/>
  <c r="CF193" i="1"/>
  <c r="CB194" i="1"/>
  <c r="CC194" i="1"/>
  <c r="CD194" i="1"/>
  <c r="CE194" i="1"/>
  <c r="CF194" i="1"/>
  <c r="CB195" i="1"/>
  <c r="CC195" i="1"/>
  <c r="CD195" i="1"/>
  <c r="CE195" i="1"/>
  <c r="CF195" i="1"/>
  <c r="CB196" i="1"/>
  <c r="CC196" i="1"/>
  <c r="CD196" i="1"/>
  <c r="CE196" i="1"/>
  <c r="CF196" i="1"/>
  <c r="CB197" i="1"/>
  <c r="CC197" i="1"/>
  <c r="CD197" i="1"/>
  <c r="CE197" i="1"/>
  <c r="CF197" i="1"/>
  <c r="CB198" i="1"/>
  <c r="CC198" i="1"/>
  <c r="CD198" i="1"/>
  <c r="CE198" i="1"/>
  <c r="CF198" i="1"/>
  <c r="CB199" i="1"/>
  <c r="CC199" i="1"/>
  <c r="CD199" i="1"/>
  <c r="CE199" i="1"/>
  <c r="CF199" i="1"/>
  <c r="CB200" i="1"/>
  <c r="CC200" i="1"/>
  <c r="CD200" i="1"/>
  <c r="CE200" i="1"/>
  <c r="CF200" i="1"/>
  <c r="CB201" i="1"/>
  <c r="CC201" i="1"/>
  <c r="CD201" i="1"/>
  <c r="CE201" i="1"/>
  <c r="CF201" i="1"/>
  <c r="CB202" i="1"/>
  <c r="CC202" i="1"/>
  <c r="CD202" i="1"/>
  <c r="CE202" i="1"/>
  <c r="CF202" i="1"/>
  <c r="CB3" i="1"/>
  <c r="CC3" i="1"/>
  <c r="CD3" i="1"/>
  <c r="CE3" i="1"/>
  <c r="CF3" i="1"/>
  <c r="BV4" i="1"/>
  <c r="BW4" i="1"/>
  <c r="BX4" i="1"/>
  <c r="BY4" i="1"/>
  <c r="BZ4" i="1"/>
  <c r="BV5" i="1"/>
  <c r="BW5" i="1"/>
  <c r="BX5" i="1"/>
  <c r="BY5" i="1"/>
  <c r="BZ5" i="1"/>
  <c r="BV6" i="1"/>
  <c r="BW6" i="1"/>
  <c r="BX6" i="1"/>
  <c r="BY6" i="1"/>
  <c r="BZ6" i="1"/>
  <c r="BV7" i="1"/>
  <c r="BW7" i="1"/>
  <c r="BX7" i="1"/>
  <c r="BY7" i="1"/>
  <c r="BZ7" i="1"/>
  <c r="BV8" i="1"/>
  <c r="BW8" i="1"/>
  <c r="BX8" i="1"/>
  <c r="BY8" i="1"/>
  <c r="BZ8" i="1"/>
  <c r="BV9" i="1"/>
  <c r="BW9" i="1"/>
  <c r="BX9" i="1"/>
  <c r="BY9" i="1"/>
  <c r="BZ9" i="1"/>
  <c r="BV10" i="1"/>
  <c r="BW10" i="1"/>
  <c r="BX10" i="1"/>
  <c r="BY10" i="1"/>
  <c r="BZ10" i="1"/>
  <c r="BV11" i="1"/>
  <c r="BW11" i="1"/>
  <c r="BX11" i="1"/>
  <c r="BY11" i="1"/>
  <c r="BZ11" i="1"/>
  <c r="BV12" i="1"/>
  <c r="BW12" i="1"/>
  <c r="BX12" i="1"/>
  <c r="BY12" i="1"/>
  <c r="BZ12" i="1"/>
  <c r="BV13" i="1"/>
  <c r="BW13" i="1"/>
  <c r="BX13" i="1"/>
  <c r="BY13" i="1"/>
  <c r="BZ13" i="1"/>
  <c r="BV14" i="1"/>
  <c r="BW14" i="1"/>
  <c r="BX14" i="1"/>
  <c r="BY14" i="1"/>
  <c r="BZ14" i="1"/>
  <c r="BV15" i="1"/>
  <c r="BW15" i="1"/>
  <c r="BX15" i="1"/>
  <c r="BY15" i="1"/>
  <c r="BZ15" i="1"/>
  <c r="BV16" i="1"/>
  <c r="BW16" i="1"/>
  <c r="BX16" i="1"/>
  <c r="BY16" i="1"/>
  <c r="BZ16" i="1"/>
  <c r="BV17" i="1"/>
  <c r="BW17" i="1"/>
  <c r="BX17" i="1"/>
  <c r="BY17" i="1"/>
  <c r="BZ17" i="1"/>
  <c r="BV18" i="1"/>
  <c r="BW18" i="1"/>
  <c r="BX18" i="1"/>
  <c r="BY18" i="1"/>
  <c r="BZ18" i="1"/>
  <c r="BV19" i="1"/>
  <c r="BW19" i="1"/>
  <c r="BX19" i="1"/>
  <c r="BY19" i="1"/>
  <c r="BZ19" i="1"/>
  <c r="BV20" i="1"/>
  <c r="BW20" i="1"/>
  <c r="BX20" i="1"/>
  <c r="BY20" i="1"/>
  <c r="BZ20" i="1"/>
  <c r="BV21" i="1"/>
  <c r="BW21" i="1"/>
  <c r="BX21" i="1"/>
  <c r="BY21" i="1"/>
  <c r="BZ21" i="1"/>
  <c r="BV22" i="1"/>
  <c r="BW22" i="1"/>
  <c r="BX22" i="1"/>
  <c r="BY22" i="1"/>
  <c r="BZ22" i="1"/>
  <c r="BV23" i="1"/>
  <c r="BW23" i="1"/>
  <c r="BX23" i="1"/>
  <c r="BY23" i="1"/>
  <c r="BZ23" i="1"/>
  <c r="BV24" i="1"/>
  <c r="BW24" i="1"/>
  <c r="BX24" i="1"/>
  <c r="BY24" i="1"/>
  <c r="BZ24" i="1"/>
  <c r="BV25" i="1"/>
  <c r="BW25" i="1"/>
  <c r="BX25" i="1"/>
  <c r="BY25" i="1"/>
  <c r="BZ25" i="1"/>
  <c r="BV26" i="1"/>
  <c r="BW26" i="1"/>
  <c r="BX26" i="1"/>
  <c r="BY26" i="1"/>
  <c r="BZ26" i="1"/>
  <c r="BV27" i="1"/>
  <c r="BW27" i="1"/>
  <c r="BX27" i="1"/>
  <c r="BY27" i="1"/>
  <c r="BZ27" i="1"/>
  <c r="BV28" i="1"/>
  <c r="BW28" i="1"/>
  <c r="BX28" i="1"/>
  <c r="BY28" i="1"/>
  <c r="BZ28" i="1"/>
  <c r="BV29" i="1"/>
  <c r="BW29" i="1"/>
  <c r="BX29" i="1"/>
  <c r="BY29" i="1"/>
  <c r="BZ29" i="1"/>
  <c r="BV30" i="1"/>
  <c r="BW30" i="1"/>
  <c r="BX30" i="1"/>
  <c r="BY30" i="1"/>
  <c r="BZ30" i="1"/>
  <c r="BV31" i="1"/>
  <c r="BW31" i="1"/>
  <c r="BX31" i="1"/>
  <c r="BY31" i="1"/>
  <c r="BZ31" i="1"/>
  <c r="BV32" i="1"/>
  <c r="BW32" i="1"/>
  <c r="BX32" i="1"/>
  <c r="BY32" i="1"/>
  <c r="BZ32" i="1"/>
  <c r="BV33" i="1"/>
  <c r="BW33" i="1"/>
  <c r="BX33" i="1"/>
  <c r="BY33" i="1"/>
  <c r="BZ33" i="1"/>
  <c r="BV34" i="1"/>
  <c r="BW34" i="1"/>
  <c r="BX34" i="1"/>
  <c r="BY34" i="1"/>
  <c r="BZ34" i="1"/>
  <c r="BV35" i="1"/>
  <c r="BW35" i="1"/>
  <c r="BX35" i="1"/>
  <c r="BY35" i="1"/>
  <c r="BZ35" i="1"/>
  <c r="BV36" i="1"/>
  <c r="BW36" i="1"/>
  <c r="BX36" i="1"/>
  <c r="BY36" i="1"/>
  <c r="BZ36" i="1"/>
  <c r="BV37" i="1"/>
  <c r="BW37" i="1"/>
  <c r="BX37" i="1"/>
  <c r="BY37" i="1"/>
  <c r="BZ37" i="1"/>
  <c r="BV38" i="1"/>
  <c r="BW38" i="1"/>
  <c r="BX38" i="1"/>
  <c r="BY38" i="1"/>
  <c r="BZ38" i="1"/>
  <c r="BV39" i="1"/>
  <c r="BW39" i="1"/>
  <c r="BX39" i="1"/>
  <c r="BY39" i="1"/>
  <c r="BZ39" i="1"/>
  <c r="BV40" i="1"/>
  <c r="BW40" i="1"/>
  <c r="BX40" i="1"/>
  <c r="BY40" i="1"/>
  <c r="BZ40" i="1"/>
  <c r="BV41" i="1"/>
  <c r="BW41" i="1"/>
  <c r="BX41" i="1"/>
  <c r="BY41" i="1"/>
  <c r="BZ41" i="1"/>
  <c r="BV42" i="1"/>
  <c r="BW42" i="1"/>
  <c r="BX42" i="1"/>
  <c r="BY42" i="1"/>
  <c r="BZ42" i="1"/>
  <c r="BV43" i="1"/>
  <c r="BW43" i="1"/>
  <c r="BX43" i="1"/>
  <c r="BY43" i="1"/>
  <c r="BZ43" i="1"/>
  <c r="BV44" i="1"/>
  <c r="BW44" i="1"/>
  <c r="BX44" i="1"/>
  <c r="BY44" i="1"/>
  <c r="BZ44" i="1"/>
  <c r="BV45" i="1"/>
  <c r="BW45" i="1"/>
  <c r="BX45" i="1"/>
  <c r="BY45" i="1"/>
  <c r="BZ45" i="1"/>
  <c r="BV46" i="1"/>
  <c r="BW46" i="1"/>
  <c r="BX46" i="1"/>
  <c r="BY46" i="1"/>
  <c r="BZ46" i="1"/>
  <c r="BV47" i="1"/>
  <c r="BW47" i="1"/>
  <c r="BX47" i="1"/>
  <c r="BY47" i="1"/>
  <c r="BZ47" i="1"/>
  <c r="BV48" i="1"/>
  <c r="BW48" i="1"/>
  <c r="BX48" i="1"/>
  <c r="BY48" i="1"/>
  <c r="BZ48" i="1"/>
  <c r="BV49" i="1"/>
  <c r="BW49" i="1"/>
  <c r="BX49" i="1"/>
  <c r="BY49" i="1"/>
  <c r="BZ49" i="1"/>
  <c r="BV50" i="1"/>
  <c r="BW50" i="1"/>
  <c r="BX50" i="1"/>
  <c r="BY50" i="1"/>
  <c r="BZ50" i="1"/>
  <c r="BV51" i="1"/>
  <c r="BW51" i="1"/>
  <c r="BX51" i="1"/>
  <c r="BY51" i="1"/>
  <c r="BZ51" i="1"/>
  <c r="BV52" i="1"/>
  <c r="BW52" i="1"/>
  <c r="BX52" i="1"/>
  <c r="BY52" i="1"/>
  <c r="BZ52" i="1"/>
  <c r="BV53" i="1"/>
  <c r="BW53" i="1"/>
  <c r="BX53" i="1"/>
  <c r="BY53" i="1"/>
  <c r="BZ53" i="1"/>
  <c r="BV54" i="1"/>
  <c r="BW54" i="1"/>
  <c r="BX54" i="1"/>
  <c r="BY54" i="1"/>
  <c r="BZ54" i="1"/>
  <c r="BV55" i="1"/>
  <c r="BW55" i="1"/>
  <c r="BX55" i="1"/>
  <c r="BY55" i="1"/>
  <c r="BZ55" i="1"/>
  <c r="BV56" i="1"/>
  <c r="BW56" i="1"/>
  <c r="BX56" i="1"/>
  <c r="BY56" i="1"/>
  <c r="BZ56" i="1"/>
  <c r="BV57" i="1"/>
  <c r="BW57" i="1"/>
  <c r="BX57" i="1"/>
  <c r="BY57" i="1"/>
  <c r="BZ57" i="1"/>
  <c r="BV58" i="1"/>
  <c r="BW58" i="1"/>
  <c r="BX58" i="1"/>
  <c r="BY58" i="1"/>
  <c r="BZ58" i="1"/>
  <c r="BV59" i="1"/>
  <c r="BW59" i="1"/>
  <c r="BX59" i="1"/>
  <c r="BY59" i="1"/>
  <c r="BZ59" i="1"/>
  <c r="BV60" i="1"/>
  <c r="BW60" i="1"/>
  <c r="BX60" i="1"/>
  <c r="BY60" i="1"/>
  <c r="BZ60" i="1"/>
  <c r="BV61" i="1"/>
  <c r="BW61" i="1"/>
  <c r="BX61" i="1"/>
  <c r="BY61" i="1"/>
  <c r="BZ61" i="1"/>
  <c r="BV62" i="1"/>
  <c r="BW62" i="1"/>
  <c r="BX62" i="1"/>
  <c r="BY62" i="1"/>
  <c r="BZ62" i="1"/>
  <c r="BV63" i="1"/>
  <c r="BW63" i="1"/>
  <c r="BX63" i="1"/>
  <c r="BY63" i="1"/>
  <c r="BZ63" i="1"/>
  <c r="BV64" i="1"/>
  <c r="BW64" i="1"/>
  <c r="BX64" i="1"/>
  <c r="BY64" i="1"/>
  <c r="BZ64" i="1"/>
  <c r="BV65" i="1"/>
  <c r="BW65" i="1"/>
  <c r="BX65" i="1"/>
  <c r="BY65" i="1"/>
  <c r="BZ65" i="1"/>
  <c r="BV66" i="1"/>
  <c r="BW66" i="1"/>
  <c r="BX66" i="1"/>
  <c r="BY66" i="1"/>
  <c r="BZ66" i="1"/>
  <c r="BV67" i="1"/>
  <c r="BW67" i="1"/>
  <c r="BX67" i="1"/>
  <c r="BY67" i="1"/>
  <c r="BZ67" i="1"/>
  <c r="BV68" i="1"/>
  <c r="BW68" i="1"/>
  <c r="BX68" i="1"/>
  <c r="BY68" i="1"/>
  <c r="BZ68" i="1"/>
  <c r="BV69" i="1"/>
  <c r="BW69" i="1"/>
  <c r="BX69" i="1"/>
  <c r="BY69" i="1"/>
  <c r="BZ69" i="1"/>
  <c r="BV70" i="1"/>
  <c r="BW70" i="1"/>
  <c r="BX70" i="1"/>
  <c r="BY70" i="1"/>
  <c r="BZ70" i="1"/>
  <c r="BV71" i="1"/>
  <c r="BW71" i="1"/>
  <c r="BX71" i="1"/>
  <c r="BY71" i="1"/>
  <c r="BZ71" i="1"/>
  <c r="BV72" i="1"/>
  <c r="BW72" i="1"/>
  <c r="BX72" i="1"/>
  <c r="BY72" i="1"/>
  <c r="BZ72" i="1"/>
  <c r="BV73" i="1"/>
  <c r="BW73" i="1"/>
  <c r="BX73" i="1"/>
  <c r="BY73" i="1"/>
  <c r="BZ73" i="1"/>
  <c r="BV74" i="1"/>
  <c r="BW74" i="1"/>
  <c r="BX74" i="1"/>
  <c r="BY74" i="1"/>
  <c r="BZ74" i="1"/>
  <c r="BV75" i="1"/>
  <c r="BW75" i="1"/>
  <c r="BX75" i="1"/>
  <c r="BY75" i="1"/>
  <c r="BZ75" i="1"/>
  <c r="BV76" i="1"/>
  <c r="BW76" i="1"/>
  <c r="BX76" i="1"/>
  <c r="BY76" i="1"/>
  <c r="BZ76" i="1"/>
  <c r="BV77" i="1"/>
  <c r="BW77" i="1"/>
  <c r="BX77" i="1"/>
  <c r="BY77" i="1"/>
  <c r="BZ77" i="1"/>
  <c r="BV78" i="1"/>
  <c r="BW78" i="1"/>
  <c r="BX78" i="1"/>
  <c r="BY78" i="1"/>
  <c r="BZ78" i="1"/>
  <c r="BV79" i="1"/>
  <c r="BW79" i="1"/>
  <c r="BX79" i="1"/>
  <c r="BY79" i="1"/>
  <c r="BZ79" i="1"/>
  <c r="BV80" i="1"/>
  <c r="BW80" i="1"/>
  <c r="BX80" i="1"/>
  <c r="BY80" i="1"/>
  <c r="BZ80" i="1"/>
  <c r="BV81" i="1"/>
  <c r="BW81" i="1"/>
  <c r="BX81" i="1"/>
  <c r="BY81" i="1"/>
  <c r="BZ81" i="1"/>
  <c r="BV82" i="1"/>
  <c r="BW82" i="1"/>
  <c r="BX82" i="1"/>
  <c r="BY82" i="1"/>
  <c r="BZ82" i="1"/>
  <c r="BV83" i="1"/>
  <c r="BW83" i="1"/>
  <c r="BX83" i="1"/>
  <c r="BY83" i="1"/>
  <c r="BZ83" i="1"/>
  <c r="BV84" i="1"/>
  <c r="BW84" i="1"/>
  <c r="BX84" i="1"/>
  <c r="BY84" i="1"/>
  <c r="BZ84" i="1"/>
  <c r="BV85" i="1"/>
  <c r="BW85" i="1"/>
  <c r="BX85" i="1"/>
  <c r="BY85" i="1"/>
  <c r="BZ85" i="1"/>
  <c r="BV86" i="1"/>
  <c r="BW86" i="1"/>
  <c r="BX86" i="1"/>
  <c r="BY86" i="1"/>
  <c r="BZ86" i="1"/>
  <c r="BV87" i="1"/>
  <c r="BW87" i="1"/>
  <c r="BX87" i="1"/>
  <c r="BY87" i="1"/>
  <c r="BZ87" i="1"/>
  <c r="BV88" i="1"/>
  <c r="BW88" i="1"/>
  <c r="BX88" i="1"/>
  <c r="BY88" i="1"/>
  <c r="BZ88" i="1"/>
  <c r="BV89" i="1"/>
  <c r="BW89" i="1"/>
  <c r="BX89" i="1"/>
  <c r="BY89" i="1"/>
  <c r="BZ89" i="1"/>
  <c r="BV90" i="1"/>
  <c r="BW90" i="1"/>
  <c r="BX90" i="1"/>
  <c r="BY90" i="1"/>
  <c r="BZ90" i="1"/>
  <c r="BV91" i="1"/>
  <c r="BW91" i="1"/>
  <c r="BX91" i="1"/>
  <c r="BY91" i="1"/>
  <c r="BZ91" i="1"/>
  <c r="BV92" i="1"/>
  <c r="BW92" i="1"/>
  <c r="BX92" i="1"/>
  <c r="BY92" i="1"/>
  <c r="BZ92" i="1"/>
  <c r="BV93" i="1"/>
  <c r="BW93" i="1"/>
  <c r="BX93" i="1"/>
  <c r="BY93" i="1"/>
  <c r="BZ93" i="1"/>
  <c r="BV94" i="1"/>
  <c r="BW94" i="1"/>
  <c r="BX94" i="1"/>
  <c r="BY94" i="1"/>
  <c r="BZ94" i="1"/>
  <c r="BV95" i="1"/>
  <c r="BW95" i="1"/>
  <c r="BX95" i="1"/>
  <c r="BY95" i="1"/>
  <c r="BZ95" i="1"/>
  <c r="BV96" i="1"/>
  <c r="BW96" i="1"/>
  <c r="BX96" i="1"/>
  <c r="BY96" i="1"/>
  <c r="BZ96" i="1"/>
  <c r="BV97" i="1"/>
  <c r="BW97" i="1"/>
  <c r="BX97" i="1"/>
  <c r="BY97" i="1"/>
  <c r="BZ97" i="1"/>
  <c r="BV98" i="1"/>
  <c r="BW98" i="1"/>
  <c r="BX98" i="1"/>
  <c r="BY98" i="1"/>
  <c r="BZ98" i="1"/>
  <c r="BV99" i="1"/>
  <c r="BW99" i="1"/>
  <c r="BX99" i="1"/>
  <c r="BY99" i="1"/>
  <c r="BZ99" i="1"/>
  <c r="BV100" i="1"/>
  <c r="BW100" i="1"/>
  <c r="BX100" i="1"/>
  <c r="BY100" i="1"/>
  <c r="BZ100" i="1"/>
  <c r="BV101" i="1"/>
  <c r="BW101" i="1"/>
  <c r="BX101" i="1"/>
  <c r="BY101" i="1"/>
  <c r="BZ101" i="1"/>
  <c r="BV102" i="1"/>
  <c r="BW102" i="1"/>
  <c r="BX102" i="1"/>
  <c r="BY102" i="1"/>
  <c r="BZ102" i="1"/>
  <c r="BV103" i="1"/>
  <c r="BW103" i="1"/>
  <c r="BX103" i="1"/>
  <c r="BY103" i="1"/>
  <c r="BZ103" i="1"/>
  <c r="BV104" i="1"/>
  <c r="BW104" i="1"/>
  <c r="BX104" i="1"/>
  <c r="BY104" i="1"/>
  <c r="BZ104" i="1"/>
  <c r="BV105" i="1"/>
  <c r="BW105" i="1"/>
  <c r="BX105" i="1"/>
  <c r="BY105" i="1"/>
  <c r="BZ105" i="1"/>
  <c r="BV106" i="1"/>
  <c r="BW106" i="1"/>
  <c r="BX106" i="1"/>
  <c r="BY106" i="1"/>
  <c r="BZ106" i="1"/>
  <c r="BV107" i="1"/>
  <c r="BW107" i="1"/>
  <c r="BX107" i="1"/>
  <c r="BY107" i="1"/>
  <c r="BZ107" i="1"/>
  <c r="BV108" i="1"/>
  <c r="BW108" i="1"/>
  <c r="BX108" i="1"/>
  <c r="BY108" i="1"/>
  <c r="BZ108" i="1"/>
  <c r="BV109" i="1"/>
  <c r="BW109" i="1"/>
  <c r="BX109" i="1"/>
  <c r="BY109" i="1"/>
  <c r="BZ109" i="1"/>
  <c r="BV110" i="1"/>
  <c r="BW110" i="1"/>
  <c r="BX110" i="1"/>
  <c r="BY110" i="1"/>
  <c r="BZ110" i="1"/>
  <c r="BV111" i="1"/>
  <c r="BW111" i="1"/>
  <c r="BX111" i="1"/>
  <c r="BY111" i="1"/>
  <c r="BZ111" i="1"/>
  <c r="BV112" i="1"/>
  <c r="BW112" i="1"/>
  <c r="BX112" i="1"/>
  <c r="BY112" i="1"/>
  <c r="BZ112" i="1"/>
  <c r="BV113" i="1"/>
  <c r="BW113" i="1"/>
  <c r="BX113" i="1"/>
  <c r="BY113" i="1"/>
  <c r="BZ113" i="1"/>
  <c r="BV114" i="1"/>
  <c r="BW114" i="1"/>
  <c r="BX114" i="1"/>
  <c r="BY114" i="1"/>
  <c r="BZ114" i="1"/>
  <c r="BV115" i="1"/>
  <c r="BW115" i="1"/>
  <c r="BX115" i="1"/>
  <c r="BY115" i="1"/>
  <c r="BZ115" i="1"/>
  <c r="BV116" i="1"/>
  <c r="BW116" i="1"/>
  <c r="BX116" i="1"/>
  <c r="BY116" i="1"/>
  <c r="BZ116" i="1"/>
  <c r="BV117" i="1"/>
  <c r="BW117" i="1"/>
  <c r="BX117" i="1"/>
  <c r="BY117" i="1"/>
  <c r="BZ117" i="1"/>
  <c r="BV118" i="1"/>
  <c r="BW118" i="1"/>
  <c r="BX118" i="1"/>
  <c r="BY118" i="1"/>
  <c r="BZ118" i="1"/>
  <c r="BV119" i="1"/>
  <c r="BW119" i="1"/>
  <c r="BX119" i="1"/>
  <c r="BY119" i="1"/>
  <c r="BZ119" i="1"/>
  <c r="BV120" i="1"/>
  <c r="BW120" i="1"/>
  <c r="BX120" i="1"/>
  <c r="BY120" i="1"/>
  <c r="BZ120" i="1"/>
  <c r="BV121" i="1"/>
  <c r="BW121" i="1"/>
  <c r="BX121" i="1"/>
  <c r="BY121" i="1"/>
  <c r="BZ121" i="1"/>
  <c r="BV122" i="1"/>
  <c r="BW122" i="1"/>
  <c r="BX122" i="1"/>
  <c r="BY122" i="1"/>
  <c r="BZ122" i="1"/>
  <c r="BV123" i="1"/>
  <c r="BW123" i="1"/>
  <c r="BX123" i="1"/>
  <c r="BY123" i="1"/>
  <c r="BZ123" i="1"/>
  <c r="BV124" i="1"/>
  <c r="BW124" i="1"/>
  <c r="BX124" i="1"/>
  <c r="BY124" i="1"/>
  <c r="BZ124" i="1"/>
  <c r="BV125" i="1"/>
  <c r="BW125" i="1"/>
  <c r="BX125" i="1"/>
  <c r="BY125" i="1"/>
  <c r="BZ125" i="1"/>
  <c r="BV126" i="1"/>
  <c r="BW126" i="1"/>
  <c r="BX126" i="1"/>
  <c r="BY126" i="1"/>
  <c r="BZ126" i="1"/>
  <c r="BV127" i="1"/>
  <c r="BW127" i="1"/>
  <c r="BX127" i="1"/>
  <c r="BY127" i="1"/>
  <c r="BZ127" i="1"/>
  <c r="BV128" i="1"/>
  <c r="BW128" i="1"/>
  <c r="BX128" i="1"/>
  <c r="BY128" i="1"/>
  <c r="BZ128" i="1"/>
  <c r="BV129" i="1"/>
  <c r="BW129" i="1"/>
  <c r="BX129" i="1"/>
  <c r="BY129" i="1"/>
  <c r="BZ129" i="1"/>
  <c r="BV130" i="1"/>
  <c r="BW130" i="1"/>
  <c r="BX130" i="1"/>
  <c r="BY130" i="1"/>
  <c r="BZ130" i="1"/>
  <c r="BV131" i="1"/>
  <c r="BW131" i="1"/>
  <c r="BX131" i="1"/>
  <c r="BY131" i="1"/>
  <c r="BZ131" i="1"/>
  <c r="BV132" i="1"/>
  <c r="BW132" i="1"/>
  <c r="BX132" i="1"/>
  <c r="BY132" i="1"/>
  <c r="BZ132" i="1"/>
  <c r="BV133" i="1"/>
  <c r="BW133" i="1"/>
  <c r="BX133" i="1"/>
  <c r="BY133" i="1"/>
  <c r="BZ133" i="1"/>
  <c r="BV134" i="1"/>
  <c r="BW134" i="1"/>
  <c r="BX134" i="1"/>
  <c r="BY134" i="1"/>
  <c r="BZ134" i="1"/>
  <c r="BV135" i="1"/>
  <c r="BW135" i="1"/>
  <c r="BX135" i="1"/>
  <c r="BY135" i="1"/>
  <c r="BZ135" i="1"/>
  <c r="BV136" i="1"/>
  <c r="BW136" i="1"/>
  <c r="BX136" i="1"/>
  <c r="BY136" i="1"/>
  <c r="BZ136" i="1"/>
  <c r="BV137" i="1"/>
  <c r="BW137" i="1"/>
  <c r="BX137" i="1"/>
  <c r="BY137" i="1"/>
  <c r="BZ137" i="1"/>
  <c r="BV138" i="1"/>
  <c r="BW138" i="1"/>
  <c r="BX138" i="1"/>
  <c r="BY138" i="1"/>
  <c r="BZ138" i="1"/>
  <c r="BV139" i="1"/>
  <c r="BW139" i="1"/>
  <c r="BX139" i="1"/>
  <c r="BY139" i="1"/>
  <c r="BZ139" i="1"/>
  <c r="BV140" i="1"/>
  <c r="BW140" i="1"/>
  <c r="BX140" i="1"/>
  <c r="BY140" i="1"/>
  <c r="BZ140" i="1"/>
  <c r="BV141" i="1"/>
  <c r="BW141" i="1"/>
  <c r="BX141" i="1"/>
  <c r="BY141" i="1"/>
  <c r="BZ141" i="1"/>
  <c r="BV142" i="1"/>
  <c r="BW142" i="1"/>
  <c r="BX142" i="1"/>
  <c r="BY142" i="1"/>
  <c r="BZ142" i="1"/>
  <c r="BV143" i="1"/>
  <c r="BW143" i="1"/>
  <c r="BX143" i="1"/>
  <c r="BY143" i="1"/>
  <c r="BZ143" i="1"/>
  <c r="BV144" i="1"/>
  <c r="BW144" i="1"/>
  <c r="BX144" i="1"/>
  <c r="BY144" i="1"/>
  <c r="BZ144" i="1"/>
  <c r="BV145" i="1"/>
  <c r="BW145" i="1"/>
  <c r="BX145" i="1"/>
  <c r="BY145" i="1"/>
  <c r="BZ145" i="1"/>
  <c r="BV146" i="1"/>
  <c r="BW146" i="1"/>
  <c r="BX146" i="1"/>
  <c r="BY146" i="1"/>
  <c r="BZ146" i="1"/>
  <c r="BV147" i="1"/>
  <c r="BW147" i="1"/>
  <c r="BX147" i="1"/>
  <c r="BY147" i="1"/>
  <c r="BZ147" i="1"/>
  <c r="BV148" i="1"/>
  <c r="BW148" i="1"/>
  <c r="BX148" i="1"/>
  <c r="BY148" i="1"/>
  <c r="BZ148" i="1"/>
  <c r="BV149" i="1"/>
  <c r="BW149" i="1"/>
  <c r="BX149" i="1"/>
  <c r="BY149" i="1"/>
  <c r="BZ149" i="1"/>
  <c r="BV150" i="1"/>
  <c r="BW150" i="1"/>
  <c r="BX150" i="1"/>
  <c r="BY150" i="1"/>
  <c r="BZ150" i="1"/>
  <c r="BV151" i="1"/>
  <c r="BW151" i="1"/>
  <c r="BX151" i="1"/>
  <c r="BY151" i="1"/>
  <c r="BZ151" i="1"/>
  <c r="BV152" i="1"/>
  <c r="BW152" i="1"/>
  <c r="BX152" i="1"/>
  <c r="BY152" i="1"/>
  <c r="BZ152" i="1"/>
  <c r="BV153" i="1"/>
  <c r="BW153" i="1"/>
  <c r="BX153" i="1"/>
  <c r="BY153" i="1"/>
  <c r="BZ153" i="1"/>
  <c r="BV154" i="1"/>
  <c r="BW154" i="1"/>
  <c r="BX154" i="1"/>
  <c r="BY154" i="1"/>
  <c r="BZ154" i="1"/>
  <c r="BV155" i="1"/>
  <c r="BW155" i="1"/>
  <c r="BX155" i="1"/>
  <c r="BY155" i="1"/>
  <c r="BZ155" i="1"/>
  <c r="BV156" i="1"/>
  <c r="BW156" i="1"/>
  <c r="BX156" i="1"/>
  <c r="BY156" i="1"/>
  <c r="BZ156" i="1"/>
  <c r="BV157" i="1"/>
  <c r="BW157" i="1"/>
  <c r="BX157" i="1"/>
  <c r="BY157" i="1"/>
  <c r="BZ157" i="1"/>
  <c r="BV158" i="1"/>
  <c r="BW158" i="1"/>
  <c r="BX158" i="1"/>
  <c r="BY158" i="1"/>
  <c r="BZ158" i="1"/>
  <c r="BV159" i="1"/>
  <c r="BW159" i="1"/>
  <c r="BX159" i="1"/>
  <c r="BY159" i="1"/>
  <c r="BZ159" i="1"/>
  <c r="BV160" i="1"/>
  <c r="BW160" i="1"/>
  <c r="BX160" i="1"/>
  <c r="BY160" i="1"/>
  <c r="BZ160" i="1"/>
  <c r="BV161" i="1"/>
  <c r="BW161" i="1"/>
  <c r="BX161" i="1"/>
  <c r="BY161" i="1"/>
  <c r="BZ161" i="1"/>
  <c r="BV162" i="1"/>
  <c r="BW162" i="1"/>
  <c r="BX162" i="1"/>
  <c r="BY162" i="1"/>
  <c r="BZ162" i="1"/>
  <c r="BV163" i="1"/>
  <c r="BW163" i="1"/>
  <c r="BX163" i="1"/>
  <c r="BY163" i="1"/>
  <c r="BZ163" i="1"/>
  <c r="BV164" i="1"/>
  <c r="BW164" i="1"/>
  <c r="BX164" i="1"/>
  <c r="BY164" i="1"/>
  <c r="BZ164" i="1"/>
  <c r="BV165" i="1"/>
  <c r="BW165" i="1"/>
  <c r="BX165" i="1"/>
  <c r="BY165" i="1"/>
  <c r="BZ165" i="1"/>
  <c r="BV166" i="1"/>
  <c r="BW166" i="1"/>
  <c r="BX166" i="1"/>
  <c r="BY166" i="1"/>
  <c r="BZ166" i="1"/>
  <c r="BV167" i="1"/>
  <c r="BW167" i="1"/>
  <c r="BX167" i="1"/>
  <c r="BY167" i="1"/>
  <c r="BZ167" i="1"/>
  <c r="BV168" i="1"/>
  <c r="BW168" i="1"/>
  <c r="BX168" i="1"/>
  <c r="BY168" i="1"/>
  <c r="BZ168" i="1"/>
  <c r="BV169" i="1"/>
  <c r="BW169" i="1"/>
  <c r="BX169" i="1"/>
  <c r="BY169" i="1"/>
  <c r="BZ169" i="1"/>
  <c r="BV170" i="1"/>
  <c r="BW170" i="1"/>
  <c r="BX170" i="1"/>
  <c r="BY170" i="1"/>
  <c r="BZ170" i="1"/>
  <c r="BV171" i="1"/>
  <c r="BW171" i="1"/>
  <c r="BX171" i="1"/>
  <c r="BY171" i="1"/>
  <c r="BZ171" i="1"/>
  <c r="BV172" i="1"/>
  <c r="BW172" i="1"/>
  <c r="BX172" i="1"/>
  <c r="BY172" i="1"/>
  <c r="BZ172" i="1"/>
  <c r="BV173" i="1"/>
  <c r="BW173" i="1"/>
  <c r="BX173" i="1"/>
  <c r="BY173" i="1"/>
  <c r="BZ173" i="1"/>
  <c r="BV174" i="1"/>
  <c r="BW174" i="1"/>
  <c r="BX174" i="1"/>
  <c r="BY174" i="1"/>
  <c r="BZ174" i="1"/>
  <c r="BV175" i="1"/>
  <c r="BW175" i="1"/>
  <c r="BX175" i="1"/>
  <c r="BY175" i="1"/>
  <c r="BZ175" i="1"/>
  <c r="BV176" i="1"/>
  <c r="BW176" i="1"/>
  <c r="BX176" i="1"/>
  <c r="BY176" i="1"/>
  <c r="BZ176" i="1"/>
  <c r="BV177" i="1"/>
  <c r="BW177" i="1"/>
  <c r="BX177" i="1"/>
  <c r="BY177" i="1"/>
  <c r="BZ177" i="1"/>
  <c r="BV178" i="1"/>
  <c r="BW178" i="1"/>
  <c r="BX178" i="1"/>
  <c r="BY178" i="1"/>
  <c r="BZ178" i="1"/>
  <c r="BV179" i="1"/>
  <c r="BW179" i="1"/>
  <c r="BX179" i="1"/>
  <c r="BY179" i="1"/>
  <c r="BZ179" i="1"/>
  <c r="BV180" i="1"/>
  <c r="BW180" i="1"/>
  <c r="BX180" i="1"/>
  <c r="BY180" i="1"/>
  <c r="BZ180" i="1"/>
  <c r="BV181" i="1"/>
  <c r="BW181" i="1"/>
  <c r="BX181" i="1"/>
  <c r="BY181" i="1"/>
  <c r="BZ181" i="1"/>
  <c r="BV182" i="1"/>
  <c r="BW182" i="1"/>
  <c r="BX182" i="1"/>
  <c r="BY182" i="1"/>
  <c r="BZ182" i="1"/>
  <c r="BV183" i="1"/>
  <c r="BW183" i="1"/>
  <c r="BX183" i="1"/>
  <c r="BY183" i="1"/>
  <c r="BZ183" i="1"/>
  <c r="BV184" i="1"/>
  <c r="BW184" i="1"/>
  <c r="BX184" i="1"/>
  <c r="BY184" i="1"/>
  <c r="BZ184" i="1"/>
  <c r="BV185" i="1"/>
  <c r="BW185" i="1"/>
  <c r="BX185" i="1"/>
  <c r="BY185" i="1"/>
  <c r="BZ185" i="1"/>
  <c r="BV186" i="1"/>
  <c r="BW186" i="1"/>
  <c r="BX186" i="1"/>
  <c r="BY186" i="1"/>
  <c r="BZ186" i="1"/>
  <c r="BV187" i="1"/>
  <c r="BW187" i="1"/>
  <c r="BX187" i="1"/>
  <c r="BY187" i="1"/>
  <c r="BZ187" i="1"/>
  <c r="BV188" i="1"/>
  <c r="BW188" i="1"/>
  <c r="BX188" i="1"/>
  <c r="BY188" i="1"/>
  <c r="BZ188" i="1"/>
  <c r="BV189" i="1"/>
  <c r="BW189" i="1"/>
  <c r="BX189" i="1"/>
  <c r="BY189" i="1"/>
  <c r="BZ189" i="1"/>
  <c r="BV190" i="1"/>
  <c r="BW190" i="1"/>
  <c r="BX190" i="1"/>
  <c r="BY190" i="1"/>
  <c r="BZ190" i="1"/>
  <c r="BV191" i="1"/>
  <c r="BW191" i="1"/>
  <c r="BX191" i="1"/>
  <c r="BY191" i="1"/>
  <c r="BZ191" i="1"/>
  <c r="BV192" i="1"/>
  <c r="BW192" i="1"/>
  <c r="BX192" i="1"/>
  <c r="BY192" i="1"/>
  <c r="BZ192" i="1"/>
  <c r="BV193" i="1"/>
  <c r="BW193" i="1"/>
  <c r="BX193" i="1"/>
  <c r="BY193" i="1"/>
  <c r="BZ193" i="1"/>
  <c r="BV194" i="1"/>
  <c r="BW194" i="1"/>
  <c r="BX194" i="1"/>
  <c r="BY194" i="1"/>
  <c r="BZ194" i="1"/>
  <c r="BV195" i="1"/>
  <c r="BW195" i="1"/>
  <c r="BX195" i="1"/>
  <c r="BY195" i="1"/>
  <c r="BZ195" i="1"/>
  <c r="BV196" i="1"/>
  <c r="BW196" i="1"/>
  <c r="BX196" i="1"/>
  <c r="BY196" i="1"/>
  <c r="BZ196" i="1"/>
  <c r="BV197" i="1"/>
  <c r="BW197" i="1"/>
  <c r="BX197" i="1"/>
  <c r="BY197" i="1"/>
  <c r="BZ197" i="1"/>
  <c r="BV198" i="1"/>
  <c r="BW198" i="1"/>
  <c r="BX198" i="1"/>
  <c r="BY198" i="1"/>
  <c r="BZ198" i="1"/>
  <c r="BV199" i="1"/>
  <c r="BW199" i="1"/>
  <c r="BX199" i="1"/>
  <c r="BY199" i="1"/>
  <c r="BZ199" i="1"/>
  <c r="BV200" i="1"/>
  <c r="BW200" i="1"/>
  <c r="BX200" i="1"/>
  <c r="BY200" i="1"/>
  <c r="BZ200" i="1"/>
  <c r="BV201" i="1"/>
  <c r="BW201" i="1"/>
  <c r="BX201" i="1"/>
  <c r="BY201" i="1"/>
  <c r="BZ201" i="1"/>
  <c r="BV202" i="1"/>
  <c r="BW202" i="1"/>
  <c r="BX202" i="1"/>
  <c r="BY202" i="1"/>
  <c r="BZ202" i="1"/>
  <c r="BV3" i="1"/>
  <c r="BW3" i="1"/>
  <c r="BX3" i="1"/>
  <c r="BY3" i="1"/>
  <c r="BZ3" i="1"/>
  <c r="BR3" i="1"/>
  <c r="BS3" i="1"/>
  <c r="BT3" i="1"/>
  <c r="BO3" i="1"/>
  <c r="BP3" i="1"/>
  <c r="BK3" i="1"/>
  <c r="BL3" i="1"/>
  <c r="BM3" i="1"/>
  <c r="BG3" i="1"/>
  <c r="BH3" i="1"/>
  <c r="BI3" i="1"/>
  <c r="BC3" i="1"/>
  <c r="BD3" i="1"/>
  <c r="BE3" i="1"/>
  <c r="AY4" i="1"/>
  <c r="AZ4" i="1"/>
  <c r="BA4" i="1"/>
  <c r="AY5" i="1"/>
  <c r="AZ5" i="1"/>
  <c r="BA5" i="1"/>
  <c r="AY6" i="1"/>
  <c r="AZ6" i="1"/>
  <c r="BA6" i="1"/>
  <c r="AY7" i="1"/>
  <c r="AZ7" i="1"/>
  <c r="BA7" i="1"/>
  <c r="AY8" i="1"/>
  <c r="AZ8" i="1"/>
  <c r="BA8" i="1"/>
  <c r="AY9" i="1"/>
  <c r="AZ9" i="1"/>
  <c r="BA9" i="1"/>
  <c r="AY10" i="1"/>
  <c r="AZ10" i="1"/>
  <c r="BA10" i="1"/>
  <c r="AY11" i="1"/>
  <c r="AZ11" i="1"/>
  <c r="BA11" i="1"/>
  <c r="AY12" i="1"/>
  <c r="AZ12" i="1"/>
  <c r="BA12" i="1"/>
  <c r="AY13" i="1"/>
  <c r="AZ13" i="1"/>
  <c r="BA13" i="1"/>
  <c r="AY14" i="1"/>
  <c r="AZ14" i="1"/>
  <c r="BA14" i="1"/>
  <c r="AY15" i="1"/>
  <c r="AZ15" i="1"/>
  <c r="BA15" i="1"/>
  <c r="AY16" i="1"/>
  <c r="AZ16" i="1"/>
  <c r="BA16" i="1"/>
  <c r="AY17" i="1"/>
  <c r="AZ17" i="1"/>
  <c r="BA17" i="1"/>
  <c r="AY18" i="1"/>
  <c r="AZ18" i="1"/>
  <c r="BA18" i="1"/>
  <c r="AY19" i="1"/>
  <c r="AZ19" i="1"/>
  <c r="BA19" i="1"/>
  <c r="AY20" i="1"/>
  <c r="AZ20" i="1"/>
  <c r="BA20" i="1"/>
  <c r="AY21" i="1"/>
  <c r="AZ21" i="1"/>
  <c r="BA21" i="1"/>
  <c r="AY22" i="1"/>
  <c r="AZ22" i="1"/>
  <c r="BA22" i="1"/>
  <c r="AY23" i="1"/>
  <c r="AZ23" i="1"/>
  <c r="BA23" i="1"/>
  <c r="AY24" i="1"/>
  <c r="AZ24" i="1"/>
  <c r="BA24" i="1"/>
  <c r="AY25" i="1"/>
  <c r="AZ25" i="1"/>
  <c r="BA25" i="1"/>
  <c r="AY26" i="1"/>
  <c r="AZ26" i="1"/>
  <c r="BA26" i="1"/>
  <c r="AY27" i="1"/>
  <c r="AZ27" i="1"/>
  <c r="BA27" i="1"/>
  <c r="AY28" i="1"/>
  <c r="AZ28" i="1"/>
  <c r="BA28" i="1"/>
  <c r="AY29" i="1"/>
  <c r="AZ29" i="1"/>
  <c r="BA29" i="1"/>
  <c r="AY30" i="1"/>
  <c r="AZ30" i="1"/>
  <c r="BA30" i="1"/>
  <c r="AY31" i="1"/>
  <c r="AZ31" i="1"/>
  <c r="BA31" i="1"/>
  <c r="AY32" i="1"/>
  <c r="AZ32" i="1"/>
  <c r="BA32" i="1"/>
  <c r="AY33" i="1"/>
  <c r="AZ33" i="1"/>
  <c r="BA33" i="1"/>
  <c r="AY34" i="1"/>
  <c r="AZ34" i="1"/>
  <c r="BA34" i="1"/>
  <c r="AY35" i="1"/>
  <c r="AZ35" i="1"/>
  <c r="BA35" i="1"/>
  <c r="AY36" i="1"/>
  <c r="AZ36" i="1"/>
  <c r="BA36" i="1"/>
  <c r="AY37" i="1"/>
  <c r="AZ37" i="1"/>
  <c r="BA37" i="1"/>
  <c r="AY38" i="1"/>
  <c r="AZ38" i="1"/>
  <c r="BA38" i="1"/>
  <c r="AY39" i="1"/>
  <c r="AZ39" i="1"/>
  <c r="BA39" i="1"/>
  <c r="AY40" i="1"/>
  <c r="AZ40" i="1"/>
  <c r="BA40" i="1"/>
  <c r="AY41" i="1"/>
  <c r="AZ41" i="1"/>
  <c r="BA41" i="1"/>
  <c r="AY42" i="1"/>
  <c r="AZ42" i="1"/>
  <c r="BA42" i="1"/>
  <c r="AY43" i="1"/>
  <c r="AZ43" i="1"/>
  <c r="BA43" i="1"/>
  <c r="AY44" i="1"/>
  <c r="AZ44" i="1"/>
  <c r="BA44" i="1"/>
  <c r="AY45" i="1"/>
  <c r="AZ45" i="1"/>
  <c r="BA45" i="1"/>
  <c r="AY46" i="1"/>
  <c r="AZ46" i="1"/>
  <c r="BA46" i="1"/>
  <c r="AY47" i="1"/>
  <c r="AZ47" i="1"/>
  <c r="BA47" i="1"/>
  <c r="AY48" i="1"/>
  <c r="AZ48" i="1"/>
  <c r="BA48" i="1"/>
  <c r="AY49" i="1"/>
  <c r="AZ49" i="1"/>
  <c r="BA49" i="1"/>
  <c r="AY50" i="1"/>
  <c r="AZ50" i="1"/>
  <c r="BA50" i="1"/>
  <c r="AY51" i="1"/>
  <c r="AZ51" i="1"/>
  <c r="BA51" i="1"/>
  <c r="AY52" i="1"/>
  <c r="AZ52" i="1"/>
  <c r="BA52" i="1"/>
  <c r="AY53" i="1"/>
  <c r="AZ53" i="1"/>
  <c r="BA53" i="1"/>
  <c r="AY54" i="1"/>
  <c r="AZ54" i="1"/>
  <c r="BA54" i="1"/>
  <c r="AY55" i="1"/>
  <c r="AZ55" i="1"/>
  <c r="BA55" i="1"/>
  <c r="AY56" i="1"/>
  <c r="AZ56" i="1"/>
  <c r="BA56" i="1"/>
  <c r="AY57" i="1"/>
  <c r="AZ57" i="1"/>
  <c r="BA57" i="1"/>
  <c r="AY58" i="1"/>
  <c r="AZ58" i="1"/>
  <c r="BA58" i="1"/>
  <c r="AY59" i="1"/>
  <c r="AZ59" i="1"/>
  <c r="BA59" i="1"/>
  <c r="AY60" i="1"/>
  <c r="AZ60" i="1"/>
  <c r="BA60" i="1"/>
  <c r="AY61" i="1"/>
  <c r="AZ61" i="1"/>
  <c r="BA61" i="1"/>
  <c r="AY62" i="1"/>
  <c r="AZ62" i="1"/>
  <c r="BA62" i="1"/>
  <c r="AY63" i="1"/>
  <c r="AZ63" i="1"/>
  <c r="BA63" i="1"/>
  <c r="AY64" i="1"/>
  <c r="AZ64" i="1"/>
  <c r="BA64" i="1"/>
  <c r="AY65" i="1"/>
  <c r="AZ65" i="1"/>
  <c r="BA65" i="1"/>
  <c r="AY66" i="1"/>
  <c r="AZ66" i="1"/>
  <c r="BA66" i="1"/>
  <c r="AY67" i="1"/>
  <c r="AZ67" i="1"/>
  <c r="BA67" i="1"/>
  <c r="AY68" i="1"/>
  <c r="AZ68" i="1"/>
  <c r="BA68" i="1"/>
  <c r="AY69" i="1"/>
  <c r="AZ69" i="1"/>
  <c r="BA69" i="1"/>
  <c r="AY70" i="1"/>
  <c r="AZ70" i="1"/>
  <c r="BA70" i="1"/>
  <c r="AY71" i="1"/>
  <c r="AZ71" i="1"/>
  <c r="BA71" i="1"/>
  <c r="AY72" i="1"/>
  <c r="AZ72" i="1"/>
  <c r="BA72" i="1"/>
  <c r="AY73" i="1"/>
  <c r="AZ73" i="1"/>
  <c r="BA73" i="1"/>
  <c r="AY74" i="1"/>
  <c r="AZ74" i="1"/>
  <c r="BA74" i="1"/>
  <c r="AY75" i="1"/>
  <c r="AZ75" i="1"/>
  <c r="BA75" i="1"/>
  <c r="AY76" i="1"/>
  <c r="AZ76" i="1"/>
  <c r="BA76" i="1"/>
  <c r="AY77" i="1"/>
  <c r="AZ77" i="1"/>
  <c r="BA77" i="1"/>
  <c r="AY78" i="1"/>
  <c r="AZ78" i="1"/>
  <c r="BA78" i="1"/>
  <c r="AY79" i="1"/>
  <c r="AZ79" i="1"/>
  <c r="BA79" i="1"/>
  <c r="AY80" i="1"/>
  <c r="AZ80" i="1"/>
  <c r="BA80" i="1"/>
  <c r="AY81" i="1"/>
  <c r="AZ81" i="1"/>
  <c r="BA81" i="1"/>
  <c r="AY82" i="1"/>
  <c r="AZ82" i="1"/>
  <c r="BA82" i="1"/>
  <c r="AY83" i="1"/>
  <c r="AZ83" i="1"/>
  <c r="BA83" i="1"/>
  <c r="AY84" i="1"/>
  <c r="AZ84" i="1"/>
  <c r="BA84" i="1"/>
  <c r="AY85" i="1"/>
  <c r="AZ85" i="1"/>
  <c r="BA85" i="1"/>
  <c r="AY86" i="1"/>
  <c r="AZ86" i="1"/>
  <c r="BA86" i="1"/>
  <c r="AY87" i="1"/>
  <c r="AZ87" i="1"/>
  <c r="BA87" i="1"/>
  <c r="AY88" i="1"/>
  <c r="AZ88" i="1"/>
  <c r="BA88" i="1"/>
  <c r="AY89" i="1"/>
  <c r="AZ89" i="1"/>
  <c r="BA89" i="1"/>
  <c r="AY90" i="1"/>
  <c r="AZ90" i="1"/>
  <c r="BA90" i="1"/>
  <c r="AY91" i="1"/>
  <c r="AZ91" i="1"/>
  <c r="BA91" i="1"/>
  <c r="AY92" i="1"/>
  <c r="AZ92" i="1"/>
  <c r="BA92" i="1"/>
  <c r="AY93" i="1"/>
  <c r="AZ93" i="1"/>
  <c r="BA93" i="1"/>
  <c r="AY94" i="1"/>
  <c r="AZ94" i="1"/>
  <c r="BA94" i="1"/>
  <c r="AY95" i="1"/>
  <c r="AZ95" i="1"/>
  <c r="BA95" i="1"/>
  <c r="AY96" i="1"/>
  <c r="AZ96" i="1"/>
  <c r="BA96" i="1"/>
  <c r="AY97" i="1"/>
  <c r="AZ97" i="1"/>
  <c r="BA97" i="1"/>
  <c r="AY98" i="1"/>
  <c r="AZ98" i="1"/>
  <c r="BA98" i="1"/>
  <c r="AY99" i="1"/>
  <c r="AZ99" i="1"/>
  <c r="BA99" i="1"/>
  <c r="AY100" i="1"/>
  <c r="AZ100" i="1"/>
  <c r="BA100" i="1"/>
  <c r="AY101" i="1"/>
  <c r="AZ101" i="1"/>
  <c r="BA101" i="1"/>
  <c r="AY102" i="1"/>
  <c r="AZ102" i="1"/>
  <c r="BA102" i="1"/>
  <c r="AY103" i="1"/>
  <c r="AZ103" i="1"/>
  <c r="BA103" i="1"/>
  <c r="AY104" i="1"/>
  <c r="AZ104" i="1"/>
  <c r="BA104" i="1"/>
  <c r="AY105" i="1"/>
  <c r="AZ105" i="1"/>
  <c r="BA105" i="1"/>
  <c r="AY106" i="1"/>
  <c r="AZ106" i="1"/>
  <c r="BA106" i="1"/>
  <c r="AY107" i="1"/>
  <c r="AZ107" i="1"/>
  <c r="BA107" i="1"/>
  <c r="AY108" i="1"/>
  <c r="AZ108" i="1"/>
  <c r="BA108" i="1"/>
  <c r="AY109" i="1"/>
  <c r="AZ109" i="1"/>
  <c r="BA109" i="1"/>
  <c r="AY110" i="1"/>
  <c r="AZ110" i="1"/>
  <c r="BA110" i="1"/>
  <c r="AY111" i="1"/>
  <c r="AZ111" i="1"/>
  <c r="BA111" i="1"/>
  <c r="AY112" i="1"/>
  <c r="AZ112" i="1"/>
  <c r="BA112" i="1"/>
  <c r="AY113" i="1"/>
  <c r="AZ113" i="1"/>
  <c r="BA113" i="1"/>
  <c r="AY114" i="1"/>
  <c r="AZ114" i="1"/>
  <c r="BA114" i="1"/>
  <c r="AY115" i="1"/>
  <c r="AZ115" i="1"/>
  <c r="BA115" i="1"/>
  <c r="AY116" i="1"/>
  <c r="AZ116" i="1"/>
  <c r="BA116" i="1"/>
  <c r="AY117" i="1"/>
  <c r="AZ117" i="1"/>
  <c r="BA117" i="1"/>
  <c r="AY118" i="1"/>
  <c r="AZ118" i="1"/>
  <c r="BA118" i="1"/>
  <c r="AY119" i="1"/>
  <c r="AZ119" i="1"/>
  <c r="BA119" i="1"/>
  <c r="AY120" i="1"/>
  <c r="AZ120" i="1"/>
  <c r="BA120" i="1"/>
  <c r="AY121" i="1"/>
  <c r="AZ121" i="1"/>
  <c r="BA121" i="1"/>
  <c r="AY122" i="1"/>
  <c r="AZ122" i="1"/>
  <c r="BA122" i="1"/>
  <c r="AY123" i="1"/>
  <c r="AZ123" i="1"/>
  <c r="BA123" i="1"/>
  <c r="AY124" i="1"/>
  <c r="AZ124" i="1"/>
  <c r="BA124" i="1"/>
  <c r="AY125" i="1"/>
  <c r="AZ125" i="1"/>
  <c r="BA125" i="1"/>
  <c r="AY126" i="1"/>
  <c r="AZ126" i="1"/>
  <c r="BA126" i="1"/>
  <c r="AY127" i="1"/>
  <c r="AZ127" i="1"/>
  <c r="BA127" i="1"/>
  <c r="AY128" i="1"/>
  <c r="AZ128" i="1"/>
  <c r="BA128" i="1"/>
  <c r="AY129" i="1"/>
  <c r="AZ129" i="1"/>
  <c r="BA129" i="1"/>
  <c r="AY130" i="1"/>
  <c r="AZ130" i="1"/>
  <c r="BA130" i="1"/>
  <c r="AY131" i="1"/>
  <c r="AZ131" i="1"/>
  <c r="BA131" i="1"/>
  <c r="AY132" i="1"/>
  <c r="AZ132" i="1"/>
  <c r="BA132" i="1"/>
  <c r="AY133" i="1"/>
  <c r="AZ133" i="1"/>
  <c r="BA133" i="1"/>
  <c r="AY134" i="1"/>
  <c r="AZ134" i="1"/>
  <c r="BA134" i="1"/>
  <c r="AY135" i="1"/>
  <c r="AZ135" i="1"/>
  <c r="BA135" i="1"/>
  <c r="AY136" i="1"/>
  <c r="AZ136" i="1"/>
  <c r="BA136" i="1"/>
  <c r="AY137" i="1"/>
  <c r="AZ137" i="1"/>
  <c r="BA137" i="1"/>
  <c r="AY138" i="1"/>
  <c r="AZ138" i="1"/>
  <c r="BA138" i="1"/>
  <c r="AY139" i="1"/>
  <c r="AZ139" i="1"/>
  <c r="BA139" i="1"/>
  <c r="AY140" i="1"/>
  <c r="AZ140" i="1"/>
  <c r="BA140" i="1"/>
  <c r="AY141" i="1"/>
  <c r="AZ141" i="1"/>
  <c r="BA141" i="1"/>
  <c r="AY142" i="1"/>
  <c r="AZ142" i="1"/>
  <c r="BA142" i="1"/>
  <c r="AY143" i="1"/>
  <c r="AZ143" i="1"/>
  <c r="BA143" i="1"/>
  <c r="AY144" i="1"/>
  <c r="AZ144" i="1"/>
  <c r="BA144" i="1"/>
  <c r="AY145" i="1"/>
  <c r="AZ145" i="1"/>
  <c r="BA145" i="1"/>
  <c r="AY146" i="1"/>
  <c r="AZ146" i="1"/>
  <c r="BA146" i="1"/>
  <c r="AY147" i="1"/>
  <c r="AZ147" i="1"/>
  <c r="BA147" i="1"/>
  <c r="AY148" i="1"/>
  <c r="AZ148" i="1"/>
  <c r="BA148" i="1"/>
  <c r="AY149" i="1"/>
  <c r="AZ149" i="1"/>
  <c r="BA149" i="1"/>
  <c r="AY150" i="1"/>
  <c r="AZ150" i="1"/>
  <c r="BA150" i="1"/>
  <c r="AY151" i="1"/>
  <c r="AZ151" i="1"/>
  <c r="BA151" i="1"/>
  <c r="AY152" i="1"/>
  <c r="AZ152" i="1"/>
  <c r="BA152" i="1"/>
  <c r="AY153" i="1"/>
  <c r="AZ153" i="1"/>
  <c r="BA153" i="1"/>
  <c r="AY154" i="1"/>
  <c r="AZ154" i="1"/>
  <c r="BA154" i="1"/>
  <c r="AY155" i="1"/>
  <c r="AZ155" i="1"/>
  <c r="BA155" i="1"/>
  <c r="AY156" i="1"/>
  <c r="AZ156" i="1"/>
  <c r="BA156" i="1"/>
  <c r="AY157" i="1"/>
  <c r="AZ157" i="1"/>
  <c r="BA157" i="1"/>
  <c r="AY158" i="1"/>
  <c r="AZ158" i="1"/>
  <c r="BA158" i="1"/>
  <c r="AY159" i="1"/>
  <c r="AZ159" i="1"/>
  <c r="BA159" i="1"/>
  <c r="AY160" i="1"/>
  <c r="AZ160" i="1"/>
  <c r="BA160" i="1"/>
  <c r="AY161" i="1"/>
  <c r="AZ161" i="1"/>
  <c r="BA161" i="1"/>
  <c r="AY162" i="1"/>
  <c r="AZ162" i="1"/>
  <c r="BA162" i="1"/>
  <c r="AY163" i="1"/>
  <c r="AZ163" i="1"/>
  <c r="BA163" i="1"/>
  <c r="AY164" i="1"/>
  <c r="AZ164" i="1"/>
  <c r="BA164" i="1"/>
  <c r="AY165" i="1"/>
  <c r="AZ165" i="1"/>
  <c r="BA165" i="1"/>
  <c r="AY166" i="1"/>
  <c r="AZ166" i="1"/>
  <c r="BA166" i="1"/>
  <c r="AY167" i="1"/>
  <c r="AZ167" i="1"/>
  <c r="BA167" i="1"/>
  <c r="AY168" i="1"/>
  <c r="AZ168" i="1"/>
  <c r="BA168" i="1"/>
  <c r="AY169" i="1"/>
  <c r="AZ169" i="1"/>
  <c r="BA169" i="1"/>
  <c r="AY170" i="1"/>
  <c r="AZ170" i="1"/>
  <c r="BA170" i="1"/>
  <c r="AY171" i="1"/>
  <c r="AZ171" i="1"/>
  <c r="BA171" i="1"/>
  <c r="AY172" i="1"/>
  <c r="AZ172" i="1"/>
  <c r="BA172" i="1"/>
  <c r="AY173" i="1"/>
  <c r="AZ173" i="1"/>
  <c r="BA173" i="1"/>
  <c r="AY174" i="1"/>
  <c r="AZ174" i="1"/>
  <c r="BA174" i="1"/>
  <c r="AY175" i="1"/>
  <c r="AZ175" i="1"/>
  <c r="BA175" i="1"/>
  <c r="AY176" i="1"/>
  <c r="AZ176" i="1"/>
  <c r="BA176" i="1"/>
  <c r="AY177" i="1"/>
  <c r="AZ177" i="1"/>
  <c r="BA177" i="1"/>
  <c r="AY178" i="1"/>
  <c r="AZ178" i="1"/>
  <c r="BA178" i="1"/>
  <c r="AY179" i="1"/>
  <c r="AZ179" i="1"/>
  <c r="BA179" i="1"/>
  <c r="AY180" i="1"/>
  <c r="AZ180" i="1"/>
  <c r="BA180" i="1"/>
  <c r="AY181" i="1"/>
  <c r="AZ181" i="1"/>
  <c r="BA181" i="1"/>
  <c r="AY182" i="1"/>
  <c r="AZ182" i="1"/>
  <c r="BA182" i="1"/>
  <c r="AY183" i="1"/>
  <c r="AZ183" i="1"/>
  <c r="BA183" i="1"/>
  <c r="AY184" i="1"/>
  <c r="AZ184" i="1"/>
  <c r="BA184" i="1"/>
  <c r="AY185" i="1"/>
  <c r="AZ185" i="1"/>
  <c r="BA185" i="1"/>
  <c r="AY186" i="1"/>
  <c r="AZ186" i="1"/>
  <c r="BA186" i="1"/>
  <c r="AY187" i="1"/>
  <c r="AZ187" i="1"/>
  <c r="BA187" i="1"/>
  <c r="AY188" i="1"/>
  <c r="AZ188" i="1"/>
  <c r="BA188" i="1"/>
  <c r="AY189" i="1"/>
  <c r="AZ189" i="1"/>
  <c r="BA189" i="1"/>
  <c r="AY190" i="1"/>
  <c r="AZ190" i="1"/>
  <c r="BA190" i="1"/>
  <c r="AY191" i="1"/>
  <c r="AZ191" i="1"/>
  <c r="BA191" i="1"/>
  <c r="AY192" i="1"/>
  <c r="AZ192" i="1"/>
  <c r="BA192" i="1"/>
  <c r="AY193" i="1"/>
  <c r="AZ193" i="1"/>
  <c r="BA193" i="1"/>
  <c r="AY194" i="1"/>
  <c r="AZ194" i="1"/>
  <c r="BA194" i="1"/>
  <c r="AY195" i="1"/>
  <c r="AZ195" i="1"/>
  <c r="BA195" i="1"/>
  <c r="AY196" i="1"/>
  <c r="AZ196" i="1"/>
  <c r="BA196" i="1"/>
  <c r="AY197" i="1"/>
  <c r="AZ197" i="1"/>
  <c r="BA197" i="1"/>
  <c r="AY198" i="1"/>
  <c r="AZ198" i="1"/>
  <c r="BA198" i="1"/>
  <c r="AY199" i="1"/>
  <c r="AZ199" i="1"/>
  <c r="BA199" i="1"/>
  <c r="AY200" i="1"/>
  <c r="AZ200" i="1"/>
  <c r="BA200" i="1"/>
  <c r="AY201" i="1"/>
  <c r="AZ201" i="1"/>
  <c r="BA201" i="1"/>
  <c r="AY202" i="1"/>
  <c r="AZ202" i="1"/>
  <c r="BA202" i="1"/>
  <c r="AY3" i="1"/>
  <c r="AZ3" i="1"/>
  <c r="BA3" i="1"/>
  <c r="AU4" i="1"/>
  <c r="AV4" i="1"/>
  <c r="AW4" i="1"/>
  <c r="AU5" i="1"/>
  <c r="AV5" i="1"/>
  <c r="AW5" i="1"/>
  <c r="AU6" i="1"/>
  <c r="AV6" i="1"/>
  <c r="AW6" i="1"/>
  <c r="AU7" i="1"/>
  <c r="AV7" i="1"/>
  <c r="AW7" i="1"/>
  <c r="AU8" i="1"/>
  <c r="AV8" i="1"/>
  <c r="AW8" i="1"/>
  <c r="AU9" i="1"/>
  <c r="AV9" i="1"/>
  <c r="AW9" i="1"/>
  <c r="AU10" i="1"/>
  <c r="AV10" i="1"/>
  <c r="AW10" i="1"/>
  <c r="AU11" i="1"/>
  <c r="AV11" i="1"/>
  <c r="AW11" i="1"/>
  <c r="AU12" i="1"/>
  <c r="AV12" i="1"/>
  <c r="AW12" i="1"/>
  <c r="AU13" i="1"/>
  <c r="AV13" i="1"/>
  <c r="AW13" i="1"/>
  <c r="AU14" i="1"/>
  <c r="AV14" i="1"/>
  <c r="AW14" i="1"/>
  <c r="AU15" i="1"/>
  <c r="AV15" i="1"/>
  <c r="AW15" i="1"/>
  <c r="AU16" i="1"/>
  <c r="AV16" i="1"/>
  <c r="AW16" i="1"/>
  <c r="AU17" i="1"/>
  <c r="AV17" i="1"/>
  <c r="AW17" i="1"/>
  <c r="AU18" i="1"/>
  <c r="AV18" i="1"/>
  <c r="AW18" i="1"/>
  <c r="AU19" i="1"/>
  <c r="AV19" i="1"/>
  <c r="AW19" i="1"/>
  <c r="AU20" i="1"/>
  <c r="AV20" i="1"/>
  <c r="AW20" i="1"/>
  <c r="AU21" i="1"/>
  <c r="AV21" i="1"/>
  <c r="AW21" i="1"/>
  <c r="AU22" i="1"/>
  <c r="AV22" i="1"/>
  <c r="AW22" i="1"/>
  <c r="AU23" i="1"/>
  <c r="AV23" i="1"/>
  <c r="AW23" i="1"/>
  <c r="AU24" i="1"/>
  <c r="AV24" i="1"/>
  <c r="AW24" i="1"/>
  <c r="AU25" i="1"/>
  <c r="AV25" i="1"/>
  <c r="AW25" i="1"/>
  <c r="AU26" i="1"/>
  <c r="AV26" i="1"/>
  <c r="AW26" i="1"/>
  <c r="AU27" i="1"/>
  <c r="AV27" i="1"/>
  <c r="AW27" i="1"/>
  <c r="AU28" i="1"/>
  <c r="AV28" i="1"/>
  <c r="AW28" i="1"/>
  <c r="AU29" i="1"/>
  <c r="AV29" i="1"/>
  <c r="AW29" i="1"/>
  <c r="AU30" i="1"/>
  <c r="AV30" i="1"/>
  <c r="AW30" i="1"/>
  <c r="AU31" i="1"/>
  <c r="AV31" i="1"/>
  <c r="AW31" i="1"/>
  <c r="AU32" i="1"/>
  <c r="AV32" i="1"/>
  <c r="AW32" i="1"/>
  <c r="AU33" i="1"/>
  <c r="AV33" i="1"/>
  <c r="AW33" i="1"/>
  <c r="AU34" i="1"/>
  <c r="AV34" i="1"/>
  <c r="AW34" i="1"/>
  <c r="AU35" i="1"/>
  <c r="AV35" i="1"/>
  <c r="AW35" i="1"/>
  <c r="AU36" i="1"/>
  <c r="AV36" i="1"/>
  <c r="AW36" i="1"/>
  <c r="AU37" i="1"/>
  <c r="AV37" i="1"/>
  <c r="AW37" i="1"/>
  <c r="AU38" i="1"/>
  <c r="AV38" i="1"/>
  <c r="AW38" i="1"/>
  <c r="AU39" i="1"/>
  <c r="AV39" i="1"/>
  <c r="AW39" i="1"/>
  <c r="AU40" i="1"/>
  <c r="AV40" i="1"/>
  <c r="AW40" i="1"/>
  <c r="AU41" i="1"/>
  <c r="AV41" i="1"/>
  <c r="AW41" i="1"/>
  <c r="AU42" i="1"/>
  <c r="AV42" i="1"/>
  <c r="AW42" i="1"/>
  <c r="AU43" i="1"/>
  <c r="AV43" i="1"/>
  <c r="AW43" i="1"/>
  <c r="AU44" i="1"/>
  <c r="AV44" i="1"/>
  <c r="AW44" i="1"/>
  <c r="AU45" i="1"/>
  <c r="AV45" i="1"/>
  <c r="AW45" i="1"/>
  <c r="AU46" i="1"/>
  <c r="AV46" i="1"/>
  <c r="AW46" i="1"/>
  <c r="AU47" i="1"/>
  <c r="AV47" i="1"/>
  <c r="AW47" i="1"/>
  <c r="AU48" i="1"/>
  <c r="AV48" i="1"/>
  <c r="AW48" i="1"/>
  <c r="AU49" i="1"/>
  <c r="AV49" i="1"/>
  <c r="AW49" i="1"/>
  <c r="AU50" i="1"/>
  <c r="AV50" i="1"/>
  <c r="AW50" i="1"/>
  <c r="AU51" i="1"/>
  <c r="AV51" i="1"/>
  <c r="AW51" i="1"/>
  <c r="AU52" i="1"/>
  <c r="AV52" i="1"/>
  <c r="AW52" i="1"/>
  <c r="AU53" i="1"/>
  <c r="AV53" i="1"/>
  <c r="AW53" i="1"/>
  <c r="AU54" i="1"/>
  <c r="AV54" i="1"/>
  <c r="AW54" i="1"/>
  <c r="AU55" i="1"/>
  <c r="AV55" i="1"/>
  <c r="AW55" i="1"/>
  <c r="AU56" i="1"/>
  <c r="AV56" i="1"/>
  <c r="AW56" i="1"/>
  <c r="AU57" i="1"/>
  <c r="AV57" i="1"/>
  <c r="AW57" i="1"/>
  <c r="AU58" i="1"/>
  <c r="AV58" i="1"/>
  <c r="AW58" i="1"/>
  <c r="AU59" i="1"/>
  <c r="AV59" i="1"/>
  <c r="AW59" i="1"/>
  <c r="AU60" i="1"/>
  <c r="AV60" i="1"/>
  <c r="AW60" i="1"/>
  <c r="AU61" i="1"/>
  <c r="AV61" i="1"/>
  <c r="AW61" i="1"/>
  <c r="AU62" i="1"/>
  <c r="AV62" i="1"/>
  <c r="AW62" i="1"/>
  <c r="AU63" i="1"/>
  <c r="AV63" i="1"/>
  <c r="AW63" i="1"/>
  <c r="AU64" i="1"/>
  <c r="AV64" i="1"/>
  <c r="AW64" i="1"/>
  <c r="AU65" i="1"/>
  <c r="AV65" i="1"/>
  <c r="AW65" i="1"/>
  <c r="AU66" i="1"/>
  <c r="AV66" i="1"/>
  <c r="AW66" i="1"/>
  <c r="AU67" i="1"/>
  <c r="AV67" i="1"/>
  <c r="AW67" i="1"/>
  <c r="AU68" i="1"/>
  <c r="AV68" i="1"/>
  <c r="AW68" i="1"/>
  <c r="AU69" i="1"/>
  <c r="AV69" i="1"/>
  <c r="AW69" i="1"/>
  <c r="AU70" i="1"/>
  <c r="AV70" i="1"/>
  <c r="AW70" i="1"/>
  <c r="AU71" i="1"/>
  <c r="AV71" i="1"/>
  <c r="AW71" i="1"/>
  <c r="AU72" i="1"/>
  <c r="AV72" i="1"/>
  <c r="AW72" i="1"/>
  <c r="AU73" i="1"/>
  <c r="AV73" i="1"/>
  <c r="AW73" i="1"/>
  <c r="AU74" i="1"/>
  <c r="AV74" i="1"/>
  <c r="AW74" i="1"/>
  <c r="AU75" i="1"/>
  <c r="AV75" i="1"/>
  <c r="AW75" i="1"/>
  <c r="AU76" i="1"/>
  <c r="AV76" i="1"/>
  <c r="AW76" i="1"/>
  <c r="AU77" i="1"/>
  <c r="AV77" i="1"/>
  <c r="AW77" i="1"/>
  <c r="AU78" i="1"/>
  <c r="AV78" i="1"/>
  <c r="AW78" i="1"/>
  <c r="AU79" i="1"/>
  <c r="AV79" i="1"/>
  <c r="AW79" i="1"/>
  <c r="AU80" i="1"/>
  <c r="AV80" i="1"/>
  <c r="AW80" i="1"/>
  <c r="AU81" i="1"/>
  <c r="AV81" i="1"/>
  <c r="AW81" i="1"/>
  <c r="AU82" i="1"/>
  <c r="AV82" i="1"/>
  <c r="AW82" i="1"/>
  <c r="AU83" i="1"/>
  <c r="AV83" i="1"/>
  <c r="AW83" i="1"/>
  <c r="AU84" i="1"/>
  <c r="AV84" i="1"/>
  <c r="AW84" i="1"/>
  <c r="AU85" i="1"/>
  <c r="AV85" i="1"/>
  <c r="AW85" i="1"/>
  <c r="AU86" i="1"/>
  <c r="AV86" i="1"/>
  <c r="AW86" i="1"/>
  <c r="AU87" i="1"/>
  <c r="AV87" i="1"/>
  <c r="AW87" i="1"/>
  <c r="AU88" i="1"/>
  <c r="AV88" i="1"/>
  <c r="AW88" i="1"/>
  <c r="AU89" i="1"/>
  <c r="AV89" i="1"/>
  <c r="AW89" i="1"/>
  <c r="AU90" i="1"/>
  <c r="AV90" i="1"/>
  <c r="AW90" i="1"/>
  <c r="AU91" i="1"/>
  <c r="AV91" i="1"/>
  <c r="AW91" i="1"/>
  <c r="AU92" i="1"/>
  <c r="AV92" i="1"/>
  <c r="AW92" i="1"/>
  <c r="AU93" i="1"/>
  <c r="AV93" i="1"/>
  <c r="AW93" i="1"/>
  <c r="AU94" i="1"/>
  <c r="AV94" i="1"/>
  <c r="AW94" i="1"/>
  <c r="AU95" i="1"/>
  <c r="AV95" i="1"/>
  <c r="AW95" i="1"/>
  <c r="AU96" i="1"/>
  <c r="AV96" i="1"/>
  <c r="AW96" i="1"/>
  <c r="AU97" i="1"/>
  <c r="AV97" i="1"/>
  <c r="AW97" i="1"/>
  <c r="AU98" i="1"/>
  <c r="AV98" i="1"/>
  <c r="AW98" i="1"/>
  <c r="AU99" i="1"/>
  <c r="AV99" i="1"/>
  <c r="AW99" i="1"/>
  <c r="AU100" i="1"/>
  <c r="AV100" i="1"/>
  <c r="AW100" i="1"/>
  <c r="AU101" i="1"/>
  <c r="AV101" i="1"/>
  <c r="AW101" i="1"/>
  <c r="AU102" i="1"/>
  <c r="AV102" i="1"/>
  <c r="AW102" i="1"/>
  <c r="AU103" i="1"/>
  <c r="AV103" i="1"/>
  <c r="AW103" i="1"/>
  <c r="AU104" i="1"/>
  <c r="AV104" i="1"/>
  <c r="AW104" i="1"/>
  <c r="AU105" i="1"/>
  <c r="AV105" i="1"/>
  <c r="AW105" i="1"/>
  <c r="AU106" i="1"/>
  <c r="AV106" i="1"/>
  <c r="AW106" i="1"/>
  <c r="AU107" i="1"/>
  <c r="AV107" i="1"/>
  <c r="AW107" i="1"/>
  <c r="AU108" i="1"/>
  <c r="AV108" i="1"/>
  <c r="AW108" i="1"/>
  <c r="AU109" i="1"/>
  <c r="AV109" i="1"/>
  <c r="AW109" i="1"/>
  <c r="AU110" i="1"/>
  <c r="AV110" i="1"/>
  <c r="AW110" i="1"/>
  <c r="AU111" i="1"/>
  <c r="AV111" i="1"/>
  <c r="AW111" i="1"/>
  <c r="AU112" i="1"/>
  <c r="AV112" i="1"/>
  <c r="AW112" i="1"/>
  <c r="AU113" i="1"/>
  <c r="AV113" i="1"/>
  <c r="AW113" i="1"/>
  <c r="AU114" i="1"/>
  <c r="AV114" i="1"/>
  <c r="AW114" i="1"/>
  <c r="AU115" i="1"/>
  <c r="AV115" i="1"/>
  <c r="AW115" i="1"/>
  <c r="AU116" i="1"/>
  <c r="AV116" i="1"/>
  <c r="AW116" i="1"/>
  <c r="AU117" i="1"/>
  <c r="AV117" i="1"/>
  <c r="AW117" i="1"/>
  <c r="AU118" i="1"/>
  <c r="AV118" i="1"/>
  <c r="AW118" i="1"/>
  <c r="AU119" i="1"/>
  <c r="AV119" i="1"/>
  <c r="AW119" i="1"/>
  <c r="AU120" i="1"/>
  <c r="AV120" i="1"/>
  <c r="AW120" i="1"/>
  <c r="AU121" i="1"/>
  <c r="AV121" i="1"/>
  <c r="AW121" i="1"/>
  <c r="AU122" i="1"/>
  <c r="AV122" i="1"/>
  <c r="AW122" i="1"/>
  <c r="AU123" i="1"/>
  <c r="AV123" i="1"/>
  <c r="AW123" i="1"/>
  <c r="AU124" i="1"/>
  <c r="AV124" i="1"/>
  <c r="AW124" i="1"/>
  <c r="AU125" i="1"/>
  <c r="AV125" i="1"/>
  <c r="AW125" i="1"/>
  <c r="AU126" i="1"/>
  <c r="AV126" i="1"/>
  <c r="AW126" i="1"/>
  <c r="AU127" i="1"/>
  <c r="AV127" i="1"/>
  <c r="AW127" i="1"/>
  <c r="AU128" i="1"/>
  <c r="AV128" i="1"/>
  <c r="AW128" i="1"/>
  <c r="AU129" i="1"/>
  <c r="AV129" i="1"/>
  <c r="AW129" i="1"/>
  <c r="AU130" i="1"/>
  <c r="AV130" i="1"/>
  <c r="AW130" i="1"/>
  <c r="AU131" i="1"/>
  <c r="AV131" i="1"/>
  <c r="AW131" i="1"/>
  <c r="AU132" i="1"/>
  <c r="AV132" i="1"/>
  <c r="AW132" i="1"/>
  <c r="AU133" i="1"/>
  <c r="AV133" i="1"/>
  <c r="AW133" i="1"/>
  <c r="AU134" i="1"/>
  <c r="AV134" i="1"/>
  <c r="AW134" i="1"/>
  <c r="AU135" i="1"/>
  <c r="AV135" i="1"/>
  <c r="AW135" i="1"/>
  <c r="AU136" i="1"/>
  <c r="AV136" i="1"/>
  <c r="AW136" i="1"/>
  <c r="AU137" i="1"/>
  <c r="AV137" i="1"/>
  <c r="AW137" i="1"/>
  <c r="AU138" i="1"/>
  <c r="AV138" i="1"/>
  <c r="AW138" i="1"/>
  <c r="AU139" i="1"/>
  <c r="AV139" i="1"/>
  <c r="AW139" i="1"/>
  <c r="AU140" i="1"/>
  <c r="AV140" i="1"/>
  <c r="AW140" i="1"/>
  <c r="AU141" i="1"/>
  <c r="AV141" i="1"/>
  <c r="AW141" i="1"/>
  <c r="AU142" i="1"/>
  <c r="AV142" i="1"/>
  <c r="AW142" i="1"/>
  <c r="AU143" i="1"/>
  <c r="AV143" i="1"/>
  <c r="AW143" i="1"/>
  <c r="AU144" i="1"/>
  <c r="AV144" i="1"/>
  <c r="AW144" i="1"/>
  <c r="AU145" i="1"/>
  <c r="AV145" i="1"/>
  <c r="AW145" i="1"/>
  <c r="AU146" i="1"/>
  <c r="AV146" i="1"/>
  <c r="AW146" i="1"/>
  <c r="AU147" i="1"/>
  <c r="AV147" i="1"/>
  <c r="AW147" i="1"/>
  <c r="AU148" i="1"/>
  <c r="AV148" i="1"/>
  <c r="AW148" i="1"/>
  <c r="AU149" i="1"/>
  <c r="AV149" i="1"/>
  <c r="AW149" i="1"/>
  <c r="AU150" i="1"/>
  <c r="AV150" i="1"/>
  <c r="AW150" i="1"/>
  <c r="AU151" i="1"/>
  <c r="AV151" i="1"/>
  <c r="AW151" i="1"/>
  <c r="AU152" i="1"/>
  <c r="AV152" i="1"/>
  <c r="AW152" i="1"/>
  <c r="AU153" i="1"/>
  <c r="AV153" i="1"/>
  <c r="AW153" i="1"/>
  <c r="AU154" i="1"/>
  <c r="AV154" i="1"/>
  <c r="AW154" i="1"/>
  <c r="AU155" i="1"/>
  <c r="AV155" i="1"/>
  <c r="AW155" i="1"/>
  <c r="AU156" i="1"/>
  <c r="AV156" i="1"/>
  <c r="AW156" i="1"/>
  <c r="AU157" i="1"/>
  <c r="AV157" i="1"/>
  <c r="AW157" i="1"/>
  <c r="AU158" i="1"/>
  <c r="AV158" i="1"/>
  <c r="AW158" i="1"/>
  <c r="AU159" i="1"/>
  <c r="AV159" i="1"/>
  <c r="AW159" i="1"/>
  <c r="AU160" i="1"/>
  <c r="AV160" i="1"/>
  <c r="AW160" i="1"/>
  <c r="AU161" i="1"/>
  <c r="AV161" i="1"/>
  <c r="AW161" i="1"/>
  <c r="AU162" i="1"/>
  <c r="AV162" i="1"/>
  <c r="AW162" i="1"/>
  <c r="AU163" i="1"/>
  <c r="AV163" i="1"/>
  <c r="AW163" i="1"/>
  <c r="AU164" i="1"/>
  <c r="AV164" i="1"/>
  <c r="AW164" i="1"/>
  <c r="AU165" i="1"/>
  <c r="AV165" i="1"/>
  <c r="AW165" i="1"/>
  <c r="AU166" i="1"/>
  <c r="AV166" i="1"/>
  <c r="AW166" i="1"/>
  <c r="AU167" i="1"/>
  <c r="AV167" i="1"/>
  <c r="AW167" i="1"/>
  <c r="AU168" i="1"/>
  <c r="AV168" i="1"/>
  <c r="AW168" i="1"/>
  <c r="AU169" i="1"/>
  <c r="AV169" i="1"/>
  <c r="AW169" i="1"/>
  <c r="AU170" i="1"/>
  <c r="AV170" i="1"/>
  <c r="AW170" i="1"/>
  <c r="AU171" i="1"/>
  <c r="AV171" i="1"/>
  <c r="AW171" i="1"/>
  <c r="AU172" i="1"/>
  <c r="AV172" i="1"/>
  <c r="AW172" i="1"/>
  <c r="AU173" i="1"/>
  <c r="AV173" i="1"/>
  <c r="AW173" i="1"/>
  <c r="AU174" i="1"/>
  <c r="AV174" i="1"/>
  <c r="AW174" i="1"/>
  <c r="AU175" i="1"/>
  <c r="AV175" i="1"/>
  <c r="AW175" i="1"/>
  <c r="AU176" i="1"/>
  <c r="AV176" i="1"/>
  <c r="AW176" i="1"/>
  <c r="AU177" i="1"/>
  <c r="AV177" i="1"/>
  <c r="AW177" i="1"/>
  <c r="AU178" i="1"/>
  <c r="AV178" i="1"/>
  <c r="AW178" i="1"/>
  <c r="AU179" i="1"/>
  <c r="AV179" i="1"/>
  <c r="AW179" i="1"/>
  <c r="AU180" i="1"/>
  <c r="AV180" i="1"/>
  <c r="AW180" i="1"/>
  <c r="AU181" i="1"/>
  <c r="AV181" i="1"/>
  <c r="AW181" i="1"/>
  <c r="AU182" i="1"/>
  <c r="AV182" i="1"/>
  <c r="AW182" i="1"/>
  <c r="AU183" i="1"/>
  <c r="AV183" i="1"/>
  <c r="AW183" i="1"/>
  <c r="AU184" i="1"/>
  <c r="AV184" i="1"/>
  <c r="AW184" i="1"/>
  <c r="AU185" i="1"/>
  <c r="AV185" i="1"/>
  <c r="AW185" i="1"/>
  <c r="AU186" i="1"/>
  <c r="AV186" i="1"/>
  <c r="AW186" i="1"/>
  <c r="AU187" i="1"/>
  <c r="AV187" i="1"/>
  <c r="AW187" i="1"/>
  <c r="AU188" i="1"/>
  <c r="AV188" i="1"/>
  <c r="AW188" i="1"/>
  <c r="AU189" i="1"/>
  <c r="AV189" i="1"/>
  <c r="AW189" i="1"/>
  <c r="AU190" i="1"/>
  <c r="AV190" i="1"/>
  <c r="AW190" i="1"/>
  <c r="AU191" i="1"/>
  <c r="AV191" i="1"/>
  <c r="AW191" i="1"/>
  <c r="AU192" i="1"/>
  <c r="AV192" i="1"/>
  <c r="AW192" i="1"/>
  <c r="AU193" i="1"/>
  <c r="AV193" i="1"/>
  <c r="AW193" i="1"/>
  <c r="AU194" i="1"/>
  <c r="AV194" i="1"/>
  <c r="AW194" i="1"/>
  <c r="AU195" i="1"/>
  <c r="AV195" i="1"/>
  <c r="AW195" i="1"/>
  <c r="AU196" i="1"/>
  <c r="AV196" i="1"/>
  <c r="AW196" i="1"/>
  <c r="AU197" i="1"/>
  <c r="AV197" i="1"/>
  <c r="AW197" i="1"/>
  <c r="AU198" i="1"/>
  <c r="AV198" i="1"/>
  <c r="AW198" i="1"/>
  <c r="AU199" i="1"/>
  <c r="AV199" i="1"/>
  <c r="AW199" i="1"/>
  <c r="AU200" i="1"/>
  <c r="AV200" i="1"/>
  <c r="AW200" i="1"/>
  <c r="AU201" i="1"/>
  <c r="AV201" i="1"/>
  <c r="AW201" i="1"/>
  <c r="AU202" i="1"/>
  <c r="AV202" i="1"/>
  <c r="AW202" i="1"/>
  <c r="AQ4" i="1"/>
  <c r="AR4" i="1"/>
  <c r="AS4" i="1"/>
  <c r="AQ5" i="1"/>
  <c r="AR5" i="1"/>
  <c r="AS5" i="1"/>
  <c r="AQ6" i="1"/>
  <c r="AR6" i="1"/>
  <c r="AS6" i="1"/>
  <c r="AQ7" i="1"/>
  <c r="AR7" i="1"/>
  <c r="AS7" i="1"/>
  <c r="AQ8" i="1"/>
  <c r="AR8" i="1"/>
  <c r="AS8" i="1"/>
  <c r="AQ9" i="1"/>
  <c r="AR9" i="1"/>
  <c r="AS9" i="1"/>
  <c r="AQ10" i="1"/>
  <c r="AR10" i="1"/>
  <c r="AS10" i="1"/>
  <c r="AQ11" i="1"/>
  <c r="AR11" i="1"/>
  <c r="AS11" i="1"/>
  <c r="AQ12" i="1"/>
  <c r="AR12" i="1"/>
  <c r="AS12" i="1"/>
  <c r="AQ13" i="1"/>
  <c r="AR13" i="1"/>
  <c r="AS13" i="1"/>
  <c r="AQ14" i="1"/>
  <c r="AR14" i="1"/>
  <c r="AS14" i="1"/>
  <c r="AQ15" i="1"/>
  <c r="AR15" i="1"/>
  <c r="AS15" i="1"/>
  <c r="AQ16" i="1"/>
  <c r="AR16" i="1"/>
  <c r="AS16" i="1"/>
  <c r="AQ17" i="1"/>
  <c r="AR17" i="1"/>
  <c r="AS17" i="1"/>
  <c r="AQ18" i="1"/>
  <c r="AR18" i="1"/>
  <c r="AS18" i="1"/>
  <c r="AQ19" i="1"/>
  <c r="AR19" i="1"/>
  <c r="AS19" i="1"/>
  <c r="AQ20" i="1"/>
  <c r="AR20" i="1"/>
  <c r="AS20" i="1"/>
  <c r="AQ21" i="1"/>
  <c r="AR21" i="1"/>
  <c r="AS21" i="1"/>
  <c r="AQ22" i="1"/>
  <c r="AR22" i="1"/>
  <c r="AS22" i="1"/>
  <c r="AQ23" i="1"/>
  <c r="AR23" i="1"/>
  <c r="AS23" i="1"/>
  <c r="AQ24" i="1"/>
  <c r="AR24" i="1"/>
  <c r="AS24" i="1"/>
  <c r="AQ25" i="1"/>
  <c r="AR25" i="1"/>
  <c r="AS25" i="1"/>
  <c r="AQ26" i="1"/>
  <c r="AR26" i="1"/>
  <c r="AS26" i="1"/>
  <c r="AQ27" i="1"/>
  <c r="AR27" i="1"/>
  <c r="AS27" i="1"/>
  <c r="AQ28" i="1"/>
  <c r="AR28" i="1"/>
  <c r="AS28" i="1"/>
  <c r="AQ29" i="1"/>
  <c r="AR29" i="1"/>
  <c r="AS29" i="1"/>
  <c r="AQ30" i="1"/>
  <c r="AR30" i="1"/>
  <c r="AS30" i="1"/>
  <c r="AQ31" i="1"/>
  <c r="AR31" i="1"/>
  <c r="AS31" i="1"/>
  <c r="AQ32" i="1"/>
  <c r="AR32" i="1"/>
  <c r="AS32" i="1"/>
  <c r="AQ33" i="1"/>
  <c r="AR33" i="1"/>
  <c r="AS33" i="1"/>
  <c r="AQ34" i="1"/>
  <c r="AR34" i="1"/>
  <c r="AS34" i="1"/>
  <c r="AQ35" i="1"/>
  <c r="AR35" i="1"/>
  <c r="AS35" i="1"/>
  <c r="AQ36" i="1"/>
  <c r="AR36" i="1"/>
  <c r="AS36" i="1"/>
  <c r="AQ37" i="1"/>
  <c r="AR37" i="1"/>
  <c r="AS37" i="1"/>
  <c r="AQ38" i="1"/>
  <c r="AR38" i="1"/>
  <c r="AS38" i="1"/>
  <c r="AQ39" i="1"/>
  <c r="AR39" i="1"/>
  <c r="AS39" i="1"/>
  <c r="AQ40" i="1"/>
  <c r="AR40" i="1"/>
  <c r="AS40" i="1"/>
  <c r="AQ41" i="1"/>
  <c r="AR41" i="1"/>
  <c r="AS41" i="1"/>
  <c r="AQ42" i="1"/>
  <c r="AR42" i="1"/>
  <c r="AS42" i="1"/>
  <c r="AQ43" i="1"/>
  <c r="AR43" i="1"/>
  <c r="AS43" i="1"/>
  <c r="AQ44" i="1"/>
  <c r="AR44" i="1"/>
  <c r="AS44" i="1"/>
  <c r="AQ45" i="1"/>
  <c r="AR45" i="1"/>
  <c r="AS45" i="1"/>
  <c r="AQ46" i="1"/>
  <c r="AR46" i="1"/>
  <c r="AS46" i="1"/>
  <c r="AQ47" i="1"/>
  <c r="AR47" i="1"/>
  <c r="AS47" i="1"/>
  <c r="AQ48" i="1"/>
  <c r="AR48" i="1"/>
  <c r="AS48" i="1"/>
  <c r="AQ49" i="1"/>
  <c r="AR49" i="1"/>
  <c r="AS49" i="1"/>
  <c r="AQ50" i="1"/>
  <c r="AR50" i="1"/>
  <c r="AS50" i="1"/>
  <c r="AQ51" i="1"/>
  <c r="AR51" i="1"/>
  <c r="AS51" i="1"/>
  <c r="AQ52" i="1"/>
  <c r="AR52" i="1"/>
  <c r="AS52" i="1"/>
  <c r="AQ53" i="1"/>
  <c r="AR53" i="1"/>
  <c r="AS53" i="1"/>
  <c r="AQ54" i="1"/>
  <c r="AR54" i="1"/>
  <c r="AS54" i="1"/>
  <c r="AQ55" i="1"/>
  <c r="AR55" i="1"/>
  <c r="AS55" i="1"/>
  <c r="AQ56" i="1"/>
  <c r="AR56" i="1"/>
  <c r="AS56" i="1"/>
  <c r="AQ57" i="1"/>
  <c r="AR57" i="1"/>
  <c r="AS57" i="1"/>
  <c r="AQ58" i="1"/>
  <c r="AR58" i="1"/>
  <c r="AS58" i="1"/>
  <c r="AQ59" i="1"/>
  <c r="AR59" i="1"/>
  <c r="AS59" i="1"/>
  <c r="AQ60" i="1"/>
  <c r="AR60" i="1"/>
  <c r="AS60" i="1"/>
  <c r="AQ61" i="1"/>
  <c r="AR61" i="1"/>
  <c r="AS61" i="1"/>
  <c r="AQ62" i="1"/>
  <c r="AR62" i="1"/>
  <c r="AS62" i="1"/>
  <c r="AQ63" i="1"/>
  <c r="AR63" i="1"/>
  <c r="AS63" i="1"/>
  <c r="AQ64" i="1"/>
  <c r="AR64" i="1"/>
  <c r="AS64" i="1"/>
  <c r="AQ65" i="1"/>
  <c r="AR65" i="1"/>
  <c r="AS65" i="1"/>
  <c r="AQ66" i="1"/>
  <c r="AR66" i="1"/>
  <c r="AS66" i="1"/>
  <c r="AQ67" i="1"/>
  <c r="AR67" i="1"/>
  <c r="AS67" i="1"/>
  <c r="AQ68" i="1"/>
  <c r="AR68" i="1"/>
  <c r="AS68" i="1"/>
  <c r="AQ69" i="1"/>
  <c r="AR69" i="1"/>
  <c r="AS69" i="1"/>
  <c r="AQ70" i="1"/>
  <c r="AR70" i="1"/>
  <c r="AS70" i="1"/>
  <c r="AQ71" i="1"/>
  <c r="AR71" i="1"/>
  <c r="AS71" i="1"/>
  <c r="AQ72" i="1"/>
  <c r="AR72" i="1"/>
  <c r="AS72" i="1"/>
  <c r="AQ73" i="1"/>
  <c r="AR73" i="1"/>
  <c r="AS73" i="1"/>
  <c r="AQ74" i="1"/>
  <c r="AR74" i="1"/>
  <c r="AS74" i="1"/>
  <c r="AQ75" i="1"/>
  <c r="AR75" i="1"/>
  <c r="AS75" i="1"/>
  <c r="AQ76" i="1"/>
  <c r="AR76" i="1"/>
  <c r="AS76" i="1"/>
  <c r="AQ77" i="1"/>
  <c r="AR77" i="1"/>
  <c r="AS77" i="1"/>
  <c r="AQ78" i="1"/>
  <c r="AR78" i="1"/>
  <c r="AS78" i="1"/>
  <c r="AQ79" i="1"/>
  <c r="AR79" i="1"/>
  <c r="AS79" i="1"/>
  <c r="AQ80" i="1"/>
  <c r="AR80" i="1"/>
  <c r="AS80" i="1"/>
  <c r="AQ81" i="1"/>
  <c r="AR81" i="1"/>
  <c r="AS81" i="1"/>
  <c r="AQ82" i="1"/>
  <c r="AR82" i="1"/>
  <c r="AS82" i="1"/>
  <c r="AQ83" i="1"/>
  <c r="AR83" i="1"/>
  <c r="AS83" i="1"/>
  <c r="AQ84" i="1"/>
  <c r="AR84" i="1"/>
  <c r="AS84" i="1"/>
  <c r="AQ85" i="1"/>
  <c r="AR85" i="1"/>
  <c r="AS85" i="1"/>
  <c r="AQ86" i="1"/>
  <c r="AR86" i="1"/>
  <c r="AS86" i="1"/>
  <c r="AQ87" i="1"/>
  <c r="AR87" i="1"/>
  <c r="AS87" i="1"/>
  <c r="AQ88" i="1"/>
  <c r="AR88" i="1"/>
  <c r="AS88" i="1"/>
  <c r="AQ89" i="1"/>
  <c r="AR89" i="1"/>
  <c r="AS89" i="1"/>
  <c r="AQ90" i="1"/>
  <c r="AR90" i="1"/>
  <c r="AS90" i="1"/>
  <c r="AQ91" i="1"/>
  <c r="AR91" i="1"/>
  <c r="AS91" i="1"/>
  <c r="AQ92" i="1"/>
  <c r="AR92" i="1"/>
  <c r="AS92" i="1"/>
  <c r="AQ93" i="1"/>
  <c r="AR93" i="1"/>
  <c r="AS93" i="1"/>
  <c r="AQ94" i="1"/>
  <c r="AR94" i="1"/>
  <c r="AS94" i="1"/>
  <c r="AQ95" i="1"/>
  <c r="AR95" i="1"/>
  <c r="AS95" i="1"/>
  <c r="AQ96" i="1"/>
  <c r="AR96" i="1"/>
  <c r="AS96" i="1"/>
  <c r="AQ97" i="1"/>
  <c r="AR97" i="1"/>
  <c r="AS97" i="1"/>
  <c r="AQ98" i="1"/>
  <c r="AR98" i="1"/>
  <c r="AS98" i="1"/>
  <c r="AQ99" i="1"/>
  <c r="AR99" i="1"/>
  <c r="AS99" i="1"/>
  <c r="AQ100" i="1"/>
  <c r="AR100" i="1"/>
  <c r="AS100" i="1"/>
  <c r="AQ101" i="1"/>
  <c r="AR101" i="1"/>
  <c r="AS101" i="1"/>
  <c r="AQ102" i="1"/>
  <c r="AR102" i="1"/>
  <c r="AS102" i="1"/>
  <c r="AQ103" i="1"/>
  <c r="AR103" i="1"/>
  <c r="AS103" i="1"/>
  <c r="AQ104" i="1"/>
  <c r="AR104" i="1"/>
  <c r="AS104" i="1"/>
  <c r="AQ105" i="1"/>
  <c r="AR105" i="1"/>
  <c r="AS105" i="1"/>
  <c r="AQ106" i="1"/>
  <c r="AR106" i="1"/>
  <c r="AS106" i="1"/>
  <c r="AQ107" i="1"/>
  <c r="AR107" i="1"/>
  <c r="AS107" i="1"/>
  <c r="AQ108" i="1"/>
  <c r="AR108" i="1"/>
  <c r="AS108" i="1"/>
  <c r="AQ109" i="1"/>
  <c r="AR109" i="1"/>
  <c r="AS109" i="1"/>
  <c r="AQ110" i="1"/>
  <c r="AR110" i="1"/>
  <c r="AS110" i="1"/>
  <c r="AQ111" i="1"/>
  <c r="AR111" i="1"/>
  <c r="AS111" i="1"/>
  <c r="AQ112" i="1"/>
  <c r="AR112" i="1"/>
  <c r="AS112" i="1"/>
  <c r="AQ113" i="1"/>
  <c r="AR113" i="1"/>
  <c r="AS113" i="1"/>
  <c r="AQ114" i="1"/>
  <c r="AR114" i="1"/>
  <c r="AS114" i="1"/>
  <c r="AQ115" i="1"/>
  <c r="AR115" i="1"/>
  <c r="AS115" i="1"/>
  <c r="AQ116" i="1"/>
  <c r="AR116" i="1"/>
  <c r="AS116" i="1"/>
  <c r="AQ117" i="1"/>
  <c r="AR117" i="1"/>
  <c r="AS117" i="1"/>
  <c r="AQ118" i="1"/>
  <c r="AR118" i="1"/>
  <c r="AS118" i="1"/>
  <c r="AQ119" i="1"/>
  <c r="AR119" i="1"/>
  <c r="AS119" i="1"/>
  <c r="AQ120" i="1"/>
  <c r="AR120" i="1"/>
  <c r="AS120" i="1"/>
  <c r="AQ121" i="1"/>
  <c r="AR121" i="1"/>
  <c r="AS121" i="1"/>
  <c r="AQ122" i="1"/>
  <c r="AR122" i="1"/>
  <c r="AS122" i="1"/>
  <c r="AQ123" i="1"/>
  <c r="AR123" i="1"/>
  <c r="AS123" i="1"/>
  <c r="AQ124" i="1"/>
  <c r="AR124" i="1"/>
  <c r="AS124" i="1"/>
  <c r="AQ125" i="1"/>
  <c r="AR125" i="1"/>
  <c r="AS125" i="1"/>
  <c r="AQ126" i="1"/>
  <c r="AR126" i="1"/>
  <c r="AS126" i="1"/>
  <c r="AQ127" i="1"/>
  <c r="AR127" i="1"/>
  <c r="AS127" i="1"/>
  <c r="AQ128" i="1"/>
  <c r="AR128" i="1"/>
  <c r="AS128" i="1"/>
  <c r="AQ129" i="1"/>
  <c r="AR129" i="1"/>
  <c r="AS129" i="1"/>
  <c r="AQ130" i="1"/>
  <c r="AR130" i="1"/>
  <c r="AS130" i="1"/>
  <c r="AQ131" i="1"/>
  <c r="AR131" i="1"/>
  <c r="AS131" i="1"/>
  <c r="AQ132" i="1"/>
  <c r="AR132" i="1"/>
  <c r="AS132" i="1"/>
  <c r="AQ133" i="1"/>
  <c r="AR133" i="1"/>
  <c r="AS133" i="1"/>
  <c r="AQ134" i="1"/>
  <c r="AR134" i="1"/>
  <c r="AS134" i="1"/>
  <c r="AQ135" i="1"/>
  <c r="AR135" i="1"/>
  <c r="AS135" i="1"/>
  <c r="AQ136" i="1"/>
  <c r="AR136" i="1"/>
  <c r="AS136" i="1"/>
  <c r="AQ137" i="1"/>
  <c r="AR137" i="1"/>
  <c r="AS137" i="1"/>
  <c r="AQ138" i="1"/>
  <c r="AR138" i="1"/>
  <c r="AS138" i="1"/>
  <c r="AQ139" i="1"/>
  <c r="AR139" i="1"/>
  <c r="AS139" i="1"/>
  <c r="AQ140" i="1"/>
  <c r="AR140" i="1"/>
  <c r="AS140" i="1"/>
  <c r="AQ141" i="1"/>
  <c r="AR141" i="1"/>
  <c r="AS141" i="1"/>
  <c r="AQ142" i="1"/>
  <c r="AR142" i="1"/>
  <c r="AS142" i="1"/>
  <c r="AQ143" i="1"/>
  <c r="AR143" i="1"/>
  <c r="AS143" i="1"/>
  <c r="AQ144" i="1"/>
  <c r="AR144" i="1"/>
  <c r="AS144" i="1"/>
  <c r="AQ145" i="1"/>
  <c r="AR145" i="1"/>
  <c r="AS145" i="1"/>
  <c r="AQ146" i="1"/>
  <c r="AR146" i="1"/>
  <c r="AS146" i="1"/>
  <c r="AQ147" i="1"/>
  <c r="AR147" i="1"/>
  <c r="AS147" i="1"/>
  <c r="AQ148" i="1"/>
  <c r="AR148" i="1"/>
  <c r="AS148" i="1"/>
  <c r="AQ149" i="1"/>
  <c r="AR149" i="1"/>
  <c r="AS149" i="1"/>
  <c r="AQ150" i="1"/>
  <c r="AR150" i="1"/>
  <c r="AS150" i="1"/>
  <c r="AQ151" i="1"/>
  <c r="AR151" i="1"/>
  <c r="AS151" i="1"/>
  <c r="AQ152" i="1"/>
  <c r="AR152" i="1"/>
  <c r="AS152" i="1"/>
  <c r="AQ153" i="1"/>
  <c r="AR153" i="1"/>
  <c r="AS153" i="1"/>
  <c r="AQ154" i="1"/>
  <c r="AR154" i="1"/>
  <c r="AS154" i="1"/>
  <c r="AQ155" i="1"/>
  <c r="AR155" i="1"/>
  <c r="AS155" i="1"/>
  <c r="AQ156" i="1"/>
  <c r="AR156" i="1"/>
  <c r="AS156" i="1"/>
  <c r="AQ157" i="1"/>
  <c r="AR157" i="1"/>
  <c r="AS157" i="1"/>
  <c r="AQ158" i="1"/>
  <c r="AR158" i="1"/>
  <c r="AS158" i="1"/>
  <c r="AQ159" i="1"/>
  <c r="AR159" i="1"/>
  <c r="AS159" i="1"/>
  <c r="AQ160" i="1"/>
  <c r="AR160" i="1"/>
  <c r="AS160" i="1"/>
  <c r="AQ161" i="1"/>
  <c r="AR161" i="1"/>
  <c r="AS161" i="1"/>
  <c r="AQ162" i="1"/>
  <c r="AR162" i="1"/>
  <c r="AS162" i="1"/>
  <c r="AQ163" i="1"/>
  <c r="AR163" i="1"/>
  <c r="AS163" i="1"/>
  <c r="AQ164" i="1"/>
  <c r="AR164" i="1"/>
  <c r="AS164" i="1"/>
  <c r="AQ165" i="1"/>
  <c r="AR165" i="1"/>
  <c r="AS165" i="1"/>
  <c r="AQ166" i="1"/>
  <c r="AR166" i="1"/>
  <c r="AS166" i="1"/>
  <c r="AQ167" i="1"/>
  <c r="AR167" i="1"/>
  <c r="AS167" i="1"/>
  <c r="AQ168" i="1"/>
  <c r="AR168" i="1"/>
  <c r="AS168" i="1"/>
  <c r="AQ169" i="1"/>
  <c r="AR169" i="1"/>
  <c r="AS169" i="1"/>
  <c r="AQ170" i="1"/>
  <c r="AR170" i="1"/>
  <c r="AS170" i="1"/>
  <c r="AQ171" i="1"/>
  <c r="AR171" i="1"/>
  <c r="AS171" i="1"/>
  <c r="AQ172" i="1"/>
  <c r="AR172" i="1"/>
  <c r="AS172" i="1"/>
  <c r="AQ173" i="1"/>
  <c r="AR173" i="1"/>
  <c r="AS173" i="1"/>
  <c r="AQ174" i="1"/>
  <c r="AR174" i="1"/>
  <c r="AS174" i="1"/>
  <c r="AQ175" i="1"/>
  <c r="AR175" i="1"/>
  <c r="AS175" i="1"/>
  <c r="AQ176" i="1"/>
  <c r="AR176" i="1"/>
  <c r="AS176" i="1"/>
  <c r="AQ177" i="1"/>
  <c r="AR177" i="1"/>
  <c r="AS177" i="1"/>
  <c r="AQ178" i="1"/>
  <c r="AR178" i="1"/>
  <c r="AS178" i="1"/>
  <c r="AQ179" i="1"/>
  <c r="AR179" i="1"/>
  <c r="AS179" i="1"/>
  <c r="AQ180" i="1"/>
  <c r="AR180" i="1"/>
  <c r="AS180" i="1"/>
  <c r="AQ181" i="1"/>
  <c r="AR181" i="1"/>
  <c r="AS181" i="1"/>
  <c r="AQ182" i="1"/>
  <c r="AR182" i="1"/>
  <c r="AS182" i="1"/>
  <c r="AQ183" i="1"/>
  <c r="AR183" i="1"/>
  <c r="AS183" i="1"/>
  <c r="AQ184" i="1"/>
  <c r="AR184" i="1"/>
  <c r="AS184" i="1"/>
  <c r="AQ185" i="1"/>
  <c r="AR185" i="1"/>
  <c r="AS185" i="1"/>
  <c r="AQ186" i="1"/>
  <c r="AR186" i="1"/>
  <c r="AS186" i="1"/>
  <c r="AQ187" i="1"/>
  <c r="AR187" i="1"/>
  <c r="AS187" i="1"/>
  <c r="AQ188" i="1"/>
  <c r="AR188" i="1"/>
  <c r="AS188" i="1"/>
  <c r="AQ189" i="1"/>
  <c r="AR189" i="1"/>
  <c r="AS189" i="1"/>
  <c r="AQ190" i="1"/>
  <c r="AR190" i="1"/>
  <c r="AS190" i="1"/>
  <c r="AQ191" i="1"/>
  <c r="AR191" i="1"/>
  <c r="AS191" i="1"/>
  <c r="AQ192" i="1"/>
  <c r="AR192" i="1"/>
  <c r="AS192" i="1"/>
  <c r="AQ193" i="1"/>
  <c r="AR193" i="1"/>
  <c r="AS193" i="1"/>
  <c r="AQ194" i="1"/>
  <c r="AR194" i="1"/>
  <c r="AS194" i="1"/>
  <c r="AQ195" i="1"/>
  <c r="AR195" i="1"/>
  <c r="AS195" i="1"/>
  <c r="AQ196" i="1"/>
  <c r="AR196" i="1"/>
  <c r="AS196" i="1"/>
  <c r="AQ197" i="1"/>
  <c r="AR197" i="1"/>
  <c r="AS197" i="1"/>
  <c r="AQ198" i="1"/>
  <c r="AR198" i="1"/>
  <c r="AS198" i="1"/>
  <c r="AQ199" i="1"/>
  <c r="AR199" i="1"/>
  <c r="AS199" i="1"/>
  <c r="AQ200" i="1"/>
  <c r="AR200" i="1"/>
  <c r="AS200" i="1"/>
  <c r="AQ201" i="1"/>
  <c r="AR201" i="1"/>
  <c r="AS201" i="1"/>
  <c r="AQ202" i="1"/>
  <c r="AR202" i="1"/>
  <c r="AS202" i="1"/>
  <c r="AU3" i="1"/>
  <c r="AV3" i="1"/>
  <c r="AW3" i="1"/>
  <c r="AQ3" i="1"/>
  <c r="AR3" i="1"/>
  <c r="AS3" i="1"/>
  <c r="AM4" i="1"/>
  <c r="AN4" i="1"/>
  <c r="AO4" i="1"/>
  <c r="AM5" i="1"/>
  <c r="AN5" i="1"/>
  <c r="AO5" i="1"/>
  <c r="AM6" i="1"/>
  <c r="AN6" i="1"/>
  <c r="AO6" i="1"/>
  <c r="AM7" i="1"/>
  <c r="AN7" i="1"/>
  <c r="AO7" i="1"/>
  <c r="AM8" i="1"/>
  <c r="AN8" i="1"/>
  <c r="AO8" i="1"/>
  <c r="AM9" i="1"/>
  <c r="AN9" i="1"/>
  <c r="AO9" i="1"/>
  <c r="AM10" i="1"/>
  <c r="AN10" i="1"/>
  <c r="AO10" i="1"/>
  <c r="AM11" i="1"/>
  <c r="AN11" i="1"/>
  <c r="AO11" i="1"/>
  <c r="AM12" i="1"/>
  <c r="AN12" i="1"/>
  <c r="AO12" i="1"/>
  <c r="AM13" i="1"/>
  <c r="AN13" i="1"/>
  <c r="AO13" i="1"/>
  <c r="AM14" i="1"/>
  <c r="AN14" i="1"/>
  <c r="AO14" i="1"/>
  <c r="AM15" i="1"/>
  <c r="AN15" i="1"/>
  <c r="AO15" i="1"/>
  <c r="AM16" i="1"/>
  <c r="AN16" i="1"/>
  <c r="AO16" i="1"/>
  <c r="AM17" i="1"/>
  <c r="AN17" i="1"/>
  <c r="AO17" i="1"/>
  <c r="AM18" i="1"/>
  <c r="AN18" i="1"/>
  <c r="AO18" i="1"/>
  <c r="AM19" i="1"/>
  <c r="AN19" i="1"/>
  <c r="AO19" i="1"/>
  <c r="AM20" i="1"/>
  <c r="AN20" i="1"/>
  <c r="AO20" i="1"/>
  <c r="AM21" i="1"/>
  <c r="AN21" i="1"/>
  <c r="AO21" i="1"/>
  <c r="AM22" i="1"/>
  <c r="AN22" i="1"/>
  <c r="AO22" i="1"/>
  <c r="AM23" i="1"/>
  <c r="AN23" i="1"/>
  <c r="AO23" i="1"/>
  <c r="AM24" i="1"/>
  <c r="AN24" i="1"/>
  <c r="AO24" i="1"/>
  <c r="AM25" i="1"/>
  <c r="AN25" i="1"/>
  <c r="AO25" i="1"/>
  <c r="AM26" i="1"/>
  <c r="AN26" i="1"/>
  <c r="AO26" i="1"/>
  <c r="AM27" i="1"/>
  <c r="AN27" i="1"/>
  <c r="AO27" i="1"/>
  <c r="AM28" i="1"/>
  <c r="AN28" i="1"/>
  <c r="AO28" i="1"/>
  <c r="AM29" i="1"/>
  <c r="AN29" i="1"/>
  <c r="AO29" i="1"/>
  <c r="AM30" i="1"/>
  <c r="AN30" i="1"/>
  <c r="AO30" i="1"/>
  <c r="AM31" i="1"/>
  <c r="AN31" i="1"/>
  <c r="AO31" i="1"/>
  <c r="AM32" i="1"/>
  <c r="AN32" i="1"/>
  <c r="AO32" i="1"/>
  <c r="AM33" i="1"/>
  <c r="AN33" i="1"/>
  <c r="AO33" i="1"/>
  <c r="AM34" i="1"/>
  <c r="AN34" i="1"/>
  <c r="AO34" i="1"/>
  <c r="AM35" i="1"/>
  <c r="AN35" i="1"/>
  <c r="AO35" i="1"/>
  <c r="AM36" i="1"/>
  <c r="AN36" i="1"/>
  <c r="AO36" i="1"/>
  <c r="AM37" i="1"/>
  <c r="AN37" i="1"/>
  <c r="AO37" i="1"/>
  <c r="AM38" i="1"/>
  <c r="AN38" i="1"/>
  <c r="AO38" i="1"/>
  <c r="AM39" i="1"/>
  <c r="AN39" i="1"/>
  <c r="AO39" i="1"/>
  <c r="AM40" i="1"/>
  <c r="AN40" i="1"/>
  <c r="AO40" i="1"/>
  <c r="AM41" i="1"/>
  <c r="AN41" i="1"/>
  <c r="AO41" i="1"/>
  <c r="AM42" i="1"/>
  <c r="AN42" i="1"/>
  <c r="AO42" i="1"/>
  <c r="AM43" i="1"/>
  <c r="AN43" i="1"/>
  <c r="AO43" i="1"/>
  <c r="AM44" i="1"/>
  <c r="AN44" i="1"/>
  <c r="AO44" i="1"/>
  <c r="AM45" i="1"/>
  <c r="AN45" i="1"/>
  <c r="AO45" i="1"/>
  <c r="AM46" i="1"/>
  <c r="AN46" i="1"/>
  <c r="AO46" i="1"/>
  <c r="AM47" i="1"/>
  <c r="AN47" i="1"/>
  <c r="AO47" i="1"/>
  <c r="AM48" i="1"/>
  <c r="AN48" i="1"/>
  <c r="AO48" i="1"/>
  <c r="AM49" i="1"/>
  <c r="AN49" i="1"/>
  <c r="AO49" i="1"/>
  <c r="AM50" i="1"/>
  <c r="AN50" i="1"/>
  <c r="AO50" i="1"/>
  <c r="AM51" i="1"/>
  <c r="AN51" i="1"/>
  <c r="AO51" i="1"/>
  <c r="AM52" i="1"/>
  <c r="AN52" i="1"/>
  <c r="AO52" i="1"/>
  <c r="AM53" i="1"/>
  <c r="AN53" i="1"/>
  <c r="AO53" i="1"/>
  <c r="AM54" i="1"/>
  <c r="AN54" i="1"/>
  <c r="AO54" i="1"/>
  <c r="AM55" i="1"/>
  <c r="AN55" i="1"/>
  <c r="AO55" i="1"/>
  <c r="AM56" i="1"/>
  <c r="AN56" i="1"/>
  <c r="AO56" i="1"/>
  <c r="AM57" i="1"/>
  <c r="AN57" i="1"/>
  <c r="AO57" i="1"/>
  <c r="AM58" i="1"/>
  <c r="AN58" i="1"/>
  <c r="AO58" i="1"/>
  <c r="AM59" i="1"/>
  <c r="AN59" i="1"/>
  <c r="AO59" i="1"/>
  <c r="AM60" i="1"/>
  <c r="AN60" i="1"/>
  <c r="AO60" i="1"/>
  <c r="AM61" i="1"/>
  <c r="AN61" i="1"/>
  <c r="AO61" i="1"/>
  <c r="AM62" i="1"/>
  <c r="AN62" i="1"/>
  <c r="AO62" i="1"/>
  <c r="AM63" i="1"/>
  <c r="AN63" i="1"/>
  <c r="AO63" i="1"/>
  <c r="AM64" i="1"/>
  <c r="AN64" i="1"/>
  <c r="AO64" i="1"/>
  <c r="AM65" i="1"/>
  <c r="AN65" i="1"/>
  <c r="AO65" i="1"/>
  <c r="AM66" i="1"/>
  <c r="AN66" i="1"/>
  <c r="AO66" i="1"/>
  <c r="AM67" i="1"/>
  <c r="AN67" i="1"/>
  <c r="AO67" i="1"/>
  <c r="AM68" i="1"/>
  <c r="AN68" i="1"/>
  <c r="AO68" i="1"/>
  <c r="AM69" i="1"/>
  <c r="AN69" i="1"/>
  <c r="AO69" i="1"/>
  <c r="AM70" i="1"/>
  <c r="AN70" i="1"/>
  <c r="AO70" i="1"/>
  <c r="AM71" i="1"/>
  <c r="AN71" i="1"/>
  <c r="AO71" i="1"/>
  <c r="AM72" i="1"/>
  <c r="AN72" i="1"/>
  <c r="AO72" i="1"/>
  <c r="AM73" i="1"/>
  <c r="AN73" i="1"/>
  <c r="AO73" i="1"/>
  <c r="AM74" i="1"/>
  <c r="AN74" i="1"/>
  <c r="AO74" i="1"/>
  <c r="AM75" i="1"/>
  <c r="AN75" i="1"/>
  <c r="AO75" i="1"/>
  <c r="AM76" i="1"/>
  <c r="AN76" i="1"/>
  <c r="AO76" i="1"/>
  <c r="AM77" i="1"/>
  <c r="AN77" i="1"/>
  <c r="AO77" i="1"/>
  <c r="AM78" i="1"/>
  <c r="AN78" i="1"/>
  <c r="AO78" i="1"/>
  <c r="AM79" i="1"/>
  <c r="AN79" i="1"/>
  <c r="AO79" i="1"/>
  <c r="AM80" i="1"/>
  <c r="AN80" i="1"/>
  <c r="AO80" i="1"/>
  <c r="AM81" i="1"/>
  <c r="AN81" i="1"/>
  <c r="AO81" i="1"/>
  <c r="AM82" i="1"/>
  <c r="AN82" i="1"/>
  <c r="AO82" i="1"/>
  <c r="AM83" i="1"/>
  <c r="AN83" i="1"/>
  <c r="AO83" i="1"/>
  <c r="AM84" i="1"/>
  <c r="AN84" i="1"/>
  <c r="AO84" i="1"/>
  <c r="AM85" i="1"/>
  <c r="AN85" i="1"/>
  <c r="AO85" i="1"/>
  <c r="AM86" i="1"/>
  <c r="AN86" i="1"/>
  <c r="AO86" i="1"/>
  <c r="AM87" i="1"/>
  <c r="AN87" i="1"/>
  <c r="AO87" i="1"/>
  <c r="AM88" i="1"/>
  <c r="AN88" i="1"/>
  <c r="AO88" i="1"/>
  <c r="AM89" i="1"/>
  <c r="AN89" i="1"/>
  <c r="AO89" i="1"/>
  <c r="AM90" i="1"/>
  <c r="AN90" i="1"/>
  <c r="AO90" i="1"/>
  <c r="AM91" i="1"/>
  <c r="AN91" i="1"/>
  <c r="AO91" i="1"/>
  <c r="AM92" i="1"/>
  <c r="AN92" i="1"/>
  <c r="AO92" i="1"/>
  <c r="AM93" i="1"/>
  <c r="AN93" i="1"/>
  <c r="AO93" i="1"/>
  <c r="AM94" i="1"/>
  <c r="AN94" i="1"/>
  <c r="AO94" i="1"/>
  <c r="AM95" i="1"/>
  <c r="AN95" i="1"/>
  <c r="AO95" i="1"/>
  <c r="AM96" i="1"/>
  <c r="AN96" i="1"/>
  <c r="AO96" i="1"/>
  <c r="AM97" i="1"/>
  <c r="AN97" i="1"/>
  <c r="AO97" i="1"/>
  <c r="AM98" i="1"/>
  <c r="AN98" i="1"/>
  <c r="AO98" i="1"/>
  <c r="AM99" i="1"/>
  <c r="AN99" i="1"/>
  <c r="AO99" i="1"/>
  <c r="AM100" i="1"/>
  <c r="AN100" i="1"/>
  <c r="AO100" i="1"/>
  <c r="AM101" i="1"/>
  <c r="AN101" i="1"/>
  <c r="AO101" i="1"/>
  <c r="AM102" i="1"/>
  <c r="AN102" i="1"/>
  <c r="AO102" i="1"/>
  <c r="AM103" i="1"/>
  <c r="AN103" i="1"/>
  <c r="AO103" i="1"/>
  <c r="AM104" i="1"/>
  <c r="AN104" i="1"/>
  <c r="AO104" i="1"/>
  <c r="AM105" i="1"/>
  <c r="AN105" i="1"/>
  <c r="AO105" i="1"/>
  <c r="AM106" i="1"/>
  <c r="AN106" i="1"/>
  <c r="AO106" i="1"/>
  <c r="AM107" i="1"/>
  <c r="AN107" i="1"/>
  <c r="AO107" i="1"/>
  <c r="AM108" i="1"/>
  <c r="AN108" i="1"/>
  <c r="AO108" i="1"/>
  <c r="AM109" i="1"/>
  <c r="AN109" i="1"/>
  <c r="AO109" i="1"/>
  <c r="AM110" i="1"/>
  <c r="AN110" i="1"/>
  <c r="AO110" i="1"/>
  <c r="AM111" i="1"/>
  <c r="AN111" i="1"/>
  <c r="AO111" i="1"/>
  <c r="AM112" i="1"/>
  <c r="AN112" i="1"/>
  <c r="AO112" i="1"/>
  <c r="AM113" i="1"/>
  <c r="AN113" i="1"/>
  <c r="AO113" i="1"/>
  <c r="AM114" i="1"/>
  <c r="AN114" i="1"/>
  <c r="AO114" i="1"/>
  <c r="AM115" i="1"/>
  <c r="AN115" i="1"/>
  <c r="AO115" i="1"/>
  <c r="AM116" i="1"/>
  <c r="AN116" i="1"/>
  <c r="AO116" i="1"/>
  <c r="AM117" i="1"/>
  <c r="AN117" i="1"/>
  <c r="AO117" i="1"/>
  <c r="AM118" i="1"/>
  <c r="AN118" i="1"/>
  <c r="AO118" i="1"/>
  <c r="AM119" i="1"/>
  <c r="AN119" i="1"/>
  <c r="AO119" i="1"/>
  <c r="AM120" i="1"/>
  <c r="AN120" i="1"/>
  <c r="AO120" i="1"/>
  <c r="AM121" i="1"/>
  <c r="AN121" i="1"/>
  <c r="AO121" i="1"/>
  <c r="AM122" i="1"/>
  <c r="AN122" i="1"/>
  <c r="AO122" i="1"/>
  <c r="AM123" i="1"/>
  <c r="AN123" i="1"/>
  <c r="AO123" i="1"/>
  <c r="AM124" i="1"/>
  <c r="AN124" i="1"/>
  <c r="AO124" i="1"/>
  <c r="AM125" i="1"/>
  <c r="AN125" i="1"/>
  <c r="AO125" i="1"/>
  <c r="AM126" i="1"/>
  <c r="AN126" i="1"/>
  <c r="AO126" i="1"/>
  <c r="AM127" i="1"/>
  <c r="AN127" i="1"/>
  <c r="AO127" i="1"/>
  <c r="AM128" i="1"/>
  <c r="AN128" i="1"/>
  <c r="AO128" i="1"/>
  <c r="AM129" i="1"/>
  <c r="AN129" i="1"/>
  <c r="AO129" i="1"/>
  <c r="AM130" i="1"/>
  <c r="AN130" i="1"/>
  <c r="AO130" i="1"/>
  <c r="AM131" i="1"/>
  <c r="AN131" i="1"/>
  <c r="AO131" i="1"/>
  <c r="AM132" i="1"/>
  <c r="AN132" i="1"/>
  <c r="AO132" i="1"/>
  <c r="AM133" i="1"/>
  <c r="AN133" i="1"/>
  <c r="AO133" i="1"/>
  <c r="AM134" i="1"/>
  <c r="AN134" i="1"/>
  <c r="AO134" i="1"/>
  <c r="AM135" i="1"/>
  <c r="AN135" i="1"/>
  <c r="AO135" i="1"/>
  <c r="AM136" i="1"/>
  <c r="AN136" i="1"/>
  <c r="AO136" i="1"/>
  <c r="AM137" i="1"/>
  <c r="AN137" i="1"/>
  <c r="AO137" i="1"/>
  <c r="AM138" i="1"/>
  <c r="AN138" i="1"/>
  <c r="AO138" i="1"/>
  <c r="AM139" i="1"/>
  <c r="AN139" i="1"/>
  <c r="AO139" i="1"/>
  <c r="AM140" i="1"/>
  <c r="AN140" i="1"/>
  <c r="AO140" i="1"/>
  <c r="AM141" i="1"/>
  <c r="AN141" i="1"/>
  <c r="AO141" i="1"/>
  <c r="AM142" i="1"/>
  <c r="AN142" i="1"/>
  <c r="AO142" i="1"/>
  <c r="AM143" i="1"/>
  <c r="AN143" i="1"/>
  <c r="AO143" i="1"/>
  <c r="AM144" i="1"/>
  <c r="AN144" i="1"/>
  <c r="AO144" i="1"/>
  <c r="AM145" i="1"/>
  <c r="AN145" i="1"/>
  <c r="AO145" i="1"/>
  <c r="AM146" i="1"/>
  <c r="AN146" i="1"/>
  <c r="AO146" i="1"/>
  <c r="AM147" i="1"/>
  <c r="AN147" i="1"/>
  <c r="AO147" i="1"/>
  <c r="AM148" i="1"/>
  <c r="AN148" i="1"/>
  <c r="AO148" i="1"/>
  <c r="AM149" i="1"/>
  <c r="AN149" i="1"/>
  <c r="AO149" i="1"/>
  <c r="AM150" i="1"/>
  <c r="AN150" i="1"/>
  <c r="AO150" i="1"/>
  <c r="AM151" i="1"/>
  <c r="AN151" i="1"/>
  <c r="AO151" i="1"/>
  <c r="AM152" i="1"/>
  <c r="AN152" i="1"/>
  <c r="AO152" i="1"/>
  <c r="AM153" i="1"/>
  <c r="AN153" i="1"/>
  <c r="AO153" i="1"/>
  <c r="AM154" i="1"/>
  <c r="AN154" i="1"/>
  <c r="AO154" i="1"/>
  <c r="AM155" i="1"/>
  <c r="AN155" i="1"/>
  <c r="AO155" i="1"/>
  <c r="AM156" i="1"/>
  <c r="AN156" i="1"/>
  <c r="AO156" i="1"/>
  <c r="AM157" i="1"/>
  <c r="AN157" i="1"/>
  <c r="AO157" i="1"/>
  <c r="AM158" i="1"/>
  <c r="AN158" i="1"/>
  <c r="AO158" i="1"/>
  <c r="AM159" i="1"/>
  <c r="AN159" i="1"/>
  <c r="AO159" i="1"/>
  <c r="AM160" i="1"/>
  <c r="AN160" i="1"/>
  <c r="AO160" i="1"/>
  <c r="AM161" i="1"/>
  <c r="AN161" i="1"/>
  <c r="AO161" i="1"/>
  <c r="AM162" i="1"/>
  <c r="AN162" i="1"/>
  <c r="AO162" i="1"/>
  <c r="AM163" i="1"/>
  <c r="AN163" i="1"/>
  <c r="AO163" i="1"/>
  <c r="AM164" i="1"/>
  <c r="AN164" i="1"/>
  <c r="AO164" i="1"/>
  <c r="AM165" i="1"/>
  <c r="AN165" i="1"/>
  <c r="AO165" i="1"/>
  <c r="AM166" i="1"/>
  <c r="AN166" i="1"/>
  <c r="AO166" i="1"/>
  <c r="AM167" i="1"/>
  <c r="AN167" i="1"/>
  <c r="AO167" i="1"/>
  <c r="AM168" i="1"/>
  <c r="AN168" i="1"/>
  <c r="AO168" i="1"/>
  <c r="AM169" i="1"/>
  <c r="AN169" i="1"/>
  <c r="AO169" i="1"/>
  <c r="AM170" i="1"/>
  <c r="AN170" i="1"/>
  <c r="AO170" i="1"/>
  <c r="AM171" i="1"/>
  <c r="AN171" i="1"/>
  <c r="AO171" i="1"/>
  <c r="AM172" i="1"/>
  <c r="AN172" i="1"/>
  <c r="AO172" i="1"/>
  <c r="AM173" i="1"/>
  <c r="AN173" i="1"/>
  <c r="AO173" i="1"/>
  <c r="AM174" i="1"/>
  <c r="AN174" i="1"/>
  <c r="AO174" i="1"/>
  <c r="AM175" i="1"/>
  <c r="AN175" i="1"/>
  <c r="AO175" i="1"/>
  <c r="AM176" i="1"/>
  <c r="AN176" i="1"/>
  <c r="AO176" i="1"/>
  <c r="AM177" i="1"/>
  <c r="AN177" i="1"/>
  <c r="AO177" i="1"/>
  <c r="AM178" i="1"/>
  <c r="AN178" i="1"/>
  <c r="AO178" i="1"/>
  <c r="AM179" i="1"/>
  <c r="AN179" i="1"/>
  <c r="AO179" i="1"/>
  <c r="AM180" i="1"/>
  <c r="AN180" i="1"/>
  <c r="AO180" i="1"/>
  <c r="AM181" i="1"/>
  <c r="AN181" i="1"/>
  <c r="AO181" i="1"/>
  <c r="AM182" i="1"/>
  <c r="AN182" i="1"/>
  <c r="AO182" i="1"/>
  <c r="AM183" i="1"/>
  <c r="AN183" i="1"/>
  <c r="AO183" i="1"/>
  <c r="AM184" i="1"/>
  <c r="AN184" i="1"/>
  <c r="AO184" i="1"/>
  <c r="AM185" i="1"/>
  <c r="AN185" i="1"/>
  <c r="AO185" i="1"/>
  <c r="AM186" i="1"/>
  <c r="AN186" i="1"/>
  <c r="AO186" i="1"/>
  <c r="AM187" i="1"/>
  <c r="AN187" i="1"/>
  <c r="AO187" i="1"/>
  <c r="AM188" i="1"/>
  <c r="AN188" i="1"/>
  <c r="AO188" i="1"/>
  <c r="AM189" i="1"/>
  <c r="AN189" i="1"/>
  <c r="AO189" i="1"/>
  <c r="AM190" i="1"/>
  <c r="AN190" i="1"/>
  <c r="AO190" i="1"/>
  <c r="AM191" i="1"/>
  <c r="AN191" i="1"/>
  <c r="AO191" i="1"/>
  <c r="AM192" i="1"/>
  <c r="AN192" i="1"/>
  <c r="AO192" i="1"/>
  <c r="AM193" i="1"/>
  <c r="AN193" i="1"/>
  <c r="AO193" i="1"/>
  <c r="AM194" i="1"/>
  <c r="AN194" i="1"/>
  <c r="AO194" i="1"/>
  <c r="AM195" i="1"/>
  <c r="AN195" i="1"/>
  <c r="AO195" i="1"/>
  <c r="AM196" i="1"/>
  <c r="AN196" i="1"/>
  <c r="AO196" i="1"/>
  <c r="AM197" i="1"/>
  <c r="AN197" i="1"/>
  <c r="AO197" i="1"/>
  <c r="AM198" i="1"/>
  <c r="AN198" i="1"/>
  <c r="AO198" i="1"/>
  <c r="AM199" i="1"/>
  <c r="AN199" i="1"/>
  <c r="AO199" i="1"/>
  <c r="AM200" i="1"/>
  <c r="AN200" i="1"/>
  <c r="AO200" i="1"/>
  <c r="AM201" i="1"/>
  <c r="AN201" i="1"/>
  <c r="AO201" i="1"/>
  <c r="AM202" i="1"/>
  <c r="AN202" i="1"/>
  <c r="AO202" i="1"/>
  <c r="AM3" i="1"/>
  <c r="AN3" i="1"/>
  <c r="AO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2" i="1"/>
  <c r="AK132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3" i="1"/>
  <c r="AK3" i="1"/>
  <c r="AF4" i="1"/>
  <c r="AG4" i="1"/>
  <c r="AH4" i="1"/>
  <c r="AF5" i="1"/>
  <c r="AG5" i="1"/>
  <c r="AH5" i="1"/>
  <c r="AF6" i="1"/>
  <c r="AG6" i="1"/>
  <c r="AH6" i="1"/>
  <c r="AF7" i="1"/>
  <c r="AG7" i="1"/>
  <c r="AH7" i="1"/>
  <c r="AF8" i="1"/>
  <c r="AG8" i="1"/>
  <c r="AH8" i="1"/>
  <c r="AF9" i="1"/>
  <c r="AG9" i="1"/>
  <c r="AH9" i="1"/>
  <c r="AF10" i="1"/>
  <c r="AG10" i="1"/>
  <c r="AH10" i="1"/>
  <c r="AF11" i="1"/>
  <c r="AG11" i="1"/>
  <c r="AH11" i="1"/>
  <c r="AF12" i="1"/>
  <c r="AG12" i="1"/>
  <c r="AH12" i="1"/>
  <c r="AF13" i="1"/>
  <c r="AG13" i="1"/>
  <c r="AH13" i="1"/>
  <c r="AF14" i="1"/>
  <c r="AG14" i="1"/>
  <c r="AH14" i="1"/>
  <c r="AF15" i="1"/>
  <c r="AG15" i="1"/>
  <c r="AH15" i="1"/>
  <c r="AF16" i="1"/>
  <c r="AG16" i="1"/>
  <c r="AH16" i="1"/>
  <c r="AF17" i="1"/>
  <c r="AG17" i="1"/>
  <c r="AH17" i="1"/>
  <c r="AF18" i="1"/>
  <c r="AG18" i="1"/>
  <c r="AH18" i="1"/>
  <c r="AF19" i="1"/>
  <c r="AG19" i="1"/>
  <c r="AH19" i="1"/>
  <c r="AF20" i="1"/>
  <c r="AG20" i="1"/>
  <c r="AH20" i="1"/>
  <c r="AF21" i="1"/>
  <c r="AG21" i="1"/>
  <c r="AH21" i="1"/>
  <c r="AF22" i="1"/>
  <c r="AG22" i="1"/>
  <c r="AH22" i="1"/>
  <c r="AF23" i="1"/>
  <c r="AG23" i="1"/>
  <c r="AH23" i="1"/>
  <c r="AF24" i="1"/>
  <c r="AG24" i="1"/>
  <c r="AH24" i="1"/>
  <c r="AF25" i="1"/>
  <c r="AG25" i="1"/>
  <c r="AH25" i="1"/>
  <c r="AF26" i="1"/>
  <c r="AG26" i="1"/>
  <c r="AH26" i="1"/>
  <c r="AF27" i="1"/>
  <c r="AG27" i="1"/>
  <c r="AH27" i="1"/>
  <c r="AF28" i="1"/>
  <c r="AG28" i="1"/>
  <c r="AH28" i="1"/>
  <c r="AF29" i="1"/>
  <c r="AG29" i="1"/>
  <c r="AH29" i="1"/>
  <c r="AF30" i="1"/>
  <c r="AG30" i="1"/>
  <c r="AH30" i="1"/>
  <c r="AF31" i="1"/>
  <c r="AG31" i="1"/>
  <c r="AH31" i="1"/>
  <c r="AF32" i="1"/>
  <c r="AG32" i="1"/>
  <c r="AH32" i="1"/>
  <c r="AF33" i="1"/>
  <c r="AG33" i="1"/>
  <c r="AH33" i="1"/>
  <c r="AF34" i="1"/>
  <c r="AG34" i="1"/>
  <c r="AH34" i="1"/>
  <c r="AF35" i="1"/>
  <c r="AG35" i="1"/>
  <c r="AH35" i="1"/>
  <c r="AF36" i="1"/>
  <c r="AG36" i="1"/>
  <c r="AH36" i="1"/>
  <c r="AF37" i="1"/>
  <c r="AG37" i="1"/>
  <c r="AH37" i="1"/>
  <c r="AF38" i="1"/>
  <c r="AG38" i="1"/>
  <c r="AH38" i="1"/>
  <c r="AF39" i="1"/>
  <c r="AG39" i="1"/>
  <c r="AH39" i="1"/>
  <c r="AF40" i="1"/>
  <c r="AG40" i="1"/>
  <c r="AH40" i="1"/>
  <c r="AF41" i="1"/>
  <c r="AG41" i="1"/>
  <c r="AH41" i="1"/>
  <c r="AF42" i="1"/>
  <c r="AG42" i="1"/>
  <c r="AH42" i="1"/>
  <c r="AF43" i="1"/>
  <c r="AG43" i="1"/>
  <c r="AH43" i="1"/>
  <c r="AF44" i="1"/>
  <c r="AG44" i="1"/>
  <c r="AH44" i="1"/>
  <c r="AF45" i="1"/>
  <c r="AG45" i="1"/>
  <c r="AH45" i="1"/>
  <c r="AF46" i="1"/>
  <c r="AG46" i="1"/>
  <c r="AH46" i="1"/>
  <c r="AF47" i="1"/>
  <c r="AG47" i="1"/>
  <c r="AH47" i="1"/>
  <c r="AF48" i="1"/>
  <c r="AG48" i="1"/>
  <c r="AH48" i="1"/>
  <c r="AF49" i="1"/>
  <c r="AG49" i="1"/>
  <c r="AH49" i="1"/>
  <c r="AF50" i="1"/>
  <c r="AG50" i="1"/>
  <c r="AH50" i="1"/>
  <c r="AF51" i="1"/>
  <c r="AG51" i="1"/>
  <c r="AH51" i="1"/>
  <c r="AF52" i="1"/>
  <c r="AG52" i="1"/>
  <c r="AH52" i="1"/>
  <c r="AF53" i="1"/>
  <c r="AG53" i="1"/>
  <c r="AH53" i="1"/>
  <c r="AF54" i="1"/>
  <c r="AG54" i="1"/>
  <c r="AH54" i="1"/>
  <c r="AF55" i="1"/>
  <c r="AG55" i="1"/>
  <c r="AH55" i="1"/>
  <c r="AF56" i="1"/>
  <c r="AG56" i="1"/>
  <c r="AH56" i="1"/>
  <c r="AF57" i="1"/>
  <c r="AG57" i="1"/>
  <c r="AH57" i="1"/>
  <c r="AF58" i="1"/>
  <c r="AG58" i="1"/>
  <c r="AH58" i="1"/>
  <c r="AF59" i="1"/>
  <c r="AG59" i="1"/>
  <c r="AH59" i="1"/>
  <c r="AF60" i="1"/>
  <c r="AG60" i="1"/>
  <c r="AH60" i="1"/>
  <c r="AF61" i="1"/>
  <c r="AG61" i="1"/>
  <c r="AH61" i="1"/>
  <c r="AF62" i="1"/>
  <c r="AG62" i="1"/>
  <c r="AH62" i="1"/>
  <c r="AF63" i="1"/>
  <c r="AG63" i="1"/>
  <c r="AH63" i="1"/>
  <c r="AF64" i="1"/>
  <c r="AG64" i="1"/>
  <c r="AH64" i="1"/>
  <c r="AF65" i="1"/>
  <c r="AG65" i="1"/>
  <c r="AH65" i="1"/>
  <c r="AF66" i="1"/>
  <c r="AG66" i="1"/>
  <c r="AH66" i="1"/>
  <c r="AF67" i="1"/>
  <c r="AG67" i="1"/>
  <c r="AH67" i="1"/>
  <c r="AF68" i="1"/>
  <c r="AG68" i="1"/>
  <c r="AH68" i="1"/>
  <c r="AF69" i="1"/>
  <c r="AG69" i="1"/>
  <c r="AH69" i="1"/>
  <c r="AF70" i="1"/>
  <c r="AG70" i="1"/>
  <c r="AH70" i="1"/>
  <c r="AF71" i="1"/>
  <c r="AG71" i="1"/>
  <c r="AH71" i="1"/>
  <c r="AF72" i="1"/>
  <c r="AG72" i="1"/>
  <c r="AH72" i="1"/>
  <c r="AF73" i="1"/>
  <c r="AG73" i="1"/>
  <c r="AH73" i="1"/>
  <c r="AF74" i="1"/>
  <c r="AG74" i="1"/>
  <c r="AH74" i="1"/>
  <c r="AF75" i="1"/>
  <c r="AG75" i="1"/>
  <c r="AH75" i="1"/>
  <c r="AF76" i="1"/>
  <c r="AG76" i="1"/>
  <c r="AH76" i="1"/>
  <c r="AF77" i="1"/>
  <c r="AG77" i="1"/>
  <c r="AH77" i="1"/>
  <c r="AF78" i="1"/>
  <c r="AG78" i="1"/>
  <c r="AH78" i="1"/>
  <c r="AF79" i="1"/>
  <c r="AG79" i="1"/>
  <c r="AH79" i="1"/>
  <c r="AF80" i="1"/>
  <c r="AG80" i="1"/>
  <c r="AH80" i="1"/>
  <c r="AF81" i="1"/>
  <c r="AG81" i="1"/>
  <c r="AH81" i="1"/>
  <c r="AF82" i="1"/>
  <c r="AG82" i="1"/>
  <c r="AH82" i="1"/>
  <c r="AF83" i="1"/>
  <c r="AG83" i="1"/>
  <c r="AH83" i="1"/>
  <c r="AF84" i="1"/>
  <c r="AG84" i="1"/>
  <c r="AH84" i="1"/>
  <c r="AF85" i="1"/>
  <c r="AG85" i="1"/>
  <c r="AH85" i="1"/>
  <c r="AF86" i="1"/>
  <c r="AG86" i="1"/>
  <c r="AH86" i="1"/>
  <c r="AF87" i="1"/>
  <c r="AG87" i="1"/>
  <c r="AH87" i="1"/>
  <c r="AF88" i="1"/>
  <c r="AG88" i="1"/>
  <c r="AH88" i="1"/>
  <c r="AF89" i="1"/>
  <c r="AG89" i="1"/>
  <c r="AH89" i="1"/>
  <c r="AF90" i="1"/>
  <c r="AG90" i="1"/>
  <c r="AH90" i="1"/>
  <c r="AF91" i="1"/>
  <c r="AG91" i="1"/>
  <c r="AH91" i="1"/>
  <c r="AF92" i="1"/>
  <c r="AG92" i="1"/>
  <c r="AH92" i="1"/>
  <c r="AF93" i="1"/>
  <c r="AG93" i="1"/>
  <c r="AH93" i="1"/>
  <c r="AF94" i="1"/>
  <c r="AG94" i="1"/>
  <c r="AH94" i="1"/>
  <c r="AF95" i="1"/>
  <c r="AG95" i="1"/>
  <c r="AH95" i="1"/>
  <c r="AF96" i="1"/>
  <c r="AG96" i="1"/>
  <c r="AH96" i="1"/>
  <c r="AF97" i="1"/>
  <c r="AG97" i="1"/>
  <c r="AH97" i="1"/>
  <c r="AF98" i="1"/>
  <c r="AG98" i="1"/>
  <c r="AH98" i="1"/>
  <c r="AF99" i="1"/>
  <c r="AG99" i="1"/>
  <c r="AH99" i="1"/>
  <c r="AF100" i="1"/>
  <c r="AG100" i="1"/>
  <c r="AH100" i="1"/>
  <c r="AF101" i="1"/>
  <c r="AG101" i="1"/>
  <c r="AH101" i="1"/>
  <c r="AF102" i="1"/>
  <c r="AG102" i="1"/>
  <c r="AH102" i="1"/>
  <c r="AF103" i="1"/>
  <c r="AG103" i="1"/>
  <c r="AH103" i="1"/>
  <c r="AF104" i="1"/>
  <c r="AG104" i="1"/>
  <c r="AH104" i="1"/>
  <c r="AF105" i="1"/>
  <c r="AG105" i="1"/>
  <c r="AH105" i="1"/>
  <c r="AF106" i="1"/>
  <c r="AG106" i="1"/>
  <c r="AH106" i="1"/>
  <c r="AF107" i="1"/>
  <c r="AG107" i="1"/>
  <c r="AH107" i="1"/>
  <c r="AF108" i="1"/>
  <c r="AG108" i="1"/>
  <c r="AH108" i="1"/>
  <c r="AF109" i="1"/>
  <c r="AG109" i="1"/>
  <c r="AH109" i="1"/>
  <c r="AF110" i="1"/>
  <c r="AG110" i="1"/>
  <c r="AH110" i="1"/>
  <c r="AF111" i="1"/>
  <c r="AG111" i="1"/>
  <c r="AH111" i="1"/>
  <c r="AF112" i="1"/>
  <c r="AG112" i="1"/>
  <c r="AH112" i="1"/>
  <c r="AF113" i="1"/>
  <c r="AG113" i="1"/>
  <c r="AH113" i="1"/>
  <c r="AF114" i="1"/>
  <c r="AG114" i="1"/>
  <c r="AH114" i="1"/>
  <c r="AF115" i="1"/>
  <c r="AG115" i="1"/>
  <c r="AH115" i="1"/>
  <c r="AF116" i="1"/>
  <c r="AG116" i="1"/>
  <c r="AH116" i="1"/>
  <c r="AF117" i="1"/>
  <c r="AG117" i="1"/>
  <c r="AH117" i="1"/>
  <c r="AF118" i="1"/>
  <c r="AG118" i="1"/>
  <c r="AH118" i="1"/>
  <c r="AF119" i="1"/>
  <c r="AG119" i="1"/>
  <c r="AH119" i="1"/>
  <c r="AF120" i="1"/>
  <c r="AG120" i="1"/>
  <c r="AH120" i="1"/>
  <c r="AF121" i="1"/>
  <c r="AG121" i="1"/>
  <c r="AH121" i="1"/>
  <c r="AF122" i="1"/>
  <c r="AG122" i="1"/>
  <c r="AH122" i="1"/>
  <c r="AF123" i="1"/>
  <c r="AG123" i="1"/>
  <c r="AH123" i="1"/>
  <c r="AF124" i="1"/>
  <c r="AG124" i="1"/>
  <c r="AH124" i="1"/>
  <c r="AF125" i="1"/>
  <c r="AG125" i="1"/>
  <c r="AH125" i="1"/>
  <c r="AF126" i="1"/>
  <c r="AG126" i="1"/>
  <c r="AH126" i="1"/>
  <c r="AF127" i="1"/>
  <c r="AG127" i="1"/>
  <c r="AH127" i="1"/>
  <c r="AF128" i="1"/>
  <c r="AG128" i="1"/>
  <c r="AH128" i="1"/>
  <c r="AF129" i="1"/>
  <c r="AG129" i="1"/>
  <c r="AH129" i="1"/>
  <c r="AF130" i="1"/>
  <c r="AG130" i="1"/>
  <c r="AH130" i="1"/>
  <c r="AF131" i="1"/>
  <c r="AG131" i="1"/>
  <c r="AH131" i="1"/>
  <c r="AF132" i="1"/>
  <c r="AG132" i="1"/>
  <c r="AH132" i="1"/>
  <c r="AF133" i="1"/>
  <c r="AG133" i="1"/>
  <c r="AH133" i="1"/>
  <c r="AF134" i="1"/>
  <c r="AG134" i="1"/>
  <c r="AH134" i="1"/>
  <c r="AF135" i="1"/>
  <c r="AG135" i="1"/>
  <c r="AH135" i="1"/>
  <c r="AF136" i="1"/>
  <c r="AG136" i="1"/>
  <c r="AH136" i="1"/>
  <c r="AF137" i="1"/>
  <c r="AG137" i="1"/>
  <c r="AH137" i="1"/>
  <c r="AF138" i="1"/>
  <c r="AG138" i="1"/>
  <c r="AH138" i="1"/>
  <c r="AF139" i="1"/>
  <c r="AG139" i="1"/>
  <c r="AH139" i="1"/>
  <c r="AF140" i="1"/>
  <c r="AG140" i="1"/>
  <c r="AH140" i="1"/>
  <c r="AF141" i="1"/>
  <c r="AG141" i="1"/>
  <c r="AH141" i="1"/>
  <c r="AF142" i="1"/>
  <c r="AG142" i="1"/>
  <c r="AH142" i="1"/>
  <c r="AF143" i="1"/>
  <c r="AG143" i="1"/>
  <c r="AH143" i="1"/>
  <c r="AF144" i="1"/>
  <c r="AG144" i="1"/>
  <c r="AH144" i="1"/>
  <c r="AF145" i="1"/>
  <c r="AG145" i="1"/>
  <c r="AH145" i="1"/>
  <c r="AF146" i="1"/>
  <c r="AG146" i="1"/>
  <c r="AH146" i="1"/>
  <c r="AF147" i="1"/>
  <c r="AG147" i="1"/>
  <c r="AH147" i="1"/>
  <c r="AF148" i="1"/>
  <c r="AG148" i="1"/>
  <c r="AH148" i="1"/>
  <c r="AF149" i="1"/>
  <c r="AG149" i="1"/>
  <c r="AH149" i="1"/>
  <c r="AF150" i="1"/>
  <c r="AG150" i="1"/>
  <c r="AH150" i="1"/>
  <c r="AF151" i="1"/>
  <c r="AG151" i="1"/>
  <c r="AH151" i="1"/>
  <c r="AF152" i="1"/>
  <c r="AG152" i="1"/>
  <c r="AH152" i="1"/>
  <c r="AF153" i="1"/>
  <c r="AG153" i="1"/>
  <c r="AH153" i="1"/>
  <c r="AF154" i="1"/>
  <c r="AG154" i="1"/>
  <c r="AH154" i="1"/>
  <c r="AF155" i="1"/>
  <c r="AG155" i="1"/>
  <c r="AH155" i="1"/>
  <c r="AF156" i="1"/>
  <c r="AG156" i="1"/>
  <c r="AH156" i="1"/>
  <c r="AF157" i="1"/>
  <c r="AG157" i="1"/>
  <c r="AH157" i="1"/>
  <c r="AF158" i="1"/>
  <c r="AG158" i="1"/>
  <c r="AH158" i="1"/>
  <c r="AF159" i="1"/>
  <c r="AG159" i="1"/>
  <c r="AH159" i="1"/>
  <c r="AF160" i="1"/>
  <c r="AG160" i="1"/>
  <c r="AH160" i="1"/>
  <c r="AF161" i="1"/>
  <c r="AG161" i="1"/>
  <c r="AH161" i="1"/>
  <c r="AF162" i="1"/>
  <c r="AG162" i="1"/>
  <c r="AH162" i="1"/>
  <c r="AF163" i="1"/>
  <c r="AG163" i="1"/>
  <c r="AH163" i="1"/>
  <c r="AF164" i="1"/>
  <c r="AG164" i="1"/>
  <c r="AH164" i="1"/>
  <c r="AF165" i="1"/>
  <c r="AG165" i="1"/>
  <c r="AH165" i="1"/>
  <c r="AF166" i="1"/>
  <c r="AG166" i="1"/>
  <c r="AH166" i="1"/>
  <c r="AF167" i="1"/>
  <c r="AG167" i="1"/>
  <c r="AH167" i="1"/>
  <c r="AF168" i="1"/>
  <c r="AG168" i="1"/>
  <c r="AH168" i="1"/>
  <c r="AF169" i="1"/>
  <c r="AG169" i="1"/>
  <c r="AH169" i="1"/>
  <c r="AF170" i="1"/>
  <c r="AG170" i="1"/>
  <c r="AH170" i="1"/>
  <c r="AF171" i="1"/>
  <c r="AG171" i="1"/>
  <c r="AH171" i="1"/>
  <c r="AF172" i="1"/>
  <c r="AG172" i="1"/>
  <c r="AH172" i="1"/>
  <c r="AF173" i="1"/>
  <c r="AG173" i="1"/>
  <c r="AH173" i="1"/>
  <c r="AF174" i="1"/>
  <c r="AG174" i="1"/>
  <c r="AH174" i="1"/>
  <c r="AF175" i="1"/>
  <c r="AG175" i="1"/>
  <c r="AH175" i="1"/>
  <c r="AF176" i="1"/>
  <c r="AG176" i="1"/>
  <c r="AH176" i="1"/>
  <c r="AF177" i="1"/>
  <c r="AG177" i="1"/>
  <c r="AH177" i="1"/>
  <c r="AF178" i="1"/>
  <c r="AG178" i="1"/>
  <c r="AH178" i="1"/>
  <c r="AF179" i="1"/>
  <c r="AG179" i="1"/>
  <c r="AH179" i="1"/>
  <c r="AF180" i="1"/>
  <c r="AG180" i="1"/>
  <c r="AH180" i="1"/>
  <c r="AF181" i="1"/>
  <c r="AG181" i="1"/>
  <c r="AH181" i="1"/>
  <c r="AF182" i="1"/>
  <c r="AG182" i="1"/>
  <c r="AH182" i="1"/>
  <c r="AF183" i="1"/>
  <c r="AG183" i="1"/>
  <c r="AH183" i="1"/>
  <c r="AF184" i="1"/>
  <c r="AG184" i="1"/>
  <c r="AH184" i="1"/>
  <c r="AF185" i="1"/>
  <c r="AG185" i="1"/>
  <c r="AH185" i="1"/>
  <c r="AF186" i="1"/>
  <c r="AG186" i="1"/>
  <c r="AH186" i="1"/>
  <c r="AF187" i="1"/>
  <c r="AG187" i="1"/>
  <c r="AH187" i="1"/>
  <c r="AF188" i="1"/>
  <c r="AG188" i="1"/>
  <c r="AH188" i="1"/>
  <c r="AF189" i="1"/>
  <c r="AG189" i="1"/>
  <c r="AH189" i="1"/>
  <c r="AF190" i="1"/>
  <c r="AG190" i="1"/>
  <c r="AH190" i="1"/>
  <c r="AF191" i="1"/>
  <c r="AG191" i="1"/>
  <c r="AH191" i="1"/>
  <c r="AF192" i="1"/>
  <c r="AG192" i="1"/>
  <c r="AH192" i="1"/>
  <c r="AF193" i="1"/>
  <c r="AG193" i="1"/>
  <c r="AH193" i="1"/>
  <c r="AF194" i="1"/>
  <c r="AG194" i="1"/>
  <c r="AH194" i="1"/>
  <c r="AF195" i="1"/>
  <c r="AG195" i="1"/>
  <c r="AH195" i="1"/>
  <c r="AF196" i="1"/>
  <c r="AG196" i="1"/>
  <c r="AH196" i="1"/>
  <c r="AF197" i="1"/>
  <c r="AG197" i="1"/>
  <c r="AH197" i="1"/>
  <c r="AF198" i="1"/>
  <c r="AG198" i="1"/>
  <c r="AH198" i="1"/>
  <c r="AF199" i="1"/>
  <c r="AG199" i="1"/>
  <c r="AH199" i="1"/>
  <c r="AF200" i="1"/>
  <c r="AG200" i="1"/>
  <c r="AH200" i="1"/>
  <c r="AF201" i="1"/>
  <c r="AG201" i="1"/>
  <c r="AH201" i="1"/>
  <c r="AF202" i="1"/>
  <c r="AG202" i="1"/>
  <c r="AH202" i="1"/>
  <c r="AF3" i="1"/>
  <c r="AG3" i="1"/>
  <c r="AH3" i="1"/>
  <c r="AB4" i="1"/>
  <c r="AC4" i="1"/>
  <c r="AD4" i="1"/>
  <c r="AB5" i="1"/>
  <c r="AC5" i="1"/>
  <c r="AD5" i="1"/>
  <c r="AB6" i="1"/>
  <c r="AC6" i="1"/>
  <c r="AD6" i="1"/>
  <c r="AB7" i="1"/>
  <c r="AC7" i="1"/>
  <c r="AD7" i="1"/>
  <c r="AB8" i="1"/>
  <c r="AC8" i="1"/>
  <c r="AD8" i="1"/>
  <c r="AB9" i="1"/>
  <c r="AC9" i="1"/>
  <c r="AD9" i="1"/>
  <c r="AB10" i="1"/>
  <c r="AC10" i="1"/>
  <c r="AD10" i="1"/>
  <c r="AB11" i="1"/>
  <c r="AC11" i="1"/>
  <c r="AD11" i="1"/>
  <c r="AB12" i="1"/>
  <c r="AC12" i="1"/>
  <c r="AD12" i="1"/>
  <c r="AB13" i="1"/>
  <c r="AC13" i="1"/>
  <c r="AD13" i="1"/>
  <c r="AB14" i="1"/>
  <c r="AC14" i="1"/>
  <c r="AD14" i="1"/>
  <c r="AB15" i="1"/>
  <c r="AC15" i="1"/>
  <c r="AD15" i="1"/>
  <c r="AB16" i="1"/>
  <c r="AC16" i="1"/>
  <c r="AD16" i="1"/>
  <c r="AB17" i="1"/>
  <c r="AC17" i="1"/>
  <c r="AD17" i="1"/>
  <c r="AB18" i="1"/>
  <c r="AC18" i="1"/>
  <c r="AD18" i="1"/>
  <c r="AB19" i="1"/>
  <c r="AC19" i="1"/>
  <c r="AD19" i="1"/>
  <c r="AB20" i="1"/>
  <c r="AC20" i="1"/>
  <c r="AD20" i="1"/>
  <c r="AB21" i="1"/>
  <c r="AC21" i="1"/>
  <c r="AD21" i="1"/>
  <c r="AB22" i="1"/>
  <c r="AC22" i="1"/>
  <c r="AD22" i="1"/>
  <c r="AB23" i="1"/>
  <c r="AC23" i="1"/>
  <c r="AD23" i="1"/>
  <c r="AB24" i="1"/>
  <c r="AC24" i="1"/>
  <c r="AD24" i="1"/>
  <c r="AB25" i="1"/>
  <c r="AC25" i="1"/>
  <c r="AD25" i="1"/>
  <c r="AB26" i="1"/>
  <c r="AC26" i="1"/>
  <c r="AD26" i="1"/>
  <c r="AB27" i="1"/>
  <c r="AC27" i="1"/>
  <c r="AD27" i="1"/>
  <c r="AB28" i="1"/>
  <c r="AC28" i="1"/>
  <c r="AD28" i="1"/>
  <c r="AB29" i="1"/>
  <c r="AC29" i="1"/>
  <c r="AD29" i="1"/>
  <c r="AB30" i="1"/>
  <c r="AC30" i="1"/>
  <c r="AD30" i="1"/>
  <c r="AB31" i="1"/>
  <c r="AC31" i="1"/>
  <c r="AD31" i="1"/>
  <c r="AB32" i="1"/>
  <c r="AC32" i="1"/>
  <c r="AD32" i="1"/>
  <c r="AB33" i="1"/>
  <c r="AC33" i="1"/>
  <c r="AD33" i="1"/>
  <c r="AB34" i="1"/>
  <c r="AC34" i="1"/>
  <c r="AD34" i="1"/>
  <c r="AB35" i="1"/>
  <c r="AC35" i="1"/>
  <c r="AD35" i="1"/>
  <c r="AB36" i="1"/>
  <c r="AC36" i="1"/>
  <c r="AD36" i="1"/>
  <c r="AB37" i="1"/>
  <c r="AC37" i="1"/>
  <c r="AD37" i="1"/>
  <c r="AB38" i="1"/>
  <c r="AC38" i="1"/>
  <c r="AD38" i="1"/>
  <c r="AB39" i="1"/>
  <c r="AC39" i="1"/>
  <c r="AD39" i="1"/>
  <c r="AB40" i="1"/>
  <c r="AC40" i="1"/>
  <c r="AD40" i="1"/>
  <c r="AB41" i="1"/>
  <c r="AC41" i="1"/>
  <c r="AD41" i="1"/>
  <c r="AB42" i="1"/>
  <c r="AC42" i="1"/>
  <c r="AD42" i="1"/>
  <c r="AB43" i="1"/>
  <c r="AC43" i="1"/>
  <c r="AD43" i="1"/>
  <c r="AB44" i="1"/>
  <c r="AC44" i="1"/>
  <c r="AD44" i="1"/>
  <c r="AB45" i="1"/>
  <c r="AC45" i="1"/>
  <c r="AD45" i="1"/>
  <c r="AB46" i="1"/>
  <c r="AC46" i="1"/>
  <c r="AD46" i="1"/>
  <c r="AB47" i="1"/>
  <c r="AC47" i="1"/>
  <c r="AD47" i="1"/>
  <c r="AB48" i="1"/>
  <c r="AC48" i="1"/>
  <c r="AD48" i="1"/>
  <c r="AB49" i="1"/>
  <c r="AC49" i="1"/>
  <c r="AD49" i="1"/>
  <c r="AB50" i="1"/>
  <c r="AC50" i="1"/>
  <c r="AD50" i="1"/>
  <c r="AB51" i="1"/>
  <c r="AC51" i="1"/>
  <c r="AD51" i="1"/>
  <c r="AB52" i="1"/>
  <c r="AC52" i="1"/>
  <c r="AD52" i="1"/>
  <c r="AB53" i="1"/>
  <c r="AC53" i="1"/>
  <c r="AD53" i="1"/>
  <c r="AB54" i="1"/>
  <c r="AC54" i="1"/>
  <c r="AD54" i="1"/>
  <c r="AB55" i="1"/>
  <c r="AC55" i="1"/>
  <c r="AD55" i="1"/>
  <c r="AB56" i="1"/>
  <c r="AC56" i="1"/>
  <c r="AD56" i="1"/>
  <c r="AB57" i="1"/>
  <c r="AC57" i="1"/>
  <c r="AD57" i="1"/>
  <c r="AB58" i="1"/>
  <c r="AC58" i="1"/>
  <c r="AD58" i="1"/>
  <c r="AB59" i="1"/>
  <c r="AC59" i="1"/>
  <c r="AD59" i="1"/>
  <c r="AB60" i="1"/>
  <c r="AC60" i="1"/>
  <c r="AD60" i="1"/>
  <c r="AB61" i="1"/>
  <c r="AC61" i="1"/>
  <c r="AD61" i="1"/>
  <c r="AB62" i="1"/>
  <c r="AC62" i="1"/>
  <c r="AD62" i="1"/>
  <c r="AB63" i="1"/>
  <c r="AC63" i="1"/>
  <c r="AD63" i="1"/>
  <c r="AB64" i="1"/>
  <c r="AC64" i="1"/>
  <c r="AD64" i="1"/>
  <c r="AB65" i="1"/>
  <c r="AC65" i="1"/>
  <c r="AD65" i="1"/>
  <c r="AB66" i="1"/>
  <c r="AC66" i="1"/>
  <c r="AD66" i="1"/>
  <c r="AB67" i="1"/>
  <c r="AC67" i="1"/>
  <c r="AD67" i="1"/>
  <c r="AB68" i="1"/>
  <c r="AC68" i="1"/>
  <c r="AD68" i="1"/>
  <c r="AB69" i="1"/>
  <c r="AC69" i="1"/>
  <c r="AD69" i="1"/>
  <c r="AB70" i="1"/>
  <c r="AC70" i="1"/>
  <c r="AD70" i="1"/>
  <c r="AB71" i="1"/>
  <c r="AC71" i="1"/>
  <c r="AD71" i="1"/>
  <c r="AB72" i="1"/>
  <c r="AC72" i="1"/>
  <c r="AD72" i="1"/>
  <c r="AB73" i="1"/>
  <c r="AC73" i="1"/>
  <c r="AD73" i="1"/>
  <c r="AB74" i="1"/>
  <c r="AC74" i="1"/>
  <c r="AD74" i="1"/>
  <c r="AB75" i="1"/>
  <c r="AC75" i="1"/>
  <c r="AD75" i="1"/>
  <c r="AB76" i="1"/>
  <c r="AC76" i="1"/>
  <c r="AD76" i="1"/>
  <c r="AB77" i="1"/>
  <c r="AC77" i="1"/>
  <c r="AD77" i="1"/>
  <c r="AB78" i="1"/>
  <c r="AC78" i="1"/>
  <c r="AD78" i="1"/>
  <c r="AB79" i="1"/>
  <c r="AC79" i="1"/>
  <c r="AD79" i="1"/>
  <c r="AB80" i="1"/>
  <c r="AC80" i="1"/>
  <c r="AD80" i="1"/>
  <c r="AB81" i="1"/>
  <c r="AC81" i="1"/>
  <c r="AD81" i="1"/>
  <c r="AB82" i="1"/>
  <c r="AC82" i="1"/>
  <c r="AD82" i="1"/>
  <c r="AB83" i="1"/>
  <c r="AC83" i="1"/>
  <c r="AD83" i="1"/>
  <c r="AB84" i="1"/>
  <c r="AC84" i="1"/>
  <c r="AD84" i="1"/>
  <c r="AB85" i="1"/>
  <c r="AC85" i="1"/>
  <c r="AD85" i="1"/>
  <c r="AB86" i="1"/>
  <c r="AC86" i="1"/>
  <c r="AD86" i="1"/>
  <c r="AB87" i="1"/>
  <c r="AC87" i="1"/>
  <c r="AD87" i="1"/>
  <c r="AB88" i="1"/>
  <c r="AC88" i="1"/>
  <c r="AD88" i="1"/>
  <c r="AB89" i="1"/>
  <c r="AC89" i="1"/>
  <c r="AD89" i="1"/>
  <c r="AB90" i="1"/>
  <c r="AC90" i="1"/>
  <c r="AD90" i="1"/>
  <c r="AB91" i="1"/>
  <c r="AC91" i="1"/>
  <c r="AD91" i="1"/>
  <c r="AB92" i="1"/>
  <c r="AC92" i="1"/>
  <c r="AD92" i="1"/>
  <c r="AB93" i="1"/>
  <c r="AC93" i="1"/>
  <c r="AD93" i="1"/>
  <c r="AB94" i="1"/>
  <c r="AC94" i="1"/>
  <c r="AD94" i="1"/>
  <c r="AB95" i="1"/>
  <c r="AC95" i="1"/>
  <c r="AD95" i="1"/>
  <c r="AB96" i="1"/>
  <c r="AC96" i="1"/>
  <c r="AD96" i="1"/>
  <c r="AB97" i="1"/>
  <c r="AC97" i="1"/>
  <c r="AD97" i="1"/>
  <c r="AB98" i="1"/>
  <c r="AC98" i="1"/>
  <c r="AD98" i="1"/>
  <c r="AB99" i="1"/>
  <c r="AC99" i="1"/>
  <c r="AD99" i="1"/>
  <c r="AB100" i="1"/>
  <c r="AC100" i="1"/>
  <c r="AD100" i="1"/>
  <c r="AB101" i="1"/>
  <c r="AC101" i="1"/>
  <c r="AD101" i="1"/>
  <c r="AB102" i="1"/>
  <c r="AC102" i="1"/>
  <c r="AD102" i="1"/>
  <c r="AB103" i="1"/>
  <c r="AC103" i="1"/>
  <c r="AD103" i="1"/>
  <c r="AB104" i="1"/>
  <c r="AC104" i="1"/>
  <c r="AD104" i="1"/>
  <c r="AB105" i="1"/>
  <c r="AC105" i="1"/>
  <c r="AD105" i="1"/>
  <c r="AB106" i="1"/>
  <c r="AC106" i="1"/>
  <c r="AD106" i="1"/>
  <c r="AB107" i="1"/>
  <c r="AC107" i="1"/>
  <c r="AD107" i="1"/>
  <c r="AB108" i="1"/>
  <c r="AC108" i="1"/>
  <c r="AD108" i="1"/>
  <c r="AB109" i="1"/>
  <c r="AC109" i="1"/>
  <c r="AD109" i="1"/>
  <c r="AB110" i="1"/>
  <c r="AC110" i="1"/>
  <c r="AD110" i="1"/>
  <c r="AB111" i="1"/>
  <c r="AC111" i="1"/>
  <c r="AD111" i="1"/>
  <c r="AB112" i="1"/>
  <c r="AC112" i="1"/>
  <c r="AD112" i="1"/>
  <c r="AB113" i="1"/>
  <c r="AC113" i="1"/>
  <c r="AD113" i="1"/>
  <c r="AB114" i="1"/>
  <c r="AC114" i="1"/>
  <c r="AD114" i="1"/>
  <c r="AB115" i="1"/>
  <c r="AC115" i="1"/>
  <c r="AD115" i="1"/>
  <c r="AB116" i="1"/>
  <c r="AC116" i="1"/>
  <c r="AD116" i="1"/>
  <c r="AB117" i="1"/>
  <c r="AC117" i="1"/>
  <c r="AD117" i="1"/>
  <c r="AB118" i="1"/>
  <c r="AC118" i="1"/>
  <c r="AD118" i="1"/>
  <c r="AB119" i="1"/>
  <c r="AC119" i="1"/>
  <c r="AD119" i="1"/>
  <c r="AB120" i="1"/>
  <c r="AC120" i="1"/>
  <c r="AD120" i="1"/>
  <c r="AB121" i="1"/>
  <c r="AC121" i="1"/>
  <c r="AD121" i="1"/>
  <c r="AB122" i="1"/>
  <c r="AC122" i="1"/>
  <c r="AD122" i="1"/>
  <c r="AB123" i="1"/>
  <c r="AC123" i="1"/>
  <c r="AD123" i="1"/>
  <c r="AB124" i="1"/>
  <c r="AC124" i="1"/>
  <c r="AD124" i="1"/>
  <c r="AB125" i="1"/>
  <c r="AC125" i="1"/>
  <c r="AD125" i="1"/>
  <c r="AB126" i="1"/>
  <c r="AC126" i="1"/>
  <c r="AD126" i="1"/>
  <c r="AB127" i="1"/>
  <c r="AC127" i="1"/>
  <c r="AD127" i="1"/>
  <c r="AB128" i="1"/>
  <c r="AC128" i="1"/>
  <c r="AD128" i="1"/>
  <c r="AB129" i="1"/>
  <c r="AC129" i="1"/>
  <c r="AD129" i="1"/>
  <c r="AB130" i="1"/>
  <c r="AC130" i="1"/>
  <c r="AD130" i="1"/>
  <c r="AB131" i="1"/>
  <c r="AC131" i="1"/>
  <c r="AD131" i="1"/>
  <c r="AB132" i="1"/>
  <c r="AC132" i="1"/>
  <c r="AD132" i="1"/>
  <c r="AB133" i="1"/>
  <c r="AC133" i="1"/>
  <c r="AD133" i="1"/>
  <c r="AB134" i="1"/>
  <c r="AC134" i="1"/>
  <c r="AD134" i="1"/>
  <c r="AB135" i="1"/>
  <c r="AC135" i="1"/>
  <c r="AD135" i="1"/>
  <c r="AB136" i="1"/>
  <c r="AC136" i="1"/>
  <c r="AD136" i="1"/>
  <c r="AB137" i="1"/>
  <c r="AC137" i="1"/>
  <c r="AD137" i="1"/>
  <c r="AB138" i="1"/>
  <c r="AC138" i="1"/>
  <c r="AD138" i="1"/>
  <c r="AB139" i="1"/>
  <c r="AC139" i="1"/>
  <c r="AD139" i="1"/>
  <c r="AB140" i="1"/>
  <c r="AC140" i="1"/>
  <c r="AD140" i="1"/>
  <c r="AB141" i="1"/>
  <c r="AC141" i="1"/>
  <c r="AD141" i="1"/>
  <c r="AB142" i="1"/>
  <c r="AC142" i="1"/>
  <c r="AD142" i="1"/>
  <c r="AB143" i="1"/>
  <c r="AC143" i="1"/>
  <c r="AD143" i="1"/>
  <c r="AB144" i="1"/>
  <c r="AC144" i="1"/>
  <c r="AD144" i="1"/>
  <c r="AB145" i="1"/>
  <c r="AC145" i="1"/>
  <c r="AD145" i="1"/>
  <c r="AB146" i="1"/>
  <c r="AC146" i="1"/>
  <c r="AD146" i="1"/>
  <c r="AB147" i="1"/>
  <c r="AC147" i="1"/>
  <c r="AD147" i="1"/>
  <c r="AB148" i="1"/>
  <c r="AC148" i="1"/>
  <c r="AD148" i="1"/>
  <c r="AB149" i="1"/>
  <c r="AC149" i="1"/>
  <c r="AD149" i="1"/>
  <c r="AB150" i="1"/>
  <c r="AC150" i="1"/>
  <c r="AD150" i="1"/>
  <c r="AB151" i="1"/>
  <c r="AC151" i="1"/>
  <c r="AD151" i="1"/>
  <c r="AB152" i="1"/>
  <c r="AC152" i="1"/>
  <c r="AD152" i="1"/>
  <c r="AB153" i="1"/>
  <c r="AC153" i="1"/>
  <c r="AD153" i="1"/>
  <c r="AB154" i="1"/>
  <c r="AC154" i="1"/>
  <c r="AD154" i="1"/>
  <c r="AB155" i="1"/>
  <c r="AC155" i="1"/>
  <c r="AD155" i="1"/>
  <c r="AB156" i="1"/>
  <c r="AC156" i="1"/>
  <c r="AD156" i="1"/>
  <c r="AB157" i="1"/>
  <c r="AC157" i="1"/>
  <c r="AD157" i="1"/>
  <c r="AB158" i="1"/>
  <c r="AC158" i="1"/>
  <c r="AD158" i="1"/>
  <c r="AB159" i="1"/>
  <c r="AC159" i="1"/>
  <c r="AD159" i="1"/>
  <c r="AB160" i="1"/>
  <c r="AC160" i="1"/>
  <c r="AD160" i="1"/>
  <c r="AB161" i="1"/>
  <c r="AC161" i="1"/>
  <c r="AD161" i="1"/>
  <c r="AB162" i="1"/>
  <c r="AC162" i="1"/>
  <c r="AD162" i="1"/>
  <c r="AB163" i="1"/>
  <c r="AC163" i="1"/>
  <c r="AD163" i="1"/>
  <c r="AB164" i="1"/>
  <c r="AC164" i="1"/>
  <c r="AD164" i="1"/>
  <c r="AB165" i="1"/>
  <c r="AC165" i="1"/>
  <c r="AD165" i="1"/>
  <c r="AB166" i="1"/>
  <c r="AC166" i="1"/>
  <c r="AD166" i="1"/>
  <c r="AB167" i="1"/>
  <c r="AC167" i="1"/>
  <c r="AD167" i="1"/>
  <c r="AB168" i="1"/>
  <c r="AC168" i="1"/>
  <c r="AD168" i="1"/>
  <c r="AB169" i="1"/>
  <c r="AC169" i="1"/>
  <c r="AD169" i="1"/>
  <c r="AB170" i="1"/>
  <c r="AC170" i="1"/>
  <c r="AD170" i="1"/>
  <c r="AB171" i="1"/>
  <c r="AC171" i="1"/>
  <c r="AD171" i="1"/>
  <c r="AB172" i="1"/>
  <c r="AC172" i="1"/>
  <c r="AD172" i="1"/>
  <c r="AB173" i="1"/>
  <c r="AC173" i="1"/>
  <c r="AD173" i="1"/>
  <c r="AB174" i="1"/>
  <c r="AC174" i="1"/>
  <c r="AD174" i="1"/>
  <c r="AB175" i="1"/>
  <c r="AC175" i="1"/>
  <c r="AD175" i="1"/>
  <c r="AB176" i="1"/>
  <c r="AC176" i="1"/>
  <c r="AD176" i="1"/>
  <c r="AB177" i="1"/>
  <c r="AC177" i="1"/>
  <c r="AD177" i="1"/>
  <c r="AB178" i="1"/>
  <c r="AC178" i="1"/>
  <c r="AD178" i="1"/>
  <c r="AB179" i="1"/>
  <c r="AC179" i="1"/>
  <c r="AD179" i="1"/>
  <c r="AB180" i="1"/>
  <c r="AC180" i="1"/>
  <c r="AD180" i="1"/>
  <c r="AB181" i="1"/>
  <c r="AC181" i="1"/>
  <c r="AD181" i="1"/>
  <c r="AB182" i="1"/>
  <c r="AC182" i="1"/>
  <c r="AD182" i="1"/>
  <c r="AB183" i="1"/>
  <c r="AC183" i="1"/>
  <c r="AD183" i="1"/>
  <c r="AB184" i="1"/>
  <c r="AC184" i="1"/>
  <c r="AD184" i="1"/>
  <c r="AB185" i="1"/>
  <c r="AC185" i="1"/>
  <c r="AD185" i="1"/>
  <c r="AB186" i="1"/>
  <c r="AC186" i="1"/>
  <c r="AD186" i="1"/>
  <c r="AB187" i="1"/>
  <c r="AC187" i="1"/>
  <c r="AD187" i="1"/>
  <c r="AB188" i="1"/>
  <c r="AC188" i="1"/>
  <c r="AD188" i="1"/>
  <c r="AB189" i="1"/>
  <c r="AC189" i="1"/>
  <c r="AD189" i="1"/>
  <c r="AB190" i="1"/>
  <c r="AC190" i="1"/>
  <c r="AD190" i="1"/>
  <c r="AB191" i="1"/>
  <c r="AC191" i="1"/>
  <c r="AD191" i="1"/>
  <c r="AB192" i="1"/>
  <c r="AC192" i="1"/>
  <c r="AD192" i="1"/>
  <c r="AB193" i="1"/>
  <c r="AC193" i="1"/>
  <c r="AD193" i="1"/>
  <c r="AB194" i="1"/>
  <c r="AC194" i="1"/>
  <c r="AD194" i="1"/>
  <c r="AB195" i="1"/>
  <c r="AC195" i="1"/>
  <c r="AD195" i="1"/>
  <c r="AB196" i="1"/>
  <c r="AC196" i="1"/>
  <c r="AD196" i="1"/>
  <c r="AB197" i="1"/>
  <c r="AC197" i="1"/>
  <c r="AD197" i="1"/>
  <c r="AB198" i="1"/>
  <c r="AC198" i="1"/>
  <c r="AD198" i="1"/>
  <c r="AB199" i="1"/>
  <c r="AC199" i="1"/>
  <c r="AD199" i="1"/>
  <c r="AB200" i="1"/>
  <c r="AC200" i="1"/>
  <c r="AD200" i="1"/>
  <c r="AB201" i="1"/>
  <c r="AC201" i="1"/>
  <c r="AD201" i="1"/>
  <c r="AB202" i="1"/>
  <c r="AC202" i="1"/>
  <c r="AD202" i="1"/>
  <c r="AB3" i="1"/>
  <c r="AC3" i="1"/>
  <c r="AD3" i="1"/>
  <c r="J4" i="1"/>
  <c r="K4" i="1"/>
  <c r="L4" i="1"/>
  <c r="N4" i="1"/>
  <c r="O4" i="1"/>
  <c r="Q4" i="1"/>
  <c r="R4" i="1"/>
  <c r="T4" i="1"/>
  <c r="U4" i="1"/>
  <c r="V4" i="1"/>
  <c r="X4" i="1"/>
  <c r="Y4" i="1"/>
  <c r="Z4" i="1"/>
  <c r="J5" i="1"/>
  <c r="K5" i="1"/>
  <c r="L5" i="1"/>
  <c r="N5" i="1"/>
  <c r="O5" i="1"/>
  <c r="Q5" i="1"/>
  <c r="R5" i="1"/>
  <c r="T5" i="1"/>
  <c r="U5" i="1"/>
  <c r="V5" i="1"/>
  <c r="X5" i="1"/>
  <c r="Y5" i="1"/>
  <c r="Z5" i="1"/>
  <c r="J6" i="1"/>
  <c r="K6" i="1"/>
  <c r="L6" i="1"/>
  <c r="N6" i="1"/>
  <c r="O6" i="1"/>
  <c r="Q6" i="1"/>
  <c r="R6" i="1"/>
  <c r="T6" i="1"/>
  <c r="U6" i="1"/>
  <c r="V6" i="1"/>
  <c r="X6" i="1"/>
  <c r="Y6" i="1"/>
  <c r="Z6" i="1"/>
  <c r="J7" i="1"/>
  <c r="K7" i="1"/>
  <c r="L7" i="1"/>
  <c r="N7" i="1"/>
  <c r="O7" i="1"/>
  <c r="Q7" i="1"/>
  <c r="R7" i="1"/>
  <c r="T7" i="1"/>
  <c r="U7" i="1"/>
  <c r="V7" i="1"/>
  <c r="X7" i="1"/>
  <c r="Y7" i="1"/>
  <c r="Z7" i="1"/>
  <c r="J8" i="1"/>
  <c r="K8" i="1"/>
  <c r="L8" i="1"/>
  <c r="N8" i="1"/>
  <c r="O8" i="1"/>
  <c r="Q8" i="1"/>
  <c r="R8" i="1"/>
  <c r="T8" i="1"/>
  <c r="U8" i="1"/>
  <c r="V8" i="1"/>
  <c r="X8" i="1"/>
  <c r="Y8" i="1"/>
  <c r="Z8" i="1"/>
  <c r="J9" i="1"/>
  <c r="K9" i="1"/>
  <c r="L9" i="1"/>
  <c r="N9" i="1"/>
  <c r="O9" i="1"/>
  <c r="Q9" i="1"/>
  <c r="R9" i="1"/>
  <c r="T9" i="1"/>
  <c r="U9" i="1"/>
  <c r="V9" i="1"/>
  <c r="X9" i="1"/>
  <c r="Y9" i="1"/>
  <c r="Z9" i="1"/>
  <c r="J10" i="1"/>
  <c r="K10" i="1"/>
  <c r="L10" i="1"/>
  <c r="N10" i="1"/>
  <c r="O10" i="1"/>
  <c r="Q10" i="1"/>
  <c r="R10" i="1"/>
  <c r="T10" i="1"/>
  <c r="U10" i="1"/>
  <c r="V10" i="1"/>
  <c r="X10" i="1"/>
  <c r="Y10" i="1"/>
  <c r="Z10" i="1"/>
  <c r="J11" i="1"/>
  <c r="K11" i="1"/>
  <c r="L11" i="1"/>
  <c r="N11" i="1"/>
  <c r="O11" i="1"/>
  <c r="Q11" i="1"/>
  <c r="R11" i="1"/>
  <c r="T11" i="1"/>
  <c r="U11" i="1"/>
  <c r="V11" i="1"/>
  <c r="X11" i="1"/>
  <c r="Y11" i="1"/>
  <c r="Z11" i="1"/>
  <c r="J12" i="1"/>
  <c r="K12" i="1"/>
  <c r="L12" i="1"/>
  <c r="N12" i="1"/>
  <c r="O12" i="1"/>
  <c r="Q12" i="1"/>
  <c r="R12" i="1"/>
  <c r="T12" i="1"/>
  <c r="U12" i="1"/>
  <c r="V12" i="1"/>
  <c r="X12" i="1"/>
  <c r="Y12" i="1"/>
  <c r="Z12" i="1"/>
  <c r="J13" i="1"/>
  <c r="K13" i="1"/>
  <c r="L13" i="1"/>
  <c r="N13" i="1"/>
  <c r="O13" i="1"/>
  <c r="Q13" i="1"/>
  <c r="R13" i="1"/>
  <c r="T13" i="1"/>
  <c r="U13" i="1"/>
  <c r="V13" i="1"/>
  <c r="X13" i="1"/>
  <c r="Y13" i="1"/>
  <c r="Z13" i="1"/>
  <c r="J14" i="1"/>
  <c r="K14" i="1"/>
  <c r="L14" i="1"/>
  <c r="N14" i="1"/>
  <c r="O14" i="1"/>
  <c r="Q14" i="1"/>
  <c r="R14" i="1"/>
  <c r="T14" i="1"/>
  <c r="U14" i="1"/>
  <c r="V14" i="1"/>
  <c r="X14" i="1"/>
  <c r="Y14" i="1"/>
  <c r="Z14" i="1"/>
  <c r="J15" i="1"/>
  <c r="K15" i="1"/>
  <c r="L15" i="1"/>
  <c r="N15" i="1"/>
  <c r="O15" i="1"/>
  <c r="Q15" i="1"/>
  <c r="R15" i="1"/>
  <c r="T15" i="1"/>
  <c r="U15" i="1"/>
  <c r="V15" i="1"/>
  <c r="X15" i="1"/>
  <c r="Y15" i="1"/>
  <c r="Z15" i="1"/>
  <c r="J16" i="1"/>
  <c r="K16" i="1"/>
  <c r="L16" i="1"/>
  <c r="N16" i="1"/>
  <c r="O16" i="1"/>
  <c r="Q16" i="1"/>
  <c r="R16" i="1"/>
  <c r="T16" i="1"/>
  <c r="U16" i="1"/>
  <c r="V16" i="1"/>
  <c r="X16" i="1"/>
  <c r="Y16" i="1"/>
  <c r="Z16" i="1"/>
  <c r="J17" i="1"/>
  <c r="K17" i="1"/>
  <c r="L17" i="1"/>
  <c r="N17" i="1"/>
  <c r="O17" i="1"/>
  <c r="Q17" i="1"/>
  <c r="R17" i="1"/>
  <c r="T17" i="1"/>
  <c r="U17" i="1"/>
  <c r="V17" i="1"/>
  <c r="X17" i="1"/>
  <c r="Y17" i="1"/>
  <c r="Z17" i="1"/>
  <c r="J18" i="1"/>
  <c r="K18" i="1"/>
  <c r="L18" i="1"/>
  <c r="N18" i="1"/>
  <c r="O18" i="1"/>
  <c r="Q18" i="1"/>
  <c r="R18" i="1"/>
  <c r="T18" i="1"/>
  <c r="U18" i="1"/>
  <c r="V18" i="1"/>
  <c r="X18" i="1"/>
  <c r="Y18" i="1"/>
  <c r="Z18" i="1"/>
  <c r="J19" i="1"/>
  <c r="K19" i="1"/>
  <c r="L19" i="1"/>
  <c r="N19" i="1"/>
  <c r="O19" i="1"/>
  <c r="Q19" i="1"/>
  <c r="R19" i="1"/>
  <c r="T19" i="1"/>
  <c r="U19" i="1"/>
  <c r="V19" i="1"/>
  <c r="X19" i="1"/>
  <c r="Y19" i="1"/>
  <c r="Z19" i="1"/>
  <c r="J20" i="1"/>
  <c r="K20" i="1"/>
  <c r="L20" i="1"/>
  <c r="N20" i="1"/>
  <c r="O20" i="1"/>
  <c r="Q20" i="1"/>
  <c r="R20" i="1"/>
  <c r="T20" i="1"/>
  <c r="U20" i="1"/>
  <c r="V20" i="1"/>
  <c r="X20" i="1"/>
  <c r="Y20" i="1"/>
  <c r="Z20" i="1"/>
  <c r="J21" i="1"/>
  <c r="K21" i="1"/>
  <c r="L21" i="1"/>
  <c r="N21" i="1"/>
  <c r="O21" i="1"/>
  <c r="Q21" i="1"/>
  <c r="R21" i="1"/>
  <c r="T21" i="1"/>
  <c r="U21" i="1"/>
  <c r="V21" i="1"/>
  <c r="X21" i="1"/>
  <c r="Y21" i="1"/>
  <c r="Z21" i="1"/>
  <c r="J22" i="1"/>
  <c r="K22" i="1"/>
  <c r="L22" i="1"/>
  <c r="N22" i="1"/>
  <c r="O22" i="1"/>
  <c r="Q22" i="1"/>
  <c r="R22" i="1"/>
  <c r="T22" i="1"/>
  <c r="U22" i="1"/>
  <c r="V22" i="1"/>
  <c r="X22" i="1"/>
  <c r="Y22" i="1"/>
  <c r="Z22" i="1"/>
  <c r="J23" i="1"/>
  <c r="K23" i="1"/>
  <c r="L23" i="1"/>
  <c r="N23" i="1"/>
  <c r="O23" i="1"/>
  <c r="Q23" i="1"/>
  <c r="R23" i="1"/>
  <c r="T23" i="1"/>
  <c r="U23" i="1"/>
  <c r="V23" i="1"/>
  <c r="X23" i="1"/>
  <c r="Y23" i="1"/>
  <c r="Z23" i="1"/>
  <c r="J24" i="1"/>
  <c r="K24" i="1"/>
  <c r="L24" i="1"/>
  <c r="N24" i="1"/>
  <c r="O24" i="1"/>
  <c r="Q24" i="1"/>
  <c r="R24" i="1"/>
  <c r="T24" i="1"/>
  <c r="U24" i="1"/>
  <c r="V24" i="1"/>
  <c r="X24" i="1"/>
  <c r="Y24" i="1"/>
  <c r="Z24" i="1"/>
  <c r="J25" i="1"/>
  <c r="K25" i="1"/>
  <c r="L25" i="1"/>
  <c r="N25" i="1"/>
  <c r="O25" i="1"/>
  <c r="Q25" i="1"/>
  <c r="R25" i="1"/>
  <c r="T25" i="1"/>
  <c r="U25" i="1"/>
  <c r="V25" i="1"/>
  <c r="X25" i="1"/>
  <c r="Y25" i="1"/>
  <c r="Z25" i="1"/>
  <c r="J26" i="1"/>
  <c r="K26" i="1"/>
  <c r="L26" i="1"/>
  <c r="N26" i="1"/>
  <c r="O26" i="1"/>
  <c r="Q26" i="1"/>
  <c r="R26" i="1"/>
  <c r="T26" i="1"/>
  <c r="U26" i="1"/>
  <c r="V26" i="1"/>
  <c r="X26" i="1"/>
  <c r="Y26" i="1"/>
  <c r="Z26" i="1"/>
  <c r="J27" i="1"/>
  <c r="K27" i="1"/>
  <c r="L27" i="1"/>
  <c r="N27" i="1"/>
  <c r="O27" i="1"/>
  <c r="Q27" i="1"/>
  <c r="R27" i="1"/>
  <c r="T27" i="1"/>
  <c r="U27" i="1"/>
  <c r="V27" i="1"/>
  <c r="X27" i="1"/>
  <c r="Y27" i="1"/>
  <c r="Z27" i="1"/>
  <c r="J28" i="1"/>
  <c r="K28" i="1"/>
  <c r="L28" i="1"/>
  <c r="N28" i="1"/>
  <c r="O28" i="1"/>
  <c r="Q28" i="1"/>
  <c r="R28" i="1"/>
  <c r="T28" i="1"/>
  <c r="U28" i="1"/>
  <c r="V28" i="1"/>
  <c r="X28" i="1"/>
  <c r="Y28" i="1"/>
  <c r="Z28" i="1"/>
  <c r="J29" i="1"/>
  <c r="K29" i="1"/>
  <c r="L29" i="1"/>
  <c r="N29" i="1"/>
  <c r="O29" i="1"/>
  <c r="Q29" i="1"/>
  <c r="R29" i="1"/>
  <c r="T29" i="1"/>
  <c r="U29" i="1"/>
  <c r="V29" i="1"/>
  <c r="X29" i="1"/>
  <c r="Y29" i="1"/>
  <c r="Z29" i="1"/>
  <c r="J30" i="1"/>
  <c r="K30" i="1"/>
  <c r="L30" i="1"/>
  <c r="N30" i="1"/>
  <c r="O30" i="1"/>
  <c r="Q30" i="1"/>
  <c r="R30" i="1"/>
  <c r="T30" i="1"/>
  <c r="U30" i="1"/>
  <c r="V30" i="1"/>
  <c r="X30" i="1"/>
  <c r="Y30" i="1"/>
  <c r="Z30" i="1"/>
  <c r="J31" i="1"/>
  <c r="K31" i="1"/>
  <c r="L31" i="1"/>
  <c r="N31" i="1"/>
  <c r="O31" i="1"/>
  <c r="Q31" i="1"/>
  <c r="R31" i="1"/>
  <c r="T31" i="1"/>
  <c r="U31" i="1"/>
  <c r="V31" i="1"/>
  <c r="X31" i="1"/>
  <c r="Y31" i="1"/>
  <c r="Z31" i="1"/>
  <c r="J32" i="1"/>
  <c r="K32" i="1"/>
  <c r="L32" i="1"/>
  <c r="N32" i="1"/>
  <c r="O32" i="1"/>
  <c r="Q32" i="1"/>
  <c r="R32" i="1"/>
  <c r="T32" i="1"/>
  <c r="U32" i="1"/>
  <c r="V32" i="1"/>
  <c r="X32" i="1"/>
  <c r="Y32" i="1"/>
  <c r="Z32" i="1"/>
  <c r="J33" i="1"/>
  <c r="K33" i="1"/>
  <c r="L33" i="1"/>
  <c r="N33" i="1"/>
  <c r="O33" i="1"/>
  <c r="Q33" i="1"/>
  <c r="R33" i="1"/>
  <c r="T33" i="1"/>
  <c r="U33" i="1"/>
  <c r="V33" i="1"/>
  <c r="X33" i="1"/>
  <c r="Y33" i="1"/>
  <c r="Z33" i="1"/>
  <c r="J34" i="1"/>
  <c r="K34" i="1"/>
  <c r="L34" i="1"/>
  <c r="N34" i="1"/>
  <c r="O34" i="1"/>
  <c r="Q34" i="1"/>
  <c r="R34" i="1"/>
  <c r="T34" i="1"/>
  <c r="U34" i="1"/>
  <c r="V34" i="1"/>
  <c r="X34" i="1"/>
  <c r="Y34" i="1"/>
  <c r="Z34" i="1"/>
  <c r="J35" i="1"/>
  <c r="K35" i="1"/>
  <c r="L35" i="1"/>
  <c r="N35" i="1"/>
  <c r="O35" i="1"/>
  <c r="Q35" i="1"/>
  <c r="R35" i="1"/>
  <c r="T35" i="1"/>
  <c r="U35" i="1"/>
  <c r="V35" i="1"/>
  <c r="X35" i="1"/>
  <c r="Y35" i="1"/>
  <c r="Z35" i="1"/>
  <c r="J36" i="1"/>
  <c r="K36" i="1"/>
  <c r="L36" i="1"/>
  <c r="N36" i="1"/>
  <c r="O36" i="1"/>
  <c r="Q36" i="1"/>
  <c r="R36" i="1"/>
  <c r="T36" i="1"/>
  <c r="U36" i="1"/>
  <c r="V36" i="1"/>
  <c r="X36" i="1"/>
  <c r="Y36" i="1"/>
  <c r="Z36" i="1"/>
  <c r="J37" i="1"/>
  <c r="K37" i="1"/>
  <c r="L37" i="1"/>
  <c r="N37" i="1"/>
  <c r="O37" i="1"/>
  <c r="Q37" i="1"/>
  <c r="R37" i="1"/>
  <c r="T37" i="1"/>
  <c r="U37" i="1"/>
  <c r="V37" i="1"/>
  <c r="X37" i="1"/>
  <c r="Y37" i="1"/>
  <c r="Z37" i="1"/>
  <c r="J38" i="1"/>
  <c r="K38" i="1"/>
  <c r="L38" i="1"/>
  <c r="N38" i="1"/>
  <c r="O38" i="1"/>
  <c r="Q38" i="1"/>
  <c r="R38" i="1"/>
  <c r="T38" i="1"/>
  <c r="U38" i="1"/>
  <c r="V38" i="1"/>
  <c r="X38" i="1"/>
  <c r="Y38" i="1"/>
  <c r="Z38" i="1"/>
  <c r="J39" i="1"/>
  <c r="K39" i="1"/>
  <c r="L39" i="1"/>
  <c r="N39" i="1"/>
  <c r="O39" i="1"/>
  <c r="Q39" i="1"/>
  <c r="R39" i="1"/>
  <c r="T39" i="1"/>
  <c r="U39" i="1"/>
  <c r="V39" i="1"/>
  <c r="X39" i="1"/>
  <c r="Y39" i="1"/>
  <c r="Z39" i="1"/>
  <c r="J40" i="1"/>
  <c r="K40" i="1"/>
  <c r="L40" i="1"/>
  <c r="N40" i="1"/>
  <c r="O40" i="1"/>
  <c r="Q40" i="1"/>
  <c r="R40" i="1"/>
  <c r="T40" i="1"/>
  <c r="U40" i="1"/>
  <c r="V40" i="1"/>
  <c r="X40" i="1"/>
  <c r="Y40" i="1"/>
  <c r="Z40" i="1"/>
  <c r="J41" i="1"/>
  <c r="K41" i="1"/>
  <c r="L41" i="1"/>
  <c r="N41" i="1"/>
  <c r="O41" i="1"/>
  <c r="Q41" i="1"/>
  <c r="R41" i="1"/>
  <c r="T41" i="1"/>
  <c r="U41" i="1"/>
  <c r="V41" i="1"/>
  <c r="X41" i="1"/>
  <c r="Y41" i="1"/>
  <c r="Z41" i="1"/>
  <c r="J42" i="1"/>
  <c r="K42" i="1"/>
  <c r="L42" i="1"/>
  <c r="N42" i="1"/>
  <c r="O42" i="1"/>
  <c r="Q42" i="1"/>
  <c r="R42" i="1"/>
  <c r="T42" i="1"/>
  <c r="U42" i="1"/>
  <c r="V42" i="1"/>
  <c r="X42" i="1"/>
  <c r="Y42" i="1"/>
  <c r="Z42" i="1"/>
  <c r="J43" i="1"/>
  <c r="K43" i="1"/>
  <c r="L43" i="1"/>
  <c r="N43" i="1"/>
  <c r="O43" i="1"/>
  <c r="Q43" i="1"/>
  <c r="R43" i="1"/>
  <c r="T43" i="1"/>
  <c r="U43" i="1"/>
  <c r="V43" i="1"/>
  <c r="X43" i="1"/>
  <c r="Y43" i="1"/>
  <c r="Z43" i="1"/>
  <c r="J44" i="1"/>
  <c r="K44" i="1"/>
  <c r="L44" i="1"/>
  <c r="N44" i="1"/>
  <c r="O44" i="1"/>
  <c r="Q44" i="1"/>
  <c r="R44" i="1"/>
  <c r="T44" i="1"/>
  <c r="U44" i="1"/>
  <c r="V44" i="1"/>
  <c r="X44" i="1"/>
  <c r="Y44" i="1"/>
  <c r="Z44" i="1"/>
  <c r="J45" i="1"/>
  <c r="K45" i="1"/>
  <c r="L45" i="1"/>
  <c r="N45" i="1"/>
  <c r="O45" i="1"/>
  <c r="Q45" i="1"/>
  <c r="R45" i="1"/>
  <c r="T45" i="1"/>
  <c r="U45" i="1"/>
  <c r="V45" i="1"/>
  <c r="X45" i="1"/>
  <c r="Y45" i="1"/>
  <c r="Z45" i="1"/>
  <c r="J46" i="1"/>
  <c r="K46" i="1"/>
  <c r="L46" i="1"/>
  <c r="N46" i="1"/>
  <c r="O46" i="1"/>
  <c r="Q46" i="1"/>
  <c r="R46" i="1"/>
  <c r="T46" i="1"/>
  <c r="U46" i="1"/>
  <c r="V46" i="1"/>
  <c r="X46" i="1"/>
  <c r="Y46" i="1"/>
  <c r="Z46" i="1"/>
  <c r="J47" i="1"/>
  <c r="K47" i="1"/>
  <c r="L47" i="1"/>
  <c r="N47" i="1"/>
  <c r="O47" i="1"/>
  <c r="Q47" i="1"/>
  <c r="R47" i="1"/>
  <c r="T47" i="1"/>
  <c r="U47" i="1"/>
  <c r="V47" i="1"/>
  <c r="X47" i="1"/>
  <c r="Y47" i="1"/>
  <c r="Z47" i="1"/>
  <c r="J48" i="1"/>
  <c r="K48" i="1"/>
  <c r="L48" i="1"/>
  <c r="N48" i="1"/>
  <c r="O48" i="1"/>
  <c r="Q48" i="1"/>
  <c r="R48" i="1"/>
  <c r="T48" i="1"/>
  <c r="U48" i="1"/>
  <c r="V48" i="1"/>
  <c r="X48" i="1"/>
  <c r="Y48" i="1"/>
  <c r="Z48" i="1"/>
  <c r="J49" i="1"/>
  <c r="K49" i="1"/>
  <c r="L49" i="1"/>
  <c r="N49" i="1"/>
  <c r="O49" i="1"/>
  <c r="Q49" i="1"/>
  <c r="R49" i="1"/>
  <c r="T49" i="1"/>
  <c r="U49" i="1"/>
  <c r="V49" i="1"/>
  <c r="X49" i="1"/>
  <c r="Y49" i="1"/>
  <c r="Z49" i="1"/>
  <c r="J50" i="1"/>
  <c r="K50" i="1"/>
  <c r="L50" i="1"/>
  <c r="N50" i="1"/>
  <c r="O50" i="1"/>
  <c r="Q50" i="1"/>
  <c r="R50" i="1"/>
  <c r="T50" i="1"/>
  <c r="U50" i="1"/>
  <c r="V50" i="1"/>
  <c r="X50" i="1"/>
  <c r="Y50" i="1"/>
  <c r="Z50" i="1"/>
  <c r="J51" i="1"/>
  <c r="K51" i="1"/>
  <c r="L51" i="1"/>
  <c r="N51" i="1"/>
  <c r="O51" i="1"/>
  <c r="Q51" i="1"/>
  <c r="R51" i="1"/>
  <c r="T51" i="1"/>
  <c r="U51" i="1"/>
  <c r="V51" i="1"/>
  <c r="X51" i="1"/>
  <c r="Y51" i="1"/>
  <c r="Z51" i="1"/>
  <c r="J52" i="1"/>
  <c r="K52" i="1"/>
  <c r="L52" i="1"/>
  <c r="N52" i="1"/>
  <c r="O52" i="1"/>
  <c r="Q52" i="1"/>
  <c r="R52" i="1"/>
  <c r="T52" i="1"/>
  <c r="U52" i="1"/>
  <c r="V52" i="1"/>
  <c r="X52" i="1"/>
  <c r="Y52" i="1"/>
  <c r="Z52" i="1"/>
  <c r="J53" i="1"/>
  <c r="K53" i="1"/>
  <c r="L53" i="1"/>
  <c r="N53" i="1"/>
  <c r="O53" i="1"/>
  <c r="Q53" i="1"/>
  <c r="R53" i="1"/>
  <c r="T53" i="1"/>
  <c r="U53" i="1"/>
  <c r="V53" i="1"/>
  <c r="X53" i="1"/>
  <c r="Y53" i="1"/>
  <c r="Z53" i="1"/>
  <c r="J54" i="1"/>
  <c r="K54" i="1"/>
  <c r="L54" i="1"/>
  <c r="N54" i="1"/>
  <c r="O54" i="1"/>
  <c r="Q54" i="1"/>
  <c r="R54" i="1"/>
  <c r="T54" i="1"/>
  <c r="U54" i="1"/>
  <c r="V54" i="1"/>
  <c r="X54" i="1"/>
  <c r="Y54" i="1"/>
  <c r="Z54" i="1"/>
  <c r="J55" i="1"/>
  <c r="K55" i="1"/>
  <c r="L55" i="1"/>
  <c r="N55" i="1"/>
  <c r="O55" i="1"/>
  <c r="Q55" i="1"/>
  <c r="R55" i="1"/>
  <c r="T55" i="1"/>
  <c r="U55" i="1"/>
  <c r="V55" i="1"/>
  <c r="X55" i="1"/>
  <c r="Y55" i="1"/>
  <c r="Z55" i="1"/>
  <c r="J56" i="1"/>
  <c r="K56" i="1"/>
  <c r="L56" i="1"/>
  <c r="N56" i="1"/>
  <c r="O56" i="1"/>
  <c r="Q56" i="1"/>
  <c r="R56" i="1"/>
  <c r="T56" i="1"/>
  <c r="U56" i="1"/>
  <c r="V56" i="1"/>
  <c r="X56" i="1"/>
  <c r="Y56" i="1"/>
  <c r="Z56" i="1"/>
  <c r="J57" i="1"/>
  <c r="K57" i="1"/>
  <c r="L57" i="1"/>
  <c r="N57" i="1"/>
  <c r="O57" i="1"/>
  <c r="Q57" i="1"/>
  <c r="R57" i="1"/>
  <c r="T57" i="1"/>
  <c r="U57" i="1"/>
  <c r="V57" i="1"/>
  <c r="X57" i="1"/>
  <c r="Y57" i="1"/>
  <c r="Z57" i="1"/>
  <c r="J58" i="1"/>
  <c r="K58" i="1"/>
  <c r="L58" i="1"/>
  <c r="N58" i="1"/>
  <c r="O58" i="1"/>
  <c r="Q58" i="1"/>
  <c r="R58" i="1"/>
  <c r="T58" i="1"/>
  <c r="U58" i="1"/>
  <c r="V58" i="1"/>
  <c r="X58" i="1"/>
  <c r="Y58" i="1"/>
  <c r="Z58" i="1"/>
  <c r="J59" i="1"/>
  <c r="K59" i="1"/>
  <c r="L59" i="1"/>
  <c r="N59" i="1"/>
  <c r="O59" i="1"/>
  <c r="Q59" i="1"/>
  <c r="R59" i="1"/>
  <c r="T59" i="1"/>
  <c r="U59" i="1"/>
  <c r="V59" i="1"/>
  <c r="X59" i="1"/>
  <c r="Y59" i="1"/>
  <c r="Z59" i="1"/>
  <c r="J60" i="1"/>
  <c r="K60" i="1"/>
  <c r="L60" i="1"/>
  <c r="N60" i="1"/>
  <c r="O60" i="1"/>
  <c r="Q60" i="1"/>
  <c r="R60" i="1"/>
  <c r="T60" i="1"/>
  <c r="U60" i="1"/>
  <c r="V60" i="1"/>
  <c r="X60" i="1"/>
  <c r="Y60" i="1"/>
  <c r="Z60" i="1"/>
  <c r="J61" i="1"/>
  <c r="K61" i="1"/>
  <c r="L61" i="1"/>
  <c r="N61" i="1"/>
  <c r="O61" i="1"/>
  <c r="Q61" i="1"/>
  <c r="R61" i="1"/>
  <c r="T61" i="1"/>
  <c r="U61" i="1"/>
  <c r="V61" i="1"/>
  <c r="X61" i="1"/>
  <c r="Y61" i="1"/>
  <c r="Z61" i="1"/>
  <c r="J62" i="1"/>
  <c r="K62" i="1"/>
  <c r="L62" i="1"/>
  <c r="N62" i="1"/>
  <c r="O62" i="1"/>
  <c r="Q62" i="1"/>
  <c r="R62" i="1"/>
  <c r="T62" i="1"/>
  <c r="U62" i="1"/>
  <c r="V62" i="1"/>
  <c r="X62" i="1"/>
  <c r="Y62" i="1"/>
  <c r="Z62" i="1"/>
  <c r="J63" i="1"/>
  <c r="K63" i="1"/>
  <c r="L63" i="1"/>
  <c r="N63" i="1"/>
  <c r="O63" i="1"/>
  <c r="Q63" i="1"/>
  <c r="R63" i="1"/>
  <c r="T63" i="1"/>
  <c r="U63" i="1"/>
  <c r="V63" i="1"/>
  <c r="X63" i="1"/>
  <c r="Y63" i="1"/>
  <c r="Z63" i="1"/>
  <c r="J64" i="1"/>
  <c r="K64" i="1"/>
  <c r="L64" i="1"/>
  <c r="N64" i="1"/>
  <c r="O64" i="1"/>
  <c r="Q64" i="1"/>
  <c r="R64" i="1"/>
  <c r="T64" i="1"/>
  <c r="U64" i="1"/>
  <c r="V64" i="1"/>
  <c r="X64" i="1"/>
  <c r="Y64" i="1"/>
  <c r="Z64" i="1"/>
  <c r="J65" i="1"/>
  <c r="K65" i="1"/>
  <c r="L65" i="1"/>
  <c r="N65" i="1"/>
  <c r="O65" i="1"/>
  <c r="Q65" i="1"/>
  <c r="R65" i="1"/>
  <c r="T65" i="1"/>
  <c r="U65" i="1"/>
  <c r="V65" i="1"/>
  <c r="X65" i="1"/>
  <c r="Y65" i="1"/>
  <c r="Z65" i="1"/>
  <c r="J66" i="1"/>
  <c r="K66" i="1"/>
  <c r="L66" i="1"/>
  <c r="N66" i="1"/>
  <c r="O66" i="1"/>
  <c r="Q66" i="1"/>
  <c r="R66" i="1"/>
  <c r="T66" i="1"/>
  <c r="U66" i="1"/>
  <c r="V66" i="1"/>
  <c r="X66" i="1"/>
  <c r="Y66" i="1"/>
  <c r="Z66" i="1"/>
  <c r="J67" i="1"/>
  <c r="K67" i="1"/>
  <c r="L67" i="1"/>
  <c r="N67" i="1"/>
  <c r="O67" i="1"/>
  <c r="Q67" i="1"/>
  <c r="R67" i="1"/>
  <c r="T67" i="1"/>
  <c r="U67" i="1"/>
  <c r="V67" i="1"/>
  <c r="X67" i="1"/>
  <c r="Y67" i="1"/>
  <c r="Z67" i="1"/>
  <c r="J68" i="1"/>
  <c r="K68" i="1"/>
  <c r="L68" i="1"/>
  <c r="N68" i="1"/>
  <c r="O68" i="1"/>
  <c r="Q68" i="1"/>
  <c r="R68" i="1"/>
  <c r="T68" i="1"/>
  <c r="U68" i="1"/>
  <c r="V68" i="1"/>
  <c r="X68" i="1"/>
  <c r="Y68" i="1"/>
  <c r="Z68" i="1"/>
  <c r="J69" i="1"/>
  <c r="K69" i="1"/>
  <c r="L69" i="1"/>
  <c r="N69" i="1"/>
  <c r="O69" i="1"/>
  <c r="Q69" i="1"/>
  <c r="R69" i="1"/>
  <c r="T69" i="1"/>
  <c r="U69" i="1"/>
  <c r="V69" i="1"/>
  <c r="X69" i="1"/>
  <c r="Y69" i="1"/>
  <c r="Z69" i="1"/>
  <c r="J70" i="1"/>
  <c r="K70" i="1"/>
  <c r="L70" i="1"/>
  <c r="N70" i="1"/>
  <c r="O70" i="1"/>
  <c r="Q70" i="1"/>
  <c r="R70" i="1"/>
  <c r="T70" i="1"/>
  <c r="U70" i="1"/>
  <c r="V70" i="1"/>
  <c r="X70" i="1"/>
  <c r="Y70" i="1"/>
  <c r="Z70" i="1"/>
  <c r="J71" i="1"/>
  <c r="K71" i="1"/>
  <c r="L71" i="1"/>
  <c r="N71" i="1"/>
  <c r="O71" i="1"/>
  <c r="Q71" i="1"/>
  <c r="R71" i="1"/>
  <c r="T71" i="1"/>
  <c r="U71" i="1"/>
  <c r="V71" i="1"/>
  <c r="X71" i="1"/>
  <c r="Y71" i="1"/>
  <c r="Z71" i="1"/>
  <c r="J72" i="1"/>
  <c r="K72" i="1"/>
  <c r="L72" i="1"/>
  <c r="N72" i="1"/>
  <c r="O72" i="1"/>
  <c r="Q72" i="1"/>
  <c r="R72" i="1"/>
  <c r="T72" i="1"/>
  <c r="U72" i="1"/>
  <c r="V72" i="1"/>
  <c r="X72" i="1"/>
  <c r="Y72" i="1"/>
  <c r="Z72" i="1"/>
  <c r="J73" i="1"/>
  <c r="K73" i="1"/>
  <c r="L73" i="1"/>
  <c r="N73" i="1"/>
  <c r="O73" i="1"/>
  <c r="Q73" i="1"/>
  <c r="R73" i="1"/>
  <c r="T73" i="1"/>
  <c r="U73" i="1"/>
  <c r="V73" i="1"/>
  <c r="X73" i="1"/>
  <c r="Y73" i="1"/>
  <c r="Z73" i="1"/>
  <c r="J74" i="1"/>
  <c r="K74" i="1"/>
  <c r="L74" i="1"/>
  <c r="N74" i="1"/>
  <c r="O74" i="1"/>
  <c r="Q74" i="1"/>
  <c r="R74" i="1"/>
  <c r="T74" i="1"/>
  <c r="U74" i="1"/>
  <c r="V74" i="1"/>
  <c r="X74" i="1"/>
  <c r="Y74" i="1"/>
  <c r="Z74" i="1"/>
  <c r="J75" i="1"/>
  <c r="K75" i="1"/>
  <c r="L75" i="1"/>
  <c r="N75" i="1"/>
  <c r="O75" i="1"/>
  <c r="Q75" i="1"/>
  <c r="R75" i="1"/>
  <c r="T75" i="1"/>
  <c r="U75" i="1"/>
  <c r="V75" i="1"/>
  <c r="X75" i="1"/>
  <c r="Y75" i="1"/>
  <c r="Z75" i="1"/>
  <c r="J76" i="1"/>
  <c r="K76" i="1"/>
  <c r="L76" i="1"/>
  <c r="N76" i="1"/>
  <c r="O76" i="1"/>
  <c r="Q76" i="1"/>
  <c r="R76" i="1"/>
  <c r="T76" i="1"/>
  <c r="U76" i="1"/>
  <c r="V76" i="1"/>
  <c r="X76" i="1"/>
  <c r="Y76" i="1"/>
  <c r="Z76" i="1"/>
  <c r="J77" i="1"/>
  <c r="K77" i="1"/>
  <c r="L77" i="1"/>
  <c r="N77" i="1"/>
  <c r="O77" i="1"/>
  <c r="Q77" i="1"/>
  <c r="R77" i="1"/>
  <c r="T77" i="1"/>
  <c r="U77" i="1"/>
  <c r="V77" i="1"/>
  <c r="X77" i="1"/>
  <c r="Y77" i="1"/>
  <c r="Z77" i="1"/>
  <c r="J78" i="1"/>
  <c r="K78" i="1"/>
  <c r="L78" i="1"/>
  <c r="N78" i="1"/>
  <c r="O78" i="1"/>
  <c r="Q78" i="1"/>
  <c r="R78" i="1"/>
  <c r="T78" i="1"/>
  <c r="U78" i="1"/>
  <c r="V78" i="1"/>
  <c r="X78" i="1"/>
  <c r="Y78" i="1"/>
  <c r="Z78" i="1"/>
  <c r="J79" i="1"/>
  <c r="K79" i="1"/>
  <c r="L79" i="1"/>
  <c r="N79" i="1"/>
  <c r="O79" i="1"/>
  <c r="Q79" i="1"/>
  <c r="R79" i="1"/>
  <c r="T79" i="1"/>
  <c r="U79" i="1"/>
  <c r="V79" i="1"/>
  <c r="X79" i="1"/>
  <c r="Y79" i="1"/>
  <c r="Z79" i="1"/>
  <c r="J80" i="1"/>
  <c r="K80" i="1"/>
  <c r="L80" i="1"/>
  <c r="N80" i="1"/>
  <c r="O80" i="1"/>
  <c r="Q80" i="1"/>
  <c r="R80" i="1"/>
  <c r="T80" i="1"/>
  <c r="U80" i="1"/>
  <c r="V80" i="1"/>
  <c r="X80" i="1"/>
  <c r="Y80" i="1"/>
  <c r="Z80" i="1"/>
  <c r="J81" i="1"/>
  <c r="K81" i="1"/>
  <c r="L81" i="1"/>
  <c r="N81" i="1"/>
  <c r="O81" i="1"/>
  <c r="Q81" i="1"/>
  <c r="R81" i="1"/>
  <c r="T81" i="1"/>
  <c r="U81" i="1"/>
  <c r="V81" i="1"/>
  <c r="X81" i="1"/>
  <c r="Y81" i="1"/>
  <c r="Z81" i="1"/>
  <c r="J82" i="1"/>
  <c r="K82" i="1"/>
  <c r="L82" i="1"/>
  <c r="N82" i="1"/>
  <c r="O82" i="1"/>
  <c r="Q82" i="1"/>
  <c r="R82" i="1"/>
  <c r="T82" i="1"/>
  <c r="U82" i="1"/>
  <c r="V82" i="1"/>
  <c r="X82" i="1"/>
  <c r="Y82" i="1"/>
  <c r="Z82" i="1"/>
  <c r="J83" i="1"/>
  <c r="K83" i="1"/>
  <c r="L83" i="1"/>
  <c r="N83" i="1"/>
  <c r="O83" i="1"/>
  <c r="Q83" i="1"/>
  <c r="R83" i="1"/>
  <c r="T83" i="1"/>
  <c r="U83" i="1"/>
  <c r="V83" i="1"/>
  <c r="X83" i="1"/>
  <c r="Y83" i="1"/>
  <c r="Z83" i="1"/>
  <c r="J84" i="1"/>
  <c r="K84" i="1"/>
  <c r="L84" i="1"/>
  <c r="N84" i="1"/>
  <c r="O84" i="1"/>
  <c r="Q84" i="1"/>
  <c r="R84" i="1"/>
  <c r="T84" i="1"/>
  <c r="U84" i="1"/>
  <c r="V84" i="1"/>
  <c r="X84" i="1"/>
  <c r="Y84" i="1"/>
  <c r="Z84" i="1"/>
  <c r="J85" i="1"/>
  <c r="K85" i="1"/>
  <c r="L85" i="1"/>
  <c r="N85" i="1"/>
  <c r="O85" i="1"/>
  <c r="Q85" i="1"/>
  <c r="R85" i="1"/>
  <c r="T85" i="1"/>
  <c r="U85" i="1"/>
  <c r="V85" i="1"/>
  <c r="X85" i="1"/>
  <c r="Y85" i="1"/>
  <c r="Z85" i="1"/>
  <c r="J86" i="1"/>
  <c r="K86" i="1"/>
  <c r="L86" i="1"/>
  <c r="N86" i="1"/>
  <c r="O86" i="1"/>
  <c r="Q86" i="1"/>
  <c r="R86" i="1"/>
  <c r="T86" i="1"/>
  <c r="U86" i="1"/>
  <c r="V86" i="1"/>
  <c r="X86" i="1"/>
  <c r="Y86" i="1"/>
  <c r="Z86" i="1"/>
  <c r="J87" i="1"/>
  <c r="K87" i="1"/>
  <c r="L87" i="1"/>
  <c r="N87" i="1"/>
  <c r="O87" i="1"/>
  <c r="Q87" i="1"/>
  <c r="R87" i="1"/>
  <c r="T87" i="1"/>
  <c r="U87" i="1"/>
  <c r="V87" i="1"/>
  <c r="X87" i="1"/>
  <c r="Y87" i="1"/>
  <c r="Z87" i="1"/>
  <c r="J88" i="1"/>
  <c r="K88" i="1"/>
  <c r="L88" i="1"/>
  <c r="N88" i="1"/>
  <c r="O88" i="1"/>
  <c r="Q88" i="1"/>
  <c r="R88" i="1"/>
  <c r="T88" i="1"/>
  <c r="U88" i="1"/>
  <c r="V88" i="1"/>
  <c r="X88" i="1"/>
  <c r="Y88" i="1"/>
  <c r="Z88" i="1"/>
  <c r="J89" i="1"/>
  <c r="K89" i="1"/>
  <c r="L89" i="1"/>
  <c r="N89" i="1"/>
  <c r="O89" i="1"/>
  <c r="Q89" i="1"/>
  <c r="R89" i="1"/>
  <c r="T89" i="1"/>
  <c r="U89" i="1"/>
  <c r="V89" i="1"/>
  <c r="X89" i="1"/>
  <c r="Y89" i="1"/>
  <c r="Z89" i="1"/>
  <c r="J90" i="1"/>
  <c r="K90" i="1"/>
  <c r="L90" i="1"/>
  <c r="N90" i="1"/>
  <c r="O90" i="1"/>
  <c r="Q90" i="1"/>
  <c r="R90" i="1"/>
  <c r="T90" i="1"/>
  <c r="U90" i="1"/>
  <c r="V90" i="1"/>
  <c r="X90" i="1"/>
  <c r="Y90" i="1"/>
  <c r="Z90" i="1"/>
  <c r="J91" i="1"/>
  <c r="K91" i="1"/>
  <c r="L91" i="1"/>
  <c r="N91" i="1"/>
  <c r="O91" i="1"/>
  <c r="Q91" i="1"/>
  <c r="R91" i="1"/>
  <c r="T91" i="1"/>
  <c r="U91" i="1"/>
  <c r="V91" i="1"/>
  <c r="X91" i="1"/>
  <c r="Y91" i="1"/>
  <c r="Z91" i="1"/>
  <c r="J92" i="1"/>
  <c r="K92" i="1"/>
  <c r="L92" i="1"/>
  <c r="N92" i="1"/>
  <c r="O92" i="1"/>
  <c r="Q92" i="1"/>
  <c r="R92" i="1"/>
  <c r="T92" i="1"/>
  <c r="U92" i="1"/>
  <c r="V92" i="1"/>
  <c r="X92" i="1"/>
  <c r="Y92" i="1"/>
  <c r="Z92" i="1"/>
  <c r="J93" i="1"/>
  <c r="K93" i="1"/>
  <c r="L93" i="1"/>
  <c r="N93" i="1"/>
  <c r="O93" i="1"/>
  <c r="Q93" i="1"/>
  <c r="R93" i="1"/>
  <c r="T93" i="1"/>
  <c r="U93" i="1"/>
  <c r="V93" i="1"/>
  <c r="X93" i="1"/>
  <c r="Y93" i="1"/>
  <c r="Z93" i="1"/>
  <c r="J94" i="1"/>
  <c r="K94" i="1"/>
  <c r="L94" i="1"/>
  <c r="N94" i="1"/>
  <c r="O94" i="1"/>
  <c r="Q94" i="1"/>
  <c r="R94" i="1"/>
  <c r="T94" i="1"/>
  <c r="U94" i="1"/>
  <c r="V94" i="1"/>
  <c r="X94" i="1"/>
  <c r="Y94" i="1"/>
  <c r="Z94" i="1"/>
  <c r="J95" i="1"/>
  <c r="K95" i="1"/>
  <c r="L95" i="1"/>
  <c r="N95" i="1"/>
  <c r="O95" i="1"/>
  <c r="Q95" i="1"/>
  <c r="R95" i="1"/>
  <c r="T95" i="1"/>
  <c r="U95" i="1"/>
  <c r="V95" i="1"/>
  <c r="X95" i="1"/>
  <c r="Y95" i="1"/>
  <c r="Z95" i="1"/>
  <c r="J96" i="1"/>
  <c r="K96" i="1"/>
  <c r="L96" i="1"/>
  <c r="N96" i="1"/>
  <c r="O96" i="1"/>
  <c r="Q96" i="1"/>
  <c r="R96" i="1"/>
  <c r="T96" i="1"/>
  <c r="U96" i="1"/>
  <c r="V96" i="1"/>
  <c r="X96" i="1"/>
  <c r="Y96" i="1"/>
  <c r="Z96" i="1"/>
  <c r="J97" i="1"/>
  <c r="K97" i="1"/>
  <c r="L97" i="1"/>
  <c r="N97" i="1"/>
  <c r="O97" i="1"/>
  <c r="Q97" i="1"/>
  <c r="R97" i="1"/>
  <c r="T97" i="1"/>
  <c r="U97" i="1"/>
  <c r="V97" i="1"/>
  <c r="X97" i="1"/>
  <c r="Y97" i="1"/>
  <c r="Z97" i="1"/>
  <c r="J98" i="1"/>
  <c r="K98" i="1"/>
  <c r="L98" i="1"/>
  <c r="N98" i="1"/>
  <c r="O98" i="1"/>
  <c r="Q98" i="1"/>
  <c r="R98" i="1"/>
  <c r="T98" i="1"/>
  <c r="U98" i="1"/>
  <c r="V98" i="1"/>
  <c r="X98" i="1"/>
  <c r="Y98" i="1"/>
  <c r="Z98" i="1"/>
  <c r="J99" i="1"/>
  <c r="K99" i="1"/>
  <c r="L99" i="1"/>
  <c r="N99" i="1"/>
  <c r="O99" i="1"/>
  <c r="Q99" i="1"/>
  <c r="R99" i="1"/>
  <c r="T99" i="1"/>
  <c r="U99" i="1"/>
  <c r="V99" i="1"/>
  <c r="X99" i="1"/>
  <c r="Y99" i="1"/>
  <c r="Z99" i="1"/>
  <c r="J100" i="1"/>
  <c r="K100" i="1"/>
  <c r="L100" i="1"/>
  <c r="N100" i="1"/>
  <c r="O100" i="1"/>
  <c r="Q100" i="1"/>
  <c r="R100" i="1"/>
  <c r="T100" i="1"/>
  <c r="U100" i="1"/>
  <c r="V100" i="1"/>
  <c r="X100" i="1"/>
  <c r="Y100" i="1"/>
  <c r="Z100" i="1"/>
  <c r="J101" i="1"/>
  <c r="K101" i="1"/>
  <c r="L101" i="1"/>
  <c r="N101" i="1"/>
  <c r="O101" i="1"/>
  <c r="Q101" i="1"/>
  <c r="R101" i="1"/>
  <c r="T101" i="1"/>
  <c r="U101" i="1"/>
  <c r="V101" i="1"/>
  <c r="X101" i="1"/>
  <c r="Y101" i="1"/>
  <c r="Z101" i="1"/>
  <c r="J102" i="1"/>
  <c r="K102" i="1"/>
  <c r="L102" i="1"/>
  <c r="N102" i="1"/>
  <c r="O102" i="1"/>
  <c r="Q102" i="1"/>
  <c r="R102" i="1"/>
  <c r="T102" i="1"/>
  <c r="U102" i="1"/>
  <c r="V102" i="1"/>
  <c r="X102" i="1"/>
  <c r="Y102" i="1"/>
  <c r="Z102" i="1"/>
  <c r="J103" i="1"/>
  <c r="K103" i="1"/>
  <c r="L103" i="1"/>
  <c r="N103" i="1"/>
  <c r="O103" i="1"/>
  <c r="Q103" i="1"/>
  <c r="R103" i="1"/>
  <c r="T103" i="1"/>
  <c r="U103" i="1"/>
  <c r="V103" i="1"/>
  <c r="X103" i="1"/>
  <c r="Y103" i="1"/>
  <c r="Z103" i="1"/>
  <c r="J104" i="1"/>
  <c r="K104" i="1"/>
  <c r="L104" i="1"/>
  <c r="N104" i="1"/>
  <c r="O104" i="1"/>
  <c r="Q104" i="1"/>
  <c r="R104" i="1"/>
  <c r="T104" i="1"/>
  <c r="U104" i="1"/>
  <c r="V104" i="1"/>
  <c r="X104" i="1"/>
  <c r="Y104" i="1"/>
  <c r="Z104" i="1"/>
  <c r="J105" i="1"/>
  <c r="K105" i="1"/>
  <c r="L105" i="1"/>
  <c r="N105" i="1"/>
  <c r="O105" i="1"/>
  <c r="Q105" i="1"/>
  <c r="R105" i="1"/>
  <c r="T105" i="1"/>
  <c r="U105" i="1"/>
  <c r="V105" i="1"/>
  <c r="X105" i="1"/>
  <c r="Y105" i="1"/>
  <c r="Z105" i="1"/>
  <c r="J106" i="1"/>
  <c r="K106" i="1"/>
  <c r="L106" i="1"/>
  <c r="N106" i="1"/>
  <c r="O106" i="1"/>
  <c r="Q106" i="1"/>
  <c r="R106" i="1"/>
  <c r="T106" i="1"/>
  <c r="U106" i="1"/>
  <c r="V106" i="1"/>
  <c r="X106" i="1"/>
  <c r="Y106" i="1"/>
  <c r="Z106" i="1"/>
  <c r="J107" i="1"/>
  <c r="K107" i="1"/>
  <c r="L107" i="1"/>
  <c r="N107" i="1"/>
  <c r="O107" i="1"/>
  <c r="Q107" i="1"/>
  <c r="R107" i="1"/>
  <c r="T107" i="1"/>
  <c r="U107" i="1"/>
  <c r="V107" i="1"/>
  <c r="X107" i="1"/>
  <c r="Y107" i="1"/>
  <c r="Z107" i="1"/>
  <c r="J108" i="1"/>
  <c r="K108" i="1"/>
  <c r="L108" i="1"/>
  <c r="N108" i="1"/>
  <c r="O108" i="1"/>
  <c r="Q108" i="1"/>
  <c r="R108" i="1"/>
  <c r="T108" i="1"/>
  <c r="U108" i="1"/>
  <c r="V108" i="1"/>
  <c r="X108" i="1"/>
  <c r="Y108" i="1"/>
  <c r="Z108" i="1"/>
  <c r="J109" i="1"/>
  <c r="K109" i="1"/>
  <c r="L109" i="1"/>
  <c r="N109" i="1"/>
  <c r="O109" i="1"/>
  <c r="Q109" i="1"/>
  <c r="R109" i="1"/>
  <c r="T109" i="1"/>
  <c r="U109" i="1"/>
  <c r="V109" i="1"/>
  <c r="X109" i="1"/>
  <c r="Y109" i="1"/>
  <c r="Z109" i="1"/>
  <c r="J110" i="1"/>
  <c r="K110" i="1"/>
  <c r="L110" i="1"/>
  <c r="N110" i="1"/>
  <c r="O110" i="1"/>
  <c r="Q110" i="1"/>
  <c r="R110" i="1"/>
  <c r="T110" i="1"/>
  <c r="U110" i="1"/>
  <c r="V110" i="1"/>
  <c r="X110" i="1"/>
  <c r="Y110" i="1"/>
  <c r="Z110" i="1"/>
  <c r="J111" i="1"/>
  <c r="K111" i="1"/>
  <c r="L111" i="1"/>
  <c r="N111" i="1"/>
  <c r="O111" i="1"/>
  <c r="Q111" i="1"/>
  <c r="R111" i="1"/>
  <c r="T111" i="1"/>
  <c r="U111" i="1"/>
  <c r="V111" i="1"/>
  <c r="X111" i="1"/>
  <c r="Y111" i="1"/>
  <c r="Z111" i="1"/>
  <c r="J112" i="1"/>
  <c r="K112" i="1"/>
  <c r="L112" i="1"/>
  <c r="N112" i="1"/>
  <c r="O112" i="1"/>
  <c r="Q112" i="1"/>
  <c r="R112" i="1"/>
  <c r="T112" i="1"/>
  <c r="U112" i="1"/>
  <c r="V112" i="1"/>
  <c r="X112" i="1"/>
  <c r="Y112" i="1"/>
  <c r="Z112" i="1"/>
  <c r="J113" i="1"/>
  <c r="K113" i="1"/>
  <c r="L113" i="1"/>
  <c r="N113" i="1"/>
  <c r="O113" i="1"/>
  <c r="Q113" i="1"/>
  <c r="R113" i="1"/>
  <c r="T113" i="1"/>
  <c r="U113" i="1"/>
  <c r="V113" i="1"/>
  <c r="X113" i="1"/>
  <c r="Y113" i="1"/>
  <c r="Z113" i="1"/>
  <c r="J114" i="1"/>
  <c r="K114" i="1"/>
  <c r="L114" i="1"/>
  <c r="N114" i="1"/>
  <c r="O114" i="1"/>
  <c r="Q114" i="1"/>
  <c r="R114" i="1"/>
  <c r="T114" i="1"/>
  <c r="U114" i="1"/>
  <c r="V114" i="1"/>
  <c r="X114" i="1"/>
  <c r="Y114" i="1"/>
  <c r="Z114" i="1"/>
  <c r="J115" i="1"/>
  <c r="K115" i="1"/>
  <c r="L115" i="1"/>
  <c r="N115" i="1"/>
  <c r="O115" i="1"/>
  <c r="Q115" i="1"/>
  <c r="R115" i="1"/>
  <c r="T115" i="1"/>
  <c r="U115" i="1"/>
  <c r="V115" i="1"/>
  <c r="X115" i="1"/>
  <c r="Y115" i="1"/>
  <c r="Z115" i="1"/>
  <c r="J116" i="1"/>
  <c r="K116" i="1"/>
  <c r="L116" i="1"/>
  <c r="N116" i="1"/>
  <c r="O116" i="1"/>
  <c r="Q116" i="1"/>
  <c r="R116" i="1"/>
  <c r="T116" i="1"/>
  <c r="U116" i="1"/>
  <c r="V116" i="1"/>
  <c r="X116" i="1"/>
  <c r="Y116" i="1"/>
  <c r="Z116" i="1"/>
  <c r="J117" i="1"/>
  <c r="K117" i="1"/>
  <c r="L117" i="1"/>
  <c r="N117" i="1"/>
  <c r="O117" i="1"/>
  <c r="Q117" i="1"/>
  <c r="R117" i="1"/>
  <c r="T117" i="1"/>
  <c r="U117" i="1"/>
  <c r="V117" i="1"/>
  <c r="X117" i="1"/>
  <c r="Y117" i="1"/>
  <c r="Z117" i="1"/>
  <c r="J118" i="1"/>
  <c r="K118" i="1"/>
  <c r="L118" i="1"/>
  <c r="N118" i="1"/>
  <c r="O118" i="1"/>
  <c r="Q118" i="1"/>
  <c r="R118" i="1"/>
  <c r="T118" i="1"/>
  <c r="U118" i="1"/>
  <c r="V118" i="1"/>
  <c r="X118" i="1"/>
  <c r="Y118" i="1"/>
  <c r="Z118" i="1"/>
  <c r="J119" i="1"/>
  <c r="K119" i="1"/>
  <c r="L119" i="1"/>
  <c r="N119" i="1"/>
  <c r="O119" i="1"/>
  <c r="Q119" i="1"/>
  <c r="R119" i="1"/>
  <c r="T119" i="1"/>
  <c r="U119" i="1"/>
  <c r="V119" i="1"/>
  <c r="X119" i="1"/>
  <c r="Y119" i="1"/>
  <c r="Z119" i="1"/>
  <c r="J120" i="1"/>
  <c r="K120" i="1"/>
  <c r="L120" i="1"/>
  <c r="N120" i="1"/>
  <c r="O120" i="1"/>
  <c r="Q120" i="1"/>
  <c r="R120" i="1"/>
  <c r="T120" i="1"/>
  <c r="U120" i="1"/>
  <c r="V120" i="1"/>
  <c r="X120" i="1"/>
  <c r="Y120" i="1"/>
  <c r="Z120" i="1"/>
  <c r="J121" i="1"/>
  <c r="K121" i="1"/>
  <c r="L121" i="1"/>
  <c r="N121" i="1"/>
  <c r="O121" i="1"/>
  <c r="Q121" i="1"/>
  <c r="R121" i="1"/>
  <c r="T121" i="1"/>
  <c r="U121" i="1"/>
  <c r="V121" i="1"/>
  <c r="X121" i="1"/>
  <c r="Y121" i="1"/>
  <c r="Z121" i="1"/>
  <c r="J122" i="1"/>
  <c r="K122" i="1"/>
  <c r="L122" i="1"/>
  <c r="N122" i="1"/>
  <c r="O122" i="1"/>
  <c r="Q122" i="1"/>
  <c r="R122" i="1"/>
  <c r="T122" i="1"/>
  <c r="U122" i="1"/>
  <c r="V122" i="1"/>
  <c r="X122" i="1"/>
  <c r="Y122" i="1"/>
  <c r="Z122" i="1"/>
  <c r="J123" i="1"/>
  <c r="K123" i="1"/>
  <c r="L123" i="1"/>
  <c r="N123" i="1"/>
  <c r="O123" i="1"/>
  <c r="Q123" i="1"/>
  <c r="R123" i="1"/>
  <c r="T123" i="1"/>
  <c r="U123" i="1"/>
  <c r="V123" i="1"/>
  <c r="X123" i="1"/>
  <c r="Y123" i="1"/>
  <c r="Z123" i="1"/>
  <c r="J124" i="1"/>
  <c r="K124" i="1"/>
  <c r="L124" i="1"/>
  <c r="N124" i="1"/>
  <c r="O124" i="1"/>
  <c r="Q124" i="1"/>
  <c r="R124" i="1"/>
  <c r="T124" i="1"/>
  <c r="U124" i="1"/>
  <c r="V124" i="1"/>
  <c r="X124" i="1"/>
  <c r="Y124" i="1"/>
  <c r="Z124" i="1"/>
  <c r="J125" i="1"/>
  <c r="K125" i="1"/>
  <c r="L125" i="1"/>
  <c r="N125" i="1"/>
  <c r="O125" i="1"/>
  <c r="Q125" i="1"/>
  <c r="R125" i="1"/>
  <c r="T125" i="1"/>
  <c r="U125" i="1"/>
  <c r="V125" i="1"/>
  <c r="X125" i="1"/>
  <c r="Y125" i="1"/>
  <c r="Z125" i="1"/>
  <c r="J126" i="1"/>
  <c r="K126" i="1"/>
  <c r="L126" i="1"/>
  <c r="N126" i="1"/>
  <c r="O126" i="1"/>
  <c r="Q126" i="1"/>
  <c r="R126" i="1"/>
  <c r="T126" i="1"/>
  <c r="U126" i="1"/>
  <c r="V126" i="1"/>
  <c r="X126" i="1"/>
  <c r="Y126" i="1"/>
  <c r="Z126" i="1"/>
  <c r="J127" i="1"/>
  <c r="K127" i="1"/>
  <c r="L127" i="1"/>
  <c r="N127" i="1"/>
  <c r="O127" i="1"/>
  <c r="Q127" i="1"/>
  <c r="R127" i="1"/>
  <c r="T127" i="1"/>
  <c r="U127" i="1"/>
  <c r="V127" i="1"/>
  <c r="X127" i="1"/>
  <c r="Y127" i="1"/>
  <c r="Z127" i="1"/>
  <c r="J128" i="1"/>
  <c r="K128" i="1"/>
  <c r="L128" i="1"/>
  <c r="N128" i="1"/>
  <c r="O128" i="1"/>
  <c r="Q128" i="1"/>
  <c r="R128" i="1"/>
  <c r="T128" i="1"/>
  <c r="U128" i="1"/>
  <c r="V128" i="1"/>
  <c r="X128" i="1"/>
  <c r="Y128" i="1"/>
  <c r="Z128" i="1"/>
  <c r="J129" i="1"/>
  <c r="K129" i="1"/>
  <c r="L129" i="1"/>
  <c r="N129" i="1"/>
  <c r="O129" i="1"/>
  <c r="Q129" i="1"/>
  <c r="R129" i="1"/>
  <c r="T129" i="1"/>
  <c r="U129" i="1"/>
  <c r="V129" i="1"/>
  <c r="X129" i="1"/>
  <c r="Y129" i="1"/>
  <c r="Z129" i="1"/>
  <c r="J130" i="1"/>
  <c r="K130" i="1"/>
  <c r="L130" i="1"/>
  <c r="N130" i="1"/>
  <c r="O130" i="1"/>
  <c r="Q130" i="1"/>
  <c r="R130" i="1"/>
  <c r="T130" i="1"/>
  <c r="U130" i="1"/>
  <c r="V130" i="1"/>
  <c r="X130" i="1"/>
  <c r="Y130" i="1"/>
  <c r="Z130" i="1"/>
  <c r="J131" i="1"/>
  <c r="K131" i="1"/>
  <c r="L131" i="1"/>
  <c r="N131" i="1"/>
  <c r="O131" i="1"/>
  <c r="Q131" i="1"/>
  <c r="R131" i="1"/>
  <c r="T131" i="1"/>
  <c r="U131" i="1"/>
  <c r="V131" i="1"/>
  <c r="X131" i="1"/>
  <c r="Y131" i="1"/>
  <c r="Z131" i="1"/>
  <c r="J132" i="1"/>
  <c r="K132" i="1"/>
  <c r="L132" i="1"/>
  <c r="N132" i="1"/>
  <c r="O132" i="1"/>
  <c r="Q132" i="1"/>
  <c r="R132" i="1"/>
  <c r="T132" i="1"/>
  <c r="U132" i="1"/>
  <c r="V132" i="1"/>
  <c r="X132" i="1"/>
  <c r="Y132" i="1"/>
  <c r="Z132" i="1"/>
  <c r="J133" i="1"/>
  <c r="K133" i="1"/>
  <c r="L133" i="1"/>
  <c r="N133" i="1"/>
  <c r="O133" i="1"/>
  <c r="Q133" i="1"/>
  <c r="R133" i="1"/>
  <c r="T133" i="1"/>
  <c r="U133" i="1"/>
  <c r="V133" i="1"/>
  <c r="X133" i="1"/>
  <c r="Y133" i="1"/>
  <c r="Z133" i="1"/>
  <c r="J134" i="1"/>
  <c r="K134" i="1"/>
  <c r="L134" i="1"/>
  <c r="N134" i="1"/>
  <c r="O134" i="1"/>
  <c r="Q134" i="1"/>
  <c r="R134" i="1"/>
  <c r="T134" i="1"/>
  <c r="U134" i="1"/>
  <c r="V134" i="1"/>
  <c r="X134" i="1"/>
  <c r="Y134" i="1"/>
  <c r="Z134" i="1"/>
  <c r="J135" i="1"/>
  <c r="K135" i="1"/>
  <c r="L135" i="1"/>
  <c r="N135" i="1"/>
  <c r="O135" i="1"/>
  <c r="Q135" i="1"/>
  <c r="R135" i="1"/>
  <c r="T135" i="1"/>
  <c r="U135" i="1"/>
  <c r="V135" i="1"/>
  <c r="X135" i="1"/>
  <c r="Y135" i="1"/>
  <c r="Z135" i="1"/>
  <c r="J136" i="1"/>
  <c r="K136" i="1"/>
  <c r="L136" i="1"/>
  <c r="N136" i="1"/>
  <c r="O136" i="1"/>
  <c r="Q136" i="1"/>
  <c r="R136" i="1"/>
  <c r="T136" i="1"/>
  <c r="U136" i="1"/>
  <c r="V136" i="1"/>
  <c r="X136" i="1"/>
  <c r="Y136" i="1"/>
  <c r="Z136" i="1"/>
  <c r="J137" i="1"/>
  <c r="K137" i="1"/>
  <c r="L137" i="1"/>
  <c r="N137" i="1"/>
  <c r="O137" i="1"/>
  <c r="Q137" i="1"/>
  <c r="R137" i="1"/>
  <c r="T137" i="1"/>
  <c r="U137" i="1"/>
  <c r="V137" i="1"/>
  <c r="X137" i="1"/>
  <c r="Y137" i="1"/>
  <c r="Z137" i="1"/>
  <c r="J138" i="1"/>
  <c r="K138" i="1"/>
  <c r="L138" i="1"/>
  <c r="N138" i="1"/>
  <c r="O138" i="1"/>
  <c r="Q138" i="1"/>
  <c r="R138" i="1"/>
  <c r="T138" i="1"/>
  <c r="U138" i="1"/>
  <c r="V138" i="1"/>
  <c r="X138" i="1"/>
  <c r="Y138" i="1"/>
  <c r="Z138" i="1"/>
  <c r="J139" i="1"/>
  <c r="K139" i="1"/>
  <c r="L139" i="1"/>
  <c r="N139" i="1"/>
  <c r="O139" i="1"/>
  <c r="Q139" i="1"/>
  <c r="R139" i="1"/>
  <c r="T139" i="1"/>
  <c r="U139" i="1"/>
  <c r="V139" i="1"/>
  <c r="X139" i="1"/>
  <c r="Y139" i="1"/>
  <c r="Z139" i="1"/>
  <c r="J140" i="1"/>
  <c r="K140" i="1"/>
  <c r="L140" i="1"/>
  <c r="N140" i="1"/>
  <c r="O140" i="1"/>
  <c r="Q140" i="1"/>
  <c r="R140" i="1"/>
  <c r="T140" i="1"/>
  <c r="U140" i="1"/>
  <c r="V140" i="1"/>
  <c r="X140" i="1"/>
  <c r="Y140" i="1"/>
  <c r="Z140" i="1"/>
  <c r="J141" i="1"/>
  <c r="K141" i="1"/>
  <c r="L141" i="1"/>
  <c r="N141" i="1"/>
  <c r="O141" i="1"/>
  <c r="Q141" i="1"/>
  <c r="R141" i="1"/>
  <c r="T141" i="1"/>
  <c r="U141" i="1"/>
  <c r="V141" i="1"/>
  <c r="X141" i="1"/>
  <c r="Y141" i="1"/>
  <c r="Z141" i="1"/>
  <c r="J142" i="1"/>
  <c r="K142" i="1"/>
  <c r="L142" i="1"/>
  <c r="N142" i="1"/>
  <c r="O142" i="1"/>
  <c r="Q142" i="1"/>
  <c r="R142" i="1"/>
  <c r="T142" i="1"/>
  <c r="U142" i="1"/>
  <c r="V142" i="1"/>
  <c r="X142" i="1"/>
  <c r="Y142" i="1"/>
  <c r="Z142" i="1"/>
  <c r="J143" i="1"/>
  <c r="K143" i="1"/>
  <c r="L143" i="1"/>
  <c r="N143" i="1"/>
  <c r="O143" i="1"/>
  <c r="Q143" i="1"/>
  <c r="R143" i="1"/>
  <c r="T143" i="1"/>
  <c r="U143" i="1"/>
  <c r="V143" i="1"/>
  <c r="X143" i="1"/>
  <c r="Y143" i="1"/>
  <c r="Z143" i="1"/>
  <c r="J144" i="1"/>
  <c r="K144" i="1"/>
  <c r="L144" i="1"/>
  <c r="N144" i="1"/>
  <c r="O144" i="1"/>
  <c r="Q144" i="1"/>
  <c r="R144" i="1"/>
  <c r="T144" i="1"/>
  <c r="U144" i="1"/>
  <c r="V144" i="1"/>
  <c r="X144" i="1"/>
  <c r="Y144" i="1"/>
  <c r="Z144" i="1"/>
  <c r="J145" i="1"/>
  <c r="K145" i="1"/>
  <c r="L145" i="1"/>
  <c r="N145" i="1"/>
  <c r="O145" i="1"/>
  <c r="Q145" i="1"/>
  <c r="R145" i="1"/>
  <c r="T145" i="1"/>
  <c r="U145" i="1"/>
  <c r="V145" i="1"/>
  <c r="X145" i="1"/>
  <c r="Y145" i="1"/>
  <c r="Z145" i="1"/>
  <c r="J146" i="1"/>
  <c r="K146" i="1"/>
  <c r="L146" i="1"/>
  <c r="N146" i="1"/>
  <c r="O146" i="1"/>
  <c r="Q146" i="1"/>
  <c r="R146" i="1"/>
  <c r="T146" i="1"/>
  <c r="U146" i="1"/>
  <c r="V146" i="1"/>
  <c r="X146" i="1"/>
  <c r="Y146" i="1"/>
  <c r="Z146" i="1"/>
  <c r="J147" i="1"/>
  <c r="K147" i="1"/>
  <c r="L147" i="1"/>
  <c r="N147" i="1"/>
  <c r="O147" i="1"/>
  <c r="Q147" i="1"/>
  <c r="R147" i="1"/>
  <c r="T147" i="1"/>
  <c r="U147" i="1"/>
  <c r="V147" i="1"/>
  <c r="X147" i="1"/>
  <c r="Y147" i="1"/>
  <c r="Z147" i="1"/>
  <c r="J148" i="1"/>
  <c r="K148" i="1"/>
  <c r="L148" i="1"/>
  <c r="N148" i="1"/>
  <c r="O148" i="1"/>
  <c r="Q148" i="1"/>
  <c r="R148" i="1"/>
  <c r="T148" i="1"/>
  <c r="U148" i="1"/>
  <c r="V148" i="1"/>
  <c r="X148" i="1"/>
  <c r="Y148" i="1"/>
  <c r="Z148" i="1"/>
  <c r="J149" i="1"/>
  <c r="K149" i="1"/>
  <c r="L149" i="1"/>
  <c r="N149" i="1"/>
  <c r="O149" i="1"/>
  <c r="Q149" i="1"/>
  <c r="R149" i="1"/>
  <c r="T149" i="1"/>
  <c r="U149" i="1"/>
  <c r="V149" i="1"/>
  <c r="X149" i="1"/>
  <c r="Y149" i="1"/>
  <c r="Z149" i="1"/>
  <c r="J150" i="1"/>
  <c r="K150" i="1"/>
  <c r="L150" i="1"/>
  <c r="N150" i="1"/>
  <c r="O150" i="1"/>
  <c r="Q150" i="1"/>
  <c r="R150" i="1"/>
  <c r="T150" i="1"/>
  <c r="U150" i="1"/>
  <c r="V150" i="1"/>
  <c r="X150" i="1"/>
  <c r="Y150" i="1"/>
  <c r="Z150" i="1"/>
  <c r="J151" i="1"/>
  <c r="K151" i="1"/>
  <c r="L151" i="1"/>
  <c r="N151" i="1"/>
  <c r="O151" i="1"/>
  <c r="Q151" i="1"/>
  <c r="R151" i="1"/>
  <c r="T151" i="1"/>
  <c r="U151" i="1"/>
  <c r="V151" i="1"/>
  <c r="X151" i="1"/>
  <c r="Y151" i="1"/>
  <c r="Z151" i="1"/>
  <c r="J152" i="1"/>
  <c r="K152" i="1"/>
  <c r="L152" i="1"/>
  <c r="N152" i="1"/>
  <c r="O152" i="1"/>
  <c r="Q152" i="1"/>
  <c r="R152" i="1"/>
  <c r="T152" i="1"/>
  <c r="U152" i="1"/>
  <c r="V152" i="1"/>
  <c r="X152" i="1"/>
  <c r="Y152" i="1"/>
  <c r="Z152" i="1"/>
  <c r="J153" i="1"/>
  <c r="K153" i="1"/>
  <c r="L153" i="1"/>
  <c r="N153" i="1"/>
  <c r="O153" i="1"/>
  <c r="Q153" i="1"/>
  <c r="R153" i="1"/>
  <c r="T153" i="1"/>
  <c r="U153" i="1"/>
  <c r="V153" i="1"/>
  <c r="X153" i="1"/>
  <c r="Y153" i="1"/>
  <c r="Z153" i="1"/>
  <c r="J154" i="1"/>
  <c r="K154" i="1"/>
  <c r="L154" i="1"/>
  <c r="N154" i="1"/>
  <c r="O154" i="1"/>
  <c r="Q154" i="1"/>
  <c r="R154" i="1"/>
  <c r="T154" i="1"/>
  <c r="U154" i="1"/>
  <c r="V154" i="1"/>
  <c r="X154" i="1"/>
  <c r="Y154" i="1"/>
  <c r="Z154" i="1"/>
  <c r="J155" i="1"/>
  <c r="K155" i="1"/>
  <c r="L155" i="1"/>
  <c r="N155" i="1"/>
  <c r="O155" i="1"/>
  <c r="Q155" i="1"/>
  <c r="R155" i="1"/>
  <c r="T155" i="1"/>
  <c r="U155" i="1"/>
  <c r="V155" i="1"/>
  <c r="X155" i="1"/>
  <c r="Y155" i="1"/>
  <c r="Z155" i="1"/>
  <c r="J156" i="1"/>
  <c r="K156" i="1"/>
  <c r="L156" i="1"/>
  <c r="N156" i="1"/>
  <c r="O156" i="1"/>
  <c r="Q156" i="1"/>
  <c r="R156" i="1"/>
  <c r="T156" i="1"/>
  <c r="U156" i="1"/>
  <c r="V156" i="1"/>
  <c r="X156" i="1"/>
  <c r="Y156" i="1"/>
  <c r="Z156" i="1"/>
  <c r="J157" i="1"/>
  <c r="K157" i="1"/>
  <c r="L157" i="1"/>
  <c r="N157" i="1"/>
  <c r="O157" i="1"/>
  <c r="Q157" i="1"/>
  <c r="R157" i="1"/>
  <c r="T157" i="1"/>
  <c r="U157" i="1"/>
  <c r="V157" i="1"/>
  <c r="X157" i="1"/>
  <c r="Y157" i="1"/>
  <c r="Z157" i="1"/>
  <c r="J158" i="1"/>
  <c r="K158" i="1"/>
  <c r="L158" i="1"/>
  <c r="N158" i="1"/>
  <c r="O158" i="1"/>
  <c r="Q158" i="1"/>
  <c r="R158" i="1"/>
  <c r="T158" i="1"/>
  <c r="U158" i="1"/>
  <c r="V158" i="1"/>
  <c r="X158" i="1"/>
  <c r="Y158" i="1"/>
  <c r="Z158" i="1"/>
  <c r="J159" i="1"/>
  <c r="K159" i="1"/>
  <c r="L159" i="1"/>
  <c r="N159" i="1"/>
  <c r="O159" i="1"/>
  <c r="Q159" i="1"/>
  <c r="R159" i="1"/>
  <c r="T159" i="1"/>
  <c r="U159" i="1"/>
  <c r="V159" i="1"/>
  <c r="X159" i="1"/>
  <c r="Y159" i="1"/>
  <c r="Z159" i="1"/>
  <c r="J160" i="1"/>
  <c r="K160" i="1"/>
  <c r="L160" i="1"/>
  <c r="N160" i="1"/>
  <c r="O160" i="1"/>
  <c r="Q160" i="1"/>
  <c r="R160" i="1"/>
  <c r="T160" i="1"/>
  <c r="U160" i="1"/>
  <c r="V160" i="1"/>
  <c r="X160" i="1"/>
  <c r="Y160" i="1"/>
  <c r="Z160" i="1"/>
  <c r="J161" i="1"/>
  <c r="K161" i="1"/>
  <c r="L161" i="1"/>
  <c r="N161" i="1"/>
  <c r="O161" i="1"/>
  <c r="Q161" i="1"/>
  <c r="R161" i="1"/>
  <c r="T161" i="1"/>
  <c r="U161" i="1"/>
  <c r="V161" i="1"/>
  <c r="X161" i="1"/>
  <c r="Y161" i="1"/>
  <c r="Z161" i="1"/>
  <c r="J162" i="1"/>
  <c r="K162" i="1"/>
  <c r="L162" i="1"/>
  <c r="N162" i="1"/>
  <c r="O162" i="1"/>
  <c r="Q162" i="1"/>
  <c r="R162" i="1"/>
  <c r="T162" i="1"/>
  <c r="U162" i="1"/>
  <c r="V162" i="1"/>
  <c r="X162" i="1"/>
  <c r="Y162" i="1"/>
  <c r="Z162" i="1"/>
  <c r="J163" i="1"/>
  <c r="K163" i="1"/>
  <c r="L163" i="1"/>
  <c r="N163" i="1"/>
  <c r="O163" i="1"/>
  <c r="Q163" i="1"/>
  <c r="R163" i="1"/>
  <c r="T163" i="1"/>
  <c r="U163" i="1"/>
  <c r="V163" i="1"/>
  <c r="X163" i="1"/>
  <c r="Y163" i="1"/>
  <c r="Z163" i="1"/>
  <c r="J164" i="1"/>
  <c r="K164" i="1"/>
  <c r="L164" i="1"/>
  <c r="N164" i="1"/>
  <c r="O164" i="1"/>
  <c r="Q164" i="1"/>
  <c r="R164" i="1"/>
  <c r="T164" i="1"/>
  <c r="U164" i="1"/>
  <c r="V164" i="1"/>
  <c r="X164" i="1"/>
  <c r="Y164" i="1"/>
  <c r="Z164" i="1"/>
  <c r="J165" i="1"/>
  <c r="K165" i="1"/>
  <c r="L165" i="1"/>
  <c r="N165" i="1"/>
  <c r="O165" i="1"/>
  <c r="Q165" i="1"/>
  <c r="R165" i="1"/>
  <c r="T165" i="1"/>
  <c r="U165" i="1"/>
  <c r="V165" i="1"/>
  <c r="X165" i="1"/>
  <c r="Y165" i="1"/>
  <c r="Z165" i="1"/>
  <c r="J166" i="1"/>
  <c r="K166" i="1"/>
  <c r="L166" i="1"/>
  <c r="N166" i="1"/>
  <c r="O166" i="1"/>
  <c r="Q166" i="1"/>
  <c r="R166" i="1"/>
  <c r="T166" i="1"/>
  <c r="U166" i="1"/>
  <c r="V166" i="1"/>
  <c r="X166" i="1"/>
  <c r="Y166" i="1"/>
  <c r="Z166" i="1"/>
  <c r="J167" i="1"/>
  <c r="K167" i="1"/>
  <c r="L167" i="1"/>
  <c r="N167" i="1"/>
  <c r="O167" i="1"/>
  <c r="Q167" i="1"/>
  <c r="R167" i="1"/>
  <c r="T167" i="1"/>
  <c r="U167" i="1"/>
  <c r="V167" i="1"/>
  <c r="X167" i="1"/>
  <c r="Y167" i="1"/>
  <c r="Z167" i="1"/>
  <c r="J168" i="1"/>
  <c r="K168" i="1"/>
  <c r="L168" i="1"/>
  <c r="N168" i="1"/>
  <c r="O168" i="1"/>
  <c r="Q168" i="1"/>
  <c r="R168" i="1"/>
  <c r="T168" i="1"/>
  <c r="U168" i="1"/>
  <c r="V168" i="1"/>
  <c r="X168" i="1"/>
  <c r="Y168" i="1"/>
  <c r="Z168" i="1"/>
  <c r="J169" i="1"/>
  <c r="K169" i="1"/>
  <c r="L169" i="1"/>
  <c r="N169" i="1"/>
  <c r="O169" i="1"/>
  <c r="Q169" i="1"/>
  <c r="R169" i="1"/>
  <c r="T169" i="1"/>
  <c r="U169" i="1"/>
  <c r="V169" i="1"/>
  <c r="X169" i="1"/>
  <c r="Y169" i="1"/>
  <c r="Z169" i="1"/>
  <c r="J170" i="1"/>
  <c r="K170" i="1"/>
  <c r="L170" i="1"/>
  <c r="N170" i="1"/>
  <c r="O170" i="1"/>
  <c r="Q170" i="1"/>
  <c r="R170" i="1"/>
  <c r="T170" i="1"/>
  <c r="U170" i="1"/>
  <c r="V170" i="1"/>
  <c r="X170" i="1"/>
  <c r="Y170" i="1"/>
  <c r="Z170" i="1"/>
  <c r="J171" i="1"/>
  <c r="K171" i="1"/>
  <c r="L171" i="1"/>
  <c r="N171" i="1"/>
  <c r="O171" i="1"/>
  <c r="Q171" i="1"/>
  <c r="R171" i="1"/>
  <c r="T171" i="1"/>
  <c r="U171" i="1"/>
  <c r="V171" i="1"/>
  <c r="X171" i="1"/>
  <c r="Y171" i="1"/>
  <c r="Z171" i="1"/>
  <c r="J172" i="1"/>
  <c r="K172" i="1"/>
  <c r="L172" i="1"/>
  <c r="N172" i="1"/>
  <c r="O172" i="1"/>
  <c r="Q172" i="1"/>
  <c r="R172" i="1"/>
  <c r="T172" i="1"/>
  <c r="U172" i="1"/>
  <c r="V172" i="1"/>
  <c r="X172" i="1"/>
  <c r="Y172" i="1"/>
  <c r="Z172" i="1"/>
  <c r="J173" i="1"/>
  <c r="K173" i="1"/>
  <c r="L173" i="1"/>
  <c r="N173" i="1"/>
  <c r="O173" i="1"/>
  <c r="Q173" i="1"/>
  <c r="R173" i="1"/>
  <c r="T173" i="1"/>
  <c r="U173" i="1"/>
  <c r="V173" i="1"/>
  <c r="X173" i="1"/>
  <c r="Y173" i="1"/>
  <c r="Z173" i="1"/>
  <c r="J174" i="1"/>
  <c r="K174" i="1"/>
  <c r="L174" i="1"/>
  <c r="N174" i="1"/>
  <c r="O174" i="1"/>
  <c r="Q174" i="1"/>
  <c r="R174" i="1"/>
  <c r="T174" i="1"/>
  <c r="U174" i="1"/>
  <c r="V174" i="1"/>
  <c r="X174" i="1"/>
  <c r="Y174" i="1"/>
  <c r="Z174" i="1"/>
  <c r="J175" i="1"/>
  <c r="K175" i="1"/>
  <c r="L175" i="1"/>
  <c r="N175" i="1"/>
  <c r="O175" i="1"/>
  <c r="Q175" i="1"/>
  <c r="R175" i="1"/>
  <c r="T175" i="1"/>
  <c r="U175" i="1"/>
  <c r="V175" i="1"/>
  <c r="X175" i="1"/>
  <c r="Y175" i="1"/>
  <c r="Z175" i="1"/>
  <c r="J176" i="1"/>
  <c r="K176" i="1"/>
  <c r="L176" i="1"/>
  <c r="N176" i="1"/>
  <c r="O176" i="1"/>
  <c r="Q176" i="1"/>
  <c r="R176" i="1"/>
  <c r="T176" i="1"/>
  <c r="U176" i="1"/>
  <c r="V176" i="1"/>
  <c r="X176" i="1"/>
  <c r="Y176" i="1"/>
  <c r="Z176" i="1"/>
  <c r="J177" i="1"/>
  <c r="K177" i="1"/>
  <c r="L177" i="1"/>
  <c r="N177" i="1"/>
  <c r="O177" i="1"/>
  <c r="Q177" i="1"/>
  <c r="R177" i="1"/>
  <c r="T177" i="1"/>
  <c r="U177" i="1"/>
  <c r="V177" i="1"/>
  <c r="X177" i="1"/>
  <c r="Y177" i="1"/>
  <c r="Z177" i="1"/>
  <c r="J178" i="1"/>
  <c r="K178" i="1"/>
  <c r="L178" i="1"/>
  <c r="N178" i="1"/>
  <c r="O178" i="1"/>
  <c r="Q178" i="1"/>
  <c r="R178" i="1"/>
  <c r="T178" i="1"/>
  <c r="U178" i="1"/>
  <c r="V178" i="1"/>
  <c r="X178" i="1"/>
  <c r="Y178" i="1"/>
  <c r="Z178" i="1"/>
  <c r="J179" i="1"/>
  <c r="K179" i="1"/>
  <c r="L179" i="1"/>
  <c r="N179" i="1"/>
  <c r="O179" i="1"/>
  <c r="Q179" i="1"/>
  <c r="R179" i="1"/>
  <c r="T179" i="1"/>
  <c r="U179" i="1"/>
  <c r="V179" i="1"/>
  <c r="X179" i="1"/>
  <c r="Y179" i="1"/>
  <c r="Z179" i="1"/>
  <c r="J180" i="1"/>
  <c r="K180" i="1"/>
  <c r="L180" i="1"/>
  <c r="N180" i="1"/>
  <c r="O180" i="1"/>
  <c r="Q180" i="1"/>
  <c r="R180" i="1"/>
  <c r="T180" i="1"/>
  <c r="U180" i="1"/>
  <c r="V180" i="1"/>
  <c r="X180" i="1"/>
  <c r="Y180" i="1"/>
  <c r="Z180" i="1"/>
  <c r="J181" i="1"/>
  <c r="K181" i="1"/>
  <c r="L181" i="1"/>
  <c r="N181" i="1"/>
  <c r="O181" i="1"/>
  <c r="Q181" i="1"/>
  <c r="R181" i="1"/>
  <c r="T181" i="1"/>
  <c r="U181" i="1"/>
  <c r="V181" i="1"/>
  <c r="X181" i="1"/>
  <c r="Y181" i="1"/>
  <c r="Z181" i="1"/>
  <c r="J182" i="1"/>
  <c r="K182" i="1"/>
  <c r="L182" i="1"/>
  <c r="N182" i="1"/>
  <c r="O182" i="1"/>
  <c r="Q182" i="1"/>
  <c r="R182" i="1"/>
  <c r="T182" i="1"/>
  <c r="U182" i="1"/>
  <c r="V182" i="1"/>
  <c r="X182" i="1"/>
  <c r="Y182" i="1"/>
  <c r="Z182" i="1"/>
  <c r="J183" i="1"/>
  <c r="K183" i="1"/>
  <c r="L183" i="1"/>
  <c r="N183" i="1"/>
  <c r="O183" i="1"/>
  <c r="Q183" i="1"/>
  <c r="R183" i="1"/>
  <c r="T183" i="1"/>
  <c r="U183" i="1"/>
  <c r="V183" i="1"/>
  <c r="X183" i="1"/>
  <c r="Y183" i="1"/>
  <c r="Z183" i="1"/>
  <c r="J184" i="1"/>
  <c r="K184" i="1"/>
  <c r="L184" i="1"/>
  <c r="N184" i="1"/>
  <c r="O184" i="1"/>
  <c r="Q184" i="1"/>
  <c r="R184" i="1"/>
  <c r="T184" i="1"/>
  <c r="U184" i="1"/>
  <c r="V184" i="1"/>
  <c r="X184" i="1"/>
  <c r="Y184" i="1"/>
  <c r="Z184" i="1"/>
  <c r="J185" i="1"/>
  <c r="K185" i="1"/>
  <c r="L185" i="1"/>
  <c r="N185" i="1"/>
  <c r="O185" i="1"/>
  <c r="Q185" i="1"/>
  <c r="R185" i="1"/>
  <c r="T185" i="1"/>
  <c r="U185" i="1"/>
  <c r="V185" i="1"/>
  <c r="X185" i="1"/>
  <c r="Y185" i="1"/>
  <c r="Z185" i="1"/>
  <c r="J186" i="1"/>
  <c r="K186" i="1"/>
  <c r="L186" i="1"/>
  <c r="N186" i="1"/>
  <c r="O186" i="1"/>
  <c r="Q186" i="1"/>
  <c r="R186" i="1"/>
  <c r="T186" i="1"/>
  <c r="U186" i="1"/>
  <c r="V186" i="1"/>
  <c r="X186" i="1"/>
  <c r="Y186" i="1"/>
  <c r="Z186" i="1"/>
  <c r="J187" i="1"/>
  <c r="K187" i="1"/>
  <c r="L187" i="1"/>
  <c r="N187" i="1"/>
  <c r="O187" i="1"/>
  <c r="Q187" i="1"/>
  <c r="R187" i="1"/>
  <c r="T187" i="1"/>
  <c r="U187" i="1"/>
  <c r="V187" i="1"/>
  <c r="X187" i="1"/>
  <c r="Y187" i="1"/>
  <c r="Z187" i="1"/>
  <c r="J188" i="1"/>
  <c r="K188" i="1"/>
  <c r="L188" i="1"/>
  <c r="N188" i="1"/>
  <c r="O188" i="1"/>
  <c r="Q188" i="1"/>
  <c r="R188" i="1"/>
  <c r="T188" i="1"/>
  <c r="U188" i="1"/>
  <c r="V188" i="1"/>
  <c r="X188" i="1"/>
  <c r="Y188" i="1"/>
  <c r="Z188" i="1"/>
  <c r="J189" i="1"/>
  <c r="K189" i="1"/>
  <c r="L189" i="1"/>
  <c r="N189" i="1"/>
  <c r="O189" i="1"/>
  <c r="Q189" i="1"/>
  <c r="R189" i="1"/>
  <c r="T189" i="1"/>
  <c r="U189" i="1"/>
  <c r="V189" i="1"/>
  <c r="X189" i="1"/>
  <c r="Y189" i="1"/>
  <c r="Z189" i="1"/>
  <c r="J190" i="1"/>
  <c r="K190" i="1"/>
  <c r="L190" i="1"/>
  <c r="N190" i="1"/>
  <c r="O190" i="1"/>
  <c r="Q190" i="1"/>
  <c r="R190" i="1"/>
  <c r="T190" i="1"/>
  <c r="U190" i="1"/>
  <c r="V190" i="1"/>
  <c r="X190" i="1"/>
  <c r="Y190" i="1"/>
  <c r="Z190" i="1"/>
  <c r="J191" i="1"/>
  <c r="K191" i="1"/>
  <c r="L191" i="1"/>
  <c r="N191" i="1"/>
  <c r="O191" i="1"/>
  <c r="Q191" i="1"/>
  <c r="R191" i="1"/>
  <c r="T191" i="1"/>
  <c r="U191" i="1"/>
  <c r="V191" i="1"/>
  <c r="X191" i="1"/>
  <c r="Y191" i="1"/>
  <c r="Z191" i="1"/>
  <c r="J192" i="1"/>
  <c r="K192" i="1"/>
  <c r="L192" i="1"/>
  <c r="N192" i="1"/>
  <c r="O192" i="1"/>
  <c r="Q192" i="1"/>
  <c r="R192" i="1"/>
  <c r="T192" i="1"/>
  <c r="U192" i="1"/>
  <c r="V192" i="1"/>
  <c r="X192" i="1"/>
  <c r="Y192" i="1"/>
  <c r="Z192" i="1"/>
  <c r="J193" i="1"/>
  <c r="K193" i="1"/>
  <c r="L193" i="1"/>
  <c r="N193" i="1"/>
  <c r="O193" i="1"/>
  <c r="Q193" i="1"/>
  <c r="R193" i="1"/>
  <c r="T193" i="1"/>
  <c r="U193" i="1"/>
  <c r="V193" i="1"/>
  <c r="X193" i="1"/>
  <c r="Y193" i="1"/>
  <c r="Z193" i="1"/>
  <c r="J194" i="1"/>
  <c r="K194" i="1"/>
  <c r="L194" i="1"/>
  <c r="N194" i="1"/>
  <c r="O194" i="1"/>
  <c r="Q194" i="1"/>
  <c r="R194" i="1"/>
  <c r="T194" i="1"/>
  <c r="U194" i="1"/>
  <c r="V194" i="1"/>
  <c r="X194" i="1"/>
  <c r="Y194" i="1"/>
  <c r="Z194" i="1"/>
  <c r="J195" i="1"/>
  <c r="K195" i="1"/>
  <c r="L195" i="1"/>
  <c r="N195" i="1"/>
  <c r="O195" i="1"/>
  <c r="Q195" i="1"/>
  <c r="R195" i="1"/>
  <c r="T195" i="1"/>
  <c r="U195" i="1"/>
  <c r="V195" i="1"/>
  <c r="X195" i="1"/>
  <c r="Y195" i="1"/>
  <c r="Z195" i="1"/>
  <c r="J196" i="1"/>
  <c r="K196" i="1"/>
  <c r="L196" i="1"/>
  <c r="N196" i="1"/>
  <c r="O196" i="1"/>
  <c r="Q196" i="1"/>
  <c r="R196" i="1"/>
  <c r="T196" i="1"/>
  <c r="U196" i="1"/>
  <c r="V196" i="1"/>
  <c r="X196" i="1"/>
  <c r="Y196" i="1"/>
  <c r="Z196" i="1"/>
  <c r="J197" i="1"/>
  <c r="K197" i="1"/>
  <c r="L197" i="1"/>
  <c r="N197" i="1"/>
  <c r="O197" i="1"/>
  <c r="Q197" i="1"/>
  <c r="R197" i="1"/>
  <c r="T197" i="1"/>
  <c r="U197" i="1"/>
  <c r="V197" i="1"/>
  <c r="X197" i="1"/>
  <c r="Y197" i="1"/>
  <c r="Z197" i="1"/>
  <c r="J198" i="1"/>
  <c r="K198" i="1"/>
  <c r="L198" i="1"/>
  <c r="N198" i="1"/>
  <c r="O198" i="1"/>
  <c r="Q198" i="1"/>
  <c r="R198" i="1"/>
  <c r="T198" i="1"/>
  <c r="U198" i="1"/>
  <c r="V198" i="1"/>
  <c r="X198" i="1"/>
  <c r="Y198" i="1"/>
  <c r="Z198" i="1"/>
  <c r="J199" i="1"/>
  <c r="K199" i="1"/>
  <c r="L199" i="1"/>
  <c r="N199" i="1"/>
  <c r="O199" i="1"/>
  <c r="Q199" i="1"/>
  <c r="R199" i="1"/>
  <c r="T199" i="1"/>
  <c r="U199" i="1"/>
  <c r="V199" i="1"/>
  <c r="X199" i="1"/>
  <c r="Y199" i="1"/>
  <c r="Z199" i="1"/>
  <c r="J200" i="1"/>
  <c r="K200" i="1"/>
  <c r="L200" i="1"/>
  <c r="N200" i="1"/>
  <c r="O200" i="1"/>
  <c r="Q200" i="1"/>
  <c r="R200" i="1"/>
  <c r="T200" i="1"/>
  <c r="U200" i="1"/>
  <c r="V200" i="1"/>
  <c r="X200" i="1"/>
  <c r="Y200" i="1"/>
  <c r="Z200" i="1"/>
  <c r="J201" i="1"/>
  <c r="K201" i="1"/>
  <c r="L201" i="1"/>
  <c r="N201" i="1"/>
  <c r="O201" i="1"/>
  <c r="Q201" i="1"/>
  <c r="R201" i="1"/>
  <c r="T201" i="1"/>
  <c r="U201" i="1"/>
  <c r="V201" i="1"/>
  <c r="X201" i="1"/>
  <c r="Y201" i="1"/>
  <c r="Z201" i="1"/>
  <c r="J202" i="1"/>
  <c r="K202" i="1"/>
  <c r="L202" i="1"/>
  <c r="N202" i="1"/>
  <c r="O202" i="1"/>
  <c r="Q202" i="1"/>
  <c r="R202" i="1"/>
  <c r="T202" i="1"/>
  <c r="U202" i="1"/>
  <c r="V202" i="1"/>
  <c r="X202" i="1"/>
  <c r="Y202" i="1"/>
  <c r="Z202" i="1"/>
  <c r="Z3" i="1"/>
  <c r="Y3" i="1"/>
  <c r="X3" i="1"/>
  <c r="R3" i="1"/>
  <c r="Q3" i="1"/>
  <c r="O3" i="1"/>
  <c r="N3" i="1"/>
  <c r="L3" i="1"/>
  <c r="K3" i="1"/>
  <c r="J3" i="1"/>
  <c r="F4" i="1"/>
  <c r="G4" i="1"/>
  <c r="H4" i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F10" i="1"/>
  <c r="G10" i="1"/>
  <c r="H10" i="1"/>
  <c r="F11" i="1"/>
  <c r="G11" i="1"/>
  <c r="H11" i="1"/>
  <c r="F12" i="1"/>
  <c r="G12" i="1"/>
  <c r="H12" i="1"/>
  <c r="F13" i="1"/>
  <c r="G13" i="1"/>
  <c r="H13" i="1"/>
  <c r="F14" i="1"/>
  <c r="G14" i="1"/>
  <c r="H14" i="1"/>
  <c r="F15" i="1"/>
  <c r="G15" i="1"/>
  <c r="H15" i="1"/>
  <c r="F16" i="1"/>
  <c r="G16" i="1"/>
  <c r="H16" i="1"/>
  <c r="F17" i="1"/>
  <c r="G17" i="1"/>
  <c r="H17" i="1"/>
  <c r="F18" i="1"/>
  <c r="G18" i="1"/>
  <c r="H18" i="1"/>
  <c r="F19" i="1"/>
  <c r="G19" i="1"/>
  <c r="H19" i="1"/>
  <c r="F20" i="1"/>
  <c r="G20" i="1"/>
  <c r="H20" i="1"/>
  <c r="F21" i="1"/>
  <c r="G21" i="1"/>
  <c r="H21" i="1"/>
  <c r="F22" i="1"/>
  <c r="G22" i="1"/>
  <c r="H22" i="1"/>
  <c r="F23" i="1"/>
  <c r="G23" i="1"/>
  <c r="H23" i="1"/>
  <c r="F24" i="1"/>
  <c r="G24" i="1"/>
  <c r="H24" i="1"/>
  <c r="F25" i="1"/>
  <c r="G25" i="1"/>
  <c r="H25" i="1"/>
  <c r="F26" i="1"/>
  <c r="G26" i="1"/>
  <c r="H26" i="1"/>
  <c r="F27" i="1"/>
  <c r="G27" i="1"/>
  <c r="H27" i="1"/>
  <c r="F28" i="1"/>
  <c r="G28" i="1"/>
  <c r="H28" i="1"/>
  <c r="F29" i="1"/>
  <c r="G29" i="1"/>
  <c r="H29" i="1"/>
  <c r="F30" i="1"/>
  <c r="G30" i="1"/>
  <c r="H30" i="1"/>
  <c r="F31" i="1"/>
  <c r="G31" i="1"/>
  <c r="H31" i="1"/>
  <c r="F32" i="1"/>
  <c r="G32" i="1"/>
  <c r="H32" i="1"/>
  <c r="F33" i="1"/>
  <c r="G33" i="1"/>
  <c r="H33" i="1"/>
  <c r="F34" i="1"/>
  <c r="G34" i="1"/>
  <c r="H34" i="1"/>
  <c r="F35" i="1"/>
  <c r="G35" i="1"/>
  <c r="H35" i="1"/>
  <c r="F36" i="1"/>
  <c r="G36" i="1"/>
  <c r="H36" i="1"/>
  <c r="F37" i="1"/>
  <c r="G37" i="1"/>
  <c r="H37" i="1"/>
  <c r="F38" i="1"/>
  <c r="G38" i="1"/>
  <c r="H38" i="1"/>
  <c r="F39" i="1"/>
  <c r="G39" i="1"/>
  <c r="H39" i="1"/>
  <c r="F40" i="1"/>
  <c r="G40" i="1"/>
  <c r="H40" i="1"/>
  <c r="F41" i="1"/>
  <c r="G41" i="1"/>
  <c r="H41" i="1"/>
  <c r="F42" i="1"/>
  <c r="G42" i="1"/>
  <c r="H42" i="1"/>
  <c r="F43" i="1"/>
  <c r="G43" i="1"/>
  <c r="H43" i="1"/>
  <c r="F44" i="1"/>
  <c r="G44" i="1"/>
  <c r="H44" i="1"/>
  <c r="F45" i="1"/>
  <c r="G45" i="1"/>
  <c r="H45" i="1"/>
  <c r="F46" i="1"/>
  <c r="G46" i="1"/>
  <c r="H46" i="1"/>
  <c r="F47" i="1"/>
  <c r="G47" i="1"/>
  <c r="H47" i="1"/>
  <c r="F48" i="1"/>
  <c r="G48" i="1"/>
  <c r="H48" i="1"/>
  <c r="F49" i="1"/>
  <c r="G49" i="1"/>
  <c r="H49" i="1"/>
  <c r="F50" i="1"/>
  <c r="G50" i="1"/>
  <c r="H50" i="1"/>
  <c r="F51" i="1"/>
  <c r="G51" i="1"/>
  <c r="H51" i="1"/>
  <c r="F52" i="1"/>
  <c r="G52" i="1"/>
  <c r="H52" i="1"/>
  <c r="F53" i="1"/>
  <c r="G53" i="1"/>
  <c r="H53" i="1"/>
  <c r="F54" i="1"/>
  <c r="G54" i="1"/>
  <c r="H54" i="1"/>
  <c r="F55" i="1"/>
  <c r="G55" i="1"/>
  <c r="H55" i="1"/>
  <c r="F56" i="1"/>
  <c r="G56" i="1"/>
  <c r="H56" i="1"/>
  <c r="F57" i="1"/>
  <c r="G57" i="1"/>
  <c r="H57" i="1"/>
  <c r="F58" i="1"/>
  <c r="G58" i="1"/>
  <c r="H58" i="1"/>
  <c r="F59" i="1"/>
  <c r="G59" i="1"/>
  <c r="H59" i="1"/>
  <c r="F60" i="1"/>
  <c r="G60" i="1"/>
  <c r="H60" i="1"/>
  <c r="F61" i="1"/>
  <c r="G61" i="1"/>
  <c r="H61" i="1"/>
  <c r="F62" i="1"/>
  <c r="G62" i="1"/>
  <c r="H62" i="1"/>
  <c r="F63" i="1"/>
  <c r="G63" i="1"/>
  <c r="H63" i="1"/>
  <c r="F64" i="1"/>
  <c r="G64" i="1"/>
  <c r="H64" i="1"/>
  <c r="F65" i="1"/>
  <c r="G65" i="1"/>
  <c r="H65" i="1"/>
  <c r="F66" i="1"/>
  <c r="G66" i="1"/>
  <c r="H66" i="1"/>
  <c r="F67" i="1"/>
  <c r="G67" i="1"/>
  <c r="H67" i="1"/>
  <c r="F68" i="1"/>
  <c r="G68" i="1"/>
  <c r="H68" i="1"/>
  <c r="F69" i="1"/>
  <c r="G69" i="1"/>
  <c r="H69" i="1"/>
  <c r="F70" i="1"/>
  <c r="G70" i="1"/>
  <c r="H70" i="1"/>
  <c r="F71" i="1"/>
  <c r="G71" i="1"/>
  <c r="H71" i="1"/>
  <c r="F72" i="1"/>
  <c r="G72" i="1"/>
  <c r="H72" i="1"/>
  <c r="F73" i="1"/>
  <c r="G73" i="1"/>
  <c r="H73" i="1"/>
  <c r="F74" i="1"/>
  <c r="G74" i="1"/>
  <c r="H74" i="1"/>
  <c r="F75" i="1"/>
  <c r="G75" i="1"/>
  <c r="H75" i="1"/>
  <c r="F76" i="1"/>
  <c r="G76" i="1"/>
  <c r="H76" i="1"/>
  <c r="F77" i="1"/>
  <c r="G77" i="1"/>
  <c r="H77" i="1"/>
  <c r="F78" i="1"/>
  <c r="G78" i="1"/>
  <c r="H78" i="1"/>
  <c r="F79" i="1"/>
  <c r="G79" i="1"/>
  <c r="H79" i="1"/>
  <c r="F80" i="1"/>
  <c r="G80" i="1"/>
  <c r="H80" i="1"/>
  <c r="F81" i="1"/>
  <c r="G81" i="1"/>
  <c r="H81" i="1"/>
  <c r="F82" i="1"/>
  <c r="G82" i="1"/>
  <c r="H82" i="1"/>
  <c r="F83" i="1"/>
  <c r="G83" i="1"/>
  <c r="H83" i="1"/>
  <c r="F84" i="1"/>
  <c r="G84" i="1"/>
  <c r="H84" i="1"/>
  <c r="F85" i="1"/>
  <c r="G85" i="1"/>
  <c r="H85" i="1"/>
  <c r="F86" i="1"/>
  <c r="G86" i="1"/>
  <c r="H86" i="1"/>
  <c r="F87" i="1"/>
  <c r="G87" i="1"/>
  <c r="H87" i="1"/>
  <c r="F88" i="1"/>
  <c r="G88" i="1"/>
  <c r="H88" i="1"/>
  <c r="F89" i="1"/>
  <c r="G89" i="1"/>
  <c r="H89" i="1"/>
  <c r="F90" i="1"/>
  <c r="G90" i="1"/>
  <c r="H90" i="1"/>
  <c r="F91" i="1"/>
  <c r="G91" i="1"/>
  <c r="H91" i="1"/>
  <c r="F92" i="1"/>
  <c r="G92" i="1"/>
  <c r="H92" i="1"/>
  <c r="F93" i="1"/>
  <c r="G93" i="1"/>
  <c r="H93" i="1"/>
  <c r="F94" i="1"/>
  <c r="G94" i="1"/>
  <c r="H94" i="1"/>
  <c r="F95" i="1"/>
  <c r="G95" i="1"/>
  <c r="H95" i="1"/>
  <c r="F96" i="1"/>
  <c r="G96" i="1"/>
  <c r="H96" i="1"/>
  <c r="F97" i="1"/>
  <c r="G97" i="1"/>
  <c r="H97" i="1"/>
  <c r="F98" i="1"/>
  <c r="G98" i="1"/>
  <c r="H98" i="1"/>
  <c r="F99" i="1"/>
  <c r="G99" i="1"/>
  <c r="H99" i="1"/>
  <c r="F100" i="1"/>
  <c r="G100" i="1"/>
  <c r="H100" i="1"/>
  <c r="F101" i="1"/>
  <c r="G101" i="1"/>
  <c r="H101" i="1"/>
  <c r="F102" i="1"/>
  <c r="G102" i="1"/>
  <c r="H102" i="1"/>
  <c r="F103" i="1"/>
  <c r="G103" i="1"/>
  <c r="H103" i="1"/>
  <c r="F104" i="1"/>
  <c r="G104" i="1"/>
  <c r="H104" i="1"/>
  <c r="F105" i="1"/>
  <c r="G105" i="1"/>
  <c r="H105" i="1"/>
  <c r="F106" i="1"/>
  <c r="G106" i="1"/>
  <c r="H106" i="1"/>
  <c r="F107" i="1"/>
  <c r="G107" i="1"/>
  <c r="H107" i="1"/>
  <c r="F108" i="1"/>
  <c r="G108" i="1"/>
  <c r="H108" i="1"/>
  <c r="F109" i="1"/>
  <c r="G109" i="1"/>
  <c r="H109" i="1"/>
  <c r="F110" i="1"/>
  <c r="G110" i="1"/>
  <c r="H110" i="1"/>
  <c r="F111" i="1"/>
  <c r="G111" i="1"/>
  <c r="H111" i="1"/>
  <c r="F112" i="1"/>
  <c r="G112" i="1"/>
  <c r="H112" i="1"/>
  <c r="F113" i="1"/>
  <c r="G113" i="1"/>
  <c r="H113" i="1"/>
  <c r="F114" i="1"/>
  <c r="G114" i="1"/>
  <c r="H114" i="1"/>
  <c r="F115" i="1"/>
  <c r="G115" i="1"/>
  <c r="H115" i="1"/>
  <c r="F116" i="1"/>
  <c r="G116" i="1"/>
  <c r="H116" i="1"/>
  <c r="F117" i="1"/>
  <c r="G117" i="1"/>
  <c r="H117" i="1"/>
  <c r="F118" i="1"/>
  <c r="G118" i="1"/>
  <c r="H118" i="1"/>
  <c r="F119" i="1"/>
  <c r="G119" i="1"/>
  <c r="H119" i="1"/>
  <c r="F120" i="1"/>
  <c r="G120" i="1"/>
  <c r="H120" i="1"/>
  <c r="F121" i="1"/>
  <c r="G121" i="1"/>
  <c r="H121" i="1"/>
  <c r="F122" i="1"/>
  <c r="G122" i="1"/>
  <c r="H122" i="1"/>
  <c r="F123" i="1"/>
  <c r="G123" i="1"/>
  <c r="H123" i="1"/>
  <c r="F124" i="1"/>
  <c r="G124" i="1"/>
  <c r="H124" i="1"/>
  <c r="F125" i="1"/>
  <c r="G125" i="1"/>
  <c r="H125" i="1"/>
  <c r="F126" i="1"/>
  <c r="G126" i="1"/>
  <c r="H126" i="1"/>
  <c r="F127" i="1"/>
  <c r="G127" i="1"/>
  <c r="H127" i="1"/>
  <c r="F128" i="1"/>
  <c r="G128" i="1"/>
  <c r="H128" i="1"/>
  <c r="F129" i="1"/>
  <c r="G129" i="1"/>
  <c r="H129" i="1"/>
  <c r="F130" i="1"/>
  <c r="G130" i="1"/>
  <c r="H130" i="1"/>
  <c r="F131" i="1"/>
  <c r="G131" i="1"/>
  <c r="H131" i="1"/>
  <c r="F132" i="1"/>
  <c r="G132" i="1"/>
  <c r="H132" i="1"/>
  <c r="F133" i="1"/>
  <c r="G133" i="1"/>
  <c r="H133" i="1"/>
  <c r="F134" i="1"/>
  <c r="G134" i="1"/>
  <c r="H134" i="1"/>
  <c r="F135" i="1"/>
  <c r="G135" i="1"/>
  <c r="H135" i="1"/>
  <c r="F136" i="1"/>
  <c r="G136" i="1"/>
  <c r="H136" i="1"/>
  <c r="F137" i="1"/>
  <c r="G137" i="1"/>
  <c r="H137" i="1"/>
  <c r="F138" i="1"/>
  <c r="G138" i="1"/>
  <c r="H138" i="1"/>
  <c r="F139" i="1"/>
  <c r="G139" i="1"/>
  <c r="H139" i="1"/>
  <c r="F140" i="1"/>
  <c r="G140" i="1"/>
  <c r="H140" i="1"/>
  <c r="F141" i="1"/>
  <c r="G141" i="1"/>
  <c r="H141" i="1"/>
  <c r="F142" i="1"/>
  <c r="G142" i="1"/>
  <c r="H142" i="1"/>
  <c r="F143" i="1"/>
  <c r="G143" i="1"/>
  <c r="H143" i="1"/>
  <c r="F144" i="1"/>
  <c r="G144" i="1"/>
  <c r="H144" i="1"/>
  <c r="F145" i="1"/>
  <c r="G145" i="1"/>
  <c r="H145" i="1"/>
  <c r="F146" i="1"/>
  <c r="G146" i="1"/>
  <c r="H146" i="1"/>
  <c r="F147" i="1"/>
  <c r="G147" i="1"/>
  <c r="H147" i="1"/>
  <c r="F148" i="1"/>
  <c r="G148" i="1"/>
  <c r="H148" i="1"/>
  <c r="F149" i="1"/>
  <c r="G149" i="1"/>
  <c r="H149" i="1"/>
  <c r="F150" i="1"/>
  <c r="G150" i="1"/>
  <c r="H150" i="1"/>
  <c r="F151" i="1"/>
  <c r="G151" i="1"/>
  <c r="H151" i="1"/>
  <c r="F152" i="1"/>
  <c r="G152" i="1"/>
  <c r="H152" i="1"/>
  <c r="F153" i="1"/>
  <c r="G153" i="1"/>
  <c r="H153" i="1"/>
  <c r="F154" i="1"/>
  <c r="G154" i="1"/>
  <c r="H154" i="1"/>
  <c r="F155" i="1"/>
  <c r="G155" i="1"/>
  <c r="H155" i="1"/>
  <c r="F156" i="1"/>
  <c r="G156" i="1"/>
  <c r="H156" i="1"/>
  <c r="F157" i="1"/>
  <c r="G157" i="1"/>
  <c r="H157" i="1"/>
  <c r="F158" i="1"/>
  <c r="G158" i="1"/>
  <c r="H158" i="1"/>
  <c r="F159" i="1"/>
  <c r="G159" i="1"/>
  <c r="H159" i="1"/>
  <c r="F160" i="1"/>
  <c r="G160" i="1"/>
  <c r="H160" i="1"/>
  <c r="F161" i="1"/>
  <c r="G161" i="1"/>
  <c r="H161" i="1"/>
  <c r="F162" i="1"/>
  <c r="G162" i="1"/>
  <c r="H162" i="1"/>
  <c r="F163" i="1"/>
  <c r="G163" i="1"/>
  <c r="H163" i="1"/>
  <c r="F164" i="1"/>
  <c r="G164" i="1"/>
  <c r="H164" i="1"/>
  <c r="F165" i="1"/>
  <c r="G165" i="1"/>
  <c r="H165" i="1"/>
  <c r="F166" i="1"/>
  <c r="G166" i="1"/>
  <c r="H166" i="1"/>
  <c r="F167" i="1"/>
  <c r="G167" i="1"/>
  <c r="H167" i="1"/>
  <c r="F168" i="1"/>
  <c r="G168" i="1"/>
  <c r="H168" i="1"/>
  <c r="F169" i="1"/>
  <c r="G169" i="1"/>
  <c r="H169" i="1"/>
  <c r="F170" i="1"/>
  <c r="G170" i="1"/>
  <c r="H170" i="1"/>
  <c r="F171" i="1"/>
  <c r="G171" i="1"/>
  <c r="H171" i="1"/>
  <c r="F172" i="1"/>
  <c r="G172" i="1"/>
  <c r="H172" i="1"/>
  <c r="F173" i="1"/>
  <c r="G173" i="1"/>
  <c r="H173" i="1"/>
  <c r="F174" i="1"/>
  <c r="G174" i="1"/>
  <c r="H174" i="1"/>
  <c r="F175" i="1"/>
  <c r="G175" i="1"/>
  <c r="H175" i="1"/>
  <c r="F176" i="1"/>
  <c r="G176" i="1"/>
  <c r="H176" i="1"/>
  <c r="F177" i="1"/>
  <c r="G177" i="1"/>
  <c r="H177" i="1"/>
  <c r="F178" i="1"/>
  <c r="G178" i="1"/>
  <c r="H178" i="1"/>
  <c r="F179" i="1"/>
  <c r="G179" i="1"/>
  <c r="H179" i="1"/>
  <c r="F180" i="1"/>
  <c r="G180" i="1"/>
  <c r="H180" i="1"/>
  <c r="F181" i="1"/>
  <c r="G181" i="1"/>
  <c r="H181" i="1"/>
  <c r="F182" i="1"/>
  <c r="G182" i="1"/>
  <c r="H182" i="1"/>
  <c r="F183" i="1"/>
  <c r="G183" i="1"/>
  <c r="H183" i="1"/>
  <c r="F184" i="1"/>
  <c r="G184" i="1"/>
  <c r="H184" i="1"/>
  <c r="F185" i="1"/>
  <c r="G185" i="1"/>
  <c r="H185" i="1"/>
  <c r="F186" i="1"/>
  <c r="G186" i="1"/>
  <c r="H186" i="1"/>
  <c r="F187" i="1"/>
  <c r="G187" i="1"/>
  <c r="H187" i="1"/>
  <c r="F188" i="1"/>
  <c r="G188" i="1"/>
  <c r="H188" i="1"/>
  <c r="F189" i="1"/>
  <c r="G189" i="1"/>
  <c r="H189" i="1"/>
  <c r="F190" i="1"/>
  <c r="G190" i="1"/>
  <c r="H190" i="1"/>
  <c r="F191" i="1"/>
  <c r="G191" i="1"/>
  <c r="H191" i="1"/>
  <c r="F192" i="1"/>
  <c r="G192" i="1"/>
  <c r="H192" i="1"/>
  <c r="F193" i="1"/>
  <c r="G193" i="1"/>
  <c r="H193" i="1"/>
  <c r="F194" i="1"/>
  <c r="G194" i="1"/>
  <c r="H194" i="1"/>
  <c r="F195" i="1"/>
  <c r="G195" i="1"/>
  <c r="H195" i="1"/>
  <c r="F196" i="1"/>
  <c r="G196" i="1"/>
  <c r="H196" i="1"/>
  <c r="F197" i="1"/>
  <c r="G197" i="1"/>
  <c r="H197" i="1"/>
  <c r="F198" i="1"/>
  <c r="G198" i="1"/>
  <c r="H198" i="1"/>
  <c r="F199" i="1"/>
  <c r="G199" i="1"/>
  <c r="H199" i="1"/>
  <c r="F200" i="1"/>
  <c r="G200" i="1"/>
  <c r="H200" i="1"/>
  <c r="F201" i="1"/>
  <c r="G201" i="1"/>
  <c r="H201" i="1"/>
  <c r="F202" i="1"/>
  <c r="G202" i="1"/>
  <c r="H202" i="1"/>
  <c r="H3" i="1"/>
  <c r="G3" i="1"/>
  <c r="F3" i="1"/>
  <c r="B26" i="1"/>
  <c r="C26" i="1"/>
  <c r="D26" i="1"/>
  <c r="B27" i="1"/>
  <c r="C27" i="1"/>
  <c r="D27" i="1"/>
  <c r="B28" i="1"/>
  <c r="C28" i="1"/>
  <c r="D28" i="1"/>
  <c r="B29" i="1"/>
  <c r="C29" i="1"/>
  <c r="D29" i="1"/>
  <c r="B30" i="1"/>
  <c r="C30" i="1"/>
  <c r="D30" i="1"/>
  <c r="B31" i="1"/>
  <c r="C31" i="1"/>
  <c r="D31" i="1"/>
  <c r="B32" i="1"/>
  <c r="C32" i="1"/>
  <c r="D32" i="1"/>
  <c r="B33" i="1"/>
  <c r="C33" i="1"/>
  <c r="D33" i="1"/>
  <c r="B34" i="1"/>
  <c r="C34" i="1"/>
  <c r="D34" i="1"/>
  <c r="B35" i="1"/>
  <c r="C35" i="1"/>
  <c r="D35" i="1"/>
  <c r="B36" i="1"/>
  <c r="C36" i="1"/>
  <c r="D36" i="1"/>
  <c r="B37" i="1"/>
  <c r="C37" i="1"/>
  <c r="D37" i="1"/>
  <c r="B38" i="1"/>
  <c r="C38" i="1"/>
  <c r="D38" i="1"/>
  <c r="B39" i="1"/>
  <c r="C39" i="1"/>
  <c r="D39" i="1"/>
  <c r="B40" i="1"/>
  <c r="C40" i="1"/>
  <c r="D40" i="1"/>
  <c r="B41" i="1"/>
  <c r="C41" i="1"/>
  <c r="D41" i="1"/>
  <c r="B42" i="1"/>
  <c r="C42" i="1"/>
  <c r="D42" i="1"/>
  <c r="B43" i="1"/>
  <c r="C43" i="1"/>
  <c r="D43" i="1"/>
  <c r="B44" i="1"/>
  <c r="C44" i="1"/>
  <c r="D44" i="1"/>
  <c r="B45" i="1"/>
  <c r="C45" i="1"/>
  <c r="D45" i="1"/>
  <c r="B46" i="1"/>
  <c r="C46" i="1"/>
  <c r="D46" i="1"/>
  <c r="B47" i="1"/>
  <c r="C47" i="1"/>
  <c r="D47" i="1"/>
  <c r="B48" i="1"/>
  <c r="C48" i="1"/>
  <c r="D48" i="1"/>
  <c r="B49" i="1"/>
  <c r="C49" i="1"/>
  <c r="D49" i="1"/>
  <c r="B50" i="1"/>
  <c r="C50" i="1"/>
  <c r="D50" i="1"/>
  <c r="B51" i="1"/>
  <c r="C51" i="1"/>
  <c r="D51" i="1"/>
  <c r="B52" i="1"/>
  <c r="C52" i="1"/>
  <c r="D52" i="1"/>
  <c r="B53" i="1"/>
  <c r="C53" i="1"/>
  <c r="D53" i="1"/>
  <c r="B54" i="1"/>
  <c r="C54" i="1"/>
  <c r="D54" i="1"/>
  <c r="B55" i="1"/>
  <c r="C55" i="1"/>
  <c r="D55" i="1"/>
  <c r="B56" i="1"/>
  <c r="C56" i="1"/>
  <c r="D56" i="1"/>
  <c r="B57" i="1"/>
  <c r="C57" i="1"/>
  <c r="D57" i="1"/>
  <c r="B58" i="1"/>
  <c r="C58" i="1"/>
  <c r="D58" i="1"/>
  <c r="B59" i="1"/>
  <c r="C59" i="1"/>
  <c r="D59" i="1"/>
  <c r="B60" i="1"/>
  <c r="C60" i="1"/>
  <c r="D60" i="1"/>
  <c r="B61" i="1"/>
  <c r="C61" i="1"/>
  <c r="D61" i="1"/>
  <c r="B62" i="1"/>
  <c r="C62" i="1"/>
  <c r="D62" i="1"/>
  <c r="B63" i="1"/>
  <c r="C63" i="1"/>
  <c r="D63" i="1"/>
  <c r="B64" i="1"/>
  <c r="C64" i="1"/>
  <c r="D64" i="1"/>
  <c r="B65" i="1"/>
  <c r="C65" i="1"/>
  <c r="D65" i="1"/>
  <c r="B66" i="1"/>
  <c r="C66" i="1"/>
  <c r="D66" i="1"/>
  <c r="B67" i="1"/>
  <c r="C67" i="1"/>
  <c r="D67" i="1"/>
  <c r="B68" i="1"/>
  <c r="C68" i="1"/>
  <c r="D68" i="1"/>
  <c r="B69" i="1"/>
  <c r="C69" i="1"/>
  <c r="D69" i="1"/>
  <c r="B70" i="1"/>
  <c r="C70" i="1"/>
  <c r="D70" i="1"/>
  <c r="B71" i="1"/>
  <c r="C71" i="1"/>
  <c r="D71" i="1"/>
  <c r="B72" i="1"/>
  <c r="C72" i="1"/>
  <c r="D72" i="1"/>
  <c r="B73" i="1"/>
  <c r="C73" i="1"/>
  <c r="D73" i="1"/>
  <c r="B74" i="1"/>
  <c r="C74" i="1"/>
  <c r="D74" i="1"/>
  <c r="B75" i="1"/>
  <c r="C75" i="1"/>
  <c r="D75" i="1"/>
  <c r="B76" i="1"/>
  <c r="C76" i="1"/>
  <c r="D76" i="1"/>
  <c r="B77" i="1"/>
  <c r="C77" i="1"/>
  <c r="D77" i="1"/>
  <c r="B78" i="1"/>
  <c r="C78" i="1"/>
  <c r="D78" i="1"/>
  <c r="B79" i="1"/>
  <c r="C79" i="1"/>
  <c r="D79" i="1"/>
  <c r="B80" i="1"/>
  <c r="C80" i="1"/>
  <c r="D80" i="1"/>
  <c r="B81" i="1"/>
  <c r="C81" i="1"/>
  <c r="D81" i="1"/>
  <c r="B82" i="1"/>
  <c r="C82" i="1"/>
  <c r="D82" i="1"/>
  <c r="B83" i="1"/>
  <c r="C83" i="1"/>
  <c r="D83" i="1"/>
  <c r="B84" i="1"/>
  <c r="C84" i="1"/>
  <c r="D84" i="1"/>
  <c r="B85" i="1"/>
  <c r="C85" i="1"/>
  <c r="D85" i="1"/>
  <c r="B86" i="1"/>
  <c r="C86" i="1"/>
  <c r="D86" i="1"/>
  <c r="B87" i="1"/>
  <c r="C87" i="1"/>
  <c r="D87" i="1"/>
  <c r="B88" i="1"/>
  <c r="C88" i="1"/>
  <c r="D88" i="1"/>
  <c r="B89" i="1"/>
  <c r="C89" i="1"/>
  <c r="D89" i="1"/>
  <c r="B90" i="1"/>
  <c r="C90" i="1"/>
  <c r="D90" i="1"/>
  <c r="B91" i="1"/>
  <c r="C91" i="1"/>
  <c r="D91" i="1"/>
  <c r="B92" i="1"/>
  <c r="C92" i="1"/>
  <c r="D92" i="1"/>
  <c r="B93" i="1"/>
  <c r="C93" i="1"/>
  <c r="D93" i="1"/>
  <c r="B94" i="1"/>
  <c r="C94" i="1"/>
  <c r="D94" i="1"/>
  <c r="B95" i="1"/>
  <c r="C95" i="1"/>
  <c r="D95" i="1"/>
  <c r="B96" i="1"/>
  <c r="C96" i="1"/>
  <c r="D96" i="1"/>
  <c r="B97" i="1"/>
  <c r="C97" i="1"/>
  <c r="D97" i="1"/>
  <c r="B98" i="1"/>
  <c r="C98" i="1"/>
  <c r="D98" i="1"/>
  <c r="B99" i="1"/>
  <c r="C99" i="1"/>
  <c r="D99" i="1"/>
  <c r="B100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C104" i="1"/>
  <c r="D104" i="1"/>
  <c r="B105" i="1"/>
  <c r="C105" i="1"/>
  <c r="D105" i="1"/>
  <c r="B106" i="1"/>
  <c r="C106" i="1"/>
  <c r="D106" i="1"/>
  <c r="B107" i="1"/>
  <c r="C107" i="1"/>
  <c r="D107" i="1"/>
  <c r="B108" i="1"/>
  <c r="C108" i="1"/>
  <c r="D108" i="1"/>
  <c r="B109" i="1"/>
  <c r="C109" i="1"/>
  <c r="D109" i="1"/>
  <c r="B110" i="1"/>
  <c r="C110" i="1"/>
  <c r="D110" i="1"/>
  <c r="B111" i="1"/>
  <c r="C111" i="1"/>
  <c r="D111" i="1"/>
  <c r="B112" i="1"/>
  <c r="C112" i="1"/>
  <c r="D112" i="1"/>
  <c r="B113" i="1"/>
  <c r="C113" i="1"/>
  <c r="D113" i="1"/>
  <c r="B114" i="1"/>
  <c r="C114" i="1"/>
  <c r="D114" i="1"/>
  <c r="B115" i="1"/>
  <c r="C115" i="1"/>
  <c r="D115" i="1"/>
  <c r="B116" i="1"/>
  <c r="C116" i="1"/>
  <c r="D116" i="1"/>
  <c r="B117" i="1"/>
  <c r="C117" i="1"/>
  <c r="D117" i="1"/>
  <c r="B118" i="1"/>
  <c r="C118" i="1"/>
  <c r="D118" i="1"/>
  <c r="B119" i="1"/>
  <c r="C119" i="1"/>
  <c r="D119" i="1"/>
  <c r="B120" i="1"/>
  <c r="C120" i="1"/>
  <c r="D120" i="1"/>
  <c r="B121" i="1"/>
  <c r="C121" i="1"/>
  <c r="D121" i="1"/>
  <c r="B122" i="1"/>
  <c r="C122" i="1"/>
  <c r="D122" i="1"/>
  <c r="B123" i="1"/>
  <c r="C123" i="1"/>
  <c r="D123" i="1"/>
  <c r="B124" i="1"/>
  <c r="C124" i="1"/>
  <c r="D124" i="1"/>
  <c r="B125" i="1"/>
  <c r="C125" i="1"/>
  <c r="D125" i="1"/>
  <c r="B126" i="1"/>
  <c r="C126" i="1"/>
  <c r="D126" i="1"/>
  <c r="B127" i="1"/>
  <c r="C127" i="1"/>
  <c r="D127" i="1"/>
  <c r="B128" i="1"/>
  <c r="C128" i="1"/>
  <c r="D128" i="1"/>
  <c r="B129" i="1"/>
  <c r="C129" i="1"/>
  <c r="D129" i="1"/>
  <c r="B130" i="1"/>
  <c r="C130" i="1"/>
  <c r="D130" i="1"/>
  <c r="B131" i="1"/>
  <c r="C131" i="1"/>
  <c r="D131" i="1"/>
  <c r="B132" i="1"/>
  <c r="C132" i="1"/>
  <c r="D132" i="1"/>
  <c r="B133" i="1"/>
  <c r="C133" i="1"/>
  <c r="D133" i="1"/>
  <c r="B134" i="1"/>
  <c r="C134" i="1"/>
  <c r="D134" i="1"/>
  <c r="B135" i="1"/>
  <c r="C135" i="1"/>
  <c r="D135" i="1"/>
  <c r="B136" i="1"/>
  <c r="C136" i="1"/>
  <c r="D136" i="1"/>
  <c r="B137" i="1"/>
  <c r="C137" i="1"/>
  <c r="D137" i="1"/>
  <c r="B138" i="1"/>
  <c r="C138" i="1"/>
  <c r="D138" i="1"/>
  <c r="B139" i="1"/>
  <c r="C139" i="1"/>
  <c r="D139" i="1"/>
  <c r="B140" i="1"/>
  <c r="C140" i="1"/>
  <c r="D140" i="1"/>
  <c r="B141" i="1"/>
  <c r="C141" i="1"/>
  <c r="D141" i="1"/>
  <c r="B142" i="1"/>
  <c r="C142" i="1"/>
  <c r="D142" i="1"/>
  <c r="B143" i="1"/>
  <c r="C143" i="1"/>
  <c r="D143" i="1"/>
  <c r="B144" i="1"/>
  <c r="C144" i="1"/>
  <c r="D144" i="1"/>
  <c r="B145" i="1"/>
  <c r="C145" i="1"/>
  <c r="D145" i="1"/>
  <c r="B146" i="1"/>
  <c r="C146" i="1"/>
  <c r="D146" i="1"/>
  <c r="B147" i="1"/>
  <c r="C147" i="1"/>
  <c r="D147" i="1"/>
  <c r="B148" i="1"/>
  <c r="C148" i="1"/>
  <c r="D148" i="1"/>
  <c r="B149" i="1"/>
  <c r="C149" i="1"/>
  <c r="D149" i="1"/>
  <c r="B150" i="1"/>
  <c r="C150" i="1"/>
  <c r="D150" i="1"/>
  <c r="B151" i="1"/>
  <c r="C151" i="1"/>
  <c r="D151" i="1"/>
  <c r="B152" i="1"/>
  <c r="C152" i="1"/>
  <c r="D152" i="1"/>
  <c r="B153" i="1"/>
  <c r="C153" i="1"/>
  <c r="D153" i="1"/>
  <c r="B154" i="1"/>
  <c r="C154" i="1"/>
  <c r="D154" i="1"/>
  <c r="B155" i="1"/>
  <c r="C155" i="1"/>
  <c r="D155" i="1"/>
  <c r="B156" i="1"/>
  <c r="C156" i="1"/>
  <c r="D156" i="1"/>
  <c r="B157" i="1"/>
  <c r="C157" i="1"/>
  <c r="D157" i="1"/>
  <c r="B158" i="1"/>
  <c r="C158" i="1"/>
  <c r="D158" i="1"/>
  <c r="B159" i="1"/>
  <c r="C159" i="1"/>
  <c r="D159" i="1"/>
  <c r="B160" i="1"/>
  <c r="C160" i="1"/>
  <c r="D160" i="1"/>
  <c r="B161" i="1"/>
  <c r="C161" i="1"/>
  <c r="D161" i="1"/>
  <c r="B162" i="1"/>
  <c r="C162" i="1"/>
  <c r="D162" i="1"/>
  <c r="B163" i="1"/>
  <c r="C163" i="1"/>
  <c r="D163" i="1"/>
  <c r="B164" i="1"/>
  <c r="C164" i="1"/>
  <c r="D164" i="1"/>
  <c r="B165" i="1"/>
  <c r="C165" i="1"/>
  <c r="D165" i="1"/>
  <c r="B166" i="1"/>
  <c r="C166" i="1"/>
  <c r="D166" i="1"/>
  <c r="B167" i="1"/>
  <c r="C167" i="1"/>
  <c r="D167" i="1"/>
  <c r="B168" i="1"/>
  <c r="C168" i="1"/>
  <c r="D168" i="1"/>
  <c r="B169" i="1"/>
  <c r="C169" i="1"/>
  <c r="D169" i="1"/>
  <c r="B170" i="1"/>
  <c r="C170" i="1"/>
  <c r="D170" i="1"/>
  <c r="B171" i="1"/>
  <c r="C171" i="1"/>
  <c r="D171" i="1"/>
  <c r="B172" i="1"/>
  <c r="C172" i="1"/>
  <c r="D172" i="1"/>
  <c r="B173" i="1"/>
  <c r="C173" i="1"/>
  <c r="D173" i="1"/>
  <c r="B174" i="1"/>
  <c r="C174" i="1"/>
  <c r="D174" i="1"/>
  <c r="B175" i="1"/>
  <c r="C175" i="1"/>
  <c r="D175" i="1"/>
  <c r="B176" i="1"/>
  <c r="C176" i="1"/>
  <c r="D176" i="1"/>
  <c r="B177" i="1"/>
  <c r="C177" i="1"/>
  <c r="D177" i="1"/>
  <c r="B178" i="1"/>
  <c r="C178" i="1"/>
  <c r="D178" i="1"/>
  <c r="B179" i="1"/>
  <c r="C179" i="1"/>
  <c r="D179" i="1"/>
  <c r="B180" i="1"/>
  <c r="C180" i="1"/>
  <c r="D180" i="1"/>
  <c r="B181" i="1"/>
  <c r="C181" i="1"/>
  <c r="D181" i="1"/>
  <c r="B182" i="1"/>
  <c r="C182" i="1"/>
  <c r="D182" i="1"/>
  <c r="B183" i="1"/>
  <c r="C183" i="1"/>
  <c r="D183" i="1"/>
  <c r="B184" i="1"/>
  <c r="C184" i="1"/>
  <c r="D184" i="1"/>
  <c r="B185" i="1"/>
  <c r="C185" i="1"/>
  <c r="D185" i="1"/>
  <c r="B186" i="1"/>
  <c r="C186" i="1"/>
  <c r="D186" i="1"/>
  <c r="B187" i="1"/>
  <c r="C187" i="1"/>
  <c r="D187" i="1"/>
  <c r="B188" i="1"/>
  <c r="C188" i="1"/>
  <c r="D188" i="1"/>
  <c r="B189" i="1"/>
  <c r="C189" i="1"/>
  <c r="D189" i="1"/>
  <c r="B190" i="1"/>
  <c r="C190" i="1"/>
  <c r="D190" i="1"/>
  <c r="B191" i="1"/>
  <c r="C191" i="1"/>
  <c r="D191" i="1"/>
  <c r="B192" i="1"/>
  <c r="C192" i="1"/>
  <c r="D192" i="1"/>
  <c r="B193" i="1"/>
  <c r="C193" i="1"/>
  <c r="D193" i="1"/>
  <c r="B194" i="1"/>
  <c r="C194" i="1"/>
  <c r="D194" i="1"/>
  <c r="B195" i="1"/>
  <c r="C195" i="1"/>
  <c r="D195" i="1"/>
  <c r="B196" i="1"/>
  <c r="C196" i="1"/>
  <c r="D196" i="1"/>
  <c r="B197" i="1"/>
  <c r="C197" i="1"/>
  <c r="D197" i="1"/>
  <c r="B198" i="1"/>
  <c r="C198" i="1"/>
  <c r="D198" i="1"/>
  <c r="B199" i="1"/>
  <c r="C199" i="1"/>
  <c r="D199" i="1"/>
  <c r="B200" i="1"/>
  <c r="C200" i="1"/>
  <c r="D200" i="1"/>
  <c r="B201" i="1"/>
  <c r="C201" i="1"/>
  <c r="D201" i="1"/>
  <c r="B202" i="1"/>
  <c r="C202" i="1"/>
  <c r="D202" i="1"/>
  <c r="B4" i="1"/>
  <c r="C4" i="1"/>
  <c r="D4" i="1"/>
  <c r="B5" i="1"/>
  <c r="C5" i="1"/>
  <c r="D5" i="1"/>
  <c r="B6" i="1"/>
  <c r="C6" i="1"/>
  <c r="D6" i="1"/>
  <c r="B7" i="1"/>
  <c r="C7" i="1"/>
  <c r="D7" i="1"/>
  <c r="B8" i="1"/>
  <c r="C8" i="1"/>
  <c r="D8" i="1"/>
  <c r="B9" i="1"/>
  <c r="C9" i="1"/>
  <c r="D9" i="1"/>
  <c r="B10" i="1"/>
  <c r="C10" i="1"/>
  <c r="D10" i="1"/>
  <c r="B11" i="1"/>
  <c r="C11" i="1"/>
  <c r="D11" i="1"/>
  <c r="B12" i="1"/>
  <c r="C12" i="1"/>
  <c r="D12" i="1"/>
  <c r="B13" i="1"/>
  <c r="C13" i="1"/>
  <c r="D13" i="1"/>
  <c r="B14" i="1"/>
  <c r="C14" i="1"/>
  <c r="D14" i="1"/>
  <c r="B15" i="1"/>
  <c r="C15" i="1"/>
  <c r="D15" i="1"/>
  <c r="B16" i="1"/>
  <c r="C16" i="1"/>
  <c r="D16" i="1"/>
  <c r="B17" i="1"/>
  <c r="C17" i="1"/>
  <c r="D17" i="1"/>
  <c r="B18" i="1"/>
  <c r="C18" i="1"/>
  <c r="D18" i="1"/>
  <c r="B19" i="1"/>
  <c r="C19" i="1"/>
  <c r="D19" i="1"/>
  <c r="B20" i="1"/>
  <c r="C20" i="1"/>
  <c r="D20" i="1"/>
  <c r="B21" i="1"/>
  <c r="C21" i="1"/>
  <c r="D21" i="1"/>
  <c r="B22" i="1"/>
  <c r="C22" i="1"/>
  <c r="D22" i="1"/>
  <c r="B23" i="1"/>
  <c r="C23" i="1"/>
  <c r="D23" i="1"/>
  <c r="B24" i="1"/>
  <c r="C24" i="1"/>
  <c r="D24" i="1"/>
  <c r="B25" i="1"/>
  <c r="C25" i="1"/>
  <c r="D25" i="1"/>
  <c r="D3" i="1"/>
  <c r="C3" i="1"/>
  <c r="B3" i="1"/>
  <c r="U3" i="1"/>
  <c r="V3" i="1"/>
  <c r="T3" i="1"/>
</calcChain>
</file>

<file path=xl/sharedStrings.xml><?xml version="1.0" encoding="utf-8"?>
<sst xmlns="http://schemas.openxmlformats.org/spreadsheetml/2006/main" count="132" uniqueCount="69">
  <si>
    <t>n_estimators</t>
  </si>
  <si>
    <t>max_depth</t>
  </si>
  <si>
    <t>learning_rate</t>
  </si>
  <si>
    <t>XGB</t>
  </si>
  <si>
    <t>min_samples_split</t>
  </si>
  <si>
    <t>min_samples_leaf</t>
  </si>
  <si>
    <t>KNNC</t>
  </si>
  <si>
    <t>n_neighbors</t>
  </si>
  <si>
    <t>p</t>
  </si>
  <si>
    <t>leaf_size</t>
  </si>
  <si>
    <t>RFC</t>
  </si>
  <si>
    <t>LR</t>
  </si>
  <si>
    <t>C</t>
  </si>
  <si>
    <t>max_iter</t>
  </si>
  <si>
    <t>DTC/DTR</t>
  </si>
  <si>
    <t>HGBR</t>
  </si>
  <si>
    <t>SVC</t>
  </si>
  <si>
    <t>gamma</t>
  </si>
  <si>
    <t>alpha</t>
  </si>
  <si>
    <t>tol</t>
  </si>
  <si>
    <t>Lasso</t>
  </si>
  <si>
    <t>q</t>
  </si>
  <si>
    <t>QR</t>
  </si>
  <si>
    <t>reg_param</t>
  </si>
  <si>
    <t>QDA</t>
  </si>
  <si>
    <t>num_leaves</t>
  </si>
  <si>
    <t>LGBC</t>
  </si>
  <si>
    <t>max_iter_predict</t>
  </si>
  <si>
    <t>n_restarts_optimizer</t>
  </si>
  <si>
    <t>random_state</t>
  </si>
  <si>
    <t>GPC</t>
  </si>
  <si>
    <t>SGB/GBR/GBC</t>
  </si>
  <si>
    <t>epsilon</t>
  </si>
  <si>
    <t>HR</t>
  </si>
  <si>
    <t>kernel</t>
  </si>
  <si>
    <t>KRR</t>
  </si>
  <si>
    <t>l1_ratio</t>
  </si>
  <si>
    <t>ENR</t>
  </si>
  <si>
    <t>iterations</t>
  </si>
  <si>
    <t>depth</t>
  </si>
  <si>
    <t>CATR</t>
  </si>
  <si>
    <t>GPR</t>
  </si>
  <si>
    <t>alpha_1</t>
  </si>
  <si>
    <t>lambda_1</t>
  </si>
  <si>
    <t>SBR</t>
  </si>
  <si>
    <t>eta0</t>
  </si>
  <si>
    <t>subsample</t>
  </si>
  <si>
    <t>colsample_bytree</t>
  </si>
  <si>
    <t>quantile</t>
  </si>
  <si>
    <t>fit_intercept</t>
  </si>
  <si>
    <t>XGBR</t>
  </si>
  <si>
    <t>degree</t>
  </si>
  <si>
    <t>SVR</t>
  </si>
  <si>
    <t>shrinkage</t>
  </si>
  <si>
    <t>LDA</t>
  </si>
  <si>
    <t>MLR</t>
  </si>
  <si>
    <t>loss</t>
  </si>
  <si>
    <t>ADAR</t>
  </si>
  <si>
    <t>LSSVC</t>
  </si>
  <si>
    <t>ADAC</t>
  </si>
  <si>
    <t>Parameter</t>
  </si>
  <si>
    <t>Type</t>
  </si>
  <si>
    <t>Search Space</t>
  </si>
  <si>
    <t>float</t>
  </si>
  <si>
    <t>0.01, 0.20</t>
  </si>
  <si>
    <t>int</t>
  </si>
  <si>
    <t>50, 300</t>
  </si>
  <si>
    <t>1, 10</t>
  </si>
  <si>
    <t>priors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</si>
</sst>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0"/>
      <color theme="1"/>
      <name val="Arial Unicode MS"/>
      <family val="2"/>
    </font>
    <font>
      <b/>
      <sz val="1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A9D08E"/>
        <bgColor rgb="FFA9D08E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4">
    <xf numFmtId="0" fontId="0" fillId="0" borderId="0"/>
    <xf numFmtId="0" fontId="3" fillId="4" borderId="1" applyNumberFormat="0" applyAlignment="0" applyProtection="0"/>
    <xf numFmtId="0" fontId="1" fillId="2" borderId="0"/>
    <xf numFmtId="0" fontId="2" fillId="3" borderId="0"/>
  </cellStyleXfs>
  <cellXfs count="10">
    <xf numFmtId="0" fontId="0" fillId="0" borderId="0" xfId="0"/>
    <xf numFmtId="0" fontId="4" fillId="0" borderId="0" xfId="0" applyFont="1" applyAlignment="1">
      <alignment vertical="center" wrapText="1"/>
    </xf>
    <xf numFmtId="0" fontId="5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4" borderId="1" xfId="1" applyAlignment="1">
      <alignment horizontal="center"/>
    </xf>
    <xf numFmtId="0" fontId="3" fillId="4" borderId="2" xfId="1" applyBorder="1" applyAlignment="1">
      <alignment horizontal="center"/>
    </xf>
    <xf numFmtId="0" fontId="3" fillId="4" borderId="3" xfId="1" applyBorder="1" applyAlignment="1">
      <alignment horizontal="center"/>
    </xf>
    <xf numFmtId="0" fontId="3" fillId="4" borderId="5" xfId="1" applyBorder="1" applyAlignment="1">
      <alignment horizontal="center"/>
    </xf>
    <xf numFmtId="0" fontId="3" fillId="4" borderId="0" xfId="1" applyBorder="1" applyAlignment="1">
      <alignment horizontal="center"/>
    </xf>
    <xf numFmtId="0" fontId="3" fillId="4" borderId="4" xfId="1" applyBorder="1" applyAlignment="1">
      <alignment horizontal="center"/>
    </xf>
  </cellXfs>
  <cellStyles count="4">
    <cellStyle name="Calculation" xfId="1" builtinId="22"/>
    <cellStyle name="Good 2" xfId="2" xr:uid="{ADA26BFB-D622-446A-91DE-FAA7BF09EC7E}"/>
    <cellStyle name="Neutral 2" xfId="3" xr:uid="{5727AFA4-E9D0-48FA-A088-E47DA4341A0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U202"/>
  <sheetViews>
    <sheetView tabSelected="1" zoomScale="70" zoomScaleNormal="70" workbookViewId="0">
      <selection activeCell="J2" sqref="J2:L3"/>
    </sheetView>
  </sheetViews>
  <sheetFormatPr defaultRowHeight="15" x14ac:dyDescent="0.25"/>
  <cols>
    <col min="43" max="43" width="23.85546875" customWidth="1"/>
    <col min="44" max="44" width="25.7109375" customWidth="1"/>
    <col min="102" max="102" width="13" bestFit="1" customWidth="1"/>
  </cols>
  <sheetData>
    <row r="1" spans="2:125" x14ac:dyDescent="0.25">
      <c r="B1" s="4" t="s">
        <v>3</v>
      </c>
      <c r="C1" s="4"/>
      <c r="D1" s="4"/>
      <c r="F1" s="4" t="s">
        <v>14</v>
      </c>
      <c r="G1" s="4"/>
      <c r="H1" s="4"/>
      <c r="I1" s="1"/>
      <c r="J1" s="4" t="s">
        <v>6</v>
      </c>
      <c r="K1" s="4"/>
      <c r="L1" s="4"/>
      <c r="M1" s="1"/>
      <c r="N1" s="5" t="s">
        <v>10</v>
      </c>
      <c r="O1" s="6"/>
      <c r="P1" s="1"/>
      <c r="Q1" s="5" t="s">
        <v>11</v>
      </c>
      <c r="R1" s="6"/>
      <c r="S1" s="1"/>
      <c r="T1" s="4" t="s">
        <v>15</v>
      </c>
      <c r="U1" s="4"/>
      <c r="V1" s="4"/>
      <c r="W1" s="1"/>
      <c r="X1" s="4" t="s">
        <v>16</v>
      </c>
      <c r="Y1" s="4"/>
      <c r="Z1" s="4"/>
      <c r="AB1" s="4" t="s">
        <v>20</v>
      </c>
      <c r="AC1" s="4"/>
      <c r="AD1" s="4"/>
      <c r="AE1" s="1"/>
      <c r="AF1" s="4" t="s">
        <v>22</v>
      </c>
      <c r="AG1" s="4"/>
      <c r="AH1" s="4"/>
      <c r="AJ1" s="5" t="s">
        <v>24</v>
      </c>
      <c r="AK1" s="6"/>
      <c r="AM1" s="5" t="s">
        <v>26</v>
      </c>
      <c r="AN1" s="9"/>
      <c r="AO1" s="9"/>
      <c r="AQ1" s="5" t="s">
        <v>30</v>
      </c>
      <c r="AR1" s="9"/>
      <c r="AS1" s="9"/>
      <c r="AU1" s="5" t="s">
        <v>31</v>
      </c>
      <c r="AV1" s="9"/>
      <c r="AW1" s="9"/>
      <c r="AY1" s="4" t="s">
        <v>33</v>
      </c>
      <c r="AZ1" s="4"/>
      <c r="BA1" s="4"/>
      <c r="BC1" s="4" t="s">
        <v>35</v>
      </c>
      <c r="BD1" s="4"/>
      <c r="BE1" s="4"/>
      <c r="BG1" s="4" t="s">
        <v>37</v>
      </c>
      <c r="BH1" s="4"/>
      <c r="BI1" s="4"/>
      <c r="BK1" s="4" t="s">
        <v>40</v>
      </c>
      <c r="BL1" s="4"/>
      <c r="BM1" s="4"/>
      <c r="BO1" s="5" t="s">
        <v>41</v>
      </c>
      <c r="BP1" s="6"/>
      <c r="BR1" s="4" t="s">
        <v>44</v>
      </c>
      <c r="BS1" s="4"/>
      <c r="BT1" s="4"/>
      <c r="BV1" s="7" t="s">
        <v>37</v>
      </c>
      <c r="BW1" s="8"/>
      <c r="BX1" s="8"/>
      <c r="BY1" s="8"/>
      <c r="BZ1" s="8"/>
      <c r="CB1" s="7" t="s">
        <v>50</v>
      </c>
      <c r="CC1" s="8"/>
      <c r="CD1" s="8"/>
      <c r="CE1" s="8"/>
      <c r="CF1" s="8"/>
      <c r="CH1" s="7" t="s">
        <v>22</v>
      </c>
      <c r="CI1" s="8"/>
      <c r="CJ1" s="8"/>
      <c r="CK1" s="8"/>
      <c r="CL1" s="8"/>
      <c r="CM1" s="3"/>
      <c r="CN1" s="4" t="s">
        <v>52</v>
      </c>
      <c r="CO1" s="4"/>
      <c r="CP1" s="4"/>
      <c r="CR1" s="4" t="s">
        <v>54</v>
      </c>
      <c r="CS1" s="4"/>
      <c r="CT1" s="4"/>
      <c r="CV1" s="4" t="s">
        <v>55</v>
      </c>
      <c r="CW1" s="4"/>
      <c r="CX1" s="4"/>
      <c r="CZ1" s="4" t="s">
        <v>57</v>
      </c>
      <c r="DA1" s="4"/>
      <c r="DB1" s="4"/>
      <c r="DD1" s="4" t="s">
        <v>58</v>
      </c>
      <c r="DE1" s="4"/>
      <c r="DF1" s="4"/>
      <c r="DH1" s="4" t="s">
        <v>59</v>
      </c>
      <c r="DI1" s="4"/>
      <c r="DJ1" s="4"/>
      <c r="DL1" s="4" t="s">
        <v>15</v>
      </c>
      <c r="DM1" s="4"/>
      <c r="DN1" s="4"/>
      <c r="DS1" s="4"/>
      <c r="DT1" s="4"/>
      <c r="DU1" s="4"/>
    </row>
    <row r="2" spans="2:125" x14ac:dyDescent="0.25">
      <c r="B2" s="2" t="s">
        <v>0</v>
      </c>
      <c r="C2" s="2" t="s">
        <v>1</v>
      </c>
      <c r="D2" s="2" t="s">
        <v>2</v>
      </c>
      <c r="F2" s="2" t="s">
        <v>1</v>
      </c>
      <c r="G2" s="2" t="s">
        <v>4</v>
      </c>
      <c r="H2" s="2" t="s">
        <v>5</v>
      </c>
      <c r="I2" s="1"/>
      <c r="J2" s="2" t="s">
        <v>7</v>
      </c>
      <c r="K2" s="2" t="s">
        <v>8</v>
      </c>
      <c r="L2" s="2" t="s">
        <v>9</v>
      </c>
      <c r="M2" s="1"/>
      <c r="N2" s="2" t="s">
        <v>0</v>
      </c>
      <c r="O2" s="2" t="s">
        <v>1</v>
      </c>
      <c r="P2" s="1"/>
      <c r="Q2" s="2" t="s">
        <v>12</v>
      </c>
      <c r="R2" s="2" t="s">
        <v>13</v>
      </c>
      <c r="S2" s="1"/>
      <c r="T2" s="2" t="s">
        <v>2</v>
      </c>
      <c r="U2" s="2" t="s">
        <v>13</v>
      </c>
      <c r="V2" s="2" t="s">
        <v>1</v>
      </c>
      <c r="W2" s="1"/>
      <c r="X2" s="2" t="s">
        <v>12</v>
      </c>
      <c r="Y2" s="2" t="s">
        <v>17</v>
      </c>
      <c r="Z2" s="2" t="s">
        <v>13</v>
      </c>
      <c r="AB2" s="2" t="s">
        <v>18</v>
      </c>
      <c r="AC2" s="2" t="s">
        <v>13</v>
      </c>
      <c r="AD2" s="2" t="s">
        <v>19</v>
      </c>
      <c r="AE2" s="1"/>
      <c r="AF2" s="2" t="s">
        <v>21</v>
      </c>
      <c r="AG2" s="2" t="s">
        <v>13</v>
      </c>
      <c r="AH2" s="2" t="s">
        <v>19</v>
      </c>
      <c r="AJ2" s="2" t="s">
        <v>23</v>
      </c>
      <c r="AK2" s="2" t="s">
        <v>19</v>
      </c>
      <c r="AM2" s="2" t="s">
        <v>2</v>
      </c>
      <c r="AN2" s="2" t="s">
        <v>25</v>
      </c>
      <c r="AO2" s="2" t="s">
        <v>1</v>
      </c>
      <c r="AQ2" s="2" t="s">
        <v>27</v>
      </c>
      <c r="AR2" s="2" t="s">
        <v>28</v>
      </c>
      <c r="AS2" s="2" t="s">
        <v>29</v>
      </c>
      <c r="AU2" s="2" t="s">
        <v>0</v>
      </c>
      <c r="AV2" s="2" t="s">
        <v>1</v>
      </c>
      <c r="AW2" s="2" t="s">
        <v>2</v>
      </c>
      <c r="AY2" s="2" t="s">
        <v>32</v>
      </c>
      <c r="AZ2" s="2" t="s">
        <v>13</v>
      </c>
      <c r="BA2" s="2" t="s">
        <v>18</v>
      </c>
      <c r="BC2" s="2" t="s">
        <v>18</v>
      </c>
      <c r="BD2" s="2" t="s">
        <v>17</v>
      </c>
      <c r="BE2" s="2" t="s">
        <v>34</v>
      </c>
      <c r="BG2" s="2" t="s">
        <v>18</v>
      </c>
      <c r="BH2" s="2" t="s">
        <v>36</v>
      </c>
      <c r="BI2" s="2" t="s">
        <v>13</v>
      </c>
      <c r="BK2" s="2" t="s">
        <v>38</v>
      </c>
      <c r="BL2" s="2" t="s">
        <v>39</v>
      </c>
      <c r="BM2" s="2" t="s">
        <v>2</v>
      </c>
      <c r="BO2" s="2" t="s">
        <v>18</v>
      </c>
      <c r="BP2" s="2" t="s">
        <v>28</v>
      </c>
      <c r="BR2" s="2" t="s">
        <v>42</v>
      </c>
      <c r="BS2" s="2" t="s">
        <v>43</v>
      </c>
      <c r="BT2" s="2" t="s">
        <v>13</v>
      </c>
      <c r="BV2" s="2" t="s">
        <v>18</v>
      </c>
      <c r="BW2" s="2" t="s">
        <v>13</v>
      </c>
      <c r="BX2" s="2" t="s">
        <v>19</v>
      </c>
      <c r="BY2" s="2" t="s">
        <v>45</v>
      </c>
      <c r="BZ2" s="2" t="s">
        <v>36</v>
      </c>
      <c r="CB2" s="2" t="s">
        <v>0</v>
      </c>
      <c r="CC2" s="2" t="s">
        <v>1</v>
      </c>
      <c r="CD2" s="2" t="s">
        <v>2</v>
      </c>
      <c r="CE2" s="2" t="s">
        <v>46</v>
      </c>
      <c r="CF2" s="2" t="s">
        <v>47</v>
      </c>
      <c r="CH2" s="2" t="s">
        <v>18</v>
      </c>
      <c r="CI2" s="2" t="s">
        <v>48</v>
      </c>
      <c r="CJ2" s="2" t="s">
        <v>13</v>
      </c>
      <c r="CK2" s="2" t="s">
        <v>19</v>
      </c>
      <c r="CL2" s="2" t="s">
        <v>49</v>
      </c>
      <c r="CM2" s="3"/>
      <c r="CN2" s="2" t="s">
        <v>12</v>
      </c>
      <c r="CO2" s="2" t="s">
        <v>32</v>
      </c>
      <c r="CP2" s="2" t="s">
        <v>51</v>
      </c>
      <c r="CR2" s="2"/>
      <c r="CS2" s="2" t="s">
        <v>53</v>
      </c>
      <c r="CT2" s="2" t="s">
        <v>19</v>
      </c>
      <c r="CV2" s="2" t="s">
        <v>12</v>
      </c>
      <c r="CW2" s="2" t="s">
        <v>13</v>
      </c>
      <c r="CX2" s="2" t="s">
        <v>19</v>
      </c>
      <c r="CZ2" s="2" t="s">
        <v>0</v>
      </c>
      <c r="DA2" s="2" t="s">
        <v>2</v>
      </c>
      <c r="DB2" s="2" t="s">
        <v>56</v>
      </c>
      <c r="DD2" s="2" t="s">
        <v>12</v>
      </c>
      <c r="DE2" s="2" t="s">
        <v>17</v>
      </c>
      <c r="DF2" s="2" t="s">
        <v>19</v>
      </c>
      <c r="DH2" s="2" t="s">
        <v>0</v>
      </c>
      <c r="DI2" s="2" t="s">
        <v>2</v>
      </c>
      <c r="DJ2" s="2" t="s">
        <v>1</v>
      </c>
      <c r="DL2" s="2" t="s">
        <v>2</v>
      </c>
      <c r="DM2" s="2" t="s">
        <v>13</v>
      </c>
      <c r="DN2" s="2" t="s">
        <v>1</v>
      </c>
      <c r="DO2" s="2" t="s">
        <v>60</v>
      </c>
      <c r="DP2" s="2" t="s">
        <v>61</v>
      </c>
      <c r="DQ2" s="2" t="s">
        <v>62</v>
      </c>
      <c r="DS2" s="2" t="s">
        <v>23</v>
      </c>
      <c r="DT2" s="2" t="s">
        <v>19</v>
      </c>
      <c r="DU2" s="2" t="s">
        <v>68</v>
      </c>
    </row>
    <row r="3" spans="2:125" x14ac:dyDescent="0.25">
      <c r="B3">
        <f ca="1">RANDBETWEEN(15,1000)</f>
        <v>772</v>
      </c>
      <c r="C3">
        <f ca="1">RANDBETWEEN(2,52)</f>
        <v>28</v>
      </c>
      <c r="D3">
        <f ca="1">RAND()*(0.3-0.01)+0.01</f>
        <v>4.3962486753743014E-2</v>
      </c>
      <c r="F3" s="1">
        <f ca="1">RANDBETWEEN(2,52)</f>
        <v>51</v>
      </c>
      <c r="G3" s="1">
        <f ca="1">RANDBETWEEN(2,30)</f>
        <v>23</v>
      </c>
      <c r="H3" s="1">
        <f ca="1">RANDBETWEEN(1,15)</f>
        <v>8</v>
      </c>
      <c r="I3" s="1"/>
      <c r="J3" s="1">
        <f ca="1">RANDBETWEEN(1,39)</f>
        <v>14</v>
      </c>
      <c r="K3" s="1">
        <f ca="1">RAND()*(3-1)+1</f>
        <v>1.3900352847898683</v>
      </c>
      <c r="L3" s="1">
        <f ca="1">RANDBETWEEN(2,35)</f>
        <v>10</v>
      </c>
      <c r="M3" s="1"/>
      <c r="N3" s="1">
        <f ca="1">RANDBETWEEN(15,1000)</f>
        <v>88</v>
      </c>
      <c r="O3" s="1">
        <f ca="1">RANDBETWEEN(2,52)</f>
        <v>42</v>
      </c>
      <c r="P3" s="1"/>
      <c r="Q3" s="1">
        <f ca="1">RAND()*(5-0.01)+0.01</f>
        <v>0.65149354191393472</v>
      </c>
      <c r="R3" s="1">
        <f ca="1">RANDBETWEEN(200,1200)</f>
        <v>740</v>
      </c>
      <c r="S3" s="1"/>
      <c r="T3" s="1">
        <f ca="1">RAND()*(0.2-0.01)+0.01</f>
        <v>7.1995612197964645E-2</v>
      </c>
      <c r="U3" s="1">
        <f ca="1">RANDBETWEEN(50,450)</f>
        <v>225</v>
      </c>
      <c r="V3" s="1">
        <f ca="1">RANDBETWEEN(2,52)</f>
        <v>26</v>
      </c>
      <c r="W3" s="1"/>
      <c r="X3" s="1">
        <f ca="1">RAND()*(10-0.01)+0.01</f>
        <v>3.8477276114281658</v>
      </c>
      <c r="Y3" s="1">
        <f ca="1">RAND()*(1-0.0001)+0.0001</f>
        <v>0.54707450351814413</v>
      </c>
      <c r="Z3" s="1">
        <f ca="1">RANDBETWEEN(100,2000)</f>
        <v>1442</v>
      </c>
      <c r="AB3" s="1">
        <f ca="1">RAND()*(1-0.0001)+0.0001</f>
        <v>0.25211584925677594</v>
      </c>
      <c r="AC3" s="1">
        <f ca="1">RANDBETWEEN(100,1000)</f>
        <v>622</v>
      </c>
      <c r="AD3" s="1">
        <f ca="1">RAND()*(0.01-0.00001)+0.00001</f>
        <v>6.9378493700056887E-3</v>
      </c>
      <c r="AE3" s="1"/>
      <c r="AF3" s="1">
        <f ca="1">RAND()*(0.9-0.1)+0.1</f>
        <v>0.40061035553796631</v>
      </c>
      <c r="AG3" s="1">
        <f ca="1">RANDBETWEEN(100,1000)</f>
        <v>414</v>
      </c>
      <c r="AH3" s="1">
        <f ca="1">RAND()*(0.01-0.00001)+0.00001</f>
        <v>1.5833622507118192E-3</v>
      </c>
      <c r="AJ3" s="1">
        <f ca="1">RAND()*(1-0)+0</f>
        <v>0.72919711442263924</v>
      </c>
      <c r="AK3" s="1">
        <f ca="1">RAND()*(0.01-0.00001)+0.00001</f>
        <v>3.8374518508771734E-3</v>
      </c>
      <c r="AM3" s="1">
        <f ca="1">RAND()*(0.2-0.005)+0.005</f>
        <v>5.9132285577849627E-3</v>
      </c>
      <c r="AN3" s="1">
        <f ca="1">RANDBETWEEN(10,80)</f>
        <v>18</v>
      </c>
      <c r="AO3" s="1">
        <f ca="1">RANDBETWEEN(-1,20)</f>
        <v>8</v>
      </c>
      <c r="AQ3" s="1">
        <f ca="1">RANDBETWEEN(10,200)</f>
        <v>61</v>
      </c>
      <c r="AR3" s="1">
        <f ca="1">RANDBETWEEN(0,10)</f>
        <v>4</v>
      </c>
      <c r="AS3" s="1">
        <f ca="1">RANDBETWEEN(1,100)</f>
        <v>100</v>
      </c>
      <c r="AU3" s="1">
        <f ca="1">RANDBETWEEN(50,400)</f>
        <v>340</v>
      </c>
      <c r="AV3" s="1">
        <f ca="1">RANDBETWEEN(2,10)</f>
        <v>5</v>
      </c>
      <c r="AW3" s="1">
        <f ca="1">RAND()*(0.2-0.01)+0.01</f>
        <v>0.17195563273517847</v>
      </c>
      <c r="AY3" s="1">
        <f ca="1">RAND()*(2-1.1)+1.1</f>
        <v>1.2789736354840739</v>
      </c>
      <c r="AZ3" s="1">
        <f ca="1">RANDBETWEEN(50,500)</f>
        <v>62</v>
      </c>
      <c r="BA3" s="1">
        <f ca="1">RAND()*(0.01-0.00001)+0.00001</f>
        <v>7.3314133056953433E-3</v>
      </c>
      <c r="BC3" s="1">
        <f ca="1">RAND()*(1-0.0001)+0.0001</f>
        <v>0.48961648077318548</v>
      </c>
      <c r="BD3" s="1">
        <f ca="1">RAND()*(1-0.0001)+0.0001</f>
        <v>0.16943291346698602</v>
      </c>
      <c r="BE3" s="1">
        <f ca="1">RANDBETWEEN(0,2)</f>
        <v>0</v>
      </c>
      <c r="BG3" s="1">
        <f ca="1">RAND()*(1-0.0001)+0.0001</f>
        <v>0.24355779447083531</v>
      </c>
      <c r="BH3" s="1">
        <f ca="1">RAND()*(1-0)+0</f>
        <v>0.52245731006524676</v>
      </c>
      <c r="BI3" s="1">
        <f ca="1">RANDBETWEEN(100,1000)</f>
        <v>462</v>
      </c>
      <c r="BK3" s="1">
        <f ca="1">RANDBETWEEN(100,600)</f>
        <v>512</v>
      </c>
      <c r="BL3" s="1">
        <f ca="1">RANDBETWEEN(3,10)</f>
        <v>4</v>
      </c>
      <c r="BM3" s="1">
        <f ca="1">RAND()*(0.3-0.01)+0.01</f>
        <v>0.17234402484846301</v>
      </c>
      <c r="BO3" s="1">
        <f ca="1">RAND()*(0.1-0.000001)+0.000001</f>
        <v>7.3313976775101763E-2</v>
      </c>
      <c r="BP3" s="1">
        <f ca="1">RANDBETWEEN(0,15)</f>
        <v>2</v>
      </c>
      <c r="BR3" s="1">
        <f ca="1">RAND()*(0.01-0.000001)+0.000001</f>
        <v>3.4145866331150884E-3</v>
      </c>
      <c r="BS3" s="1">
        <f ca="1">RAND()*(0.01-0.000001)+0.000001</f>
        <v>2.8049248437146514E-3</v>
      </c>
      <c r="BT3" s="1">
        <f ca="1">RANDBETWEEN(100,1000)</f>
        <v>997</v>
      </c>
      <c r="BV3" s="1">
        <f ca="1">RAND()*(1-0.0001)+0.0001</f>
        <v>0.80824954823898687</v>
      </c>
      <c r="BW3" s="1">
        <f ca="1">RANDBETWEEN(100,1000)</f>
        <v>621</v>
      </c>
      <c r="BX3" s="1">
        <f ca="1">RAND()*(0.01-0.00001)+0.00001</f>
        <v>3.7770805673246499E-3</v>
      </c>
      <c r="BY3" s="1">
        <f ca="1">RAND()*(0.1-0.0001)+0.0001</f>
        <v>8.5239950373622003E-2</v>
      </c>
      <c r="BZ3" s="1">
        <f ca="1">RAND()*(1-0)+0</f>
        <v>0.50087270024918773</v>
      </c>
      <c r="CB3" s="1">
        <f ca="1">RANDBETWEEN(50,500)</f>
        <v>169</v>
      </c>
      <c r="CC3" s="1">
        <f ca="1">RANDBETWEEN(3,15)</f>
        <v>12</v>
      </c>
      <c r="CD3" s="1">
        <f ca="1">RAND()*(0.3-0.01)+0.01</f>
        <v>0.20442209979567971</v>
      </c>
      <c r="CE3" s="1">
        <f ca="1">RAND()*(1-0.5)+0.5</f>
        <v>0.53965900972616532</v>
      </c>
      <c r="CF3" s="1">
        <f ca="1">RAND()*(1-0.5)+0.5</f>
        <v>0.74060142383349248</v>
      </c>
      <c r="CH3" s="3">
        <f ca="1">RAND()*(1-0.0001)+0.0001</f>
        <v>0.56613995530125971</v>
      </c>
      <c r="CI3" s="3">
        <f ca="1">RAND()*(0.99-0.01)+0.01</f>
        <v>0.3376996443460451</v>
      </c>
      <c r="CJ3" s="3">
        <f ca="1">RANDBETWEEN(100,2000)</f>
        <v>1319</v>
      </c>
      <c r="CK3" s="3">
        <f ca="1">RAND()*(0.01-0.000001)+0.000001</f>
        <v>7.1723680858180386E-3</v>
      </c>
      <c r="CL3" s="3">
        <f ca="1">RANDBETWEEN(0,1)</f>
        <v>0</v>
      </c>
      <c r="CM3" s="3"/>
      <c r="CN3" s="1">
        <f ca="1">RAND()*(20-0.1)+0.1</f>
        <v>3.6023910785085875</v>
      </c>
      <c r="CO3" s="1">
        <f ca="1">RAND()*(0.5-0.001)+0.001</f>
        <v>0.48547802685174241</v>
      </c>
      <c r="CP3" s="1">
        <f ca="1">RANDBETWEEN(1,5)</f>
        <v>2</v>
      </c>
      <c r="CR3" s="1"/>
      <c r="CS3" s="1">
        <f ca="1">RAND()*(1-0)+0</f>
        <v>0.30307172871238941</v>
      </c>
      <c r="CT3" s="1">
        <f ca="1">RAND()*(0.01-0.000001)+0.000001</f>
        <v>8.255405474901837E-3</v>
      </c>
      <c r="CV3" s="1">
        <f ca="1">RAND()*(10-0.0001)+0.0001</f>
        <v>4.1774915748297268</v>
      </c>
      <c r="CW3" s="1">
        <f ca="1">RANDBETWEEN(100,2000)</f>
        <v>450</v>
      </c>
      <c r="CX3" s="1">
        <f ca="1">RAND()*(0.01-0.000001)+0.000001</f>
        <v>8.6082005574455219E-3</v>
      </c>
      <c r="CZ3" s="1">
        <f ca="1">RANDBETWEEN(10,500)</f>
        <v>349</v>
      </c>
      <c r="DA3" s="1">
        <f ca="1">RAND()*(1-0.001)+0.001</f>
        <v>3.1415736450908498E-2</v>
      </c>
      <c r="DB3" s="1">
        <f ca="1">RANDBETWEEN(0,2)</f>
        <v>1</v>
      </c>
      <c r="DD3" s="1">
        <f ca="1">RAND()*(10-0.01)+0.01</f>
        <v>7.966265064831461</v>
      </c>
      <c r="DE3" s="1">
        <f ca="1">RAND()*(1-0.0001)+0.0001</f>
        <v>0.87964504317916914</v>
      </c>
      <c r="DF3" s="1">
        <f ca="1">RAND()*(0.01-0.000001)+0.000001</f>
        <v>5.5930144602528266E-3</v>
      </c>
      <c r="DH3" s="1">
        <f ca="1">RANDBETWEEN(10,900)</f>
        <v>861</v>
      </c>
      <c r="DI3" s="1">
        <f ca="1">RAND()*(1-0.001)+0.001</f>
        <v>0.61777554006327284</v>
      </c>
      <c r="DJ3" s="1">
        <f ca="1">RANDBETWEEN(1,30)</f>
        <v>29</v>
      </c>
      <c r="DL3" s="1">
        <f ca="1">RAND()*(0.2-0.01)+0.01</f>
        <v>0.17506718051151485</v>
      </c>
      <c r="DM3" s="1">
        <f ca="1">RANDBETWEEN(50,300)</f>
        <v>115</v>
      </c>
      <c r="DN3" s="1">
        <f ca="1">RANDBETWEEN(1,10)</f>
        <v>9</v>
      </c>
      <c r="DO3" t="s">
        <v>2</v>
      </c>
      <c r="DP3" t="s">
        <v>63</v>
      </c>
      <c r="DQ3" t="s">
        <v>64</v>
      </c>
      <c r="DS3" s="1">
        <f ca="1">RAND()*(1-0)+0</f>
        <v>0.36351951344263966</v>
      </c>
      <c r="DT3" s="1">
        <f ca="1">RAND()*(0.01-0.000001)+0.000001</f>
        <v>7.0213199811904169E-3</v>
      </c>
      <c r="DU3" s="1">
        <f ca="1">RANDBETWEEN(0,1)</f>
        <v>1</v>
      </c>
    </row>
    <row r="4" spans="2:125" x14ac:dyDescent="0.25">
      <c r="B4">
        <f t="shared" ref="B4:B67" ca="1" si="0">RANDBETWEEN(15,1000)</f>
        <v>63</v>
      </c>
      <c r="C4">
        <f t="shared" ref="C4:C67" ca="1" si="1">RANDBETWEEN(2,52)</f>
        <v>39</v>
      </c>
      <c r="D4">
        <f t="shared" ref="D4:D67" ca="1" si="2">RAND()*(0.3-0.01)+0.01</f>
        <v>0.19985691453023752</v>
      </c>
      <c r="F4" s="1">
        <f t="shared" ref="F4:F67" ca="1" si="3">RANDBETWEEN(2,52)</f>
        <v>11</v>
      </c>
      <c r="G4" s="1">
        <f t="shared" ref="G4:G67" ca="1" si="4">RANDBETWEEN(2,30)</f>
        <v>29</v>
      </c>
      <c r="H4" s="1">
        <f t="shared" ref="H4:H67" ca="1" si="5">RANDBETWEEN(1,15)</f>
        <v>8</v>
      </c>
      <c r="I4" s="1"/>
      <c r="J4" s="1">
        <f t="shared" ref="J4:J67" ca="1" si="6">RANDBETWEEN(1,39)</f>
        <v>32</v>
      </c>
      <c r="K4" s="1">
        <f t="shared" ref="K4:K67" ca="1" si="7">RAND()*(3-1)+1</f>
        <v>2.2079891372742404</v>
      </c>
      <c r="L4" s="1">
        <f t="shared" ref="L4:L67" ca="1" si="8">RANDBETWEEN(2,35)</f>
        <v>28</v>
      </c>
      <c r="M4" s="1"/>
      <c r="N4" s="1">
        <f t="shared" ref="N4:N67" ca="1" si="9">RANDBETWEEN(15,1000)</f>
        <v>930</v>
      </c>
      <c r="O4" s="1">
        <f t="shared" ref="O4:O67" ca="1" si="10">RANDBETWEEN(2,52)</f>
        <v>3</v>
      </c>
      <c r="P4" s="1"/>
      <c r="Q4" s="1">
        <f t="shared" ref="Q4:Q67" ca="1" si="11">RAND()*(5-0.01)+0.01</f>
        <v>1.5848162425206547</v>
      </c>
      <c r="R4" s="1">
        <f t="shared" ref="R4:R67" ca="1" si="12">RANDBETWEEN(200,1200)</f>
        <v>1007</v>
      </c>
      <c r="S4" s="1"/>
      <c r="T4" s="1">
        <f t="shared" ref="T4:T67" ca="1" si="13">RAND()*(0.2-0.01)+0.01</f>
        <v>7.2173496824667713E-2</v>
      </c>
      <c r="U4" s="1">
        <f t="shared" ref="U4:U67" ca="1" si="14">RANDBETWEEN(50,450)</f>
        <v>89</v>
      </c>
      <c r="V4" s="1">
        <f t="shared" ref="V4:V67" ca="1" si="15">RANDBETWEEN(2,52)</f>
        <v>23</v>
      </c>
      <c r="W4" s="1"/>
      <c r="X4" s="1">
        <f t="shared" ref="X4:X67" ca="1" si="16">RAND()*(10-0.01)+0.01</f>
        <v>0.60707667171722279</v>
      </c>
      <c r="Y4" s="1">
        <f t="shared" ref="Y4:Y67" ca="1" si="17">RAND()*(1-0.0001)+0.0001</f>
        <v>0.69500648455469027</v>
      </c>
      <c r="Z4" s="1">
        <f t="shared" ref="Z4:Z67" ca="1" si="18">RANDBETWEEN(100,2000)</f>
        <v>717</v>
      </c>
      <c r="AB4" s="1">
        <f t="shared" ref="AB4:AB67" ca="1" si="19">RAND()*(1-0.0001)+0.0001</f>
        <v>7.9268394427707181E-2</v>
      </c>
      <c r="AC4" s="1">
        <f t="shared" ref="AC4:AC67" ca="1" si="20">RANDBETWEEN(100,1000)</f>
        <v>955</v>
      </c>
      <c r="AD4" s="1">
        <f t="shared" ref="AD4:AD67" ca="1" si="21">RAND()*(0.01-0.00001)+0.00001</f>
        <v>7.5599369758710781E-3</v>
      </c>
      <c r="AE4" s="1"/>
      <c r="AF4" s="1">
        <f t="shared" ref="AF4:AF67" ca="1" si="22">RAND()*(0.9-0.1)+0.1</f>
        <v>0.705909289487609</v>
      </c>
      <c r="AG4" s="1">
        <f t="shared" ref="AG4:AG67" ca="1" si="23">RANDBETWEEN(100,1000)</f>
        <v>550</v>
      </c>
      <c r="AH4" s="1">
        <f t="shared" ref="AH4:AH67" ca="1" si="24">RAND()*(0.01-0.00001)+0.00001</f>
        <v>1.783727276601519E-3</v>
      </c>
      <c r="AJ4" s="1">
        <f t="shared" ref="AJ4:AJ67" ca="1" si="25">RAND()*(1-0)+0</f>
        <v>0.35834988248634669</v>
      </c>
      <c r="AK4" s="1">
        <f t="shared" ref="AK4:AK67" ca="1" si="26">RAND()*(0.01-0.00001)+0.00001</f>
        <v>7.8835163525362729E-3</v>
      </c>
      <c r="AL4" s="1"/>
      <c r="AM4" s="1">
        <f t="shared" ref="AM4:AM67" ca="1" si="27">RAND()*(0.2-0.005)+0.005</f>
        <v>9.9898114890176998E-2</v>
      </c>
      <c r="AN4" s="1">
        <f t="shared" ref="AN4:AN67" ca="1" si="28">RANDBETWEEN(10,80)</f>
        <v>59</v>
      </c>
      <c r="AO4" s="1">
        <f t="shared" ref="AO4:AO67" ca="1" si="29">RANDBETWEEN(-1,20)</f>
        <v>16</v>
      </c>
      <c r="AQ4" s="1">
        <f t="shared" ref="AQ4:AQ67" ca="1" si="30">RANDBETWEEN(10,200)</f>
        <v>51</v>
      </c>
      <c r="AR4" s="1">
        <f t="shared" ref="AR4:AR67" ca="1" si="31">RANDBETWEEN(0,10)</f>
        <v>2</v>
      </c>
      <c r="AS4" s="1">
        <f t="shared" ref="AS4:AS67" ca="1" si="32">RANDBETWEEN(1,100)</f>
        <v>16</v>
      </c>
      <c r="AU4" s="1">
        <f t="shared" ref="AU4:AU67" ca="1" si="33">RANDBETWEEN(50,400)</f>
        <v>332</v>
      </c>
      <c r="AV4" s="1">
        <f t="shared" ref="AV4:AV67" ca="1" si="34">RANDBETWEEN(2,10)</f>
        <v>5</v>
      </c>
      <c r="AW4" s="1">
        <f t="shared" ref="AW4:AW67" ca="1" si="35">RAND()*(0.2-0.01)+0.01</f>
        <v>7.8495560088795005E-2</v>
      </c>
      <c r="AY4" s="1">
        <f t="shared" ref="AY4:AY67" ca="1" si="36">RAND()*(2-1.1)+1.1</f>
        <v>1.3092225903871912</v>
      </c>
      <c r="AZ4" s="1">
        <f t="shared" ref="AZ4:AZ67" ca="1" si="37">RANDBETWEEN(50,500)</f>
        <v>418</v>
      </c>
      <c r="BA4" s="1">
        <f t="shared" ref="BA4:BA67" ca="1" si="38">RAND()*(0.01-0.00001)+0.00001</f>
        <v>3.2839008074417508E-3</v>
      </c>
      <c r="BG4" s="1">
        <f t="shared" ref="BG4:BG67" ca="1" si="39">RAND()*(1-0.0001)+0.0001</f>
        <v>0.56188920074338455</v>
      </c>
      <c r="BH4" s="1">
        <f t="shared" ref="BH4:BH67" ca="1" si="40">RAND()*(1-0)+0</f>
        <v>0.15708884248081278</v>
      </c>
      <c r="BI4" s="1">
        <f t="shared" ref="BI4:BI67" ca="1" si="41">RANDBETWEEN(100,1000)</f>
        <v>136</v>
      </c>
      <c r="BV4" s="1">
        <f t="shared" ref="BV4:BV67" ca="1" si="42">RAND()*(1-0.0001)+0.0001</f>
        <v>0.67840562961892381</v>
      </c>
      <c r="BW4" s="1">
        <f t="shared" ref="BW4:BW67" ca="1" si="43">RANDBETWEEN(100,1000)</f>
        <v>202</v>
      </c>
      <c r="BX4" s="1">
        <f t="shared" ref="BX4:BX67" ca="1" si="44">RAND()*(0.01-0.00001)+0.00001</f>
        <v>8.7958981743483065E-3</v>
      </c>
      <c r="BY4" s="1">
        <f t="shared" ref="BY4:BY67" ca="1" si="45">RAND()*(0.1-0.0001)+0.0001</f>
        <v>3.8223100658859609E-2</v>
      </c>
      <c r="BZ4" s="1">
        <f t="shared" ref="BZ4:BZ67" ca="1" si="46">RAND()*(1-0)+0</f>
        <v>0.15092654836209696</v>
      </c>
      <c r="CB4" s="1">
        <f t="shared" ref="CB4:CB67" ca="1" si="47">RANDBETWEEN(50,500)</f>
        <v>275</v>
      </c>
      <c r="CC4" s="1">
        <f t="shared" ref="CC4:CC67" ca="1" si="48">RANDBETWEEN(3,15)</f>
        <v>8</v>
      </c>
      <c r="CD4" s="1">
        <f t="shared" ref="CD4:CD67" ca="1" si="49">RAND()*(0.3-0.01)+0.01</f>
        <v>0.1377404399042155</v>
      </c>
      <c r="CE4" s="1">
        <f t="shared" ref="CE4:CF35" ca="1" si="50">RAND()*(1-0.5)+0.5</f>
        <v>0.65996126792458254</v>
      </c>
      <c r="CF4" s="1">
        <f t="shared" ca="1" si="50"/>
        <v>0.86679989997135465</v>
      </c>
      <c r="CH4" s="3">
        <f t="shared" ref="CH4:CH67" ca="1" si="51">RAND()*(1-0.0001)+0.0001</f>
        <v>0.39042587201377243</v>
      </c>
      <c r="CI4" s="3">
        <f t="shared" ref="CI4:CI67" ca="1" si="52">RAND()*(0.99-0.01)+0.01</f>
        <v>0.6936697796425203</v>
      </c>
      <c r="CJ4" s="3">
        <f t="shared" ref="CJ4:CJ67" ca="1" si="53">RANDBETWEEN(100,2000)</f>
        <v>1155</v>
      </c>
      <c r="CK4" s="3">
        <f t="shared" ref="CK4:CK67" ca="1" si="54">RAND()*(0.01-0.000001)+0.000001</f>
        <v>2.302266985647686E-4</v>
      </c>
      <c r="CL4" s="3">
        <f t="shared" ref="CL4:CL67" ca="1" si="55">RANDBETWEEN(0,1)</f>
        <v>0</v>
      </c>
      <c r="CM4" s="3"/>
      <c r="CN4" s="1">
        <f t="shared" ref="CN4:CN67" ca="1" si="56">RAND()*(20-0.1)+0.1</f>
        <v>7.4481934876930582</v>
      </c>
      <c r="CO4" s="1">
        <f t="shared" ref="CO4:CO67" ca="1" si="57">RAND()*(0.5-0.001)+0.001</f>
        <v>0.46768313965828273</v>
      </c>
      <c r="CP4" s="1">
        <f t="shared" ref="CP4:CP67" ca="1" si="58">RANDBETWEEN(1,5)</f>
        <v>3</v>
      </c>
      <c r="CV4" s="1">
        <f t="shared" ref="CV4:CV67" ca="1" si="59">RAND()*(10-0.0001)+0.0001</f>
        <v>5.2927108915823657</v>
      </c>
      <c r="CW4" s="1">
        <f t="shared" ref="CW4:CW67" ca="1" si="60">RANDBETWEEN(100,2000)</f>
        <v>219</v>
      </c>
      <c r="CX4" s="1">
        <f t="shared" ref="CX4:CX67" ca="1" si="61">RAND()*(0.01-0.000001)+0.000001</f>
        <v>6.7216033208048849E-3</v>
      </c>
      <c r="DH4" s="1">
        <f t="shared" ref="DH4:DH67" ca="1" si="62">RANDBETWEEN(10,900)</f>
        <v>456</v>
      </c>
      <c r="DI4" s="1">
        <f t="shared" ref="DI4:DI67" ca="1" si="63">RAND()*(1-0.001)+0.001</f>
        <v>0.91347129892879786</v>
      </c>
      <c r="DJ4" s="1">
        <f t="shared" ref="DJ4:DJ67" ca="1" si="64">RANDBETWEEN(1,30)</f>
        <v>3</v>
      </c>
      <c r="DL4" s="1">
        <f t="shared" ref="DL4:DL67" ca="1" si="65">RAND()*(0.2-0.01)+0.01</f>
        <v>1.943878065361998E-2</v>
      </c>
      <c r="DM4" s="1">
        <f t="shared" ref="DM4:DM67" ca="1" si="66">RANDBETWEEN(50,300)</f>
        <v>63</v>
      </c>
      <c r="DN4" s="1">
        <f t="shared" ref="DN4:DN67" ca="1" si="67">RANDBETWEEN(1,10)</f>
        <v>6</v>
      </c>
      <c r="DO4" t="s">
        <v>13</v>
      </c>
      <c r="DP4" t="s">
        <v>65</v>
      </c>
      <c r="DQ4" t="s">
        <v>66</v>
      </c>
      <c r="DS4" s="1">
        <f t="shared" ref="DS4:DS7" ca="1" si="68">RAND()*(1-0)+0</f>
        <v>0.29051665915243163</v>
      </c>
      <c r="DT4" s="1">
        <f t="shared" ref="DT4:DT7" ca="1" si="69">RAND()*(0.01-0.000001)+0.000001</f>
        <v>6.4766891052624176E-3</v>
      </c>
      <c r="DU4" s="1">
        <f t="shared" ref="DU4:DU7" ca="1" si="70">RANDBETWEEN(0,1)</f>
        <v>0</v>
      </c>
    </row>
    <row r="5" spans="2:125" x14ac:dyDescent="0.25">
      <c r="B5">
        <f t="shared" ca="1" si="0"/>
        <v>284</v>
      </c>
      <c r="C5">
        <f t="shared" ca="1" si="1"/>
        <v>15</v>
      </c>
      <c r="D5">
        <f t="shared" ca="1" si="2"/>
        <v>0.24353952103570847</v>
      </c>
      <c r="F5" s="1">
        <f t="shared" ca="1" si="3"/>
        <v>16</v>
      </c>
      <c r="G5" s="1">
        <f t="shared" ca="1" si="4"/>
        <v>28</v>
      </c>
      <c r="H5" s="1">
        <f t="shared" ca="1" si="5"/>
        <v>9</v>
      </c>
      <c r="I5" s="1"/>
      <c r="J5" s="1">
        <f t="shared" ca="1" si="6"/>
        <v>21</v>
      </c>
      <c r="K5" s="1">
        <f t="shared" ca="1" si="7"/>
        <v>1.9618869264523335</v>
      </c>
      <c r="L5" s="1">
        <f t="shared" ca="1" si="8"/>
        <v>9</v>
      </c>
      <c r="M5" s="1"/>
      <c r="N5" s="1">
        <f t="shared" ca="1" si="9"/>
        <v>774</v>
      </c>
      <c r="O5" s="1">
        <f t="shared" ca="1" si="10"/>
        <v>51</v>
      </c>
      <c r="P5" s="1"/>
      <c r="Q5" s="1">
        <f t="shared" ca="1" si="11"/>
        <v>4.7742302299684427</v>
      </c>
      <c r="R5" s="1">
        <f t="shared" ca="1" si="12"/>
        <v>818</v>
      </c>
      <c r="S5" s="1"/>
      <c r="T5" s="1">
        <f t="shared" ca="1" si="13"/>
        <v>2.3511523045577853E-2</v>
      </c>
      <c r="U5" s="1">
        <f t="shared" ca="1" si="14"/>
        <v>51</v>
      </c>
      <c r="V5" s="1">
        <f t="shared" ca="1" si="15"/>
        <v>49</v>
      </c>
      <c r="W5" s="1"/>
      <c r="X5" s="1">
        <f t="shared" ca="1" si="16"/>
        <v>7.7206607312701241</v>
      </c>
      <c r="Y5" s="1">
        <f t="shared" ca="1" si="17"/>
        <v>8.8781310107610464E-2</v>
      </c>
      <c r="Z5" s="1">
        <f t="shared" ca="1" si="18"/>
        <v>1810</v>
      </c>
      <c r="AB5" s="1">
        <f t="shared" ca="1" si="19"/>
        <v>0.90744448841677539</v>
      </c>
      <c r="AC5" s="1">
        <f t="shared" ca="1" si="20"/>
        <v>399</v>
      </c>
      <c r="AD5" s="1">
        <f t="shared" ca="1" si="21"/>
        <v>2.6561750095026346E-3</v>
      </c>
      <c r="AE5" s="1"/>
      <c r="AF5" s="1">
        <f t="shared" ca="1" si="22"/>
        <v>0.27971732465879279</v>
      </c>
      <c r="AG5" s="1">
        <f t="shared" ca="1" si="23"/>
        <v>634</v>
      </c>
      <c r="AH5" s="1">
        <f t="shared" ca="1" si="24"/>
        <v>8.3720356155910555E-3</v>
      </c>
      <c r="AJ5" s="1">
        <f t="shared" ca="1" si="25"/>
        <v>0.19205057553785598</v>
      </c>
      <c r="AK5" s="1">
        <f t="shared" ca="1" si="26"/>
        <v>7.9872383004765211E-3</v>
      </c>
      <c r="AL5" s="1"/>
      <c r="AM5" s="1">
        <f t="shared" ca="1" si="27"/>
        <v>7.5169041825545214E-3</v>
      </c>
      <c r="AN5" s="1">
        <f t="shared" ca="1" si="28"/>
        <v>76</v>
      </c>
      <c r="AO5" s="1">
        <f t="shared" ca="1" si="29"/>
        <v>11</v>
      </c>
      <c r="AQ5" s="1">
        <f t="shared" ca="1" si="30"/>
        <v>192</v>
      </c>
      <c r="AR5" s="1">
        <f t="shared" ca="1" si="31"/>
        <v>4</v>
      </c>
      <c r="AS5" s="1">
        <f t="shared" ca="1" si="32"/>
        <v>31</v>
      </c>
      <c r="AU5" s="1">
        <f t="shared" ca="1" si="33"/>
        <v>310</v>
      </c>
      <c r="AV5" s="1">
        <f t="shared" ca="1" si="34"/>
        <v>4</v>
      </c>
      <c r="AW5" s="1">
        <f t="shared" ca="1" si="35"/>
        <v>0.11623291672990413</v>
      </c>
      <c r="AY5" s="1">
        <f t="shared" ca="1" si="36"/>
        <v>1.5471589410628719</v>
      </c>
      <c r="AZ5" s="1">
        <f t="shared" ca="1" si="37"/>
        <v>346</v>
      </c>
      <c r="BA5" s="1">
        <f t="shared" ca="1" si="38"/>
        <v>7.1185906914075217E-3</v>
      </c>
      <c r="BG5" s="1">
        <f t="shared" ca="1" si="39"/>
        <v>0.99483720497972083</v>
      </c>
      <c r="BH5" s="1">
        <f t="shared" ca="1" si="40"/>
        <v>0.95461364315508512</v>
      </c>
      <c r="BI5" s="1">
        <f t="shared" ca="1" si="41"/>
        <v>911</v>
      </c>
      <c r="BV5" s="1">
        <f t="shared" ca="1" si="42"/>
        <v>0.38913811344890192</v>
      </c>
      <c r="BW5" s="1">
        <f t="shared" ca="1" si="43"/>
        <v>274</v>
      </c>
      <c r="BX5" s="1">
        <f t="shared" ca="1" si="44"/>
        <v>7.9859869768734732E-3</v>
      </c>
      <c r="BY5" s="1">
        <f t="shared" ca="1" si="45"/>
        <v>4.280183434280533E-2</v>
      </c>
      <c r="BZ5" s="1">
        <f t="shared" ca="1" si="46"/>
        <v>0.30621214115556916</v>
      </c>
      <c r="CB5" s="1">
        <f t="shared" ca="1" si="47"/>
        <v>326</v>
      </c>
      <c r="CC5" s="1">
        <f t="shared" ca="1" si="48"/>
        <v>10</v>
      </c>
      <c r="CD5" s="1">
        <f t="shared" ca="1" si="49"/>
        <v>7.2469441379483204E-2</v>
      </c>
      <c r="CE5" s="1">
        <f t="shared" ca="1" si="50"/>
        <v>0.83327928507033389</v>
      </c>
      <c r="CF5" s="1">
        <f t="shared" ca="1" si="50"/>
        <v>0.81675070431739516</v>
      </c>
      <c r="CH5" s="3">
        <f t="shared" ca="1" si="51"/>
        <v>0.36585854988447458</v>
      </c>
      <c r="CI5" s="3">
        <f t="shared" ca="1" si="52"/>
        <v>0.26576215210963172</v>
      </c>
      <c r="CJ5" s="3">
        <f t="shared" ca="1" si="53"/>
        <v>231</v>
      </c>
      <c r="CK5" s="3">
        <f t="shared" ca="1" si="54"/>
        <v>9.597175808718791E-3</v>
      </c>
      <c r="CL5" s="3">
        <f t="shared" ca="1" si="55"/>
        <v>0</v>
      </c>
      <c r="CM5" s="3"/>
      <c r="CN5" s="1">
        <f t="shared" ca="1" si="56"/>
        <v>11.242508213869858</v>
      </c>
      <c r="CO5" s="1">
        <f t="shared" ca="1" si="57"/>
        <v>0.45317656829991071</v>
      </c>
      <c r="CP5" s="1">
        <f t="shared" ca="1" si="58"/>
        <v>4</v>
      </c>
      <c r="CV5" s="1">
        <f t="shared" ca="1" si="59"/>
        <v>6.1972671907112131</v>
      </c>
      <c r="CW5" s="1">
        <f t="shared" ca="1" si="60"/>
        <v>1094</v>
      </c>
      <c r="CX5" s="1">
        <f t="shared" ca="1" si="61"/>
        <v>7.0958257854708707E-3</v>
      </c>
      <c r="DH5" s="1">
        <f t="shared" ca="1" si="62"/>
        <v>79</v>
      </c>
      <c r="DI5" s="1">
        <f t="shared" ca="1" si="63"/>
        <v>0.81052462331134789</v>
      </c>
      <c r="DJ5" s="1">
        <f t="shared" ca="1" si="64"/>
        <v>8</v>
      </c>
      <c r="DL5" s="1">
        <f t="shared" ca="1" si="65"/>
        <v>0.18739257989802</v>
      </c>
      <c r="DM5" s="1">
        <f t="shared" ca="1" si="66"/>
        <v>274</v>
      </c>
      <c r="DN5" s="1">
        <f t="shared" ca="1" si="67"/>
        <v>1</v>
      </c>
      <c r="DO5" t="s">
        <v>1</v>
      </c>
      <c r="DP5" t="s">
        <v>65</v>
      </c>
      <c r="DQ5" t="s">
        <v>67</v>
      </c>
      <c r="DS5" s="1">
        <f t="shared" ca="1" si="68"/>
        <v>0.53367485822051863</v>
      </c>
      <c r="DT5" s="1">
        <f t="shared" ca="1" si="69"/>
        <v>2.9092343347587126E-3</v>
      </c>
      <c r="DU5" s="1">
        <f t="shared" ca="1" si="70"/>
        <v>1</v>
      </c>
    </row>
    <row r="6" spans="2:125" x14ac:dyDescent="0.25">
      <c r="B6">
        <f t="shared" ca="1" si="0"/>
        <v>527</v>
      </c>
      <c r="C6">
        <f t="shared" ca="1" si="1"/>
        <v>34</v>
      </c>
      <c r="D6">
        <f t="shared" ca="1" si="2"/>
        <v>0.17328347003055702</v>
      </c>
      <c r="F6" s="1">
        <f t="shared" ca="1" si="3"/>
        <v>9</v>
      </c>
      <c r="G6" s="1">
        <f t="shared" ca="1" si="4"/>
        <v>20</v>
      </c>
      <c r="H6" s="1">
        <f t="shared" ca="1" si="5"/>
        <v>13</v>
      </c>
      <c r="I6" s="1"/>
      <c r="J6" s="1">
        <f t="shared" ca="1" si="6"/>
        <v>32</v>
      </c>
      <c r="K6" s="1">
        <f t="shared" ca="1" si="7"/>
        <v>1.6835115082667853</v>
      </c>
      <c r="L6" s="1">
        <f t="shared" ca="1" si="8"/>
        <v>29</v>
      </c>
      <c r="M6" s="1"/>
      <c r="N6" s="1">
        <f t="shared" ca="1" si="9"/>
        <v>494</v>
      </c>
      <c r="O6" s="1">
        <f t="shared" ca="1" si="10"/>
        <v>6</v>
      </c>
      <c r="P6" s="1"/>
      <c r="Q6" s="1">
        <f t="shared" ca="1" si="11"/>
        <v>3.5526044875842748</v>
      </c>
      <c r="R6" s="1">
        <f t="shared" ca="1" si="12"/>
        <v>207</v>
      </c>
      <c r="S6" s="1"/>
      <c r="T6" s="1">
        <f t="shared" ca="1" si="13"/>
        <v>0.1677161014371607</v>
      </c>
      <c r="U6" s="1">
        <f t="shared" ca="1" si="14"/>
        <v>284</v>
      </c>
      <c r="V6" s="1">
        <f t="shared" ca="1" si="15"/>
        <v>3</v>
      </c>
      <c r="W6" s="1"/>
      <c r="X6" s="1">
        <f t="shared" ca="1" si="16"/>
        <v>3.8034102531734648</v>
      </c>
      <c r="Y6" s="1">
        <f t="shared" ca="1" si="17"/>
        <v>0.94738579726047012</v>
      </c>
      <c r="Z6" s="1">
        <f t="shared" ca="1" si="18"/>
        <v>350</v>
      </c>
      <c r="AB6" s="1">
        <f t="shared" ca="1" si="19"/>
        <v>0.44423138856739508</v>
      </c>
      <c r="AC6" s="1">
        <f t="shared" ca="1" si="20"/>
        <v>479</v>
      </c>
      <c r="AD6" s="1">
        <f t="shared" ca="1" si="21"/>
        <v>2.0049666425136963E-3</v>
      </c>
      <c r="AE6" s="1"/>
      <c r="AF6" s="1">
        <f t="shared" ca="1" si="22"/>
        <v>0.5220909343678195</v>
      </c>
      <c r="AG6" s="1">
        <f t="shared" ca="1" si="23"/>
        <v>627</v>
      </c>
      <c r="AH6" s="1">
        <f t="shared" ca="1" si="24"/>
        <v>3.0557270917052643E-3</v>
      </c>
      <c r="AJ6" s="1">
        <f t="shared" ca="1" si="25"/>
        <v>0.48532134922999215</v>
      </c>
      <c r="AK6" s="1">
        <f t="shared" ca="1" si="26"/>
        <v>5.3783082418783093E-4</v>
      </c>
      <c r="AL6" s="1"/>
      <c r="AM6" s="1">
        <f t="shared" ca="1" si="27"/>
        <v>1.1688607570460502E-2</v>
      </c>
      <c r="AN6" s="1">
        <f t="shared" ca="1" si="28"/>
        <v>18</v>
      </c>
      <c r="AO6" s="1">
        <f t="shared" ca="1" si="29"/>
        <v>11</v>
      </c>
      <c r="AQ6" s="1">
        <f t="shared" ca="1" si="30"/>
        <v>148</v>
      </c>
      <c r="AR6" s="1">
        <f t="shared" ca="1" si="31"/>
        <v>6</v>
      </c>
      <c r="AS6" s="1">
        <f t="shared" ca="1" si="32"/>
        <v>68</v>
      </c>
      <c r="AU6" s="1">
        <f t="shared" ca="1" si="33"/>
        <v>286</v>
      </c>
      <c r="AV6" s="1">
        <f t="shared" ca="1" si="34"/>
        <v>8</v>
      </c>
      <c r="AW6" s="1">
        <f t="shared" ca="1" si="35"/>
        <v>0.16737100800162</v>
      </c>
      <c r="AY6" s="1">
        <f t="shared" ca="1" si="36"/>
        <v>1.7898554233469859</v>
      </c>
      <c r="AZ6" s="1">
        <f t="shared" ca="1" si="37"/>
        <v>86</v>
      </c>
      <c r="BA6" s="1">
        <f t="shared" ca="1" si="38"/>
        <v>4.4390992646591303E-4</v>
      </c>
      <c r="BG6" s="1">
        <f t="shared" ca="1" si="39"/>
        <v>0.37984948598245111</v>
      </c>
      <c r="BH6" s="1">
        <f t="shared" ca="1" si="40"/>
        <v>0.25814943930447409</v>
      </c>
      <c r="BI6" s="1">
        <f t="shared" ca="1" si="41"/>
        <v>280</v>
      </c>
      <c r="BV6" s="1">
        <f t="shared" ca="1" si="42"/>
        <v>0.40853775577270857</v>
      </c>
      <c r="BW6" s="1">
        <f t="shared" ca="1" si="43"/>
        <v>693</v>
      </c>
      <c r="BX6" s="1">
        <f t="shared" ca="1" si="44"/>
        <v>8.3434887864023439E-3</v>
      </c>
      <c r="BY6" s="1">
        <f t="shared" ca="1" si="45"/>
        <v>3.3312049138611903E-2</v>
      </c>
      <c r="BZ6" s="1">
        <f t="shared" ca="1" si="46"/>
        <v>0.60501484249274129</v>
      </c>
      <c r="CB6" s="1">
        <f t="shared" ca="1" si="47"/>
        <v>160</v>
      </c>
      <c r="CC6" s="1">
        <f t="shared" ca="1" si="48"/>
        <v>3</v>
      </c>
      <c r="CD6" s="1">
        <f t="shared" ca="1" si="49"/>
        <v>0.23329186376357486</v>
      </c>
      <c r="CE6" s="1">
        <f t="shared" ca="1" si="50"/>
        <v>0.77571791066635165</v>
      </c>
      <c r="CF6" s="1">
        <f t="shared" ca="1" si="50"/>
        <v>0.52699057039939845</v>
      </c>
      <c r="CH6" s="3">
        <f t="shared" ca="1" si="51"/>
        <v>0.79918604376595181</v>
      </c>
      <c r="CI6" s="3">
        <f t="shared" ca="1" si="52"/>
        <v>0.94667763392691195</v>
      </c>
      <c r="CJ6" s="3">
        <f t="shared" ca="1" si="53"/>
        <v>971</v>
      </c>
      <c r="CK6" s="3">
        <f t="shared" ca="1" si="54"/>
        <v>8.2737362245031872E-3</v>
      </c>
      <c r="CL6" s="3">
        <f t="shared" ca="1" si="55"/>
        <v>1</v>
      </c>
      <c r="CM6" s="3"/>
      <c r="CN6" s="1">
        <f t="shared" ca="1" si="56"/>
        <v>11.005709520589146</v>
      </c>
      <c r="CO6" s="1">
        <f t="shared" ca="1" si="57"/>
        <v>0.17518844346193618</v>
      </c>
      <c r="CP6" s="1">
        <f t="shared" ca="1" si="58"/>
        <v>5</v>
      </c>
      <c r="CV6" s="1">
        <f t="shared" ca="1" si="59"/>
        <v>4.2497121909571582</v>
      </c>
      <c r="CW6" s="1">
        <f t="shared" ca="1" si="60"/>
        <v>144</v>
      </c>
      <c r="CX6" s="1">
        <f t="shared" ca="1" si="61"/>
        <v>7.1420088720655535E-3</v>
      </c>
      <c r="DH6" s="1">
        <f t="shared" ca="1" si="62"/>
        <v>808</v>
      </c>
      <c r="DI6" s="1">
        <f t="shared" ca="1" si="63"/>
        <v>0.9575612738846091</v>
      </c>
      <c r="DJ6" s="1">
        <f t="shared" ca="1" si="64"/>
        <v>6</v>
      </c>
      <c r="DL6" s="1">
        <f t="shared" ca="1" si="65"/>
        <v>5.3995468719118249E-2</v>
      </c>
      <c r="DM6" s="1">
        <f t="shared" ca="1" si="66"/>
        <v>201</v>
      </c>
      <c r="DN6" s="1">
        <f t="shared" ca="1" si="67"/>
        <v>8</v>
      </c>
      <c r="DS6" s="1">
        <f t="shared" ca="1" si="68"/>
        <v>0.74598142740059514</v>
      </c>
      <c r="DT6" s="1">
        <f t="shared" ca="1" si="69"/>
        <v>7.3969063130836466E-3</v>
      </c>
      <c r="DU6" s="1">
        <f t="shared" ca="1" si="70"/>
        <v>1</v>
      </c>
    </row>
    <row r="7" spans="2:125" x14ac:dyDescent="0.25">
      <c r="B7">
        <f t="shared" ca="1" si="0"/>
        <v>662</v>
      </c>
      <c r="C7">
        <f t="shared" ca="1" si="1"/>
        <v>43</v>
      </c>
      <c r="D7">
        <f t="shared" ca="1" si="2"/>
        <v>0.12288709113242158</v>
      </c>
      <c r="F7" s="1">
        <f t="shared" ca="1" si="3"/>
        <v>39</v>
      </c>
      <c r="G7" s="1">
        <f t="shared" ca="1" si="4"/>
        <v>27</v>
      </c>
      <c r="H7" s="1">
        <f t="shared" ca="1" si="5"/>
        <v>6</v>
      </c>
      <c r="I7" s="1"/>
      <c r="J7" s="1">
        <f t="shared" ca="1" si="6"/>
        <v>20</v>
      </c>
      <c r="K7" s="1">
        <f t="shared" ca="1" si="7"/>
        <v>2.3368525994797409</v>
      </c>
      <c r="L7" s="1">
        <f t="shared" ca="1" si="8"/>
        <v>31</v>
      </c>
      <c r="M7" s="1"/>
      <c r="N7" s="1">
        <f t="shared" ca="1" si="9"/>
        <v>737</v>
      </c>
      <c r="O7" s="1">
        <f t="shared" ca="1" si="10"/>
        <v>50</v>
      </c>
      <c r="P7" s="1"/>
      <c r="Q7" s="1">
        <f t="shared" ca="1" si="11"/>
        <v>1.3949446408182069</v>
      </c>
      <c r="R7" s="1">
        <f t="shared" ca="1" si="12"/>
        <v>391</v>
      </c>
      <c r="S7" s="1"/>
      <c r="T7" s="1">
        <f t="shared" ca="1" si="13"/>
        <v>0.12696955732416221</v>
      </c>
      <c r="U7" s="1">
        <f t="shared" ca="1" si="14"/>
        <v>164</v>
      </c>
      <c r="V7" s="1">
        <f t="shared" ca="1" si="15"/>
        <v>31</v>
      </c>
      <c r="W7" s="1"/>
      <c r="X7" s="1">
        <f t="shared" ca="1" si="16"/>
        <v>7.9096301168886843E-2</v>
      </c>
      <c r="Y7" s="1">
        <f t="shared" ca="1" si="17"/>
        <v>0.24390639200009098</v>
      </c>
      <c r="Z7" s="1">
        <f t="shared" ca="1" si="18"/>
        <v>1224</v>
      </c>
      <c r="AB7" s="1">
        <f t="shared" ca="1" si="19"/>
        <v>0.30252703155176947</v>
      </c>
      <c r="AC7" s="1">
        <f t="shared" ca="1" si="20"/>
        <v>713</v>
      </c>
      <c r="AD7" s="1">
        <f t="shared" ca="1" si="21"/>
        <v>1.8419455049509691E-3</v>
      </c>
      <c r="AE7" s="1"/>
      <c r="AF7" s="1">
        <f t="shared" ca="1" si="22"/>
        <v>0.51595133436631446</v>
      </c>
      <c r="AG7" s="1">
        <f t="shared" ca="1" si="23"/>
        <v>614</v>
      </c>
      <c r="AH7" s="1">
        <f t="shared" ca="1" si="24"/>
        <v>7.1002438729934857E-3</v>
      </c>
      <c r="AJ7" s="1">
        <f t="shared" ca="1" si="25"/>
        <v>0.52422022260932388</v>
      </c>
      <c r="AK7" s="1">
        <f t="shared" ca="1" si="26"/>
        <v>3.5101916703390032E-3</v>
      </c>
      <c r="AL7" s="1"/>
      <c r="AM7" s="1">
        <f t="shared" ca="1" si="27"/>
        <v>9.445214656804677E-3</v>
      </c>
      <c r="AN7" s="1">
        <f t="shared" ca="1" si="28"/>
        <v>44</v>
      </c>
      <c r="AO7" s="1">
        <f t="shared" ca="1" si="29"/>
        <v>18</v>
      </c>
      <c r="AQ7" s="1">
        <f t="shared" ca="1" si="30"/>
        <v>45</v>
      </c>
      <c r="AR7" s="1">
        <f t="shared" ca="1" si="31"/>
        <v>1</v>
      </c>
      <c r="AS7" s="1">
        <f t="shared" ca="1" si="32"/>
        <v>27</v>
      </c>
      <c r="AU7" s="1">
        <f t="shared" ca="1" si="33"/>
        <v>230</v>
      </c>
      <c r="AV7" s="1">
        <f t="shared" ca="1" si="34"/>
        <v>2</v>
      </c>
      <c r="AW7" s="1">
        <f t="shared" ca="1" si="35"/>
        <v>0.13178222669688833</v>
      </c>
      <c r="AY7" s="1">
        <f t="shared" ca="1" si="36"/>
        <v>1.5164642893438773</v>
      </c>
      <c r="AZ7" s="1">
        <f t="shared" ca="1" si="37"/>
        <v>170</v>
      </c>
      <c r="BA7" s="1">
        <f t="shared" ca="1" si="38"/>
        <v>4.6190247534143814E-3</v>
      </c>
      <c r="BG7" s="1">
        <f t="shared" ca="1" si="39"/>
        <v>0.33218392577134348</v>
      </c>
      <c r="BH7" s="1">
        <f t="shared" ca="1" si="40"/>
        <v>0.78565847655484666</v>
      </c>
      <c r="BI7" s="1">
        <f t="shared" ca="1" si="41"/>
        <v>398</v>
      </c>
      <c r="BV7" s="1">
        <f t="shared" ca="1" si="42"/>
        <v>0.55885506129939733</v>
      </c>
      <c r="BW7" s="1">
        <f t="shared" ca="1" si="43"/>
        <v>944</v>
      </c>
      <c r="BX7" s="1">
        <f t="shared" ca="1" si="44"/>
        <v>2.5709047541472487E-3</v>
      </c>
      <c r="BY7" s="1">
        <f t="shared" ca="1" si="45"/>
        <v>7.655051846987844E-2</v>
      </c>
      <c r="BZ7" s="1">
        <f t="shared" ca="1" si="46"/>
        <v>0.12416079945611103</v>
      </c>
      <c r="CB7" s="1">
        <f t="shared" ca="1" si="47"/>
        <v>259</v>
      </c>
      <c r="CC7" s="1">
        <f t="shared" ca="1" si="48"/>
        <v>10</v>
      </c>
      <c r="CD7" s="1">
        <f t="shared" ca="1" si="49"/>
        <v>0.16969256460920151</v>
      </c>
      <c r="CE7" s="1">
        <f t="shared" ca="1" si="50"/>
        <v>0.56590790014701575</v>
      </c>
      <c r="CF7" s="1">
        <f t="shared" ca="1" si="50"/>
        <v>0.55628916964075881</v>
      </c>
      <c r="CH7" s="3">
        <f t="shared" ca="1" si="51"/>
        <v>0.86083158804669169</v>
      </c>
      <c r="CI7" s="3">
        <f t="shared" ca="1" si="52"/>
        <v>0.25024173400065491</v>
      </c>
      <c r="CJ7" s="3">
        <f t="shared" ca="1" si="53"/>
        <v>1371</v>
      </c>
      <c r="CK7" s="3">
        <f t="shared" ca="1" si="54"/>
        <v>5.0336803865019793E-3</v>
      </c>
      <c r="CL7" s="3">
        <f t="shared" ca="1" si="55"/>
        <v>1</v>
      </c>
      <c r="CM7" s="3"/>
      <c r="CN7" s="1">
        <f t="shared" ca="1" si="56"/>
        <v>16.8456180686983</v>
      </c>
      <c r="CO7" s="1">
        <f t="shared" ca="1" si="57"/>
        <v>0.14953503127534251</v>
      </c>
      <c r="CP7" s="1">
        <f t="shared" ca="1" si="58"/>
        <v>2</v>
      </c>
      <c r="CV7" s="1">
        <f t="shared" ca="1" si="59"/>
        <v>4.4489779926064275</v>
      </c>
      <c r="CW7" s="1">
        <f t="shared" ca="1" si="60"/>
        <v>1112</v>
      </c>
      <c r="CX7" s="1">
        <f t="shared" ca="1" si="61"/>
        <v>5.828923263021004E-3</v>
      </c>
      <c r="DH7" s="1">
        <f t="shared" ca="1" si="62"/>
        <v>132</v>
      </c>
      <c r="DI7" s="1">
        <f t="shared" ca="1" si="63"/>
        <v>8.7256513662114524E-2</v>
      </c>
      <c r="DJ7" s="1">
        <f t="shared" ca="1" si="64"/>
        <v>3</v>
      </c>
      <c r="DL7" s="1">
        <f t="shared" ca="1" si="65"/>
        <v>8.6815421666899928E-2</v>
      </c>
      <c r="DM7" s="1">
        <f t="shared" ca="1" si="66"/>
        <v>132</v>
      </c>
      <c r="DN7" s="1">
        <f t="shared" ca="1" si="67"/>
        <v>10</v>
      </c>
      <c r="DS7" s="1">
        <f t="shared" ca="1" si="68"/>
        <v>0.43838521734410996</v>
      </c>
      <c r="DT7" s="1">
        <f t="shared" ca="1" si="69"/>
        <v>2.4266885208464989E-3</v>
      </c>
      <c r="DU7" s="1">
        <f t="shared" ca="1" si="70"/>
        <v>0</v>
      </c>
    </row>
    <row r="8" spans="2:125" x14ac:dyDescent="0.25">
      <c r="B8">
        <f t="shared" ca="1" si="0"/>
        <v>995</v>
      </c>
      <c r="C8">
        <f t="shared" ca="1" si="1"/>
        <v>46</v>
      </c>
      <c r="D8">
        <f t="shared" ca="1" si="2"/>
        <v>0.19720195896536444</v>
      </c>
      <c r="F8" s="1">
        <f t="shared" ca="1" si="3"/>
        <v>13</v>
      </c>
      <c r="G8" s="1">
        <f t="shared" ca="1" si="4"/>
        <v>25</v>
      </c>
      <c r="H8" s="1">
        <f t="shared" ca="1" si="5"/>
        <v>15</v>
      </c>
      <c r="I8" s="1"/>
      <c r="J8" s="1">
        <f t="shared" ca="1" si="6"/>
        <v>23</v>
      </c>
      <c r="K8" s="1">
        <f t="shared" ca="1" si="7"/>
        <v>1.2977980083698035</v>
      </c>
      <c r="L8" s="1">
        <f t="shared" ca="1" si="8"/>
        <v>18</v>
      </c>
      <c r="M8" s="1"/>
      <c r="N8" s="1">
        <f t="shared" ca="1" si="9"/>
        <v>888</v>
      </c>
      <c r="O8" s="1">
        <f t="shared" ca="1" si="10"/>
        <v>17</v>
      </c>
      <c r="P8" s="1"/>
      <c r="Q8" s="1">
        <f t="shared" ca="1" si="11"/>
        <v>1.000802540543468</v>
      </c>
      <c r="R8" s="1">
        <f t="shared" ca="1" si="12"/>
        <v>823</v>
      </c>
      <c r="S8" s="1"/>
      <c r="T8" s="1">
        <f t="shared" ca="1" si="13"/>
        <v>0.18071733682594221</v>
      </c>
      <c r="U8" s="1">
        <f t="shared" ca="1" si="14"/>
        <v>135</v>
      </c>
      <c r="V8" s="1">
        <f t="shared" ca="1" si="15"/>
        <v>36</v>
      </c>
      <c r="W8" s="1"/>
      <c r="X8" s="1">
        <f t="shared" ca="1" si="16"/>
        <v>4.7222899365098412</v>
      </c>
      <c r="Y8" s="1">
        <f t="shared" ca="1" si="17"/>
        <v>0.29086535909849542</v>
      </c>
      <c r="Z8" s="1">
        <f t="shared" ca="1" si="18"/>
        <v>959</v>
      </c>
      <c r="AB8" s="1">
        <f t="shared" ca="1" si="19"/>
        <v>0.79153962041145876</v>
      </c>
      <c r="AC8" s="1">
        <f t="shared" ca="1" si="20"/>
        <v>434</v>
      </c>
      <c r="AD8" s="1">
        <f t="shared" ca="1" si="21"/>
        <v>5.0947800961563166E-3</v>
      </c>
      <c r="AE8" s="1"/>
      <c r="AF8" s="1">
        <f t="shared" ca="1" si="22"/>
        <v>0.25814751640496408</v>
      </c>
      <c r="AG8" s="1">
        <f t="shared" ca="1" si="23"/>
        <v>474</v>
      </c>
      <c r="AH8" s="1">
        <f t="shared" ca="1" si="24"/>
        <v>2.0295580150623722E-3</v>
      </c>
      <c r="AJ8" s="1">
        <f t="shared" ca="1" si="25"/>
        <v>0.30243126427355249</v>
      </c>
      <c r="AK8" s="1">
        <f t="shared" ca="1" si="26"/>
        <v>2.4889940293586019E-3</v>
      </c>
      <c r="AL8" s="1"/>
      <c r="AM8" s="1">
        <f t="shared" ca="1" si="27"/>
        <v>5.9104041466837398E-2</v>
      </c>
      <c r="AN8" s="1">
        <f t="shared" ca="1" si="28"/>
        <v>68</v>
      </c>
      <c r="AO8" s="1">
        <f t="shared" ca="1" si="29"/>
        <v>12</v>
      </c>
      <c r="AQ8" s="1">
        <f t="shared" ca="1" si="30"/>
        <v>78</v>
      </c>
      <c r="AR8" s="1">
        <f t="shared" ca="1" si="31"/>
        <v>8</v>
      </c>
      <c r="AS8" s="1">
        <f t="shared" ca="1" si="32"/>
        <v>30</v>
      </c>
      <c r="AU8" s="1">
        <f t="shared" ca="1" si="33"/>
        <v>121</v>
      </c>
      <c r="AV8" s="1">
        <f t="shared" ca="1" si="34"/>
        <v>10</v>
      </c>
      <c r="AW8" s="1">
        <f t="shared" ca="1" si="35"/>
        <v>4.0637004874238547E-2</v>
      </c>
      <c r="AY8" s="1">
        <f t="shared" ca="1" si="36"/>
        <v>1.4708030484089081</v>
      </c>
      <c r="AZ8" s="1">
        <f t="shared" ca="1" si="37"/>
        <v>156</v>
      </c>
      <c r="BA8" s="1">
        <f t="shared" ca="1" si="38"/>
        <v>8.9780916462096298E-3</v>
      </c>
      <c r="BG8" s="1">
        <f t="shared" ca="1" si="39"/>
        <v>0.19849428725924195</v>
      </c>
      <c r="BH8" s="1">
        <f t="shared" ca="1" si="40"/>
        <v>6.3922288434480889E-2</v>
      </c>
      <c r="BI8" s="1">
        <f t="shared" ca="1" si="41"/>
        <v>846</v>
      </c>
      <c r="BV8" s="1">
        <f t="shared" ca="1" si="42"/>
        <v>0.46542571159459173</v>
      </c>
      <c r="BW8" s="1">
        <f t="shared" ca="1" si="43"/>
        <v>259</v>
      </c>
      <c r="BX8" s="1">
        <f t="shared" ca="1" si="44"/>
        <v>6.6441851711183716E-3</v>
      </c>
      <c r="BY8" s="1">
        <f t="shared" ca="1" si="45"/>
        <v>5.9935758201182091E-2</v>
      </c>
      <c r="BZ8" s="1">
        <f t="shared" ca="1" si="46"/>
        <v>0.73943612483240106</v>
      </c>
      <c r="CB8" s="1">
        <f t="shared" ca="1" si="47"/>
        <v>237</v>
      </c>
      <c r="CC8" s="1">
        <f t="shared" ca="1" si="48"/>
        <v>15</v>
      </c>
      <c r="CD8" s="1">
        <f t="shared" ca="1" si="49"/>
        <v>3.9229048945740932E-2</v>
      </c>
      <c r="CE8" s="1">
        <f t="shared" ca="1" si="50"/>
        <v>0.87465407009076679</v>
      </c>
      <c r="CF8" s="1">
        <f t="shared" ca="1" si="50"/>
        <v>0.56729603718774491</v>
      </c>
      <c r="CH8" s="3">
        <f t="shared" ca="1" si="51"/>
        <v>0.94133250538356539</v>
      </c>
      <c r="CI8" s="3">
        <f t="shared" ca="1" si="52"/>
        <v>0.35988370343935622</v>
      </c>
      <c r="CJ8" s="3">
        <f t="shared" ca="1" si="53"/>
        <v>1642</v>
      </c>
      <c r="CK8" s="3">
        <f t="shared" ca="1" si="54"/>
        <v>1.0006136958643328E-3</v>
      </c>
      <c r="CL8" s="3">
        <f t="shared" ca="1" si="55"/>
        <v>1</v>
      </c>
      <c r="CM8" s="3"/>
      <c r="CN8" s="1">
        <f t="shared" ca="1" si="56"/>
        <v>8.0584056062711742</v>
      </c>
      <c r="CO8" s="1">
        <f t="shared" ca="1" si="57"/>
        <v>3.5767741998793637E-2</v>
      </c>
      <c r="CP8" s="1">
        <f t="shared" ca="1" si="58"/>
        <v>2</v>
      </c>
      <c r="CV8" s="1">
        <f t="shared" ca="1" si="59"/>
        <v>6.7356576523201568</v>
      </c>
      <c r="CW8" s="1">
        <f t="shared" ca="1" si="60"/>
        <v>1740</v>
      </c>
      <c r="CX8" s="1">
        <f t="shared" ca="1" si="61"/>
        <v>6.3231251752442208E-3</v>
      </c>
      <c r="DH8" s="1">
        <f t="shared" ca="1" si="62"/>
        <v>57</v>
      </c>
      <c r="DI8" s="1">
        <f t="shared" ca="1" si="63"/>
        <v>0.45663083550859029</v>
      </c>
      <c r="DJ8" s="1">
        <f t="shared" ca="1" si="64"/>
        <v>19</v>
      </c>
      <c r="DL8" s="1">
        <f t="shared" ca="1" si="65"/>
        <v>8.2218021966033103E-2</v>
      </c>
      <c r="DM8" s="1">
        <f t="shared" ca="1" si="66"/>
        <v>245</v>
      </c>
      <c r="DN8" s="1">
        <f t="shared" ca="1" si="67"/>
        <v>9</v>
      </c>
    </row>
    <row r="9" spans="2:125" x14ac:dyDescent="0.25">
      <c r="B9">
        <f t="shared" ca="1" si="0"/>
        <v>872</v>
      </c>
      <c r="C9">
        <f t="shared" ca="1" si="1"/>
        <v>13</v>
      </c>
      <c r="D9">
        <f t="shared" ca="1" si="2"/>
        <v>0.20578379402294891</v>
      </c>
      <c r="F9" s="1">
        <f t="shared" ca="1" si="3"/>
        <v>49</v>
      </c>
      <c r="G9" s="1">
        <f t="shared" ca="1" si="4"/>
        <v>5</v>
      </c>
      <c r="H9" s="1">
        <f t="shared" ca="1" si="5"/>
        <v>2</v>
      </c>
      <c r="I9" s="1"/>
      <c r="J9" s="1">
        <f t="shared" ca="1" si="6"/>
        <v>26</v>
      </c>
      <c r="K9" s="1">
        <f t="shared" ca="1" si="7"/>
        <v>1.0202329603166105</v>
      </c>
      <c r="L9" s="1">
        <f t="shared" ca="1" si="8"/>
        <v>32</v>
      </c>
      <c r="M9" s="1"/>
      <c r="N9" s="1">
        <f t="shared" ca="1" si="9"/>
        <v>678</v>
      </c>
      <c r="O9" s="1">
        <f t="shared" ca="1" si="10"/>
        <v>10</v>
      </c>
      <c r="P9" s="1"/>
      <c r="Q9" s="1">
        <f t="shared" ca="1" si="11"/>
        <v>3.6851120761811234</v>
      </c>
      <c r="R9" s="1">
        <f t="shared" ca="1" si="12"/>
        <v>1138</v>
      </c>
      <c r="S9" s="1"/>
      <c r="T9" s="1">
        <f t="shared" ca="1" si="13"/>
        <v>0.17997944762074358</v>
      </c>
      <c r="U9" s="1">
        <f t="shared" ca="1" si="14"/>
        <v>325</v>
      </c>
      <c r="V9" s="1">
        <f t="shared" ca="1" si="15"/>
        <v>50</v>
      </c>
      <c r="W9" s="1"/>
      <c r="X9" s="1">
        <f t="shared" ca="1" si="16"/>
        <v>1.9577314069677101</v>
      </c>
      <c r="Y9" s="1">
        <f t="shared" ca="1" si="17"/>
        <v>0.76031061543874157</v>
      </c>
      <c r="Z9" s="1">
        <f t="shared" ca="1" si="18"/>
        <v>341</v>
      </c>
      <c r="AB9" s="1">
        <f t="shared" ca="1" si="19"/>
        <v>0.51893515923638645</v>
      </c>
      <c r="AC9" s="1">
        <f t="shared" ca="1" si="20"/>
        <v>195</v>
      </c>
      <c r="AD9" s="1">
        <f t="shared" ca="1" si="21"/>
        <v>9.8093469617764745E-3</v>
      </c>
      <c r="AE9" s="1"/>
      <c r="AF9" s="1">
        <f t="shared" ca="1" si="22"/>
        <v>0.26997298761199184</v>
      </c>
      <c r="AG9" s="1">
        <f t="shared" ca="1" si="23"/>
        <v>713</v>
      </c>
      <c r="AH9" s="1">
        <f t="shared" ca="1" si="24"/>
        <v>8.9866960592337088E-3</v>
      </c>
      <c r="AJ9" s="1">
        <f t="shared" ca="1" si="25"/>
        <v>0.79142959579818695</v>
      </c>
      <c r="AK9" s="1">
        <f t="shared" ca="1" si="26"/>
        <v>2.9160935875329605E-3</v>
      </c>
      <c r="AL9" s="1"/>
      <c r="AM9" s="1">
        <f t="shared" ca="1" si="27"/>
        <v>0.11973354274238843</v>
      </c>
      <c r="AN9" s="1">
        <f t="shared" ca="1" si="28"/>
        <v>73</v>
      </c>
      <c r="AO9" s="1">
        <f t="shared" ca="1" si="29"/>
        <v>-1</v>
      </c>
      <c r="AQ9" s="1">
        <f t="shared" ca="1" si="30"/>
        <v>61</v>
      </c>
      <c r="AR9" s="1">
        <f t="shared" ca="1" si="31"/>
        <v>8</v>
      </c>
      <c r="AS9" s="1">
        <f t="shared" ca="1" si="32"/>
        <v>87</v>
      </c>
      <c r="AU9" s="1">
        <f t="shared" ca="1" si="33"/>
        <v>213</v>
      </c>
      <c r="AV9" s="1">
        <f t="shared" ca="1" si="34"/>
        <v>6</v>
      </c>
      <c r="AW9" s="1">
        <f t="shared" ca="1" si="35"/>
        <v>0.15547600422165833</v>
      </c>
      <c r="AY9" s="1">
        <f t="shared" ca="1" si="36"/>
        <v>1.4201723819944323</v>
      </c>
      <c r="AZ9" s="1">
        <f t="shared" ca="1" si="37"/>
        <v>322</v>
      </c>
      <c r="BA9" s="1">
        <f t="shared" ca="1" si="38"/>
        <v>2.0017687399993453E-3</v>
      </c>
      <c r="BG9" s="1">
        <f t="shared" ca="1" si="39"/>
        <v>8.3932206749804505E-2</v>
      </c>
      <c r="BH9" s="1">
        <f t="shared" ca="1" si="40"/>
        <v>0.76391663339935545</v>
      </c>
      <c r="BI9" s="1">
        <f t="shared" ca="1" si="41"/>
        <v>161</v>
      </c>
      <c r="BV9" s="1">
        <f t="shared" ca="1" si="42"/>
        <v>0.76573508534098045</v>
      </c>
      <c r="BW9" s="1">
        <f t="shared" ca="1" si="43"/>
        <v>796</v>
      </c>
      <c r="BX9" s="1">
        <f t="shared" ca="1" si="44"/>
        <v>1.0161072326613427E-3</v>
      </c>
      <c r="BY9" s="1">
        <f t="shared" ca="1" si="45"/>
        <v>2.2383810637845222E-3</v>
      </c>
      <c r="BZ9" s="1">
        <f t="shared" ca="1" si="46"/>
        <v>0.6181501546122139</v>
      </c>
      <c r="CB9" s="1">
        <f t="shared" ca="1" si="47"/>
        <v>344</v>
      </c>
      <c r="CC9" s="1">
        <f t="shared" ca="1" si="48"/>
        <v>3</v>
      </c>
      <c r="CD9" s="1">
        <f t="shared" ca="1" si="49"/>
        <v>2.5116205428426762E-2</v>
      </c>
      <c r="CE9" s="1">
        <f t="shared" ca="1" si="50"/>
        <v>0.65662395044258304</v>
      </c>
      <c r="CF9" s="1">
        <f t="shared" ca="1" si="50"/>
        <v>0.85636231298376209</v>
      </c>
      <c r="CH9" s="3">
        <f t="shared" ca="1" si="51"/>
        <v>0.97741984079814026</v>
      </c>
      <c r="CI9" s="3">
        <f t="shared" ca="1" si="52"/>
        <v>0.65725297374765523</v>
      </c>
      <c r="CJ9" s="3">
        <f t="shared" ca="1" si="53"/>
        <v>1180</v>
      </c>
      <c r="CK9" s="3">
        <f t="shared" ca="1" si="54"/>
        <v>4.0802874074581889E-3</v>
      </c>
      <c r="CL9" s="3">
        <f t="shared" ca="1" si="55"/>
        <v>1</v>
      </c>
      <c r="CM9" s="3"/>
      <c r="CN9" s="1">
        <f t="shared" ca="1" si="56"/>
        <v>2.9585308944766351</v>
      </c>
      <c r="CO9" s="1">
        <f t="shared" ca="1" si="57"/>
        <v>9.5245801496463695E-3</v>
      </c>
      <c r="CP9" s="1">
        <f t="shared" ca="1" si="58"/>
        <v>5</v>
      </c>
      <c r="CV9" s="1">
        <f t="shared" ca="1" si="59"/>
        <v>9.7357711111673986</v>
      </c>
      <c r="CW9" s="1">
        <f t="shared" ca="1" si="60"/>
        <v>1456</v>
      </c>
      <c r="CX9" s="1">
        <f t="shared" ca="1" si="61"/>
        <v>1.156212719314615E-3</v>
      </c>
      <c r="DH9" s="1">
        <f t="shared" ca="1" si="62"/>
        <v>376</v>
      </c>
      <c r="DI9" s="1">
        <f t="shared" ca="1" si="63"/>
        <v>0.23052463650702745</v>
      </c>
      <c r="DJ9" s="1">
        <f t="shared" ca="1" si="64"/>
        <v>10</v>
      </c>
      <c r="DL9" s="1">
        <f t="shared" ca="1" si="65"/>
        <v>0.10316942484584091</v>
      </c>
      <c r="DM9" s="1">
        <f t="shared" ca="1" si="66"/>
        <v>197</v>
      </c>
      <c r="DN9" s="1">
        <f t="shared" ca="1" si="67"/>
        <v>3</v>
      </c>
    </row>
    <row r="10" spans="2:125" x14ac:dyDescent="0.25">
      <c r="B10">
        <f t="shared" ca="1" si="0"/>
        <v>692</v>
      </c>
      <c r="C10">
        <f t="shared" ca="1" si="1"/>
        <v>6</v>
      </c>
      <c r="D10">
        <f t="shared" ca="1" si="2"/>
        <v>0.16467475043052668</v>
      </c>
      <c r="F10" s="1">
        <f t="shared" ca="1" si="3"/>
        <v>42</v>
      </c>
      <c r="G10" s="1">
        <f t="shared" ca="1" si="4"/>
        <v>20</v>
      </c>
      <c r="H10" s="1">
        <f t="shared" ca="1" si="5"/>
        <v>5</v>
      </c>
      <c r="I10" s="1"/>
      <c r="J10" s="1">
        <f t="shared" ca="1" si="6"/>
        <v>4</v>
      </c>
      <c r="K10" s="1">
        <f t="shared" ca="1" si="7"/>
        <v>1.4845567946302276</v>
      </c>
      <c r="L10" s="1">
        <f t="shared" ca="1" si="8"/>
        <v>23</v>
      </c>
      <c r="M10" s="1"/>
      <c r="N10" s="1">
        <f t="shared" ca="1" si="9"/>
        <v>514</v>
      </c>
      <c r="O10" s="1">
        <f t="shared" ca="1" si="10"/>
        <v>2</v>
      </c>
      <c r="P10" s="1"/>
      <c r="Q10" s="1">
        <f t="shared" ca="1" si="11"/>
        <v>3.9775662567164982</v>
      </c>
      <c r="R10" s="1">
        <f t="shared" ca="1" si="12"/>
        <v>921</v>
      </c>
      <c r="S10" s="1"/>
      <c r="T10" s="1">
        <f t="shared" ca="1" si="13"/>
        <v>3.8645414901879775E-2</v>
      </c>
      <c r="U10" s="1">
        <f t="shared" ca="1" si="14"/>
        <v>277</v>
      </c>
      <c r="V10" s="1">
        <f t="shared" ca="1" si="15"/>
        <v>4</v>
      </c>
      <c r="W10" s="1"/>
      <c r="X10" s="1">
        <f t="shared" ca="1" si="16"/>
        <v>7.663478589465849</v>
      </c>
      <c r="Y10" s="1">
        <f t="shared" ca="1" si="17"/>
        <v>0.80312436322471981</v>
      </c>
      <c r="Z10" s="1">
        <f t="shared" ca="1" si="18"/>
        <v>713</v>
      </c>
      <c r="AB10" s="1">
        <f t="shared" ca="1" si="19"/>
        <v>0.48732789848008878</v>
      </c>
      <c r="AC10" s="1">
        <f t="shared" ca="1" si="20"/>
        <v>910</v>
      </c>
      <c r="AD10" s="1">
        <f t="shared" ca="1" si="21"/>
        <v>2.3141301689647434E-3</v>
      </c>
      <c r="AE10" s="1"/>
      <c r="AF10" s="1">
        <f t="shared" ca="1" si="22"/>
        <v>0.80664801204222791</v>
      </c>
      <c r="AG10" s="1">
        <f t="shared" ca="1" si="23"/>
        <v>610</v>
      </c>
      <c r="AH10" s="1">
        <f t="shared" ca="1" si="24"/>
        <v>6.3703978344672885E-3</v>
      </c>
      <c r="AJ10" s="1">
        <f t="shared" ca="1" si="25"/>
        <v>0.57820952945703019</v>
      </c>
      <c r="AK10" s="1">
        <f t="shared" ca="1" si="26"/>
        <v>6.2843109199556034E-3</v>
      </c>
      <c r="AL10" s="1"/>
      <c r="AM10" s="1">
        <f t="shared" ca="1" si="27"/>
        <v>3.6704079183442859E-2</v>
      </c>
      <c r="AN10" s="1">
        <f t="shared" ca="1" si="28"/>
        <v>57</v>
      </c>
      <c r="AO10" s="1">
        <f t="shared" ca="1" si="29"/>
        <v>3</v>
      </c>
      <c r="AQ10" s="1">
        <f t="shared" ca="1" si="30"/>
        <v>68</v>
      </c>
      <c r="AR10" s="1">
        <f t="shared" ca="1" si="31"/>
        <v>1</v>
      </c>
      <c r="AS10" s="1">
        <f t="shared" ca="1" si="32"/>
        <v>48</v>
      </c>
      <c r="AU10" s="1">
        <f t="shared" ca="1" si="33"/>
        <v>347</v>
      </c>
      <c r="AV10" s="1">
        <f t="shared" ca="1" si="34"/>
        <v>7</v>
      </c>
      <c r="AW10" s="1">
        <f t="shared" ca="1" si="35"/>
        <v>0.11306699839547178</v>
      </c>
      <c r="AY10" s="1">
        <f t="shared" ca="1" si="36"/>
        <v>1.8309996150820791</v>
      </c>
      <c r="AZ10" s="1">
        <f t="shared" ca="1" si="37"/>
        <v>468</v>
      </c>
      <c r="BA10" s="1">
        <f t="shared" ca="1" si="38"/>
        <v>1.0663458677217369E-3</v>
      </c>
      <c r="BG10" s="1">
        <f t="shared" ca="1" si="39"/>
        <v>0.55397887907810694</v>
      </c>
      <c r="BH10" s="1">
        <f t="shared" ca="1" si="40"/>
        <v>0.978737386575111</v>
      </c>
      <c r="BI10" s="1">
        <f t="shared" ca="1" si="41"/>
        <v>553</v>
      </c>
      <c r="BV10" s="1">
        <f t="shared" ca="1" si="42"/>
        <v>6.5448715869165328E-2</v>
      </c>
      <c r="BW10" s="1">
        <f t="shared" ca="1" si="43"/>
        <v>103</v>
      </c>
      <c r="BX10" s="1">
        <f t="shared" ca="1" si="44"/>
        <v>9.5259996022346374E-3</v>
      </c>
      <c r="BY10" s="1">
        <f t="shared" ca="1" si="45"/>
        <v>5.624727089538574E-2</v>
      </c>
      <c r="BZ10" s="1">
        <f t="shared" ca="1" si="46"/>
        <v>0.94311701058124053</v>
      </c>
      <c r="CB10" s="1">
        <f t="shared" ca="1" si="47"/>
        <v>62</v>
      </c>
      <c r="CC10" s="1">
        <f t="shared" ca="1" si="48"/>
        <v>3</v>
      </c>
      <c r="CD10" s="1">
        <f t="shared" ca="1" si="49"/>
        <v>0.11785455643650647</v>
      </c>
      <c r="CE10" s="1">
        <f t="shared" ca="1" si="50"/>
        <v>0.57130896975398371</v>
      </c>
      <c r="CF10" s="1">
        <f t="shared" ca="1" si="50"/>
        <v>0.93089347782799059</v>
      </c>
      <c r="CH10" s="3">
        <f t="shared" ca="1" si="51"/>
        <v>0.79342044900596331</v>
      </c>
      <c r="CI10" s="3">
        <f t="shared" ca="1" si="52"/>
        <v>9.0663148308614744E-2</v>
      </c>
      <c r="CJ10" s="3">
        <f t="shared" ca="1" si="53"/>
        <v>1460</v>
      </c>
      <c r="CK10" s="3">
        <f t="shared" ca="1" si="54"/>
        <v>5.4566904603943504E-3</v>
      </c>
      <c r="CL10" s="3">
        <f t="shared" ca="1" si="55"/>
        <v>1</v>
      </c>
      <c r="CM10" s="3"/>
      <c r="CN10" s="1">
        <f t="shared" ca="1" si="56"/>
        <v>6.4766368693021024</v>
      </c>
      <c r="CO10" s="1">
        <f t="shared" ca="1" si="57"/>
        <v>0.41817727284277301</v>
      </c>
      <c r="CP10" s="1">
        <f t="shared" ca="1" si="58"/>
        <v>2</v>
      </c>
      <c r="CV10" s="1">
        <f t="shared" ca="1" si="59"/>
        <v>6.7666389808431564</v>
      </c>
      <c r="CW10" s="1">
        <f t="shared" ca="1" si="60"/>
        <v>1693</v>
      </c>
      <c r="CX10" s="1">
        <f t="shared" ca="1" si="61"/>
        <v>8.2120223600971459E-3</v>
      </c>
      <c r="DH10" s="1">
        <f t="shared" ca="1" si="62"/>
        <v>871</v>
      </c>
      <c r="DI10" s="1">
        <f t="shared" ca="1" si="63"/>
        <v>0.5295239388419043</v>
      </c>
      <c r="DJ10" s="1">
        <f t="shared" ca="1" si="64"/>
        <v>26</v>
      </c>
      <c r="DL10" s="1">
        <f t="shared" ca="1" si="65"/>
        <v>0.16207287533291395</v>
      </c>
      <c r="DM10" s="1">
        <f t="shared" ca="1" si="66"/>
        <v>61</v>
      </c>
      <c r="DN10" s="1">
        <f t="shared" ca="1" si="67"/>
        <v>8</v>
      </c>
    </row>
    <row r="11" spans="2:125" x14ac:dyDescent="0.25">
      <c r="B11">
        <f t="shared" ca="1" si="0"/>
        <v>483</v>
      </c>
      <c r="C11">
        <f t="shared" ca="1" si="1"/>
        <v>8</v>
      </c>
      <c r="D11">
        <f t="shared" ca="1" si="2"/>
        <v>0.15437582540509132</v>
      </c>
      <c r="F11" s="1">
        <f t="shared" ca="1" si="3"/>
        <v>9</v>
      </c>
      <c r="G11" s="1">
        <f t="shared" ca="1" si="4"/>
        <v>4</v>
      </c>
      <c r="H11" s="1">
        <f t="shared" ca="1" si="5"/>
        <v>9</v>
      </c>
      <c r="I11" s="1"/>
      <c r="J11" s="1">
        <f t="shared" ca="1" si="6"/>
        <v>16</v>
      </c>
      <c r="K11" s="1">
        <f t="shared" ca="1" si="7"/>
        <v>2.4838020669813785</v>
      </c>
      <c r="L11" s="1">
        <f t="shared" ca="1" si="8"/>
        <v>23</v>
      </c>
      <c r="M11" s="1"/>
      <c r="N11" s="1">
        <f t="shared" ca="1" si="9"/>
        <v>106</v>
      </c>
      <c r="O11" s="1">
        <f t="shared" ca="1" si="10"/>
        <v>23</v>
      </c>
      <c r="P11" s="1"/>
      <c r="Q11" s="1">
        <f t="shared" ca="1" si="11"/>
        <v>1.8900733081375882</v>
      </c>
      <c r="R11" s="1">
        <f t="shared" ca="1" si="12"/>
        <v>898</v>
      </c>
      <c r="S11" s="1"/>
      <c r="T11" s="1">
        <f t="shared" ca="1" si="13"/>
        <v>1.8936072482026754E-2</v>
      </c>
      <c r="U11" s="1">
        <f t="shared" ca="1" si="14"/>
        <v>252</v>
      </c>
      <c r="V11" s="1">
        <f t="shared" ca="1" si="15"/>
        <v>2</v>
      </c>
      <c r="W11" s="1"/>
      <c r="X11" s="1">
        <f t="shared" ca="1" si="16"/>
        <v>0.52599816858815374</v>
      </c>
      <c r="Y11" s="1">
        <f t="shared" ca="1" si="17"/>
        <v>0.98129132929725016</v>
      </c>
      <c r="Z11" s="1">
        <f t="shared" ca="1" si="18"/>
        <v>258</v>
      </c>
      <c r="AB11" s="1">
        <f t="shared" ca="1" si="19"/>
        <v>0.5624887455948252</v>
      </c>
      <c r="AC11" s="1">
        <f t="shared" ca="1" si="20"/>
        <v>421</v>
      </c>
      <c r="AD11" s="1">
        <f t="shared" ca="1" si="21"/>
        <v>6.3164495900834838E-3</v>
      </c>
      <c r="AE11" s="1"/>
      <c r="AF11" s="1">
        <f t="shared" ca="1" si="22"/>
        <v>0.2976921183152198</v>
      </c>
      <c r="AG11" s="1">
        <f t="shared" ca="1" si="23"/>
        <v>258</v>
      </c>
      <c r="AH11" s="1">
        <f t="shared" ca="1" si="24"/>
        <v>6.5955255720466024E-3</v>
      </c>
      <c r="AJ11" s="1">
        <f t="shared" ca="1" si="25"/>
        <v>0.9579228735606824</v>
      </c>
      <c r="AK11" s="1">
        <f t="shared" ca="1" si="26"/>
        <v>9.5126833126186246E-3</v>
      </c>
      <c r="AL11" s="1"/>
      <c r="AM11" s="1">
        <f t="shared" ca="1" si="27"/>
        <v>5.7935578308012874E-2</v>
      </c>
      <c r="AN11" s="1">
        <f t="shared" ca="1" si="28"/>
        <v>66</v>
      </c>
      <c r="AO11" s="1">
        <f t="shared" ca="1" si="29"/>
        <v>0</v>
      </c>
      <c r="AQ11" s="1">
        <f t="shared" ca="1" si="30"/>
        <v>71</v>
      </c>
      <c r="AR11" s="1">
        <f t="shared" ca="1" si="31"/>
        <v>8</v>
      </c>
      <c r="AS11" s="1">
        <f t="shared" ca="1" si="32"/>
        <v>68</v>
      </c>
      <c r="AU11" s="1">
        <f t="shared" ca="1" si="33"/>
        <v>117</v>
      </c>
      <c r="AV11" s="1">
        <f t="shared" ca="1" si="34"/>
        <v>3</v>
      </c>
      <c r="AW11" s="1">
        <f t="shared" ca="1" si="35"/>
        <v>0.19212781414417848</v>
      </c>
      <c r="AY11" s="1">
        <f t="shared" ca="1" si="36"/>
        <v>1.31163450728659</v>
      </c>
      <c r="AZ11" s="1">
        <f t="shared" ca="1" si="37"/>
        <v>120</v>
      </c>
      <c r="BA11" s="1">
        <f t="shared" ca="1" si="38"/>
        <v>5.849742423972651E-3</v>
      </c>
      <c r="BG11" s="1">
        <f t="shared" ca="1" si="39"/>
        <v>6.6525577875188785E-2</v>
      </c>
      <c r="BH11" s="1">
        <f t="shared" ca="1" si="40"/>
        <v>0.58021216287058008</v>
      </c>
      <c r="BI11" s="1">
        <f t="shared" ca="1" si="41"/>
        <v>162</v>
      </c>
      <c r="BV11" s="1">
        <f t="shared" ca="1" si="42"/>
        <v>8.5082706593730101E-2</v>
      </c>
      <c r="BW11" s="1">
        <f t="shared" ca="1" si="43"/>
        <v>215</v>
      </c>
      <c r="BX11" s="1">
        <f t="shared" ca="1" si="44"/>
        <v>3.1905758194861514E-3</v>
      </c>
      <c r="BY11" s="1">
        <f t="shared" ca="1" si="45"/>
        <v>3.5805760478746132E-2</v>
      </c>
      <c r="BZ11" s="1">
        <f t="shared" ca="1" si="46"/>
        <v>0.39186516677924577</v>
      </c>
      <c r="CB11" s="1">
        <f t="shared" ca="1" si="47"/>
        <v>293</v>
      </c>
      <c r="CC11" s="1">
        <f t="shared" ca="1" si="48"/>
        <v>9</v>
      </c>
      <c r="CD11" s="1">
        <f t="shared" ca="1" si="49"/>
        <v>8.9405390995275141E-2</v>
      </c>
      <c r="CE11" s="1">
        <f t="shared" ca="1" si="50"/>
        <v>0.86378743924770118</v>
      </c>
      <c r="CF11" s="1">
        <f t="shared" ca="1" si="50"/>
        <v>0.89573257285451779</v>
      </c>
      <c r="CH11" s="3">
        <f t="shared" ca="1" si="51"/>
        <v>0.29752340873815197</v>
      </c>
      <c r="CI11" s="3">
        <f t="shared" ca="1" si="52"/>
        <v>5.2417135509258451E-2</v>
      </c>
      <c r="CJ11" s="3">
        <f t="shared" ca="1" si="53"/>
        <v>1173</v>
      </c>
      <c r="CK11" s="3">
        <f t="shared" ca="1" si="54"/>
        <v>6.2517408073278265E-3</v>
      </c>
      <c r="CL11" s="3">
        <f t="shared" ca="1" si="55"/>
        <v>0</v>
      </c>
      <c r="CM11" s="3"/>
      <c r="CN11" s="1">
        <f t="shared" ca="1" si="56"/>
        <v>19.661248207129034</v>
      </c>
      <c r="CO11" s="1">
        <f t="shared" ca="1" si="57"/>
        <v>0.49541913928677422</v>
      </c>
      <c r="CP11" s="1">
        <f t="shared" ca="1" si="58"/>
        <v>4</v>
      </c>
      <c r="CV11" s="1">
        <f t="shared" ca="1" si="59"/>
        <v>3.0412827686509507</v>
      </c>
      <c r="CW11" s="1">
        <f t="shared" ca="1" si="60"/>
        <v>516</v>
      </c>
      <c r="CX11" s="1">
        <f t="shared" ca="1" si="61"/>
        <v>9.7888704023572064E-3</v>
      </c>
      <c r="DH11" s="1">
        <f t="shared" ca="1" si="62"/>
        <v>345</v>
      </c>
      <c r="DI11" s="1">
        <f t="shared" ca="1" si="63"/>
        <v>0.58167169395808549</v>
      </c>
      <c r="DJ11" s="1">
        <f t="shared" ca="1" si="64"/>
        <v>6</v>
      </c>
      <c r="DL11" s="1">
        <f t="shared" ca="1" si="65"/>
        <v>0.1118843739185023</v>
      </c>
      <c r="DM11" s="1">
        <f t="shared" ca="1" si="66"/>
        <v>164</v>
      </c>
      <c r="DN11" s="1">
        <f t="shared" ca="1" si="67"/>
        <v>6</v>
      </c>
    </row>
    <row r="12" spans="2:125" x14ac:dyDescent="0.25">
      <c r="B12">
        <f t="shared" ca="1" si="0"/>
        <v>732</v>
      </c>
      <c r="C12">
        <f t="shared" ca="1" si="1"/>
        <v>20</v>
      </c>
      <c r="D12">
        <f t="shared" ca="1" si="2"/>
        <v>6.5601585080112879E-2</v>
      </c>
      <c r="F12" s="1">
        <f t="shared" ca="1" si="3"/>
        <v>36</v>
      </c>
      <c r="G12" s="1">
        <f t="shared" ca="1" si="4"/>
        <v>17</v>
      </c>
      <c r="H12" s="1">
        <f t="shared" ca="1" si="5"/>
        <v>15</v>
      </c>
      <c r="I12" s="1"/>
      <c r="J12" s="1">
        <f t="shared" ca="1" si="6"/>
        <v>33</v>
      </c>
      <c r="K12" s="1">
        <f t="shared" ca="1" si="7"/>
        <v>1.631038090666024</v>
      </c>
      <c r="L12" s="1">
        <f t="shared" ca="1" si="8"/>
        <v>27</v>
      </c>
      <c r="M12" s="1"/>
      <c r="N12" s="1">
        <f t="shared" ca="1" si="9"/>
        <v>50</v>
      </c>
      <c r="O12" s="1">
        <f t="shared" ca="1" si="10"/>
        <v>52</v>
      </c>
      <c r="P12" s="1"/>
      <c r="Q12" s="1">
        <f t="shared" ca="1" si="11"/>
        <v>4.3774022021810453</v>
      </c>
      <c r="R12" s="1">
        <f t="shared" ca="1" si="12"/>
        <v>842</v>
      </c>
      <c r="S12" s="1"/>
      <c r="T12" s="1">
        <f t="shared" ca="1" si="13"/>
        <v>0.19266251301589488</v>
      </c>
      <c r="U12" s="1">
        <f t="shared" ca="1" si="14"/>
        <v>140</v>
      </c>
      <c r="V12" s="1">
        <f t="shared" ca="1" si="15"/>
        <v>39</v>
      </c>
      <c r="W12" s="1"/>
      <c r="X12" s="1">
        <f t="shared" ca="1" si="16"/>
        <v>3.1092167533049846</v>
      </c>
      <c r="Y12" s="1">
        <f t="shared" ca="1" si="17"/>
        <v>0.99599820160767116</v>
      </c>
      <c r="Z12" s="1">
        <f t="shared" ca="1" si="18"/>
        <v>488</v>
      </c>
      <c r="AB12" s="1">
        <f t="shared" ca="1" si="19"/>
        <v>0.56996180303142174</v>
      </c>
      <c r="AC12" s="1">
        <f t="shared" ca="1" si="20"/>
        <v>513</v>
      </c>
      <c r="AD12" s="1">
        <f t="shared" ca="1" si="21"/>
        <v>3.510239704906817E-3</v>
      </c>
      <c r="AE12" s="1"/>
      <c r="AF12" s="1">
        <f t="shared" ca="1" si="22"/>
        <v>0.63255724598450092</v>
      </c>
      <c r="AG12" s="1">
        <f t="shared" ca="1" si="23"/>
        <v>980</v>
      </c>
      <c r="AH12" s="1">
        <f t="shared" ca="1" si="24"/>
        <v>4.3772884967652323E-3</v>
      </c>
      <c r="AJ12" s="1">
        <f t="shared" ca="1" si="25"/>
        <v>0.20195441185346374</v>
      </c>
      <c r="AK12" s="1">
        <f t="shared" ca="1" si="26"/>
        <v>3.6427237181106851E-3</v>
      </c>
      <c r="AL12" s="1"/>
      <c r="AM12" s="1">
        <f t="shared" ca="1" si="27"/>
        <v>0.12361630906161716</v>
      </c>
      <c r="AN12" s="1">
        <f t="shared" ca="1" si="28"/>
        <v>65</v>
      </c>
      <c r="AO12" s="1">
        <f t="shared" ca="1" si="29"/>
        <v>19</v>
      </c>
      <c r="AQ12" s="1">
        <f t="shared" ca="1" si="30"/>
        <v>36</v>
      </c>
      <c r="AR12" s="1">
        <f t="shared" ca="1" si="31"/>
        <v>0</v>
      </c>
      <c r="AS12" s="1">
        <f t="shared" ca="1" si="32"/>
        <v>56</v>
      </c>
      <c r="AU12" s="1">
        <f t="shared" ca="1" si="33"/>
        <v>396</v>
      </c>
      <c r="AV12" s="1">
        <f t="shared" ca="1" si="34"/>
        <v>8</v>
      </c>
      <c r="AW12" s="1">
        <f t="shared" ca="1" si="35"/>
        <v>5.0847054789519425E-2</v>
      </c>
      <c r="AY12" s="1">
        <f t="shared" ca="1" si="36"/>
        <v>1.8005433902071666</v>
      </c>
      <c r="AZ12" s="1">
        <f t="shared" ca="1" si="37"/>
        <v>137</v>
      </c>
      <c r="BA12" s="1">
        <f t="shared" ca="1" si="38"/>
        <v>2.6388047694405744E-3</v>
      </c>
      <c r="BG12" s="1">
        <f t="shared" ca="1" si="39"/>
        <v>4.7605996986791785E-2</v>
      </c>
      <c r="BH12" s="1">
        <f t="shared" ca="1" si="40"/>
        <v>2.2755258738380024E-2</v>
      </c>
      <c r="BI12" s="1">
        <f t="shared" ca="1" si="41"/>
        <v>363</v>
      </c>
      <c r="BV12" s="1">
        <f t="shared" ca="1" si="42"/>
        <v>0.34739438642501497</v>
      </c>
      <c r="BW12" s="1">
        <f t="shared" ca="1" si="43"/>
        <v>786</v>
      </c>
      <c r="BX12" s="1">
        <f t="shared" ca="1" si="44"/>
        <v>6.0343722713609976E-3</v>
      </c>
      <c r="BY12" s="1">
        <f t="shared" ca="1" si="45"/>
        <v>4.9311747581145425E-3</v>
      </c>
      <c r="BZ12" s="1">
        <f t="shared" ca="1" si="46"/>
        <v>0.14949515708650196</v>
      </c>
      <c r="CB12" s="1">
        <f t="shared" ca="1" si="47"/>
        <v>123</v>
      </c>
      <c r="CC12" s="1">
        <f t="shared" ca="1" si="48"/>
        <v>9</v>
      </c>
      <c r="CD12" s="1">
        <f t="shared" ca="1" si="49"/>
        <v>2.7890539170195808E-2</v>
      </c>
      <c r="CE12" s="1">
        <f t="shared" ca="1" si="50"/>
        <v>0.59476451492041749</v>
      </c>
      <c r="CF12" s="1">
        <f t="shared" ca="1" si="50"/>
        <v>0.91216508296431542</v>
      </c>
      <c r="CH12" s="3">
        <f t="shared" ca="1" si="51"/>
        <v>0.1290006936318504</v>
      </c>
      <c r="CI12" s="3">
        <f t="shared" ca="1" si="52"/>
        <v>0.69809460191538186</v>
      </c>
      <c r="CJ12" s="3">
        <f t="shared" ca="1" si="53"/>
        <v>1590</v>
      </c>
      <c r="CK12" s="3">
        <f t="shared" ca="1" si="54"/>
        <v>4.8066056586820328E-3</v>
      </c>
      <c r="CL12" s="3">
        <f t="shared" ca="1" si="55"/>
        <v>0</v>
      </c>
      <c r="CM12" s="3"/>
      <c r="CN12" s="1">
        <f t="shared" ca="1" si="56"/>
        <v>19.49141075794693</v>
      </c>
      <c r="CO12" s="1">
        <f t="shared" ca="1" si="57"/>
        <v>2.7521443020215187E-2</v>
      </c>
      <c r="CP12" s="1">
        <f t="shared" ca="1" si="58"/>
        <v>2</v>
      </c>
      <c r="CV12" s="1">
        <f t="shared" ca="1" si="59"/>
        <v>7.4249707327682</v>
      </c>
      <c r="CW12" s="1">
        <f t="shared" ca="1" si="60"/>
        <v>1898</v>
      </c>
      <c r="CX12" s="1">
        <f t="shared" ca="1" si="61"/>
        <v>6.8487445681952482E-3</v>
      </c>
      <c r="DH12" s="1">
        <f t="shared" ca="1" si="62"/>
        <v>458</v>
      </c>
      <c r="DI12" s="1">
        <f t="shared" ca="1" si="63"/>
        <v>0.75695949560454667</v>
      </c>
      <c r="DJ12" s="1">
        <f t="shared" ca="1" si="64"/>
        <v>11</v>
      </c>
      <c r="DL12" s="1">
        <f t="shared" ca="1" si="65"/>
        <v>0.19541419479958747</v>
      </c>
      <c r="DM12" s="1">
        <f t="shared" ca="1" si="66"/>
        <v>190</v>
      </c>
      <c r="DN12" s="1">
        <f t="shared" ca="1" si="67"/>
        <v>10</v>
      </c>
    </row>
    <row r="13" spans="2:125" x14ac:dyDescent="0.25">
      <c r="B13">
        <f t="shared" ca="1" si="0"/>
        <v>306</v>
      </c>
      <c r="C13">
        <f t="shared" ca="1" si="1"/>
        <v>41</v>
      </c>
      <c r="D13">
        <f t="shared" ca="1" si="2"/>
        <v>2.5950273366060442E-2</v>
      </c>
      <c r="F13" s="1">
        <f t="shared" ca="1" si="3"/>
        <v>20</v>
      </c>
      <c r="G13" s="1">
        <f t="shared" ca="1" si="4"/>
        <v>4</v>
      </c>
      <c r="H13" s="1">
        <f t="shared" ca="1" si="5"/>
        <v>5</v>
      </c>
      <c r="I13" s="1"/>
      <c r="J13" s="1">
        <f t="shared" ca="1" si="6"/>
        <v>6</v>
      </c>
      <c r="K13" s="1">
        <f t="shared" ca="1" si="7"/>
        <v>1.3280471760483989</v>
      </c>
      <c r="L13" s="1">
        <f t="shared" ca="1" si="8"/>
        <v>20</v>
      </c>
      <c r="M13" s="1"/>
      <c r="N13" s="1">
        <f t="shared" ca="1" si="9"/>
        <v>183</v>
      </c>
      <c r="O13" s="1">
        <f t="shared" ca="1" si="10"/>
        <v>32</v>
      </c>
      <c r="P13" s="1"/>
      <c r="Q13" s="1">
        <f t="shared" ca="1" si="11"/>
        <v>3.082893007097343</v>
      </c>
      <c r="R13" s="1">
        <f t="shared" ca="1" si="12"/>
        <v>901</v>
      </c>
      <c r="S13" s="1"/>
      <c r="T13" s="1">
        <f t="shared" ca="1" si="13"/>
        <v>0.10977939463915605</v>
      </c>
      <c r="U13" s="1">
        <f t="shared" ca="1" si="14"/>
        <v>75</v>
      </c>
      <c r="V13" s="1">
        <f t="shared" ca="1" si="15"/>
        <v>33</v>
      </c>
      <c r="W13" s="1"/>
      <c r="X13" s="1">
        <f t="shared" ca="1" si="16"/>
        <v>1.1549957312438401</v>
      </c>
      <c r="Y13" s="1">
        <f t="shared" ca="1" si="17"/>
        <v>0.53057392893797306</v>
      </c>
      <c r="Z13" s="1">
        <f t="shared" ca="1" si="18"/>
        <v>1335</v>
      </c>
      <c r="AB13" s="1">
        <f t="shared" ca="1" si="19"/>
        <v>0.97478117063087988</v>
      </c>
      <c r="AC13" s="1">
        <f t="shared" ca="1" si="20"/>
        <v>890</v>
      </c>
      <c r="AD13" s="1">
        <f t="shared" ca="1" si="21"/>
        <v>5.3867068137052653E-3</v>
      </c>
      <c r="AE13" s="1"/>
      <c r="AF13" s="1">
        <f t="shared" ca="1" si="22"/>
        <v>0.75899756484121805</v>
      </c>
      <c r="AG13" s="1">
        <f t="shared" ca="1" si="23"/>
        <v>620</v>
      </c>
      <c r="AH13" s="1">
        <f t="shared" ca="1" si="24"/>
        <v>9.7668399536436808E-4</v>
      </c>
      <c r="AJ13" s="1">
        <f t="shared" ca="1" si="25"/>
        <v>0.17690194003017179</v>
      </c>
      <c r="AK13" s="1">
        <f t="shared" ca="1" si="26"/>
        <v>2.194804164614845E-3</v>
      </c>
      <c r="AL13" s="1"/>
      <c r="AM13" s="1">
        <f t="shared" ca="1" si="27"/>
        <v>1.0312647666039537E-2</v>
      </c>
      <c r="AN13" s="1">
        <f t="shared" ca="1" si="28"/>
        <v>45</v>
      </c>
      <c r="AO13" s="1">
        <f t="shared" ca="1" si="29"/>
        <v>8</v>
      </c>
      <c r="AQ13" s="1">
        <f t="shared" ca="1" si="30"/>
        <v>85</v>
      </c>
      <c r="AR13" s="1">
        <f t="shared" ca="1" si="31"/>
        <v>2</v>
      </c>
      <c r="AS13" s="1">
        <f t="shared" ca="1" si="32"/>
        <v>30</v>
      </c>
      <c r="AU13" s="1">
        <f t="shared" ca="1" si="33"/>
        <v>71</v>
      </c>
      <c r="AV13" s="1">
        <f t="shared" ca="1" si="34"/>
        <v>2</v>
      </c>
      <c r="AW13" s="1">
        <f t="shared" ca="1" si="35"/>
        <v>0.13546751275967192</v>
      </c>
      <c r="AY13" s="1">
        <f t="shared" ca="1" si="36"/>
        <v>1.1594303931843777</v>
      </c>
      <c r="AZ13" s="1">
        <f t="shared" ca="1" si="37"/>
        <v>264</v>
      </c>
      <c r="BA13" s="1">
        <f t="shared" ca="1" si="38"/>
        <v>8.8004326583743311E-3</v>
      </c>
      <c r="BG13" s="1">
        <f t="shared" ca="1" si="39"/>
        <v>0.16602641585931682</v>
      </c>
      <c r="BH13" s="1">
        <f t="shared" ca="1" si="40"/>
        <v>0.29342774663540983</v>
      </c>
      <c r="BI13" s="1">
        <f t="shared" ca="1" si="41"/>
        <v>733</v>
      </c>
      <c r="BV13" s="1">
        <f t="shared" ca="1" si="42"/>
        <v>0.28506510981058125</v>
      </c>
      <c r="BW13" s="1">
        <f t="shared" ca="1" si="43"/>
        <v>846</v>
      </c>
      <c r="BX13" s="1">
        <f t="shared" ca="1" si="44"/>
        <v>9.7063552897622704E-4</v>
      </c>
      <c r="BY13" s="1">
        <f t="shared" ca="1" si="45"/>
        <v>9.3301174496630071E-2</v>
      </c>
      <c r="BZ13" s="1">
        <f t="shared" ca="1" si="46"/>
        <v>0.46123675732590941</v>
      </c>
      <c r="CB13" s="1">
        <f t="shared" ca="1" si="47"/>
        <v>469</v>
      </c>
      <c r="CC13" s="1">
        <f t="shared" ca="1" si="48"/>
        <v>8</v>
      </c>
      <c r="CD13" s="1">
        <f t="shared" ca="1" si="49"/>
        <v>9.4198095113070118E-2</v>
      </c>
      <c r="CE13" s="1">
        <f t="shared" ca="1" si="50"/>
        <v>0.66413715053780908</v>
      </c>
      <c r="CF13" s="1">
        <f t="shared" ca="1" si="50"/>
        <v>0.58288779878515218</v>
      </c>
      <c r="CH13" s="3">
        <f t="shared" ca="1" si="51"/>
        <v>0.65551389947960226</v>
      </c>
      <c r="CI13" s="3">
        <f t="shared" ca="1" si="52"/>
        <v>0.91304750552581582</v>
      </c>
      <c r="CJ13" s="3">
        <f t="shared" ca="1" si="53"/>
        <v>1633</v>
      </c>
      <c r="CK13" s="3">
        <f t="shared" ca="1" si="54"/>
        <v>3.8071544077336473E-3</v>
      </c>
      <c r="CL13" s="3">
        <f t="shared" ca="1" si="55"/>
        <v>1</v>
      </c>
      <c r="CM13" s="3"/>
      <c r="CN13" s="1">
        <f t="shared" ca="1" si="56"/>
        <v>3.4398558091779301</v>
      </c>
      <c r="CO13" s="1">
        <f t="shared" ca="1" si="57"/>
        <v>0.15879707832702789</v>
      </c>
      <c r="CP13" s="1">
        <f t="shared" ca="1" si="58"/>
        <v>5</v>
      </c>
      <c r="CV13" s="1">
        <f t="shared" ca="1" si="59"/>
        <v>5.0088968018323934</v>
      </c>
      <c r="CW13" s="1">
        <f t="shared" ca="1" si="60"/>
        <v>832</v>
      </c>
      <c r="CX13" s="1">
        <f t="shared" ca="1" si="61"/>
        <v>4.9531378114476112E-3</v>
      </c>
      <c r="DH13" s="1">
        <f t="shared" ca="1" si="62"/>
        <v>547</v>
      </c>
      <c r="DI13" s="1">
        <f t="shared" ca="1" si="63"/>
        <v>0.25019975705145608</v>
      </c>
      <c r="DJ13" s="1">
        <f t="shared" ca="1" si="64"/>
        <v>19</v>
      </c>
      <c r="DL13" s="1">
        <f t="shared" ca="1" si="65"/>
        <v>0.19966020419494396</v>
      </c>
      <c r="DM13" s="1">
        <f t="shared" ca="1" si="66"/>
        <v>217</v>
      </c>
      <c r="DN13" s="1">
        <f t="shared" ca="1" si="67"/>
        <v>9</v>
      </c>
    </row>
    <row r="14" spans="2:125" x14ac:dyDescent="0.25">
      <c r="B14">
        <f t="shared" ca="1" si="0"/>
        <v>854</v>
      </c>
      <c r="C14">
        <f t="shared" ca="1" si="1"/>
        <v>16</v>
      </c>
      <c r="D14">
        <f t="shared" ca="1" si="2"/>
        <v>0.27143126434482284</v>
      </c>
      <c r="F14" s="1">
        <f t="shared" ca="1" si="3"/>
        <v>37</v>
      </c>
      <c r="G14" s="1">
        <f t="shared" ca="1" si="4"/>
        <v>15</v>
      </c>
      <c r="H14" s="1">
        <f t="shared" ca="1" si="5"/>
        <v>4</v>
      </c>
      <c r="I14" s="1"/>
      <c r="J14" s="1">
        <f t="shared" ca="1" si="6"/>
        <v>5</v>
      </c>
      <c r="K14" s="1">
        <f t="shared" ca="1" si="7"/>
        <v>2.4393477989332801</v>
      </c>
      <c r="L14" s="1">
        <f t="shared" ca="1" si="8"/>
        <v>30</v>
      </c>
      <c r="M14" s="1"/>
      <c r="N14" s="1">
        <f t="shared" ca="1" si="9"/>
        <v>997</v>
      </c>
      <c r="O14" s="1">
        <f t="shared" ca="1" si="10"/>
        <v>16</v>
      </c>
      <c r="P14" s="1"/>
      <c r="Q14" s="1">
        <f t="shared" ca="1" si="11"/>
        <v>1.294775454200197</v>
      </c>
      <c r="R14" s="1">
        <f t="shared" ca="1" si="12"/>
        <v>353</v>
      </c>
      <c r="S14" s="1"/>
      <c r="T14" s="1">
        <f t="shared" ca="1" si="13"/>
        <v>0.10247552383765281</v>
      </c>
      <c r="U14" s="1">
        <f t="shared" ca="1" si="14"/>
        <v>232</v>
      </c>
      <c r="V14" s="1">
        <f t="shared" ca="1" si="15"/>
        <v>34</v>
      </c>
      <c r="W14" s="1"/>
      <c r="X14" s="1">
        <f t="shared" ca="1" si="16"/>
        <v>3.8150040480801231</v>
      </c>
      <c r="Y14" s="1">
        <f t="shared" ca="1" si="17"/>
        <v>0.76710576303437816</v>
      </c>
      <c r="Z14" s="1">
        <f t="shared" ca="1" si="18"/>
        <v>629</v>
      </c>
      <c r="AB14" s="1">
        <f t="shared" ca="1" si="19"/>
        <v>2.5357779991063457E-2</v>
      </c>
      <c r="AC14" s="1">
        <f t="shared" ca="1" si="20"/>
        <v>256</v>
      </c>
      <c r="AD14" s="1">
        <f t="shared" ca="1" si="21"/>
        <v>7.9337992370216021E-3</v>
      </c>
      <c r="AE14" s="1"/>
      <c r="AF14" s="1">
        <f t="shared" ca="1" si="22"/>
        <v>0.270990602962486</v>
      </c>
      <c r="AG14" s="1">
        <f t="shared" ca="1" si="23"/>
        <v>470</v>
      </c>
      <c r="AH14" s="1">
        <f t="shared" ca="1" si="24"/>
        <v>3.3714081545276036E-3</v>
      </c>
      <c r="AJ14" s="1">
        <f t="shared" ca="1" si="25"/>
        <v>0.31669297277463426</v>
      </c>
      <c r="AK14" s="1">
        <f t="shared" ca="1" si="26"/>
        <v>9.7601969946742723E-3</v>
      </c>
      <c r="AL14" s="1"/>
      <c r="AM14" s="1">
        <f t="shared" ca="1" si="27"/>
        <v>0.1755727525574767</v>
      </c>
      <c r="AN14" s="1">
        <f t="shared" ca="1" si="28"/>
        <v>59</v>
      </c>
      <c r="AO14" s="1">
        <f t="shared" ca="1" si="29"/>
        <v>2</v>
      </c>
      <c r="AQ14" s="1">
        <f t="shared" ca="1" si="30"/>
        <v>67</v>
      </c>
      <c r="AR14" s="1">
        <f t="shared" ca="1" si="31"/>
        <v>5</v>
      </c>
      <c r="AS14" s="1">
        <f t="shared" ca="1" si="32"/>
        <v>31</v>
      </c>
      <c r="AU14" s="1">
        <f t="shared" ca="1" si="33"/>
        <v>312</v>
      </c>
      <c r="AV14" s="1">
        <f t="shared" ca="1" si="34"/>
        <v>3</v>
      </c>
      <c r="AW14" s="1">
        <f t="shared" ca="1" si="35"/>
        <v>5.2310658827274183E-2</v>
      </c>
      <c r="AY14" s="1">
        <f t="shared" ca="1" si="36"/>
        <v>1.368475203262943</v>
      </c>
      <c r="AZ14" s="1">
        <f t="shared" ca="1" si="37"/>
        <v>236</v>
      </c>
      <c r="BA14" s="1">
        <f t="shared" ca="1" si="38"/>
        <v>7.8838975726208422E-3</v>
      </c>
      <c r="BG14" s="1">
        <f t="shared" ca="1" si="39"/>
        <v>2.4644218256690872E-2</v>
      </c>
      <c r="BH14" s="1">
        <f t="shared" ca="1" si="40"/>
        <v>0.50284540962830537</v>
      </c>
      <c r="BI14" s="1">
        <f t="shared" ca="1" si="41"/>
        <v>344</v>
      </c>
      <c r="BV14" s="1">
        <f t="shared" ca="1" si="42"/>
        <v>0.1981345352215815</v>
      </c>
      <c r="BW14" s="1">
        <f t="shared" ca="1" si="43"/>
        <v>259</v>
      </c>
      <c r="BX14" s="1">
        <f t="shared" ca="1" si="44"/>
        <v>8.246200353140035E-3</v>
      </c>
      <c r="BY14" s="1">
        <f t="shared" ca="1" si="45"/>
        <v>5.0079303924485473E-2</v>
      </c>
      <c r="BZ14" s="1">
        <f t="shared" ca="1" si="46"/>
        <v>0.51382334540428043</v>
      </c>
      <c r="CB14" s="1">
        <f t="shared" ca="1" si="47"/>
        <v>396</v>
      </c>
      <c r="CC14" s="1">
        <f t="shared" ca="1" si="48"/>
        <v>4</v>
      </c>
      <c r="CD14" s="1">
        <f t="shared" ca="1" si="49"/>
        <v>0.16367538301716231</v>
      </c>
      <c r="CE14" s="1">
        <f t="shared" ca="1" si="50"/>
        <v>0.73938255385807827</v>
      </c>
      <c r="CF14" s="1">
        <f t="shared" ca="1" si="50"/>
        <v>0.66812266554607191</v>
      </c>
      <c r="CH14" s="3">
        <f t="shared" ca="1" si="51"/>
        <v>0.28419887373268399</v>
      </c>
      <c r="CI14" s="3">
        <f t="shared" ca="1" si="52"/>
        <v>0.56161948161680908</v>
      </c>
      <c r="CJ14" s="3">
        <f t="shared" ca="1" si="53"/>
        <v>780</v>
      </c>
      <c r="CK14" s="3">
        <f t="shared" ca="1" si="54"/>
        <v>3.1844808479684753E-3</v>
      </c>
      <c r="CL14" s="3">
        <f t="shared" ca="1" si="55"/>
        <v>1</v>
      </c>
      <c r="CM14" s="3"/>
      <c r="CN14" s="1">
        <f t="shared" ca="1" si="56"/>
        <v>10.258549110889232</v>
      </c>
      <c r="CO14" s="1">
        <f t="shared" ca="1" si="57"/>
        <v>0.26787858848677154</v>
      </c>
      <c r="CP14" s="1">
        <f t="shared" ca="1" si="58"/>
        <v>4</v>
      </c>
      <c r="CV14" s="1">
        <f t="shared" ca="1" si="59"/>
        <v>8.0357117145030053</v>
      </c>
      <c r="CW14" s="1">
        <f t="shared" ca="1" si="60"/>
        <v>229</v>
      </c>
      <c r="CX14" s="1">
        <f t="shared" ca="1" si="61"/>
        <v>9.1020222360708274E-3</v>
      </c>
      <c r="DH14" s="1">
        <f t="shared" ca="1" si="62"/>
        <v>40</v>
      </c>
      <c r="DI14" s="1">
        <f t="shared" ca="1" si="63"/>
        <v>0.99650259716966461</v>
      </c>
      <c r="DJ14" s="1">
        <f t="shared" ca="1" si="64"/>
        <v>16</v>
      </c>
      <c r="DL14" s="1">
        <f t="shared" ca="1" si="65"/>
        <v>0.12805306168383321</v>
      </c>
      <c r="DM14" s="1">
        <f t="shared" ca="1" si="66"/>
        <v>80</v>
      </c>
      <c r="DN14" s="1">
        <f t="shared" ca="1" si="67"/>
        <v>2</v>
      </c>
    </row>
    <row r="15" spans="2:125" x14ac:dyDescent="0.25">
      <c r="B15">
        <f t="shared" ca="1" si="0"/>
        <v>668</v>
      </c>
      <c r="C15">
        <f t="shared" ca="1" si="1"/>
        <v>46</v>
      </c>
      <c r="D15">
        <f t="shared" ca="1" si="2"/>
        <v>0.10802570684589317</v>
      </c>
      <c r="F15" s="1">
        <f t="shared" ca="1" si="3"/>
        <v>42</v>
      </c>
      <c r="G15" s="1">
        <f t="shared" ca="1" si="4"/>
        <v>13</v>
      </c>
      <c r="H15" s="1">
        <f t="shared" ca="1" si="5"/>
        <v>3</v>
      </c>
      <c r="I15" s="1"/>
      <c r="J15" s="1">
        <f t="shared" ca="1" si="6"/>
        <v>15</v>
      </c>
      <c r="K15" s="1">
        <f t="shared" ca="1" si="7"/>
        <v>2.1699939668154888</v>
      </c>
      <c r="L15" s="1">
        <f t="shared" ca="1" si="8"/>
        <v>13</v>
      </c>
      <c r="M15" s="1"/>
      <c r="N15" s="1">
        <f t="shared" ca="1" si="9"/>
        <v>413</v>
      </c>
      <c r="O15" s="1">
        <f t="shared" ca="1" si="10"/>
        <v>30</v>
      </c>
      <c r="P15" s="1"/>
      <c r="Q15" s="1">
        <f t="shared" ca="1" si="11"/>
        <v>1.8681635815244548</v>
      </c>
      <c r="R15" s="1">
        <f t="shared" ca="1" si="12"/>
        <v>704</v>
      </c>
      <c r="S15" s="1"/>
      <c r="T15" s="1">
        <f t="shared" ca="1" si="13"/>
        <v>3.073083834798896E-2</v>
      </c>
      <c r="U15" s="1">
        <f t="shared" ca="1" si="14"/>
        <v>216</v>
      </c>
      <c r="V15" s="1">
        <f t="shared" ca="1" si="15"/>
        <v>18</v>
      </c>
      <c r="W15" s="1"/>
      <c r="X15" s="1">
        <f t="shared" ca="1" si="16"/>
        <v>2.2960115735034274</v>
      </c>
      <c r="Y15" s="1">
        <f t="shared" ca="1" si="17"/>
        <v>0.87533938510256171</v>
      </c>
      <c r="Z15" s="1">
        <f t="shared" ca="1" si="18"/>
        <v>1369</v>
      </c>
      <c r="AB15" s="1">
        <f t="shared" ca="1" si="19"/>
        <v>0.87503977197710792</v>
      </c>
      <c r="AC15" s="1">
        <f t="shared" ca="1" si="20"/>
        <v>784</v>
      </c>
      <c r="AD15" s="1">
        <f t="shared" ca="1" si="21"/>
        <v>9.6151068165668437E-3</v>
      </c>
      <c r="AE15" s="1"/>
      <c r="AF15" s="1">
        <f t="shared" ca="1" si="22"/>
        <v>0.52203022789879483</v>
      </c>
      <c r="AG15" s="1">
        <f t="shared" ca="1" si="23"/>
        <v>829</v>
      </c>
      <c r="AH15" s="1">
        <f t="shared" ca="1" si="24"/>
        <v>9.2417245264420911E-3</v>
      </c>
      <c r="AJ15" s="1">
        <f t="shared" ca="1" si="25"/>
        <v>0.67781801030989475</v>
      </c>
      <c r="AK15" s="1">
        <f t="shared" ca="1" si="26"/>
        <v>6.2704541906792501E-3</v>
      </c>
      <c r="AL15" s="1"/>
      <c r="AM15" s="1">
        <f t="shared" ca="1" si="27"/>
        <v>0.15576718044196552</v>
      </c>
      <c r="AN15" s="1">
        <f t="shared" ca="1" si="28"/>
        <v>17</v>
      </c>
      <c r="AO15" s="1">
        <f t="shared" ca="1" si="29"/>
        <v>1</v>
      </c>
      <c r="AQ15" s="1">
        <f t="shared" ca="1" si="30"/>
        <v>129</v>
      </c>
      <c r="AR15" s="1">
        <f t="shared" ca="1" si="31"/>
        <v>5</v>
      </c>
      <c r="AS15" s="1">
        <f t="shared" ca="1" si="32"/>
        <v>10</v>
      </c>
      <c r="AU15" s="1">
        <f t="shared" ca="1" si="33"/>
        <v>259</v>
      </c>
      <c r="AV15" s="1">
        <f t="shared" ca="1" si="34"/>
        <v>4</v>
      </c>
      <c r="AW15" s="1">
        <f t="shared" ca="1" si="35"/>
        <v>1.5920742430362591E-2</v>
      </c>
      <c r="AY15" s="1">
        <f t="shared" ca="1" si="36"/>
        <v>1.5136203909138384</v>
      </c>
      <c r="AZ15" s="1">
        <f t="shared" ca="1" si="37"/>
        <v>376</v>
      </c>
      <c r="BA15" s="1">
        <f t="shared" ca="1" si="38"/>
        <v>4.3423869203266137E-3</v>
      </c>
      <c r="BG15" s="1">
        <f t="shared" ca="1" si="39"/>
        <v>0.5342941733778902</v>
      </c>
      <c r="BH15" s="1">
        <f t="shared" ca="1" si="40"/>
        <v>0.91546379336148154</v>
      </c>
      <c r="BI15" s="1">
        <f t="shared" ca="1" si="41"/>
        <v>777</v>
      </c>
      <c r="BV15" s="1">
        <f t="shared" ca="1" si="42"/>
        <v>0.46986495479412488</v>
      </c>
      <c r="BW15" s="1">
        <f t="shared" ca="1" si="43"/>
        <v>783</v>
      </c>
      <c r="BX15" s="1">
        <f t="shared" ca="1" si="44"/>
        <v>9.6915985300638635E-3</v>
      </c>
      <c r="BY15" s="1">
        <f t="shared" ca="1" si="45"/>
        <v>9.4159045069455174E-2</v>
      </c>
      <c r="BZ15" s="1">
        <f t="shared" ca="1" si="46"/>
        <v>0.63120293742788214</v>
      </c>
      <c r="CB15" s="1">
        <f t="shared" ca="1" si="47"/>
        <v>473</v>
      </c>
      <c r="CC15" s="1">
        <f t="shared" ca="1" si="48"/>
        <v>4</v>
      </c>
      <c r="CD15" s="1">
        <f t="shared" ca="1" si="49"/>
        <v>2.9598157176553869E-2</v>
      </c>
      <c r="CE15" s="1">
        <f t="shared" ca="1" si="50"/>
        <v>0.58662423245972151</v>
      </c>
      <c r="CF15" s="1">
        <f t="shared" ca="1" si="50"/>
        <v>0.9731569794110726</v>
      </c>
      <c r="CH15" s="3">
        <f t="shared" ca="1" si="51"/>
        <v>0.72471195235442154</v>
      </c>
      <c r="CI15" s="3">
        <f t="shared" ca="1" si="52"/>
        <v>0.24697786675785022</v>
      </c>
      <c r="CJ15" s="3">
        <f t="shared" ca="1" si="53"/>
        <v>1264</v>
      </c>
      <c r="CK15" s="3">
        <f t="shared" ca="1" si="54"/>
        <v>1.4428803434804374E-4</v>
      </c>
      <c r="CL15" s="3">
        <f t="shared" ca="1" si="55"/>
        <v>0</v>
      </c>
      <c r="CM15" s="3"/>
      <c r="CN15" s="1">
        <f t="shared" ca="1" si="56"/>
        <v>17.428889032663392</v>
      </c>
      <c r="CO15" s="1">
        <f t="shared" ca="1" si="57"/>
        <v>0.48255458270994983</v>
      </c>
      <c r="CP15" s="1">
        <f t="shared" ca="1" si="58"/>
        <v>1</v>
      </c>
      <c r="CV15" s="1">
        <f t="shared" ca="1" si="59"/>
        <v>5.5471207342333777</v>
      </c>
      <c r="CW15" s="1">
        <f t="shared" ca="1" si="60"/>
        <v>891</v>
      </c>
      <c r="CX15" s="1">
        <f t="shared" ca="1" si="61"/>
        <v>8.6606738930683699E-3</v>
      </c>
      <c r="DH15" s="1">
        <f t="shared" ca="1" si="62"/>
        <v>423</v>
      </c>
      <c r="DI15" s="1">
        <f t="shared" ca="1" si="63"/>
        <v>0.57183409073014502</v>
      </c>
      <c r="DJ15" s="1">
        <f t="shared" ca="1" si="64"/>
        <v>18</v>
      </c>
      <c r="DL15" s="1">
        <f t="shared" ca="1" si="65"/>
        <v>8.5892432113709602E-2</v>
      </c>
      <c r="DM15" s="1">
        <f t="shared" ca="1" si="66"/>
        <v>227</v>
      </c>
      <c r="DN15" s="1">
        <f t="shared" ca="1" si="67"/>
        <v>9</v>
      </c>
    </row>
    <row r="16" spans="2:125" x14ac:dyDescent="0.25">
      <c r="B16">
        <f t="shared" ca="1" si="0"/>
        <v>160</v>
      </c>
      <c r="C16">
        <f t="shared" ca="1" si="1"/>
        <v>42</v>
      </c>
      <c r="D16">
        <f t="shared" ca="1" si="2"/>
        <v>5.3649688861455214E-2</v>
      </c>
      <c r="F16" s="1">
        <f t="shared" ca="1" si="3"/>
        <v>36</v>
      </c>
      <c r="G16" s="1">
        <f t="shared" ca="1" si="4"/>
        <v>25</v>
      </c>
      <c r="H16" s="1">
        <f t="shared" ca="1" si="5"/>
        <v>7</v>
      </c>
      <c r="I16" s="1"/>
      <c r="J16" s="1">
        <f t="shared" ca="1" si="6"/>
        <v>17</v>
      </c>
      <c r="K16" s="1">
        <f t="shared" ca="1" si="7"/>
        <v>2.4877414727582909</v>
      </c>
      <c r="L16" s="1">
        <f t="shared" ca="1" si="8"/>
        <v>35</v>
      </c>
      <c r="M16" s="1"/>
      <c r="N16" s="1">
        <f t="shared" ca="1" si="9"/>
        <v>967</v>
      </c>
      <c r="O16" s="1">
        <f t="shared" ca="1" si="10"/>
        <v>7</v>
      </c>
      <c r="P16" s="1"/>
      <c r="Q16" s="1">
        <f t="shared" ca="1" si="11"/>
        <v>0.44834660057748044</v>
      </c>
      <c r="R16" s="1">
        <f t="shared" ca="1" si="12"/>
        <v>745</v>
      </c>
      <c r="S16" s="1"/>
      <c r="T16" s="1">
        <f t="shared" ca="1" si="13"/>
        <v>0.11600496441695801</v>
      </c>
      <c r="U16" s="1">
        <f t="shared" ca="1" si="14"/>
        <v>158</v>
      </c>
      <c r="V16" s="1">
        <f t="shared" ca="1" si="15"/>
        <v>36</v>
      </c>
      <c r="W16" s="1"/>
      <c r="X16" s="1">
        <f t="shared" ca="1" si="16"/>
        <v>5.3374906723039572</v>
      </c>
      <c r="Y16" s="1">
        <f t="shared" ca="1" si="17"/>
        <v>1.0924929234989173E-3</v>
      </c>
      <c r="Z16" s="1">
        <f t="shared" ca="1" si="18"/>
        <v>1438</v>
      </c>
      <c r="AB16" s="1">
        <f t="shared" ca="1" si="19"/>
        <v>0.95689735788894736</v>
      </c>
      <c r="AC16" s="1">
        <f t="shared" ca="1" si="20"/>
        <v>250</v>
      </c>
      <c r="AD16" s="1">
        <f t="shared" ca="1" si="21"/>
        <v>4.2676179672247218E-4</v>
      </c>
      <c r="AE16" s="1"/>
      <c r="AF16" s="1">
        <f t="shared" ca="1" si="22"/>
        <v>0.46413121432935511</v>
      </c>
      <c r="AG16" s="1">
        <f t="shared" ca="1" si="23"/>
        <v>313</v>
      </c>
      <c r="AH16" s="1">
        <f t="shared" ca="1" si="24"/>
        <v>5.0798941770473607E-4</v>
      </c>
      <c r="AJ16" s="1">
        <f t="shared" ca="1" si="25"/>
        <v>0.8669215197258312</v>
      </c>
      <c r="AK16" s="1">
        <f t="shared" ca="1" si="26"/>
        <v>1.6824404378459909E-3</v>
      </c>
      <c r="AL16" s="1"/>
      <c r="AM16" s="1">
        <f t="shared" ca="1" si="27"/>
        <v>0.14842598406299914</v>
      </c>
      <c r="AN16" s="1">
        <f t="shared" ca="1" si="28"/>
        <v>55</v>
      </c>
      <c r="AO16" s="1">
        <f t="shared" ca="1" si="29"/>
        <v>1</v>
      </c>
      <c r="AQ16" s="1">
        <f t="shared" ca="1" si="30"/>
        <v>114</v>
      </c>
      <c r="AR16" s="1">
        <f t="shared" ca="1" si="31"/>
        <v>0</v>
      </c>
      <c r="AS16" s="1">
        <f t="shared" ca="1" si="32"/>
        <v>97</v>
      </c>
      <c r="AU16" s="1">
        <f t="shared" ca="1" si="33"/>
        <v>254</v>
      </c>
      <c r="AV16" s="1">
        <f t="shared" ca="1" si="34"/>
        <v>6</v>
      </c>
      <c r="AW16" s="1">
        <f t="shared" ca="1" si="35"/>
        <v>0.14415772822719677</v>
      </c>
      <c r="AY16" s="1">
        <f t="shared" ca="1" si="36"/>
        <v>1.9676718255160428</v>
      </c>
      <c r="AZ16" s="1">
        <f t="shared" ca="1" si="37"/>
        <v>149</v>
      </c>
      <c r="BA16" s="1">
        <f t="shared" ca="1" si="38"/>
        <v>7.2172268629161285E-3</v>
      </c>
      <c r="BG16" s="1">
        <f t="shared" ca="1" si="39"/>
        <v>0.88522539478957385</v>
      </c>
      <c r="BH16" s="1">
        <f t="shared" ca="1" si="40"/>
        <v>4.9601252953025976E-2</v>
      </c>
      <c r="BI16" s="1">
        <f t="shared" ca="1" si="41"/>
        <v>624</v>
      </c>
      <c r="BV16" s="1">
        <f t="shared" ca="1" si="42"/>
        <v>0.71519923431119281</v>
      </c>
      <c r="BW16" s="1">
        <f t="shared" ca="1" si="43"/>
        <v>791</v>
      </c>
      <c r="BX16" s="1">
        <f t="shared" ca="1" si="44"/>
        <v>7.22926274244577E-3</v>
      </c>
      <c r="BY16" s="1">
        <f t="shared" ca="1" si="45"/>
        <v>5.3089761330357033E-2</v>
      </c>
      <c r="BZ16" s="1">
        <f t="shared" ca="1" si="46"/>
        <v>0.14414574896123644</v>
      </c>
      <c r="CB16" s="1">
        <f t="shared" ca="1" si="47"/>
        <v>175</v>
      </c>
      <c r="CC16" s="1">
        <f t="shared" ca="1" si="48"/>
        <v>4</v>
      </c>
      <c r="CD16" s="1">
        <f t="shared" ca="1" si="49"/>
        <v>0.28061964887998919</v>
      </c>
      <c r="CE16" s="1">
        <f t="shared" ca="1" si="50"/>
        <v>0.98619909925897287</v>
      </c>
      <c r="CF16" s="1">
        <f t="shared" ca="1" si="50"/>
        <v>0.94110527645701536</v>
      </c>
      <c r="CH16" s="3">
        <f t="shared" ca="1" si="51"/>
        <v>7.9156763845362271E-2</v>
      </c>
      <c r="CI16" s="3">
        <f t="shared" ca="1" si="52"/>
        <v>0.75014929088559767</v>
      </c>
      <c r="CJ16" s="3">
        <f t="shared" ca="1" si="53"/>
        <v>142</v>
      </c>
      <c r="CK16" s="3">
        <f t="shared" ca="1" si="54"/>
        <v>6.3848478218316226E-3</v>
      </c>
      <c r="CL16" s="3">
        <f t="shared" ca="1" si="55"/>
        <v>0</v>
      </c>
      <c r="CM16" s="3"/>
      <c r="CN16" s="1">
        <f t="shared" ca="1" si="56"/>
        <v>17.891388337047445</v>
      </c>
      <c r="CO16" s="1">
        <f t="shared" ca="1" si="57"/>
        <v>7.7395437469616093E-2</v>
      </c>
      <c r="CP16" s="1">
        <f t="shared" ca="1" si="58"/>
        <v>5</v>
      </c>
      <c r="CV16" s="1">
        <f t="shared" ca="1" si="59"/>
        <v>6.4480803383587677</v>
      </c>
      <c r="CW16" s="1">
        <f t="shared" ca="1" si="60"/>
        <v>1225</v>
      </c>
      <c r="CX16" s="1">
        <f t="shared" ca="1" si="61"/>
        <v>2.9545756184348759E-3</v>
      </c>
      <c r="DH16" s="1">
        <f t="shared" ca="1" si="62"/>
        <v>894</v>
      </c>
      <c r="DI16" s="1">
        <f t="shared" ca="1" si="63"/>
        <v>0.67925688834320186</v>
      </c>
      <c r="DJ16" s="1">
        <f t="shared" ca="1" si="64"/>
        <v>18</v>
      </c>
      <c r="DL16" s="1">
        <f t="shared" ca="1" si="65"/>
        <v>5.1771496211993596E-2</v>
      </c>
      <c r="DM16" s="1">
        <f t="shared" ca="1" si="66"/>
        <v>234</v>
      </c>
      <c r="DN16" s="1">
        <f t="shared" ca="1" si="67"/>
        <v>8</v>
      </c>
    </row>
    <row r="17" spans="2:118" x14ac:dyDescent="0.25">
      <c r="B17">
        <f t="shared" ca="1" si="0"/>
        <v>845</v>
      </c>
      <c r="C17">
        <f t="shared" ca="1" si="1"/>
        <v>27</v>
      </c>
      <c r="D17">
        <f t="shared" ca="1" si="2"/>
        <v>0.25582240901811565</v>
      </c>
      <c r="F17" s="1">
        <f t="shared" ca="1" si="3"/>
        <v>37</v>
      </c>
      <c r="G17" s="1">
        <f t="shared" ca="1" si="4"/>
        <v>16</v>
      </c>
      <c r="H17" s="1">
        <f t="shared" ca="1" si="5"/>
        <v>7</v>
      </c>
      <c r="I17" s="1"/>
      <c r="J17" s="1">
        <f t="shared" ca="1" si="6"/>
        <v>23</v>
      </c>
      <c r="K17" s="1">
        <f t="shared" ca="1" si="7"/>
        <v>2.0835779476856304</v>
      </c>
      <c r="L17" s="1">
        <f t="shared" ca="1" si="8"/>
        <v>30</v>
      </c>
      <c r="M17" s="1"/>
      <c r="N17" s="1">
        <f t="shared" ca="1" si="9"/>
        <v>127</v>
      </c>
      <c r="O17" s="1">
        <f t="shared" ca="1" si="10"/>
        <v>14</v>
      </c>
      <c r="P17" s="1"/>
      <c r="Q17" s="1">
        <f t="shared" ca="1" si="11"/>
        <v>0.68959727423489336</v>
      </c>
      <c r="R17" s="1">
        <f t="shared" ca="1" si="12"/>
        <v>259</v>
      </c>
      <c r="S17" s="1"/>
      <c r="T17" s="1">
        <f t="shared" ca="1" si="13"/>
        <v>0.1549863786735601</v>
      </c>
      <c r="U17" s="1">
        <f t="shared" ca="1" si="14"/>
        <v>59</v>
      </c>
      <c r="V17" s="1">
        <f t="shared" ca="1" si="15"/>
        <v>10</v>
      </c>
      <c r="W17" s="1"/>
      <c r="X17" s="1">
        <f t="shared" ca="1" si="16"/>
        <v>4.2395323933608156</v>
      </c>
      <c r="Y17" s="1">
        <f t="shared" ca="1" si="17"/>
        <v>0.70508460679743856</v>
      </c>
      <c r="Z17" s="1">
        <f t="shared" ca="1" si="18"/>
        <v>1366</v>
      </c>
      <c r="AB17" s="1">
        <f t="shared" ca="1" si="19"/>
        <v>3.6320831770136869E-2</v>
      </c>
      <c r="AC17" s="1">
        <f t="shared" ca="1" si="20"/>
        <v>586</v>
      </c>
      <c r="AD17" s="1">
        <f t="shared" ca="1" si="21"/>
        <v>9.7257452593842685E-3</v>
      </c>
      <c r="AE17" s="1"/>
      <c r="AF17" s="1">
        <f t="shared" ca="1" si="22"/>
        <v>0.70246813927945762</v>
      </c>
      <c r="AG17" s="1">
        <f t="shared" ca="1" si="23"/>
        <v>121</v>
      </c>
      <c r="AH17" s="1">
        <f t="shared" ca="1" si="24"/>
        <v>1.9256664683596205E-3</v>
      </c>
      <c r="AJ17" s="1">
        <f t="shared" ca="1" si="25"/>
        <v>0.65727858833456876</v>
      </c>
      <c r="AK17" s="1">
        <f t="shared" ca="1" si="26"/>
        <v>3.134528761905564E-3</v>
      </c>
      <c r="AL17" s="1"/>
      <c r="AM17" s="1">
        <f t="shared" ca="1" si="27"/>
        <v>5.4640464653852083E-2</v>
      </c>
      <c r="AN17" s="1">
        <f t="shared" ca="1" si="28"/>
        <v>74</v>
      </c>
      <c r="AO17" s="1">
        <f t="shared" ca="1" si="29"/>
        <v>19</v>
      </c>
      <c r="AQ17" s="1">
        <f t="shared" ca="1" si="30"/>
        <v>95</v>
      </c>
      <c r="AR17" s="1">
        <f t="shared" ca="1" si="31"/>
        <v>1</v>
      </c>
      <c r="AS17" s="1">
        <f t="shared" ca="1" si="32"/>
        <v>59</v>
      </c>
      <c r="AU17" s="1">
        <f t="shared" ca="1" si="33"/>
        <v>388</v>
      </c>
      <c r="AV17" s="1">
        <f t="shared" ca="1" si="34"/>
        <v>10</v>
      </c>
      <c r="AW17" s="1">
        <f t="shared" ca="1" si="35"/>
        <v>6.5945532819902411E-2</v>
      </c>
      <c r="AY17" s="1">
        <f t="shared" ca="1" si="36"/>
        <v>1.1418273689372946</v>
      </c>
      <c r="AZ17" s="1">
        <f t="shared" ca="1" si="37"/>
        <v>283</v>
      </c>
      <c r="BA17" s="1">
        <f t="shared" ca="1" si="38"/>
        <v>7.4529204854393164E-3</v>
      </c>
      <c r="BG17" s="1">
        <f t="shared" ca="1" si="39"/>
        <v>0.73265032859284374</v>
      </c>
      <c r="BH17" s="1">
        <f t="shared" ca="1" si="40"/>
        <v>0.24090042355478214</v>
      </c>
      <c r="BI17" s="1">
        <f t="shared" ca="1" si="41"/>
        <v>415</v>
      </c>
      <c r="BV17" s="1">
        <f t="shared" ca="1" si="42"/>
        <v>0.6845129866386247</v>
      </c>
      <c r="BW17" s="1">
        <f t="shared" ca="1" si="43"/>
        <v>147</v>
      </c>
      <c r="BX17" s="1">
        <f t="shared" ca="1" si="44"/>
        <v>2.8307136545629714E-3</v>
      </c>
      <c r="BY17" s="1">
        <f t="shared" ca="1" si="45"/>
        <v>1.6763072792686164E-2</v>
      </c>
      <c r="BZ17" s="1">
        <f t="shared" ca="1" si="46"/>
        <v>9.1574581050742454E-2</v>
      </c>
      <c r="CB17" s="1">
        <f t="shared" ca="1" si="47"/>
        <v>446</v>
      </c>
      <c r="CC17" s="1">
        <f t="shared" ca="1" si="48"/>
        <v>8</v>
      </c>
      <c r="CD17" s="1">
        <f t="shared" ca="1" si="49"/>
        <v>3.2401662858870611E-2</v>
      </c>
      <c r="CE17" s="1">
        <f t="shared" ca="1" si="50"/>
        <v>0.70634372805226131</v>
      </c>
      <c r="CF17" s="1">
        <f t="shared" ca="1" si="50"/>
        <v>0.67684389553543312</v>
      </c>
      <c r="CH17" s="3">
        <f t="shared" ca="1" si="51"/>
        <v>0.22491248918225207</v>
      </c>
      <c r="CI17" s="3">
        <f t="shared" ca="1" si="52"/>
        <v>0.96182792290186681</v>
      </c>
      <c r="CJ17" s="3">
        <f t="shared" ca="1" si="53"/>
        <v>1985</v>
      </c>
      <c r="CK17" s="3">
        <f t="shared" ca="1" si="54"/>
        <v>5.8107040816920801E-3</v>
      </c>
      <c r="CL17" s="3">
        <f t="shared" ca="1" si="55"/>
        <v>0</v>
      </c>
      <c r="CM17" s="3"/>
      <c r="CN17" s="1">
        <f t="shared" ca="1" si="56"/>
        <v>17.130787870054498</v>
      </c>
      <c r="CO17" s="1">
        <f t="shared" ca="1" si="57"/>
        <v>0.36293135094625212</v>
      </c>
      <c r="CP17" s="1">
        <f t="shared" ca="1" si="58"/>
        <v>2</v>
      </c>
      <c r="CV17" s="1">
        <f t="shared" ca="1" si="59"/>
        <v>5.2953826313697627</v>
      </c>
      <c r="CW17" s="1">
        <f t="shared" ca="1" si="60"/>
        <v>694</v>
      </c>
      <c r="CX17" s="1">
        <f t="shared" ca="1" si="61"/>
        <v>3.3628314995204638E-3</v>
      </c>
      <c r="DH17" s="1">
        <f t="shared" ca="1" si="62"/>
        <v>529</v>
      </c>
      <c r="DI17" s="1">
        <f t="shared" ca="1" si="63"/>
        <v>0.95498445054024383</v>
      </c>
      <c r="DJ17" s="1">
        <f t="shared" ca="1" si="64"/>
        <v>13</v>
      </c>
      <c r="DL17" s="1">
        <f t="shared" ca="1" si="65"/>
        <v>6.8225703791516851E-2</v>
      </c>
      <c r="DM17" s="1">
        <f t="shared" ca="1" si="66"/>
        <v>268</v>
      </c>
      <c r="DN17" s="1">
        <f t="shared" ca="1" si="67"/>
        <v>3</v>
      </c>
    </row>
    <row r="18" spans="2:118" x14ac:dyDescent="0.25">
      <c r="B18">
        <f t="shared" ca="1" si="0"/>
        <v>495</v>
      </c>
      <c r="C18">
        <f t="shared" ca="1" si="1"/>
        <v>49</v>
      </c>
      <c r="D18">
        <f t="shared" ca="1" si="2"/>
        <v>7.78956426432965E-2</v>
      </c>
      <c r="F18" s="1">
        <f t="shared" ca="1" si="3"/>
        <v>49</v>
      </c>
      <c r="G18" s="1">
        <f t="shared" ca="1" si="4"/>
        <v>22</v>
      </c>
      <c r="H18" s="1">
        <f t="shared" ca="1" si="5"/>
        <v>5</v>
      </c>
      <c r="I18" s="1"/>
      <c r="J18" s="1">
        <f t="shared" ca="1" si="6"/>
        <v>20</v>
      </c>
      <c r="K18" s="1">
        <f t="shared" ca="1" si="7"/>
        <v>1.6438970555734826</v>
      </c>
      <c r="L18" s="1">
        <f t="shared" ca="1" si="8"/>
        <v>32</v>
      </c>
      <c r="M18" s="1"/>
      <c r="N18" s="1">
        <f t="shared" ca="1" si="9"/>
        <v>608</v>
      </c>
      <c r="O18" s="1">
        <f t="shared" ca="1" si="10"/>
        <v>40</v>
      </c>
      <c r="P18" s="1"/>
      <c r="Q18" s="1">
        <f t="shared" ca="1" si="11"/>
        <v>4.6133439344570899</v>
      </c>
      <c r="R18" s="1">
        <f t="shared" ca="1" si="12"/>
        <v>853</v>
      </c>
      <c r="S18" s="1"/>
      <c r="T18" s="1">
        <f t="shared" ca="1" si="13"/>
        <v>3.4981943314531791E-2</v>
      </c>
      <c r="U18" s="1">
        <f t="shared" ca="1" si="14"/>
        <v>420</v>
      </c>
      <c r="V18" s="1">
        <f t="shared" ca="1" si="15"/>
        <v>4</v>
      </c>
      <c r="W18" s="1"/>
      <c r="X18" s="1">
        <f t="shared" ca="1" si="16"/>
        <v>2.1547543186952018</v>
      </c>
      <c r="Y18" s="1">
        <f t="shared" ca="1" si="17"/>
        <v>0.45737281502275112</v>
      </c>
      <c r="Z18" s="1">
        <f t="shared" ca="1" si="18"/>
        <v>1645</v>
      </c>
      <c r="AB18" s="1">
        <f t="shared" ca="1" si="19"/>
        <v>0.6033016740913012</v>
      </c>
      <c r="AC18" s="1">
        <f t="shared" ca="1" si="20"/>
        <v>803</v>
      </c>
      <c r="AD18" s="1">
        <f t="shared" ca="1" si="21"/>
        <v>3.5331581392785459E-3</v>
      </c>
      <c r="AE18" s="1"/>
      <c r="AF18" s="1">
        <f t="shared" ca="1" si="22"/>
        <v>0.79694756694305102</v>
      </c>
      <c r="AG18" s="1">
        <f t="shared" ca="1" si="23"/>
        <v>828</v>
      </c>
      <c r="AH18" s="1">
        <f t="shared" ca="1" si="24"/>
        <v>5.1578630715300089E-3</v>
      </c>
      <c r="AJ18" s="1">
        <f t="shared" ca="1" si="25"/>
        <v>0.75491841160763407</v>
      </c>
      <c r="AK18" s="1">
        <f t="shared" ca="1" si="26"/>
        <v>5.9429057348776701E-3</v>
      </c>
      <c r="AL18" s="1"/>
      <c r="AM18" s="1">
        <f t="shared" ca="1" si="27"/>
        <v>0.13590578535157977</v>
      </c>
      <c r="AN18" s="1">
        <f t="shared" ca="1" si="28"/>
        <v>69</v>
      </c>
      <c r="AO18" s="1">
        <f t="shared" ca="1" si="29"/>
        <v>8</v>
      </c>
      <c r="AQ18" s="1">
        <f t="shared" ca="1" si="30"/>
        <v>42</v>
      </c>
      <c r="AR18" s="1">
        <f t="shared" ca="1" si="31"/>
        <v>8</v>
      </c>
      <c r="AS18" s="1">
        <f t="shared" ca="1" si="32"/>
        <v>30</v>
      </c>
      <c r="AU18" s="1">
        <f t="shared" ca="1" si="33"/>
        <v>270</v>
      </c>
      <c r="AV18" s="1">
        <f t="shared" ca="1" si="34"/>
        <v>10</v>
      </c>
      <c r="AW18" s="1">
        <f t="shared" ca="1" si="35"/>
        <v>8.2418207982400529E-2</v>
      </c>
      <c r="AY18" s="1">
        <f t="shared" ca="1" si="36"/>
        <v>1.9419145641562363</v>
      </c>
      <c r="AZ18" s="1">
        <f t="shared" ca="1" si="37"/>
        <v>369</v>
      </c>
      <c r="BA18" s="1">
        <f t="shared" ca="1" si="38"/>
        <v>1.4771148976588989E-3</v>
      </c>
      <c r="BG18" s="1">
        <f t="shared" ca="1" si="39"/>
        <v>0.86768112258418517</v>
      </c>
      <c r="BH18" s="1">
        <f t="shared" ca="1" si="40"/>
        <v>0.42537206526413252</v>
      </c>
      <c r="BI18" s="1">
        <f t="shared" ca="1" si="41"/>
        <v>533</v>
      </c>
      <c r="BV18" s="1">
        <f t="shared" ca="1" si="42"/>
        <v>0.3483539739692636</v>
      </c>
      <c r="BW18" s="1">
        <f t="shared" ca="1" si="43"/>
        <v>447</v>
      </c>
      <c r="BX18" s="1">
        <f t="shared" ca="1" si="44"/>
        <v>6.2777971613561393E-3</v>
      </c>
      <c r="BY18" s="1">
        <f t="shared" ca="1" si="45"/>
        <v>1.1020786755178799E-2</v>
      </c>
      <c r="BZ18" s="1">
        <f t="shared" ca="1" si="46"/>
        <v>0.53299353736522237</v>
      </c>
      <c r="CB18" s="1">
        <f t="shared" ca="1" si="47"/>
        <v>385</v>
      </c>
      <c r="CC18" s="1">
        <f t="shared" ca="1" si="48"/>
        <v>5</v>
      </c>
      <c r="CD18" s="1">
        <f t="shared" ca="1" si="49"/>
        <v>8.2656995688857288E-2</v>
      </c>
      <c r="CE18" s="1">
        <f t="shared" ca="1" si="50"/>
        <v>0.74539835371497642</v>
      </c>
      <c r="CF18" s="1">
        <f t="shared" ca="1" si="50"/>
        <v>0.51277202278530054</v>
      </c>
      <c r="CH18" s="3">
        <f t="shared" ca="1" si="51"/>
        <v>0.75779174198285082</v>
      </c>
      <c r="CI18" s="3">
        <f t="shared" ca="1" si="52"/>
        <v>0.94894622423273878</v>
      </c>
      <c r="CJ18" s="3">
        <f t="shared" ca="1" si="53"/>
        <v>924</v>
      </c>
      <c r="CK18" s="3">
        <f t="shared" ca="1" si="54"/>
        <v>6.481940098687836E-3</v>
      </c>
      <c r="CL18" s="3">
        <f t="shared" ca="1" si="55"/>
        <v>0</v>
      </c>
      <c r="CM18" s="3"/>
      <c r="CN18" s="1">
        <f t="shared" ca="1" si="56"/>
        <v>3.9384287747483846</v>
      </c>
      <c r="CO18" s="1">
        <f t="shared" ca="1" si="57"/>
        <v>0.4631333028874498</v>
      </c>
      <c r="CP18" s="1">
        <f t="shared" ca="1" si="58"/>
        <v>2</v>
      </c>
      <c r="CV18" s="1">
        <f t="shared" ca="1" si="59"/>
        <v>5.7217602259974338</v>
      </c>
      <c r="CW18" s="1">
        <f t="shared" ca="1" si="60"/>
        <v>140</v>
      </c>
      <c r="CX18" s="1">
        <f t="shared" ca="1" si="61"/>
        <v>5.7976555525956919E-3</v>
      </c>
      <c r="DH18" s="1">
        <f t="shared" ca="1" si="62"/>
        <v>208</v>
      </c>
      <c r="DI18" s="1">
        <f t="shared" ca="1" si="63"/>
        <v>0.59307638319976907</v>
      </c>
      <c r="DJ18" s="1">
        <f t="shared" ca="1" si="64"/>
        <v>5</v>
      </c>
      <c r="DL18" s="1">
        <f t="shared" ca="1" si="65"/>
        <v>0.10432807350660654</v>
      </c>
      <c r="DM18" s="1">
        <f t="shared" ca="1" si="66"/>
        <v>125</v>
      </c>
      <c r="DN18" s="1">
        <f t="shared" ca="1" si="67"/>
        <v>1</v>
      </c>
    </row>
    <row r="19" spans="2:118" x14ac:dyDescent="0.25">
      <c r="B19">
        <f t="shared" ca="1" si="0"/>
        <v>879</v>
      </c>
      <c r="C19">
        <f t="shared" ca="1" si="1"/>
        <v>30</v>
      </c>
      <c r="D19">
        <f t="shared" ca="1" si="2"/>
        <v>8.6060845086350715E-2</v>
      </c>
      <c r="F19" s="1">
        <f t="shared" ca="1" si="3"/>
        <v>42</v>
      </c>
      <c r="G19" s="1">
        <f t="shared" ca="1" si="4"/>
        <v>21</v>
      </c>
      <c r="H19" s="1">
        <f t="shared" ca="1" si="5"/>
        <v>1</v>
      </c>
      <c r="I19" s="1"/>
      <c r="J19" s="1">
        <f t="shared" ca="1" si="6"/>
        <v>17</v>
      </c>
      <c r="K19" s="1">
        <f t="shared" ca="1" si="7"/>
        <v>2.4989560594339695</v>
      </c>
      <c r="L19" s="1">
        <f t="shared" ca="1" si="8"/>
        <v>17</v>
      </c>
      <c r="M19" s="1"/>
      <c r="N19" s="1">
        <f t="shared" ca="1" si="9"/>
        <v>304</v>
      </c>
      <c r="O19" s="1">
        <f t="shared" ca="1" si="10"/>
        <v>28</v>
      </c>
      <c r="P19" s="1"/>
      <c r="Q19" s="1">
        <f t="shared" ca="1" si="11"/>
        <v>1.8009193332640445</v>
      </c>
      <c r="R19" s="1">
        <f t="shared" ca="1" si="12"/>
        <v>1143</v>
      </c>
      <c r="S19" s="1"/>
      <c r="T19" s="1">
        <f t="shared" ca="1" si="13"/>
        <v>1.4527425410139638E-2</v>
      </c>
      <c r="U19" s="1">
        <f t="shared" ca="1" si="14"/>
        <v>167</v>
      </c>
      <c r="V19" s="1">
        <f t="shared" ca="1" si="15"/>
        <v>40</v>
      </c>
      <c r="W19" s="1"/>
      <c r="X19" s="1">
        <f t="shared" ca="1" si="16"/>
        <v>1.9127841815238114</v>
      </c>
      <c r="Y19" s="1">
        <f t="shared" ca="1" si="17"/>
        <v>0.50001919412713136</v>
      </c>
      <c r="Z19" s="1">
        <f t="shared" ca="1" si="18"/>
        <v>1521</v>
      </c>
      <c r="AB19" s="1">
        <f t="shared" ca="1" si="19"/>
        <v>0.98272871201327106</v>
      </c>
      <c r="AC19" s="1">
        <f t="shared" ca="1" si="20"/>
        <v>334</v>
      </c>
      <c r="AD19" s="1">
        <f t="shared" ca="1" si="21"/>
        <v>2.5016651231622722E-3</v>
      </c>
      <c r="AE19" s="1"/>
      <c r="AF19" s="1">
        <f t="shared" ca="1" si="22"/>
        <v>0.11688862003429473</v>
      </c>
      <c r="AG19" s="1">
        <f t="shared" ca="1" si="23"/>
        <v>494</v>
      </c>
      <c r="AH19" s="1">
        <f t="shared" ca="1" si="24"/>
        <v>1.4947527860200557E-3</v>
      </c>
      <c r="AJ19" s="1">
        <f t="shared" ca="1" si="25"/>
        <v>0.97202341532034031</v>
      </c>
      <c r="AK19" s="1">
        <f t="shared" ca="1" si="26"/>
        <v>4.7229312604318129E-3</v>
      </c>
      <c r="AL19" s="1"/>
      <c r="AM19" s="1">
        <f t="shared" ca="1" si="27"/>
        <v>8.5590848892437468E-2</v>
      </c>
      <c r="AN19" s="1">
        <f t="shared" ca="1" si="28"/>
        <v>77</v>
      </c>
      <c r="AO19" s="1">
        <f t="shared" ca="1" si="29"/>
        <v>6</v>
      </c>
      <c r="AQ19" s="1">
        <f t="shared" ca="1" si="30"/>
        <v>133</v>
      </c>
      <c r="AR19" s="1">
        <f t="shared" ca="1" si="31"/>
        <v>9</v>
      </c>
      <c r="AS19" s="1">
        <f t="shared" ca="1" si="32"/>
        <v>98</v>
      </c>
      <c r="AU19" s="1">
        <f t="shared" ca="1" si="33"/>
        <v>168</v>
      </c>
      <c r="AV19" s="1">
        <f t="shared" ca="1" si="34"/>
        <v>2</v>
      </c>
      <c r="AW19" s="1">
        <f t="shared" ca="1" si="35"/>
        <v>4.5156082982764266E-2</v>
      </c>
      <c r="AY19" s="1">
        <f t="shared" ca="1" si="36"/>
        <v>1.6364154035572338</v>
      </c>
      <c r="AZ19" s="1">
        <f t="shared" ca="1" si="37"/>
        <v>314</v>
      </c>
      <c r="BA19" s="1">
        <f t="shared" ca="1" si="38"/>
        <v>1.3839677314075342E-3</v>
      </c>
      <c r="BG19" s="1">
        <f t="shared" ca="1" si="39"/>
        <v>0.27934966998069583</v>
      </c>
      <c r="BH19" s="1">
        <f t="shared" ca="1" si="40"/>
        <v>0.52532979055919049</v>
      </c>
      <c r="BI19" s="1">
        <f t="shared" ca="1" si="41"/>
        <v>978</v>
      </c>
      <c r="BV19" s="1">
        <f t="shared" ca="1" si="42"/>
        <v>0.87601057133339666</v>
      </c>
      <c r="BW19" s="1">
        <f t="shared" ca="1" si="43"/>
        <v>147</v>
      </c>
      <c r="BX19" s="1">
        <f t="shared" ca="1" si="44"/>
        <v>1.3926799683443374E-3</v>
      </c>
      <c r="BY19" s="1">
        <f t="shared" ca="1" si="45"/>
        <v>3.9452351184828094E-2</v>
      </c>
      <c r="BZ19" s="1">
        <f t="shared" ca="1" si="46"/>
        <v>0.12092646869807988</v>
      </c>
      <c r="CB19" s="1">
        <f t="shared" ca="1" si="47"/>
        <v>422</v>
      </c>
      <c r="CC19" s="1">
        <f t="shared" ca="1" si="48"/>
        <v>5</v>
      </c>
      <c r="CD19" s="1">
        <f t="shared" ca="1" si="49"/>
        <v>2.5649431448738075E-2</v>
      </c>
      <c r="CE19" s="1">
        <f t="shared" ca="1" si="50"/>
        <v>0.5715930392985944</v>
      </c>
      <c r="CF19" s="1">
        <f t="shared" ca="1" si="50"/>
        <v>0.51488304572310195</v>
      </c>
      <c r="CH19" s="3">
        <f t="shared" ca="1" si="51"/>
        <v>0.6112579760084591</v>
      </c>
      <c r="CI19" s="3">
        <f t="shared" ca="1" si="52"/>
        <v>0.56213487657709515</v>
      </c>
      <c r="CJ19" s="3">
        <f t="shared" ca="1" si="53"/>
        <v>764</v>
      </c>
      <c r="CK19" s="3">
        <f t="shared" ca="1" si="54"/>
        <v>7.9481646658904961E-3</v>
      </c>
      <c r="CL19" s="3">
        <f t="shared" ca="1" si="55"/>
        <v>1</v>
      </c>
      <c r="CM19" s="3"/>
      <c r="CN19" s="1">
        <f t="shared" ca="1" si="56"/>
        <v>8.5733259616678481</v>
      </c>
      <c r="CO19" s="1">
        <f t="shared" ca="1" si="57"/>
        <v>0.24786680382320181</v>
      </c>
      <c r="CP19" s="1">
        <f t="shared" ca="1" si="58"/>
        <v>3</v>
      </c>
      <c r="CV19" s="1">
        <f t="shared" ca="1" si="59"/>
        <v>1.4806752671296319</v>
      </c>
      <c r="CW19" s="1">
        <f t="shared" ca="1" si="60"/>
        <v>773</v>
      </c>
      <c r="CX19" s="1">
        <f t="shared" ca="1" si="61"/>
        <v>7.6565706584303317E-3</v>
      </c>
      <c r="DH19" s="1">
        <f t="shared" ca="1" si="62"/>
        <v>888</v>
      </c>
      <c r="DI19" s="1">
        <f t="shared" ca="1" si="63"/>
        <v>0.16469473638190193</v>
      </c>
      <c r="DJ19" s="1">
        <f t="shared" ca="1" si="64"/>
        <v>20</v>
      </c>
      <c r="DL19" s="1">
        <f t="shared" ca="1" si="65"/>
        <v>8.178310586136335E-2</v>
      </c>
      <c r="DM19" s="1">
        <f t="shared" ca="1" si="66"/>
        <v>196</v>
      </c>
      <c r="DN19" s="1">
        <f t="shared" ca="1" si="67"/>
        <v>8</v>
      </c>
    </row>
    <row r="20" spans="2:118" x14ac:dyDescent="0.25">
      <c r="B20">
        <f t="shared" ca="1" si="0"/>
        <v>192</v>
      </c>
      <c r="C20">
        <f t="shared" ca="1" si="1"/>
        <v>48</v>
      </c>
      <c r="D20">
        <f t="shared" ca="1" si="2"/>
        <v>0.28681080716483026</v>
      </c>
      <c r="F20" s="1">
        <f t="shared" ca="1" si="3"/>
        <v>48</v>
      </c>
      <c r="G20" s="1">
        <f t="shared" ca="1" si="4"/>
        <v>18</v>
      </c>
      <c r="H20" s="1">
        <f t="shared" ca="1" si="5"/>
        <v>5</v>
      </c>
      <c r="I20" s="1"/>
      <c r="J20" s="1">
        <f t="shared" ca="1" si="6"/>
        <v>1</v>
      </c>
      <c r="K20" s="1">
        <f t="shared" ca="1" si="7"/>
        <v>2.3482087568967027</v>
      </c>
      <c r="L20" s="1">
        <f t="shared" ca="1" si="8"/>
        <v>7</v>
      </c>
      <c r="M20" s="1"/>
      <c r="N20" s="1">
        <f t="shared" ca="1" si="9"/>
        <v>726</v>
      </c>
      <c r="O20" s="1">
        <f t="shared" ca="1" si="10"/>
        <v>11</v>
      </c>
      <c r="P20" s="1"/>
      <c r="Q20" s="1">
        <f t="shared" ca="1" si="11"/>
        <v>3.9548667995898965</v>
      </c>
      <c r="R20" s="1">
        <f t="shared" ca="1" si="12"/>
        <v>765</v>
      </c>
      <c r="S20" s="1"/>
      <c r="T20" s="1">
        <f t="shared" ca="1" si="13"/>
        <v>2.6460386621048292E-2</v>
      </c>
      <c r="U20" s="1">
        <f t="shared" ca="1" si="14"/>
        <v>431</v>
      </c>
      <c r="V20" s="1">
        <f t="shared" ca="1" si="15"/>
        <v>47</v>
      </c>
      <c r="W20" s="1"/>
      <c r="X20" s="1">
        <f t="shared" ca="1" si="16"/>
        <v>2.9871048360588266</v>
      </c>
      <c r="Y20" s="1">
        <f t="shared" ca="1" si="17"/>
        <v>0.68248828975169717</v>
      </c>
      <c r="Z20" s="1">
        <f t="shared" ca="1" si="18"/>
        <v>690</v>
      </c>
      <c r="AB20" s="1">
        <f t="shared" ca="1" si="19"/>
        <v>2.7769696115735837E-3</v>
      </c>
      <c r="AC20" s="1">
        <f t="shared" ca="1" si="20"/>
        <v>493</v>
      </c>
      <c r="AD20" s="1">
        <f t="shared" ca="1" si="21"/>
        <v>9.9923009036852824E-4</v>
      </c>
      <c r="AE20" s="1"/>
      <c r="AF20" s="1">
        <f t="shared" ca="1" si="22"/>
        <v>0.26698263691139135</v>
      </c>
      <c r="AG20" s="1">
        <f t="shared" ca="1" si="23"/>
        <v>763</v>
      </c>
      <c r="AH20" s="1">
        <f t="shared" ca="1" si="24"/>
        <v>2.5601018064967153E-3</v>
      </c>
      <c r="AJ20" s="1">
        <f t="shared" ca="1" si="25"/>
        <v>0.61677311875716823</v>
      </c>
      <c r="AK20" s="1">
        <f t="shared" ca="1" si="26"/>
        <v>3.0989128957244769E-3</v>
      </c>
      <c r="AL20" s="1"/>
      <c r="AM20" s="1">
        <f t="shared" ca="1" si="27"/>
        <v>0.19671309377767948</v>
      </c>
      <c r="AN20" s="1">
        <f t="shared" ca="1" si="28"/>
        <v>30</v>
      </c>
      <c r="AO20" s="1">
        <f t="shared" ca="1" si="29"/>
        <v>5</v>
      </c>
      <c r="AQ20" s="1">
        <f t="shared" ca="1" si="30"/>
        <v>131</v>
      </c>
      <c r="AR20" s="1">
        <f t="shared" ca="1" si="31"/>
        <v>2</v>
      </c>
      <c r="AS20" s="1">
        <f t="shared" ca="1" si="32"/>
        <v>25</v>
      </c>
      <c r="AU20" s="1">
        <f t="shared" ca="1" si="33"/>
        <v>122</v>
      </c>
      <c r="AV20" s="1">
        <f t="shared" ca="1" si="34"/>
        <v>5</v>
      </c>
      <c r="AW20" s="1">
        <f t="shared" ca="1" si="35"/>
        <v>8.9828966910917629E-2</v>
      </c>
      <c r="AY20" s="1">
        <f t="shared" ca="1" si="36"/>
        <v>1.7961449827151332</v>
      </c>
      <c r="AZ20" s="1">
        <f t="shared" ca="1" si="37"/>
        <v>287</v>
      </c>
      <c r="BA20" s="1">
        <f t="shared" ca="1" si="38"/>
        <v>2.5704895247414411E-4</v>
      </c>
      <c r="BG20" s="1">
        <f t="shared" ca="1" si="39"/>
        <v>0.54334438220652204</v>
      </c>
      <c r="BH20" s="1">
        <f t="shared" ca="1" si="40"/>
        <v>0.60705667616081327</v>
      </c>
      <c r="BI20" s="1">
        <f t="shared" ca="1" si="41"/>
        <v>650</v>
      </c>
      <c r="BV20" s="1">
        <f t="shared" ca="1" si="42"/>
        <v>0.26107990440089712</v>
      </c>
      <c r="BW20" s="1">
        <f t="shared" ca="1" si="43"/>
        <v>303</v>
      </c>
      <c r="BX20" s="1">
        <f t="shared" ca="1" si="44"/>
        <v>4.7127280215471202E-3</v>
      </c>
      <c r="BY20" s="1">
        <f t="shared" ca="1" si="45"/>
        <v>6.4117243041231743E-3</v>
      </c>
      <c r="BZ20" s="1">
        <f t="shared" ca="1" si="46"/>
        <v>0.65774340087127603</v>
      </c>
      <c r="CB20" s="1">
        <f t="shared" ca="1" si="47"/>
        <v>110</v>
      </c>
      <c r="CC20" s="1">
        <f t="shared" ca="1" si="48"/>
        <v>10</v>
      </c>
      <c r="CD20" s="1">
        <f t="shared" ca="1" si="49"/>
        <v>2.1345549549546053E-2</v>
      </c>
      <c r="CE20" s="1">
        <f t="shared" ca="1" si="50"/>
        <v>0.5218260939767867</v>
      </c>
      <c r="CF20" s="1">
        <f t="shared" ca="1" si="50"/>
        <v>0.98162557800188788</v>
      </c>
      <c r="CH20" s="3">
        <f t="shared" ca="1" si="51"/>
        <v>0.6531366514621203</v>
      </c>
      <c r="CI20" s="3">
        <f t="shared" ca="1" si="52"/>
        <v>0.56785605641744463</v>
      </c>
      <c r="CJ20" s="3">
        <f t="shared" ca="1" si="53"/>
        <v>317</v>
      </c>
      <c r="CK20" s="3">
        <f t="shared" ca="1" si="54"/>
        <v>3.8811417590183242E-3</v>
      </c>
      <c r="CL20" s="3">
        <f t="shared" ca="1" si="55"/>
        <v>0</v>
      </c>
      <c r="CM20" s="3"/>
      <c r="CN20" s="1">
        <f t="shared" ca="1" si="56"/>
        <v>10.635999223251471</v>
      </c>
      <c r="CO20" s="1">
        <f t="shared" ca="1" si="57"/>
        <v>0.17562013642751861</v>
      </c>
      <c r="CP20" s="1">
        <f t="shared" ca="1" si="58"/>
        <v>2</v>
      </c>
      <c r="CV20" s="1">
        <f t="shared" ca="1" si="59"/>
        <v>6.881795175494795</v>
      </c>
      <c r="CW20" s="1">
        <f t="shared" ca="1" si="60"/>
        <v>1453</v>
      </c>
      <c r="CX20" s="1">
        <f t="shared" ca="1" si="61"/>
        <v>6.2733170548142257E-3</v>
      </c>
      <c r="DH20" s="1">
        <f t="shared" ca="1" si="62"/>
        <v>619</v>
      </c>
      <c r="DI20" s="1">
        <f t="shared" ca="1" si="63"/>
        <v>1.2405441889220194E-2</v>
      </c>
      <c r="DJ20" s="1">
        <f t="shared" ca="1" si="64"/>
        <v>1</v>
      </c>
      <c r="DL20" s="1">
        <f t="shared" ca="1" si="65"/>
        <v>0.11409916122257306</v>
      </c>
      <c r="DM20" s="1">
        <f t="shared" ca="1" si="66"/>
        <v>214</v>
      </c>
      <c r="DN20" s="1">
        <f t="shared" ca="1" si="67"/>
        <v>4</v>
      </c>
    </row>
    <row r="21" spans="2:118" x14ac:dyDescent="0.25">
      <c r="B21">
        <f t="shared" ca="1" si="0"/>
        <v>572</v>
      </c>
      <c r="C21">
        <f t="shared" ca="1" si="1"/>
        <v>13</v>
      </c>
      <c r="D21">
        <f t="shared" ca="1" si="2"/>
        <v>0.22496247797699792</v>
      </c>
      <c r="F21" s="1">
        <f t="shared" ca="1" si="3"/>
        <v>44</v>
      </c>
      <c r="G21" s="1">
        <f t="shared" ca="1" si="4"/>
        <v>16</v>
      </c>
      <c r="H21" s="1">
        <f t="shared" ca="1" si="5"/>
        <v>6</v>
      </c>
      <c r="I21" s="1"/>
      <c r="J21" s="1">
        <f t="shared" ca="1" si="6"/>
        <v>21</v>
      </c>
      <c r="K21" s="1">
        <f t="shared" ca="1" si="7"/>
        <v>1.718868189787494</v>
      </c>
      <c r="L21" s="1">
        <f t="shared" ca="1" si="8"/>
        <v>3</v>
      </c>
      <c r="M21" s="1"/>
      <c r="N21" s="1">
        <f t="shared" ca="1" si="9"/>
        <v>436</v>
      </c>
      <c r="O21" s="1">
        <f t="shared" ca="1" si="10"/>
        <v>21</v>
      </c>
      <c r="P21" s="1"/>
      <c r="Q21" s="1">
        <f t="shared" ca="1" si="11"/>
        <v>1.6267595777202122</v>
      </c>
      <c r="R21" s="1">
        <f t="shared" ca="1" si="12"/>
        <v>905</v>
      </c>
      <c r="S21" s="1"/>
      <c r="T21" s="1">
        <f t="shared" ca="1" si="13"/>
        <v>0.12697488239239929</v>
      </c>
      <c r="U21" s="1">
        <f t="shared" ca="1" si="14"/>
        <v>449</v>
      </c>
      <c r="V21" s="1">
        <f t="shared" ca="1" si="15"/>
        <v>42</v>
      </c>
      <c r="W21" s="1"/>
      <c r="X21" s="1">
        <f t="shared" ca="1" si="16"/>
        <v>9.5798105366859101</v>
      </c>
      <c r="Y21" s="1">
        <f t="shared" ca="1" si="17"/>
        <v>0.68500545238259913</v>
      </c>
      <c r="Z21" s="1">
        <f t="shared" ca="1" si="18"/>
        <v>1124</v>
      </c>
      <c r="AB21" s="1">
        <f t="shared" ca="1" si="19"/>
        <v>0.18271762144281375</v>
      </c>
      <c r="AC21" s="1">
        <f t="shared" ca="1" si="20"/>
        <v>110</v>
      </c>
      <c r="AD21" s="1">
        <f t="shared" ca="1" si="21"/>
        <v>4.3904685230270624E-3</v>
      </c>
      <c r="AE21" s="1"/>
      <c r="AF21" s="1">
        <f t="shared" ca="1" si="22"/>
        <v>0.1804778162099222</v>
      </c>
      <c r="AG21" s="1">
        <f t="shared" ca="1" si="23"/>
        <v>372</v>
      </c>
      <c r="AH21" s="1">
        <f t="shared" ca="1" si="24"/>
        <v>9.080912719050694E-3</v>
      </c>
      <c r="AJ21" s="1">
        <f t="shared" ca="1" si="25"/>
        <v>0.31864106475800924</v>
      </c>
      <c r="AK21" s="1">
        <f t="shared" ca="1" si="26"/>
        <v>6.8020537711309496E-3</v>
      </c>
      <c r="AL21" s="1"/>
      <c r="AM21" s="1">
        <f t="shared" ca="1" si="27"/>
        <v>0.15278048568351518</v>
      </c>
      <c r="AN21" s="1">
        <f t="shared" ca="1" si="28"/>
        <v>50</v>
      </c>
      <c r="AO21" s="1">
        <f t="shared" ca="1" si="29"/>
        <v>13</v>
      </c>
      <c r="AQ21" s="1">
        <f t="shared" ca="1" si="30"/>
        <v>159</v>
      </c>
      <c r="AR21" s="1">
        <f t="shared" ca="1" si="31"/>
        <v>6</v>
      </c>
      <c r="AS21" s="1">
        <f t="shared" ca="1" si="32"/>
        <v>59</v>
      </c>
      <c r="AU21" s="1">
        <f t="shared" ca="1" si="33"/>
        <v>345</v>
      </c>
      <c r="AV21" s="1">
        <f t="shared" ca="1" si="34"/>
        <v>2</v>
      </c>
      <c r="AW21" s="1">
        <f t="shared" ca="1" si="35"/>
        <v>0.17187198622649005</v>
      </c>
      <c r="AY21" s="1">
        <f t="shared" ca="1" si="36"/>
        <v>1.7727717658342046</v>
      </c>
      <c r="AZ21" s="1">
        <f t="shared" ca="1" si="37"/>
        <v>206</v>
      </c>
      <c r="BA21" s="1">
        <f t="shared" ca="1" si="38"/>
        <v>8.804034902906056E-3</v>
      </c>
      <c r="BG21" s="1">
        <f t="shared" ca="1" si="39"/>
        <v>0.21904293390872454</v>
      </c>
      <c r="BH21" s="1">
        <f t="shared" ca="1" si="40"/>
        <v>0.8276065735961311</v>
      </c>
      <c r="BI21" s="1">
        <f t="shared" ca="1" si="41"/>
        <v>727</v>
      </c>
      <c r="BV21" s="1">
        <f t="shared" ca="1" si="42"/>
        <v>0.44908326268034571</v>
      </c>
      <c r="BW21" s="1">
        <f t="shared" ca="1" si="43"/>
        <v>580</v>
      </c>
      <c r="BX21" s="1">
        <f t="shared" ca="1" si="44"/>
        <v>8.0537028308068134E-3</v>
      </c>
      <c r="BY21" s="1">
        <f t="shared" ca="1" si="45"/>
        <v>1.5989535494628643E-2</v>
      </c>
      <c r="BZ21" s="1">
        <f t="shared" ca="1" si="46"/>
        <v>0.55144834098092865</v>
      </c>
      <c r="CB21" s="1">
        <f t="shared" ca="1" si="47"/>
        <v>157</v>
      </c>
      <c r="CC21" s="1">
        <f t="shared" ca="1" si="48"/>
        <v>3</v>
      </c>
      <c r="CD21" s="1">
        <f t="shared" ca="1" si="49"/>
        <v>0.11075551527462403</v>
      </c>
      <c r="CE21" s="1">
        <f t="shared" ca="1" si="50"/>
        <v>0.68547550427955395</v>
      </c>
      <c r="CF21" s="1">
        <f t="shared" ca="1" si="50"/>
        <v>0.92392102348436267</v>
      </c>
      <c r="CH21" s="3">
        <f t="shared" ca="1" si="51"/>
        <v>0.81503245726747708</v>
      </c>
      <c r="CI21" s="3">
        <f t="shared" ca="1" si="52"/>
        <v>0.34410686735373636</v>
      </c>
      <c r="CJ21" s="3">
        <f t="shared" ca="1" si="53"/>
        <v>355</v>
      </c>
      <c r="CK21" s="3">
        <f t="shared" ca="1" si="54"/>
        <v>6.3008683679078208E-3</v>
      </c>
      <c r="CL21" s="3">
        <f t="shared" ca="1" si="55"/>
        <v>1</v>
      </c>
      <c r="CM21" s="3"/>
      <c r="CN21" s="1">
        <f t="shared" ca="1" si="56"/>
        <v>11.715399186132393</v>
      </c>
      <c r="CO21" s="1">
        <f t="shared" ca="1" si="57"/>
        <v>0.17383385423907274</v>
      </c>
      <c r="CP21" s="1">
        <f t="shared" ca="1" si="58"/>
        <v>1</v>
      </c>
      <c r="CV21" s="1">
        <f t="shared" ca="1" si="59"/>
        <v>3.6194712249740126</v>
      </c>
      <c r="CW21" s="1">
        <f t="shared" ca="1" si="60"/>
        <v>1854</v>
      </c>
      <c r="CX21" s="1">
        <f t="shared" ca="1" si="61"/>
        <v>4.3164555922748666E-3</v>
      </c>
      <c r="DH21" s="1">
        <f t="shared" ca="1" si="62"/>
        <v>720</v>
      </c>
      <c r="DI21" s="1">
        <f t="shared" ca="1" si="63"/>
        <v>0.9956763366789747</v>
      </c>
      <c r="DJ21" s="1">
        <f t="shared" ca="1" si="64"/>
        <v>1</v>
      </c>
      <c r="DL21" s="1">
        <f t="shared" ca="1" si="65"/>
        <v>5.7763789391444179E-2</v>
      </c>
      <c r="DM21" s="1">
        <f t="shared" ca="1" si="66"/>
        <v>184</v>
      </c>
      <c r="DN21" s="1">
        <f t="shared" ca="1" si="67"/>
        <v>3</v>
      </c>
    </row>
    <row r="22" spans="2:118" x14ac:dyDescent="0.25">
      <c r="B22">
        <f t="shared" ca="1" si="0"/>
        <v>77</v>
      </c>
      <c r="C22">
        <f t="shared" ca="1" si="1"/>
        <v>16</v>
      </c>
      <c r="D22">
        <f t="shared" ca="1" si="2"/>
        <v>0.19818009755586452</v>
      </c>
      <c r="F22" s="1">
        <f t="shared" ca="1" si="3"/>
        <v>4</v>
      </c>
      <c r="G22" s="1">
        <f t="shared" ca="1" si="4"/>
        <v>13</v>
      </c>
      <c r="H22" s="1">
        <f t="shared" ca="1" si="5"/>
        <v>4</v>
      </c>
      <c r="I22" s="1"/>
      <c r="J22" s="1">
        <f t="shared" ca="1" si="6"/>
        <v>25</v>
      </c>
      <c r="K22" s="1">
        <f t="shared" ca="1" si="7"/>
        <v>1.0162429581838313</v>
      </c>
      <c r="L22" s="1">
        <f t="shared" ca="1" si="8"/>
        <v>22</v>
      </c>
      <c r="M22" s="1"/>
      <c r="N22" s="1">
        <f t="shared" ca="1" si="9"/>
        <v>513</v>
      </c>
      <c r="O22" s="1">
        <f t="shared" ca="1" si="10"/>
        <v>9</v>
      </c>
      <c r="P22" s="1"/>
      <c r="Q22" s="1">
        <f t="shared" ca="1" si="11"/>
        <v>1.9804915929627132</v>
      </c>
      <c r="R22" s="1">
        <f t="shared" ca="1" si="12"/>
        <v>755</v>
      </c>
      <c r="S22" s="1"/>
      <c r="T22" s="1">
        <f t="shared" ca="1" si="13"/>
        <v>3.9339803550231381E-2</v>
      </c>
      <c r="U22" s="1">
        <f t="shared" ca="1" si="14"/>
        <v>93</v>
      </c>
      <c r="V22" s="1">
        <f t="shared" ca="1" si="15"/>
        <v>49</v>
      </c>
      <c r="W22" s="1"/>
      <c r="X22" s="1">
        <f t="shared" ca="1" si="16"/>
        <v>1.3631867607193013</v>
      </c>
      <c r="Y22" s="1">
        <f t="shared" ca="1" si="17"/>
        <v>0.8141866415094563</v>
      </c>
      <c r="Z22" s="1">
        <f t="shared" ca="1" si="18"/>
        <v>262</v>
      </c>
      <c r="AB22" s="1">
        <f t="shared" ca="1" si="19"/>
        <v>0.59878085934834169</v>
      </c>
      <c r="AC22" s="1">
        <f t="shared" ca="1" si="20"/>
        <v>612</v>
      </c>
      <c r="AD22" s="1">
        <f t="shared" ca="1" si="21"/>
        <v>5.7137249392967982E-3</v>
      </c>
      <c r="AE22" s="1"/>
      <c r="AF22" s="1">
        <f t="shared" ca="1" si="22"/>
        <v>0.58203093364477332</v>
      </c>
      <c r="AG22" s="1">
        <f t="shared" ca="1" si="23"/>
        <v>907</v>
      </c>
      <c r="AH22" s="1">
        <f t="shared" ca="1" si="24"/>
        <v>8.2302197998133551E-4</v>
      </c>
      <c r="AJ22" s="1">
        <f t="shared" ca="1" si="25"/>
        <v>0.13873459991564363</v>
      </c>
      <c r="AK22" s="1">
        <f t="shared" ca="1" si="26"/>
        <v>6.7276389001409839E-4</v>
      </c>
      <c r="AL22" s="1"/>
      <c r="AM22" s="1">
        <f t="shared" ca="1" si="27"/>
        <v>2.6254305264395601E-2</v>
      </c>
      <c r="AN22" s="1">
        <f t="shared" ca="1" si="28"/>
        <v>71</v>
      </c>
      <c r="AO22" s="1">
        <f t="shared" ca="1" si="29"/>
        <v>15</v>
      </c>
      <c r="AQ22" s="1">
        <f t="shared" ca="1" si="30"/>
        <v>161</v>
      </c>
      <c r="AR22" s="1">
        <f t="shared" ca="1" si="31"/>
        <v>1</v>
      </c>
      <c r="AS22" s="1">
        <f t="shared" ca="1" si="32"/>
        <v>75</v>
      </c>
      <c r="AU22" s="1">
        <f t="shared" ca="1" si="33"/>
        <v>333</v>
      </c>
      <c r="AV22" s="1">
        <f t="shared" ca="1" si="34"/>
        <v>5</v>
      </c>
      <c r="AW22" s="1">
        <f t="shared" ca="1" si="35"/>
        <v>0.14838290708024213</v>
      </c>
      <c r="AY22" s="1">
        <f t="shared" ca="1" si="36"/>
        <v>1.2817793601000407</v>
      </c>
      <c r="AZ22" s="1">
        <f t="shared" ca="1" si="37"/>
        <v>313</v>
      </c>
      <c r="BA22" s="1">
        <f t="shared" ca="1" si="38"/>
        <v>8.125255019197853E-3</v>
      </c>
      <c r="BG22" s="1">
        <f t="shared" ca="1" si="39"/>
        <v>0.24986052061717398</v>
      </c>
      <c r="BH22" s="1">
        <f t="shared" ca="1" si="40"/>
        <v>0.28620180133552631</v>
      </c>
      <c r="BI22" s="1">
        <f t="shared" ca="1" si="41"/>
        <v>419</v>
      </c>
      <c r="BV22" s="1">
        <f t="shared" ca="1" si="42"/>
        <v>0.22602238351438195</v>
      </c>
      <c r="BW22" s="1">
        <f t="shared" ca="1" si="43"/>
        <v>109</v>
      </c>
      <c r="BX22" s="1">
        <f t="shared" ca="1" si="44"/>
        <v>9.305561996984197E-3</v>
      </c>
      <c r="BY22" s="1">
        <f t="shared" ca="1" si="45"/>
        <v>8.7819351398129727E-2</v>
      </c>
      <c r="BZ22" s="1">
        <f t="shared" ca="1" si="46"/>
        <v>0.49885079021187961</v>
      </c>
      <c r="CB22" s="1">
        <f t="shared" ca="1" si="47"/>
        <v>193</v>
      </c>
      <c r="CC22" s="1">
        <f t="shared" ca="1" si="48"/>
        <v>11</v>
      </c>
      <c r="CD22" s="1">
        <f t="shared" ca="1" si="49"/>
        <v>0.10477266176769333</v>
      </c>
      <c r="CE22" s="1">
        <f t="shared" ca="1" si="50"/>
        <v>0.73995899312716684</v>
      </c>
      <c r="CF22" s="1">
        <f t="shared" ca="1" si="50"/>
        <v>0.85809659806664329</v>
      </c>
      <c r="CH22" s="3">
        <f t="shared" ca="1" si="51"/>
        <v>0.98689012427659528</v>
      </c>
      <c r="CI22" s="3">
        <f t="shared" ca="1" si="52"/>
        <v>0.49088166330599609</v>
      </c>
      <c r="CJ22" s="3">
        <f t="shared" ca="1" si="53"/>
        <v>385</v>
      </c>
      <c r="CK22" s="3">
        <f t="shared" ca="1" si="54"/>
        <v>5.5529548909657054E-3</v>
      </c>
      <c r="CL22" s="3">
        <f t="shared" ca="1" si="55"/>
        <v>0</v>
      </c>
      <c r="CM22" s="3"/>
      <c r="CN22" s="1">
        <f t="shared" ca="1" si="56"/>
        <v>8.4484384541356672</v>
      </c>
      <c r="CO22" s="1">
        <f t="shared" ca="1" si="57"/>
        <v>0.47169101765251331</v>
      </c>
      <c r="CP22" s="1">
        <f t="shared" ca="1" si="58"/>
        <v>4</v>
      </c>
      <c r="CV22" s="1">
        <f t="shared" ca="1" si="59"/>
        <v>1.1907439541688714</v>
      </c>
      <c r="CW22" s="1">
        <f t="shared" ca="1" si="60"/>
        <v>1123</v>
      </c>
      <c r="CX22" s="1">
        <f t="shared" ca="1" si="61"/>
        <v>7.7059073804190536E-3</v>
      </c>
      <c r="DH22" s="1">
        <f t="shared" ca="1" si="62"/>
        <v>494</v>
      </c>
      <c r="DI22" s="1">
        <f t="shared" ca="1" si="63"/>
        <v>0.24043084719341146</v>
      </c>
      <c r="DJ22" s="1">
        <f t="shared" ca="1" si="64"/>
        <v>30</v>
      </c>
      <c r="DL22" s="1">
        <f t="shared" ca="1" si="65"/>
        <v>3.0458257960184747E-2</v>
      </c>
      <c r="DM22" s="1">
        <f t="shared" ca="1" si="66"/>
        <v>70</v>
      </c>
      <c r="DN22" s="1">
        <f t="shared" ca="1" si="67"/>
        <v>5</v>
      </c>
    </row>
    <row r="23" spans="2:118" x14ac:dyDescent="0.25">
      <c r="B23">
        <f t="shared" ca="1" si="0"/>
        <v>48</v>
      </c>
      <c r="C23">
        <f t="shared" ca="1" si="1"/>
        <v>13</v>
      </c>
      <c r="D23">
        <f t="shared" ca="1" si="2"/>
        <v>0.24214886103422523</v>
      </c>
      <c r="F23" s="1">
        <f t="shared" ca="1" si="3"/>
        <v>6</v>
      </c>
      <c r="G23" s="1">
        <f t="shared" ca="1" si="4"/>
        <v>3</v>
      </c>
      <c r="H23" s="1">
        <f t="shared" ca="1" si="5"/>
        <v>6</v>
      </c>
      <c r="I23" s="1"/>
      <c r="J23" s="1">
        <f t="shared" ca="1" si="6"/>
        <v>23</v>
      </c>
      <c r="K23" s="1">
        <f t="shared" ca="1" si="7"/>
        <v>2.1147356676121287</v>
      </c>
      <c r="L23" s="1">
        <f t="shared" ca="1" si="8"/>
        <v>27</v>
      </c>
      <c r="M23" s="1"/>
      <c r="N23" s="1">
        <f t="shared" ca="1" si="9"/>
        <v>210</v>
      </c>
      <c r="O23" s="1">
        <f t="shared" ca="1" si="10"/>
        <v>32</v>
      </c>
      <c r="P23" s="1"/>
      <c r="Q23" s="1">
        <f t="shared" ca="1" si="11"/>
        <v>4.0140270566213161</v>
      </c>
      <c r="R23" s="1">
        <f t="shared" ca="1" si="12"/>
        <v>947</v>
      </c>
      <c r="S23" s="1"/>
      <c r="T23" s="1">
        <f t="shared" ca="1" si="13"/>
        <v>0.19504069672961866</v>
      </c>
      <c r="U23" s="1">
        <f t="shared" ca="1" si="14"/>
        <v>265</v>
      </c>
      <c r="V23" s="1">
        <f t="shared" ca="1" si="15"/>
        <v>4</v>
      </c>
      <c r="W23" s="1"/>
      <c r="X23" s="1">
        <f t="shared" ca="1" si="16"/>
        <v>1.5537747290434554</v>
      </c>
      <c r="Y23" s="1">
        <f t="shared" ca="1" si="17"/>
        <v>0.29592095811577818</v>
      </c>
      <c r="Z23" s="1">
        <f t="shared" ca="1" si="18"/>
        <v>1019</v>
      </c>
      <c r="AB23" s="1">
        <f t="shared" ca="1" si="19"/>
        <v>0.64610972919248355</v>
      </c>
      <c r="AC23" s="1">
        <f t="shared" ca="1" si="20"/>
        <v>790</v>
      </c>
      <c r="AD23" s="1">
        <f t="shared" ca="1" si="21"/>
        <v>2.2626131837064972E-3</v>
      </c>
      <c r="AE23" s="1"/>
      <c r="AF23" s="1">
        <f t="shared" ca="1" si="22"/>
        <v>0.46945564595887923</v>
      </c>
      <c r="AG23" s="1">
        <f t="shared" ca="1" si="23"/>
        <v>154</v>
      </c>
      <c r="AH23" s="1">
        <f t="shared" ca="1" si="24"/>
        <v>1.3857689765246521E-3</v>
      </c>
      <c r="AJ23" s="1">
        <f t="shared" ca="1" si="25"/>
        <v>0.27098190203340355</v>
      </c>
      <c r="AK23" s="1">
        <f t="shared" ca="1" si="26"/>
        <v>4.2522030399030405E-3</v>
      </c>
      <c r="AL23" s="1"/>
      <c r="AM23" s="1">
        <f t="shared" ca="1" si="27"/>
        <v>5.6088021884178427E-2</v>
      </c>
      <c r="AN23" s="1">
        <f t="shared" ca="1" si="28"/>
        <v>58</v>
      </c>
      <c r="AO23" s="1">
        <f t="shared" ca="1" si="29"/>
        <v>13</v>
      </c>
      <c r="AQ23" s="1">
        <f t="shared" ca="1" si="30"/>
        <v>130</v>
      </c>
      <c r="AR23" s="1">
        <f t="shared" ca="1" si="31"/>
        <v>8</v>
      </c>
      <c r="AS23" s="1">
        <f t="shared" ca="1" si="32"/>
        <v>61</v>
      </c>
      <c r="AU23" s="1">
        <f t="shared" ca="1" si="33"/>
        <v>120</v>
      </c>
      <c r="AV23" s="1">
        <f t="shared" ca="1" si="34"/>
        <v>9</v>
      </c>
      <c r="AW23" s="1">
        <f t="shared" ca="1" si="35"/>
        <v>6.4442311001350047E-2</v>
      </c>
      <c r="AY23" s="1">
        <f t="shared" ca="1" si="36"/>
        <v>1.6152108839712436</v>
      </c>
      <c r="AZ23" s="1">
        <f t="shared" ca="1" si="37"/>
        <v>171</v>
      </c>
      <c r="BA23" s="1">
        <f t="shared" ca="1" si="38"/>
        <v>5.5843874562839565E-3</v>
      </c>
      <c r="BG23" s="1">
        <f t="shared" ca="1" si="39"/>
        <v>0.82623447652077886</v>
      </c>
      <c r="BH23" s="1">
        <f t="shared" ca="1" si="40"/>
        <v>0.79077671273425698</v>
      </c>
      <c r="BI23" s="1">
        <f t="shared" ca="1" si="41"/>
        <v>999</v>
      </c>
      <c r="BV23" s="1">
        <f t="shared" ca="1" si="42"/>
        <v>0.59055087322122279</v>
      </c>
      <c r="BW23" s="1">
        <f t="shared" ca="1" si="43"/>
        <v>518</v>
      </c>
      <c r="BX23" s="1">
        <f t="shared" ca="1" si="44"/>
        <v>1.486445549045795E-3</v>
      </c>
      <c r="BY23" s="1">
        <f t="shared" ca="1" si="45"/>
        <v>3.0187526477408431E-3</v>
      </c>
      <c r="BZ23" s="1">
        <f t="shared" ca="1" si="46"/>
        <v>0.37699271170323501</v>
      </c>
      <c r="CB23" s="1">
        <f t="shared" ca="1" si="47"/>
        <v>195</v>
      </c>
      <c r="CC23" s="1">
        <f t="shared" ca="1" si="48"/>
        <v>11</v>
      </c>
      <c r="CD23" s="1">
        <f t="shared" ca="1" si="49"/>
        <v>6.4215254802669666E-2</v>
      </c>
      <c r="CE23" s="1">
        <f t="shared" ca="1" si="50"/>
        <v>0.51998403288804418</v>
      </c>
      <c r="CF23" s="1">
        <f t="shared" ca="1" si="50"/>
        <v>0.84034450827183382</v>
      </c>
      <c r="CH23" s="3">
        <f t="shared" ca="1" si="51"/>
        <v>0.24842787201465286</v>
      </c>
      <c r="CI23" s="3">
        <f t="shared" ca="1" si="52"/>
        <v>0.32044216179526464</v>
      </c>
      <c r="CJ23" s="3">
        <f t="shared" ca="1" si="53"/>
        <v>265</v>
      </c>
      <c r="CK23" s="3">
        <f t="shared" ca="1" si="54"/>
        <v>6.4139292010410272E-3</v>
      </c>
      <c r="CL23" s="3">
        <f t="shared" ca="1" si="55"/>
        <v>1</v>
      </c>
      <c r="CM23" s="3"/>
      <c r="CN23" s="1">
        <f t="shared" ca="1" si="56"/>
        <v>11.411329389037919</v>
      </c>
      <c r="CO23" s="1">
        <f t="shared" ca="1" si="57"/>
        <v>0.10682143450082524</v>
      </c>
      <c r="CP23" s="1">
        <f t="shared" ca="1" si="58"/>
        <v>5</v>
      </c>
      <c r="CV23" s="1">
        <f t="shared" ca="1" si="59"/>
        <v>1.8130097421547398</v>
      </c>
      <c r="CW23" s="1">
        <f t="shared" ca="1" si="60"/>
        <v>1188</v>
      </c>
      <c r="CX23" s="1">
        <f t="shared" ca="1" si="61"/>
        <v>2.1015069818487125E-3</v>
      </c>
      <c r="DH23" s="1">
        <f t="shared" ca="1" si="62"/>
        <v>80</v>
      </c>
      <c r="DI23" s="1">
        <f t="shared" ca="1" si="63"/>
        <v>0.5370013322538264</v>
      </c>
      <c r="DJ23" s="1">
        <f t="shared" ca="1" si="64"/>
        <v>4</v>
      </c>
      <c r="DL23" s="1">
        <f t="shared" ca="1" si="65"/>
        <v>5.0935143557136103E-2</v>
      </c>
      <c r="DM23" s="1">
        <f t="shared" ca="1" si="66"/>
        <v>139</v>
      </c>
      <c r="DN23" s="1">
        <f t="shared" ca="1" si="67"/>
        <v>6</v>
      </c>
    </row>
    <row r="24" spans="2:118" x14ac:dyDescent="0.25">
      <c r="B24">
        <f t="shared" ca="1" si="0"/>
        <v>741</v>
      </c>
      <c r="C24">
        <f t="shared" ca="1" si="1"/>
        <v>23</v>
      </c>
      <c r="D24">
        <f t="shared" ca="1" si="2"/>
        <v>0.26795030437847306</v>
      </c>
      <c r="F24" s="1">
        <f t="shared" ca="1" si="3"/>
        <v>34</v>
      </c>
      <c r="G24" s="1">
        <f t="shared" ca="1" si="4"/>
        <v>13</v>
      </c>
      <c r="H24" s="1">
        <f t="shared" ca="1" si="5"/>
        <v>6</v>
      </c>
      <c r="I24" s="1"/>
      <c r="J24" s="1">
        <f t="shared" ca="1" si="6"/>
        <v>5</v>
      </c>
      <c r="K24" s="1">
        <f t="shared" ca="1" si="7"/>
        <v>2.0529049542628544</v>
      </c>
      <c r="L24" s="1">
        <f t="shared" ca="1" si="8"/>
        <v>21</v>
      </c>
      <c r="M24" s="1"/>
      <c r="N24" s="1">
        <f t="shared" ca="1" si="9"/>
        <v>126</v>
      </c>
      <c r="O24" s="1">
        <f t="shared" ca="1" si="10"/>
        <v>26</v>
      </c>
      <c r="P24" s="1"/>
      <c r="Q24" s="1">
        <f t="shared" ca="1" si="11"/>
        <v>3.7815173004702181</v>
      </c>
      <c r="R24" s="1">
        <f t="shared" ca="1" si="12"/>
        <v>836</v>
      </c>
      <c r="S24" s="1"/>
      <c r="T24" s="1">
        <f t="shared" ca="1" si="13"/>
        <v>0.14977133675029833</v>
      </c>
      <c r="U24" s="1">
        <f t="shared" ca="1" si="14"/>
        <v>113</v>
      </c>
      <c r="V24" s="1">
        <f t="shared" ca="1" si="15"/>
        <v>32</v>
      </c>
      <c r="W24" s="1"/>
      <c r="X24" s="1">
        <f t="shared" ca="1" si="16"/>
        <v>3.833332212098548</v>
      </c>
      <c r="Y24" s="1">
        <f t="shared" ca="1" si="17"/>
        <v>0.22627380053120216</v>
      </c>
      <c r="Z24" s="1">
        <f t="shared" ca="1" si="18"/>
        <v>1175</v>
      </c>
      <c r="AB24" s="1">
        <f t="shared" ca="1" si="19"/>
        <v>0.77531282120490219</v>
      </c>
      <c r="AC24" s="1">
        <f t="shared" ca="1" si="20"/>
        <v>373</v>
      </c>
      <c r="AD24" s="1">
        <f t="shared" ca="1" si="21"/>
        <v>9.4983360060568126E-3</v>
      </c>
      <c r="AE24" s="1"/>
      <c r="AF24" s="1">
        <f t="shared" ca="1" si="22"/>
        <v>0.244024639326343</v>
      </c>
      <c r="AG24" s="1">
        <f t="shared" ca="1" si="23"/>
        <v>450</v>
      </c>
      <c r="AH24" s="1">
        <f t="shared" ca="1" si="24"/>
        <v>9.2882995655581089E-3</v>
      </c>
      <c r="AJ24" s="1">
        <f t="shared" ca="1" si="25"/>
        <v>0.59436007830925897</v>
      </c>
      <c r="AK24" s="1">
        <f t="shared" ca="1" si="26"/>
        <v>6.4013305485914728E-3</v>
      </c>
      <c r="AL24" s="1"/>
      <c r="AM24" s="1">
        <f t="shared" ca="1" si="27"/>
        <v>8.992266558180162E-2</v>
      </c>
      <c r="AN24" s="1">
        <f t="shared" ca="1" si="28"/>
        <v>36</v>
      </c>
      <c r="AO24" s="1">
        <f t="shared" ca="1" si="29"/>
        <v>2</v>
      </c>
      <c r="AQ24" s="1">
        <f t="shared" ca="1" si="30"/>
        <v>131</v>
      </c>
      <c r="AR24" s="1">
        <f t="shared" ca="1" si="31"/>
        <v>3</v>
      </c>
      <c r="AS24" s="1">
        <f t="shared" ca="1" si="32"/>
        <v>86</v>
      </c>
      <c r="AU24" s="1">
        <f t="shared" ca="1" si="33"/>
        <v>264</v>
      </c>
      <c r="AV24" s="1">
        <f t="shared" ca="1" si="34"/>
        <v>8</v>
      </c>
      <c r="AW24" s="1">
        <f t="shared" ca="1" si="35"/>
        <v>0.18037835557825738</v>
      </c>
      <c r="AY24" s="1">
        <f t="shared" ca="1" si="36"/>
        <v>1.6239976883586604</v>
      </c>
      <c r="AZ24" s="1">
        <f t="shared" ca="1" si="37"/>
        <v>293</v>
      </c>
      <c r="BA24" s="1">
        <f t="shared" ca="1" si="38"/>
        <v>7.4856399809243059E-3</v>
      </c>
      <c r="BG24" s="1">
        <f t="shared" ca="1" si="39"/>
        <v>0.95928899558352176</v>
      </c>
      <c r="BH24" s="1">
        <f t="shared" ca="1" si="40"/>
        <v>0.11339088540016218</v>
      </c>
      <c r="BI24" s="1">
        <f t="shared" ca="1" si="41"/>
        <v>940</v>
      </c>
      <c r="BV24" s="1">
        <f t="shared" ca="1" si="42"/>
        <v>0.20509649732821961</v>
      </c>
      <c r="BW24" s="1">
        <f t="shared" ca="1" si="43"/>
        <v>832</v>
      </c>
      <c r="BX24" s="1">
        <f t="shared" ca="1" si="44"/>
        <v>5.6540582238965922E-3</v>
      </c>
      <c r="BY24" s="1">
        <f t="shared" ca="1" si="45"/>
        <v>4.9680569078427543E-2</v>
      </c>
      <c r="BZ24" s="1">
        <f t="shared" ca="1" si="46"/>
        <v>0.58050649378149066</v>
      </c>
      <c r="CB24" s="1">
        <f t="shared" ca="1" si="47"/>
        <v>442</v>
      </c>
      <c r="CC24" s="1">
        <f t="shared" ca="1" si="48"/>
        <v>12</v>
      </c>
      <c r="CD24" s="1">
        <f t="shared" ca="1" si="49"/>
        <v>0.12957579175186529</v>
      </c>
      <c r="CE24" s="1">
        <f t="shared" ca="1" si="50"/>
        <v>0.78653582768825725</v>
      </c>
      <c r="CF24" s="1">
        <f t="shared" ca="1" si="50"/>
        <v>0.55210149384417506</v>
      </c>
      <c r="CH24" s="3">
        <f t="shared" ca="1" si="51"/>
        <v>0.17644679310638189</v>
      </c>
      <c r="CI24" s="3">
        <f t="shared" ca="1" si="52"/>
        <v>0.44382483078390828</v>
      </c>
      <c r="CJ24" s="3">
        <f t="shared" ca="1" si="53"/>
        <v>732</v>
      </c>
      <c r="CK24" s="3">
        <f t="shared" ca="1" si="54"/>
        <v>7.0027401796004659E-3</v>
      </c>
      <c r="CL24" s="3">
        <f t="shared" ca="1" si="55"/>
        <v>1</v>
      </c>
      <c r="CM24" s="3"/>
      <c r="CN24" s="1">
        <f t="shared" ca="1" si="56"/>
        <v>4.2841140232742161</v>
      </c>
      <c r="CO24" s="1">
        <f t="shared" ca="1" si="57"/>
        <v>0.44117585961326</v>
      </c>
      <c r="CP24" s="1">
        <f t="shared" ca="1" si="58"/>
        <v>3</v>
      </c>
      <c r="CV24" s="1">
        <f t="shared" ca="1" si="59"/>
        <v>8.1013793858031491</v>
      </c>
      <c r="CW24" s="1">
        <f t="shared" ca="1" si="60"/>
        <v>282</v>
      </c>
      <c r="CX24" s="1">
        <f t="shared" ca="1" si="61"/>
        <v>4.8781660298062458E-3</v>
      </c>
      <c r="DH24" s="1">
        <f t="shared" ca="1" si="62"/>
        <v>635</v>
      </c>
      <c r="DI24" s="1">
        <f t="shared" ca="1" si="63"/>
        <v>0.96776319894911977</v>
      </c>
      <c r="DJ24" s="1">
        <f t="shared" ca="1" si="64"/>
        <v>25</v>
      </c>
      <c r="DL24" s="1">
        <f t="shared" ca="1" si="65"/>
        <v>5.2899401146739439E-2</v>
      </c>
      <c r="DM24" s="1">
        <f t="shared" ca="1" si="66"/>
        <v>146</v>
      </c>
      <c r="DN24" s="1">
        <f t="shared" ca="1" si="67"/>
        <v>4</v>
      </c>
    </row>
    <row r="25" spans="2:118" x14ac:dyDescent="0.25">
      <c r="B25">
        <f t="shared" ca="1" si="0"/>
        <v>967</v>
      </c>
      <c r="C25">
        <f t="shared" ca="1" si="1"/>
        <v>49</v>
      </c>
      <c r="D25">
        <f t="shared" ca="1" si="2"/>
        <v>5.6146825932200009E-2</v>
      </c>
      <c r="F25" s="1">
        <f t="shared" ca="1" si="3"/>
        <v>45</v>
      </c>
      <c r="G25" s="1">
        <f t="shared" ca="1" si="4"/>
        <v>21</v>
      </c>
      <c r="H25" s="1">
        <f t="shared" ca="1" si="5"/>
        <v>6</v>
      </c>
      <c r="I25" s="1"/>
      <c r="J25" s="1">
        <f t="shared" ca="1" si="6"/>
        <v>4</v>
      </c>
      <c r="K25" s="1">
        <f t="shared" ca="1" si="7"/>
        <v>1.4968289246545563</v>
      </c>
      <c r="L25" s="1">
        <f t="shared" ca="1" si="8"/>
        <v>7</v>
      </c>
      <c r="M25" s="1"/>
      <c r="N25" s="1">
        <f t="shared" ca="1" si="9"/>
        <v>460</v>
      </c>
      <c r="O25" s="1">
        <f t="shared" ca="1" si="10"/>
        <v>52</v>
      </c>
      <c r="P25" s="1"/>
      <c r="Q25" s="1">
        <f t="shared" ca="1" si="11"/>
        <v>4.6729394743659052</v>
      </c>
      <c r="R25" s="1">
        <f t="shared" ca="1" si="12"/>
        <v>256</v>
      </c>
      <c r="S25" s="1"/>
      <c r="T25" s="1">
        <f t="shared" ca="1" si="13"/>
        <v>7.5660246040645265E-2</v>
      </c>
      <c r="U25" s="1">
        <f t="shared" ca="1" si="14"/>
        <v>180</v>
      </c>
      <c r="V25" s="1">
        <f t="shared" ca="1" si="15"/>
        <v>41</v>
      </c>
      <c r="W25" s="1"/>
      <c r="X25" s="1">
        <f t="shared" ca="1" si="16"/>
        <v>2.4172437544362482</v>
      </c>
      <c r="Y25" s="1">
        <f t="shared" ca="1" si="17"/>
        <v>8.9587731161016055E-3</v>
      </c>
      <c r="Z25" s="1">
        <f t="shared" ca="1" si="18"/>
        <v>239</v>
      </c>
      <c r="AB25" s="1">
        <f t="shared" ca="1" si="19"/>
        <v>0.71741007011908564</v>
      </c>
      <c r="AC25" s="1">
        <f t="shared" ca="1" si="20"/>
        <v>922</v>
      </c>
      <c r="AD25" s="1">
        <f t="shared" ca="1" si="21"/>
        <v>5.2554681186399903E-3</v>
      </c>
      <c r="AE25" s="1"/>
      <c r="AF25" s="1">
        <f t="shared" ca="1" si="22"/>
        <v>0.73403943867011856</v>
      </c>
      <c r="AG25" s="1">
        <f t="shared" ca="1" si="23"/>
        <v>951</v>
      </c>
      <c r="AH25" s="1">
        <f t="shared" ca="1" si="24"/>
        <v>2.8254643506263051E-3</v>
      </c>
      <c r="AJ25" s="1">
        <f t="shared" ca="1" si="25"/>
        <v>8.5814211060539658E-2</v>
      </c>
      <c r="AK25" s="1">
        <f t="shared" ca="1" si="26"/>
        <v>5.3541471849967402E-3</v>
      </c>
      <c r="AL25" s="1"/>
      <c r="AM25" s="1">
        <f t="shared" ca="1" si="27"/>
        <v>9.2773950565928381E-2</v>
      </c>
      <c r="AN25" s="1">
        <f t="shared" ca="1" si="28"/>
        <v>51</v>
      </c>
      <c r="AO25" s="1">
        <f t="shared" ca="1" si="29"/>
        <v>13</v>
      </c>
      <c r="AQ25" s="1">
        <f t="shared" ca="1" si="30"/>
        <v>44</v>
      </c>
      <c r="AR25" s="1">
        <f t="shared" ca="1" si="31"/>
        <v>10</v>
      </c>
      <c r="AS25" s="1">
        <f t="shared" ca="1" si="32"/>
        <v>6</v>
      </c>
      <c r="AU25" s="1">
        <f t="shared" ca="1" si="33"/>
        <v>62</v>
      </c>
      <c r="AV25" s="1">
        <f t="shared" ca="1" si="34"/>
        <v>2</v>
      </c>
      <c r="AW25" s="1">
        <f t="shared" ca="1" si="35"/>
        <v>1.3913035709607243E-2</v>
      </c>
      <c r="AY25" s="1">
        <f t="shared" ca="1" si="36"/>
        <v>1.159707383756176</v>
      </c>
      <c r="AZ25" s="1">
        <f t="shared" ca="1" si="37"/>
        <v>223</v>
      </c>
      <c r="BA25" s="1">
        <f t="shared" ca="1" si="38"/>
        <v>2.2542223999924343E-3</v>
      </c>
      <c r="BG25" s="1">
        <f t="shared" ca="1" si="39"/>
        <v>0.79596828625279714</v>
      </c>
      <c r="BH25" s="1">
        <f t="shared" ca="1" si="40"/>
        <v>0.89302611173970703</v>
      </c>
      <c r="BI25" s="1">
        <f t="shared" ca="1" si="41"/>
        <v>524</v>
      </c>
      <c r="BV25" s="1">
        <f t="shared" ca="1" si="42"/>
        <v>0.97730510737590426</v>
      </c>
      <c r="BW25" s="1">
        <f t="shared" ca="1" si="43"/>
        <v>582</v>
      </c>
      <c r="BX25" s="1">
        <f t="shared" ca="1" si="44"/>
        <v>1.3206518169298262E-3</v>
      </c>
      <c r="BY25" s="1">
        <f t="shared" ca="1" si="45"/>
        <v>7.4675560670479285E-2</v>
      </c>
      <c r="BZ25" s="1">
        <f t="shared" ca="1" si="46"/>
        <v>0.88982184592873048</v>
      </c>
      <c r="CB25" s="1">
        <f t="shared" ca="1" si="47"/>
        <v>218</v>
      </c>
      <c r="CC25" s="1">
        <f t="shared" ca="1" si="48"/>
        <v>9</v>
      </c>
      <c r="CD25" s="1">
        <f t="shared" ca="1" si="49"/>
        <v>0.27807480259141226</v>
      </c>
      <c r="CE25" s="1">
        <f t="shared" ca="1" si="50"/>
        <v>0.85162621023551055</v>
      </c>
      <c r="CF25" s="1">
        <f t="shared" ca="1" si="50"/>
        <v>0.61896580865734474</v>
      </c>
      <c r="CH25" s="3">
        <f t="shared" ca="1" si="51"/>
        <v>9.2320913905536178E-2</v>
      </c>
      <c r="CI25" s="3">
        <f t="shared" ca="1" si="52"/>
        <v>0.35092286320866423</v>
      </c>
      <c r="CJ25" s="3">
        <f t="shared" ca="1" si="53"/>
        <v>1544</v>
      </c>
      <c r="CK25" s="3">
        <f t="shared" ca="1" si="54"/>
        <v>8.9178575706594734E-4</v>
      </c>
      <c r="CL25" s="3">
        <f t="shared" ca="1" si="55"/>
        <v>0</v>
      </c>
      <c r="CM25" s="3"/>
      <c r="CN25" s="1">
        <f t="shared" ca="1" si="56"/>
        <v>7.334384371649417</v>
      </c>
      <c r="CO25" s="1">
        <f t="shared" ca="1" si="57"/>
        <v>0.38138198182350902</v>
      </c>
      <c r="CP25" s="1">
        <f t="shared" ca="1" si="58"/>
        <v>2</v>
      </c>
      <c r="CV25" s="1">
        <f t="shared" ca="1" si="59"/>
        <v>9.2698583909361858</v>
      </c>
      <c r="CW25" s="1">
        <f t="shared" ca="1" si="60"/>
        <v>1434</v>
      </c>
      <c r="CX25" s="1">
        <f t="shared" ca="1" si="61"/>
        <v>7.2238496057012011E-3</v>
      </c>
      <c r="DH25" s="1">
        <f t="shared" ca="1" si="62"/>
        <v>736</v>
      </c>
      <c r="DI25" s="1">
        <f t="shared" ca="1" si="63"/>
        <v>0.63358211332149628</v>
      </c>
      <c r="DJ25" s="1">
        <f t="shared" ca="1" si="64"/>
        <v>30</v>
      </c>
      <c r="DL25" s="1">
        <f t="shared" ca="1" si="65"/>
        <v>0.1483803085120862</v>
      </c>
      <c r="DM25" s="1">
        <f t="shared" ca="1" si="66"/>
        <v>276</v>
      </c>
      <c r="DN25" s="1">
        <f t="shared" ca="1" si="67"/>
        <v>6</v>
      </c>
    </row>
    <row r="26" spans="2:118" x14ac:dyDescent="0.25">
      <c r="B26">
        <f t="shared" ca="1" si="0"/>
        <v>244</v>
      </c>
      <c r="C26">
        <f t="shared" ca="1" si="1"/>
        <v>38</v>
      </c>
      <c r="D26">
        <f t="shared" ca="1" si="2"/>
        <v>0.28954402109115135</v>
      </c>
      <c r="F26" s="1">
        <f t="shared" ca="1" si="3"/>
        <v>33</v>
      </c>
      <c r="G26" s="1">
        <f t="shared" ca="1" si="4"/>
        <v>19</v>
      </c>
      <c r="H26" s="1">
        <f t="shared" ca="1" si="5"/>
        <v>12</v>
      </c>
      <c r="I26" s="1"/>
      <c r="J26" s="1">
        <f t="shared" ca="1" si="6"/>
        <v>38</v>
      </c>
      <c r="K26" s="1">
        <f t="shared" ca="1" si="7"/>
        <v>1.776619073010252</v>
      </c>
      <c r="L26" s="1">
        <f t="shared" ca="1" si="8"/>
        <v>14</v>
      </c>
      <c r="M26" s="1"/>
      <c r="N26" s="1">
        <f t="shared" ca="1" si="9"/>
        <v>35</v>
      </c>
      <c r="O26" s="1">
        <f t="shared" ca="1" si="10"/>
        <v>10</v>
      </c>
      <c r="P26" s="1"/>
      <c r="Q26" s="1">
        <f t="shared" ca="1" si="11"/>
        <v>2.0595064305897361</v>
      </c>
      <c r="R26" s="1">
        <f t="shared" ca="1" si="12"/>
        <v>948</v>
      </c>
      <c r="S26" s="1"/>
      <c r="T26" s="1">
        <f t="shared" ca="1" si="13"/>
        <v>0.18478498474709923</v>
      </c>
      <c r="U26" s="1">
        <f t="shared" ca="1" si="14"/>
        <v>327</v>
      </c>
      <c r="V26" s="1">
        <f t="shared" ca="1" si="15"/>
        <v>21</v>
      </c>
      <c r="W26" s="1"/>
      <c r="X26" s="1">
        <f t="shared" ca="1" si="16"/>
        <v>8.0906807588957648</v>
      </c>
      <c r="Y26" s="1">
        <f t="shared" ca="1" si="17"/>
        <v>0.39213115538648824</v>
      </c>
      <c r="Z26" s="1">
        <f t="shared" ca="1" si="18"/>
        <v>725</v>
      </c>
      <c r="AB26" s="1">
        <f t="shared" ca="1" si="19"/>
        <v>0.20611895975413141</v>
      </c>
      <c r="AC26" s="1">
        <f t="shared" ca="1" si="20"/>
        <v>792</v>
      </c>
      <c r="AD26" s="1">
        <f t="shared" ca="1" si="21"/>
        <v>5.9452271533996194E-3</v>
      </c>
      <c r="AE26" s="1"/>
      <c r="AF26" s="1">
        <f t="shared" ca="1" si="22"/>
        <v>0.23009871304052645</v>
      </c>
      <c r="AG26" s="1">
        <f t="shared" ca="1" si="23"/>
        <v>652</v>
      </c>
      <c r="AH26" s="1">
        <f t="shared" ca="1" si="24"/>
        <v>9.2908431697812065E-3</v>
      </c>
      <c r="AJ26" s="1">
        <f t="shared" ca="1" si="25"/>
        <v>0.61412800603320672</v>
      </c>
      <c r="AK26" s="1">
        <f t="shared" ca="1" si="26"/>
        <v>5.7625394677469043E-3</v>
      </c>
      <c r="AL26" s="1"/>
      <c r="AM26" s="1">
        <f t="shared" ca="1" si="27"/>
        <v>8.6256239364244841E-2</v>
      </c>
      <c r="AN26" s="1">
        <f t="shared" ca="1" si="28"/>
        <v>19</v>
      </c>
      <c r="AO26" s="1">
        <f t="shared" ca="1" si="29"/>
        <v>16</v>
      </c>
      <c r="AQ26" s="1">
        <f t="shared" ca="1" si="30"/>
        <v>160</v>
      </c>
      <c r="AR26" s="1">
        <f t="shared" ca="1" si="31"/>
        <v>6</v>
      </c>
      <c r="AS26" s="1">
        <f t="shared" ca="1" si="32"/>
        <v>62</v>
      </c>
      <c r="AU26" s="1">
        <f t="shared" ca="1" si="33"/>
        <v>393</v>
      </c>
      <c r="AV26" s="1">
        <f t="shared" ca="1" si="34"/>
        <v>7</v>
      </c>
      <c r="AW26" s="1">
        <f t="shared" ca="1" si="35"/>
        <v>0.19175390152077004</v>
      </c>
      <c r="AY26" s="1">
        <f t="shared" ca="1" si="36"/>
        <v>1.6330682042576008</v>
      </c>
      <c r="AZ26" s="1">
        <f t="shared" ca="1" si="37"/>
        <v>425</v>
      </c>
      <c r="BA26" s="1">
        <f t="shared" ca="1" si="38"/>
        <v>5.1896895807639421E-3</v>
      </c>
      <c r="BG26" s="1">
        <f t="shared" ca="1" si="39"/>
        <v>0.22117611439952162</v>
      </c>
      <c r="BH26" s="1">
        <f t="shared" ca="1" si="40"/>
        <v>5.2463378965503793E-3</v>
      </c>
      <c r="BI26" s="1">
        <f t="shared" ca="1" si="41"/>
        <v>426</v>
      </c>
      <c r="BV26" s="1">
        <f t="shared" ca="1" si="42"/>
        <v>0.75521704324069727</v>
      </c>
      <c r="BW26" s="1">
        <f t="shared" ca="1" si="43"/>
        <v>339</v>
      </c>
      <c r="BX26" s="1">
        <f t="shared" ca="1" si="44"/>
        <v>5.7621869746192602E-3</v>
      </c>
      <c r="BY26" s="1">
        <f t="shared" ca="1" si="45"/>
        <v>7.1878477508834762E-2</v>
      </c>
      <c r="BZ26" s="1">
        <f t="shared" ca="1" si="46"/>
        <v>7.3530026285478445E-2</v>
      </c>
      <c r="CB26" s="1">
        <f t="shared" ca="1" si="47"/>
        <v>130</v>
      </c>
      <c r="CC26" s="1">
        <f t="shared" ca="1" si="48"/>
        <v>5</v>
      </c>
      <c r="CD26" s="1">
        <f t="shared" ca="1" si="49"/>
        <v>0.15500161967055165</v>
      </c>
      <c r="CE26" s="1">
        <f t="shared" ca="1" si="50"/>
        <v>0.94143928721489856</v>
      </c>
      <c r="CF26" s="1">
        <f t="shared" ca="1" si="50"/>
        <v>0.86789494588594152</v>
      </c>
      <c r="CH26" s="3">
        <f t="shared" ca="1" si="51"/>
        <v>0.30155737562052659</v>
      </c>
      <c r="CI26" s="3">
        <f t="shared" ca="1" si="52"/>
        <v>0.81766899796515924</v>
      </c>
      <c r="CJ26" s="3">
        <f t="shared" ca="1" si="53"/>
        <v>1989</v>
      </c>
      <c r="CK26" s="3">
        <f t="shared" ca="1" si="54"/>
        <v>4.2845561185970498E-3</v>
      </c>
      <c r="CL26" s="3">
        <f t="shared" ca="1" si="55"/>
        <v>1</v>
      </c>
      <c r="CM26" s="3"/>
      <c r="CN26" s="1">
        <f t="shared" ca="1" si="56"/>
        <v>17.702744765045775</v>
      </c>
      <c r="CO26" s="1">
        <f t="shared" ca="1" si="57"/>
        <v>0.4514420548938522</v>
      </c>
      <c r="CP26" s="1">
        <f t="shared" ca="1" si="58"/>
        <v>2</v>
      </c>
      <c r="CV26" s="1">
        <f t="shared" ca="1" si="59"/>
        <v>7.1944990175998962</v>
      </c>
      <c r="CW26" s="1">
        <f t="shared" ca="1" si="60"/>
        <v>950</v>
      </c>
      <c r="CX26" s="1">
        <f t="shared" ca="1" si="61"/>
        <v>8.4974993565269975E-3</v>
      </c>
      <c r="DH26" s="1">
        <f t="shared" ca="1" si="62"/>
        <v>279</v>
      </c>
      <c r="DI26" s="1">
        <f t="shared" ca="1" si="63"/>
        <v>0.67869240295795619</v>
      </c>
      <c r="DJ26" s="1">
        <f t="shared" ca="1" si="64"/>
        <v>21</v>
      </c>
      <c r="DL26" s="1">
        <f t="shared" ca="1" si="65"/>
        <v>2.821448146936472E-2</v>
      </c>
      <c r="DM26" s="1">
        <f t="shared" ca="1" si="66"/>
        <v>74</v>
      </c>
      <c r="DN26" s="1">
        <f t="shared" ca="1" si="67"/>
        <v>9</v>
      </c>
    </row>
    <row r="27" spans="2:118" x14ac:dyDescent="0.25">
      <c r="B27">
        <f t="shared" ca="1" si="0"/>
        <v>673</v>
      </c>
      <c r="C27">
        <f t="shared" ca="1" si="1"/>
        <v>50</v>
      </c>
      <c r="D27">
        <f t="shared" ca="1" si="2"/>
        <v>4.1474451090963621E-2</v>
      </c>
      <c r="F27" s="1">
        <f t="shared" ca="1" si="3"/>
        <v>45</v>
      </c>
      <c r="G27" s="1">
        <f t="shared" ca="1" si="4"/>
        <v>28</v>
      </c>
      <c r="H27" s="1">
        <f t="shared" ca="1" si="5"/>
        <v>9</v>
      </c>
      <c r="I27" s="1"/>
      <c r="J27" s="1">
        <f t="shared" ca="1" si="6"/>
        <v>33</v>
      </c>
      <c r="K27" s="1">
        <f t="shared" ca="1" si="7"/>
        <v>2.9039011797194432</v>
      </c>
      <c r="L27" s="1">
        <f t="shared" ca="1" si="8"/>
        <v>32</v>
      </c>
      <c r="M27" s="1"/>
      <c r="N27" s="1">
        <f t="shared" ca="1" si="9"/>
        <v>906</v>
      </c>
      <c r="O27" s="1">
        <f t="shared" ca="1" si="10"/>
        <v>42</v>
      </c>
      <c r="P27" s="1"/>
      <c r="Q27" s="1">
        <f t="shared" ca="1" si="11"/>
        <v>2.8950571539162548</v>
      </c>
      <c r="R27" s="1">
        <f t="shared" ca="1" si="12"/>
        <v>994</v>
      </c>
      <c r="S27" s="1"/>
      <c r="T27" s="1">
        <f t="shared" ca="1" si="13"/>
        <v>2.0990731678398995E-2</v>
      </c>
      <c r="U27" s="1">
        <f t="shared" ca="1" si="14"/>
        <v>257</v>
      </c>
      <c r="V27" s="1">
        <f t="shared" ca="1" si="15"/>
        <v>24</v>
      </c>
      <c r="W27" s="1"/>
      <c r="X27" s="1">
        <f t="shared" ca="1" si="16"/>
        <v>9.2054531131913375</v>
      </c>
      <c r="Y27" s="1">
        <f t="shared" ca="1" si="17"/>
        <v>0.35616994289863391</v>
      </c>
      <c r="Z27" s="1">
        <f t="shared" ca="1" si="18"/>
        <v>159</v>
      </c>
      <c r="AB27" s="1">
        <f t="shared" ca="1" si="19"/>
        <v>0.54206136076648426</v>
      </c>
      <c r="AC27" s="1">
        <f t="shared" ca="1" si="20"/>
        <v>494</v>
      </c>
      <c r="AD27" s="1">
        <f t="shared" ca="1" si="21"/>
        <v>1.2062786741479353E-3</v>
      </c>
      <c r="AE27" s="1"/>
      <c r="AF27" s="1">
        <f t="shared" ca="1" si="22"/>
        <v>0.69754890532402702</v>
      </c>
      <c r="AG27" s="1">
        <f t="shared" ca="1" si="23"/>
        <v>943</v>
      </c>
      <c r="AH27" s="1">
        <f t="shared" ca="1" si="24"/>
        <v>1.4828807696196766E-3</v>
      </c>
      <c r="AJ27" s="1">
        <f t="shared" ca="1" si="25"/>
        <v>0.7497948972024574</v>
      </c>
      <c r="AK27" s="1">
        <f t="shared" ca="1" si="26"/>
        <v>4.5481357706652148E-3</v>
      </c>
      <c r="AL27" s="1"/>
      <c r="AM27" s="1">
        <f t="shared" ca="1" si="27"/>
        <v>6.2575575976892847E-3</v>
      </c>
      <c r="AN27" s="1">
        <f t="shared" ca="1" si="28"/>
        <v>63</v>
      </c>
      <c r="AO27" s="1">
        <f t="shared" ca="1" si="29"/>
        <v>6</v>
      </c>
      <c r="AQ27" s="1">
        <f t="shared" ca="1" si="30"/>
        <v>160</v>
      </c>
      <c r="AR27" s="1">
        <f t="shared" ca="1" si="31"/>
        <v>2</v>
      </c>
      <c r="AS27" s="1">
        <f t="shared" ca="1" si="32"/>
        <v>84</v>
      </c>
      <c r="AU27" s="1">
        <f t="shared" ca="1" si="33"/>
        <v>175</v>
      </c>
      <c r="AV27" s="1">
        <f t="shared" ca="1" si="34"/>
        <v>3</v>
      </c>
      <c r="AW27" s="1">
        <f t="shared" ca="1" si="35"/>
        <v>0.12169486096097946</v>
      </c>
      <c r="AY27" s="1">
        <f t="shared" ca="1" si="36"/>
        <v>1.4475827672521835</v>
      </c>
      <c r="AZ27" s="1">
        <f t="shared" ca="1" si="37"/>
        <v>365</v>
      </c>
      <c r="BA27" s="1">
        <f t="shared" ca="1" si="38"/>
        <v>7.9014618314645207E-3</v>
      </c>
      <c r="BG27" s="1">
        <f t="shared" ca="1" si="39"/>
        <v>1.9684479281623715E-2</v>
      </c>
      <c r="BH27" s="1">
        <f t="shared" ca="1" si="40"/>
        <v>0.93414872392271042</v>
      </c>
      <c r="BI27" s="1">
        <f t="shared" ca="1" si="41"/>
        <v>535</v>
      </c>
      <c r="BV27" s="1">
        <f t="shared" ca="1" si="42"/>
        <v>0.56138297785229785</v>
      </c>
      <c r="BW27" s="1">
        <f t="shared" ca="1" si="43"/>
        <v>116</v>
      </c>
      <c r="BX27" s="1">
        <f t="shared" ca="1" si="44"/>
        <v>6.5001618606025388E-3</v>
      </c>
      <c r="BY27" s="1">
        <f t="shared" ca="1" si="45"/>
        <v>9.7774499230914469E-2</v>
      </c>
      <c r="BZ27" s="1">
        <f t="shared" ca="1" si="46"/>
        <v>0.97409731044148873</v>
      </c>
      <c r="CB27" s="1">
        <f t="shared" ca="1" si="47"/>
        <v>72</v>
      </c>
      <c r="CC27" s="1">
        <f t="shared" ca="1" si="48"/>
        <v>3</v>
      </c>
      <c r="CD27" s="1">
        <f t="shared" ca="1" si="49"/>
        <v>4.9155240606699166E-2</v>
      </c>
      <c r="CE27" s="1">
        <f t="shared" ca="1" si="50"/>
        <v>0.65631174425935512</v>
      </c>
      <c r="CF27" s="1">
        <f t="shared" ca="1" si="50"/>
        <v>0.58189640198129722</v>
      </c>
      <c r="CH27" s="3">
        <f t="shared" ca="1" si="51"/>
        <v>0.66225598840216515</v>
      </c>
      <c r="CI27" s="3">
        <f t="shared" ca="1" si="52"/>
        <v>0.40848971102422771</v>
      </c>
      <c r="CJ27" s="3">
        <f t="shared" ca="1" si="53"/>
        <v>1774</v>
      </c>
      <c r="CK27" s="3">
        <f t="shared" ca="1" si="54"/>
        <v>7.7383426497446579E-3</v>
      </c>
      <c r="CL27" s="3">
        <f t="shared" ca="1" si="55"/>
        <v>0</v>
      </c>
      <c r="CM27" s="3"/>
      <c r="CN27" s="1">
        <f t="shared" ca="1" si="56"/>
        <v>13.231693227074182</v>
      </c>
      <c r="CO27" s="1">
        <f t="shared" ca="1" si="57"/>
        <v>0.36039675351901818</v>
      </c>
      <c r="CP27" s="1">
        <f t="shared" ca="1" si="58"/>
        <v>2</v>
      </c>
      <c r="CV27" s="1">
        <f t="shared" ca="1" si="59"/>
        <v>5.492011980714623</v>
      </c>
      <c r="CW27" s="1">
        <f t="shared" ca="1" si="60"/>
        <v>1950</v>
      </c>
      <c r="CX27" s="1">
        <f t="shared" ca="1" si="61"/>
        <v>9.2634280857475362E-4</v>
      </c>
      <c r="DH27" s="1">
        <f t="shared" ca="1" si="62"/>
        <v>273</v>
      </c>
      <c r="DI27" s="1">
        <f t="shared" ca="1" si="63"/>
        <v>0.19245295338657356</v>
      </c>
      <c r="DJ27" s="1">
        <f t="shared" ca="1" si="64"/>
        <v>1</v>
      </c>
      <c r="DL27" s="1">
        <f t="shared" ca="1" si="65"/>
        <v>8.2062714487657867E-2</v>
      </c>
      <c r="DM27" s="1">
        <f t="shared" ca="1" si="66"/>
        <v>274</v>
      </c>
      <c r="DN27" s="1">
        <f t="shared" ca="1" si="67"/>
        <v>1</v>
      </c>
    </row>
    <row r="28" spans="2:118" x14ac:dyDescent="0.25">
      <c r="B28">
        <f t="shared" ca="1" si="0"/>
        <v>356</v>
      </c>
      <c r="C28">
        <f t="shared" ca="1" si="1"/>
        <v>5</v>
      </c>
      <c r="D28">
        <f t="shared" ca="1" si="2"/>
        <v>4.1088473586695533E-2</v>
      </c>
      <c r="F28" s="1">
        <f t="shared" ca="1" si="3"/>
        <v>16</v>
      </c>
      <c r="G28" s="1">
        <f t="shared" ca="1" si="4"/>
        <v>6</v>
      </c>
      <c r="H28" s="1">
        <f t="shared" ca="1" si="5"/>
        <v>3</v>
      </c>
      <c r="I28" s="1"/>
      <c r="J28" s="1">
        <f t="shared" ca="1" si="6"/>
        <v>38</v>
      </c>
      <c r="K28" s="1">
        <f t="shared" ca="1" si="7"/>
        <v>2.5293703507036183</v>
      </c>
      <c r="L28" s="1">
        <f t="shared" ca="1" si="8"/>
        <v>25</v>
      </c>
      <c r="M28" s="1"/>
      <c r="N28" s="1">
        <f t="shared" ca="1" si="9"/>
        <v>672</v>
      </c>
      <c r="O28" s="1">
        <f t="shared" ca="1" si="10"/>
        <v>28</v>
      </c>
      <c r="P28" s="1"/>
      <c r="Q28" s="1">
        <f t="shared" ca="1" si="11"/>
        <v>4.4061987326374528</v>
      </c>
      <c r="R28" s="1">
        <f t="shared" ca="1" si="12"/>
        <v>553</v>
      </c>
      <c r="S28" s="1"/>
      <c r="T28" s="1">
        <f t="shared" ca="1" si="13"/>
        <v>6.4477827965363402E-2</v>
      </c>
      <c r="U28" s="1">
        <f t="shared" ca="1" si="14"/>
        <v>170</v>
      </c>
      <c r="V28" s="1">
        <f t="shared" ca="1" si="15"/>
        <v>34</v>
      </c>
      <c r="W28" s="1"/>
      <c r="X28" s="1">
        <f t="shared" ca="1" si="16"/>
        <v>9.4665772734155027</v>
      </c>
      <c r="Y28" s="1">
        <f t="shared" ca="1" si="17"/>
        <v>0.30800065386043479</v>
      </c>
      <c r="Z28" s="1">
        <f t="shared" ca="1" si="18"/>
        <v>398</v>
      </c>
      <c r="AB28" s="1">
        <f t="shared" ca="1" si="19"/>
        <v>0.26761232602636564</v>
      </c>
      <c r="AC28" s="1">
        <f t="shared" ca="1" si="20"/>
        <v>190</v>
      </c>
      <c r="AD28" s="1">
        <f t="shared" ca="1" si="21"/>
        <v>9.3875516336862613E-4</v>
      </c>
      <c r="AE28" s="1"/>
      <c r="AF28" s="1">
        <f t="shared" ca="1" si="22"/>
        <v>0.61766154863771616</v>
      </c>
      <c r="AG28" s="1">
        <f t="shared" ca="1" si="23"/>
        <v>372</v>
      </c>
      <c r="AH28" s="1">
        <f t="shared" ca="1" si="24"/>
        <v>9.9318362063700073E-3</v>
      </c>
      <c r="AJ28" s="1">
        <f t="shared" ca="1" si="25"/>
        <v>0.95216074835952891</v>
      </c>
      <c r="AK28" s="1">
        <f t="shared" ca="1" si="26"/>
        <v>1.5536133537427832E-3</v>
      </c>
      <c r="AL28" s="1"/>
      <c r="AM28" s="1">
        <f t="shared" ca="1" si="27"/>
        <v>9.4643976630284898E-2</v>
      </c>
      <c r="AN28" s="1">
        <f t="shared" ca="1" si="28"/>
        <v>28</v>
      </c>
      <c r="AO28" s="1">
        <f t="shared" ca="1" si="29"/>
        <v>0</v>
      </c>
      <c r="AQ28" s="1">
        <f t="shared" ca="1" si="30"/>
        <v>107</v>
      </c>
      <c r="AR28" s="1">
        <f t="shared" ca="1" si="31"/>
        <v>5</v>
      </c>
      <c r="AS28" s="1">
        <f t="shared" ca="1" si="32"/>
        <v>96</v>
      </c>
      <c r="AU28" s="1">
        <f t="shared" ca="1" si="33"/>
        <v>212</v>
      </c>
      <c r="AV28" s="1">
        <f t="shared" ca="1" si="34"/>
        <v>7</v>
      </c>
      <c r="AW28" s="1">
        <f t="shared" ca="1" si="35"/>
        <v>0.17669821702611557</v>
      </c>
      <c r="AY28" s="1">
        <f t="shared" ca="1" si="36"/>
        <v>1.5733564581067543</v>
      </c>
      <c r="AZ28" s="1">
        <f t="shared" ca="1" si="37"/>
        <v>316</v>
      </c>
      <c r="BA28" s="1">
        <f t="shared" ca="1" si="38"/>
        <v>8.7727421077205478E-3</v>
      </c>
      <c r="BG28" s="1">
        <f t="shared" ca="1" si="39"/>
        <v>0.89511527998910767</v>
      </c>
      <c r="BH28" s="1">
        <f t="shared" ca="1" si="40"/>
        <v>0.98070185152029754</v>
      </c>
      <c r="BI28" s="1">
        <f t="shared" ca="1" si="41"/>
        <v>388</v>
      </c>
      <c r="BV28" s="1">
        <f t="shared" ca="1" si="42"/>
        <v>3.6092151572310188E-2</v>
      </c>
      <c r="BW28" s="1">
        <f t="shared" ca="1" si="43"/>
        <v>149</v>
      </c>
      <c r="BX28" s="1">
        <f t="shared" ca="1" si="44"/>
        <v>4.8973014961119915E-3</v>
      </c>
      <c r="BY28" s="1">
        <f t="shared" ca="1" si="45"/>
        <v>2.5414088952549145E-2</v>
      </c>
      <c r="BZ28" s="1">
        <f t="shared" ca="1" si="46"/>
        <v>0.3124415724678804</v>
      </c>
      <c r="CB28" s="1">
        <f t="shared" ca="1" si="47"/>
        <v>425</v>
      </c>
      <c r="CC28" s="1">
        <f t="shared" ca="1" si="48"/>
        <v>11</v>
      </c>
      <c r="CD28" s="1">
        <f t="shared" ca="1" si="49"/>
        <v>0.29486900600045979</v>
      </c>
      <c r="CE28" s="1">
        <f t="shared" ca="1" si="50"/>
        <v>0.85990288004511273</v>
      </c>
      <c r="CF28" s="1">
        <f t="shared" ca="1" si="50"/>
        <v>0.7424316227692167</v>
      </c>
      <c r="CH28" s="3">
        <f t="shared" ca="1" si="51"/>
        <v>0.39768559476785703</v>
      </c>
      <c r="CI28" s="3">
        <f t="shared" ca="1" si="52"/>
        <v>0.44619082894022316</v>
      </c>
      <c r="CJ28" s="3">
        <f t="shared" ca="1" si="53"/>
        <v>242</v>
      </c>
      <c r="CK28" s="3">
        <f t="shared" ca="1" si="54"/>
        <v>9.266376397524553E-3</v>
      </c>
      <c r="CL28" s="3">
        <f t="shared" ca="1" si="55"/>
        <v>1</v>
      </c>
      <c r="CM28" s="3"/>
      <c r="CN28" s="1">
        <f t="shared" ca="1" si="56"/>
        <v>9.6802539315882861</v>
      </c>
      <c r="CO28" s="1">
        <f t="shared" ca="1" si="57"/>
        <v>0.4874778167065984</v>
      </c>
      <c r="CP28" s="1">
        <f t="shared" ca="1" si="58"/>
        <v>1</v>
      </c>
      <c r="CV28" s="1">
        <f t="shared" ca="1" si="59"/>
        <v>9.5248095777411876</v>
      </c>
      <c r="CW28" s="1">
        <f t="shared" ca="1" si="60"/>
        <v>843</v>
      </c>
      <c r="CX28" s="1">
        <f t="shared" ca="1" si="61"/>
        <v>4.7308267251600453E-3</v>
      </c>
      <c r="DH28" s="1">
        <f t="shared" ca="1" si="62"/>
        <v>277</v>
      </c>
      <c r="DI28" s="1">
        <f t="shared" ca="1" si="63"/>
        <v>4.1981259600409666E-2</v>
      </c>
      <c r="DJ28" s="1">
        <f t="shared" ca="1" si="64"/>
        <v>4</v>
      </c>
      <c r="DL28" s="1">
        <f t="shared" ca="1" si="65"/>
        <v>8.9701310017897939E-2</v>
      </c>
      <c r="DM28" s="1">
        <f t="shared" ca="1" si="66"/>
        <v>240</v>
      </c>
      <c r="DN28" s="1">
        <f t="shared" ca="1" si="67"/>
        <v>4</v>
      </c>
    </row>
    <row r="29" spans="2:118" x14ac:dyDescent="0.25">
      <c r="B29">
        <f t="shared" ca="1" si="0"/>
        <v>696</v>
      </c>
      <c r="C29">
        <f t="shared" ca="1" si="1"/>
        <v>22</v>
      </c>
      <c r="D29">
        <f t="shared" ca="1" si="2"/>
        <v>0.28963955390005708</v>
      </c>
      <c r="F29" s="1">
        <f t="shared" ca="1" si="3"/>
        <v>13</v>
      </c>
      <c r="G29" s="1">
        <f t="shared" ca="1" si="4"/>
        <v>5</v>
      </c>
      <c r="H29" s="1">
        <f t="shared" ca="1" si="5"/>
        <v>2</v>
      </c>
      <c r="I29" s="1"/>
      <c r="J29" s="1">
        <f t="shared" ca="1" si="6"/>
        <v>34</v>
      </c>
      <c r="K29" s="1">
        <f t="shared" ca="1" si="7"/>
        <v>2.9554044042802614</v>
      </c>
      <c r="L29" s="1">
        <f t="shared" ca="1" si="8"/>
        <v>28</v>
      </c>
      <c r="M29" s="1"/>
      <c r="N29" s="1">
        <f t="shared" ca="1" si="9"/>
        <v>506</v>
      </c>
      <c r="O29" s="1">
        <f t="shared" ca="1" si="10"/>
        <v>8</v>
      </c>
      <c r="P29" s="1"/>
      <c r="Q29" s="1">
        <f t="shared" ca="1" si="11"/>
        <v>0.40911247425701103</v>
      </c>
      <c r="R29" s="1">
        <f t="shared" ca="1" si="12"/>
        <v>219</v>
      </c>
      <c r="S29" s="1"/>
      <c r="T29" s="1">
        <f t="shared" ca="1" si="13"/>
        <v>8.2657833878088477E-2</v>
      </c>
      <c r="U29" s="1">
        <f t="shared" ca="1" si="14"/>
        <v>391</v>
      </c>
      <c r="V29" s="1">
        <f t="shared" ca="1" si="15"/>
        <v>13</v>
      </c>
      <c r="W29" s="1"/>
      <c r="X29" s="1">
        <f t="shared" ca="1" si="16"/>
        <v>0.80423910787785935</v>
      </c>
      <c r="Y29" s="1">
        <f t="shared" ca="1" si="17"/>
        <v>0.50338242248247922</v>
      </c>
      <c r="Z29" s="1">
        <f t="shared" ca="1" si="18"/>
        <v>744</v>
      </c>
      <c r="AB29" s="1">
        <f t="shared" ca="1" si="19"/>
        <v>0.20602287584352552</v>
      </c>
      <c r="AC29" s="1">
        <f t="shared" ca="1" si="20"/>
        <v>496</v>
      </c>
      <c r="AD29" s="1">
        <f t="shared" ca="1" si="21"/>
        <v>5.8830893392375584E-3</v>
      </c>
      <c r="AE29" s="1"/>
      <c r="AF29" s="1">
        <f t="shared" ca="1" si="22"/>
        <v>0.66541988146421738</v>
      </c>
      <c r="AG29" s="1">
        <f t="shared" ca="1" si="23"/>
        <v>516</v>
      </c>
      <c r="AH29" s="1">
        <f t="shared" ca="1" si="24"/>
        <v>7.1808610064548958E-3</v>
      </c>
      <c r="AJ29" s="1">
        <f t="shared" ca="1" si="25"/>
        <v>0.20195750438091609</v>
      </c>
      <c r="AK29" s="1">
        <f t="shared" ca="1" si="26"/>
        <v>9.6364759594796904E-3</v>
      </c>
      <c r="AL29" s="1"/>
      <c r="AM29" s="1">
        <f t="shared" ca="1" si="27"/>
        <v>0.13532118919233616</v>
      </c>
      <c r="AN29" s="1">
        <f t="shared" ca="1" si="28"/>
        <v>35</v>
      </c>
      <c r="AO29" s="1">
        <f t="shared" ca="1" si="29"/>
        <v>17</v>
      </c>
      <c r="AQ29" s="1">
        <f t="shared" ca="1" si="30"/>
        <v>191</v>
      </c>
      <c r="AR29" s="1">
        <f t="shared" ca="1" si="31"/>
        <v>9</v>
      </c>
      <c r="AS29" s="1">
        <f t="shared" ca="1" si="32"/>
        <v>21</v>
      </c>
      <c r="AU29" s="1">
        <f t="shared" ca="1" si="33"/>
        <v>351</v>
      </c>
      <c r="AV29" s="1">
        <f t="shared" ca="1" si="34"/>
        <v>9</v>
      </c>
      <c r="AW29" s="1">
        <f t="shared" ca="1" si="35"/>
        <v>6.1287753412835745E-2</v>
      </c>
      <c r="AY29" s="1">
        <f t="shared" ca="1" si="36"/>
        <v>1.7966223339955762</v>
      </c>
      <c r="AZ29" s="1">
        <f t="shared" ca="1" si="37"/>
        <v>89</v>
      </c>
      <c r="BA29" s="1">
        <f t="shared" ca="1" si="38"/>
        <v>4.5573985189038962E-3</v>
      </c>
      <c r="BG29" s="1">
        <f t="shared" ca="1" si="39"/>
        <v>0.62118180044844096</v>
      </c>
      <c r="BH29" s="1">
        <f t="shared" ca="1" si="40"/>
        <v>0.9589879637484634</v>
      </c>
      <c r="BI29" s="1">
        <f t="shared" ca="1" si="41"/>
        <v>111</v>
      </c>
      <c r="BV29" s="1">
        <f t="shared" ca="1" si="42"/>
        <v>0.17862717544272338</v>
      </c>
      <c r="BW29" s="1">
        <f t="shared" ca="1" si="43"/>
        <v>944</v>
      </c>
      <c r="BX29" s="1">
        <f t="shared" ca="1" si="44"/>
        <v>7.5433515253217646E-3</v>
      </c>
      <c r="BY29" s="1">
        <f t="shared" ca="1" si="45"/>
        <v>9.6830118489623931E-2</v>
      </c>
      <c r="BZ29" s="1">
        <f t="shared" ca="1" si="46"/>
        <v>0.51511731251346871</v>
      </c>
      <c r="CB29" s="1">
        <f t="shared" ca="1" si="47"/>
        <v>205</v>
      </c>
      <c r="CC29" s="1">
        <f t="shared" ca="1" si="48"/>
        <v>12</v>
      </c>
      <c r="CD29" s="1">
        <f t="shared" ca="1" si="49"/>
        <v>0.18642218040852526</v>
      </c>
      <c r="CE29" s="1">
        <f t="shared" ca="1" si="50"/>
        <v>0.662932757674766</v>
      </c>
      <c r="CF29" s="1">
        <f t="shared" ca="1" si="50"/>
        <v>0.83905518598222684</v>
      </c>
      <c r="CH29" s="3">
        <f t="shared" ca="1" si="51"/>
        <v>0.94428103911497441</v>
      </c>
      <c r="CI29" s="3">
        <f t="shared" ca="1" si="52"/>
        <v>0.20376203910803672</v>
      </c>
      <c r="CJ29" s="3">
        <f t="shared" ca="1" si="53"/>
        <v>1694</v>
      </c>
      <c r="CK29" s="3">
        <f t="shared" ca="1" si="54"/>
        <v>1.5771487830939376E-3</v>
      </c>
      <c r="CL29" s="3">
        <f t="shared" ca="1" si="55"/>
        <v>1</v>
      </c>
      <c r="CM29" s="3"/>
      <c r="CN29" s="1">
        <f t="shared" ca="1" si="56"/>
        <v>1.2764889952464165</v>
      </c>
      <c r="CO29" s="1">
        <f t="shared" ca="1" si="57"/>
        <v>0.26770014627533623</v>
      </c>
      <c r="CP29" s="1">
        <f t="shared" ca="1" si="58"/>
        <v>1</v>
      </c>
      <c r="CV29" s="1">
        <f t="shared" ca="1" si="59"/>
        <v>4.7729955051538164</v>
      </c>
      <c r="CW29" s="1">
        <f t="shared" ca="1" si="60"/>
        <v>1523</v>
      </c>
      <c r="CX29" s="1">
        <f t="shared" ca="1" si="61"/>
        <v>4.1452111933747869E-3</v>
      </c>
      <c r="DH29" s="1">
        <f t="shared" ca="1" si="62"/>
        <v>203</v>
      </c>
      <c r="DI29" s="1">
        <f t="shared" ca="1" si="63"/>
        <v>0.4475825432210026</v>
      </c>
      <c r="DJ29" s="1">
        <f t="shared" ca="1" si="64"/>
        <v>27</v>
      </c>
      <c r="DL29" s="1">
        <f t="shared" ca="1" si="65"/>
        <v>8.2151206054428091E-2</v>
      </c>
      <c r="DM29" s="1">
        <f t="shared" ca="1" si="66"/>
        <v>158</v>
      </c>
      <c r="DN29" s="1">
        <f t="shared" ca="1" si="67"/>
        <v>2</v>
      </c>
    </row>
    <row r="30" spans="2:118" x14ac:dyDescent="0.25">
      <c r="B30">
        <f t="shared" ca="1" si="0"/>
        <v>519</v>
      </c>
      <c r="C30">
        <f t="shared" ca="1" si="1"/>
        <v>5</v>
      </c>
      <c r="D30">
        <f t="shared" ca="1" si="2"/>
        <v>0.17761881075939645</v>
      </c>
      <c r="F30" s="1">
        <f t="shared" ca="1" si="3"/>
        <v>10</v>
      </c>
      <c r="G30" s="1">
        <f t="shared" ca="1" si="4"/>
        <v>4</v>
      </c>
      <c r="H30" s="1">
        <f t="shared" ca="1" si="5"/>
        <v>6</v>
      </c>
      <c r="I30" s="1"/>
      <c r="J30" s="1">
        <f t="shared" ca="1" si="6"/>
        <v>33</v>
      </c>
      <c r="K30" s="1">
        <f t="shared" ca="1" si="7"/>
        <v>1.2360903722201735</v>
      </c>
      <c r="L30" s="1">
        <f t="shared" ca="1" si="8"/>
        <v>35</v>
      </c>
      <c r="M30" s="1"/>
      <c r="N30" s="1">
        <f t="shared" ca="1" si="9"/>
        <v>532</v>
      </c>
      <c r="O30" s="1">
        <f t="shared" ca="1" si="10"/>
        <v>5</v>
      </c>
      <c r="P30" s="1"/>
      <c r="Q30" s="1">
        <f t="shared" ca="1" si="11"/>
        <v>2.4314445382970242</v>
      </c>
      <c r="R30" s="1">
        <f t="shared" ca="1" si="12"/>
        <v>433</v>
      </c>
      <c r="S30" s="1"/>
      <c r="T30" s="1">
        <f t="shared" ca="1" si="13"/>
        <v>0.13122182704609264</v>
      </c>
      <c r="U30" s="1">
        <f t="shared" ca="1" si="14"/>
        <v>448</v>
      </c>
      <c r="V30" s="1">
        <f t="shared" ca="1" si="15"/>
        <v>2</v>
      </c>
      <c r="W30" s="1"/>
      <c r="X30" s="1">
        <f t="shared" ca="1" si="16"/>
        <v>8.6551415194542933</v>
      </c>
      <c r="Y30" s="1">
        <f t="shared" ca="1" si="17"/>
        <v>0.70892488830523426</v>
      </c>
      <c r="Z30" s="1">
        <f t="shared" ca="1" si="18"/>
        <v>1790</v>
      </c>
      <c r="AB30" s="1">
        <f t="shared" ca="1" si="19"/>
        <v>0.6578854933290017</v>
      </c>
      <c r="AC30" s="1">
        <f t="shared" ca="1" si="20"/>
        <v>976</v>
      </c>
      <c r="AD30" s="1">
        <f t="shared" ca="1" si="21"/>
        <v>5.9082254626039729E-3</v>
      </c>
      <c r="AE30" s="1"/>
      <c r="AF30" s="1">
        <f t="shared" ca="1" si="22"/>
        <v>0.13907267732989714</v>
      </c>
      <c r="AG30" s="1">
        <f t="shared" ca="1" si="23"/>
        <v>499</v>
      </c>
      <c r="AH30" s="1">
        <f t="shared" ca="1" si="24"/>
        <v>2.414559362268157E-3</v>
      </c>
      <c r="AJ30" s="1">
        <f t="shared" ca="1" si="25"/>
        <v>0.85973820705343573</v>
      </c>
      <c r="AK30" s="1">
        <f t="shared" ca="1" si="26"/>
        <v>8.5111342297530864E-3</v>
      </c>
      <c r="AL30" s="1"/>
      <c r="AM30" s="1">
        <f t="shared" ca="1" si="27"/>
        <v>0.10327293439243541</v>
      </c>
      <c r="AN30" s="1">
        <f t="shared" ca="1" si="28"/>
        <v>68</v>
      </c>
      <c r="AO30" s="1">
        <f t="shared" ca="1" si="29"/>
        <v>3</v>
      </c>
      <c r="AQ30" s="1">
        <f t="shared" ca="1" si="30"/>
        <v>69</v>
      </c>
      <c r="AR30" s="1">
        <f t="shared" ca="1" si="31"/>
        <v>3</v>
      </c>
      <c r="AS30" s="1">
        <f t="shared" ca="1" si="32"/>
        <v>27</v>
      </c>
      <c r="AU30" s="1">
        <f t="shared" ca="1" si="33"/>
        <v>340</v>
      </c>
      <c r="AV30" s="1">
        <f t="shared" ca="1" si="34"/>
        <v>8</v>
      </c>
      <c r="AW30" s="1">
        <f t="shared" ca="1" si="35"/>
        <v>5.1098782493271121E-2</v>
      </c>
      <c r="AY30" s="1">
        <f t="shared" ca="1" si="36"/>
        <v>1.3767821585631288</v>
      </c>
      <c r="AZ30" s="1">
        <f t="shared" ca="1" si="37"/>
        <v>399</v>
      </c>
      <c r="BA30" s="1">
        <f t="shared" ca="1" si="38"/>
        <v>2.9597612010797024E-3</v>
      </c>
      <c r="BG30" s="1">
        <f t="shared" ca="1" si="39"/>
        <v>0.62818152416952588</v>
      </c>
      <c r="BH30" s="1">
        <f t="shared" ca="1" si="40"/>
        <v>0.91403810706945721</v>
      </c>
      <c r="BI30" s="1">
        <f t="shared" ca="1" si="41"/>
        <v>235</v>
      </c>
      <c r="BV30" s="1">
        <f t="shared" ca="1" si="42"/>
        <v>0.17236563407005312</v>
      </c>
      <c r="BW30" s="1">
        <f t="shared" ca="1" si="43"/>
        <v>741</v>
      </c>
      <c r="BX30" s="1">
        <f t="shared" ca="1" si="44"/>
        <v>7.219195352978487E-3</v>
      </c>
      <c r="BY30" s="1">
        <f t="shared" ca="1" si="45"/>
        <v>9.7568764266601684E-3</v>
      </c>
      <c r="BZ30" s="1">
        <f t="shared" ca="1" si="46"/>
        <v>0.35993981984476087</v>
      </c>
      <c r="CB30" s="1">
        <f t="shared" ca="1" si="47"/>
        <v>242</v>
      </c>
      <c r="CC30" s="1">
        <f t="shared" ca="1" si="48"/>
        <v>6</v>
      </c>
      <c r="CD30" s="1">
        <f t="shared" ca="1" si="49"/>
        <v>0.1403158571122359</v>
      </c>
      <c r="CE30" s="1">
        <f t="shared" ca="1" si="50"/>
        <v>0.59470587691922328</v>
      </c>
      <c r="CF30" s="1">
        <f t="shared" ca="1" si="50"/>
        <v>0.97571829684594769</v>
      </c>
      <c r="CH30" s="3">
        <f t="shared" ca="1" si="51"/>
        <v>0.36402305970773624</v>
      </c>
      <c r="CI30" s="3">
        <f t="shared" ca="1" si="52"/>
        <v>0.82558177676371725</v>
      </c>
      <c r="CJ30" s="3">
        <f t="shared" ca="1" si="53"/>
        <v>710</v>
      </c>
      <c r="CK30" s="3">
        <f t="shared" ca="1" si="54"/>
        <v>2.0965173746451296E-3</v>
      </c>
      <c r="CL30" s="3">
        <f t="shared" ca="1" si="55"/>
        <v>0</v>
      </c>
      <c r="CM30" s="3"/>
      <c r="CN30" s="1">
        <f t="shared" ca="1" si="56"/>
        <v>0.12467590007443055</v>
      </c>
      <c r="CO30" s="1">
        <f t="shared" ca="1" si="57"/>
        <v>0.31625053575832496</v>
      </c>
      <c r="CP30" s="1">
        <f t="shared" ca="1" si="58"/>
        <v>2</v>
      </c>
      <c r="CV30" s="1">
        <f t="shared" ca="1" si="59"/>
        <v>4.9900270542108451</v>
      </c>
      <c r="CW30" s="1">
        <f t="shared" ca="1" si="60"/>
        <v>889</v>
      </c>
      <c r="CX30" s="1">
        <f t="shared" ca="1" si="61"/>
        <v>3.6422534785319274E-3</v>
      </c>
      <c r="DH30" s="1">
        <f t="shared" ca="1" si="62"/>
        <v>887</v>
      </c>
      <c r="DI30" s="1">
        <f t="shared" ca="1" si="63"/>
        <v>0.24286024811451276</v>
      </c>
      <c r="DJ30" s="1">
        <f t="shared" ca="1" si="64"/>
        <v>8</v>
      </c>
      <c r="DL30" s="1">
        <f t="shared" ca="1" si="65"/>
        <v>2.7005667930021029E-2</v>
      </c>
      <c r="DM30" s="1">
        <f t="shared" ca="1" si="66"/>
        <v>275</v>
      </c>
      <c r="DN30" s="1">
        <f t="shared" ca="1" si="67"/>
        <v>7</v>
      </c>
    </row>
    <row r="31" spans="2:118" x14ac:dyDescent="0.25">
      <c r="B31">
        <f t="shared" ca="1" si="0"/>
        <v>154</v>
      </c>
      <c r="C31">
        <f t="shared" ca="1" si="1"/>
        <v>21</v>
      </c>
      <c r="D31">
        <f t="shared" ca="1" si="2"/>
        <v>0.1522432492204436</v>
      </c>
      <c r="F31" s="1">
        <f t="shared" ca="1" si="3"/>
        <v>9</v>
      </c>
      <c r="G31" s="1">
        <f t="shared" ca="1" si="4"/>
        <v>16</v>
      </c>
      <c r="H31" s="1">
        <f t="shared" ca="1" si="5"/>
        <v>7</v>
      </c>
      <c r="I31" s="1"/>
      <c r="J31" s="1">
        <f t="shared" ca="1" si="6"/>
        <v>22</v>
      </c>
      <c r="K31" s="1">
        <f t="shared" ca="1" si="7"/>
        <v>1.7825552779702936</v>
      </c>
      <c r="L31" s="1">
        <f t="shared" ca="1" si="8"/>
        <v>14</v>
      </c>
      <c r="M31" s="1"/>
      <c r="N31" s="1">
        <f t="shared" ca="1" si="9"/>
        <v>567</v>
      </c>
      <c r="O31" s="1">
        <f t="shared" ca="1" si="10"/>
        <v>8</v>
      </c>
      <c r="P31" s="1"/>
      <c r="Q31" s="1">
        <f t="shared" ca="1" si="11"/>
        <v>1.5760519026152808</v>
      </c>
      <c r="R31" s="1">
        <f t="shared" ca="1" si="12"/>
        <v>1059</v>
      </c>
      <c r="S31" s="1"/>
      <c r="T31" s="1">
        <f t="shared" ca="1" si="13"/>
        <v>4.9886255428858259E-2</v>
      </c>
      <c r="U31" s="1">
        <f t="shared" ca="1" si="14"/>
        <v>438</v>
      </c>
      <c r="V31" s="1">
        <f t="shared" ca="1" si="15"/>
        <v>45</v>
      </c>
      <c r="W31" s="1"/>
      <c r="X31" s="1">
        <f t="shared" ca="1" si="16"/>
        <v>7.6531310281623375</v>
      </c>
      <c r="Y31" s="1">
        <f t="shared" ca="1" si="17"/>
        <v>0.75370902107043647</v>
      </c>
      <c r="Z31" s="1">
        <f t="shared" ca="1" si="18"/>
        <v>1604</v>
      </c>
      <c r="AB31" s="1">
        <f t="shared" ca="1" si="19"/>
        <v>0.48642251611413451</v>
      </c>
      <c r="AC31" s="1">
        <f t="shared" ca="1" si="20"/>
        <v>924</v>
      </c>
      <c r="AD31" s="1">
        <f t="shared" ca="1" si="21"/>
        <v>5.8986993072904694E-3</v>
      </c>
      <c r="AE31" s="1"/>
      <c r="AF31" s="1">
        <f t="shared" ca="1" si="22"/>
        <v>0.4422073344770866</v>
      </c>
      <c r="AG31" s="1">
        <f t="shared" ca="1" si="23"/>
        <v>894</v>
      </c>
      <c r="AH31" s="1">
        <f t="shared" ca="1" si="24"/>
        <v>4.8937650540229116E-3</v>
      </c>
      <c r="AJ31" s="1">
        <f t="shared" ca="1" si="25"/>
        <v>0.67037899811609192</v>
      </c>
      <c r="AK31" s="1">
        <f t="shared" ca="1" si="26"/>
        <v>4.8740092947669863E-3</v>
      </c>
      <c r="AL31" s="1"/>
      <c r="AM31" s="1">
        <f t="shared" ca="1" si="27"/>
        <v>0.16018045546047974</v>
      </c>
      <c r="AN31" s="1">
        <f t="shared" ca="1" si="28"/>
        <v>53</v>
      </c>
      <c r="AO31" s="1">
        <f t="shared" ca="1" si="29"/>
        <v>1</v>
      </c>
      <c r="AQ31" s="1">
        <f t="shared" ca="1" si="30"/>
        <v>190</v>
      </c>
      <c r="AR31" s="1">
        <f t="shared" ca="1" si="31"/>
        <v>5</v>
      </c>
      <c r="AS31" s="1">
        <f t="shared" ca="1" si="32"/>
        <v>86</v>
      </c>
      <c r="AU31" s="1">
        <f t="shared" ca="1" si="33"/>
        <v>368</v>
      </c>
      <c r="AV31" s="1">
        <f t="shared" ca="1" si="34"/>
        <v>4</v>
      </c>
      <c r="AW31" s="1">
        <f t="shared" ca="1" si="35"/>
        <v>0.11901445041994509</v>
      </c>
      <c r="AY31" s="1">
        <f t="shared" ca="1" si="36"/>
        <v>1.2032622599154126</v>
      </c>
      <c r="AZ31" s="1">
        <f t="shared" ca="1" si="37"/>
        <v>123</v>
      </c>
      <c r="BA31" s="1">
        <f t="shared" ca="1" si="38"/>
        <v>4.0110850203520553E-3</v>
      </c>
      <c r="BG31" s="1">
        <f t="shared" ca="1" si="39"/>
        <v>0.26930870621222713</v>
      </c>
      <c r="BH31" s="1">
        <f t="shared" ca="1" si="40"/>
        <v>0.15049453280638558</v>
      </c>
      <c r="BI31" s="1">
        <f t="shared" ca="1" si="41"/>
        <v>178</v>
      </c>
      <c r="BV31" s="1">
        <f t="shared" ca="1" si="42"/>
        <v>0.94482045691108907</v>
      </c>
      <c r="BW31" s="1">
        <f t="shared" ca="1" si="43"/>
        <v>243</v>
      </c>
      <c r="BX31" s="1">
        <f t="shared" ca="1" si="44"/>
        <v>2.6360490492693032E-3</v>
      </c>
      <c r="BY31" s="1">
        <f t="shared" ca="1" si="45"/>
        <v>4.3493325438976341E-2</v>
      </c>
      <c r="BZ31" s="1">
        <f t="shared" ca="1" si="46"/>
        <v>0.14020939733756521</v>
      </c>
      <c r="CB31" s="1">
        <f t="shared" ca="1" si="47"/>
        <v>454</v>
      </c>
      <c r="CC31" s="1">
        <f t="shared" ca="1" si="48"/>
        <v>15</v>
      </c>
      <c r="CD31" s="1">
        <f t="shared" ca="1" si="49"/>
        <v>0.28632342819663448</v>
      </c>
      <c r="CE31" s="1">
        <f t="shared" ca="1" si="50"/>
        <v>0.51846315590019865</v>
      </c>
      <c r="CF31" s="1">
        <f t="shared" ca="1" si="50"/>
        <v>0.74993288250211898</v>
      </c>
      <c r="CH31" s="3">
        <f t="shared" ca="1" si="51"/>
        <v>0.85239349806202924</v>
      </c>
      <c r="CI31" s="3">
        <f t="shared" ca="1" si="52"/>
        <v>0.92800283819696716</v>
      </c>
      <c r="CJ31" s="3">
        <f t="shared" ca="1" si="53"/>
        <v>1479</v>
      </c>
      <c r="CK31" s="3">
        <f t="shared" ca="1" si="54"/>
        <v>5.4159872640460282E-4</v>
      </c>
      <c r="CL31" s="3">
        <f t="shared" ca="1" si="55"/>
        <v>1</v>
      </c>
      <c r="CM31" s="3"/>
      <c r="CN31" s="1">
        <f t="shared" ca="1" si="56"/>
        <v>8.117549150937851</v>
      </c>
      <c r="CO31" s="1">
        <f t="shared" ca="1" si="57"/>
        <v>0.1870718707232045</v>
      </c>
      <c r="CP31" s="1">
        <f t="shared" ca="1" si="58"/>
        <v>3</v>
      </c>
      <c r="CV31" s="1">
        <f t="shared" ca="1" si="59"/>
        <v>8.4723171661342249</v>
      </c>
      <c r="CW31" s="1">
        <f t="shared" ca="1" si="60"/>
        <v>1780</v>
      </c>
      <c r="CX31" s="1">
        <f t="shared" ca="1" si="61"/>
        <v>3.1140270859615596E-3</v>
      </c>
      <c r="DH31" s="1">
        <f t="shared" ca="1" si="62"/>
        <v>130</v>
      </c>
      <c r="DI31" s="1">
        <f t="shared" ca="1" si="63"/>
        <v>0.40061810096263234</v>
      </c>
      <c r="DJ31" s="1">
        <f t="shared" ca="1" si="64"/>
        <v>27</v>
      </c>
      <c r="DL31" s="1">
        <f t="shared" ca="1" si="65"/>
        <v>9.8528441701180608E-2</v>
      </c>
      <c r="DM31" s="1">
        <f t="shared" ca="1" si="66"/>
        <v>92</v>
      </c>
      <c r="DN31" s="1">
        <f t="shared" ca="1" si="67"/>
        <v>1</v>
      </c>
    </row>
    <row r="32" spans="2:118" x14ac:dyDescent="0.25">
      <c r="B32">
        <f t="shared" ca="1" si="0"/>
        <v>189</v>
      </c>
      <c r="C32">
        <f t="shared" ca="1" si="1"/>
        <v>2</v>
      </c>
      <c r="D32">
        <f t="shared" ca="1" si="2"/>
        <v>0.23574413715847559</v>
      </c>
      <c r="F32" s="1">
        <f t="shared" ca="1" si="3"/>
        <v>44</v>
      </c>
      <c r="G32" s="1">
        <f t="shared" ca="1" si="4"/>
        <v>21</v>
      </c>
      <c r="H32" s="1">
        <f t="shared" ca="1" si="5"/>
        <v>9</v>
      </c>
      <c r="I32" s="1"/>
      <c r="J32" s="1">
        <f t="shared" ca="1" si="6"/>
        <v>11</v>
      </c>
      <c r="K32" s="1">
        <f t="shared" ca="1" si="7"/>
        <v>2.6746018027597782</v>
      </c>
      <c r="L32" s="1">
        <f t="shared" ca="1" si="8"/>
        <v>31</v>
      </c>
      <c r="M32" s="1"/>
      <c r="N32" s="1">
        <f t="shared" ca="1" si="9"/>
        <v>575</v>
      </c>
      <c r="O32" s="1">
        <f t="shared" ca="1" si="10"/>
        <v>36</v>
      </c>
      <c r="P32" s="1"/>
      <c r="Q32" s="1">
        <f t="shared" ca="1" si="11"/>
        <v>4.8386789057678294</v>
      </c>
      <c r="R32" s="1">
        <f t="shared" ca="1" si="12"/>
        <v>464</v>
      </c>
      <c r="S32" s="1"/>
      <c r="T32" s="1">
        <f t="shared" ca="1" si="13"/>
        <v>0.11754264541434284</v>
      </c>
      <c r="U32" s="1">
        <f t="shared" ca="1" si="14"/>
        <v>394</v>
      </c>
      <c r="V32" s="1">
        <f t="shared" ca="1" si="15"/>
        <v>23</v>
      </c>
      <c r="W32" s="1"/>
      <c r="X32" s="1">
        <f t="shared" ca="1" si="16"/>
        <v>1.8433508483147498</v>
      </c>
      <c r="Y32" s="1">
        <f t="shared" ca="1" si="17"/>
        <v>8.8346752545835239E-2</v>
      </c>
      <c r="Z32" s="1">
        <f t="shared" ca="1" si="18"/>
        <v>1827</v>
      </c>
      <c r="AB32" s="1">
        <f t="shared" ca="1" si="19"/>
        <v>0.94738986376923151</v>
      </c>
      <c r="AC32" s="1">
        <f t="shared" ca="1" si="20"/>
        <v>563</v>
      </c>
      <c r="AD32" s="1">
        <f t="shared" ca="1" si="21"/>
        <v>5.0199963159984042E-3</v>
      </c>
      <c r="AE32" s="1"/>
      <c r="AF32" s="1">
        <f t="shared" ca="1" si="22"/>
        <v>0.44736425457129358</v>
      </c>
      <c r="AG32" s="1">
        <f t="shared" ca="1" si="23"/>
        <v>498</v>
      </c>
      <c r="AH32" s="1">
        <f t="shared" ca="1" si="24"/>
        <v>6.5824868196299778E-3</v>
      </c>
      <c r="AJ32" s="1">
        <f t="shared" ca="1" si="25"/>
        <v>0.38812745824794759</v>
      </c>
      <c r="AK32" s="1">
        <f t="shared" ca="1" si="26"/>
        <v>8.3237542604904739E-3</v>
      </c>
      <c r="AL32" s="1"/>
      <c r="AM32" s="1">
        <f t="shared" ca="1" si="27"/>
        <v>9.8623772288739101E-2</v>
      </c>
      <c r="AN32" s="1">
        <f t="shared" ca="1" si="28"/>
        <v>70</v>
      </c>
      <c r="AO32" s="1">
        <f t="shared" ca="1" si="29"/>
        <v>11</v>
      </c>
      <c r="AQ32" s="1">
        <f t="shared" ca="1" si="30"/>
        <v>193</v>
      </c>
      <c r="AR32" s="1">
        <f t="shared" ca="1" si="31"/>
        <v>9</v>
      </c>
      <c r="AS32" s="1">
        <f t="shared" ca="1" si="32"/>
        <v>66</v>
      </c>
      <c r="AU32" s="1">
        <f t="shared" ca="1" si="33"/>
        <v>174</v>
      </c>
      <c r="AV32" s="1">
        <f t="shared" ca="1" si="34"/>
        <v>3</v>
      </c>
      <c r="AW32" s="1">
        <f t="shared" ca="1" si="35"/>
        <v>0.14395905648378635</v>
      </c>
      <c r="AY32" s="1">
        <f t="shared" ca="1" si="36"/>
        <v>1.115092021966831</v>
      </c>
      <c r="AZ32" s="1">
        <f t="shared" ca="1" si="37"/>
        <v>358</v>
      </c>
      <c r="BA32" s="1">
        <f t="shared" ca="1" si="38"/>
        <v>8.7120785634520435E-3</v>
      </c>
      <c r="BG32" s="1">
        <f t="shared" ca="1" si="39"/>
        <v>0.55424760894407898</v>
      </c>
      <c r="BH32" s="1">
        <f t="shared" ca="1" si="40"/>
        <v>0.2565547291024991</v>
      </c>
      <c r="BI32" s="1">
        <f t="shared" ca="1" si="41"/>
        <v>912</v>
      </c>
      <c r="BV32" s="1">
        <f t="shared" ca="1" si="42"/>
        <v>0.87212542429908801</v>
      </c>
      <c r="BW32" s="1">
        <f t="shared" ca="1" si="43"/>
        <v>980</v>
      </c>
      <c r="BX32" s="1">
        <f t="shared" ca="1" si="44"/>
        <v>6.4957819046335503E-3</v>
      </c>
      <c r="BY32" s="1">
        <f t="shared" ca="1" si="45"/>
        <v>4.9714983708974335E-2</v>
      </c>
      <c r="BZ32" s="1">
        <f t="shared" ca="1" si="46"/>
        <v>0.78511813470812464</v>
      </c>
      <c r="CB32" s="1">
        <f t="shared" ca="1" si="47"/>
        <v>69</v>
      </c>
      <c r="CC32" s="1">
        <f t="shared" ca="1" si="48"/>
        <v>15</v>
      </c>
      <c r="CD32" s="1">
        <f t="shared" ca="1" si="49"/>
        <v>0.11291321287821419</v>
      </c>
      <c r="CE32" s="1">
        <f t="shared" ca="1" si="50"/>
        <v>0.88701229697150519</v>
      </c>
      <c r="CF32" s="1">
        <f t="shared" ca="1" si="50"/>
        <v>0.57581942092826699</v>
      </c>
      <c r="CH32" s="3">
        <f t="shared" ca="1" si="51"/>
        <v>0.88733658398637261</v>
      </c>
      <c r="CI32" s="3">
        <f t="shared" ca="1" si="52"/>
        <v>6.3453890222144843E-2</v>
      </c>
      <c r="CJ32" s="3">
        <f t="shared" ca="1" si="53"/>
        <v>1493</v>
      </c>
      <c r="CK32" s="3">
        <f t="shared" ca="1" si="54"/>
        <v>8.5789878362039617E-3</v>
      </c>
      <c r="CL32" s="3">
        <f t="shared" ca="1" si="55"/>
        <v>1</v>
      </c>
      <c r="CM32" s="3"/>
      <c r="CN32" s="1">
        <f t="shared" ca="1" si="56"/>
        <v>15.520076298297241</v>
      </c>
      <c r="CO32" s="1">
        <f t="shared" ca="1" si="57"/>
        <v>0.35191585358212185</v>
      </c>
      <c r="CP32" s="1">
        <f t="shared" ca="1" si="58"/>
        <v>1</v>
      </c>
      <c r="CV32" s="1">
        <f t="shared" ca="1" si="59"/>
        <v>4.219033610403458</v>
      </c>
      <c r="CW32" s="1">
        <f t="shared" ca="1" si="60"/>
        <v>668</v>
      </c>
      <c r="CX32" s="1">
        <f t="shared" ca="1" si="61"/>
        <v>5.7001386591069383E-5</v>
      </c>
      <c r="DH32" s="1">
        <f t="shared" ca="1" si="62"/>
        <v>874</v>
      </c>
      <c r="DI32" s="1">
        <f t="shared" ca="1" si="63"/>
        <v>0.23947958729723584</v>
      </c>
      <c r="DJ32" s="1">
        <f t="shared" ca="1" si="64"/>
        <v>3</v>
      </c>
      <c r="DL32" s="1">
        <f t="shared" ca="1" si="65"/>
        <v>0.10534420987238077</v>
      </c>
      <c r="DM32" s="1">
        <f t="shared" ca="1" si="66"/>
        <v>90</v>
      </c>
      <c r="DN32" s="1">
        <f t="shared" ca="1" si="67"/>
        <v>3</v>
      </c>
    </row>
    <row r="33" spans="2:118" x14ac:dyDescent="0.25">
      <c r="B33">
        <f t="shared" ca="1" si="0"/>
        <v>855</v>
      </c>
      <c r="C33">
        <f t="shared" ca="1" si="1"/>
        <v>35</v>
      </c>
      <c r="D33">
        <f t="shared" ca="1" si="2"/>
        <v>0.11582800419785737</v>
      </c>
      <c r="F33" s="1">
        <f t="shared" ca="1" si="3"/>
        <v>30</v>
      </c>
      <c r="G33" s="1">
        <f t="shared" ca="1" si="4"/>
        <v>16</v>
      </c>
      <c r="H33" s="1">
        <f t="shared" ca="1" si="5"/>
        <v>8</v>
      </c>
      <c r="I33" s="1"/>
      <c r="J33" s="1">
        <f t="shared" ca="1" si="6"/>
        <v>7</v>
      </c>
      <c r="K33" s="1">
        <f t="shared" ca="1" si="7"/>
        <v>2.4751039428344264</v>
      </c>
      <c r="L33" s="1">
        <f t="shared" ca="1" si="8"/>
        <v>26</v>
      </c>
      <c r="M33" s="1"/>
      <c r="N33" s="1">
        <f t="shared" ca="1" si="9"/>
        <v>943</v>
      </c>
      <c r="O33" s="1">
        <f t="shared" ca="1" si="10"/>
        <v>9</v>
      </c>
      <c r="P33" s="1"/>
      <c r="Q33" s="1">
        <f t="shared" ca="1" si="11"/>
        <v>1.8463037078352191</v>
      </c>
      <c r="R33" s="1">
        <f t="shared" ca="1" si="12"/>
        <v>741</v>
      </c>
      <c r="S33" s="1"/>
      <c r="T33" s="1">
        <f t="shared" ca="1" si="13"/>
        <v>5.0391963551720299E-2</v>
      </c>
      <c r="U33" s="1">
        <f t="shared" ca="1" si="14"/>
        <v>395</v>
      </c>
      <c r="V33" s="1">
        <f t="shared" ca="1" si="15"/>
        <v>28</v>
      </c>
      <c r="W33" s="1"/>
      <c r="X33" s="1">
        <f t="shared" ca="1" si="16"/>
        <v>4.7982849168918138</v>
      </c>
      <c r="Y33" s="1">
        <f t="shared" ca="1" si="17"/>
        <v>0.86982888123677737</v>
      </c>
      <c r="Z33" s="1">
        <f t="shared" ca="1" si="18"/>
        <v>1753</v>
      </c>
      <c r="AB33" s="1">
        <f t="shared" ca="1" si="19"/>
        <v>0.63705243490894092</v>
      </c>
      <c r="AC33" s="1">
        <f t="shared" ca="1" si="20"/>
        <v>586</v>
      </c>
      <c r="AD33" s="1">
        <f t="shared" ca="1" si="21"/>
        <v>1.0752105783826621E-3</v>
      </c>
      <c r="AE33" s="1"/>
      <c r="AF33" s="1">
        <f t="shared" ca="1" si="22"/>
        <v>0.70593449524399776</v>
      </c>
      <c r="AG33" s="1">
        <f t="shared" ca="1" si="23"/>
        <v>403</v>
      </c>
      <c r="AH33" s="1">
        <f t="shared" ca="1" si="24"/>
        <v>6.7522817415588418E-3</v>
      </c>
      <c r="AJ33" s="1">
        <f t="shared" ca="1" si="25"/>
        <v>7.5449014321616992E-2</v>
      </c>
      <c r="AK33" s="1">
        <f t="shared" ca="1" si="26"/>
        <v>5.3017419058632893E-3</v>
      </c>
      <c r="AL33" s="1"/>
      <c r="AM33" s="1">
        <f t="shared" ca="1" si="27"/>
        <v>9.451823181616445E-2</v>
      </c>
      <c r="AN33" s="1">
        <f t="shared" ca="1" si="28"/>
        <v>28</v>
      </c>
      <c r="AO33" s="1">
        <f t="shared" ca="1" si="29"/>
        <v>5</v>
      </c>
      <c r="AQ33" s="1">
        <f t="shared" ca="1" si="30"/>
        <v>194</v>
      </c>
      <c r="AR33" s="1">
        <f t="shared" ca="1" si="31"/>
        <v>2</v>
      </c>
      <c r="AS33" s="1">
        <f t="shared" ca="1" si="32"/>
        <v>91</v>
      </c>
      <c r="AU33" s="1">
        <f t="shared" ca="1" si="33"/>
        <v>166</v>
      </c>
      <c r="AV33" s="1">
        <f t="shared" ca="1" si="34"/>
        <v>4</v>
      </c>
      <c r="AW33" s="1">
        <f t="shared" ca="1" si="35"/>
        <v>0.10089436677932635</v>
      </c>
      <c r="AY33" s="1">
        <f t="shared" ca="1" si="36"/>
        <v>1.505410432693489</v>
      </c>
      <c r="AZ33" s="1">
        <f t="shared" ca="1" si="37"/>
        <v>259</v>
      </c>
      <c r="BA33" s="1">
        <f t="shared" ca="1" si="38"/>
        <v>6.3918944095116281E-3</v>
      </c>
      <c r="BG33" s="1">
        <f t="shared" ca="1" si="39"/>
        <v>0.75855477341187028</v>
      </c>
      <c r="BH33" s="1">
        <f t="shared" ca="1" si="40"/>
        <v>0.71833166669121651</v>
      </c>
      <c r="BI33" s="1">
        <f t="shared" ca="1" si="41"/>
        <v>728</v>
      </c>
      <c r="BV33" s="1">
        <f t="shared" ca="1" si="42"/>
        <v>1.1791789396889161E-2</v>
      </c>
      <c r="BW33" s="1">
        <f t="shared" ca="1" si="43"/>
        <v>370</v>
      </c>
      <c r="BX33" s="1">
        <f t="shared" ca="1" si="44"/>
        <v>8.3494103267623559E-4</v>
      </c>
      <c r="BY33" s="1">
        <f t="shared" ca="1" si="45"/>
        <v>3.5930101624546004E-2</v>
      </c>
      <c r="BZ33" s="1">
        <f t="shared" ca="1" si="46"/>
        <v>9.104893133074754E-2</v>
      </c>
      <c r="CB33" s="1">
        <f t="shared" ca="1" si="47"/>
        <v>351</v>
      </c>
      <c r="CC33" s="1">
        <f t="shared" ca="1" si="48"/>
        <v>3</v>
      </c>
      <c r="CD33" s="1">
        <f t="shared" ca="1" si="49"/>
        <v>2.1941223148428293E-2</v>
      </c>
      <c r="CE33" s="1">
        <f t="shared" ca="1" si="50"/>
        <v>0.96469061307078197</v>
      </c>
      <c r="CF33" s="1">
        <f t="shared" ca="1" si="50"/>
        <v>0.78277222690397186</v>
      </c>
      <c r="CH33" s="3">
        <f t="shared" ca="1" si="51"/>
        <v>0.56023777366138738</v>
      </c>
      <c r="CI33" s="3">
        <f t="shared" ca="1" si="52"/>
        <v>0.57396790656312691</v>
      </c>
      <c r="CJ33" s="3">
        <f t="shared" ca="1" si="53"/>
        <v>1656</v>
      </c>
      <c r="CK33" s="3">
        <f t="shared" ca="1" si="54"/>
        <v>8.4491571446567472E-3</v>
      </c>
      <c r="CL33" s="3">
        <f t="shared" ca="1" si="55"/>
        <v>0</v>
      </c>
      <c r="CM33" s="3"/>
      <c r="CN33" s="1">
        <f t="shared" ca="1" si="56"/>
        <v>12.912155147588038</v>
      </c>
      <c r="CO33" s="1">
        <f t="shared" ca="1" si="57"/>
        <v>0.37085939715614458</v>
      </c>
      <c r="CP33" s="1">
        <f t="shared" ca="1" si="58"/>
        <v>1</v>
      </c>
      <c r="CV33" s="1">
        <f t="shared" ca="1" si="59"/>
        <v>7.6200032524211396</v>
      </c>
      <c r="CW33" s="1">
        <f t="shared" ca="1" si="60"/>
        <v>625</v>
      </c>
      <c r="CX33" s="1">
        <f t="shared" ca="1" si="61"/>
        <v>7.8872865618504742E-4</v>
      </c>
      <c r="DH33" s="1">
        <f t="shared" ca="1" si="62"/>
        <v>262</v>
      </c>
      <c r="DI33" s="1">
        <f t="shared" ca="1" si="63"/>
        <v>0.59223925503698971</v>
      </c>
      <c r="DJ33" s="1">
        <f t="shared" ca="1" si="64"/>
        <v>10</v>
      </c>
      <c r="DL33" s="1">
        <f t="shared" ca="1" si="65"/>
        <v>0.16672390877556553</v>
      </c>
      <c r="DM33" s="1">
        <f t="shared" ca="1" si="66"/>
        <v>61</v>
      </c>
      <c r="DN33" s="1">
        <f t="shared" ca="1" si="67"/>
        <v>8</v>
      </c>
    </row>
    <row r="34" spans="2:118" x14ac:dyDescent="0.25">
      <c r="B34">
        <f t="shared" ca="1" si="0"/>
        <v>539</v>
      </c>
      <c r="C34">
        <f t="shared" ca="1" si="1"/>
        <v>31</v>
      </c>
      <c r="D34">
        <f t="shared" ca="1" si="2"/>
        <v>0.17250176146108509</v>
      </c>
      <c r="F34" s="1">
        <f t="shared" ca="1" si="3"/>
        <v>18</v>
      </c>
      <c r="G34" s="1">
        <f t="shared" ca="1" si="4"/>
        <v>7</v>
      </c>
      <c r="H34" s="1">
        <f t="shared" ca="1" si="5"/>
        <v>6</v>
      </c>
      <c r="I34" s="1"/>
      <c r="J34" s="1">
        <f t="shared" ca="1" si="6"/>
        <v>37</v>
      </c>
      <c r="K34" s="1">
        <f t="shared" ca="1" si="7"/>
        <v>1.7688621392527248</v>
      </c>
      <c r="L34" s="1">
        <f t="shared" ca="1" si="8"/>
        <v>15</v>
      </c>
      <c r="M34" s="1"/>
      <c r="N34" s="1">
        <f t="shared" ca="1" si="9"/>
        <v>227</v>
      </c>
      <c r="O34" s="1">
        <f t="shared" ca="1" si="10"/>
        <v>24</v>
      </c>
      <c r="P34" s="1"/>
      <c r="Q34" s="1">
        <f t="shared" ca="1" si="11"/>
        <v>2.0390281294423351</v>
      </c>
      <c r="R34" s="1">
        <f t="shared" ca="1" si="12"/>
        <v>366</v>
      </c>
      <c r="S34" s="1"/>
      <c r="T34" s="1">
        <f t="shared" ca="1" si="13"/>
        <v>0.1309824867498964</v>
      </c>
      <c r="U34" s="1">
        <f t="shared" ca="1" si="14"/>
        <v>228</v>
      </c>
      <c r="V34" s="1">
        <f t="shared" ca="1" si="15"/>
        <v>28</v>
      </c>
      <c r="W34" s="1"/>
      <c r="X34" s="1">
        <f t="shared" ca="1" si="16"/>
        <v>9.2342840009447311</v>
      </c>
      <c r="Y34" s="1">
        <f t="shared" ca="1" si="17"/>
        <v>0.11197023757462235</v>
      </c>
      <c r="Z34" s="1">
        <f t="shared" ca="1" si="18"/>
        <v>1465</v>
      </c>
      <c r="AB34" s="1">
        <f t="shared" ca="1" si="19"/>
        <v>0.24067384783251258</v>
      </c>
      <c r="AC34" s="1">
        <f t="shared" ca="1" si="20"/>
        <v>518</v>
      </c>
      <c r="AD34" s="1">
        <f t="shared" ca="1" si="21"/>
        <v>5.1298500750497893E-3</v>
      </c>
      <c r="AE34" s="1"/>
      <c r="AF34" s="1">
        <f t="shared" ca="1" si="22"/>
        <v>0.72397323595083074</v>
      </c>
      <c r="AG34" s="1">
        <f t="shared" ca="1" si="23"/>
        <v>975</v>
      </c>
      <c r="AH34" s="1">
        <f t="shared" ca="1" si="24"/>
        <v>8.5428176618415326E-4</v>
      </c>
      <c r="AJ34" s="1">
        <f t="shared" ca="1" si="25"/>
        <v>0.1899093178422766</v>
      </c>
      <c r="AK34" s="1">
        <f t="shared" ca="1" si="26"/>
        <v>1.1450468080025469E-4</v>
      </c>
      <c r="AL34" s="1"/>
      <c r="AM34" s="1">
        <f t="shared" ca="1" si="27"/>
        <v>0.12341458816750102</v>
      </c>
      <c r="AN34" s="1">
        <f t="shared" ca="1" si="28"/>
        <v>78</v>
      </c>
      <c r="AO34" s="1">
        <f t="shared" ca="1" si="29"/>
        <v>7</v>
      </c>
      <c r="AQ34" s="1">
        <f t="shared" ca="1" si="30"/>
        <v>80</v>
      </c>
      <c r="AR34" s="1">
        <f t="shared" ca="1" si="31"/>
        <v>9</v>
      </c>
      <c r="AS34" s="1">
        <f t="shared" ca="1" si="32"/>
        <v>68</v>
      </c>
      <c r="AU34" s="1">
        <f t="shared" ca="1" si="33"/>
        <v>268</v>
      </c>
      <c r="AV34" s="1">
        <f t="shared" ca="1" si="34"/>
        <v>2</v>
      </c>
      <c r="AW34" s="1">
        <f t="shared" ca="1" si="35"/>
        <v>0.12445150495497719</v>
      </c>
      <c r="AY34" s="1">
        <f t="shared" ca="1" si="36"/>
        <v>1.2689912777580987</v>
      </c>
      <c r="AZ34" s="1">
        <f t="shared" ca="1" si="37"/>
        <v>415</v>
      </c>
      <c r="BA34" s="1">
        <f t="shared" ca="1" si="38"/>
        <v>3.4325384817675839E-3</v>
      </c>
      <c r="BG34" s="1">
        <f t="shared" ca="1" si="39"/>
        <v>0.22823093204950323</v>
      </c>
      <c r="BH34" s="1">
        <f t="shared" ca="1" si="40"/>
        <v>0.4911208765451498</v>
      </c>
      <c r="BI34" s="1">
        <f t="shared" ca="1" si="41"/>
        <v>165</v>
      </c>
      <c r="BV34" s="1">
        <f t="shared" ca="1" si="42"/>
        <v>0.58099468153158695</v>
      </c>
      <c r="BW34" s="1">
        <f t="shared" ca="1" si="43"/>
        <v>807</v>
      </c>
      <c r="BX34" s="1">
        <f t="shared" ca="1" si="44"/>
        <v>5.4180336565037472E-3</v>
      </c>
      <c r="BY34" s="1">
        <f t="shared" ca="1" si="45"/>
        <v>8.7019790797503313E-2</v>
      </c>
      <c r="BZ34" s="1">
        <f t="shared" ca="1" si="46"/>
        <v>0.3979179335557359</v>
      </c>
      <c r="CB34" s="1">
        <f t="shared" ca="1" si="47"/>
        <v>185</v>
      </c>
      <c r="CC34" s="1">
        <f t="shared" ca="1" si="48"/>
        <v>4</v>
      </c>
      <c r="CD34" s="1">
        <f t="shared" ca="1" si="49"/>
        <v>0.26080697600719777</v>
      </c>
      <c r="CE34" s="1">
        <f t="shared" ca="1" si="50"/>
        <v>0.84284160321180934</v>
      </c>
      <c r="CF34" s="1">
        <f t="shared" ca="1" si="50"/>
        <v>0.86150010888313155</v>
      </c>
      <c r="CH34" s="3">
        <f t="shared" ca="1" si="51"/>
        <v>0.74665847716965505</v>
      </c>
      <c r="CI34" s="3">
        <f t="shared" ca="1" si="52"/>
        <v>0.78985580121253252</v>
      </c>
      <c r="CJ34" s="3">
        <f t="shared" ca="1" si="53"/>
        <v>683</v>
      </c>
      <c r="CK34" s="3">
        <f t="shared" ca="1" si="54"/>
        <v>8.3685663484268924E-3</v>
      </c>
      <c r="CL34" s="3">
        <f t="shared" ca="1" si="55"/>
        <v>0</v>
      </c>
      <c r="CM34" s="3"/>
      <c r="CN34" s="1">
        <f t="shared" ca="1" si="56"/>
        <v>1.5467830774328835</v>
      </c>
      <c r="CO34" s="1">
        <f t="shared" ca="1" si="57"/>
        <v>0.1574719012689352</v>
      </c>
      <c r="CP34" s="1">
        <f t="shared" ca="1" si="58"/>
        <v>4</v>
      </c>
      <c r="CV34" s="1">
        <f t="shared" ca="1" si="59"/>
        <v>1.0164606621720695</v>
      </c>
      <c r="CW34" s="1">
        <f t="shared" ca="1" si="60"/>
        <v>1262</v>
      </c>
      <c r="CX34" s="1">
        <f t="shared" ca="1" si="61"/>
        <v>6.7146697746397668E-3</v>
      </c>
      <c r="DH34" s="1">
        <f t="shared" ca="1" si="62"/>
        <v>142</v>
      </c>
      <c r="DI34" s="1">
        <f t="shared" ca="1" si="63"/>
        <v>0.72462690483190184</v>
      </c>
      <c r="DJ34" s="1">
        <f t="shared" ca="1" si="64"/>
        <v>20</v>
      </c>
      <c r="DL34" s="1">
        <f t="shared" ca="1" si="65"/>
        <v>1.0404404331031306E-2</v>
      </c>
      <c r="DM34" s="1">
        <f t="shared" ca="1" si="66"/>
        <v>83</v>
      </c>
      <c r="DN34" s="1">
        <f t="shared" ca="1" si="67"/>
        <v>6</v>
      </c>
    </row>
    <row r="35" spans="2:118" x14ac:dyDescent="0.25">
      <c r="B35">
        <f t="shared" ca="1" si="0"/>
        <v>893</v>
      </c>
      <c r="C35">
        <f t="shared" ca="1" si="1"/>
        <v>43</v>
      </c>
      <c r="D35">
        <f t="shared" ca="1" si="2"/>
        <v>0.2121744521317635</v>
      </c>
      <c r="F35" s="1">
        <f t="shared" ca="1" si="3"/>
        <v>17</v>
      </c>
      <c r="G35" s="1">
        <f t="shared" ca="1" si="4"/>
        <v>5</v>
      </c>
      <c r="H35" s="1">
        <f t="shared" ca="1" si="5"/>
        <v>2</v>
      </c>
      <c r="I35" s="1"/>
      <c r="J35" s="1">
        <f t="shared" ca="1" si="6"/>
        <v>32</v>
      </c>
      <c r="K35" s="1">
        <f t="shared" ca="1" si="7"/>
        <v>2.4071932023975915</v>
      </c>
      <c r="L35" s="1">
        <f t="shared" ca="1" si="8"/>
        <v>14</v>
      </c>
      <c r="M35" s="1"/>
      <c r="N35" s="1">
        <f t="shared" ca="1" si="9"/>
        <v>700</v>
      </c>
      <c r="O35" s="1">
        <f t="shared" ca="1" si="10"/>
        <v>48</v>
      </c>
      <c r="P35" s="1"/>
      <c r="Q35" s="1">
        <f t="shared" ca="1" si="11"/>
        <v>3.1390405565907269</v>
      </c>
      <c r="R35" s="1">
        <f t="shared" ca="1" si="12"/>
        <v>1116</v>
      </c>
      <c r="S35" s="1"/>
      <c r="T35" s="1">
        <f t="shared" ca="1" si="13"/>
        <v>2.5340510600838754E-2</v>
      </c>
      <c r="U35" s="1">
        <f t="shared" ca="1" si="14"/>
        <v>97</v>
      </c>
      <c r="V35" s="1">
        <f t="shared" ca="1" si="15"/>
        <v>48</v>
      </c>
      <c r="W35" s="1"/>
      <c r="X35" s="1">
        <f t="shared" ca="1" si="16"/>
        <v>7.3000524952069181</v>
      </c>
      <c r="Y35" s="1">
        <f t="shared" ca="1" si="17"/>
        <v>0.75202593655669137</v>
      </c>
      <c r="Z35" s="1">
        <f t="shared" ca="1" si="18"/>
        <v>1297</v>
      </c>
      <c r="AB35" s="1">
        <f t="shared" ca="1" si="19"/>
        <v>0.77291373172369526</v>
      </c>
      <c r="AC35" s="1">
        <f t="shared" ca="1" si="20"/>
        <v>291</v>
      </c>
      <c r="AD35" s="1">
        <f t="shared" ca="1" si="21"/>
        <v>3.5828299367480234E-3</v>
      </c>
      <c r="AE35" s="1"/>
      <c r="AF35" s="1">
        <f t="shared" ca="1" si="22"/>
        <v>0.69242986425423991</v>
      </c>
      <c r="AG35" s="1">
        <f t="shared" ca="1" si="23"/>
        <v>929</v>
      </c>
      <c r="AH35" s="1">
        <f t="shared" ca="1" si="24"/>
        <v>9.283128323937833E-3</v>
      </c>
      <c r="AJ35" s="1">
        <f t="shared" ca="1" si="25"/>
        <v>7.4353793531635515E-2</v>
      </c>
      <c r="AK35" s="1">
        <f t="shared" ca="1" si="26"/>
        <v>7.5135158277343482E-3</v>
      </c>
      <c r="AL35" s="1"/>
      <c r="AM35" s="1">
        <f t="shared" ca="1" si="27"/>
        <v>1.076556311254284E-2</v>
      </c>
      <c r="AN35" s="1">
        <f t="shared" ca="1" si="28"/>
        <v>72</v>
      </c>
      <c r="AO35" s="1">
        <f t="shared" ca="1" si="29"/>
        <v>16</v>
      </c>
      <c r="AQ35" s="1">
        <f t="shared" ca="1" si="30"/>
        <v>148</v>
      </c>
      <c r="AR35" s="1">
        <f t="shared" ca="1" si="31"/>
        <v>0</v>
      </c>
      <c r="AS35" s="1">
        <f t="shared" ca="1" si="32"/>
        <v>81</v>
      </c>
      <c r="AU35" s="1">
        <f t="shared" ca="1" si="33"/>
        <v>365</v>
      </c>
      <c r="AV35" s="1">
        <f t="shared" ca="1" si="34"/>
        <v>2</v>
      </c>
      <c r="AW35" s="1">
        <f t="shared" ca="1" si="35"/>
        <v>0.18491273921103338</v>
      </c>
      <c r="AY35" s="1">
        <f t="shared" ca="1" si="36"/>
        <v>1.742656534052204</v>
      </c>
      <c r="AZ35" s="1">
        <f t="shared" ca="1" si="37"/>
        <v>103</v>
      </c>
      <c r="BA35" s="1">
        <f t="shared" ca="1" si="38"/>
        <v>2.9600712612983613E-3</v>
      </c>
      <c r="BG35" s="1">
        <f t="shared" ca="1" si="39"/>
        <v>0.34282634346486857</v>
      </c>
      <c r="BH35" s="1">
        <f t="shared" ca="1" si="40"/>
        <v>0.87958335025530998</v>
      </c>
      <c r="BI35" s="1">
        <f t="shared" ca="1" si="41"/>
        <v>778</v>
      </c>
      <c r="BV35" s="1">
        <f t="shared" ca="1" si="42"/>
        <v>0.21183454789106007</v>
      </c>
      <c r="BW35" s="1">
        <f t="shared" ca="1" si="43"/>
        <v>714</v>
      </c>
      <c r="BX35" s="1">
        <f t="shared" ca="1" si="44"/>
        <v>5.8245979005483312E-3</v>
      </c>
      <c r="BY35" s="1">
        <f t="shared" ca="1" si="45"/>
        <v>8.722631422185885E-2</v>
      </c>
      <c r="BZ35" s="1">
        <f t="shared" ca="1" si="46"/>
        <v>0.29566374621957048</v>
      </c>
      <c r="CB35" s="1">
        <f t="shared" ca="1" si="47"/>
        <v>420</v>
      </c>
      <c r="CC35" s="1">
        <f t="shared" ca="1" si="48"/>
        <v>5</v>
      </c>
      <c r="CD35" s="1">
        <f t="shared" ca="1" si="49"/>
        <v>0.26381484079099871</v>
      </c>
      <c r="CE35" s="1">
        <f t="shared" ca="1" si="50"/>
        <v>0.6095685046069258</v>
      </c>
      <c r="CF35" s="1">
        <f t="shared" ca="1" si="50"/>
        <v>0.82249094799313927</v>
      </c>
      <c r="CH35" s="3">
        <f t="shared" ca="1" si="51"/>
        <v>0.43163870497067142</v>
      </c>
      <c r="CI35" s="3">
        <f t="shared" ca="1" si="52"/>
        <v>0.49659042105769685</v>
      </c>
      <c r="CJ35" s="3">
        <f t="shared" ca="1" si="53"/>
        <v>1225</v>
      </c>
      <c r="CK35" s="3">
        <f t="shared" ca="1" si="54"/>
        <v>6.4777307267239207E-3</v>
      </c>
      <c r="CL35" s="3">
        <f t="shared" ca="1" si="55"/>
        <v>0</v>
      </c>
      <c r="CM35" s="3"/>
      <c r="CN35" s="1">
        <f t="shared" ca="1" si="56"/>
        <v>8.2141522507732638</v>
      </c>
      <c r="CO35" s="1">
        <f t="shared" ca="1" si="57"/>
        <v>0.31680452533916287</v>
      </c>
      <c r="CP35" s="1">
        <f t="shared" ca="1" si="58"/>
        <v>4</v>
      </c>
      <c r="CV35" s="1">
        <f t="shared" ca="1" si="59"/>
        <v>4.7007597244847465</v>
      </c>
      <c r="CW35" s="1">
        <f t="shared" ca="1" si="60"/>
        <v>1265</v>
      </c>
      <c r="CX35" s="1">
        <f t="shared" ca="1" si="61"/>
        <v>5.1011925138026567E-3</v>
      </c>
      <c r="DH35" s="1">
        <f t="shared" ca="1" si="62"/>
        <v>592</v>
      </c>
      <c r="DI35" s="1">
        <f t="shared" ca="1" si="63"/>
        <v>0.95042997244515959</v>
      </c>
      <c r="DJ35" s="1">
        <f t="shared" ca="1" si="64"/>
        <v>14</v>
      </c>
      <c r="DL35" s="1">
        <f t="shared" ca="1" si="65"/>
        <v>9.1295056195042065E-2</v>
      </c>
      <c r="DM35" s="1">
        <f t="shared" ca="1" si="66"/>
        <v>238</v>
      </c>
      <c r="DN35" s="1">
        <f t="shared" ca="1" si="67"/>
        <v>4</v>
      </c>
    </row>
    <row r="36" spans="2:118" x14ac:dyDescent="0.25">
      <c r="B36">
        <f t="shared" ca="1" si="0"/>
        <v>445</v>
      </c>
      <c r="C36">
        <f t="shared" ca="1" si="1"/>
        <v>40</v>
      </c>
      <c r="D36">
        <f t="shared" ca="1" si="2"/>
        <v>5.6384603156059157E-2</v>
      </c>
      <c r="F36" s="1">
        <f t="shared" ca="1" si="3"/>
        <v>38</v>
      </c>
      <c r="G36" s="1">
        <f t="shared" ca="1" si="4"/>
        <v>16</v>
      </c>
      <c r="H36" s="1">
        <f t="shared" ca="1" si="5"/>
        <v>8</v>
      </c>
      <c r="I36" s="1"/>
      <c r="J36" s="1">
        <f t="shared" ca="1" si="6"/>
        <v>1</v>
      </c>
      <c r="K36" s="1">
        <f t="shared" ca="1" si="7"/>
        <v>1.0765659858090948</v>
      </c>
      <c r="L36" s="1">
        <f t="shared" ca="1" si="8"/>
        <v>8</v>
      </c>
      <c r="M36" s="1"/>
      <c r="N36" s="1">
        <f t="shared" ca="1" si="9"/>
        <v>589</v>
      </c>
      <c r="O36" s="1">
        <f t="shared" ca="1" si="10"/>
        <v>12</v>
      </c>
      <c r="P36" s="1"/>
      <c r="Q36" s="1">
        <f t="shared" ca="1" si="11"/>
        <v>1.129397120214632</v>
      </c>
      <c r="R36" s="1">
        <f t="shared" ca="1" si="12"/>
        <v>372</v>
      </c>
      <c r="S36" s="1"/>
      <c r="T36" s="1">
        <f t="shared" ca="1" si="13"/>
        <v>0.18077890126890711</v>
      </c>
      <c r="U36" s="1">
        <f t="shared" ca="1" si="14"/>
        <v>434</v>
      </c>
      <c r="V36" s="1">
        <f t="shared" ca="1" si="15"/>
        <v>39</v>
      </c>
      <c r="W36" s="1"/>
      <c r="X36" s="1">
        <f t="shared" ca="1" si="16"/>
        <v>3.909391316762111</v>
      </c>
      <c r="Y36" s="1">
        <f t="shared" ca="1" si="17"/>
        <v>0.90689214525209838</v>
      </c>
      <c r="Z36" s="1">
        <f t="shared" ca="1" si="18"/>
        <v>1171</v>
      </c>
      <c r="AB36" s="1">
        <f t="shared" ca="1" si="19"/>
        <v>6.6761881779632895E-2</v>
      </c>
      <c r="AC36" s="1">
        <f t="shared" ca="1" si="20"/>
        <v>696</v>
      </c>
      <c r="AD36" s="1">
        <f t="shared" ca="1" si="21"/>
        <v>1.4324927758482258E-3</v>
      </c>
      <c r="AE36" s="1"/>
      <c r="AF36" s="1">
        <f t="shared" ca="1" si="22"/>
        <v>0.48672468942064651</v>
      </c>
      <c r="AG36" s="1">
        <f t="shared" ca="1" si="23"/>
        <v>802</v>
      </c>
      <c r="AH36" s="1">
        <f t="shared" ca="1" si="24"/>
        <v>8.6245505741481179E-3</v>
      </c>
      <c r="AJ36" s="1">
        <f t="shared" ca="1" si="25"/>
        <v>0.88061444514848963</v>
      </c>
      <c r="AK36" s="1">
        <f t="shared" ca="1" si="26"/>
        <v>6.5842428875386681E-3</v>
      </c>
      <c r="AL36" s="1"/>
      <c r="AM36" s="1">
        <f t="shared" ca="1" si="27"/>
        <v>5.8217984703139367E-2</v>
      </c>
      <c r="AN36" s="1">
        <f t="shared" ca="1" si="28"/>
        <v>23</v>
      </c>
      <c r="AO36" s="1">
        <f t="shared" ca="1" si="29"/>
        <v>9</v>
      </c>
      <c r="AQ36" s="1">
        <f t="shared" ca="1" si="30"/>
        <v>171</v>
      </c>
      <c r="AR36" s="1">
        <f t="shared" ca="1" si="31"/>
        <v>4</v>
      </c>
      <c r="AS36" s="1">
        <f t="shared" ca="1" si="32"/>
        <v>54</v>
      </c>
      <c r="AU36" s="1">
        <f t="shared" ca="1" si="33"/>
        <v>207</v>
      </c>
      <c r="AV36" s="1">
        <f t="shared" ca="1" si="34"/>
        <v>6</v>
      </c>
      <c r="AW36" s="1">
        <f t="shared" ca="1" si="35"/>
        <v>0.18468972815200649</v>
      </c>
      <c r="AY36" s="1">
        <f t="shared" ca="1" si="36"/>
        <v>1.4336539531800008</v>
      </c>
      <c r="AZ36" s="1">
        <f t="shared" ca="1" si="37"/>
        <v>61</v>
      </c>
      <c r="BA36" s="1">
        <f t="shared" ca="1" si="38"/>
        <v>5.0242360846980772E-3</v>
      </c>
      <c r="BG36" s="1">
        <f t="shared" ca="1" si="39"/>
        <v>0.14485903524221969</v>
      </c>
      <c r="BH36" s="1">
        <f t="shared" ca="1" si="40"/>
        <v>0.83020336477648737</v>
      </c>
      <c r="BI36" s="1">
        <f t="shared" ca="1" si="41"/>
        <v>606</v>
      </c>
      <c r="BV36" s="1">
        <f t="shared" ca="1" si="42"/>
        <v>0.85834261438315529</v>
      </c>
      <c r="BW36" s="1">
        <f t="shared" ca="1" si="43"/>
        <v>864</v>
      </c>
      <c r="BX36" s="1">
        <f t="shared" ca="1" si="44"/>
        <v>6.0384700199757882E-3</v>
      </c>
      <c r="BY36" s="1">
        <f t="shared" ca="1" si="45"/>
        <v>4.702209201266061E-2</v>
      </c>
      <c r="BZ36" s="1">
        <f t="shared" ca="1" si="46"/>
        <v>0.21431711384552998</v>
      </c>
      <c r="CB36" s="1">
        <f t="shared" ca="1" si="47"/>
        <v>158</v>
      </c>
      <c r="CC36" s="1">
        <f t="shared" ca="1" si="48"/>
        <v>15</v>
      </c>
      <c r="CD36" s="1">
        <f t="shared" ca="1" si="49"/>
        <v>0.24463233144254229</v>
      </c>
      <c r="CE36" s="1">
        <f t="shared" ref="CE36:CF67" ca="1" si="71">RAND()*(1-0.5)+0.5</f>
        <v>0.99385125548468123</v>
      </c>
      <c r="CF36" s="1">
        <f t="shared" ca="1" si="71"/>
        <v>0.85072150986375306</v>
      </c>
      <c r="CH36" s="3">
        <f t="shared" ca="1" si="51"/>
        <v>0.98260970419957649</v>
      </c>
      <c r="CI36" s="3">
        <f t="shared" ca="1" si="52"/>
        <v>0.44612701440788854</v>
      </c>
      <c r="CJ36" s="3">
        <f t="shared" ca="1" si="53"/>
        <v>791</v>
      </c>
      <c r="CK36" s="3">
        <f t="shared" ca="1" si="54"/>
        <v>6.7224390928198015E-3</v>
      </c>
      <c r="CL36" s="3">
        <f t="shared" ca="1" si="55"/>
        <v>0</v>
      </c>
      <c r="CM36" s="3"/>
      <c r="CN36" s="1">
        <f t="shared" ca="1" si="56"/>
        <v>15.268043497349257</v>
      </c>
      <c r="CO36" s="1">
        <f t="shared" ca="1" si="57"/>
        <v>0.3302420416328718</v>
      </c>
      <c r="CP36" s="1">
        <f t="shared" ca="1" si="58"/>
        <v>5</v>
      </c>
      <c r="CV36" s="1">
        <f t="shared" ca="1" si="59"/>
        <v>9.61506217879651</v>
      </c>
      <c r="CW36" s="1">
        <f t="shared" ca="1" si="60"/>
        <v>1200</v>
      </c>
      <c r="CX36" s="1">
        <f t="shared" ca="1" si="61"/>
        <v>4.9852911831041128E-3</v>
      </c>
      <c r="DH36" s="1">
        <f t="shared" ca="1" si="62"/>
        <v>460</v>
      </c>
      <c r="DI36" s="1">
        <f t="shared" ca="1" si="63"/>
        <v>2.0850646969728897E-3</v>
      </c>
      <c r="DJ36" s="1">
        <f t="shared" ca="1" si="64"/>
        <v>25</v>
      </c>
      <c r="DL36" s="1">
        <f t="shared" ca="1" si="65"/>
        <v>0.10654131225039874</v>
      </c>
      <c r="DM36" s="1">
        <f t="shared" ca="1" si="66"/>
        <v>168</v>
      </c>
      <c r="DN36" s="1">
        <f t="shared" ca="1" si="67"/>
        <v>8</v>
      </c>
    </row>
    <row r="37" spans="2:118" x14ac:dyDescent="0.25">
      <c r="B37">
        <f t="shared" ca="1" si="0"/>
        <v>324</v>
      </c>
      <c r="C37">
        <f t="shared" ca="1" si="1"/>
        <v>13</v>
      </c>
      <c r="D37">
        <f t="shared" ca="1" si="2"/>
        <v>0.24176921512846805</v>
      </c>
      <c r="F37" s="1">
        <f t="shared" ca="1" si="3"/>
        <v>26</v>
      </c>
      <c r="G37" s="1">
        <f t="shared" ca="1" si="4"/>
        <v>29</v>
      </c>
      <c r="H37" s="1">
        <f t="shared" ca="1" si="5"/>
        <v>14</v>
      </c>
      <c r="I37" s="1"/>
      <c r="J37" s="1">
        <f t="shared" ca="1" si="6"/>
        <v>33</v>
      </c>
      <c r="K37" s="1">
        <f t="shared" ca="1" si="7"/>
        <v>1.8665230397962427</v>
      </c>
      <c r="L37" s="1">
        <f t="shared" ca="1" si="8"/>
        <v>32</v>
      </c>
      <c r="M37" s="1"/>
      <c r="N37" s="1">
        <f t="shared" ca="1" si="9"/>
        <v>863</v>
      </c>
      <c r="O37" s="1">
        <f t="shared" ca="1" si="10"/>
        <v>12</v>
      </c>
      <c r="P37" s="1"/>
      <c r="Q37" s="1">
        <f t="shared" ca="1" si="11"/>
        <v>3.0328368489154016</v>
      </c>
      <c r="R37" s="1">
        <f t="shared" ca="1" si="12"/>
        <v>440</v>
      </c>
      <c r="S37" s="1"/>
      <c r="T37" s="1">
        <f t="shared" ca="1" si="13"/>
        <v>9.1802560457987042E-2</v>
      </c>
      <c r="U37" s="1">
        <f t="shared" ca="1" si="14"/>
        <v>285</v>
      </c>
      <c r="V37" s="1">
        <f t="shared" ca="1" si="15"/>
        <v>20</v>
      </c>
      <c r="W37" s="1"/>
      <c r="X37" s="1">
        <f t="shared" ca="1" si="16"/>
        <v>0.33847505511390191</v>
      </c>
      <c r="Y37" s="1">
        <f t="shared" ca="1" si="17"/>
        <v>0.25629683269576947</v>
      </c>
      <c r="Z37" s="1">
        <f t="shared" ca="1" si="18"/>
        <v>653</v>
      </c>
      <c r="AB37" s="1">
        <f t="shared" ca="1" si="19"/>
        <v>0.58328728925939888</v>
      </c>
      <c r="AC37" s="1">
        <f t="shared" ca="1" si="20"/>
        <v>431</v>
      </c>
      <c r="AD37" s="1">
        <f t="shared" ca="1" si="21"/>
        <v>6.1022602315833211E-3</v>
      </c>
      <c r="AE37" s="1"/>
      <c r="AF37" s="1">
        <f t="shared" ca="1" si="22"/>
        <v>0.46721890539251321</v>
      </c>
      <c r="AG37" s="1">
        <f t="shared" ca="1" si="23"/>
        <v>307</v>
      </c>
      <c r="AH37" s="1">
        <f t="shared" ca="1" si="24"/>
        <v>8.0776850433717899E-3</v>
      </c>
      <c r="AJ37" s="1">
        <f t="shared" ca="1" si="25"/>
        <v>0.66609215739032934</v>
      </c>
      <c r="AK37" s="1">
        <f t="shared" ca="1" si="26"/>
        <v>2.5790883592989567E-3</v>
      </c>
      <c r="AL37" s="1"/>
      <c r="AM37" s="1">
        <f t="shared" ca="1" si="27"/>
        <v>0.16842789837087455</v>
      </c>
      <c r="AN37" s="1">
        <f t="shared" ca="1" si="28"/>
        <v>13</v>
      </c>
      <c r="AO37" s="1">
        <f t="shared" ca="1" si="29"/>
        <v>16</v>
      </c>
      <c r="AQ37" s="1">
        <f t="shared" ca="1" si="30"/>
        <v>46</v>
      </c>
      <c r="AR37" s="1">
        <f t="shared" ca="1" si="31"/>
        <v>3</v>
      </c>
      <c r="AS37" s="1">
        <f t="shared" ca="1" si="32"/>
        <v>79</v>
      </c>
      <c r="AU37" s="1">
        <f t="shared" ca="1" si="33"/>
        <v>136</v>
      </c>
      <c r="AV37" s="1">
        <f t="shared" ca="1" si="34"/>
        <v>4</v>
      </c>
      <c r="AW37" s="1">
        <f t="shared" ca="1" si="35"/>
        <v>0.14519283445810385</v>
      </c>
      <c r="AY37" s="1">
        <f t="shared" ca="1" si="36"/>
        <v>1.3642669277887749</v>
      </c>
      <c r="AZ37" s="1">
        <f t="shared" ca="1" si="37"/>
        <v>90</v>
      </c>
      <c r="BA37" s="1">
        <f t="shared" ca="1" si="38"/>
        <v>1.1642644827105065E-3</v>
      </c>
      <c r="BG37" s="1">
        <f t="shared" ca="1" si="39"/>
        <v>0.56079309012105583</v>
      </c>
      <c r="BH37" s="1">
        <f t="shared" ca="1" si="40"/>
        <v>0.17704696891994198</v>
      </c>
      <c r="BI37" s="1">
        <f t="shared" ca="1" si="41"/>
        <v>302</v>
      </c>
      <c r="BV37" s="1">
        <f t="shared" ca="1" si="42"/>
        <v>0.45849570954960389</v>
      </c>
      <c r="BW37" s="1">
        <f t="shared" ca="1" si="43"/>
        <v>634</v>
      </c>
      <c r="BX37" s="1">
        <f t="shared" ca="1" si="44"/>
        <v>3.7039174038383908E-3</v>
      </c>
      <c r="BY37" s="1">
        <f t="shared" ca="1" si="45"/>
        <v>8.2040723810825306E-2</v>
      </c>
      <c r="BZ37" s="1">
        <f t="shared" ca="1" si="46"/>
        <v>0.21306310592573485</v>
      </c>
      <c r="CB37" s="1">
        <f t="shared" ca="1" si="47"/>
        <v>269</v>
      </c>
      <c r="CC37" s="1">
        <f t="shared" ca="1" si="48"/>
        <v>14</v>
      </c>
      <c r="CD37" s="1">
        <f t="shared" ca="1" si="49"/>
        <v>0.22070123673512076</v>
      </c>
      <c r="CE37" s="1">
        <f t="shared" ca="1" si="71"/>
        <v>0.65729673529264598</v>
      </c>
      <c r="CF37" s="1">
        <f t="shared" ca="1" si="71"/>
        <v>0.85361437607530144</v>
      </c>
      <c r="CH37" s="3">
        <f t="shared" ca="1" si="51"/>
        <v>0.97686015491583533</v>
      </c>
      <c r="CI37" s="3">
        <f t="shared" ca="1" si="52"/>
        <v>0.66060737510045919</v>
      </c>
      <c r="CJ37" s="3">
        <f t="shared" ca="1" si="53"/>
        <v>115</v>
      </c>
      <c r="CK37" s="3">
        <f t="shared" ca="1" si="54"/>
        <v>9.7520638857718257E-3</v>
      </c>
      <c r="CL37" s="3">
        <f t="shared" ca="1" si="55"/>
        <v>0</v>
      </c>
      <c r="CM37" s="3"/>
      <c r="CN37" s="1">
        <f t="shared" ca="1" si="56"/>
        <v>9.9540638002628761</v>
      </c>
      <c r="CO37" s="1">
        <f t="shared" ca="1" si="57"/>
        <v>0.49829772028589769</v>
      </c>
      <c r="CP37" s="1">
        <f t="shared" ca="1" si="58"/>
        <v>5</v>
      </c>
      <c r="CV37" s="1">
        <f t="shared" ca="1" si="59"/>
        <v>6.3900645567377419</v>
      </c>
      <c r="CW37" s="1">
        <f t="shared" ca="1" si="60"/>
        <v>1043</v>
      </c>
      <c r="CX37" s="1">
        <f t="shared" ca="1" si="61"/>
        <v>5.2861133270265225E-3</v>
      </c>
      <c r="DH37" s="1">
        <f t="shared" ca="1" si="62"/>
        <v>703</v>
      </c>
      <c r="DI37" s="1">
        <f t="shared" ca="1" si="63"/>
        <v>0.93329833694636766</v>
      </c>
      <c r="DJ37" s="1">
        <f t="shared" ca="1" si="64"/>
        <v>4</v>
      </c>
      <c r="DL37" s="1">
        <f t="shared" ca="1" si="65"/>
        <v>8.9281667935064424E-2</v>
      </c>
      <c r="DM37" s="1">
        <f t="shared" ca="1" si="66"/>
        <v>127</v>
      </c>
      <c r="DN37" s="1">
        <f t="shared" ca="1" si="67"/>
        <v>9</v>
      </c>
    </row>
    <row r="38" spans="2:118" x14ac:dyDescent="0.25">
      <c r="B38">
        <f t="shared" ca="1" si="0"/>
        <v>115</v>
      </c>
      <c r="C38">
        <f t="shared" ca="1" si="1"/>
        <v>40</v>
      </c>
      <c r="D38">
        <f t="shared" ca="1" si="2"/>
        <v>0.20053721206914749</v>
      </c>
      <c r="F38" s="1">
        <f t="shared" ca="1" si="3"/>
        <v>13</v>
      </c>
      <c r="G38" s="1">
        <f t="shared" ca="1" si="4"/>
        <v>22</v>
      </c>
      <c r="H38" s="1">
        <f t="shared" ca="1" si="5"/>
        <v>9</v>
      </c>
      <c r="I38" s="1"/>
      <c r="J38" s="1">
        <f t="shared" ca="1" si="6"/>
        <v>9</v>
      </c>
      <c r="K38" s="1">
        <f t="shared" ca="1" si="7"/>
        <v>1.5702948261788945</v>
      </c>
      <c r="L38" s="1">
        <f t="shared" ca="1" si="8"/>
        <v>20</v>
      </c>
      <c r="M38" s="1"/>
      <c r="N38" s="1">
        <f t="shared" ca="1" si="9"/>
        <v>418</v>
      </c>
      <c r="O38" s="1">
        <f t="shared" ca="1" si="10"/>
        <v>14</v>
      </c>
      <c r="P38" s="1"/>
      <c r="Q38" s="1">
        <f t="shared" ca="1" si="11"/>
        <v>1.1217096328642346</v>
      </c>
      <c r="R38" s="1">
        <f t="shared" ca="1" si="12"/>
        <v>1048</v>
      </c>
      <c r="S38" s="1"/>
      <c r="T38" s="1">
        <f t="shared" ca="1" si="13"/>
        <v>3.6760200636804116E-2</v>
      </c>
      <c r="U38" s="1">
        <f t="shared" ca="1" si="14"/>
        <v>414</v>
      </c>
      <c r="V38" s="1">
        <f t="shared" ca="1" si="15"/>
        <v>13</v>
      </c>
      <c r="W38" s="1"/>
      <c r="X38" s="1">
        <f t="shared" ca="1" si="16"/>
        <v>9.2988223338745541</v>
      </c>
      <c r="Y38" s="1">
        <f t="shared" ca="1" si="17"/>
        <v>0.17688010255429792</v>
      </c>
      <c r="Z38" s="1">
        <f t="shared" ca="1" si="18"/>
        <v>1098</v>
      </c>
      <c r="AB38" s="1">
        <f t="shared" ca="1" si="19"/>
        <v>0.61622981966617785</v>
      </c>
      <c r="AC38" s="1">
        <f t="shared" ca="1" si="20"/>
        <v>251</v>
      </c>
      <c r="AD38" s="1">
        <f t="shared" ca="1" si="21"/>
        <v>5.726183249542759E-3</v>
      </c>
      <c r="AE38" s="1"/>
      <c r="AF38" s="1">
        <f t="shared" ca="1" si="22"/>
        <v>0.44673256497046798</v>
      </c>
      <c r="AG38" s="1">
        <f t="shared" ca="1" si="23"/>
        <v>951</v>
      </c>
      <c r="AH38" s="1">
        <f t="shared" ca="1" si="24"/>
        <v>2.2160412504145864E-3</v>
      </c>
      <c r="AJ38" s="1">
        <f t="shared" ca="1" si="25"/>
        <v>0.98330782059899147</v>
      </c>
      <c r="AK38" s="1">
        <f t="shared" ca="1" si="26"/>
        <v>5.3045775861515912E-3</v>
      </c>
      <c r="AL38" s="1"/>
      <c r="AM38" s="1">
        <f t="shared" ca="1" si="27"/>
        <v>0.12194757657147057</v>
      </c>
      <c r="AN38" s="1">
        <f t="shared" ca="1" si="28"/>
        <v>23</v>
      </c>
      <c r="AO38" s="1">
        <f t="shared" ca="1" si="29"/>
        <v>10</v>
      </c>
      <c r="AQ38" s="1">
        <f t="shared" ca="1" si="30"/>
        <v>97</v>
      </c>
      <c r="AR38" s="1">
        <f t="shared" ca="1" si="31"/>
        <v>6</v>
      </c>
      <c r="AS38" s="1">
        <f t="shared" ca="1" si="32"/>
        <v>89</v>
      </c>
      <c r="AU38" s="1">
        <f t="shared" ca="1" si="33"/>
        <v>164</v>
      </c>
      <c r="AV38" s="1">
        <f t="shared" ca="1" si="34"/>
        <v>5</v>
      </c>
      <c r="AW38" s="1">
        <f t="shared" ca="1" si="35"/>
        <v>0.1016460179592721</v>
      </c>
      <c r="AY38" s="1">
        <f t="shared" ca="1" si="36"/>
        <v>1.5104791036975842</v>
      </c>
      <c r="AZ38" s="1">
        <f t="shared" ca="1" si="37"/>
        <v>396</v>
      </c>
      <c r="BA38" s="1">
        <f t="shared" ca="1" si="38"/>
        <v>3.4224355527371457E-3</v>
      </c>
      <c r="BG38" s="1">
        <f t="shared" ca="1" si="39"/>
        <v>5.7289642456411959E-2</v>
      </c>
      <c r="BH38" s="1">
        <f t="shared" ca="1" si="40"/>
        <v>0.69742457097816002</v>
      </c>
      <c r="BI38" s="1">
        <f t="shared" ca="1" si="41"/>
        <v>677</v>
      </c>
      <c r="BV38" s="1">
        <f t="shared" ca="1" si="42"/>
        <v>9.6762128786023249E-2</v>
      </c>
      <c r="BW38" s="1">
        <f t="shared" ca="1" si="43"/>
        <v>234</v>
      </c>
      <c r="BX38" s="1">
        <f t="shared" ca="1" si="44"/>
        <v>3.974223897151876E-3</v>
      </c>
      <c r="BY38" s="1">
        <f t="shared" ca="1" si="45"/>
        <v>2.1176408594633506E-2</v>
      </c>
      <c r="BZ38" s="1">
        <f t="shared" ca="1" si="46"/>
        <v>4.1036822501828274E-2</v>
      </c>
      <c r="CB38" s="1">
        <f t="shared" ca="1" si="47"/>
        <v>393</v>
      </c>
      <c r="CC38" s="1">
        <f t="shared" ca="1" si="48"/>
        <v>3</v>
      </c>
      <c r="CD38" s="1">
        <f t="shared" ca="1" si="49"/>
        <v>0.10195887221078655</v>
      </c>
      <c r="CE38" s="1">
        <f t="shared" ca="1" si="71"/>
        <v>0.74971275017193928</v>
      </c>
      <c r="CF38" s="1">
        <f t="shared" ca="1" si="71"/>
        <v>0.6296345254114456</v>
      </c>
      <c r="CH38" s="3">
        <f t="shared" ca="1" si="51"/>
        <v>0.4692984775055285</v>
      </c>
      <c r="CI38" s="3">
        <f t="shared" ca="1" si="52"/>
        <v>0.96615858424626133</v>
      </c>
      <c r="CJ38" s="3">
        <f t="shared" ca="1" si="53"/>
        <v>949</v>
      </c>
      <c r="CK38" s="3">
        <f t="shared" ca="1" si="54"/>
        <v>9.3154767353888328E-3</v>
      </c>
      <c r="CL38" s="3">
        <f t="shared" ca="1" si="55"/>
        <v>0</v>
      </c>
      <c r="CM38" s="3"/>
      <c r="CN38" s="1">
        <f t="shared" ca="1" si="56"/>
        <v>3.5144375994477266</v>
      </c>
      <c r="CO38" s="1">
        <f t="shared" ca="1" si="57"/>
        <v>0.4399593264079123</v>
      </c>
      <c r="CP38" s="1">
        <f t="shared" ca="1" si="58"/>
        <v>5</v>
      </c>
      <c r="CV38" s="1">
        <f t="shared" ca="1" si="59"/>
        <v>2.7255078603187877</v>
      </c>
      <c r="CW38" s="1">
        <f t="shared" ca="1" si="60"/>
        <v>1344</v>
      </c>
      <c r="CX38" s="1">
        <f t="shared" ca="1" si="61"/>
        <v>6.0993347147930907E-3</v>
      </c>
      <c r="DH38" s="1">
        <f t="shared" ca="1" si="62"/>
        <v>440</v>
      </c>
      <c r="DI38" s="1">
        <f t="shared" ca="1" si="63"/>
        <v>0.79303428430236356</v>
      </c>
      <c r="DJ38" s="1">
        <f t="shared" ca="1" si="64"/>
        <v>7</v>
      </c>
      <c r="DL38" s="1">
        <f t="shared" ca="1" si="65"/>
        <v>0.14265588522447112</v>
      </c>
      <c r="DM38" s="1">
        <f t="shared" ca="1" si="66"/>
        <v>193</v>
      </c>
      <c r="DN38" s="1">
        <f t="shared" ca="1" si="67"/>
        <v>6</v>
      </c>
    </row>
    <row r="39" spans="2:118" x14ac:dyDescent="0.25">
      <c r="B39">
        <f t="shared" ca="1" si="0"/>
        <v>446</v>
      </c>
      <c r="C39">
        <f t="shared" ca="1" si="1"/>
        <v>4</v>
      </c>
      <c r="D39">
        <f t="shared" ca="1" si="2"/>
        <v>4.5299445914045826E-2</v>
      </c>
      <c r="F39" s="1">
        <f t="shared" ca="1" si="3"/>
        <v>13</v>
      </c>
      <c r="G39" s="1">
        <f t="shared" ca="1" si="4"/>
        <v>13</v>
      </c>
      <c r="H39" s="1">
        <f t="shared" ca="1" si="5"/>
        <v>13</v>
      </c>
      <c r="I39" s="1"/>
      <c r="J39" s="1">
        <f t="shared" ca="1" si="6"/>
        <v>20</v>
      </c>
      <c r="K39" s="1">
        <f t="shared" ca="1" si="7"/>
        <v>1.9105595744596391</v>
      </c>
      <c r="L39" s="1">
        <f t="shared" ca="1" si="8"/>
        <v>34</v>
      </c>
      <c r="M39" s="1"/>
      <c r="N39" s="1">
        <f t="shared" ca="1" si="9"/>
        <v>993</v>
      </c>
      <c r="O39" s="1">
        <f t="shared" ca="1" si="10"/>
        <v>28</v>
      </c>
      <c r="P39" s="1"/>
      <c r="Q39" s="1">
        <f t="shared" ca="1" si="11"/>
        <v>4.8999498174742566</v>
      </c>
      <c r="R39" s="1">
        <f t="shared" ca="1" si="12"/>
        <v>786</v>
      </c>
      <c r="S39" s="1"/>
      <c r="T39" s="1">
        <f t="shared" ca="1" si="13"/>
        <v>0.14598922971478143</v>
      </c>
      <c r="U39" s="1">
        <f t="shared" ca="1" si="14"/>
        <v>372</v>
      </c>
      <c r="V39" s="1">
        <f t="shared" ca="1" si="15"/>
        <v>44</v>
      </c>
      <c r="W39" s="1"/>
      <c r="X39" s="1">
        <f t="shared" ca="1" si="16"/>
        <v>1.4539621286804685</v>
      </c>
      <c r="Y39" s="1">
        <f t="shared" ca="1" si="17"/>
        <v>0.33811345386601849</v>
      </c>
      <c r="Z39" s="1">
        <f t="shared" ca="1" si="18"/>
        <v>1039</v>
      </c>
      <c r="AB39" s="1">
        <f t="shared" ca="1" si="19"/>
        <v>0.93213027095647794</v>
      </c>
      <c r="AC39" s="1">
        <f t="shared" ca="1" si="20"/>
        <v>128</v>
      </c>
      <c r="AD39" s="1">
        <f t="shared" ca="1" si="21"/>
        <v>6.0741929555617026E-3</v>
      </c>
      <c r="AE39" s="1"/>
      <c r="AF39" s="1">
        <f t="shared" ca="1" si="22"/>
        <v>0.86534108843397506</v>
      </c>
      <c r="AG39" s="1">
        <f t="shared" ca="1" si="23"/>
        <v>234</v>
      </c>
      <c r="AH39" s="1">
        <f t="shared" ca="1" si="24"/>
        <v>9.177771176393755E-3</v>
      </c>
      <c r="AJ39" s="1">
        <f t="shared" ca="1" si="25"/>
        <v>0.37484282359873256</v>
      </c>
      <c r="AK39" s="1">
        <f t="shared" ca="1" si="26"/>
        <v>4.2627466083030089E-4</v>
      </c>
      <c r="AL39" s="1"/>
      <c r="AM39" s="1">
        <f t="shared" ca="1" si="27"/>
        <v>0.1026139665525888</v>
      </c>
      <c r="AN39" s="1">
        <f t="shared" ca="1" si="28"/>
        <v>70</v>
      </c>
      <c r="AO39" s="1">
        <f t="shared" ca="1" si="29"/>
        <v>17</v>
      </c>
      <c r="AQ39" s="1">
        <f t="shared" ca="1" si="30"/>
        <v>44</v>
      </c>
      <c r="AR39" s="1">
        <f t="shared" ca="1" si="31"/>
        <v>2</v>
      </c>
      <c r="AS39" s="1">
        <f t="shared" ca="1" si="32"/>
        <v>50</v>
      </c>
      <c r="AU39" s="1">
        <f t="shared" ca="1" si="33"/>
        <v>226</v>
      </c>
      <c r="AV39" s="1">
        <f t="shared" ca="1" si="34"/>
        <v>7</v>
      </c>
      <c r="AW39" s="1">
        <f t="shared" ca="1" si="35"/>
        <v>0.17367584096186409</v>
      </c>
      <c r="AY39" s="1">
        <f t="shared" ca="1" si="36"/>
        <v>1.2351702473057937</v>
      </c>
      <c r="AZ39" s="1">
        <f t="shared" ca="1" si="37"/>
        <v>468</v>
      </c>
      <c r="BA39" s="1">
        <f t="shared" ca="1" si="38"/>
        <v>8.3256021803316867E-3</v>
      </c>
      <c r="BG39" s="1">
        <f t="shared" ca="1" si="39"/>
        <v>0.37877060008295443</v>
      </c>
      <c r="BH39" s="1">
        <f t="shared" ca="1" si="40"/>
        <v>0.76435938913389156</v>
      </c>
      <c r="BI39" s="1">
        <f t="shared" ca="1" si="41"/>
        <v>963</v>
      </c>
      <c r="BV39" s="1">
        <f t="shared" ca="1" si="42"/>
        <v>0.3572944959464408</v>
      </c>
      <c r="BW39" s="1">
        <f t="shared" ca="1" si="43"/>
        <v>951</v>
      </c>
      <c r="BX39" s="1">
        <f t="shared" ca="1" si="44"/>
        <v>8.729834530515056E-3</v>
      </c>
      <c r="BY39" s="1">
        <f t="shared" ca="1" si="45"/>
        <v>8.8153603743182221E-2</v>
      </c>
      <c r="BZ39" s="1">
        <f t="shared" ca="1" si="46"/>
        <v>0.96439954388725724</v>
      </c>
      <c r="CB39" s="1">
        <f t="shared" ca="1" si="47"/>
        <v>397</v>
      </c>
      <c r="CC39" s="1">
        <f t="shared" ca="1" si="48"/>
        <v>10</v>
      </c>
      <c r="CD39" s="1">
        <f t="shared" ca="1" si="49"/>
        <v>0.28007073901173996</v>
      </c>
      <c r="CE39" s="1">
        <f t="shared" ca="1" si="71"/>
        <v>0.88625233167152162</v>
      </c>
      <c r="CF39" s="1">
        <f t="shared" ca="1" si="71"/>
        <v>0.61466246120979351</v>
      </c>
      <c r="CH39" s="3">
        <f t="shared" ca="1" si="51"/>
        <v>0.57715283241755522</v>
      </c>
      <c r="CI39" s="3">
        <f t="shared" ca="1" si="52"/>
        <v>0.92359821490526262</v>
      </c>
      <c r="CJ39" s="3">
        <f t="shared" ca="1" si="53"/>
        <v>1363</v>
      </c>
      <c r="CK39" s="3">
        <f t="shared" ca="1" si="54"/>
        <v>8.2663963303030025E-3</v>
      </c>
      <c r="CL39" s="3">
        <f t="shared" ca="1" si="55"/>
        <v>1</v>
      </c>
      <c r="CM39" s="3"/>
      <c r="CN39" s="1">
        <f t="shared" ca="1" si="56"/>
        <v>10.294103042284439</v>
      </c>
      <c r="CO39" s="1">
        <f t="shared" ca="1" si="57"/>
        <v>0.49989180711598391</v>
      </c>
      <c r="CP39" s="1">
        <f t="shared" ca="1" si="58"/>
        <v>2</v>
      </c>
      <c r="CV39" s="1">
        <f t="shared" ca="1" si="59"/>
        <v>7.8123331477511577</v>
      </c>
      <c r="CW39" s="1">
        <f t="shared" ca="1" si="60"/>
        <v>789</v>
      </c>
      <c r="CX39" s="1">
        <f t="shared" ca="1" si="61"/>
        <v>9.1283023103883865E-3</v>
      </c>
      <c r="DH39" s="1">
        <f t="shared" ca="1" si="62"/>
        <v>242</v>
      </c>
      <c r="DI39" s="1">
        <f t="shared" ca="1" si="63"/>
        <v>0.51862484591539371</v>
      </c>
      <c r="DJ39" s="1">
        <f t="shared" ca="1" si="64"/>
        <v>30</v>
      </c>
      <c r="DL39" s="1">
        <f t="shared" ca="1" si="65"/>
        <v>3.031008040401674E-2</v>
      </c>
      <c r="DM39" s="1">
        <f t="shared" ca="1" si="66"/>
        <v>283</v>
      </c>
      <c r="DN39" s="1">
        <f t="shared" ca="1" si="67"/>
        <v>1</v>
      </c>
    </row>
    <row r="40" spans="2:118" x14ac:dyDescent="0.25">
      <c r="B40">
        <f t="shared" ca="1" si="0"/>
        <v>437</v>
      </c>
      <c r="C40">
        <f t="shared" ca="1" si="1"/>
        <v>6</v>
      </c>
      <c r="D40">
        <f t="shared" ca="1" si="2"/>
        <v>0.29895020203219008</v>
      </c>
      <c r="F40" s="1">
        <f t="shared" ca="1" si="3"/>
        <v>49</v>
      </c>
      <c r="G40" s="1">
        <f t="shared" ca="1" si="4"/>
        <v>10</v>
      </c>
      <c r="H40" s="1">
        <f t="shared" ca="1" si="5"/>
        <v>5</v>
      </c>
      <c r="I40" s="1"/>
      <c r="J40" s="1">
        <f t="shared" ca="1" si="6"/>
        <v>6</v>
      </c>
      <c r="K40" s="1">
        <f t="shared" ca="1" si="7"/>
        <v>2.9657758400667653</v>
      </c>
      <c r="L40" s="1">
        <f t="shared" ca="1" si="8"/>
        <v>14</v>
      </c>
      <c r="M40" s="1"/>
      <c r="N40" s="1">
        <f t="shared" ca="1" si="9"/>
        <v>485</v>
      </c>
      <c r="O40" s="1">
        <f t="shared" ca="1" si="10"/>
        <v>17</v>
      </c>
      <c r="P40" s="1"/>
      <c r="Q40" s="1">
        <f t="shared" ca="1" si="11"/>
        <v>4.0654080733717777</v>
      </c>
      <c r="R40" s="1">
        <f t="shared" ca="1" si="12"/>
        <v>398</v>
      </c>
      <c r="S40" s="1"/>
      <c r="T40" s="1">
        <f t="shared" ca="1" si="13"/>
        <v>0.16409987198108486</v>
      </c>
      <c r="U40" s="1">
        <f t="shared" ca="1" si="14"/>
        <v>169</v>
      </c>
      <c r="V40" s="1">
        <f t="shared" ca="1" si="15"/>
        <v>34</v>
      </c>
      <c r="W40" s="1"/>
      <c r="X40" s="1">
        <f t="shared" ca="1" si="16"/>
        <v>8.6485568097505201</v>
      </c>
      <c r="Y40" s="1">
        <f t="shared" ca="1" si="17"/>
        <v>0.51726916255128619</v>
      </c>
      <c r="Z40" s="1">
        <f t="shared" ca="1" si="18"/>
        <v>1346</v>
      </c>
      <c r="AB40" s="1">
        <f t="shared" ca="1" si="19"/>
        <v>0.18743765884283456</v>
      </c>
      <c r="AC40" s="1">
        <f t="shared" ca="1" si="20"/>
        <v>716</v>
      </c>
      <c r="AD40" s="1">
        <f t="shared" ca="1" si="21"/>
        <v>8.4950857220574567E-3</v>
      </c>
      <c r="AE40" s="1"/>
      <c r="AF40" s="1">
        <f t="shared" ca="1" si="22"/>
        <v>0.37175371633337406</v>
      </c>
      <c r="AG40" s="1">
        <f t="shared" ca="1" si="23"/>
        <v>303</v>
      </c>
      <c r="AH40" s="1">
        <f t="shared" ca="1" si="24"/>
        <v>8.3612288246109959E-3</v>
      </c>
      <c r="AJ40" s="1">
        <f t="shared" ca="1" si="25"/>
        <v>0.56888385284902332</v>
      </c>
      <c r="AK40" s="1">
        <f t="shared" ca="1" si="26"/>
        <v>1.8708409687497957E-4</v>
      </c>
      <c r="AL40" s="1"/>
      <c r="AM40" s="1">
        <f t="shared" ca="1" si="27"/>
        <v>0.15076363642622359</v>
      </c>
      <c r="AN40" s="1">
        <f t="shared" ca="1" si="28"/>
        <v>22</v>
      </c>
      <c r="AO40" s="1">
        <f t="shared" ca="1" si="29"/>
        <v>13</v>
      </c>
      <c r="AQ40" s="1">
        <f t="shared" ca="1" si="30"/>
        <v>57</v>
      </c>
      <c r="AR40" s="1">
        <f t="shared" ca="1" si="31"/>
        <v>0</v>
      </c>
      <c r="AS40" s="1">
        <f t="shared" ca="1" si="32"/>
        <v>58</v>
      </c>
      <c r="AU40" s="1">
        <f t="shared" ca="1" si="33"/>
        <v>53</v>
      </c>
      <c r="AV40" s="1">
        <f t="shared" ca="1" si="34"/>
        <v>10</v>
      </c>
      <c r="AW40" s="1">
        <f t="shared" ca="1" si="35"/>
        <v>5.9648387107958417E-2</v>
      </c>
      <c r="AY40" s="1">
        <f t="shared" ca="1" si="36"/>
        <v>1.9524238398381035</v>
      </c>
      <c r="AZ40" s="1">
        <f t="shared" ca="1" si="37"/>
        <v>154</v>
      </c>
      <c r="BA40" s="1">
        <f t="shared" ca="1" si="38"/>
        <v>1.3976204153219457E-3</v>
      </c>
      <c r="BG40" s="1">
        <f t="shared" ca="1" si="39"/>
        <v>0.57196787474739408</v>
      </c>
      <c r="BH40" s="1">
        <f t="shared" ca="1" si="40"/>
        <v>0.19499739775666347</v>
      </c>
      <c r="BI40" s="1">
        <f t="shared" ca="1" si="41"/>
        <v>949</v>
      </c>
      <c r="BV40" s="1">
        <f t="shared" ca="1" si="42"/>
        <v>0.24087679725120051</v>
      </c>
      <c r="BW40" s="1">
        <f t="shared" ca="1" si="43"/>
        <v>848</v>
      </c>
      <c r="BX40" s="1">
        <f t="shared" ca="1" si="44"/>
        <v>1.1419624012531863E-3</v>
      </c>
      <c r="BY40" s="1">
        <f t="shared" ca="1" si="45"/>
        <v>8.6480060452020863E-2</v>
      </c>
      <c r="BZ40" s="1">
        <f t="shared" ca="1" si="46"/>
        <v>0.33254911933931708</v>
      </c>
      <c r="CB40" s="1">
        <f t="shared" ca="1" si="47"/>
        <v>73</v>
      </c>
      <c r="CC40" s="1">
        <f t="shared" ca="1" si="48"/>
        <v>15</v>
      </c>
      <c r="CD40" s="1">
        <f t="shared" ca="1" si="49"/>
        <v>0.23156946888080543</v>
      </c>
      <c r="CE40" s="1">
        <f t="shared" ca="1" si="71"/>
        <v>0.63794739854000682</v>
      </c>
      <c r="CF40" s="1">
        <f t="shared" ca="1" si="71"/>
        <v>0.75896367666445697</v>
      </c>
      <c r="CH40" s="3">
        <f t="shared" ca="1" si="51"/>
        <v>0.45044868120511672</v>
      </c>
      <c r="CI40" s="3">
        <f t="shared" ca="1" si="52"/>
        <v>7.7343895236497401E-2</v>
      </c>
      <c r="CJ40" s="3">
        <f t="shared" ca="1" si="53"/>
        <v>215</v>
      </c>
      <c r="CK40" s="3">
        <f t="shared" ca="1" si="54"/>
        <v>3.5565983214856361E-3</v>
      </c>
      <c r="CL40" s="3">
        <f t="shared" ca="1" si="55"/>
        <v>1</v>
      </c>
      <c r="CM40" s="3"/>
      <c r="CN40" s="1">
        <f t="shared" ca="1" si="56"/>
        <v>14.389275014754945</v>
      </c>
      <c r="CO40" s="1">
        <f t="shared" ca="1" si="57"/>
        <v>0.12079053038199992</v>
      </c>
      <c r="CP40" s="1">
        <f t="shared" ca="1" si="58"/>
        <v>2</v>
      </c>
      <c r="CV40" s="1">
        <f t="shared" ca="1" si="59"/>
        <v>2.5944087947198171</v>
      </c>
      <c r="CW40" s="1">
        <f t="shared" ca="1" si="60"/>
        <v>984</v>
      </c>
      <c r="CX40" s="1">
        <f t="shared" ca="1" si="61"/>
        <v>3.8675581355158413E-3</v>
      </c>
      <c r="DH40" s="1">
        <f t="shared" ca="1" si="62"/>
        <v>493</v>
      </c>
      <c r="DI40" s="1">
        <f t="shared" ca="1" si="63"/>
        <v>0.55124805255757658</v>
      </c>
      <c r="DJ40" s="1">
        <f t="shared" ca="1" si="64"/>
        <v>4</v>
      </c>
      <c r="DL40" s="1">
        <f t="shared" ca="1" si="65"/>
        <v>1.1256476156411675E-2</v>
      </c>
      <c r="DM40" s="1">
        <f t="shared" ca="1" si="66"/>
        <v>298</v>
      </c>
      <c r="DN40" s="1">
        <f t="shared" ca="1" si="67"/>
        <v>1</v>
      </c>
    </row>
    <row r="41" spans="2:118" x14ac:dyDescent="0.25">
      <c r="B41">
        <f t="shared" ca="1" si="0"/>
        <v>919</v>
      </c>
      <c r="C41">
        <f t="shared" ca="1" si="1"/>
        <v>41</v>
      </c>
      <c r="D41">
        <f t="shared" ca="1" si="2"/>
        <v>0.29523164587136985</v>
      </c>
      <c r="F41" s="1">
        <f t="shared" ca="1" si="3"/>
        <v>52</v>
      </c>
      <c r="G41" s="1">
        <f t="shared" ca="1" si="4"/>
        <v>16</v>
      </c>
      <c r="H41" s="1">
        <f t="shared" ca="1" si="5"/>
        <v>10</v>
      </c>
      <c r="I41" s="1"/>
      <c r="J41" s="1">
        <f t="shared" ca="1" si="6"/>
        <v>36</v>
      </c>
      <c r="K41" s="1">
        <f t="shared" ca="1" si="7"/>
        <v>1.329495709521564</v>
      </c>
      <c r="L41" s="1">
        <f t="shared" ca="1" si="8"/>
        <v>20</v>
      </c>
      <c r="M41" s="1"/>
      <c r="N41" s="1">
        <f t="shared" ca="1" si="9"/>
        <v>446</v>
      </c>
      <c r="O41" s="1">
        <f t="shared" ca="1" si="10"/>
        <v>24</v>
      </c>
      <c r="P41" s="1"/>
      <c r="Q41" s="1">
        <f t="shared" ca="1" si="11"/>
        <v>3.2628390103499538</v>
      </c>
      <c r="R41" s="1">
        <f t="shared" ca="1" si="12"/>
        <v>573</v>
      </c>
      <c r="S41" s="1"/>
      <c r="T41" s="1">
        <f t="shared" ca="1" si="13"/>
        <v>0.18713280198941123</v>
      </c>
      <c r="U41" s="1">
        <f t="shared" ca="1" si="14"/>
        <v>418</v>
      </c>
      <c r="V41" s="1">
        <f t="shared" ca="1" si="15"/>
        <v>26</v>
      </c>
      <c r="W41" s="1"/>
      <c r="X41" s="1">
        <f t="shared" ca="1" si="16"/>
        <v>5.441265051018874</v>
      </c>
      <c r="Y41" s="1">
        <f t="shared" ca="1" si="17"/>
        <v>0.18050331965247232</v>
      </c>
      <c r="Z41" s="1">
        <f t="shared" ca="1" si="18"/>
        <v>1759</v>
      </c>
      <c r="AB41" s="1">
        <f t="shared" ca="1" si="19"/>
        <v>0.28523475396426562</v>
      </c>
      <c r="AC41" s="1">
        <f t="shared" ca="1" si="20"/>
        <v>410</v>
      </c>
      <c r="AD41" s="1">
        <f t="shared" ca="1" si="21"/>
        <v>9.0035730059274347E-3</v>
      </c>
      <c r="AE41" s="1"/>
      <c r="AF41" s="1">
        <f t="shared" ca="1" si="22"/>
        <v>0.51341245590189821</v>
      </c>
      <c r="AG41" s="1">
        <f t="shared" ca="1" si="23"/>
        <v>139</v>
      </c>
      <c r="AH41" s="1">
        <f t="shared" ca="1" si="24"/>
        <v>9.5951839714293087E-3</v>
      </c>
      <c r="AJ41" s="1">
        <f t="shared" ca="1" si="25"/>
        <v>0.42179556428900722</v>
      </c>
      <c r="AK41" s="1">
        <f t="shared" ca="1" si="26"/>
        <v>7.8588411642890876E-3</v>
      </c>
      <c r="AL41" s="1"/>
      <c r="AM41" s="1">
        <f t="shared" ca="1" si="27"/>
        <v>0.12521728400313911</v>
      </c>
      <c r="AN41" s="1">
        <f t="shared" ca="1" si="28"/>
        <v>34</v>
      </c>
      <c r="AO41" s="1">
        <f t="shared" ca="1" si="29"/>
        <v>1</v>
      </c>
      <c r="AQ41" s="1">
        <f t="shared" ca="1" si="30"/>
        <v>158</v>
      </c>
      <c r="AR41" s="1">
        <f t="shared" ca="1" si="31"/>
        <v>3</v>
      </c>
      <c r="AS41" s="1">
        <f t="shared" ca="1" si="32"/>
        <v>87</v>
      </c>
      <c r="AU41" s="1">
        <f t="shared" ca="1" si="33"/>
        <v>292</v>
      </c>
      <c r="AV41" s="1">
        <f t="shared" ca="1" si="34"/>
        <v>10</v>
      </c>
      <c r="AW41" s="1">
        <f t="shared" ca="1" si="35"/>
        <v>0.19772525016981241</v>
      </c>
      <c r="AY41" s="1">
        <f t="shared" ca="1" si="36"/>
        <v>1.3231722586096395</v>
      </c>
      <c r="AZ41" s="1">
        <f t="shared" ca="1" si="37"/>
        <v>233</v>
      </c>
      <c r="BA41" s="1">
        <f t="shared" ca="1" si="38"/>
        <v>6.8776776712264004E-3</v>
      </c>
      <c r="BG41" s="1">
        <f t="shared" ca="1" si="39"/>
        <v>0.15598728238369017</v>
      </c>
      <c r="BH41" s="1">
        <f t="shared" ca="1" si="40"/>
        <v>0.4156344675295166</v>
      </c>
      <c r="BI41" s="1">
        <f t="shared" ca="1" si="41"/>
        <v>686</v>
      </c>
      <c r="BV41" s="1">
        <f t="shared" ca="1" si="42"/>
        <v>0.7985302601634382</v>
      </c>
      <c r="BW41" s="1">
        <f t="shared" ca="1" si="43"/>
        <v>499</v>
      </c>
      <c r="BX41" s="1">
        <f t="shared" ca="1" si="44"/>
        <v>1.4990704094499702E-3</v>
      </c>
      <c r="BY41" s="1">
        <f t="shared" ca="1" si="45"/>
        <v>7.6103937180216297E-2</v>
      </c>
      <c r="BZ41" s="1">
        <f t="shared" ca="1" si="46"/>
        <v>0.88399566008419384</v>
      </c>
      <c r="CB41" s="1">
        <f t="shared" ca="1" si="47"/>
        <v>238</v>
      </c>
      <c r="CC41" s="1">
        <f t="shared" ca="1" si="48"/>
        <v>6</v>
      </c>
      <c r="CD41" s="1">
        <f t="shared" ca="1" si="49"/>
        <v>7.8179239143322365E-2</v>
      </c>
      <c r="CE41" s="1">
        <f t="shared" ca="1" si="71"/>
        <v>0.86082553442402943</v>
      </c>
      <c r="CF41" s="1">
        <f t="shared" ca="1" si="71"/>
        <v>0.81405613355491868</v>
      </c>
      <c r="CH41" s="3">
        <f t="shared" ca="1" si="51"/>
        <v>0.32796985614784563</v>
      </c>
      <c r="CI41" s="3">
        <f t="shared" ca="1" si="52"/>
        <v>0.73429327529590049</v>
      </c>
      <c r="CJ41" s="3">
        <f t="shared" ca="1" si="53"/>
        <v>1579</v>
      </c>
      <c r="CK41" s="3">
        <f t="shared" ca="1" si="54"/>
        <v>3.9816501615651092E-3</v>
      </c>
      <c r="CL41" s="3">
        <f t="shared" ca="1" si="55"/>
        <v>0</v>
      </c>
      <c r="CM41" s="3"/>
      <c r="CN41" s="1">
        <f t="shared" ca="1" si="56"/>
        <v>3.6975795150204052</v>
      </c>
      <c r="CO41" s="1">
        <f t="shared" ca="1" si="57"/>
        <v>0.30746557548453385</v>
      </c>
      <c r="CP41" s="1">
        <f t="shared" ca="1" si="58"/>
        <v>2</v>
      </c>
      <c r="CV41" s="1">
        <f t="shared" ca="1" si="59"/>
        <v>2.1814725713083178</v>
      </c>
      <c r="CW41" s="1">
        <f t="shared" ca="1" si="60"/>
        <v>1763</v>
      </c>
      <c r="CX41" s="1">
        <f t="shared" ca="1" si="61"/>
        <v>7.7894880680770889E-3</v>
      </c>
      <c r="DH41" s="1">
        <f t="shared" ca="1" si="62"/>
        <v>298</v>
      </c>
      <c r="DI41" s="1">
        <f t="shared" ca="1" si="63"/>
        <v>0.9560194469115767</v>
      </c>
      <c r="DJ41" s="1">
        <f t="shared" ca="1" si="64"/>
        <v>16</v>
      </c>
      <c r="DL41" s="1">
        <f t="shared" ca="1" si="65"/>
        <v>0.14556135507052445</v>
      </c>
      <c r="DM41" s="1">
        <f t="shared" ca="1" si="66"/>
        <v>99</v>
      </c>
      <c r="DN41" s="1">
        <f t="shared" ca="1" si="67"/>
        <v>2</v>
      </c>
    </row>
    <row r="42" spans="2:118" x14ac:dyDescent="0.25">
      <c r="B42">
        <f t="shared" ca="1" si="0"/>
        <v>534</v>
      </c>
      <c r="C42">
        <f t="shared" ca="1" si="1"/>
        <v>12</v>
      </c>
      <c r="D42">
        <f t="shared" ca="1" si="2"/>
        <v>0.1729963582182078</v>
      </c>
      <c r="F42" s="1">
        <f t="shared" ca="1" si="3"/>
        <v>52</v>
      </c>
      <c r="G42" s="1">
        <f t="shared" ca="1" si="4"/>
        <v>29</v>
      </c>
      <c r="H42" s="1">
        <f t="shared" ca="1" si="5"/>
        <v>11</v>
      </c>
      <c r="I42" s="1"/>
      <c r="J42" s="1">
        <f t="shared" ca="1" si="6"/>
        <v>35</v>
      </c>
      <c r="K42" s="1">
        <f t="shared" ca="1" si="7"/>
        <v>1.0466954941948896</v>
      </c>
      <c r="L42" s="1">
        <f t="shared" ca="1" si="8"/>
        <v>21</v>
      </c>
      <c r="M42" s="1"/>
      <c r="N42" s="1">
        <f t="shared" ca="1" si="9"/>
        <v>311</v>
      </c>
      <c r="O42" s="1">
        <f t="shared" ca="1" si="10"/>
        <v>16</v>
      </c>
      <c r="P42" s="1"/>
      <c r="Q42" s="1">
        <f t="shared" ca="1" si="11"/>
        <v>4.1960420014400226</v>
      </c>
      <c r="R42" s="1">
        <f t="shared" ca="1" si="12"/>
        <v>260</v>
      </c>
      <c r="S42" s="1"/>
      <c r="T42" s="1">
        <f t="shared" ca="1" si="13"/>
        <v>6.2214628359160841E-2</v>
      </c>
      <c r="U42" s="1">
        <f t="shared" ca="1" si="14"/>
        <v>166</v>
      </c>
      <c r="V42" s="1">
        <f t="shared" ca="1" si="15"/>
        <v>4</v>
      </c>
      <c r="W42" s="1"/>
      <c r="X42" s="1">
        <f t="shared" ca="1" si="16"/>
        <v>8.7934122272498687</v>
      </c>
      <c r="Y42" s="1">
        <f t="shared" ca="1" si="17"/>
        <v>0.47834880073760999</v>
      </c>
      <c r="Z42" s="1">
        <f t="shared" ca="1" si="18"/>
        <v>644</v>
      </c>
      <c r="AB42" s="1">
        <f t="shared" ca="1" si="19"/>
        <v>0.16545482582826143</v>
      </c>
      <c r="AC42" s="1">
        <f t="shared" ca="1" si="20"/>
        <v>988</v>
      </c>
      <c r="AD42" s="1">
        <f t="shared" ca="1" si="21"/>
        <v>4.3114521452761265E-3</v>
      </c>
      <c r="AE42" s="1"/>
      <c r="AF42" s="1">
        <f t="shared" ca="1" si="22"/>
        <v>0.4301451623928586</v>
      </c>
      <c r="AG42" s="1">
        <f t="shared" ca="1" si="23"/>
        <v>749</v>
      </c>
      <c r="AH42" s="1">
        <f t="shared" ca="1" si="24"/>
        <v>1.7147996129301889E-3</v>
      </c>
      <c r="AJ42" s="1">
        <f t="shared" ca="1" si="25"/>
        <v>0.62057886790534589</v>
      </c>
      <c r="AK42" s="1">
        <f t="shared" ca="1" si="26"/>
        <v>2.2665315523489539E-3</v>
      </c>
      <c r="AL42" s="1"/>
      <c r="AM42" s="1">
        <f t="shared" ca="1" si="27"/>
        <v>0.18005233627806644</v>
      </c>
      <c r="AN42" s="1">
        <f t="shared" ca="1" si="28"/>
        <v>43</v>
      </c>
      <c r="AO42" s="1">
        <f t="shared" ca="1" si="29"/>
        <v>9</v>
      </c>
      <c r="AQ42" s="1">
        <f t="shared" ca="1" si="30"/>
        <v>71</v>
      </c>
      <c r="AR42" s="1">
        <f t="shared" ca="1" si="31"/>
        <v>7</v>
      </c>
      <c r="AS42" s="1">
        <f t="shared" ca="1" si="32"/>
        <v>52</v>
      </c>
      <c r="AU42" s="1">
        <f t="shared" ca="1" si="33"/>
        <v>119</v>
      </c>
      <c r="AV42" s="1">
        <f t="shared" ca="1" si="34"/>
        <v>3</v>
      </c>
      <c r="AW42" s="1">
        <f t="shared" ca="1" si="35"/>
        <v>0.13742896389489317</v>
      </c>
      <c r="AY42" s="1">
        <f t="shared" ca="1" si="36"/>
        <v>1.3873276469182534</v>
      </c>
      <c r="AZ42" s="1">
        <f t="shared" ca="1" si="37"/>
        <v>316</v>
      </c>
      <c r="BA42" s="1">
        <f t="shared" ca="1" si="38"/>
        <v>8.1227341872737412E-3</v>
      </c>
      <c r="BG42" s="1">
        <f t="shared" ca="1" si="39"/>
        <v>0.97448357562427101</v>
      </c>
      <c r="BH42" s="1">
        <f t="shared" ca="1" si="40"/>
        <v>0.57547961624470734</v>
      </c>
      <c r="BI42" s="1">
        <f t="shared" ca="1" si="41"/>
        <v>897</v>
      </c>
      <c r="BV42" s="1">
        <f t="shared" ca="1" si="42"/>
        <v>0.18477827820898482</v>
      </c>
      <c r="BW42" s="1">
        <f t="shared" ca="1" si="43"/>
        <v>163</v>
      </c>
      <c r="BX42" s="1">
        <f t="shared" ca="1" si="44"/>
        <v>1.6351816308076059E-4</v>
      </c>
      <c r="BY42" s="1">
        <f t="shared" ca="1" si="45"/>
        <v>3.3583078115452511E-2</v>
      </c>
      <c r="BZ42" s="1">
        <f t="shared" ca="1" si="46"/>
        <v>0.32872933028098439</v>
      </c>
      <c r="CB42" s="1">
        <f t="shared" ca="1" si="47"/>
        <v>86</v>
      </c>
      <c r="CC42" s="1">
        <f t="shared" ca="1" si="48"/>
        <v>3</v>
      </c>
      <c r="CD42" s="1">
        <f t="shared" ca="1" si="49"/>
        <v>0.24686771761332241</v>
      </c>
      <c r="CE42" s="1">
        <f t="shared" ca="1" si="71"/>
        <v>0.53147267084054872</v>
      </c>
      <c r="CF42" s="1">
        <f t="shared" ca="1" si="71"/>
        <v>0.84713724767409859</v>
      </c>
      <c r="CH42" s="3">
        <f t="shared" ca="1" si="51"/>
        <v>0.66907733019158078</v>
      </c>
      <c r="CI42" s="3">
        <f t="shared" ca="1" si="52"/>
        <v>0.37229417766019879</v>
      </c>
      <c r="CJ42" s="3">
        <f t="shared" ca="1" si="53"/>
        <v>1861</v>
      </c>
      <c r="CK42" s="3">
        <f t="shared" ca="1" si="54"/>
        <v>7.1015804077032235E-5</v>
      </c>
      <c r="CL42" s="3">
        <f t="shared" ca="1" si="55"/>
        <v>0</v>
      </c>
      <c r="CM42" s="3"/>
      <c r="CN42" s="1">
        <f t="shared" ca="1" si="56"/>
        <v>2.1705100962546182</v>
      </c>
      <c r="CO42" s="1">
        <f t="shared" ca="1" si="57"/>
        <v>0.35917668787230156</v>
      </c>
      <c r="CP42" s="1">
        <f t="shared" ca="1" si="58"/>
        <v>2</v>
      </c>
      <c r="CV42" s="1">
        <f t="shared" ca="1" si="59"/>
        <v>2.4905836544173714</v>
      </c>
      <c r="CW42" s="1">
        <f t="shared" ca="1" si="60"/>
        <v>936</v>
      </c>
      <c r="CX42" s="1">
        <f t="shared" ca="1" si="61"/>
        <v>6.9270125915841798E-3</v>
      </c>
      <c r="DH42" s="1">
        <f t="shared" ca="1" si="62"/>
        <v>713</v>
      </c>
      <c r="DI42" s="1">
        <f t="shared" ca="1" si="63"/>
        <v>0.96291341839730848</v>
      </c>
      <c r="DJ42" s="1">
        <f t="shared" ca="1" si="64"/>
        <v>1</v>
      </c>
      <c r="DL42" s="1">
        <f t="shared" ca="1" si="65"/>
        <v>5.0671413058599901E-2</v>
      </c>
      <c r="DM42" s="1">
        <f t="shared" ca="1" si="66"/>
        <v>157</v>
      </c>
      <c r="DN42" s="1">
        <f t="shared" ca="1" si="67"/>
        <v>10</v>
      </c>
    </row>
    <row r="43" spans="2:118" x14ac:dyDescent="0.25">
      <c r="B43">
        <f t="shared" ca="1" si="0"/>
        <v>149</v>
      </c>
      <c r="C43">
        <f t="shared" ca="1" si="1"/>
        <v>51</v>
      </c>
      <c r="D43">
        <f t="shared" ca="1" si="2"/>
        <v>0.2125458946956601</v>
      </c>
      <c r="F43" s="1">
        <f t="shared" ca="1" si="3"/>
        <v>49</v>
      </c>
      <c r="G43" s="1">
        <f t="shared" ca="1" si="4"/>
        <v>7</v>
      </c>
      <c r="H43" s="1">
        <f t="shared" ca="1" si="5"/>
        <v>14</v>
      </c>
      <c r="I43" s="1"/>
      <c r="J43" s="1">
        <f t="shared" ca="1" si="6"/>
        <v>36</v>
      </c>
      <c r="K43" s="1">
        <f t="shared" ca="1" si="7"/>
        <v>1.9951012609658674</v>
      </c>
      <c r="L43" s="1">
        <f t="shared" ca="1" si="8"/>
        <v>24</v>
      </c>
      <c r="M43" s="1"/>
      <c r="N43" s="1">
        <f t="shared" ca="1" si="9"/>
        <v>772</v>
      </c>
      <c r="O43" s="1">
        <f t="shared" ca="1" si="10"/>
        <v>51</v>
      </c>
      <c r="P43" s="1"/>
      <c r="Q43" s="1">
        <f t="shared" ca="1" si="11"/>
        <v>2.0729931650866464</v>
      </c>
      <c r="R43" s="1">
        <f t="shared" ca="1" si="12"/>
        <v>745</v>
      </c>
      <c r="S43" s="1"/>
      <c r="T43" s="1">
        <f t="shared" ca="1" si="13"/>
        <v>0.10603233084164655</v>
      </c>
      <c r="U43" s="1">
        <f t="shared" ca="1" si="14"/>
        <v>437</v>
      </c>
      <c r="V43" s="1">
        <f t="shared" ca="1" si="15"/>
        <v>7</v>
      </c>
      <c r="W43" s="1"/>
      <c r="X43" s="1">
        <f t="shared" ca="1" si="16"/>
        <v>4.2092363995772608</v>
      </c>
      <c r="Y43" s="1">
        <f t="shared" ca="1" si="17"/>
        <v>9.9612846051074178E-2</v>
      </c>
      <c r="Z43" s="1">
        <f t="shared" ca="1" si="18"/>
        <v>174</v>
      </c>
      <c r="AB43" s="1">
        <f t="shared" ca="1" si="19"/>
        <v>0.50770508562670513</v>
      </c>
      <c r="AC43" s="1">
        <f t="shared" ca="1" si="20"/>
        <v>741</v>
      </c>
      <c r="AD43" s="1">
        <f t="shared" ca="1" si="21"/>
        <v>5.6235219140014113E-3</v>
      </c>
      <c r="AE43" s="1"/>
      <c r="AF43" s="1">
        <f t="shared" ca="1" si="22"/>
        <v>0.30217961540276606</v>
      </c>
      <c r="AG43" s="1">
        <f t="shared" ca="1" si="23"/>
        <v>105</v>
      </c>
      <c r="AH43" s="1">
        <f t="shared" ca="1" si="24"/>
        <v>8.369702848821549E-4</v>
      </c>
      <c r="AJ43" s="1">
        <f t="shared" ca="1" si="25"/>
        <v>0.46563588402246681</v>
      </c>
      <c r="AK43" s="1">
        <f t="shared" ca="1" si="26"/>
        <v>3.6838704835486799E-3</v>
      </c>
      <c r="AL43" s="1"/>
      <c r="AM43" s="1">
        <f t="shared" ca="1" si="27"/>
        <v>3.183770663749589E-2</v>
      </c>
      <c r="AN43" s="1">
        <f t="shared" ca="1" si="28"/>
        <v>14</v>
      </c>
      <c r="AO43" s="1">
        <f t="shared" ca="1" si="29"/>
        <v>10</v>
      </c>
      <c r="AQ43" s="1">
        <f t="shared" ca="1" si="30"/>
        <v>165</v>
      </c>
      <c r="AR43" s="1">
        <f t="shared" ca="1" si="31"/>
        <v>0</v>
      </c>
      <c r="AS43" s="1">
        <f t="shared" ca="1" si="32"/>
        <v>72</v>
      </c>
      <c r="AU43" s="1">
        <f t="shared" ca="1" si="33"/>
        <v>234</v>
      </c>
      <c r="AV43" s="1">
        <f t="shared" ca="1" si="34"/>
        <v>7</v>
      </c>
      <c r="AW43" s="1">
        <f t="shared" ca="1" si="35"/>
        <v>0.12931149844440132</v>
      </c>
      <c r="AY43" s="1">
        <f t="shared" ca="1" si="36"/>
        <v>1.8849101415057889</v>
      </c>
      <c r="AZ43" s="1">
        <f t="shared" ca="1" si="37"/>
        <v>143</v>
      </c>
      <c r="BA43" s="1">
        <f t="shared" ca="1" si="38"/>
        <v>5.1116441966580252E-3</v>
      </c>
      <c r="BG43" s="1">
        <f t="shared" ca="1" si="39"/>
        <v>0.80506530754686756</v>
      </c>
      <c r="BH43" s="1">
        <f t="shared" ca="1" si="40"/>
        <v>9.2576245885291897E-3</v>
      </c>
      <c r="BI43" s="1">
        <f t="shared" ca="1" si="41"/>
        <v>767</v>
      </c>
      <c r="BV43" s="1">
        <f t="shared" ca="1" si="42"/>
        <v>0.45330417763207209</v>
      </c>
      <c r="BW43" s="1">
        <f t="shared" ca="1" si="43"/>
        <v>322</v>
      </c>
      <c r="BX43" s="1">
        <f t="shared" ca="1" si="44"/>
        <v>8.9636112107659392E-3</v>
      </c>
      <c r="BY43" s="1">
        <f t="shared" ca="1" si="45"/>
        <v>8.8915174859322141E-2</v>
      </c>
      <c r="BZ43" s="1">
        <f t="shared" ca="1" si="46"/>
        <v>0.23130231198984685</v>
      </c>
      <c r="CB43" s="1">
        <f t="shared" ca="1" si="47"/>
        <v>474</v>
      </c>
      <c r="CC43" s="1">
        <f t="shared" ca="1" si="48"/>
        <v>6</v>
      </c>
      <c r="CD43" s="1">
        <f t="shared" ca="1" si="49"/>
        <v>0.2547338887687855</v>
      </c>
      <c r="CE43" s="1">
        <f t="shared" ca="1" si="71"/>
        <v>0.67569055516394738</v>
      </c>
      <c r="CF43" s="1">
        <f t="shared" ca="1" si="71"/>
        <v>0.54067634210790183</v>
      </c>
      <c r="CH43" s="3">
        <f t="shared" ca="1" si="51"/>
        <v>0.20358094535257526</v>
      </c>
      <c r="CI43" s="3">
        <f t="shared" ca="1" si="52"/>
        <v>0.78471360041090898</v>
      </c>
      <c r="CJ43" s="3">
        <f t="shared" ca="1" si="53"/>
        <v>1949</v>
      </c>
      <c r="CK43" s="3">
        <f t="shared" ca="1" si="54"/>
        <v>9.0504424840969089E-3</v>
      </c>
      <c r="CL43" s="3">
        <f t="shared" ca="1" si="55"/>
        <v>0</v>
      </c>
      <c r="CM43" s="3"/>
      <c r="CN43" s="1">
        <f t="shared" ca="1" si="56"/>
        <v>18.943037498919931</v>
      </c>
      <c r="CO43" s="1">
        <f t="shared" ca="1" si="57"/>
        <v>0.15732846176045945</v>
      </c>
      <c r="CP43" s="1">
        <f t="shared" ca="1" si="58"/>
        <v>2</v>
      </c>
      <c r="CV43" s="1">
        <f t="shared" ca="1" si="59"/>
        <v>8.6042514633080351</v>
      </c>
      <c r="CW43" s="1">
        <f t="shared" ca="1" si="60"/>
        <v>1419</v>
      </c>
      <c r="CX43" s="1">
        <f t="shared" ca="1" si="61"/>
        <v>7.2970820972559228E-3</v>
      </c>
      <c r="DH43" s="1">
        <f t="shared" ca="1" si="62"/>
        <v>382</v>
      </c>
      <c r="DI43" s="1">
        <f t="shared" ca="1" si="63"/>
        <v>0.17805025703824584</v>
      </c>
      <c r="DJ43" s="1">
        <f t="shared" ca="1" si="64"/>
        <v>19</v>
      </c>
      <c r="DL43" s="1">
        <f t="shared" ca="1" si="65"/>
        <v>7.5610249759220233E-2</v>
      </c>
      <c r="DM43" s="1">
        <f t="shared" ca="1" si="66"/>
        <v>73</v>
      </c>
      <c r="DN43" s="1">
        <f t="shared" ca="1" si="67"/>
        <v>1</v>
      </c>
    </row>
    <row r="44" spans="2:118" x14ac:dyDescent="0.25">
      <c r="B44">
        <f t="shared" ca="1" si="0"/>
        <v>435</v>
      </c>
      <c r="C44">
        <f t="shared" ca="1" si="1"/>
        <v>47</v>
      </c>
      <c r="D44">
        <f t="shared" ca="1" si="2"/>
        <v>0.29253692583533758</v>
      </c>
      <c r="F44" s="1">
        <f t="shared" ca="1" si="3"/>
        <v>44</v>
      </c>
      <c r="G44" s="1">
        <f t="shared" ca="1" si="4"/>
        <v>8</v>
      </c>
      <c r="H44" s="1">
        <f t="shared" ca="1" si="5"/>
        <v>11</v>
      </c>
      <c r="I44" s="1"/>
      <c r="J44" s="1">
        <f t="shared" ca="1" si="6"/>
        <v>1</v>
      </c>
      <c r="K44" s="1">
        <f t="shared" ca="1" si="7"/>
        <v>2.5381673206074842</v>
      </c>
      <c r="L44" s="1">
        <f t="shared" ca="1" si="8"/>
        <v>12</v>
      </c>
      <c r="M44" s="1"/>
      <c r="N44" s="1">
        <f t="shared" ca="1" si="9"/>
        <v>445</v>
      </c>
      <c r="O44" s="1">
        <f t="shared" ca="1" si="10"/>
        <v>26</v>
      </c>
      <c r="P44" s="1"/>
      <c r="Q44" s="1">
        <f t="shared" ca="1" si="11"/>
        <v>0.47039139175573796</v>
      </c>
      <c r="R44" s="1">
        <f t="shared" ca="1" si="12"/>
        <v>413</v>
      </c>
      <c r="S44" s="1"/>
      <c r="T44" s="1">
        <f t="shared" ca="1" si="13"/>
        <v>0.18951486734030265</v>
      </c>
      <c r="U44" s="1">
        <f t="shared" ca="1" si="14"/>
        <v>66</v>
      </c>
      <c r="V44" s="1">
        <f t="shared" ca="1" si="15"/>
        <v>16</v>
      </c>
      <c r="W44" s="1"/>
      <c r="X44" s="1">
        <f t="shared" ca="1" si="16"/>
        <v>2.9848179122724203</v>
      </c>
      <c r="Y44" s="1">
        <f t="shared" ca="1" si="17"/>
        <v>0.64868182065291047</v>
      </c>
      <c r="Z44" s="1">
        <f t="shared" ca="1" si="18"/>
        <v>471</v>
      </c>
      <c r="AB44" s="1">
        <f t="shared" ca="1" si="19"/>
        <v>2.1051154868512618E-3</v>
      </c>
      <c r="AC44" s="1">
        <f t="shared" ca="1" si="20"/>
        <v>299</v>
      </c>
      <c r="AD44" s="1">
        <f t="shared" ca="1" si="21"/>
        <v>4.3569632802963523E-3</v>
      </c>
      <c r="AE44" s="1"/>
      <c r="AF44" s="1">
        <f t="shared" ca="1" si="22"/>
        <v>0.44580684781037416</v>
      </c>
      <c r="AG44" s="1">
        <f t="shared" ca="1" si="23"/>
        <v>637</v>
      </c>
      <c r="AH44" s="1">
        <f t="shared" ca="1" si="24"/>
        <v>9.0435146791067924E-3</v>
      </c>
      <c r="AJ44" s="1">
        <f t="shared" ca="1" si="25"/>
        <v>0.26608605510251704</v>
      </c>
      <c r="AK44" s="1">
        <f t="shared" ca="1" si="26"/>
        <v>3.6696470502026904E-3</v>
      </c>
      <c r="AL44" s="1"/>
      <c r="AM44" s="1">
        <f t="shared" ca="1" si="27"/>
        <v>9.1293156298798278E-2</v>
      </c>
      <c r="AN44" s="1">
        <f t="shared" ca="1" si="28"/>
        <v>21</v>
      </c>
      <c r="AO44" s="1">
        <f t="shared" ca="1" si="29"/>
        <v>13</v>
      </c>
      <c r="AQ44" s="1">
        <f t="shared" ca="1" si="30"/>
        <v>179</v>
      </c>
      <c r="AR44" s="1">
        <f t="shared" ca="1" si="31"/>
        <v>9</v>
      </c>
      <c r="AS44" s="1">
        <f t="shared" ca="1" si="32"/>
        <v>91</v>
      </c>
      <c r="AU44" s="1">
        <f t="shared" ca="1" si="33"/>
        <v>333</v>
      </c>
      <c r="AV44" s="1">
        <f t="shared" ca="1" si="34"/>
        <v>10</v>
      </c>
      <c r="AW44" s="1">
        <f t="shared" ca="1" si="35"/>
        <v>0.17810409173471742</v>
      </c>
      <c r="AY44" s="1">
        <f t="shared" ca="1" si="36"/>
        <v>1.3701136232899309</v>
      </c>
      <c r="AZ44" s="1">
        <f t="shared" ca="1" si="37"/>
        <v>353</v>
      </c>
      <c r="BA44" s="1">
        <f t="shared" ca="1" si="38"/>
        <v>1.3442170850464733E-4</v>
      </c>
      <c r="BG44" s="1">
        <f t="shared" ca="1" si="39"/>
        <v>0.99424852622667304</v>
      </c>
      <c r="BH44" s="1">
        <f t="shared" ca="1" si="40"/>
        <v>0.66504417742004385</v>
      </c>
      <c r="BI44" s="1">
        <f t="shared" ca="1" si="41"/>
        <v>525</v>
      </c>
      <c r="BV44" s="1">
        <f t="shared" ca="1" si="42"/>
        <v>0.22025441489965433</v>
      </c>
      <c r="BW44" s="1">
        <f t="shared" ca="1" si="43"/>
        <v>172</v>
      </c>
      <c r="BX44" s="1">
        <f t="shared" ca="1" si="44"/>
        <v>3.6633129065453724E-3</v>
      </c>
      <c r="BY44" s="1">
        <f t="shared" ca="1" si="45"/>
        <v>3.500004122542498E-2</v>
      </c>
      <c r="BZ44" s="1">
        <f t="shared" ca="1" si="46"/>
        <v>0.28943186596612047</v>
      </c>
      <c r="CB44" s="1">
        <f t="shared" ca="1" si="47"/>
        <v>52</v>
      </c>
      <c r="CC44" s="1">
        <f t="shared" ca="1" si="48"/>
        <v>9</v>
      </c>
      <c r="CD44" s="1">
        <f t="shared" ca="1" si="49"/>
        <v>0.26866926072739133</v>
      </c>
      <c r="CE44" s="1">
        <f t="shared" ca="1" si="71"/>
        <v>0.65101622907887058</v>
      </c>
      <c r="CF44" s="1">
        <f t="shared" ca="1" si="71"/>
        <v>0.93016991033074437</v>
      </c>
      <c r="CH44" s="3">
        <f t="shared" ca="1" si="51"/>
        <v>0.56837643760623491</v>
      </c>
      <c r="CI44" s="3">
        <f t="shared" ca="1" si="52"/>
        <v>0.75335749525294493</v>
      </c>
      <c r="CJ44" s="3">
        <f t="shared" ca="1" si="53"/>
        <v>929</v>
      </c>
      <c r="CK44" s="3">
        <f t="shared" ca="1" si="54"/>
        <v>6.6119358753544836E-3</v>
      </c>
      <c r="CL44" s="3">
        <f t="shared" ca="1" si="55"/>
        <v>0</v>
      </c>
      <c r="CM44" s="3"/>
      <c r="CN44" s="1">
        <f t="shared" ca="1" si="56"/>
        <v>12.858223386565934</v>
      </c>
      <c r="CO44" s="1">
        <f t="shared" ca="1" si="57"/>
        <v>0.38848257263414115</v>
      </c>
      <c r="CP44" s="1">
        <f t="shared" ca="1" si="58"/>
        <v>5</v>
      </c>
      <c r="CV44" s="1">
        <f t="shared" ca="1" si="59"/>
        <v>1.5229252201152681</v>
      </c>
      <c r="CW44" s="1">
        <f t="shared" ca="1" si="60"/>
        <v>1572</v>
      </c>
      <c r="CX44" s="1">
        <f t="shared" ca="1" si="61"/>
        <v>1.1086150853301449E-3</v>
      </c>
      <c r="DH44" s="1">
        <f t="shared" ca="1" si="62"/>
        <v>553</v>
      </c>
      <c r="DI44" s="1">
        <f t="shared" ca="1" si="63"/>
        <v>9.7983080039011072E-2</v>
      </c>
      <c r="DJ44" s="1">
        <f t="shared" ca="1" si="64"/>
        <v>2</v>
      </c>
      <c r="DL44" s="1">
        <f t="shared" ca="1" si="65"/>
        <v>0.17686667888030741</v>
      </c>
      <c r="DM44" s="1">
        <f t="shared" ca="1" si="66"/>
        <v>131</v>
      </c>
      <c r="DN44" s="1">
        <f t="shared" ca="1" si="67"/>
        <v>5</v>
      </c>
    </row>
    <row r="45" spans="2:118" x14ac:dyDescent="0.25">
      <c r="B45">
        <f t="shared" ca="1" si="0"/>
        <v>127</v>
      </c>
      <c r="C45">
        <f t="shared" ca="1" si="1"/>
        <v>28</v>
      </c>
      <c r="D45">
        <f t="shared" ca="1" si="2"/>
        <v>1.8377174889012065E-2</v>
      </c>
      <c r="F45" s="1">
        <f t="shared" ca="1" si="3"/>
        <v>29</v>
      </c>
      <c r="G45" s="1">
        <f t="shared" ca="1" si="4"/>
        <v>23</v>
      </c>
      <c r="H45" s="1">
        <f t="shared" ca="1" si="5"/>
        <v>9</v>
      </c>
      <c r="I45" s="1"/>
      <c r="J45" s="1">
        <f t="shared" ca="1" si="6"/>
        <v>3</v>
      </c>
      <c r="K45" s="1">
        <f t="shared" ca="1" si="7"/>
        <v>2.4589686791369152</v>
      </c>
      <c r="L45" s="1">
        <f t="shared" ca="1" si="8"/>
        <v>31</v>
      </c>
      <c r="M45" s="1"/>
      <c r="N45" s="1">
        <f t="shared" ca="1" si="9"/>
        <v>27</v>
      </c>
      <c r="O45" s="1">
        <f t="shared" ca="1" si="10"/>
        <v>8</v>
      </c>
      <c r="P45" s="1"/>
      <c r="Q45" s="1">
        <f t="shared" ca="1" si="11"/>
        <v>4.9231138749678234</v>
      </c>
      <c r="R45" s="1">
        <f t="shared" ca="1" si="12"/>
        <v>1033</v>
      </c>
      <c r="S45" s="1"/>
      <c r="T45" s="1">
        <f t="shared" ca="1" si="13"/>
        <v>0.14802547749192788</v>
      </c>
      <c r="U45" s="1">
        <f t="shared" ca="1" si="14"/>
        <v>77</v>
      </c>
      <c r="V45" s="1">
        <f t="shared" ca="1" si="15"/>
        <v>46</v>
      </c>
      <c r="W45" s="1"/>
      <c r="X45" s="1">
        <f t="shared" ca="1" si="16"/>
        <v>9.9776158472783791</v>
      </c>
      <c r="Y45" s="1">
        <f t="shared" ca="1" si="17"/>
        <v>0.69433188714837268</v>
      </c>
      <c r="Z45" s="1">
        <f t="shared" ca="1" si="18"/>
        <v>1617</v>
      </c>
      <c r="AB45" s="1">
        <f t="shared" ca="1" si="19"/>
        <v>0.38184962755623736</v>
      </c>
      <c r="AC45" s="1">
        <f t="shared" ca="1" si="20"/>
        <v>232</v>
      </c>
      <c r="AD45" s="1">
        <f t="shared" ca="1" si="21"/>
        <v>2.4091361777057183E-3</v>
      </c>
      <c r="AE45" s="1"/>
      <c r="AF45" s="1">
        <f t="shared" ca="1" si="22"/>
        <v>0.87563478225779234</v>
      </c>
      <c r="AG45" s="1">
        <f t="shared" ca="1" si="23"/>
        <v>417</v>
      </c>
      <c r="AH45" s="1">
        <f t="shared" ca="1" si="24"/>
        <v>4.9434802224500324E-3</v>
      </c>
      <c r="AJ45" s="1">
        <f t="shared" ca="1" si="25"/>
        <v>0.8029481245000889</v>
      </c>
      <c r="AK45" s="1">
        <f t="shared" ca="1" si="26"/>
        <v>9.0422315922965161E-4</v>
      </c>
      <c r="AL45" s="1"/>
      <c r="AM45" s="1">
        <f t="shared" ca="1" si="27"/>
        <v>1.1832467912606306E-2</v>
      </c>
      <c r="AN45" s="1">
        <f t="shared" ca="1" si="28"/>
        <v>45</v>
      </c>
      <c r="AO45" s="1">
        <f t="shared" ca="1" si="29"/>
        <v>-1</v>
      </c>
      <c r="AQ45" s="1">
        <f t="shared" ca="1" si="30"/>
        <v>192</v>
      </c>
      <c r="AR45" s="1">
        <f t="shared" ca="1" si="31"/>
        <v>2</v>
      </c>
      <c r="AS45" s="1">
        <f t="shared" ca="1" si="32"/>
        <v>94</v>
      </c>
      <c r="AU45" s="1">
        <f t="shared" ca="1" si="33"/>
        <v>265</v>
      </c>
      <c r="AV45" s="1">
        <f t="shared" ca="1" si="34"/>
        <v>3</v>
      </c>
      <c r="AW45" s="1">
        <f t="shared" ca="1" si="35"/>
        <v>5.4683507237832329E-2</v>
      </c>
      <c r="AY45" s="1">
        <f t="shared" ca="1" si="36"/>
        <v>1.5941130874704703</v>
      </c>
      <c r="AZ45" s="1">
        <f t="shared" ca="1" si="37"/>
        <v>404</v>
      </c>
      <c r="BA45" s="1">
        <f t="shared" ca="1" si="38"/>
        <v>8.8923792157967994E-3</v>
      </c>
      <c r="BG45" s="1">
        <f t="shared" ca="1" si="39"/>
        <v>0.93134902558211297</v>
      </c>
      <c r="BH45" s="1">
        <f t="shared" ca="1" si="40"/>
        <v>0.39431128778602731</v>
      </c>
      <c r="BI45" s="1">
        <f t="shared" ca="1" si="41"/>
        <v>109</v>
      </c>
      <c r="BV45" s="1">
        <f t="shared" ca="1" si="42"/>
        <v>0.27200655807857926</v>
      </c>
      <c r="BW45" s="1">
        <f t="shared" ca="1" si="43"/>
        <v>130</v>
      </c>
      <c r="BX45" s="1">
        <f t="shared" ca="1" si="44"/>
        <v>6.4310852906878033E-3</v>
      </c>
      <c r="BY45" s="1">
        <f t="shared" ca="1" si="45"/>
        <v>1.2473340048500504E-3</v>
      </c>
      <c r="BZ45" s="1">
        <f t="shared" ca="1" si="46"/>
        <v>0.51944568800389279</v>
      </c>
      <c r="CB45" s="1">
        <f t="shared" ca="1" si="47"/>
        <v>495</v>
      </c>
      <c r="CC45" s="1">
        <f t="shared" ca="1" si="48"/>
        <v>9</v>
      </c>
      <c r="CD45" s="1">
        <f t="shared" ca="1" si="49"/>
        <v>0.24342461038014102</v>
      </c>
      <c r="CE45" s="1">
        <f t="shared" ca="1" si="71"/>
        <v>0.74324478982284325</v>
      </c>
      <c r="CF45" s="1">
        <f t="shared" ca="1" si="71"/>
        <v>0.90004844011999674</v>
      </c>
      <c r="CH45" s="3">
        <f t="shared" ca="1" si="51"/>
        <v>0.25448458632087967</v>
      </c>
      <c r="CI45" s="3">
        <f t="shared" ca="1" si="52"/>
        <v>0.46741701876272723</v>
      </c>
      <c r="CJ45" s="3">
        <f t="shared" ca="1" si="53"/>
        <v>734</v>
      </c>
      <c r="CK45" s="3">
        <f t="shared" ca="1" si="54"/>
        <v>8.3522507274032178E-3</v>
      </c>
      <c r="CL45" s="3">
        <f t="shared" ca="1" si="55"/>
        <v>1</v>
      </c>
      <c r="CM45" s="3"/>
      <c r="CN45" s="1">
        <f t="shared" ca="1" si="56"/>
        <v>4.6361017536803919</v>
      </c>
      <c r="CO45" s="1">
        <f t="shared" ca="1" si="57"/>
        <v>0.31663645518810979</v>
      </c>
      <c r="CP45" s="1">
        <f t="shared" ca="1" si="58"/>
        <v>5</v>
      </c>
      <c r="CV45" s="1">
        <f t="shared" ca="1" si="59"/>
        <v>5.1442914783112856</v>
      </c>
      <c r="CW45" s="1">
        <f t="shared" ca="1" si="60"/>
        <v>576</v>
      </c>
      <c r="CX45" s="1">
        <f t="shared" ca="1" si="61"/>
        <v>5.7607394952962961E-3</v>
      </c>
      <c r="DH45" s="1">
        <f t="shared" ca="1" si="62"/>
        <v>738</v>
      </c>
      <c r="DI45" s="1">
        <f t="shared" ca="1" si="63"/>
        <v>0.94820878330448111</v>
      </c>
      <c r="DJ45" s="1">
        <f t="shared" ca="1" si="64"/>
        <v>11</v>
      </c>
      <c r="DL45" s="1">
        <f t="shared" ca="1" si="65"/>
        <v>0.13278285704344436</v>
      </c>
      <c r="DM45" s="1">
        <f t="shared" ca="1" si="66"/>
        <v>217</v>
      </c>
      <c r="DN45" s="1">
        <f t="shared" ca="1" si="67"/>
        <v>5</v>
      </c>
    </row>
    <row r="46" spans="2:118" x14ac:dyDescent="0.25">
      <c r="B46">
        <f t="shared" ca="1" si="0"/>
        <v>77</v>
      </c>
      <c r="C46">
        <f t="shared" ca="1" si="1"/>
        <v>42</v>
      </c>
      <c r="D46">
        <f t="shared" ca="1" si="2"/>
        <v>5.2827585711875298E-2</v>
      </c>
      <c r="F46" s="1">
        <f t="shared" ca="1" si="3"/>
        <v>2</v>
      </c>
      <c r="G46" s="1">
        <f t="shared" ca="1" si="4"/>
        <v>19</v>
      </c>
      <c r="H46" s="1">
        <f t="shared" ca="1" si="5"/>
        <v>13</v>
      </c>
      <c r="I46" s="1"/>
      <c r="J46" s="1">
        <f t="shared" ca="1" si="6"/>
        <v>11</v>
      </c>
      <c r="K46" s="1">
        <f t="shared" ca="1" si="7"/>
        <v>1.5758040266255069</v>
      </c>
      <c r="L46" s="1">
        <f t="shared" ca="1" si="8"/>
        <v>19</v>
      </c>
      <c r="M46" s="1"/>
      <c r="N46" s="1">
        <f t="shared" ca="1" si="9"/>
        <v>402</v>
      </c>
      <c r="O46" s="1">
        <f t="shared" ca="1" si="10"/>
        <v>44</v>
      </c>
      <c r="P46" s="1"/>
      <c r="Q46" s="1">
        <f t="shared" ca="1" si="11"/>
        <v>0.94219066782427596</v>
      </c>
      <c r="R46" s="1">
        <f t="shared" ca="1" si="12"/>
        <v>1094</v>
      </c>
      <c r="S46" s="1"/>
      <c r="T46" s="1">
        <f t="shared" ca="1" si="13"/>
        <v>0.1798465778244133</v>
      </c>
      <c r="U46" s="1">
        <f t="shared" ca="1" si="14"/>
        <v>263</v>
      </c>
      <c r="V46" s="1">
        <f t="shared" ca="1" si="15"/>
        <v>37</v>
      </c>
      <c r="W46" s="1"/>
      <c r="X46" s="1">
        <f t="shared" ca="1" si="16"/>
        <v>5.7286410417872657</v>
      </c>
      <c r="Y46" s="1">
        <f t="shared" ca="1" si="17"/>
        <v>0.39259199366165337</v>
      </c>
      <c r="Z46" s="1">
        <f t="shared" ca="1" si="18"/>
        <v>1321</v>
      </c>
      <c r="AB46" s="1">
        <f t="shared" ca="1" si="19"/>
        <v>0.8367647723834517</v>
      </c>
      <c r="AC46" s="1">
        <f t="shared" ca="1" si="20"/>
        <v>930</v>
      </c>
      <c r="AD46" s="1">
        <f t="shared" ca="1" si="21"/>
        <v>7.3347188808458913E-4</v>
      </c>
      <c r="AE46" s="1"/>
      <c r="AF46" s="1">
        <f t="shared" ca="1" si="22"/>
        <v>0.58196460461107014</v>
      </c>
      <c r="AG46" s="1">
        <f t="shared" ca="1" si="23"/>
        <v>622</v>
      </c>
      <c r="AH46" s="1">
        <f t="shared" ca="1" si="24"/>
        <v>2.6565619146668483E-3</v>
      </c>
      <c r="AJ46" s="1">
        <f t="shared" ca="1" si="25"/>
        <v>0.42086045304827568</v>
      </c>
      <c r="AK46" s="1">
        <f t="shared" ca="1" si="26"/>
        <v>3.1387153194921157E-3</v>
      </c>
      <c r="AL46" s="1"/>
      <c r="AM46" s="1">
        <f t="shared" ca="1" si="27"/>
        <v>0.18162651193996585</v>
      </c>
      <c r="AN46" s="1">
        <f t="shared" ca="1" si="28"/>
        <v>54</v>
      </c>
      <c r="AO46" s="1">
        <f t="shared" ca="1" si="29"/>
        <v>16</v>
      </c>
      <c r="AQ46" s="1">
        <f t="shared" ca="1" si="30"/>
        <v>117</v>
      </c>
      <c r="AR46" s="1">
        <f t="shared" ca="1" si="31"/>
        <v>7</v>
      </c>
      <c r="AS46" s="1">
        <f t="shared" ca="1" si="32"/>
        <v>13</v>
      </c>
      <c r="AU46" s="1">
        <f t="shared" ca="1" si="33"/>
        <v>336</v>
      </c>
      <c r="AV46" s="1">
        <f t="shared" ca="1" si="34"/>
        <v>10</v>
      </c>
      <c r="AW46" s="1">
        <f t="shared" ca="1" si="35"/>
        <v>0.10116579215136079</v>
      </c>
      <c r="AY46" s="1">
        <f t="shared" ca="1" si="36"/>
        <v>1.4905433275832058</v>
      </c>
      <c r="AZ46" s="1">
        <f t="shared" ca="1" si="37"/>
        <v>259</v>
      </c>
      <c r="BA46" s="1">
        <f t="shared" ca="1" si="38"/>
        <v>7.5587842434969351E-3</v>
      </c>
      <c r="BG46" s="1">
        <f t="shared" ca="1" si="39"/>
        <v>0.52490485478214111</v>
      </c>
      <c r="BH46" s="1">
        <f t="shared" ca="1" si="40"/>
        <v>0.58363440053384752</v>
      </c>
      <c r="BI46" s="1">
        <f t="shared" ca="1" si="41"/>
        <v>410</v>
      </c>
      <c r="BV46" s="1">
        <f t="shared" ca="1" si="42"/>
        <v>0.84569670587225643</v>
      </c>
      <c r="BW46" s="1">
        <f t="shared" ca="1" si="43"/>
        <v>422</v>
      </c>
      <c r="BX46" s="1">
        <f t="shared" ca="1" si="44"/>
        <v>9.1577434983985736E-3</v>
      </c>
      <c r="BY46" s="1">
        <f t="shared" ca="1" si="45"/>
        <v>5.4034100152408997E-2</v>
      </c>
      <c r="BZ46" s="1">
        <f t="shared" ca="1" si="46"/>
        <v>5.0866420222373976E-2</v>
      </c>
      <c r="CB46" s="1">
        <f t="shared" ca="1" si="47"/>
        <v>473</v>
      </c>
      <c r="CC46" s="1">
        <f t="shared" ca="1" si="48"/>
        <v>9</v>
      </c>
      <c r="CD46" s="1">
        <f t="shared" ca="1" si="49"/>
        <v>0.29484332728702523</v>
      </c>
      <c r="CE46" s="1">
        <f t="shared" ca="1" si="71"/>
        <v>0.63882929595678539</v>
      </c>
      <c r="CF46" s="1">
        <f t="shared" ca="1" si="71"/>
        <v>0.89597250166543696</v>
      </c>
      <c r="CH46" s="3">
        <f t="shared" ca="1" si="51"/>
        <v>0.80579044307174619</v>
      </c>
      <c r="CI46" s="3">
        <f t="shared" ca="1" si="52"/>
        <v>0.57946847918178401</v>
      </c>
      <c r="CJ46" s="3">
        <f t="shared" ca="1" si="53"/>
        <v>1565</v>
      </c>
      <c r="CK46" s="3">
        <f t="shared" ca="1" si="54"/>
        <v>5.0730967580229604E-3</v>
      </c>
      <c r="CL46" s="3">
        <f t="shared" ca="1" si="55"/>
        <v>1</v>
      </c>
      <c r="CM46" s="3"/>
      <c r="CN46" s="1">
        <f t="shared" ca="1" si="56"/>
        <v>5.3609983716115073</v>
      </c>
      <c r="CO46" s="1">
        <f t="shared" ca="1" si="57"/>
        <v>0.16165346821593757</v>
      </c>
      <c r="CP46" s="1">
        <f t="shared" ca="1" si="58"/>
        <v>4</v>
      </c>
      <c r="CV46" s="1">
        <f t="shared" ca="1" si="59"/>
        <v>3.4255509040481482</v>
      </c>
      <c r="CW46" s="1">
        <f t="shared" ca="1" si="60"/>
        <v>1090</v>
      </c>
      <c r="CX46" s="1">
        <f t="shared" ca="1" si="61"/>
        <v>1.6975471450338762E-3</v>
      </c>
      <c r="DH46" s="1">
        <f t="shared" ca="1" si="62"/>
        <v>393</v>
      </c>
      <c r="DI46" s="1">
        <f t="shared" ca="1" si="63"/>
        <v>0.52060596629776235</v>
      </c>
      <c r="DJ46" s="1">
        <f t="shared" ca="1" si="64"/>
        <v>18</v>
      </c>
      <c r="DL46" s="1">
        <f t="shared" ca="1" si="65"/>
        <v>0.19457844720559628</v>
      </c>
      <c r="DM46" s="1">
        <f t="shared" ca="1" si="66"/>
        <v>52</v>
      </c>
      <c r="DN46" s="1">
        <f t="shared" ca="1" si="67"/>
        <v>5</v>
      </c>
    </row>
    <row r="47" spans="2:118" x14ac:dyDescent="0.25">
      <c r="B47">
        <f t="shared" ca="1" si="0"/>
        <v>821</v>
      </c>
      <c r="C47">
        <f t="shared" ca="1" si="1"/>
        <v>35</v>
      </c>
      <c r="D47">
        <f t="shared" ca="1" si="2"/>
        <v>0.29776520648849558</v>
      </c>
      <c r="F47" s="1">
        <f t="shared" ca="1" si="3"/>
        <v>10</v>
      </c>
      <c r="G47" s="1">
        <f t="shared" ca="1" si="4"/>
        <v>24</v>
      </c>
      <c r="H47" s="1">
        <f t="shared" ca="1" si="5"/>
        <v>15</v>
      </c>
      <c r="I47" s="1"/>
      <c r="J47" s="1">
        <f t="shared" ca="1" si="6"/>
        <v>35</v>
      </c>
      <c r="K47" s="1">
        <f t="shared" ca="1" si="7"/>
        <v>1.6152398544856281</v>
      </c>
      <c r="L47" s="1">
        <f t="shared" ca="1" si="8"/>
        <v>22</v>
      </c>
      <c r="M47" s="1"/>
      <c r="N47" s="1">
        <f t="shared" ca="1" si="9"/>
        <v>270</v>
      </c>
      <c r="O47" s="1">
        <f t="shared" ca="1" si="10"/>
        <v>46</v>
      </c>
      <c r="P47" s="1"/>
      <c r="Q47" s="1">
        <f t="shared" ca="1" si="11"/>
        <v>4.9142113085624661</v>
      </c>
      <c r="R47" s="1">
        <f t="shared" ca="1" si="12"/>
        <v>1135</v>
      </c>
      <c r="S47" s="1"/>
      <c r="T47" s="1">
        <f t="shared" ca="1" si="13"/>
        <v>6.5969225992034905E-2</v>
      </c>
      <c r="U47" s="1">
        <f t="shared" ca="1" si="14"/>
        <v>202</v>
      </c>
      <c r="V47" s="1">
        <f t="shared" ca="1" si="15"/>
        <v>40</v>
      </c>
      <c r="W47" s="1"/>
      <c r="X47" s="1">
        <f t="shared" ca="1" si="16"/>
        <v>8.2411654333547837</v>
      </c>
      <c r="Y47" s="1">
        <f t="shared" ca="1" si="17"/>
        <v>0.97114681469836395</v>
      </c>
      <c r="Z47" s="1">
        <f t="shared" ca="1" si="18"/>
        <v>1945</v>
      </c>
      <c r="AB47" s="1">
        <f t="shared" ca="1" si="19"/>
        <v>0.21719234137086352</v>
      </c>
      <c r="AC47" s="1">
        <f t="shared" ca="1" si="20"/>
        <v>268</v>
      </c>
      <c r="AD47" s="1">
        <f t="shared" ca="1" si="21"/>
        <v>9.7300897525242798E-3</v>
      </c>
      <c r="AE47" s="1"/>
      <c r="AF47" s="1">
        <f t="shared" ca="1" si="22"/>
        <v>0.86280172187218407</v>
      </c>
      <c r="AG47" s="1">
        <f t="shared" ca="1" si="23"/>
        <v>439</v>
      </c>
      <c r="AH47" s="1">
        <f t="shared" ca="1" si="24"/>
        <v>9.5147413001755825E-3</v>
      </c>
      <c r="AJ47" s="1">
        <f t="shared" ca="1" si="25"/>
        <v>0.76901485402245617</v>
      </c>
      <c r="AK47" s="1">
        <f t="shared" ca="1" si="26"/>
        <v>4.1663526262431666E-3</v>
      </c>
      <c r="AL47" s="1"/>
      <c r="AM47" s="1">
        <f t="shared" ca="1" si="27"/>
        <v>8.7999599369627101E-3</v>
      </c>
      <c r="AN47" s="1">
        <f t="shared" ca="1" si="28"/>
        <v>66</v>
      </c>
      <c r="AO47" s="1">
        <f t="shared" ca="1" si="29"/>
        <v>6</v>
      </c>
      <c r="AQ47" s="1">
        <f t="shared" ca="1" si="30"/>
        <v>31</v>
      </c>
      <c r="AR47" s="1">
        <f t="shared" ca="1" si="31"/>
        <v>7</v>
      </c>
      <c r="AS47" s="1">
        <f t="shared" ca="1" si="32"/>
        <v>33</v>
      </c>
      <c r="AU47" s="1">
        <f t="shared" ca="1" si="33"/>
        <v>393</v>
      </c>
      <c r="AV47" s="1">
        <f t="shared" ca="1" si="34"/>
        <v>4</v>
      </c>
      <c r="AW47" s="1">
        <f t="shared" ca="1" si="35"/>
        <v>5.0366097691875097E-2</v>
      </c>
      <c r="AY47" s="1">
        <f t="shared" ca="1" si="36"/>
        <v>1.6039625715501009</v>
      </c>
      <c r="AZ47" s="1">
        <f t="shared" ca="1" si="37"/>
        <v>356</v>
      </c>
      <c r="BA47" s="1">
        <f t="shared" ca="1" si="38"/>
        <v>7.8948801581780505E-3</v>
      </c>
      <c r="BG47" s="1">
        <f t="shared" ca="1" si="39"/>
        <v>0.11801961616126215</v>
      </c>
      <c r="BH47" s="1">
        <f t="shared" ca="1" si="40"/>
        <v>0.96445970108501466</v>
      </c>
      <c r="BI47" s="1">
        <f t="shared" ca="1" si="41"/>
        <v>839</v>
      </c>
      <c r="BV47" s="1">
        <f t="shared" ca="1" si="42"/>
        <v>4.0826730805092123E-2</v>
      </c>
      <c r="BW47" s="1">
        <f t="shared" ca="1" si="43"/>
        <v>835</v>
      </c>
      <c r="BX47" s="1">
        <f t="shared" ca="1" si="44"/>
        <v>7.0470735997507743E-3</v>
      </c>
      <c r="BY47" s="1">
        <f t="shared" ca="1" si="45"/>
        <v>3.5604410814903391E-2</v>
      </c>
      <c r="BZ47" s="1">
        <f t="shared" ca="1" si="46"/>
        <v>0.11716305425608076</v>
      </c>
      <c r="CB47" s="1">
        <f t="shared" ca="1" si="47"/>
        <v>345</v>
      </c>
      <c r="CC47" s="1">
        <f t="shared" ca="1" si="48"/>
        <v>9</v>
      </c>
      <c r="CD47" s="1">
        <f t="shared" ca="1" si="49"/>
        <v>0.24755079307016201</v>
      </c>
      <c r="CE47" s="1">
        <f t="shared" ca="1" si="71"/>
        <v>0.95697013844319589</v>
      </c>
      <c r="CF47" s="1">
        <f t="shared" ca="1" si="71"/>
        <v>0.61978112310774902</v>
      </c>
      <c r="CH47" s="3">
        <f t="shared" ca="1" si="51"/>
        <v>0.21066845403159978</v>
      </c>
      <c r="CI47" s="3">
        <f t="shared" ca="1" si="52"/>
        <v>0.31595597626213806</v>
      </c>
      <c r="CJ47" s="3">
        <f t="shared" ca="1" si="53"/>
        <v>738</v>
      </c>
      <c r="CK47" s="3">
        <f t="shared" ca="1" si="54"/>
        <v>5.3762041389815675E-3</v>
      </c>
      <c r="CL47" s="3">
        <f t="shared" ca="1" si="55"/>
        <v>1</v>
      </c>
      <c r="CM47" s="3"/>
      <c r="CN47" s="1">
        <f t="shared" ca="1" si="56"/>
        <v>2.1080192092735777</v>
      </c>
      <c r="CO47" s="1">
        <f t="shared" ca="1" si="57"/>
        <v>7.1659895023109405E-2</v>
      </c>
      <c r="CP47" s="1">
        <f t="shared" ca="1" si="58"/>
        <v>3</v>
      </c>
      <c r="CV47" s="1">
        <f t="shared" ca="1" si="59"/>
        <v>0.93774699241284631</v>
      </c>
      <c r="CW47" s="1">
        <f t="shared" ca="1" si="60"/>
        <v>1110</v>
      </c>
      <c r="CX47" s="1">
        <f t="shared" ca="1" si="61"/>
        <v>9.6200681682539837E-5</v>
      </c>
      <c r="DH47" s="1">
        <f t="shared" ca="1" si="62"/>
        <v>145</v>
      </c>
      <c r="DI47" s="1">
        <f t="shared" ca="1" si="63"/>
        <v>0.34823870552123676</v>
      </c>
      <c r="DJ47" s="1">
        <f t="shared" ca="1" si="64"/>
        <v>14</v>
      </c>
      <c r="DL47" s="1">
        <f t="shared" ca="1" si="65"/>
        <v>0.16996593861163881</v>
      </c>
      <c r="DM47" s="1">
        <f t="shared" ca="1" si="66"/>
        <v>153</v>
      </c>
      <c r="DN47" s="1">
        <f t="shared" ca="1" si="67"/>
        <v>8</v>
      </c>
    </row>
    <row r="48" spans="2:118" x14ac:dyDescent="0.25">
      <c r="B48">
        <f t="shared" ca="1" si="0"/>
        <v>482</v>
      </c>
      <c r="C48">
        <f t="shared" ca="1" si="1"/>
        <v>30</v>
      </c>
      <c r="D48">
        <f t="shared" ca="1" si="2"/>
        <v>0.23776386944518738</v>
      </c>
      <c r="F48" s="1">
        <f t="shared" ca="1" si="3"/>
        <v>43</v>
      </c>
      <c r="G48" s="1">
        <f t="shared" ca="1" si="4"/>
        <v>18</v>
      </c>
      <c r="H48" s="1">
        <f t="shared" ca="1" si="5"/>
        <v>1</v>
      </c>
      <c r="I48" s="1"/>
      <c r="J48" s="1">
        <f t="shared" ca="1" si="6"/>
        <v>17</v>
      </c>
      <c r="K48" s="1">
        <f t="shared" ca="1" si="7"/>
        <v>2.4100435435070349</v>
      </c>
      <c r="L48" s="1">
        <f t="shared" ca="1" si="8"/>
        <v>2</v>
      </c>
      <c r="M48" s="1"/>
      <c r="N48" s="1">
        <f t="shared" ca="1" si="9"/>
        <v>588</v>
      </c>
      <c r="O48" s="1">
        <f t="shared" ca="1" si="10"/>
        <v>37</v>
      </c>
      <c r="P48" s="1"/>
      <c r="Q48" s="1">
        <f t="shared" ca="1" si="11"/>
        <v>3.2194962268513123</v>
      </c>
      <c r="R48" s="1">
        <f t="shared" ca="1" si="12"/>
        <v>1040</v>
      </c>
      <c r="S48" s="1"/>
      <c r="T48" s="1">
        <f t="shared" ca="1" si="13"/>
        <v>0.1887366888940771</v>
      </c>
      <c r="U48" s="1">
        <f t="shared" ca="1" si="14"/>
        <v>397</v>
      </c>
      <c r="V48" s="1">
        <f t="shared" ca="1" si="15"/>
        <v>51</v>
      </c>
      <c r="W48" s="1"/>
      <c r="X48" s="1">
        <f t="shared" ca="1" si="16"/>
        <v>8.3352881579820632</v>
      </c>
      <c r="Y48" s="1">
        <f t="shared" ca="1" si="17"/>
        <v>0.35191848918697827</v>
      </c>
      <c r="Z48" s="1">
        <f t="shared" ca="1" si="18"/>
        <v>781</v>
      </c>
      <c r="AB48" s="1">
        <f t="shared" ca="1" si="19"/>
        <v>6.5638891477819608E-2</v>
      </c>
      <c r="AC48" s="1">
        <f t="shared" ca="1" si="20"/>
        <v>941</v>
      </c>
      <c r="AD48" s="1">
        <f t="shared" ca="1" si="21"/>
        <v>6.8323590116551817E-3</v>
      </c>
      <c r="AE48" s="1"/>
      <c r="AF48" s="1">
        <f t="shared" ca="1" si="22"/>
        <v>0.87841835150289527</v>
      </c>
      <c r="AG48" s="1">
        <f t="shared" ca="1" si="23"/>
        <v>339</v>
      </c>
      <c r="AH48" s="1">
        <f t="shared" ca="1" si="24"/>
        <v>1.463060765590401E-4</v>
      </c>
      <c r="AJ48" s="1">
        <f t="shared" ca="1" si="25"/>
        <v>0.65743133373191698</v>
      </c>
      <c r="AK48" s="1">
        <f t="shared" ca="1" si="26"/>
        <v>7.2451505424247671E-3</v>
      </c>
      <c r="AL48" s="1"/>
      <c r="AM48" s="1">
        <f t="shared" ca="1" si="27"/>
        <v>8.9850063371743782E-2</v>
      </c>
      <c r="AN48" s="1">
        <f t="shared" ca="1" si="28"/>
        <v>14</v>
      </c>
      <c r="AO48" s="1">
        <f t="shared" ca="1" si="29"/>
        <v>10</v>
      </c>
      <c r="AQ48" s="1">
        <f t="shared" ca="1" si="30"/>
        <v>65</v>
      </c>
      <c r="AR48" s="1">
        <f t="shared" ca="1" si="31"/>
        <v>4</v>
      </c>
      <c r="AS48" s="1">
        <f t="shared" ca="1" si="32"/>
        <v>15</v>
      </c>
      <c r="AU48" s="1">
        <f t="shared" ca="1" si="33"/>
        <v>154</v>
      </c>
      <c r="AV48" s="1">
        <f t="shared" ca="1" si="34"/>
        <v>8</v>
      </c>
      <c r="AW48" s="1">
        <f t="shared" ca="1" si="35"/>
        <v>0.17533365225538566</v>
      </c>
      <c r="AY48" s="1">
        <f t="shared" ca="1" si="36"/>
        <v>1.2075860489500763</v>
      </c>
      <c r="AZ48" s="1">
        <f t="shared" ca="1" si="37"/>
        <v>470</v>
      </c>
      <c r="BA48" s="1">
        <f t="shared" ca="1" si="38"/>
        <v>5.6137552279536393E-3</v>
      </c>
      <c r="BG48" s="1">
        <f t="shared" ca="1" si="39"/>
        <v>0.54030498328494958</v>
      </c>
      <c r="BH48" s="1">
        <f t="shared" ca="1" si="40"/>
        <v>0.17297902960690492</v>
      </c>
      <c r="BI48" s="1">
        <f t="shared" ca="1" si="41"/>
        <v>980</v>
      </c>
      <c r="BV48" s="1">
        <f t="shared" ca="1" si="42"/>
        <v>0.11475804492259511</v>
      </c>
      <c r="BW48" s="1">
        <f t="shared" ca="1" si="43"/>
        <v>304</v>
      </c>
      <c r="BX48" s="1">
        <f t="shared" ca="1" si="44"/>
        <v>8.1818897595367958E-3</v>
      </c>
      <c r="BY48" s="1">
        <f t="shared" ca="1" si="45"/>
        <v>8.4220960678901946E-2</v>
      </c>
      <c r="BZ48" s="1">
        <f t="shared" ca="1" si="46"/>
        <v>0.72191868973854423</v>
      </c>
      <c r="CB48" s="1">
        <f t="shared" ca="1" si="47"/>
        <v>477</v>
      </c>
      <c r="CC48" s="1">
        <f t="shared" ca="1" si="48"/>
        <v>6</v>
      </c>
      <c r="CD48" s="1">
        <f t="shared" ca="1" si="49"/>
        <v>0.18320628886826415</v>
      </c>
      <c r="CE48" s="1">
        <f t="shared" ca="1" si="71"/>
        <v>0.83173459594963006</v>
      </c>
      <c r="CF48" s="1">
        <f t="shared" ca="1" si="71"/>
        <v>0.90743410509019928</v>
      </c>
      <c r="CH48" s="3">
        <f t="shared" ca="1" si="51"/>
        <v>0.4328951811217297</v>
      </c>
      <c r="CI48" s="3">
        <f t="shared" ca="1" si="52"/>
        <v>0.80968253605096685</v>
      </c>
      <c r="CJ48" s="3">
        <f t="shared" ca="1" si="53"/>
        <v>294</v>
      </c>
      <c r="CK48" s="3">
        <f t="shared" ca="1" si="54"/>
        <v>6.8278018519000571E-3</v>
      </c>
      <c r="CL48" s="3">
        <f t="shared" ca="1" si="55"/>
        <v>1</v>
      </c>
      <c r="CM48" s="3"/>
      <c r="CN48" s="1">
        <f t="shared" ca="1" si="56"/>
        <v>6.3682119894283273</v>
      </c>
      <c r="CO48" s="1">
        <f t="shared" ca="1" si="57"/>
        <v>0.3172047692762428</v>
      </c>
      <c r="CP48" s="1">
        <f t="shared" ca="1" si="58"/>
        <v>4</v>
      </c>
      <c r="CV48" s="1">
        <f t="shared" ca="1" si="59"/>
        <v>7.9554986481748999</v>
      </c>
      <c r="CW48" s="1">
        <f t="shared" ca="1" si="60"/>
        <v>682</v>
      </c>
      <c r="CX48" s="1">
        <f t="shared" ca="1" si="61"/>
        <v>3.3780685966289668E-3</v>
      </c>
      <c r="DH48" s="1">
        <f t="shared" ca="1" si="62"/>
        <v>504</v>
      </c>
      <c r="DI48" s="1">
        <f t="shared" ca="1" si="63"/>
        <v>0.75405322242655137</v>
      </c>
      <c r="DJ48" s="1">
        <f t="shared" ca="1" si="64"/>
        <v>19</v>
      </c>
      <c r="DL48" s="1">
        <f t="shared" ca="1" si="65"/>
        <v>0.19092304154484846</v>
      </c>
      <c r="DM48" s="1">
        <f t="shared" ca="1" si="66"/>
        <v>106</v>
      </c>
      <c r="DN48" s="1">
        <f t="shared" ca="1" si="67"/>
        <v>1</v>
      </c>
    </row>
    <row r="49" spans="2:118" x14ac:dyDescent="0.25">
      <c r="B49">
        <f t="shared" ca="1" si="0"/>
        <v>253</v>
      </c>
      <c r="C49">
        <f t="shared" ca="1" si="1"/>
        <v>19</v>
      </c>
      <c r="D49">
        <f t="shared" ca="1" si="2"/>
        <v>0.12375933161965381</v>
      </c>
      <c r="F49" s="1">
        <f t="shared" ca="1" si="3"/>
        <v>45</v>
      </c>
      <c r="G49" s="1">
        <f t="shared" ca="1" si="4"/>
        <v>6</v>
      </c>
      <c r="H49" s="1">
        <f t="shared" ca="1" si="5"/>
        <v>10</v>
      </c>
      <c r="I49" s="1"/>
      <c r="J49" s="1">
        <f t="shared" ca="1" si="6"/>
        <v>32</v>
      </c>
      <c r="K49" s="1">
        <f t="shared" ca="1" si="7"/>
        <v>2.7294105609768105</v>
      </c>
      <c r="L49" s="1">
        <f t="shared" ca="1" si="8"/>
        <v>32</v>
      </c>
      <c r="M49" s="1"/>
      <c r="N49" s="1">
        <f t="shared" ca="1" si="9"/>
        <v>511</v>
      </c>
      <c r="O49" s="1">
        <f t="shared" ca="1" si="10"/>
        <v>8</v>
      </c>
      <c r="P49" s="1"/>
      <c r="Q49" s="1">
        <f t="shared" ca="1" si="11"/>
        <v>3.7629763904069651</v>
      </c>
      <c r="R49" s="1">
        <f t="shared" ca="1" si="12"/>
        <v>408</v>
      </c>
      <c r="S49" s="1"/>
      <c r="T49" s="1">
        <f t="shared" ca="1" si="13"/>
        <v>8.2241592200000962E-2</v>
      </c>
      <c r="U49" s="1">
        <f t="shared" ca="1" si="14"/>
        <v>284</v>
      </c>
      <c r="V49" s="1">
        <f t="shared" ca="1" si="15"/>
        <v>40</v>
      </c>
      <c r="W49" s="1"/>
      <c r="X49" s="1">
        <f t="shared" ca="1" si="16"/>
        <v>5.269611595013834</v>
      </c>
      <c r="Y49" s="1">
        <f t="shared" ca="1" si="17"/>
        <v>0.46198353476967519</v>
      </c>
      <c r="Z49" s="1">
        <f t="shared" ca="1" si="18"/>
        <v>1087</v>
      </c>
      <c r="AB49" s="1">
        <f t="shared" ca="1" si="19"/>
        <v>0.27885569008171379</v>
      </c>
      <c r="AC49" s="1">
        <f t="shared" ca="1" si="20"/>
        <v>810</v>
      </c>
      <c r="AD49" s="1">
        <f t="shared" ca="1" si="21"/>
        <v>2.9940251748129922E-3</v>
      </c>
      <c r="AE49" s="1"/>
      <c r="AF49" s="1">
        <f t="shared" ca="1" si="22"/>
        <v>0.23550665340125976</v>
      </c>
      <c r="AG49" s="1">
        <f t="shared" ca="1" si="23"/>
        <v>859</v>
      </c>
      <c r="AH49" s="1">
        <f t="shared" ca="1" si="24"/>
        <v>3.4342645595399871E-3</v>
      </c>
      <c r="AJ49" s="1">
        <f t="shared" ca="1" si="25"/>
        <v>0.18705380187248266</v>
      </c>
      <c r="AK49" s="1">
        <f t="shared" ca="1" si="26"/>
        <v>4.0859988471028128E-3</v>
      </c>
      <c r="AL49" s="1"/>
      <c r="AM49" s="1">
        <f t="shared" ca="1" si="27"/>
        <v>0.11104646139079787</v>
      </c>
      <c r="AN49" s="1">
        <f t="shared" ca="1" si="28"/>
        <v>57</v>
      </c>
      <c r="AO49" s="1">
        <f t="shared" ca="1" si="29"/>
        <v>5</v>
      </c>
      <c r="AQ49" s="1">
        <f t="shared" ca="1" si="30"/>
        <v>51</v>
      </c>
      <c r="AR49" s="1">
        <f t="shared" ca="1" si="31"/>
        <v>6</v>
      </c>
      <c r="AS49" s="1">
        <f t="shared" ca="1" si="32"/>
        <v>60</v>
      </c>
      <c r="AU49" s="1">
        <f t="shared" ca="1" si="33"/>
        <v>291</v>
      </c>
      <c r="AV49" s="1">
        <f t="shared" ca="1" si="34"/>
        <v>4</v>
      </c>
      <c r="AW49" s="1">
        <f t="shared" ca="1" si="35"/>
        <v>0.17534694003127679</v>
      </c>
      <c r="AY49" s="1">
        <f t="shared" ca="1" si="36"/>
        <v>1.2766869798957363</v>
      </c>
      <c r="AZ49" s="1">
        <f t="shared" ca="1" si="37"/>
        <v>428</v>
      </c>
      <c r="BA49" s="1">
        <f t="shared" ca="1" si="38"/>
        <v>1.5692182983677906E-3</v>
      </c>
      <c r="BG49" s="1">
        <f t="shared" ca="1" si="39"/>
        <v>6.0823546028302443E-2</v>
      </c>
      <c r="BH49" s="1">
        <f t="shared" ca="1" si="40"/>
        <v>0.16282992320288991</v>
      </c>
      <c r="BI49" s="1">
        <f t="shared" ca="1" si="41"/>
        <v>257</v>
      </c>
      <c r="BV49" s="1">
        <f t="shared" ca="1" si="42"/>
        <v>0.34870301498373296</v>
      </c>
      <c r="BW49" s="1">
        <f t="shared" ca="1" si="43"/>
        <v>997</v>
      </c>
      <c r="BX49" s="1">
        <f t="shared" ca="1" si="44"/>
        <v>9.2548344893834608E-3</v>
      </c>
      <c r="BY49" s="1">
        <f t="shared" ca="1" si="45"/>
        <v>3.3615817822013568E-3</v>
      </c>
      <c r="BZ49" s="1">
        <f t="shared" ca="1" si="46"/>
        <v>0.17133375919640126</v>
      </c>
      <c r="CB49" s="1">
        <f t="shared" ca="1" si="47"/>
        <v>81</v>
      </c>
      <c r="CC49" s="1">
        <f t="shared" ca="1" si="48"/>
        <v>3</v>
      </c>
      <c r="CD49" s="1">
        <f t="shared" ca="1" si="49"/>
        <v>0.26585233462762148</v>
      </c>
      <c r="CE49" s="1">
        <f t="shared" ca="1" si="71"/>
        <v>0.82200064548490026</v>
      </c>
      <c r="CF49" s="1">
        <f t="shared" ca="1" si="71"/>
        <v>0.97496529668645682</v>
      </c>
      <c r="CH49" s="3">
        <f t="shared" ca="1" si="51"/>
        <v>9.9790267726762333E-2</v>
      </c>
      <c r="CI49" s="3">
        <f t="shared" ca="1" si="52"/>
        <v>0.7715758078349787</v>
      </c>
      <c r="CJ49" s="3">
        <f t="shared" ca="1" si="53"/>
        <v>1438</v>
      </c>
      <c r="CK49" s="3">
        <f t="shared" ca="1" si="54"/>
        <v>2.9664801886459813E-3</v>
      </c>
      <c r="CL49" s="3">
        <f t="shared" ca="1" si="55"/>
        <v>0</v>
      </c>
      <c r="CM49" s="3"/>
      <c r="CN49" s="1">
        <f t="shared" ca="1" si="56"/>
        <v>5.74233921301854</v>
      </c>
      <c r="CO49" s="1">
        <f t="shared" ca="1" si="57"/>
        <v>0.30958165486233558</v>
      </c>
      <c r="CP49" s="1">
        <f t="shared" ca="1" si="58"/>
        <v>2</v>
      </c>
      <c r="CV49" s="1">
        <f t="shared" ca="1" si="59"/>
        <v>0.37687826504501953</v>
      </c>
      <c r="CW49" s="1">
        <f t="shared" ca="1" si="60"/>
        <v>1030</v>
      </c>
      <c r="CX49" s="1">
        <f t="shared" ca="1" si="61"/>
        <v>7.5033920357690808E-4</v>
      </c>
      <c r="DH49" s="1">
        <f t="shared" ca="1" si="62"/>
        <v>134</v>
      </c>
      <c r="DI49" s="1">
        <f t="shared" ca="1" si="63"/>
        <v>0.45361962775662429</v>
      </c>
      <c r="DJ49" s="1">
        <f t="shared" ca="1" si="64"/>
        <v>29</v>
      </c>
      <c r="DL49" s="1">
        <f t="shared" ca="1" si="65"/>
        <v>0.10933522171719638</v>
      </c>
      <c r="DM49" s="1">
        <f t="shared" ca="1" si="66"/>
        <v>230</v>
      </c>
      <c r="DN49" s="1">
        <f t="shared" ca="1" si="67"/>
        <v>6</v>
      </c>
    </row>
    <row r="50" spans="2:118" x14ac:dyDescent="0.25">
      <c r="B50">
        <f t="shared" ca="1" si="0"/>
        <v>609</v>
      </c>
      <c r="C50">
        <f t="shared" ca="1" si="1"/>
        <v>3</v>
      </c>
      <c r="D50">
        <f t="shared" ca="1" si="2"/>
        <v>0.20622813276301272</v>
      </c>
      <c r="F50" s="1">
        <f t="shared" ca="1" si="3"/>
        <v>42</v>
      </c>
      <c r="G50" s="1">
        <f t="shared" ca="1" si="4"/>
        <v>20</v>
      </c>
      <c r="H50" s="1">
        <f t="shared" ca="1" si="5"/>
        <v>1</v>
      </c>
      <c r="I50" s="1"/>
      <c r="J50" s="1">
        <f t="shared" ca="1" si="6"/>
        <v>8</v>
      </c>
      <c r="K50" s="1">
        <f t="shared" ca="1" si="7"/>
        <v>1.5249849665367954</v>
      </c>
      <c r="L50" s="1">
        <f t="shared" ca="1" si="8"/>
        <v>10</v>
      </c>
      <c r="M50" s="1"/>
      <c r="N50" s="1">
        <f t="shared" ca="1" si="9"/>
        <v>137</v>
      </c>
      <c r="O50" s="1">
        <f t="shared" ca="1" si="10"/>
        <v>9</v>
      </c>
      <c r="P50" s="1"/>
      <c r="Q50" s="1">
        <f t="shared" ca="1" si="11"/>
        <v>4.0024295869930731</v>
      </c>
      <c r="R50" s="1">
        <f t="shared" ca="1" si="12"/>
        <v>218</v>
      </c>
      <c r="S50" s="1"/>
      <c r="T50" s="1">
        <f t="shared" ca="1" si="13"/>
        <v>6.6738771101980537E-2</v>
      </c>
      <c r="U50" s="1">
        <f t="shared" ca="1" si="14"/>
        <v>347</v>
      </c>
      <c r="V50" s="1">
        <f t="shared" ca="1" si="15"/>
        <v>35</v>
      </c>
      <c r="W50" s="1"/>
      <c r="X50" s="1">
        <f t="shared" ca="1" si="16"/>
        <v>9.102187940547422</v>
      </c>
      <c r="Y50" s="1">
        <f t="shared" ca="1" si="17"/>
        <v>0.8662182425970697</v>
      </c>
      <c r="Z50" s="1">
        <f t="shared" ca="1" si="18"/>
        <v>109</v>
      </c>
      <c r="AB50" s="1">
        <f t="shared" ca="1" si="19"/>
        <v>0.3217500833146526</v>
      </c>
      <c r="AC50" s="1">
        <f t="shared" ca="1" si="20"/>
        <v>743</v>
      </c>
      <c r="AD50" s="1">
        <f t="shared" ca="1" si="21"/>
        <v>4.4164072642963945E-3</v>
      </c>
      <c r="AE50" s="1"/>
      <c r="AF50" s="1">
        <f t="shared" ca="1" si="22"/>
        <v>0.88274764334284239</v>
      </c>
      <c r="AG50" s="1">
        <f t="shared" ca="1" si="23"/>
        <v>298</v>
      </c>
      <c r="AH50" s="1">
        <f t="shared" ca="1" si="24"/>
        <v>8.6374587926833241E-3</v>
      </c>
      <c r="AJ50" s="1">
        <f t="shared" ca="1" si="25"/>
        <v>0.59522300021624874</v>
      </c>
      <c r="AK50" s="1">
        <f t="shared" ca="1" si="26"/>
        <v>8.9293517360182588E-3</v>
      </c>
      <c r="AL50" s="1"/>
      <c r="AM50" s="1">
        <f t="shared" ca="1" si="27"/>
        <v>3.3039070402521485E-2</v>
      </c>
      <c r="AN50" s="1">
        <f t="shared" ca="1" si="28"/>
        <v>80</v>
      </c>
      <c r="AO50" s="1">
        <f t="shared" ca="1" si="29"/>
        <v>20</v>
      </c>
      <c r="AQ50" s="1">
        <f t="shared" ca="1" si="30"/>
        <v>32</v>
      </c>
      <c r="AR50" s="1">
        <f t="shared" ca="1" si="31"/>
        <v>10</v>
      </c>
      <c r="AS50" s="1">
        <f t="shared" ca="1" si="32"/>
        <v>82</v>
      </c>
      <c r="AU50" s="1">
        <f t="shared" ca="1" si="33"/>
        <v>212</v>
      </c>
      <c r="AV50" s="1">
        <f t="shared" ca="1" si="34"/>
        <v>2</v>
      </c>
      <c r="AW50" s="1">
        <f t="shared" ca="1" si="35"/>
        <v>0.17065930109677327</v>
      </c>
      <c r="AY50" s="1">
        <f t="shared" ca="1" si="36"/>
        <v>1.977749090843393</v>
      </c>
      <c r="AZ50" s="1">
        <f t="shared" ca="1" si="37"/>
        <v>460</v>
      </c>
      <c r="BA50" s="1">
        <f t="shared" ca="1" si="38"/>
        <v>8.5927668590592334E-3</v>
      </c>
      <c r="BG50" s="1">
        <f t="shared" ca="1" si="39"/>
        <v>1.2976648845677624E-2</v>
      </c>
      <c r="BH50" s="1">
        <f t="shared" ca="1" si="40"/>
        <v>0.15325662640611337</v>
      </c>
      <c r="BI50" s="1">
        <f t="shared" ca="1" si="41"/>
        <v>235</v>
      </c>
      <c r="BV50" s="1">
        <f t="shared" ca="1" si="42"/>
        <v>0.52941948467722244</v>
      </c>
      <c r="BW50" s="1">
        <f t="shared" ca="1" si="43"/>
        <v>781</v>
      </c>
      <c r="BX50" s="1">
        <f t="shared" ca="1" si="44"/>
        <v>3.7151466682881309E-3</v>
      </c>
      <c r="BY50" s="1">
        <f t="shared" ca="1" si="45"/>
        <v>7.7935410665485705E-2</v>
      </c>
      <c r="BZ50" s="1">
        <f t="shared" ca="1" si="46"/>
        <v>9.2502893686394749E-3</v>
      </c>
      <c r="CB50" s="1">
        <f t="shared" ca="1" si="47"/>
        <v>247</v>
      </c>
      <c r="CC50" s="1">
        <f t="shared" ca="1" si="48"/>
        <v>5</v>
      </c>
      <c r="CD50" s="1">
        <f t="shared" ca="1" si="49"/>
        <v>0.2711113713504178</v>
      </c>
      <c r="CE50" s="1">
        <f t="shared" ca="1" si="71"/>
        <v>0.78670170513805338</v>
      </c>
      <c r="CF50" s="1">
        <f t="shared" ca="1" si="71"/>
        <v>0.61065222292860888</v>
      </c>
      <c r="CH50" s="3">
        <f t="shared" ca="1" si="51"/>
        <v>0.53802224737375526</v>
      </c>
      <c r="CI50" s="3">
        <f t="shared" ca="1" si="52"/>
        <v>6.5674537404397548E-2</v>
      </c>
      <c r="CJ50" s="3">
        <f t="shared" ca="1" si="53"/>
        <v>476</v>
      </c>
      <c r="CK50" s="3">
        <f t="shared" ca="1" si="54"/>
        <v>7.4068074322668448E-4</v>
      </c>
      <c r="CL50" s="3">
        <f t="shared" ca="1" si="55"/>
        <v>1</v>
      </c>
      <c r="CM50" s="3"/>
      <c r="CN50" s="1">
        <f t="shared" ca="1" si="56"/>
        <v>5.9528246849196407</v>
      </c>
      <c r="CO50" s="1">
        <f t="shared" ca="1" si="57"/>
        <v>1.9896228707929457E-2</v>
      </c>
      <c r="CP50" s="1">
        <f t="shared" ca="1" si="58"/>
        <v>5</v>
      </c>
      <c r="CV50" s="1">
        <f t="shared" ca="1" si="59"/>
        <v>9.9041082469041193</v>
      </c>
      <c r="CW50" s="1">
        <f t="shared" ca="1" si="60"/>
        <v>1880</v>
      </c>
      <c r="CX50" s="1">
        <f t="shared" ca="1" si="61"/>
        <v>8.7987809203663239E-3</v>
      </c>
      <c r="DH50" s="1">
        <f t="shared" ca="1" si="62"/>
        <v>114</v>
      </c>
      <c r="DI50" s="1">
        <f t="shared" ca="1" si="63"/>
        <v>6.2679035839292574E-2</v>
      </c>
      <c r="DJ50" s="1">
        <f t="shared" ca="1" si="64"/>
        <v>1</v>
      </c>
      <c r="DL50" s="1">
        <f t="shared" ca="1" si="65"/>
        <v>0.19497524297094765</v>
      </c>
      <c r="DM50" s="1">
        <f t="shared" ca="1" si="66"/>
        <v>280</v>
      </c>
      <c r="DN50" s="1">
        <f t="shared" ca="1" si="67"/>
        <v>5</v>
      </c>
    </row>
    <row r="51" spans="2:118" x14ac:dyDescent="0.25">
      <c r="B51">
        <f t="shared" ca="1" si="0"/>
        <v>645</v>
      </c>
      <c r="C51">
        <f t="shared" ca="1" si="1"/>
        <v>51</v>
      </c>
      <c r="D51">
        <f t="shared" ca="1" si="2"/>
        <v>0.11477134000058564</v>
      </c>
      <c r="F51" s="1">
        <f t="shared" ca="1" si="3"/>
        <v>29</v>
      </c>
      <c r="G51" s="1">
        <f t="shared" ca="1" si="4"/>
        <v>26</v>
      </c>
      <c r="H51" s="1">
        <f t="shared" ca="1" si="5"/>
        <v>1</v>
      </c>
      <c r="I51" s="1"/>
      <c r="J51" s="1">
        <f t="shared" ca="1" si="6"/>
        <v>25</v>
      </c>
      <c r="K51" s="1">
        <f t="shared" ca="1" si="7"/>
        <v>2.1543731614219874</v>
      </c>
      <c r="L51" s="1">
        <f t="shared" ca="1" si="8"/>
        <v>25</v>
      </c>
      <c r="M51" s="1"/>
      <c r="N51" s="1">
        <f t="shared" ca="1" si="9"/>
        <v>576</v>
      </c>
      <c r="O51" s="1">
        <f t="shared" ca="1" si="10"/>
        <v>13</v>
      </c>
      <c r="P51" s="1"/>
      <c r="Q51" s="1">
        <f t="shared" ca="1" si="11"/>
        <v>1.4580137393796249</v>
      </c>
      <c r="R51" s="1">
        <f t="shared" ca="1" si="12"/>
        <v>532</v>
      </c>
      <c r="S51" s="1"/>
      <c r="T51" s="1">
        <f t="shared" ca="1" si="13"/>
        <v>5.9545288066342981E-2</v>
      </c>
      <c r="U51" s="1">
        <f t="shared" ca="1" si="14"/>
        <v>216</v>
      </c>
      <c r="V51" s="1">
        <f t="shared" ca="1" si="15"/>
        <v>50</v>
      </c>
      <c r="W51" s="1"/>
      <c r="X51" s="1">
        <f t="shared" ca="1" si="16"/>
        <v>6.235640515361025</v>
      </c>
      <c r="Y51" s="1">
        <f t="shared" ca="1" si="17"/>
        <v>7.4011995611879808E-2</v>
      </c>
      <c r="Z51" s="1">
        <f t="shared" ca="1" si="18"/>
        <v>193</v>
      </c>
      <c r="AB51" s="1">
        <f t="shared" ca="1" si="19"/>
        <v>0.47256678723582912</v>
      </c>
      <c r="AC51" s="1">
        <f t="shared" ca="1" si="20"/>
        <v>579</v>
      </c>
      <c r="AD51" s="1">
        <f t="shared" ca="1" si="21"/>
        <v>3.4942246329865696E-3</v>
      </c>
      <c r="AE51" s="1"/>
      <c r="AF51" s="1">
        <f t="shared" ca="1" si="22"/>
        <v>0.58012372278614299</v>
      </c>
      <c r="AG51" s="1">
        <f t="shared" ca="1" si="23"/>
        <v>388</v>
      </c>
      <c r="AH51" s="1">
        <f t="shared" ca="1" si="24"/>
        <v>3.862863157201604E-3</v>
      </c>
      <c r="AJ51" s="1">
        <f t="shared" ca="1" si="25"/>
        <v>0.69720789730215016</v>
      </c>
      <c r="AK51" s="1">
        <f t="shared" ca="1" si="26"/>
        <v>4.8925832634854078E-3</v>
      </c>
      <c r="AL51" s="1"/>
      <c r="AM51" s="1">
        <f t="shared" ca="1" si="27"/>
        <v>0.18066823657199269</v>
      </c>
      <c r="AN51" s="1">
        <f t="shared" ca="1" si="28"/>
        <v>70</v>
      </c>
      <c r="AO51" s="1">
        <f t="shared" ca="1" si="29"/>
        <v>12</v>
      </c>
      <c r="AQ51" s="1">
        <f t="shared" ca="1" si="30"/>
        <v>159</v>
      </c>
      <c r="AR51" s="1">
        <f t="shared" ca="1" si="31"/>
        <v>6</v>
      </c>
      <c r="AS51" s="1">
        <f t="shared" ca="1" si="32"/>
        <v>82</v>
      </c>
      <c r="AU51" s="1">
        <f t="shared" ca="1" si="33"/>
        <v>377</v>
      </c>
      <c r="AV51" s="1">
        <f t="shared" ca="1" si="34"/>
        <v>4</v>
      </c>
      <c r="AW51" s="1">
        <f t="shared" ca="1" si="35"/>
        <v>0.19501314667005398</v>
      </c>
      <c r="AY51" s="1">
        <f t="shared" ca="1" si="36"/>
        <v>1.6322979709933683</v>
      </c>
      <c r="AZ51" s="1">
        <f t="shared" ca="1" si="37"/>
        <v>352</v>
      </c>
      <c r="BA51" s="1">
        <f t="shared" ca="1" si="38"/>
        <v>6.3580723913342968E-3</v>
      </c>
      <c r="BG51" s="1">
        <f t="shared" ca="1" si="39"/>
        <v>0.79824202213075068</v>
      </c>
      <c r="BH51" s="1">
        <f t="shared" ca="1" si="40"/>
        <v>0.3011926945948844</v>
      </c>
      <c r="BI51" s="1">
        <f t="shared" ca="1" si="41"/>
        <v>796</v>
      </c>
      <c r="BV51" s="1">
        <f t="shared" ca="1" si="42"/>
        <v>0.85699903017938184</v>
      </c>
      <c r="BW51" s="1">
        <f t="shared" ca="1" si="43"/>
        <v>621</v>
      </c>
      <c r="BX51" s="1">
        <f t="shared" ca="1" si="44"/>
        <v>3.4991045392501698E-4</v>
      </c>
      <c r="BY51" s="1">
        <f t="shared" ca="1" si="45"/>
        <v>4.2930112473994121E-2</v>
      </c>
      <c r="BZ51" s="1">
        <f t="shared" ca="1" si="46"/>
        <v>0.54396708850013176</v>
      </c>
      <c r="CB51" s="1">
        <f t="shared" ca="1" si="47"/>
        <v>361</v>
      </c>
      <c r="CC51" s="1">
        <f t="shared" ca="1" si="48"/>
        <v>9</v>
      </c>
      <c r="CD51" s="1">
        <f t="shared" ca="1" si="49"/>
        <v>0.22405181902589325</v>
      </c>
      <c r="CE51" s="1">
        <f t="shared" ca="1" si="71"/>
        <v>0.64432540914945335</v>
      </c>
      <c r="CF51" s="1">
        <f t="shared" ca="1" si="71"/>
        <v>0.56410198020031932</v>
      </c>
      <c r="CH51" s="3">
        <f t="shared" ca="1" si="51"/>
        <v>0.71456129172363025</v>
      </c>
      <c r="CI51" s="3">
        <f t="shared" ca="1" si="52"/>
        <v>0.89782605762537482</v>
      </c>
      <c r="CJ51" s="3">
        <f t="shared" ca="1" si="53"/>
        <v>1065</v>
      </c>
      <c r="CK51" s="3">
        <f t="shared" ca="1" si="54"/>
        <v>9.2450641701056786E-3</v>
      </c>
      <c r="CL51" s="3">
        <f t="shared" ca="1" si="55"/>
        <v>0</v>
      </c>
      <c r="CM51" s="3"/>
      <c r="CN51" s="1">
        <f t="shared" ca="1" si="56"/>
        <v>7.4675822972018731</v>
      </c>
      <c r="CO51" s="1">
        <f t="shared" ca="1" si="57"/>
        <v>9.9677178440606223E-2</v>
      </c>
      <c r="CP51" s="1">
        <f t="shared" ca="1" si="58"/>
        <v>2</v>
      </c>
      <c r="CV51" s="1">
        <f t="shared" ca="1" si="59"/>
        <v>2.7218868676418237</v>
      </c>
      <c r="CW51" s="1">
        <f t="shared" ca="1" si="60"/>
        <v>298</v>
      </c>
      <c r="CX51" s="1">
        <f t="shared" ca="1" si="61"/>
        <v>2.4691975843587773E-3</v>
      </c>
      <c r="DH51" s="1">
        <f t="shared" ca="1" si="62"/>
        <v>253</v>
      </c>
      <c r="DI51" s="1">
        <f t="shared" ca="1" si="63"/>
        <v>0.80278373550495363</v>
      </c>
      <c r="DJ51" s="1">
        <f t="shared" ca="1" si="64"/>
        <v>25</v>
      </c>
      <c r="DL51" s="1">
        <f t="shared" ca="1" si="65"/>
        <v>0.13303660701762274</v>
      </c>
      <c r="DM51" s="1">
        <f t="shared" ca="1" si="66"/>
        <v>215</v>
      </c>
      <c r="DN51" s="1">
        <f t="shared" ca="1" si="67"/>
        <v>4</v>
      </c>
    </row>
    <row r="52" spans="2:118" x14ac:dyDescent="0.25">
      <c r="B52">
        <f t="shared" ca="1" si="0"/>
        <v>310</v>
      </c>
      <c r="C52">
        <f t="shared" ca="1" si="1"/>
        <v>44</v>
      </c>
      <c r="D52">
        <f t="shared" ca="1" si="2"/>
        <v>6.0573023188665247E-2</v>
      </c>
      <c r="F52" s="1">
        <f t="shared" ca="1" si="3"/>
        <v>39</v>
      </c>
      <c r="G52" s="1">
        <f t="shared" ca="1" si="4"/>
        <v>18</v>
      </c>
      <c r="H52" s="1">
        <f t="shared" ca="1" si="5"/>
        <v>14</v>
      </c>
      <c r="I52" s="1"/>
      <c r="J52" s="1">
        <f t="shared" ca="1" si="6"/>
        <v>9</v>
      </c>
      <c r="K52" s="1">
        <f t="shared" ca="1" si="7"/>
        <v>1.8898313195328644</v>
      </c>
      <c r="L52" s="1">
        <f t="shared" ca="1" si="8"/>
        <v>10</v>
      </c>
      <c r="M52" s="1"/>
      <c r="N52" s="1">
        <f t="shared" ca="1" si="9"/>
        <v>638</v>
      </c>
      <c r="O52" s="1">
        <f t="shared" ca="1" si="10"/>
        <v>27</v>
      </c>
      <c r="P52" s="1"/>
      <c r="Q52" s="1">
        <f t="shared" ca="1" si="11"/>
        <v>3.6583651168391285</v>
      </c>
      <c r="R52" s="1">
        <f t="shared" ca="1" si="12"/>
        <v>761</v>
      </c>
      <c r="S52" s="1"/>
      <c r="T52" s="1">
        <f t="shared" ca="1" si="13"/>
        <v>0.11855921899391886</v>
      </c>
      <c r="U52" s="1">
        <f t="shared" ca="1" si="14"/>
        <v>360</v>
      </c>
      <c r="V52" s="1">
        <f t="shared" ca="1" si="15"/>
        <v>4</v>
      </c>
      <c r="W52" s="1"/>
      <c r="X52" s="1">
        <f t="shared" ca="1" si="16"/>
        <v>0.61958955981112029</v>
      </c>
      <c r="Y52" s="1">
        <f t="shared" ca="1" si="17"/>
        <v>0.32338367630578724</v>
      </c>
      <c r="Z52" s="1">
        <f t="shared" ca="1" si="18"/>
        <v>804</v>
      </c>
      <c r="AB52" s="1">
        <f t="shared" ca="1" si="19"/>
        <v>0.59728046661488787</v>
      </c>
      <c r="AC52" s="1">
        <f t="shared" ca="1" si="20"/>
        <v>180</v>
      </c>
      <c r="AD52" s="1">
        <f t="shared" ca="1" si="21"/>
        <v>9.684084878021481E-3</v>
      </c>
      <c r="AE52" s="1"/>
      <c r="AF52" s="1">
        <f t="shared" ca="1" si="22"/>
        <v>0.80383706338889704</v>
      </c>
      <c r="AG52" s="1">
        <f t="shared" ca="1" si="23"/>
        <v>663</v>
      </c>
      <c r="AH52" s="1">
        <f t="shared" ca="1" si="24"/>
        <v>2.0452078415095463E-3</v>
      </c>
      <c r="AJ52" s="1">
        <f t="shared" ca="1" si="25"/>
        <v>0.18445932523594721</v>
      </c>
      <c r="AK52" s="1">
        <f t="shared" ca="1" si="26"/>
        <v>6.751023797395255E-3</v>
      </c>
      <c r="AL52" s="1"/>
      <c r="AM52" s="1">
        <f t="shared" ca="1" si="27"/>
        <v>2.1584789668776919E-2</v>
      </c>
      <c r="AN52" s="1">
        <f t="shared" ca="1" si="28"/>
        <v>24</v>
      </c>
      <c r="AO52" s="1">
        <f t="shared" ca="1" si="29"/>
        <v>2</v>
      </c>
      <c r="AQ52" s="1">
        <f t="shared" ca="1" si="30"/>
        <v>125</v>
      </c>
      <c r="AR52" s="1">
        <f t="shared" ca="1" si="31"/>
        <v>5</v>
      </c>
      <c r="AS52" s="1">
        <f t="shared" ca="1" si="32"/>
        <v>68</v>
      </c>
      <c r="AU52" s="1">
        <f t="shared" ca="1" si="33"/>
        <v>378</v>
      </c>
      <c r="AV52" s="1">
        <f t="shared" ca="1" si="34"/>
        <v>6</v>
      </c>
      <c r="AW52" s="1">
        <f t="shared" ca="1" si="35"/>
        <v>7.058861490990273E-2</v>
      </c>
      <c r="AY52" s="1">
        <f t="shared" ca="1" si="36"/>
        <v>1.3494726972714319</v>
      </c>
      <c r="AZ52" s="1">
        <f t="shared" ca="1" si="37"/>
        <v>69</v>
      </c>
      <c r="BA52" s="1">
        <f t="shared" ca="1" si="38"/>
        <v>6.4535236230497744E-4</v>
      </c>
      <c r="BG52" s="1">
        <f t="shared" ca="1" si="39"/>
        <v>1.7622053160763585E-2</v>
      </c>
      <c r="BH52" s="1">
        <f t="shared" ca="1" si="40"/>
        <v>0.4210456339387646</v>
      </c>
      <c r="BI52" s="1">
        <f t="shared" ca="1" si="41"/>
        <v>191</v>
      </c>
      <c r="BV52" s="1">
        <f t="shared" ca="1" si="42"/>
        <v>0.88013824758179782</v>
      </c>
      <c r="BW52" s="1">
        <f t="shared" ca="1" si="43"/>
        <v>198</v>
      </c>
      <c r="BX52" s="1">
        <f t="shared" ca="1" si="44"/>
        <v>9.342049261685614E-3</v>
      </c>
      <c r="BY52" s="1">
        <f t="shared" ca="1" si="45"/>
        <v>7.5178706377107371E-2</v>
      </c>
      <c r="BZ52" s="1">
        <f t="shared" ca="1" si="46"/>
        <v>0.23348162479624279</v>
      </c>
      <c r="CB52" s="1">
        <f t="shared" ca="1" si="47"/>
        <v>221</v>
      </c>
      <c r="CC52" s="1">
        <f t="shared" ca="1" si="48"/>
        <v>10</v>
      </c>
      <c r="CD52" s="1">
        <f t="shared" ca="1" si="49"/>
        <v>0.222020224045893</v>
      </c>
      <c r="CE52" s="1">
        <f t="shared" ca="1" si="71"/>
        <v>0.97827890921065586</v>
      </c>
      <c r="CF52" s="1">
        <f t="shared" ca="1" si="71"/>
        <v>0.70048814347178978</v>
      </c>
      <c r="CH52" s="3">
        <f t="shared" ca="1" si="51"/>
        <v>0.73795535997805417</v>
      </c>
      <c r="CI52" s="3">
        <f t="shared" ca="1" si="52"/>
        <v>0.98220666599009721</v>
      </c>
      <c r="CJ52" s="3">
        <f t="shared" ca="1" si="53"/>
        <v>845</v>
      </c>
      <c r="CK52" s="3">
        <f t="shared" ca="1" si="54"/>
        <v>7.9156268484374126E-3</v>
      </c>
      <c r="CL52" s="3">
        <f t="shared" ca="1" si="55"/>
        <v>1</v>
      </c>
      <c r="CM52" s="3"/>
      <c r="CN52" s="1">
        <f t="shared" ca="1" si="56"/>
        <v>6.4621544045172516</v>
      </c>
      <c r="CO52" s="1">
        <f t="shared" ca="1" si="57"/>
        <v>0.48836570514750205</v>
      </c>
      <c r="CP52" s="1">
        <f t="shared" ca="1" si="58"/>
        <v>1</v>
      </c>
      <c r="CV52" s="1">
        <f t="shared" ca="1" si="59"/>
        <v>3.5609699426719308</v>
      </c>
      <c r="CW52" s="1">
        <f t="shared" ca="1" si="60"/>
        <v>404</v>
      </c>
      <c r="CX52" s="1">
        <f t="shared" ca="1" si="61"/>
        <v>3.5610530385044538E-3</v>
      </c>
      <c r="DH52" s="1">
        <f t="shared" ca="1" si="62"/>
        <v>318</v>
      </c>
      <c r="DI52" s="1">
        <f t="shared" ca="1" si="63"/>
        <v>0.14515650305580294</v>
      </c>
      <c r="DJ52" s="1">
        <f t="shared" ca="1" si="64"/>
        <v>12</v>
      </c>
      <c r="DL52" s="1">
        <f t="shared" ca="1" si="65"/>
        <v>0.11897531453945498</v>
      </c>
      <c r="DM52" s="1">
        <f t="shared" ca="1" si="66"/>
        <v>146</v>
      </c>
      <c r="DN52" s="1">
        <f t="shared" ca="1" si="67"/>
        <v>8</v>
      </c>
    </row>
    <row r="53" spans="2:118" x14ac:dyDescent="0.25">
      <c r="B53">
        <f t="shared" ca="1" si="0"/>
        <v>42</v>
      </c>
      <c r="C53">
        <f t="shared" ca="1" si="1"/>
        <v>27</v>
      </c>
      <c r="D53">
        <f t="shared" ca="1" si="2"/>
        <v>0.16104025127690835</v>
      </c>
      <c r="F53" s="1">
        <f t="shared" ca="1" si="3"/>
        <v>37</v>
      </c>
      <c r="G53" s="1">
        <f t="shared" ca="1" si="4"/>
        <v>30</v>
      </c>
      <c r="H53" s="1">
        <f t="shared" ca="1" si="5"/>
        <v>12</v>
      </c>
      <c r="I53" s="1"/>
      <c r="J53" s="1">
        <f t="shared" ca="1" si="6"/>
        <v>32</v>
      </c>
      <c r="K53" s="1">
        <f t="shared" ca="1" si="7"/>
        <v>2.4570739015858551</v>
      </c>
      <c r="L53" s="1">
        <f t="shared" ca="1" si="8"/>
        <v>34</v>
      </c>
      <c r="M53" s="1"/>
      <c r="N53" s="1">
        <f t="shared" ca="1" si="9"/>
        <v>339</v>
      </c>
      <c r="O53" s="1">
        <f t="shared" ca="1" si="10"/>
        <v>50</v>
      </c>
      <c r="P53" s="1"/>
      <c r="Q53" s="1">
        <f t="shared" ca="1" si="11"/>
        <v>3.9727858325260392</v>
      </c>
      <c r="R53" s="1">
        <f t="shared" ca="1" si="12"/>
        <v>266</v>
      </c>
      <c r="S53" s="1"/>
      <c r="T53" s="1">
        <f t="shared" ca="1" si="13"/>
        <v>0.1766290292229738</v>
      </c>
      <c r="U53" s="1">
        <f t="shared" ca="1" si="14"/>
        <v>140</v>
      </c>
      <c r="V53" s="1">
        <f t="shared" ca="1" si="15"/>
        <v>37</v>
      </c>
      <c r="W53" s="1"/>
      <c r="X53" s="1">
        <f t="shared" ca="1" si="16"/>
        <v>0.58191869806215368</v>
      </c>
      <c r="Y53" s="1">
        <f t="shared" ca="1" si="17"/>
        <v>0.13471926342166479</v>
      </c>
      <c r="Z53" s="1">
        <f t="shared" ca="1" si="18"/>
        <v>343</v>
      </c>
      <c r="AB53" s="1">
        <f t="shared" ca="1" si="19"/>
        <v>0.49032840735944166</v>
      </c>
      <c r="AC53" s="1">
        <f t="shared" ca="1" si="20"/>
        <v>729</v>
      </c>
      <c r="AD53" s="1">
        <f t="shared" ca="1" si="21"/>
        <v>2.0072215087543702E-3</v>
      </c>
      <c r="AE53" s="1"/>
      <c r="AF53" s="1">
        <f t="shared" ca="1" si="22"/>
        <v>0.4066084831970106</v>
      </c>
      <c r="AG53" s="1">
        <f t="shared" ca="1" si="23"/>
        <v>175</v>
      </c>
      <c r="AH53" s="1">
        <f t="shared" ca="1" si="24"/>
        <v>1.1448872403370335E-3</v>
      </c>
      <c r="AJ53" s="1">
        <f t="shared" ca="1" si="25"/>
        <v>0.15728893613547301</v>
      </c>
      <c r="AK53" s="1">
        <f t="shared" ca="1" si="26"/>
        <v>7.9808773985522927E-3</v>
      </c>
      <c r="AL53" s="1"/>
      <c r="AM53" s="1">
        <f t="shared" ca="1" si="27"/>
        <v>8.7729104118877167E-3</v>
      </c>
      <c r="AN53" s="1">
        <f t="shared" ca="1" si="28"/>
        <v>15</v>
      </c>
      <c r="AO53" s="1">
        <f t="shared" ca="1" si="29"/>
        <v>19</v>
      </c>
      <c r="AQ53" s="1">
        <f t="shared" ca="1" si="30"/>
        <v>115</v>
      </c>
      <c r="AR53" s="1">
        <f t="shared" ca="1" si="31"/>
        <v>5</v>
      </c>
      <c r="AS53" s="1">
        <f t="shared" ca="1" si="32"/>
        <v>40</v>
      </c>
      <c r="AU53" s="1">
        <f t="shared" ca="1" si="33"/>
        <v>215</v>
      </c>
      <c r="AV53" s="1">
        <f t="shared" ca="1" si="34"/>
        <v>2</v>
      </c>
      <c r="AW53" s="1">
        <f t="shared" ca="1" si="35"/>
        <v>6.7218157421306379E-2</v>
      </c>
      <c r="AY53" s="1">
        <f t="shared" ca="1" si="36"/>
        <v>1.7096979605426175</v>
      </c>
      <c r="AZ53" s="1">
        <f t="shared" ca="1" si="37"/>
        <v>350</v>
      </c>
      <c r="BA53" s="1">
        <f t="shared" ca="1" si="38"/>
        <v>3.1282233487832933E-3</v>
      </c>
      <c r="BG53" s="1">
        <f t="shared" ca="1" si="39"/>
        <v>5.7710114076992163E-2</v>
      </c>
      <c r="BH53" s="1">
        <f t="shared" ca="1" si="40"/>
        <v>0.29383741029493982</v>
      </c>
      <c r="BI53" s="1">
        <f t="shared" ca="1" si="41"/>
        <v>328</v>
      </c>
      <c r="BV53" s="1">
        <f t="shared" ca="1" si="42"/>
        <v>0.6977062465416265</v>
      </c>
      <c r="BW53" s="1">
        <f t="shared" ca="1" si="43"/>
        <v>713</v>
      </c>
      <c r="BX53" s="1">
        <f t="shared" ca="1" si="44"/>
        <v>7.0720995518479155E-3</v>
      </c>
      <c r="BY53" s="1">
        <f t="shared" ca="1" si="45"/>
        <v>4.3900766583736183E-3</v>
      </c>
      <c r="BZ53" s="1">
        <f t="shared" ca="1" si="46"/>
        <v>0.68726536142576278</v>
      </c>
      <c r="CB53" s="1">
        <f t="shared" ca="1" si="47"/>
        <v>369</v>
      </c>
      <c r="CC53" s="1">
        <f t="shared" ca="1" si="48"/>
        <v>9</v>
      </c>
      <c r="CD53" s="1">
        <f t="shared" ca="1" si="49"/>
        <v>0.21269294074989362</v>
      </c>
      <c r="CE53" s="1">
        <f t="shared" ca="1" si="71"/>
        <v>0.82423104201247444</v>
      </c>
      <c r="CF53" s="1">
        <f t="shared" ca="1" si="71"/>
        <v>0.65953866420301233</v>
      </c>
      <c r="CH53" s="3">
        <f t="shared" ca="1" si="51"/>
        <v>0.52649655890027858</v>
      </c>
      <c r="CI53" s="3">
        <f t="shared" ca="1" si="52"/>
        <v>0.33431960593364607</v>
      </c>
      <c r="CJ53" s="3">
        <f t="shared" ca="1" si="53"/>
        <v>807</v>
      </c>
      <c r="CK53" s="3">
        <f t="shared" ca="1" si="54"/>
        <v>9.1957347426332783E-3</v>
      </c>
      <c r="CL53" s="3">
        <f t="shared" ca="1" si="55"/>
        <v>1</v>
      </c>
      <c r="CM53" s="3"/>
      <c r="CN53" s="1">
        <f t="shared" ca="1" si="56"/>
        <v>13.874471481939114</v>
      </c>
      <c r="CO53" s="1">
        <f t="shared" ca="1" si="57"/>
        <v>9.1976229987345379E-2</v>
      </c>
      <c r="CP53" s="1">
        <f t="shared" ca="1" si="58"/>
        <v>2</v>
      </c>
      <c r="CV53" s="1">
        <f t="shared" ca="1" si="59"/>
        <v>3.4958786307103269</v>
      </c>
      <c r="CW53" s="1">
        <f t="shared" ca="1" si="60"/>
        <v>1671</v>
      </c>
      <c r="CX53" s="1">
        <f t="shared" ca="1" si="61"/>
        <v>5.6020130000966001E-3</v>
      </c>
      <c r="DH53" s="1">
        <f t="shared" ca="1" si="62"/>
        <v>344</v>
      </c>
      <c r="DI53" s="1">
        <f t="shared" ca="1" si="63"/>
        <v>0.764309617144589</v>
      </c>
      <c r="DJ53" s="1">
        <f t="shared" ca="1" si="64"/>
        <v>4</v>
      </c>
      <c r="DL53" s="1">
        <f t="shared" ca="1" si="65"/>
        <v>0.17699616261393081</v>
      </c>
      <c r="DM53" s="1">
        <f t="shared" ca="1" si="66"/>
        <v>106</v>
      </c>
      <c r="DN53" s="1">
        <f t="shared" ca="1" si="67"/>
        <v>2</v>
      </c>
    </row>
    <row r="54" spans="2:118" x14ac:dyDescent="0.25">
      <c r="B54">
        <f t="shared" ca="1" si="0"/>
        <v>922</v>
      </c>
      <c r="C54">
        <f t="shared" ca="1" si="1"/>
        <v>4</v>
      </c>
      <c r="D54">
        <f t="shared" ca="1" si="2"/>
        <v>0.27339347832398736</v>
      </c>
      <c r="F54" s="1">
        <f t="shared" ca="1" si="3"/>
        <v>41</v>
      </c>
      <c r="G54" s="1">
        <f t="shared" ca="1" si="4"/>
        <v>26</v>
      </c>
      <c r="H54" s="1">
        <f t="shared" ca="1" si="5"/>
        <v>5</v>
      </c>
      <c r="I54" s="1"/>
      <c r="J54" s="1">
        <f t="shared" ca="1" si="6"/>
        <v>7</v>
      </c>
      <c r="K54" s="1">
        <f t="shared" ca="1" si="7"/>
        <v>1.6851205795070778</v>
      </c>
      <c r="L54" s="1">
        <f t="shared" ca="1" si="8"/>
        <v>34</v>
      </c>
      <c r="M54" s="1"/>
      <c r="N54" s="1">
        <f t="shared" ca="1" si="9"/>
        <v>427</v>
      </c>
      <c r="O54" s="1">
        <f t="shared" ca="1" si="10"/>
        <v>37</v>
      </c>
      <c r="P54" s="1"/>
      <c r="Q54" s="1">
        <f t="shared" ca="1" si="11"/>
        <v>1.6121144942222434</v>
      </c>
      <c r="R54" s="1">
        <f t="shared" ca="1" si="12"/>
        <v>749</v>
      </c>
      <c r="S54" s="1"/>
      <c r="T54" s="1">
        <f t="shared" ca="1" si="13"/>
        <v>0.11910963157106445</v>
      </c>
      <c r="U54" s="1">
        <f t="shared" ca="1" si="14"/>
        <v>177</v>
      </c>
      <c r="V54" s="1">
        <f t="shared" ca="1" si="15"/>
        <v>39</v>
      </c>
      <c r="W54" s="1"/>
      <c r="X54" s="1">
        <f t="shared" ca="1" si="16"/>
        <v>1.8783667893555716</v>
      </c>
      <c r="Y54" s="1">
        <f t="shared" ca="1" si="17"/>
        <v>0.25627141153116595</v>
      </c>
      <c r="Z54" s="1">
        <f t="shared" ca="1" si="18"/>
        <v>987</v>
      </c>
      <c r="AB54" s="1">
        <f t="shared" ca="1" si="19"/>
        <v>0.63092622116873487</v>
      </c>
      <c r="AC54" s="1">
        <f t="shared" ca="1" si="20"/>
        <v>145</v>
      </c>
      <c r="AD54" s="1">
        <f t="shared" ca="1" si="21"/>
        <v>5.6007618892805781E-3</v>
      </c>
      <c r="AE54" s="1"/>
      <c r="AF54" s="1">
        <f t="shared" ca="1" si="22"/>
        <v>0.81476415188917473</v>
      </c>
      <c r="AG54" s="1">
        <f t="shared" ca="1" si="23"/>
        <v>610</v>
      </c>
      <c r="AH54" s="1">
        <f t="shared" ca="1" si="24"/>
        <v>7.3537690982319126E-3</v>
      </c>
      <c r="AJ54" s="1">
        <f t="shared" ca="1" si="25"/>
        <v>0.34004217707016171</v>
      </c>
      <c r="AK54" s="1">
        <f t="shared" ca="1" si="26"/>
        <v>3.1341522472337398E-3</v>
      </c>
      <c r="AL54" s="1"/>
      <c r="AM54" s="1">
        <f t="shared" ca="1" si="27"/>
        <v>3.3389637157350952E-2</v>
      </c>
      <c r="AN54" s="1">
        <f t="shared" ca="1" si="28"/>
        <v>53</v>
      </c>
      <c r="AO54" s="1">
        <f t="shared" ca="1" si="29"/>
        <v>20</v>
      </c>
      <c r="AQ54" s="1">
        <f t="shared" ca="1" si="30"/>
        <v>88</v>
      </c>
      <c r="AR54" s="1">
        <f t="shared" ca="1" si="31"/>
        <v>5</v>
      </c>
      <c r="AS54" s="1">
        <f t="shared" ca="1" si="32"/>
        <v>23</v>
      </c>
      <c r="AU54" s="1">
        <f t="shared" ca="1" si="33"/>
        <v>248</v>
      </c>
      <c r="AV54" s="1">
        <f t="shared" ca="1" si="34"/>
        <v>6</v>
      </c>
      <c r="AW54" s="1">
        <f t="shared" ca="1" si="35"/>
        <v>7.8550933011127741E-2</v>
      </c>
      <c r="AY54" s="1">
        <f t="shared" ca="1" si="36"/>
        <v>1.187048115639711</v>
      </c>
      <c r="AZ54" s="1">
        <f t="shared" ca="1" si="37"/>
        <v>230</v>
      </c>
      <c r="BA54" s="1">
        <f t="shared" ca="1" si="38"/>
        <v>4.9938562617488948E-3</v>
      </c>
      <c r="BG54" s="1">
        <f t="shared" ca="1" si="39"/>
        <v>0.54927821854757064</v>
      </c>
      <c r="BH54" s="1">
        <f t="shared" ca="1" si="40"/>
        <v>0.52480052324463122</v>
      </c>
      <c r="BI54" s="1">
        <f t="shared" ca="1" si="41"/>
        <v>256</v>
      </c>
      <c r="BV54" s="1">
        <f t="shared" ca="1" si="42"/>
        <v>0.9825790720726667</v>
      </c>
      <c r="BW54" s="1">
        <f t="shared" ca="1" si="43"/>
        <v>972</v>
      </c>
      <c r="BX54" s="1">
        <f t="shared" ca="1" si="44"/>
        <v>5.1903355989940106E-3</v>
      </c>
      <c r="BY54" s="1">
        <f t="shared" ca="1" si="45"/>
        <v>1.0778405383753189E-2</v>
      </c>
      <c r="BZ54" s="1">
        <f t="shared" ca="1" si="46"/>
        <v>0.1328328911792378</v>
      </c>
      <c r="CB54" s="1">
        <f t="shared" ca="1" si="47"/>
        <v>306</v>
      </c>
      <c r="CC54" s="1">
        <f t="shared" ca="1" si="48"/>
        <v>11</v>
      </c>
      <c r="CD54" s="1">
        <f t="shared" ca="1" si="49"/>
        <v>0.23800496872193763</v>
      </c>
      <c r="CE54" s="1">
        <f t="shared" ca="1" si="71"/>
        <v>0.63931040505549031</v>
      </c>
      <c r="CF54" s="1">
        <f t="shared" ca="1" si="71"/>
        <v>0.69414520604792274</v>
      </c>
      <c r="CH54" s="3">
        <f t="shared" ca="1" si="51"/>
        <v>0.8900116510078695</v>
      </c>
      <c r="CI54" s="3">
        <f t="shared" ca="1" si="52"/>
        <v>3.4891324135760522E-2</v>
      </c>
      <c r="CJ54" s="3">
        <f t="shared" ca="1" si="53"/>
        <v>902</v>
      </c>
      <c r="CK54" s="3">
        <f t="shared" ca="1" si="54"/>
        <v>4.3016094926596228E-3</v>
      </c>
      <c r="CL54" s="3">
        <f t="shared" ca="1" si="55"/>
        <v>0</v>
      </c>
      <c r="CM54" s="3"/>
      <c r="CN54" s="1">
        <f t="shared" ca="1" si="56"/>
        <v>16.987969753298334</v>
      </c>
      <c r="CO54" s="1">
        <f t="shared" ca="1" si="57"/>
        <v>1.1709836962054777E-2</v>
      </c>
      <c r="CP54" s="1">
        <f t="shared" ca="1" si="58"/>
        <v>1</v>
      </c>
      <c r="CV54" s="1">
        <f t="shared" ca="1" si="59"/>
        <v>5.5827753375422793</v>
      </c>
      <c r="CW54" s="1">
        <f t="shared" ca="1" si="60"/>
        <v>859</v>
      </c>
      <c r="CX54" s="1">
        <f t="shared" ca="1" si="61"/>
        <v>1.7145702690449093E-3</v>
      </c>
      <c r="DH54" s="1">
        <f t="shared" ca="1" si="62"/>
        <v>297</v>
      </c>
      <c r="DI54" s="1">
        <f t="shared" ca="1" si="63"/>
        <v>0.98685945700581301</v>
      </c>
      <c r="DJ54" s="1">
        <f t="shared" ca="1" si="64"/>
        <v>10</v>
      </c>
      <c r="DL54" s="1">
        <f t="shared" ca="1" si="65"/>
        <v>3.929656965987223E-2</v>
      </c>
      <c r="DM54" s="1">
        <f t="shared" ca="1" si="66"/>
        <v>196</v>
      </c>
      <c r="DN54" s="1">
        <f t="shared" ca="1" si="67"/>
        <v>7</v>
      </c>
    </row>
    <row r="55" spans="2:118" x14ac:dyDescent="0.25">
      <c r="B55">
        <f t="shared" ca="1" si="0"/>
        <v>372</v>
      </c>
      <c r="C55">
        <f t="shared" ca="1" si="1"/>
        <v>5</v>
      </c>
      <c r="D55">
        <f t="shared" ca="1" si="2"/>
        <v>1.14405784560099E-2</v>
      </c>
      <c r="F55" s="1">
        <f t="shared" ca="1" si="3"/>
        <v>3</v>
      </c>
      <c r="G55" s="1">
        <f t="shared" ca="1" si="4"/>
        <v>9</v>
      </c>
      <c r="H55" s="1">
        <f t="shared" ca="1" si="5"/>
        <v>14</v>
      </c>
      <c r="I55" s="1"/>
      <c r="J55" s="1">
        <f t="shared" ca="1" si="6"/>
        <v>25</v>
      </c>
      <c r="K55" s="1">
        <f t="shared" ca="1" si="7"/>
        <v>2.1496415940401872</v>
      </c>
      <c r="L55" s="1">
        <f t="shared" ca="1" si="8"/>
        <v>34</v>
      </c>
      <c r="M55" s="1"/>
      <c r="N55" s="1">
        <f t="shared" ca="1" si="9"/>
        <v>359</v>
      </c>
      <c r="O55" s="1">
        <f t="shared" ca="1" si="10"/>
        <v>21</v>
      </c>
      <c r="P55" s="1"/>
      <c r="Q55" s="1">
        <f t="shared" ca="1" si="11"/>
        <v>3.1991205519282042</v>
      </c>
      <c r="R55" s="1">
        <f t="shared" ca="1" si="12"/>
        <v>577</v>
      </c>
      <c r="S55" s="1"/>
      <c r="T55" s="1">
        <f t="shared" ca="1" si="13"/>
        <v>2.6413712547810726E-2</v>
      </c>
      <c r="U55" s="1">
        <f t="shared" ca="1" si="14"/>
        <v>407</v>
      </c>
      <c r="V55" s="1">
        <f t="shared" ca="1" si="15"/>
        <v>29</v>
      </c>
      <c r="W55" s="1"/>
      <c r="X55" s="1">
        <f t="shared" ca="1" si="16"/>
        <v>0.51719790792817621</v>
      </c>
      <c r="Y55" s="1">
        <f t="shared" ca="1" si="17"/>
        <v>0.10455121274550466</v>
      </c>
      <c r="Z55" s="1">
        <f t="shared" ca="1" si="18"/>
        <v>718</v>
      </c>
      <c r="AB55" s="1">
        <f t="shared" ca="1" si="19"/>
        <v>0.74864776712736458</v>
      </c>
      <c r="AC55" s="1">
        <f t="shared" ca="1" si="20"/>
        <v>1000</v>
      </c>
      <c r="AD55" s="1">
        <f t="shared" ca="1" si="21"/>
        <v>7.1244825533351413E-3</v>
      </c>
      <c r="AE55" s="1"/>
      <c r="AF55" s="1">
        <f t="shared" ca="1" si="22"/>
        <v>0.35057382308605911</v>
      </c>
      <c r="AG55" s="1">
        <f t="shared" ca="1" si="23"/>
        <v>214</v>
      </c>
      <c r="AH55" s="1">
        <f t="shared" ca="1" si="24"/>
        <v>6.2454187123573875E-3</v>
      </c>
      <c r="AJ55" s="1">
        <f t="shared" ca="1" si="25"/>
        <v>0.49803976402702144</v>
      </c>
      <c r="AK55" s="1">
        <f t="shared" ca="1" si="26"/>
        <v>1.9380827909106584E-3</v>
      </c>
      <c r="AL55" s="1"/>
      <c r="AM55" s="1">
        <f t="shared" ca="1" si="27"/>
        <v>0.13093510597735608</v>
      </c>
      <c r="AN55" s="1">
        <f t="shared" ca="1" si="28"/>
        <v>41</v>
      </c>
      <c r="AO55" s="1">
        <f t="shared" ca="1" si="29"/>
        <v>17</v>
      </c>
      <c r="AQ55" s="1">
        <f t="shared" ca="1" si="30"/>
        <v>117</v>
      </c>
      <c r="AR55" s="1">
        <f t="shared" ca="1" si="31"/>
        <v>7</v>
      </c>
      <c r="AS55" s="1">
        <f t="shared" ca="1" si="32"/>
        <v>29</v>
      </c>
      <c r="AU55" s="1">
        <f t="shared" ca="1" si="33"/>
        <v>106</v>
      </c>
      <c r="AV55" s="1">
        <f t="shared" ca="1" si="34"/>
        <v>5</v>
      </c>
      <c r="AW55" s="1">
        <f t="shared" ca="1" si="35"/>
        <v>0.18203096492424239</v>
      </c>
      <c r="AY55" s="1">
        <f t="shared" ca="1" si="36"/>
        <v>1.7911687667768319</v>
      </c>
      <c r="AZ55" s="1">
        <f t="shared" ca="1" si="37"/>
        <v>88</v>
      </c>
      <c r="BA55" s="1">
        <f t="shared" ca="1" si="38"/>
        <v>2.3888603110559978E-3</v>
      </c>
      <c r="BG55" s="1">
        <f t="shared" ca="1" si="39"/>
        <v>4.8073049932929317E-2</v>
      </c>
      <c r="BH55" s="1">
        <f t="shared" ca="1" si="40"/>
        <v>0.92941082471394088</v>
      </c>
      <c r="BI55" s="1">
        <f t="shared" ca="1" si="41"/>
        <v>565</v>
      </c>
      <c r="BV55" s="1">
        <f t="shared" ca="1" si="42"/>
        <v>0.28302975039145839</v>
      </c>
      <c r="BW55" s="1">
        <f t="shared" ca="1" si="43"/>
        <v>823</v>
      </c>
      <c r="BX55" s="1">
        <f t="shared" ca="1" si="44"/>
        <v>7.0939797657830136E-3</v>
      </c>
      <c r="BY55" s="1">
        <f t="shared" ca="1" si="45"/>
        <v>2.7894258806962158E-2</v>
      </c>
      <c r="BZ55" s="1">
        <f t="shared" ca="1" si="46"/>
        <v>0.16298560997858658</v>
      </c>
      <c r="CB55" s="1">
        <f t="shared" ca="1" si="47"/>
        <v>164</v>
      </c>
      <c r="CC55" s="1">
        <f t="shared" ca="1" si="48"/>
        <v>13</v>
      </c>
      <c r="CD55" s="1">
        <f t="shared" ca="1" si="49"/>
        <v>0.20664298105995654</v>
      </c>
      <c r="CE55" s="1">
        <f t="shared" ca="1" si="71"/>
        <v>0.66102633627524321</v>
      </c>
      <c r="CF55" s="1">
        <f t="shared" ca="1" si="71"/>
        <v>0.5855097047661364</v>
      </c>
      <c r="CH55" s="3">
        <f t="shared" ca="1" si="51"/>
        <v>0.31750253106544446</v>
      </c>
      <c r="CI55" s="3">
        <f t="shared" ca="1" si="52"/>
        <v>0.43871247250453299</v>
      </c>
      <c r="CJ55" s="3">
        <f t="shared" ca="1" si="53"/>
        <v>1789</v>
      </c>
      <c r="CK55" s="3">
        <f t="shared" ca="1" si="54"/>
        <v>8.3655962870404291E-3</v>
      </c>
      <c r="CL55" s="3">
        <f t="shared" ca="1" si="55"/>
        <v>0</v>
      </c>
      <c r="CM55" s="3"/>
      <c r="CN55" s="1">
        <f t="shared" ca="1" si="56"/>
        <v>15.489102669174153</v>
      </c>
      <c r="CO55" s="1">
        <f t="shared" ca="1" si="57"/>
        <v>0.1710687344830408</v>
      </c>
      <c r="CP55" s="1">
        <f t="shared" ca="1" si="58"/>
        <v>4</v>
      </c>
      <c r="CV55" s="1">
        <f t="shared" ca="1" si="59"/>
        <v>5.7328560608998211</v>
      </c>
      <c r="CW55" s="1">
        <f t="shared" ca="1" si="60"/>
        <v>599</v>
      </c>
      <c r="CX55" s="1">
        <f t="shared" ca="1" si="61"/>
        <v>3.5689826636386424E-3</v>
      </c>
      <c r="DH55" s="1">
        <f t="shared" ca="1" si="62"/>
        <v>752</v>
      </c>
      <c r="DI55" s="1">
        <f t="shared" ca="1" si="63"/>
        <v>0.8033289909770297</v>
      </c>
      <c r="DJ55" s="1">
        <f t="shared" ca="1" si="64"/>
        <v>22</v>
      </c>
      <c r="DL55" s="1">
        <f t="shared" ca="1" si="65"/>
        <v>0.14051578434342507</v>
      </c>
      <c r="DM55" s="1">
        <f t="shared" ca="1" si="66"/>
        <v>226</v>
      </c>
      <c r="DN55" s="1">
        <f t="shared" ca="1" si="67"/>
        <v>5</v>
      </c>
    </row>
    <row r="56" spans="2:118" x14ac:dyDescent="0.25">
      <c r="B56">
        <f t="shared" ca="1" si="0"/>
        <v>731</v>
      </c>
      <c r="C56">
        <f t="shared" ca="1" si="1"/>
        <v>50</v>
      </c>
      <c r="D56">
        <f t="shared" ca="1" si="2"/>
        <v>4.2086178059987871E-2</v>
      </c>
      <c r="F56" s="1">
        <f t="shared" ca="1" si="3"/>
        <v>20</v>
      </c>
      <c r="G56" s="1">
        <f t="shared" ca="1" si="4"/>
        <v>7</v>
      </c>
      <c r="H56" s="1">
        <f t="shared" ca="1" si="5"/>
        <v>5</v>
      </c>
      <c r="I56" s="1"/>
      <c r="J56" s="1">
        <f t="shared" ca="1" si="6"/>
        <v>33</v>
      </c>
      <c r="K56" s="1">
        <f t="shared" ca="1" si="7"/>
        <v>1.7859607117936811</v>
      </c>
      <c r="L56" s="1">
        <f t="shared" ca="1" si="8"/>
        <v>17</v>
      </c>
      <c r="M56" s="1"/>
      <c r="N56" s="1">
        <f t="shared" ca="1" si="9"/>
        <v>321</v>
      </c>
      <c r="O56" s="1">
        <f t="shared" ca="1" si="10"/>
        <v>10</v>
      </c>
      <c r="P56" s="1"/>
      <c r="Q56" s="1">
        <f t="shared" ca="1" si="11"/>
        <v>4.2724759988792682</v>
      </c>
      <c r="R56" s="1">
        <f t="shared" ca="1" si="12"/>
        <v>917</v>
      </c>
      <c r="S56" s="1"/>
      <c r="T56" s="1">
        <f t="shared" ca="1" si="13"/>
        <v>8.0198530131155368E-2</v>
      </c>
      <c r="U56" s="1">
        <f t="shared" ca="1" si="14"/>
        <v>154</v>
      </c>
      <c r="V56" s="1">
        <f t="shared" ca="1" si="15"/>
        <v>35</v>
      </c>
      <c r="W56" s="1"/>
      <c r="X56" s="1">
        <f t="shared" ca="1" si="16"/>
        <v>3.6072696240162898</v>
      </c>
      <c r="Y56" s="1">
        <f t="shared" ca="1" si="17"/>
        <v>0.98873327165985103</v>
      </c>
      <c r="Z56" s="1">
        <f t="shared" ca="1" si="18"/>
        <v>914</v>
      </c>
      <c r="AB56" s="1">
        <f t="shared" ca="1" si="19"/>
        <v>0.63990782815837</v>
      </c>
      <c r="AC56" s="1">
        <f t="shared" ca="1" si="20"/>
        <v>782</v>
      </c>
      <c r="AD56" s="1">
        <f t="shared" ca="1" si="21"/>
        <v>7.7707018337086391E-3</v>
      </c>
      <c r="AE56" s="1"/>
      <c r="AF56" s="1">
        <f t="shared" ca="1" si="22"/>
        <v>0.60144785093046826</v>
      </c>
      <c r="AG56" s="1">
        <f t="shared" ca="1" si="23"/>
        <v>662</v>
      </c>
      <c r="AH56" s="1">
        <f t="shared" ca="1" si="24"/>
        <v>4.9599439205347592E-3</v>
      </c>
      <c r="AJ56" s="1">
        <f t="shared" ca="1" si="25"/>
        <v>0.3505753062528042</v>
      </c>
      <c r="AK56" s="1">
        <f t="shared" ca="1" si="26"/>
        <v>5.1998770843691613E-3</v>
      </c>
      <c r="AL56" s="1"/>
      <c r="AM56" s="1">
        <f t="shared" ca="1" si="27"/>
        <v>0.17870917746411136</v>
      </c>
      <c r="AN56" s="1">
        <f t="shared" ca="1" si="28"/>
        <v>61</v>
      </c>
      <c r="AO56" s="1">
        <f t="shared" ca="1" si="29"/>
        <v>4</v>
      </c>
      <c r="AQ56" s="1">
        <f t="shared" ca="1" si="30"/>
        <v>186</v>
      </c>
      <c r="AR56" s="1">
        <f t="shared" ca="1" si="31"/>
        <v>9</v>
      </c>
      <c r="AS56" s="1">
        <f t="shared" ca="1" si="32"/>
        <v>65</v>
      </c>
      <c r="AU56" s="1">
        <f t="shared" ca="1" si="33"/>
        <v>255</v>
      </c>
      <c r="AV56" s="1">
        <f t="shared" ca="1" si="34"/>
        <v>4</v>
      </c>
      <c r="AW56" s="1">
        <f t="shared" ca="1" si="35"/>
        <v>0.12911876047092838</v>
      </c>
      <c r="AY56" s="1">
        <f t="shared" ca="1" si="36"/>
        <v>1.3511923152570069</v>
      </c>
      <c r="AZ56" s="1">
        <f t="shared" ca="1" si="37"/>
        <v>79</v>
      </c>
      <c r="BA56" s="1">
        <f t="shared" ca="1" si="38"/>
        <v>5.4084435396389904E-3</v>
      </c>
      <c r="BG56" s="1">
        <f t="shared" ca="1" si="39"/>
        <v>0.1657143796175285</v>
      </c>
      <c r="BH56" s="1">
        <f t="shared" ca="1" si="40"/>
        <v>6.7372326791396486E-2</v>
      </c>
      <c r="BI56" s="1">
        <f t="shared" ca="1" si="41"/>
        <v>407</v>
      </c>
      <c r="BV56" s="1">
        <f t="shared" ca="1" si="42"/>
        <v>0.63356580995106315</v>
      </c>
      <c r="BW56" s="1">
        <f t="shared" ca="1" si="43"/>
        <v>304</v>
      </c>
      <c r="BX56" s="1">
        <f t="shared" ca="1" si="44"/>
        <v>7.1952059954484612E-3</v>
      </c>
      <c r="BY56" s="1">
        <f t="shared" ca="1" si="45"/>
        <v>4.0992488164188587E-2</v>
      </c>
      <c r="BZ56" s="1">
        <f t="shared" ca="1" si="46"/>
        <v>0.42739062047793541</v>
      </c>
      <c r="CB56" s="1">
        <f t="shared" ca="1" si="47"/>
        <v>393</v>
      </c>
      <c r="CC56" s="1">
        <f t="shared" ca="1" si="48"/>
        <v>8</v>
      </c>
      <c r="CD56" s="1">
        <f t="shared" ca="1" si="49"/>
        <v>0.15948318166079448</v>
      </c>
      <c r="CE56" s="1">
        <f t="shared" ca="1" si="71"/>
        <v>0.95828557307532036</v>
      </c>
      <c r="CF56" s="1">
        <f t="shared" ca="1" si="71"/>
        <v>0.74253384367430386</v>
      </c>
      <c r="CH56" s="3">
        <f t="shared" ca="1" si="51"/>
        <v>0.88124383322174527</v>
      </c>
      <c r="CI56" s="3">
        <f t="shared" ca="1" si="52"/>
        <v>0.15477672748252239</v>
      </c>
      <c r="CJ56" s="3">
        <f t="shared" ca="1" si="53"/>
        <v>1964</v>
      </c>
      <c r="CK56" s="3">
        <f t="shared" ca="1" si="54"/>
        <v>4.4962247185473311E-3</v>
      </c>
      <c r="CL56" s="3">
        <f t="shared" ca="1" si="55"/>
        <v>1</v>
      </c>
      <c r="CM56" s="3"/>
      <c r="CN56" s="1">
        <f t="shared" ca="1" si="56"/>
        <v>13.282994738851841</v>
      </c>
      <c r="CO56" s="1">
        <f t="shared" ca="1" si="57"/>
        <v>0.19733775945547677</v>
      </c>
      <c r="CP56" s="1">
        <f t="shared" ca="1" si="58"/>
        <v>4</v>
      </c>
      <c r="CV56" s="1">
        <f t="shared" ca="1" si="59"/>
        <v>3.2715878518521868</v>
      </c>
      <c r="CW56" s="1">
        <f t="shared" ca="1" si="60"/>
        <v>486</v>
      </c>
      <c r="CX56" s="1">
        <f t="shared" ca="1" si="61"/>
        <v>6.7718442422247029E-3</v>
      </c>
      <c r="DH56" s="1">
        <f t="shared" ca="1" si="62"/>
        <v>542</v>
      </c>
      <c r="DI56" s="1">
        <f t="shared" ca="1" si="63"/>
        <v>0.73703408950993765</v>
      </c>
      <c r="DJ56" s="1">
        <f t="shared" ca="1" si="64"/>
        <v>1</v>
      </c>
      <c r="DL56" s="1">
        <f t="shared" ca="1" si="65"/>
        <v>7.7707581455981278E-2</v>
      </c>
      <c r="DM56" s="1">
        <f t="shared" ca="1" si="66"/>
        <v>253</v>
      </c>
      <c r="DN56" s="1">
        <f t="shared" ca="1" si="67"/>
        <v>6</v>
      </c>
    </row>
    <row r="57" spans="2:118" x14ac:dyDescent="0.25">
      <c r="B57">
        <f t="shared" ca="1" si="0"/>
        <v>204</v>
      </c>
      <c r="C57">
        <f t="shared" ca="1" si="1"/>
        <v>32</v>
      </c>
      <c r="D57">
        <f t="shared" ca="1" si="2"/>
        <v>0.14795481233575297</v>
      </c>
      <c r="F57" s="1">
        <f t="shared" ca="1" si="3"/>
        <v>8</v>
      </c>
      <c r="G57" s="1">
        <f t="shared" ca="1" si="4"/>
        <v>30</v>
      </c>
      <c r="H57" s="1">
        <f t="shared" ca="1" si="5"/>
        <v>7</v>
      </c>
      <c r="I57" s="1"/>
      <c r="J57" s="1">
        <f t="shared" ca="1" si="6"/>
        <v>13</v>
      </c>
      <c r="K57" s="1">
        <f t="shared" ca="1" si="7"/>
        <v>1.2005334182718794</v>
      </c>
      <c r="L57" s="1">
        <f t="shared" ca="1" si="8"/>
        <v>24</v>
      </c>
      <c r="M57" s="1"/>
      <c r="N57" s="1">
        <f t="shared" ca="1" si="9"/>
        <v>664</v>
      </c>
      <c r="O57" s="1">
        <f t="shared" ca="1" si="10"/>
        <v>45</v>
      </c>
      <c r="P57" s="1"/>
      <c r="Q57" s="1">
        <f t="shared" ca="1" si="11"/>
        <v>0.5297357151846771</v>
      </c>
      <c r="R57" s="1">
        <f t="shared" ca="1" si="12"/>
        <v>1028</v>
      </c>
      <c r="S57" s="1"/>
      <c r="T57" s="1">
        <f t="shared" ca="1" si="13"/>
        <v>0.12134942294660642</v>
      </c>
      <c r="U57" s="1">
        <f t="shared" ca="1" si="14"/>
        <v>314</v>
      </c>
      <c r="V57" s="1">
        <f t="shared" ca="1" si="15"/>
        <v>20</v>
      </c>
      <c r="W57" s="1"/>
      <c r="X57" s="1">
        <f t="shared" ca="1" si="16"/>
        <v>7.7401135987822629</v>
      </c>
      <c r="Y57" s="1">
        <f t="shared" ca="1" si="17"/>
        <v>0.55730407670192283</v>
      </c>
      <c r="Z57" s="1">
        <f t="shared" ca="1" si="18"/>
        <v>491</v>
      </c>
      <c r="AB57" s="1">
        <f t="shared" ca="1" si="19"/>
        <v>0.29298280687876321</v>
      </c>
      <c r="AC57" s="1">
        <f t="shared" ca="1" si="20"/>
        <v>264</v>
      </c>
      <c r="AD57" s="1">
        <f t="shared" ca="1" si="21"/>
        <v>6.093260309567802E-4</v>
      </c>
      <c r="AE57" s="1"/>
      <c r="AF57" s="1">
        <f t="shared" ca="1" si="22"/>
        <v>0.26501211334673014</v>
      </c>
      <c r="AG57" s="1">
        <f t="shared" ca="1" si="23"/>
        <v>728</v>
      </c>
      <c r="AH57" s="1">
        <f t="shared" ca="1" si="24"/>
        <v>8.8983408564019765E-3</v>
      </c>
      <c r="AJ57" s="1">
        <f t="shared" ca="1" si="25"/>
        <v>1.718977818600731E-2</v>
      </c>
      <c r="AK57" s="1">
        <f t="shared" ca="1" si="26"/>
        <v>2.0423579670712927E-3</v>
      </c>
      <c r="AL57" s="1"/>
      <c r="AM57" s="1">
        <f t="shared" ca="1" si="27"/>
        <v>0.14282985012437729</v>
      </c>
      <c r="AN57" s="1">
        <f t="shared" ca="1" si="28"/>
        <v>37</v>
      </c>
      <c r="AO57" s="1">
        <f t="shared" ca="1" si="29"/>
        <v>17</v>
      </c>
      <c r="AQ57" s="1">
        <f t="shared" ca="1" si="30"/>
        <v>196</v>
      </c>
      <c r="AR57" s="1">
        <f t="shared" ca="1" si="31"/>
        <v>9</v>
      </c>
      <c r="AS57" s="1">
        <f t="shared" ca="1" si="32"/>
        <v>42</v>
      </c>
      <c r="AU57" s="1">
        <f t="shared" ca="1" si="33"/>
        <v>129</v>
      </c>
      <c r="AV57" s="1">
        <f t="shared" ca="1" si="34"/>
        <v>7</v>
      </c>
      <c r="AW57" s="1">
        <f t="shared" ca="1" si="35"/>
        <v>0.15350094224824209</v>
      </c>
      <c r="AY57" s="1">
        <f t="shared" ca="1" si="36"/>
        <v>1.3687970882081535</v>
      </c>
      <c r="AZ57" s="1">
        <f t="shared" ca="1" si="37"/>
        <v>111</v>
      </c>
      <c r="BA57" s="1">
        <f t="shared" ca="1" si="38"/>
        <v>2.8169188880101908E-3</v>
      </c>
      <c r="BG57" s="1">
        <f t="shared" ca="1" si="39"/>
        <v>0.16099722414729911</v>
      </c>
      <c r="BH57" s="1">
        <f t="shared" ca="1" si="40"/>
        <v>0.29262204116450041</v>
      </c>
      <c r="BI57" s="1">
        <f t="shared" ca="1" si="41"/>
        <v>173</v>
      </c>
      <c r="BV57" s="1">
        <f t="shared" ca="1" si="42"/>
        <v>0.121440849938578</v>
      </c>
      <c r="BW57" s="1">
        <f t="shared" ca="1" si="43"/>
        <v>558</v>
      </c>
      <c r="BX57" s="1">
        <f t="shared" ca="1" si="44"/>
        <v>8.4491327266569254E-3</v>
      </c>
      <c r="BY57" s="1">
        <f t="shared" ca="1" si="45"/>
        <v>5.6469442840287203E-2</v>
      </c>
      <c r="BZ57" s="1">
        <f t="shared" ca="1" si="46"/>
        <v>4.5545005559464169E-2</v>
      </c>
      <c r="CB57" s="1">
        <f t="shared" ca="1" si="47"/>
        <v>432</v>
      </c>
      <c r="CC57" s="1">
        <f t="shared" ca="1" si="48"/>
        <v>9</v>
      </c>
      <c r="CD57" s="1">
        <f t="shared" ca="1" si="49"/>
        <v>0.15220478228095261</v>
      </c>
      <c r="CE57" s="1">
        <f t="shared" ca="1" si="71"/>
        <v>0.90772468913618776</v>
      </c>
      <c r="CF57" s="1">
        <f t="shared" ca="1" si="71"/>
        <v>0.55054838022001906</v>
      </c>
      <c r="CH57" s="3">
        <f t="shared" ca="1" si="51"/>
        <v>0.49965759562515893</v>
      </c>
      <c r="CI57" s="3">
        <f t="shared" ca="1" si="52"/>
        <v>0.77641640078582241</v>
      </c>
      <c r="CJ57" s="3">
        <f t="shared" ca="1" si="53"/>
        <v>890</v>
      </c>
      <c r="CK57" s="3">
        <f t="shared" ca="1" si="54"/>
        <v>7.8961548615911342E-3</v>
      </c>
      <c r="CL57" s="3">
        <f t="shared" ca="1" si="55"/>
        <v>0</v>
      </c>
      <c r="CM57" s="3"/>
      <c r="CN57" s="1">
        <f t="shared" ca="1" si="56"/>
        <v>6.4935960614267243</v>
      </c>
      <c r="CO57" s="1">
        <f t="shared" ca="1" si="57"/>
        <v>0.40543403722613436</v>
      </c>
      <c r="CP57" s="1">
        <f t="shared" ca="1" si="58"/>
        <v>2</v>
      </c>
      <c r="CV57" s="1">
        <f t="shared" ca="1" si="59"/>
        <v>4.6562454135351494</v>
      </c>
      <c r="CW57" s="1">
        <f t="shared" ca="1" si="60"/>
        <v>313</v>
      </c>
      <c r="CX57" s="1">
        <f t="shared" ca="1" si="61"/>
        <v>7.4392646437339352E-3</v>
      </c>
      <c r="DH57" s="1">
        <f t="shared" ca="1" si="62"/>
        <v>782</v>
      </c>
      <c r="DI57" s="1">
        <f t="shared" ca="1" si="63"/>
        <v>0.92050287227162308</v>
      </c>
      <c r="DJ57" s="1">
        <f t="shared" ca="1" si="64"/>
        <v>5</v>
      </c>
      <c r="DL57" s="1">
        <f t="shared" ca="1" si="65"/>
        <v>0.11882059178533161</v>
      </c>
      <c r="DM57" s="1">
        <f t="shared" ca="1" si="66"/>
        <v>203</v>
      </c>
      <c r="DN57" s="1">
        <f t="shared" ca="1" si="67"/>
        <v>9</v>
      </c>
    </row>
    <row r="58" spans="2:118" x14ac:dyDescent="0.25">
      <c r="B58">
        <f t="shared" ca="1" si="0"/>
        <v>687</v>
      </c>
      <c r="C58">
        <f t="shared" ca="1" si="1"/>
        <v>33</v>
      </c>
      <c r="D58">
        <f t="shared" ca="1" si="2"/>
        <v>0.28720425721882797</v>
      </c>
      <c r="F58" s="1">
        <f t="shared" ca="1" si="3"/>
        <v>15</v>
      </c>
      <c r="G58" s="1">
        <f t="shared" ca="1" si="4"/>
        <v>2</v>
      </c>
      <c r="H58" s="1">
        <f t="shared" ca="1" si="5"/>
        <v>13</v>
      </c>
      <c r="I58" s="1"/>
      <c r="J58" s="1">
        <f t="shared" ca="1" si="6"/>
        <v>20</v>
      </c>
      <c r="K58" s="1">
        <f t="shared" ca="1" si="7"/>
        <v>1.8563414791078354</v>
      </c>
      <c r="L58" s="1">
        <f t="shared" ca="1" si="8"/>
        <v>22</v>
      </c>
      <c r="M58" s="1"/>
      <c r="N58" s="1">
        <f t="shared" ca="1" si="9"/>
        <v>866</v>
      </c>
      <c r="O58" s="1">
        <f t="shared" ca="1" si="10"/>
        <v>14</v>
      </c>
      <c r="P58" s="1"/>
      <c r="Q58" s="1">
        <f t="shared" ca="1" si="11"/>
        <v>3.6649886894079788</v>
      </c>
      <c r="R58" s="1">
        <f t="shared" ca="1" si="12"/>
        <v>416</v>
      </c>
      <c r="S58" s="1"/>
      <c r="T58" s="1">
        <f t="shared" ca="1" si="13"/>
        <v>0.15133894110474438</v>
      </c>
      <c r="U58" s="1">
        <f t="shared" ca="1" si="14"/>
        <v>196</v>
      </c>
      <c r="V58" s="1">
        <f t="shared" ca="1" si="15"/>
        <v>32</v>
      </c>
      <c r="W58" s="1"/>
      <c r="X58" s="1">
        <f t="shared" ca="1" si="16"/>
        <v>5.3106814089934238</v>
      </c>
      <c r="Y58" s="1">
        <f t="shared" ca="1" si="17"/>
        <v>2.0887987010373497E-2</v>
      </c>
      <c r="Z58" s="1">
        <f t="shared" ca="1" si="18"/>
        <v>1293</v>
      </c>
      <c r="AB58" s="1">
        <f t="shared" ca="1" si="19"/>
        <v>0.1086881418810263</v>
      </c>
      <c r="AC58" s="1">
        <f t="shared" ca="1" si="20"/>
        <v>721</v>
      </c>
      <c r="AD58" s="1">
        <f t="shared" ca="1" si="21"/>
        <v>1.3558469922195886E-3</v>
      </c>
      <c r="AE58" s="1"/>
      <c r="AF58" s="1">
        <f t="shared" ca="1" si="22"/>
        <v>0.71955372779065307</v>
      </c>
      <c r="AG58" s="1">
        <f t="shared" ca="1" si="23"/>
        <v>171</v>
      </c>
      <c r="AH58" s="1">
        <f t="shared" ca="1" si="24"/>
        <v>4.7295851231308689E-3</v>
      </c>
      <c r="AJ58" s="1">
        <f t="shared" ca="1" si="25"/>
        <v>0.82906512082095241</v>
      </c>
      <c r="AK58" s="1">
        <f t="shared" ca="1" si="26"/>
        <v>1.4902421123453784E-3</v>
      </c>
      <c r="AL58" s="1"/>
      <c r="AM58" s="1">
        <f t="shared" ca="1" si="27"/>
        <v>7.4134523835909044E-2</v>
      </c>
      <c r="AN58" s="1">
        <f t="shared" ca="1" si="28"/>
        <v>55</v>
      </c>
      <c r="AO58" s="1">
        <f t="shared" ca="1" si="29"/>
        <v>2</v>
      </c>
      <c r="AQ58" s="1">
        <f t="shared" ca="1" si="30"/>
        <v>82</v>
      </c>
      <c r="AR58" s="1">
        <f t="shared" ca="1" si="31"/>
        <v>3</v>
      </c>
      <c r="AS58" s="1">
        <f t="shared" ca="1" si="32"/>
        <v>1</v>
      </c>
      <c r="AU58" s="1">
        <f t="shared" ca="1" si="33"/>
        <v>51</v>
      </c>
      <c r="AV58" s="1">
        <f t="shared" ca="1" si="34"/>
        <v>9</v>
      </c>
      <c r="AW58" s="1">
        <f t="shared" ca="1" si="35"/>
        <v>3.9204686574749431E-2</v>
      </c>
      <c r="AY58" s="1">
        <f t="shared" ca="1" si="36"/>
        <v>1.9598899437448756</v>
      </c>
      <c r="AZ58" s="1">
        <f t="shared" ca="1" si="37"/>
        <v>463</v>
      </c>
      <c r="BA58" s="1">
        <f t="shared" ca="1" si="38"/>
        <v>5.3398270794790771E-3</v>
      </c>
      <c r="BG58" s="1">
        <f t="shared" ca="1" si="39"/>
        <v>0.27664150119744157</v>
      </c>
      <c r="BH58" s="1">
        <f t="shared" ca="1" si="40"/>
        <v>0.18396596179488844</v>
      </c>
      <c r="BI58" s="1">
        <f t="shared" ca="1" si="41"/>
        <v>377</v>
      </c>
      <c r="BV58" s="1">
        <f t="shared" ca="1" si="42"/>
        <v>5.4885995911745904E-3</v>
      </c>
      <c r="BW58" s="1">
        <f t="shared" ca="1" si="43"/>
        <v>750</v>
      </c>
      <c r="BX58" s="1">
        <f t="shared" ca="1" si="44"/>
        <v>6.1259310594201574E-3</v>
      </c>
      <c r="BY58" s="1">
        <f t="shared" ca="1" si="45"/>
        <v>7.1899684390536941E-2</v>
      </c>
      <c r="BZ58" s="1">
        <f t="shared" ca="1" si="46"/>
        <v>0.53835798899785392</v>
      </c>
      <c r="CB58" s="1">
        <f t="shared" ca="1" si="47"/>
        <v>121</v>
      </c>
      <c r="CC58" s="1">
        <f t="shared" ca="1" si="48"/>
        <v>6</v>
      </c>
      <c r="CD58" s="1">
        <f t="shared" ca="1" si="49"/>
        <v>0.21095722778053466</v>
      </c>
      <c r="CE58" s="1">
        <f t="shared" ca="1" si="71"/>
        <v>0.50446238107769026</v>
      </c>
      <c r="CF58" s="1">
        <f t="shared" ca="1" si="71"/>
        <v>0.83788155576908574</v>
      </c>
      <c r="CH58" s="3">
        <f t="shared" ca="1" si="51"/>
        <v>0.34982494624641386</v>
      </c>
      <c r="CI58" s="3">
        <f t="shared" ca="1" si="52"/>
        <v>0.56217047262341346</v>
      </c>
      <c r="CJ58" s="3">
        <f t="shared" ca="1" si="53"/>
        <v>1644</v>
      </c>
      <c r="CK58" s="3">
        <f t="shared" ca="1" si="54"/>
        <v>8.2731370577216103E-3</v>
      </c>
      <c r="CL58" s="3">
        <f t="shared" ca="1" si="55"/>
        <v>1</v>
      </c>
      <c r="CM58" s="3"/>
      <c r="CN58" s="1">
        <f t="shared" ca="1" si="56"/>
        <v>19.138924662298049</v>
      </c>
      <c r="CO58" s="1">
        <f t="shared" ca="1" si="57"/>
        <v>0.23365880003848399</v>
      </c>
      <c r="CP58" s="1">
        <f t="shared" ca="1" si="58"/>
        <v>5</v>
      </c>
      <c r="CV58" s="1">
        <f t="shared" ca="1" si="59"/>
        <v>6.1308845448777705</v>
      </c>
      <c r="CW58" s="1">
        <f t="shared" ca="1" si="60"/>
        <v>768</v>
      </c>
      <c r="CX58" s="1">
        <f t="shared" ca="1" si="61"/>
        <v>6.0934882654426698E-3</v>
      </c>
      <c r="DH58" s="1">
        <f t="shared" ca="1" si="62"/>
        <v>337</v>
      </c>
      <c r="DI58" s="1">
        <f t="shared" ca="1" si="63"/>
        <v>0.74571939450313951</v>
      </c>
      <c r="DJ58" s="1">
        <f t="shared" ca="1" si="64"/>
        <v>27</v>
      </c>
      <c r="DL58" s="1">
        <f t="shared" ca="1" si="65"/>
        <v>6.8086285982338138E-2</v>
      </c>
      <c r="DM58" s="1">
        <f t="shared" ca="1" si="66"/>
        <v>271</v>
      </c>
      <c r="DN58" s="1">
        <f t="shared" ca="1" si="67"/>
        <v>5</v>
      </c>
    </row>
    <row r="59" spans="2:118" x14ac:dyDescent="0.25">
      <c r="B59">
        <f t="shared" ca="1" si="0"/>
        <v>257</v>
      </c>
      <c r="C59">
        <f t="shared" ca="1" si="1"/>
        <v>32</v>
      </c>
      <c r="D59">
        <f t="shared" ca="1" si="2"/>
        <v>0.170467799691573</v>
      </c>
      <c r="F59" s="1">
        <f t="shared" ca="1" si="3"/>
        <v>13</v>
      </c>
      <c r="G59" s="1">
        <f t="shared" ca="1" si="4"/>
        <v>24</v>
      </c>
      <c r="H59" s="1">
        <f t="shared" ca="1" si="5"/>
        <v>7</v>
      </c>
      <c r="I59" s="1"/>
      <c r="J59" s="1">
        <f t="shared" ca="1" si="6"/>
        <v>24</v>
      </c>
      <c r="K59" s="1">
        <f t="shared" ca="1" si="7"/>
        <v>2.4210004954269517</v>
      </c>
      <c r="L59" s="1">
        <f t="shared" ca="1" si="8"/>
        <v>3</v>
      </c>
      <c r="M59" s="1"/>
      <c r="N59" s="1">
        <f t="shared" ca="1" si="9"/>
        <v>111</v>
      </c>
      <c r="O59" s="1">
        <f t="shared" ca="1" si="10"/>
        <v>38</v>
      </c>
      <c r="P59" s="1"/>
      <c r="Q59" s="1">
        <f t="shared" ca="1" si="11"/>
        <v>2.9383649716865263</v>
      </c>
      <c r="R59" s="1">
        <f t="shared" ca="1" si="12"/>
        <v>1130</v>
      </c>
      <c r="S59" s="1"/>
      <c r="T59" s="1">
        <f t="shared" ca="1" si="13"/>
        <v>0.12386221634461872</v>
      </c>
      <c r="U59" s="1">
        <f t="shared" ca="1" si="14"/>
        <v>143</v>
      </c>
      <c r="V59" s="1">
        <f t="shared" ca="1" si="15"/>
        <v>40</v>
      </c>
      <c r="W59" s="1"/>
      <c r="X59" s="1">
        <f t="shared" ca="1" si="16"/>
        <v>7.6476338788315932</v>
      </c>
      <c r="Y59" s="1">
        <f t="shared" ca="1" si="17"/>
        <v>0.87722927616683544</v>
      </c>
      <c r="Z59" s="1">
        <f t="shared" ca="1" si="18"/>
        <v>1952</v>
      </c>
      <c r="AB59" s="1">
        <f t="shared" ca="1" si="19"/>
        <v>0.51402506525085523</v>
      </c>
      <c r="AC59" s="1">
        <f t="shared" ca="1" si="20"/>
        <v>961</v>
      </c>
      <c r="AD59" s="1">
        <f t="shared" ca="1" si="21"/>
        <v>9.3456479285968716E-3</v>
      </c>
      <c r="AE59" s="1"/>
      <c r="AF59" s="1">
        <f t="shared" ca="1" si="22"/>
        <v>0.63574324419597505</v>
      </c>
      <c r="AG59" s="1">
        <f t="shared" ca="1" si="23"/>
        <v>123</v>
      </c>
      <c r="AH59" s="1">
        <f t="shared" ca="1" si="24"/>
        <v>7.9578384819116443E-3</v>
      </c>
      <c r="AJ59" s="1">
        <f t="shared" ca="1" si="25"/>
        <v>0.54260923968801367</v>
      </c>
      <c r="AK59" s="1">
        <f t="shared" ca="1" si="26"/>
        <v>6.1332402953420866E-3</v>
      </c>
      <c r="AL59" s="1"/>
      <c r="AM59" s="1">
        <f t="shared" ca="1" si="27"/>
        <v>0.16704014356921643</v>
      </c>
      <c r="AN59" s="1">
        <f t="shared" ca="1" si="28"/>
        <v>45</v>
      </c>
      <c r="AO59" s="1">
        <f t="shared" ca="1" si="29"/>
        <v>1</v>
      </c>
      <c r="AQ59" s="1">
        <f t="shared" ca="1" si="30"/>
        <v>183</v>
      </c>
      <c r="AR59" s="1">
        <f t="shared" ca="1" si="31"/>
        <v>6</v>
      </c>
      <c r="AS59" s="1">
        <f t="shared" ca="1" si="32"/>
        <v>59</v>
      </c>
      <c r="AU59" s="1">
        <f t="shared" ca="1" si="33"/>
        <v>118</v>
      </c>
      <c r="AV59" s="1">
        <f t="shared" ca="1" si="34"/>
        <v>8</v>
      </c>
      <c r="AW59" s="1">
        <f t="shared" ca="1" si="35"/>
        <v>3.8494224153357036E-2</v>
      </c>
      <c r="AY59" s="1">
        <f t="shared" ca="1" si="36"/>
        <v>1.5890346538780407</v>
      </c>
      <c r="AZ59" s="1">
        <f t="shared" ca="1" si="37"/>
        <v>168</v>
      </c>
      <c r="BA59" s="1">
        <f t="shared" ca="1" si="38"/>
        <v>6.3551312691891796E-3</v>
      </c>
      <c r="BG59" s="1">
        <f t="shared" ca="1" si="39"/>
        <v>0.2884032620361851</v>
      </c>
      <c r="BH59" s="1">
        <f t="shared" ca="1" si="40"/>
        <v>0.51474725075315142</v>
      </c>
      <c r="BI59" s="1">
        <f t="shared" ca="1" si="41"/>
        <v>678</v>
      </c>
      <c r="BV59" s="1">
        <f t="shared" ca="1" si="42"/>
        <v>0.34013335899979558</v>
      </c>
      <c r="BW59" s="1">
        <f t="shared" ca="1" si="43"/>
        <v>184</v>
      </c>
      <c r="BX59" s="1">
        <f t="shared" ca="1" si="44"/>
        <v>1.4407979287686845E-3</v>
      </c>
      <c r="BY59" s="1">
        <f t="shared" ca="1" si="45"/>
        <v>4.6655891128602115E-4</v>
      </c>
      <c r="BZ59" s="1">
        <f t="shared" ca="1" si="46"/>
        <v>0.30982786237877291</v>
      </c>
      <c r="CB59" s="1">
        <f t="shared" ca="1" si="47"/>
        <v>208</v>
      </c>
      <c r="CC59" s="1">
        <f t="shared" ca="1" si="48"/>
        <v>14</v>
      </c>
      <c r="CD59" s="1">
        <f t="shared" ca="1" si="49"/>
        <v>0.19631568852462922</v>
      </c>
      <c r="CE59" s="1">
        <f t="shared" ca="1" si="71"/>
        <v>0.91693069726888754</v>
      </c>
      <c r="CF59" s="1">
        <f t="shared" ca="1" si="71"/>
        <v>0.79379928890785978</v>
      </c>
      <c r="CH59" s="3">
        <f t="shared" ca="1" si="51"/>
        <v>0.84188817651370751</v>
      </c>
      <c r="CI59" s="3">
        <f t="shared" ca="1" si="52"/>
        <v>0.21709941361139296</v>
      </c>
      <c r="CJ59" s="3">
        <f t="shared" ca="1" si="53"/>
        <v>242</v>
      </c>
      <c r="CK59" s="3">
        <f t="shared" ca="1" si="54"/>
        <v>6.3581954464055667E-3</v>
      </c>
      <c r="CL59" s="3">
        <f t="shared" ca="1" si="55"/>
        <v>1</v>
      </c>
      <c r="CM59" s="3"/>
      <c r="CN59" s="1">
        <f t="shared" ca="1" si="56"/>
        <v>1.8373294064285621</v>
      </c>
      <c r="CO59" s="1">
        <f t="shared" ca="1" si="57"/>
        <v>0.14352667746228348</v>
      </c>
      <c r="CP59" s="1">
        <f t="shared" ca="1" si="58"/>
        <v>5</v>
      </c>
      <c r="CV59" s="1">
        <f t="shared" ca="1" si="59"/>
        <v>5.8195327535496988</v>
      </c>
      <c r="CW59" s="1">
        <f t="shared" ca="1" si="60"/>
        <v>787</v>
      </c>
      <c r="CX59" s="1">
        <f t="shared" ca="1" si="61"/>
        <v>8.6157431932153104E-3</v>
      </c>
      <c r="DH59" s="1">
        <f t="shared" ca="1" si="62"/>
        <v>849</v>
      </c>
      <c r="DI59" s="1">
        <f t="shared" ca="1" si="63"/>
        <v>0.43099007430541053</v>
      </c>
      <c r="DJ59" s="1">
        <f t="shared" ca="1" si="64"/>
        <v>12</v>
      </c>
      <c r="DL59" s="1">
        <f t="shared" ca="1" si="65"/>
        <v>2.9609999908113617E-2</v>
      </c>
      <c r="DM59" s="1">
        <f t="shared" ca="1" si="66"/>
        <v>76</v>
      </c>
      <c r="DN59" s="1">
        <f t="shared" ca="1" si="67"/>
        <v>3</v>
      </c>
    </row>
    <row r="60" spans="2:118" x14ac:dyDescent="0.25">
      <c r="B60">
        <f t="shared" ca="1" si="0"/>
        <v>582</v>
      </c>
      <c r="C60">
        <f t="shared" ca="1" si="1"/>
        <v>13</v>
      </c>
      <c r="D60">
        <f t="shared" ca="1" si="2"/>
        <v>0.23014272825283358</v>
      </c>
      <c r="F60" s="1">
        <f t="shared" ca="1" si="3"/>
        <v>30</v>
      </c>
      <c r="G60" s="1">
        <f t="shared" ca="1" si="4"/>
        <v>27</v>
      </c>
      <c r="H60" s="1">
        <f t="shared" ca="1" si="5"/>
        <v>14</v>
      </c>
      <c r="I60" s="1"/>
      <c r="J60" s="1">
        <f t="shared" ca="1" si="6"/>
        <v>26</v>
      </c>
      <c r="K60" s="1">
        <f t="shared" ca="1" si="7"/>
        <v>1.846504136345706</v>
      </c>
      <c r="L60" s="1">
        <f t="shared" ca="1" si="8"/>
        <v>22</v>
      </c>
      <c r="M60" s="1"/>
      <c r="N60" s="1">
        <f t="shared" ca="1" si="9"/>
        <v>229</v>
      </c>
      <c r="O60" s="1">
        <f t="shared" ca="1" si="10"/>
        <v>34</v>
      </c>
      <c r="P60" s="1"/>
      <c r="Q60" s="1">
        <f t="shared" ca="1" si="11"/>
        <v>2.8203447092764216</v>
      </c>
      <c r="R60" s="1">
        <f t="shared" ca="1" si="12"/>
        <v>381</v>
      </c>
      <c r="S60" s="1"/>
      <c r="T60" s="1">
        <f t="shared" ca="1" si="13"/>
        <v>0.15624626538227923</v>
      </c>
      <c r="U60" s="1">
        <f t="shared" ca="1" si="14"/>
        <v>426</v>
      </c>
      <c r="V60" s="1">
        <f t="shared" ca="1" si="15"/>
        <v>21</v>
      </c>
      <c r="W60" s="1"/>
      <c r="X60" s="1">
        <f t="shared" ca="1" si="16"/>
        <v>6.5510285411052296</v>
      </c>
      <c r="Y60" s="1">
        <f t="shared" ca="1" si="17"/>
        <v>0.24725316022717719</v>
      </c>
      <c r="Z60" s="1">
        <f t="shared" ca="1" si="18"/>
        <v>1782</v>
      </c>
      <c r="AB60" s="1">
        <f t="shared" ca="1" si="19"/>
        <v>0.68040998331304303</v>
      </c>
      <c r="AC60" s="1">
        <f t="shared" ca="1" si="20"/>
        <v>367</v>
      </c>
      <c r="AD60" s="1">
        <f t="shared" ca="1" si="21"/>
        <v>5.5263647184978408E-3</v>
      </c>
      <c r="AE60" s="1"/>
      <c r="AF60" s="1">
        <f t="shared" ca="1" si="22"/>
        <v>0.16161247491430997</v>
      </c>
      <c r="AG60" s="1">
        <f t="shared" ca="1" si="23"/>
        <v>866</v>
      </c>
      <c r="AH60" s="1">
        <f t="shared" ca="1" si="24"/>
        <v>3.8718348328336547E-3</v>
      </c>
      <c r="AJ60" s="1">
        <f t="shared" ca="1" si="25"/>
        <v>0.15316537386154083</v>
      </c>
      <c r="AK60" s="1">
        <f t="shared" ca="1" si="26"/>
        <v>3.0284866333069363E-3</v>
      </c>
      <c r="AL60" s="1"/>
      <c r="AM60" s="1">
        <f t="shared" ca="1" si="27"/>
        <v>8.0548827527756148E-2</v>
      </c>
      <c r="AN60" s="1">
        <f t="shared" ca="1" si="28"/>
        <v>55</v>
      </c>
      <c r="AO60" s="1">
        <f t="shared" ca="1" si="29"/>
        <v>13</v>
      </c>
      <c r="AQ60" s="1">
        <f t="shared" ca="1" si="30"/>
        <v>121</v>
      </c>
      <c r="AR60" s="1">
        <f t="shared" ca="1" si="31"/>
        <v>2</v>
      </c>
      <c r="AS60" s="1">
        <f t="shared" ca="1" si="32"/>
        <v>47</v>
      </c>
      <c r="AU60" s="1">
        <f t="shared" ca="1" si="33"/>
        <v>106</v>
      </c>
      <c r="AV60" s="1">
        <f t="shared" ca="1" si="34"/>
        <v>8</v>
      </c>
      <c r="AW60" s="1">
        <f t="shared" ca="1" si="35"/>
        <v>0.14684837059905734</v>
      </c>
      <c r="AY60" s="1">
        <f t="shared" ca="1" si="36"/>
        <v>1.5741995308632899</v>
      </c>
      <c r="AZ60" s="1">
        <f t="shared" ca="1" si="37"/>
        <v>398</v>
      </c>
      <c r="BA60" s="1">
        <f t="shared" ca="1" si="38"/>
        <v>3.7442306577984701E-3</v>
      </c>
      <c r="BG60" s="1">
        <f t="shared" ca="1" si="39"/>
        <v>0.48324283117951861</v>
      </c>
      <c r="BH60" s="1">
        <f t="shared" ca="1" si="40"/>
        <v>0.54146373570655038</v>
      </c>
      <c r="BI60" s="1">
        <f t="shared" ca="1" si="41"/>
        <v>490</v>
      </c>
      <c r="BV60" s="1">
        <f t="shared" ca="1" si="42"/>
        <v>0.6405105363598087</v>
      </c>
      <c r="BW60" s="1">
        <f t="shared" ca="1" si="43"/>
        <v>832</v>
      </c>
      <c r="BX60" s="1">
        <f t="shared" ca="1" si="44"/>
        <v>1.8284881905973316E-3</v>
      </c>
      <c r="BY60" s="1">
        <f t="shared" ca="1" si="45"/>
        <v>4.2195200178801358E-2</v>
      </c>
      <c r="BZ60" s="1">
        <f t="shared" ca="1" si="46"/>
        <v>0.95469801421491463</v>
      </c>
      <c r="CB60" s="1">
        <f t="shared" ca="1" si="47"/>
        <v>479</v>
      </c>
      <c r="CC60" s="1">
        <f t="shared" ca="1" si="48"/>
        <v>9</v>
      </c>
      <c r="CD60" s="1">
        <f t="shared" ca="1" si="49"/>
        <v>0.29930078096635715</v>
      </c>
      <c r="CE60" s="1">
        <f t="shared" ca="1" si="71"/>
        <v>0.85925967893895183</v>
      </c>
      <c r="CF60" s="1">
        <f t="shared" ca="1" si="71"/>
        <v>0.94319044238855598</v>
      </c>
      <c r="CH60" s="3">
        <f t="shared" ca="1" si="51"/>
        <v>3.3865676252083907E-2</v>
      </c>
      <c r="CI60" s="3">
        <f t="shared" ca="1" si="52"/>
        <v>0.87191099024847973</v>
      </c>
      <c r="CJ60" s="3">
        <f t="shared" ca="1" si="53"/>
        <v>445</v>
      </c>
      <c r="CK60" s="3">
        <f t="shared" ca="1" si="54"/>
        <v>3.0577300599714074E-3</v>
      </c>
      <c r="CL60" s="3">
        <f t="shared" ca="1" si="55"/>
        <v>1</v>
      </c>
      <c r="CM60" s="3"/>
      <c r="CN60" s="1">
        <f t="shared" ca="1" si="56"/>
        <v>15.045572909046051</v>
      </c>
      <c r="CO60" s="1">
        <f t="shared" ca="1" si="57"/>
        <v>0.1875878701450116</v>
      </c>
      <c r="CP60" s="1">
        <f t="shared" ca="1" si="58"/>
        <v>3</v>
      </c>
      <c r="CV60" s="1">
        <f t="shared" ca="1" si="59"/>
        <v>1.3830250424707484</v>
      </c>
      <c r="CW60" s="1">
        <f t="shared" ca="1" si="60"/>
        <v>787</v>
      </c>
      <c r="CX60" s="1">
        <f t="shared" ca="1" si="61"/>
        <v>3.0436583069318943E-3</v>
      </c>
      <c r="DH60" s="1">
        <f t="shared" ca="1" si="62"/>
        <v>99</v>
      </c>
      <c r="DI60" s="1">
        <f t="shared" ca="1" si="63"/>
        <v>3.2111614543776104E-2</v>
      </c>
      <c r="DJ60" s="1">
        <f t="shared" ca="1" si="64"/>
        <v>15</v>
      </c>
      <c r="DL60" s="1">
        <f t="shared" ca="1" si="65"/>
        <v>0.12182662078022392</v>
      </c>
      <c r="DM60" s="1">
        <f t="shared" ca="1" si="66"/>
        <v>74</v>
      </c>
      <c r="DN60" s="1">
        <f t="shared" ca="1" si="67"/>
        <v>7</v>
      </c>
    </row>
    <row r="61" spans="2:118" x14ac:dyDescent="0.25">
      <c r="B61">
        <f t="shared" ca="1" si="0"/>
        <v>742</v>
      </c>
      <c r="C61">
        <f t="shared" ca="1" si="1"/>
        <v>31</v>
      </c>
      <c r="D61">
        <f t="shared" ca="1" si="2"/>
        <v>0.1582316107630882</v>
      </c>
      <c r="F61" s="1">
        <f t="shared" ca="1" si="3"/>
        <v>41</v>
      </c>
      <c r="G61" s="1">
        <f t="shared" ca="1" si="4"/>
        <v>3</v>
      </c>
      <c r="H61" s="1">
        <f t="shared" ca="1" si="5"/>
        <v>14</v>
      </c>
      <c r="I61" s="1"/>
      <c r="J61" s="1">
        <f t="shared" ca="1" si="6"/>
        <v>35</v>
      </c>
      <c r="K61" s="1">
        <f t="shared" ca="1" si="7"/>
        <v>1.7730994200106933</v>
      </c>
      <c r="L61" s="1">
        <f t="shared" ca="1" si="8"/>
        <v>26</v>
      </c>
      <c r="M61" s="1"/>
      <c r="N61" s="1">
        <f t="shared" ca="1" si="9"/>
        <v>681</v>
      </c>
      <c r="O61" s="1">
        <f t="shared" ca="1" si="10"/>
        <v>29</v>
      </c>
      <c r="P61" s="1"/>
      <c r="Q61" s="1">
        <f t="shared" ca="1" si="11"/>
        <v>0.59519328884790712</v>
      </c>
      <c r="R61" s="1">
        <f t="shared" ca="1" si="12"/>
        <v>948</v>
      </c>
      <c r="S61" s="1"/>
      <c r="T61" s="1">
        <f t="shared" ca="1" si="13"/>
        <v>3.3645210729489339E-2</v>
      </c>
      <c r="U61" s="1">
        <f t="shared" ca="1" si="14"/>
        <v>102</v>
      </c>
      <c r="V61" s="1">
        <f t="shared" ca="1" si="15"/>
        <v>27</v>
      </c>
      <c r="W61" s="1"/>
      <c r="X61" s="1">
        <f t="shared" ca="1" si="16"/>
        <v>1.7453686940745865</v>
      </c>
      <c r="Y61" s="1">
        <f t="shared" ca="1" si="17"/>
        <v>0.63936030038615488</v>
      </c>
      <c r="Z61" s="1">
        <f t="shared" ca="1" si="18"/>
        <v>560</v>
      </c>
      <c r="AB61" s="1">
        <f t="shared" ca="1" si="19"/>
        <v>0.79933013942030084</v>
      </c>
      <c r="AC61" s="1">
        <f t="shared" ca="1" si="20"/>
        <v>419</v>
      </c>
      <c r="AD61" s="1">
        <f t="shared" ca="1" si="21"/>
        <v>2.6324274315688086E-3</v>
      </c>
      <c r="AE61" s="1"/>
      <c r="AF61" s="1">
        <f t="shared" ca="1" si="22"/>
        <v>0.65818888074701232</v>
      </c>
      <c r="AG61" s="1">
        <f t="shared" ca="1" si="23"/>
        <v>423</v>
      </c>
      <c r="AH61" s="1">
        <f t="shared" ca="1" si="24"/>
        <v>2.6139782632929273E-3</v>
      </c>
      <c r="AJ61" s="1">
        <f t="shared" ca="1" si="25"/>
        <v>0.55916086925117381</v>
      </c>
      <c r="AK61" s="1">
        <f t="shared" ca="1" si="26"/>
        <v>2.8118383173067986E-3</v>
      </c>
      <c r="AL61" s="1"/>
      <c r="AM61" s="1">
        <f t="shared" ca="1" si="27"/>
        <v>0.16969004350918493</v>
      </c>
      <c r="AN61" s="1">
        <f t="shared" ca="1" si="28"/>
        <v>53</v>
      </c>
      <c r="AO61" s="1">
        <f t="shared" ca="1" si="29"/>
        <v>3</v>
      </c>
      <c r="AQ61" s="1">
        <f t="shared" ca="1" si="30"/>
        <v>27</v>
      </c>
      <c r="AR61" s="1">
        <f t="shared" ca="1" si="31"/>
        <v>7</v>
      </c>
      <c r="AS61" s="1">
        <f t="shared" ca="1" si="32"/>
        <v>28</v>
      </c>
      <c r="AU61" s="1">
        <f t="shared" ca="1" si="33"/>
        <v>219</v>
      </c>
      <c r="AV61" s="1">
        <f t="shared" ca="1" si="34"/>
        <v>4</v>
      </c>
      <c r="AW61" s="1">
        <f t="shared" ca="1" si="35"/>
        <v>0.13044231082602903</v>
      </c>
      <c r="AY61" s="1">
        <f t="shared" ca="1" si="36"/>
        <v>1.9662123610572633</v>
      </c>
      <c r="AZ61" s="1">
        <f t="shared" ca="1" si="37"/>
        <v>84</v>
      </c>
      <c r="BA61" s="1">
        <f t="shared" ca="1" si="38"/>
        <v>2.1368750006651536E-3</v>
      </c>
      <c r="BG61" s="1">
        <f t="shared" ca="1" si="39"/>
        <v>0.50500156779311822</v>
      </c>
      <c r="BH61" s="1">
        <f t="shared" ca="1" si="40"/>
        <v>0.20602922278201075</v>
      </c>
      <c r="BI61" s="1">
        <f t="shared" ca="1" si="41"/>
        <v>633</v>
      </c>
      <c r="BV61" s="1">
        <f t="shared" ca="1" si="42"/>
        <v>0.21506569202463627</v>
      </c>
      <c r="BW61" s="1">
        <f t="shared" ca="1" si="43"/>
        <v>666</v>
      </c>
      <c r="BX61" s="1">
        <f t="shared" ca="1" si="44"/>
        <v>1.1974337602462923E-3</v>
      </c>
      <c r="BY61" s="1">
        <f t="shared" ca="1" si="45"/>
        <v>7.3234901352543597E-2</v>
      </c>
      <c r="BZ61" s="1">
        <f t="shared" ca="1" si="46"/>
        <v>9.8852749512692517E-2</v>
      </c>
      <c r="CB61" s="1">
        <f t="shared" ca="1" si="47"/>
        <v>474</v>
      </c>
      <c r="CC61" s="1">
        <f t="shared" ca="1" si="48"/>
        <v>4</v>
      </c>
      <c r="CD61" s="1">
        <f t="shared" ca="1" si="49"/>
        <v>0.23414364284409139</v>
      </c>
      <c r="CE61" s="1">
        <f t="shared" ca="1" si="71"/>
        <v>0.84972772840962518</v>
      </c>
      <c r="CF61" s="1">
        <f t="shared" ca="1" si="71"/>
        <v>0.63851254328545237</v>
      </c>
      <c r="CH61" s="3">
        <f t="shared" ca="1" si="51"/>
        <v>0.22128219763968104</v>
      </c>
      <c r="CI61" s="3">
        <f t="shared" ca="1" si="52"/>
        <v>0.63305834920965565</v>
      </c>
      <c r="CJ61" s="3">
        <f t="shared" ca="1" si="53"/>
        <v>263</v>
      </c>
      <c r="CK61" s="3">
        <f t="shared" ca="1" si="54"/>
        <v>1.5351941620246616E-3</v>
      </c>
      <c r="CL61" s="3">
        <f t="shared" ca="1" si="55"/>
        <v>0</v>
      </c>
      <c r="CM61" s="3"/>
      <c r="CN61" s="1">
        <f t="shared" ca="1" si="56"/>
        <v>6.9794964098075996</v>
      </c>
      <c r="CO61" s="1">
        <f t="shared" ca="1" si="57"/>
        <v>0.47916835723501644</v>
      </c>
      <c r="CP61" s="1">
        <f t="shared" ca="1" si="58"/>
        <v>4</v>
      </c>
      <c r="CV61" s="1">
        <f t="shared" ca="1" si="59"/>
        <v>3.3342179217756325</v>
      </c>
      <c r="CW61" s="1">
        <f t="shared" ca="1" si="60"/>
        <v>840</v>
      </c>
      <c r="CX61" s="1">
        <f t="shared" ca="1" si="61"/>
        <v>5.6164913441763987E-3</v>
      </c>
      <c r="DH61" s="1">
        <f t="shared" ca="1" si="62"/>
        <v>651</v>
      </c>
      <c r="DI61" s="1">
        <f t="shared" ca="1" si="63"/>
        <v>0.35752566007145975</v>
      </c>
      <c r="DJ61" s="1">
        <f t="shared" ca="1" si="64"/>
        <v>4</v>
      </c>
      <c r="DL61" s="1">
        <f t="shared" ca="1" si="65"/>
        <v>4.3080471793547515E-2</v>
      </c>
      <c r="DM61" s="1">
        <f t="shared" ca="1" si="66"/>
        <v>130</v>
      </c>
      <c r="DN61" s="1">
        <f t="shared" ca="1" si="67"/>
        <v>5</v>
      </c>
    </row>
    <row r="62" spans="2:118" x14ac:dyDescent="0.25">
      <c r="B62">
        <f t="shared" ca="1" si="0"/>
        <v>811</v>
      </c>
      <c r="C62">
        <f t="shared" ca="1" si="1"/>
        <v>20</v>
      </c>
      <c r="D62">
        <f t="shared" ca="1" si="2"/>
        <v>0.15351727974497648</v>
      </c>
      <c r="F62" s="1">
        <f t="shared" ca="1" si="3"/>
        <v>27</v>
      </c>
      <c r="G62" s="1">
        <f t="shared" ca="1" si="4"/>
        <v>12</v>
      </c>
      <c r="H62" s="1">
        <f t="shared" ca="1" si="5"/>
        <v>15</v>
      </c>
      <c r="I62" s="1"/>
      <c r="J62" s="1">
        <f t="shared" ca="1" si="6"/>
        <v>28</v>
      </c>
      <c r="K62" s="1">
        <f t="shared" ca="1" si="7"/>
        <v>1.0138465871171238</v>
      </c>
      <c r="L62" s="1">
        <f t="shared" ca="1" si="8"/>
        <v>5</v>
      </c>
      <c r="M62" s="1"/>
      <c r="N62" s="1">
        <f t="shared" ca="1" si="9"/>
        <v>50</v>
      </c>
      <c r="O62" s="1">
        <f t="shared" ca="1" si="10"/>
        <v>51</v>
      </c>
      <c r="P62" s="1"/>
      <c r="Q62" s="1">
        <f t="shared" ca="1" si="11"/>
        <v>0.53393748617012704</v>
      </c>
      <c r="R62" s="1">
        <f t="shared" ca="1" si="12"/>
        <v>601</v>
      </c>
      <c r="S62" s="1"/>
      <c r="T62" s="1">
        <f t="shared" ca="1" si="13"/>
        <v>1.796326388190337E-2</v>
      </c>
      <c r="U62" s="1">
        <f t="shared" ca="1" si="14"/>
        <v>433</v>
      </c>
      <c r="V62" s="1">
        <f t="shared" ca="1" si="15"/>
        <v>8</v>
      </c>
      <c r="W62" s="1"/>
      <c r="X62" s="1">
        <f t="shared" ca="1" si="16"/>
        <v>9.2044106321966783</v>
      </c>
      <c r="Y62" s="1">
        <f t="shared" ca="1" si="17"/>
        <v>0.54897759046958294</v>
      </c>
      <c r="Z62" s="1">
        <f t="shared" ca="1" si="18"/>
        <v>955</v>
      </c>
      <c r="AB62" s="1">
        <f t="shared" ca="1" si="19"/>
        <v>3.8344031502359752E-2</v>
      </c>
      <c r="AC62" s="1">
        <f t="shared" ca="1" si="20"/>
        <v>935</v>
      </c>
      <c r="AD62" s="1">
        <f t="shared" ca="1" si="21"/>
        <v>8.3512213079265409E-3</v>
      </c>
      <c r="AE62" s="1"/>
      <c r="AF62" s="1">
        <f t="shared" ca="1" si="22"/>
        <v>0.19130691009880094</v>
      </c>
      <c r="AG62" s="1">
        <f t="shared" ca="1" si="23"/>
        <v>135</v>
      </c>
      <c r="AH62" s="1">
        <f t="shared" ca="1" si="24"/>
        <v>4.0609300348364089E-3</v>
      </c>
      <c r="AJ62" s="1">
        <f t="shared" ca="1" si="25"/>
        <v>0.82922309009805306</v>
      </c>
      <c r="AK62" s="1">
        <f t="shared" ca="1" si="26"/>
        <v>3.1027354153525589E-3</v>
      </c>
      <c r="AL62" s="1"/>
      <c r="AM62" s="1">
        <f t="shared" ca="1" si="27"/>
        <v>0.15667505240654236</v>
      </c>
      <c r="AN62" s="1">
        <f t="shared" ca="1" si="28"/>
        <v>52</v>
      </c>
      <c r="AO62" s="1">
        <f t="shared" ca="1" si="29"/>
        <v>17</v>
      </c>
      <c r="AQ62" s="1">
        <f t="shared" ca="1" si="30"/>
        <v>175</v>
      </c>
      <c r="AR62" s="1">
        <f t="shared" ca="1" si="31"/>
        <v>5</v>
      </c>
      <c r="AS62" s="1">
        <f t="shared" ca="1" si="32"/>
        <v>5</v>
      </c>
      <c r="AU62" s="1">
        <f t="shared" ca="1" si="33"/>
        <v>387</v>
      </c>
      <c r="AV62" s="1">
        <f t="shared" ca="1" si="34"/>
        <v>8</v>
      </c>
      <c r="AW62" s="1">
        <f t="shared" ca="1" si="35"/>
        <v>9.1847985094411791E-2</v>
      </c>
      <c r="AY62" s="1">
        <f t="shared" ca="1" si="36"/>
        <v>1.8459771876193074</v>
      </c>
      <c r="AZ62" s="1">
        <f t="shared" ca="1" si="37"/>
        <v>406</v>
      </c>
      <c r="BA62" s="1">
        <f t="shared" ca="1" si="38"/>
        <v>9.2630156411612E-3</v>
      </c>
      <c r="BG62" s="1">
        <f t="shared" ca="1" si="39"/>
        <v>0.36584883981982486</v>
      </c>
      <c r="BH62" s="1">
        <f t="shared" ca="1" si="40"/>
        <v>0.56238402434180823</v>
      </c>
      <c r="BI62" s="1">
        <f t="shared" ca="1" si="41"/>
        <v>662</v>
      </c>
      <c r="BV62" s="1">
        <f t="shared" ca="1" si="42"/>
        <v>0.29483934930813643</v>
      </c>
      <c r="BW62" s="1">
        <f t="shared" ca="1" si="43"/>
        <v>807</v>
      </c>
      <c r="BX62" s="1">
        <f t="shared" ca="1" si="44"/>
        <v>5.1124078531669705E-3</v>
      </c>
      <c r="BY62" s="1">
        <f t="shared" ca="1" si="45"/>
        <v>3.2685700626397911E-2</v>
      </c>
      <c r="BZ62" s="1">
        <f t="shared" ca="1" si="46"/>
        <v>0.18082544236903819</v>
      </c>
      <c r="CB62" s="1">
        <f t="shared" ca="1" si="47"/>
        <v>131</v>
      </c>
      <c r="CC62" s="1">
        <f t="shared" ca="1" si="48"/>
        <v>7</v>
      </c>
      <c r="CD62" s="1">
        <f t="shared" ca="1" si="49"/>
        <v>0.11297760005223037</v>
      </c>
      <c r="CE62" s="1">
        <f t="shared" ca="1" si="71"/>
        <v>0.72927142653689392</v>
      </c>
      <c r="CF62" s="1">
        <f t="shared" ca="1" si="71"/>
        <v>0.84738619718479224</v>
      </c>
      <c r="CH62" s="3">
        <f t="shared" ca="1" si="51"/>
        <v>0.90980050031721116</v>
      </c>
      <c r="CI62" s="3">
        <f t="shared" ca="1" si="52"/>
        <v>0.25606530161481644</v>
      </c>
      <c r="CJ62" s="3">
        <f t="shared" ca="1" si="53"/>
        <v>891</v>
      </c>
      <c r="CK62" s="3">
        <f t="shared" ca="1" si="54"/>
        <v>8.1482192892015168E-3</v>
      </c>
      <c r="CL62" s="3">
        <f t="shared" ca="1" si="55"/>
        <v>1</v>
      </c>
      <c r="CM62" s="3"/>
      <c r="CN62" s="1">
        <f t="shared" ca="1" si="56"/>
        <v>1.0456238675044385</v>
      </c>
      <c r="CO62" s="1">
        <f t="shared" ca="1" si="57"/>
        <v>0.44282409222780217</v>
      </c>
      <c r="CP62" s="1">
        <f t="shared" ca="1" si="58"/>
        <v>3</v>
      </c>
      <c r="CV62" s="1">
        <f t="shared" ca="1" si="59"/>
        <v>9.7637181509396687</v>
      </c>
      <c r="CW62" s="1">
        <f t="shared" ca="1" si="60"/>
        <v>1876</v>
      </c>
      <c r="CX62" s="1">
        <f t="shared" ca="1" si="61"/>
        <v>2.7002786461809715E-3</v>
      </c>
      <c r="DH62" s="1">
        <f t="shared" ca="1" si="62"/>
        <v>393</v>
      </c>
      <c r="DI62" s="1">
        <f t="shared" ca="1" si="63"/>
        <v>0.16617678565178645</v>
      </c>
      <c r="DJ62" s="1">
        <f t="shared" ca="1" si="64"/>
        <v>23</v>
      </c>
      <c r="DL62" s="1">
        <f t="shared" ca="1" si="65"/>
        <v>4.6846702732947186E-2</v>
      </c>
      <c r="DM62" s="1">
        <f t="shared" ca="1" si="66"/>
        <v>101</v>
      </c>
      <c r="DN62" s="1">
        <f t="shared" ca="1" si="67"/>
        <v>7</v>
      </c>
    </row>
    <row r="63" spans="2:118" x14ac:dyDescent="0.25">
      <c r="B63">
        <f t="shared" ca="1" si="0"/>
        <v>432</v>
      </c>
      <c r="C63">
        <f t="shared" ca="1" si="1"/>
        <v>52</v>
      </c>
      <c r="D63">
        <f t="shared" ca="1" si="2"/>
        <v>0.2847721013194488</v>
      </c>
      <c r="F63" s="1">
        <f t="shared" ca="1" si="3"/>
        <v>11</v>
      </c>
      <c r="G63" s="1">
        <f t="shared" ca="1" si="4"/>
        <v>22</v>
      </c>
      <c r="H63" s="1">
        <f t="shared" ca="1" si="5"/>
        <v>14</v>
      </c>
      <c r="I63" s="1"/>
      <c r="J63" s="1">
        <f t="shared" ca="1" si="6"/>
        <v>32</v>
      </c>
      <c r="K63" s="1">
        <f t="shared" ca="1" si="7"/>
        <v>2.5148852482215691</v>
      </c>
      <c r="L63" s="1">
        <f t="shared" ca="1" si="8"/>
        <v>8</v>
      </c>
      <c r="M63" s="1"/>
      <c r="N63" s="1">
        <f t="shared" ca="1" si="9"/>
        <v>929</v>
      </c>
      <c r="O63" s="1">
        <f t="shared" ca="1" si="10"/>
        <v>14</v>
      </c>
      <c r="P63" s="1"/>
      <c r="Q63" s="1">
        <f t="shared" ca="1" si="11"/>
        <v>1.5202496146250399</v>
      </c>
      <c r="R63" s="1">
        <f t="shared" ca="1" si="12"/>
        <v>756</v>
      </c>
      <c r="S63" s="1"/>
      <c r="T63" s="1">
        <f t="shared" ca="1" si="13"/>
        <v>8.9493825562946314E-2</v>
      </c>
      <c r="U63" s="1">
        <f t="shared" ca="1" si="14"/>
        <v>394</v>
      </c>
      <c r="V63" s="1">
        <f t="shared" ca="1" si="15"/>
        <v>46</v>
      </c>
      <c r="W63" s="1"/>
      <c r="X63" s="1">
        <f t="shared" ca="1" si="16"/>
        <v>5.7882174430905708</v>
      </c>
      <c r="Y63" s="1">
        <f t="shared" ca="1" si="17"/>
        <v>0.53254082570693351</v>
      </c>
      <c r="Z63" s="1">
        <f t="shared" ca="1" si="18"/>
        <v>1380</v>
      </c>
      <c r="AB63" s="1">
        <f t="shared" ca="1" si="19"/>
        <v>0.96445081541352107</v>
      </c>
      <c r="AC63" s="1">
        <f t="shared" ca="1" si="20"/>
        <v>859</v>
      </c>
      <c r="AD63" s="1">
        <f t="shared" ca="1" si="21"/>
        <v>7.2701419271777199E-3</v>
      </c>
      <c r="AE63" s="1"/>
      <c r="AF63" s="1">
        <f t="shared" ca="1" si="22"/>
        <v>0.25469363353333241</v>
      </c>
      <c r="AG63" s="1">
        <f t="shared" ca="1" si="23"/>
        <v>150</v>
      </c>
      <c r="AH63" s="1">
        <f t="shared" ca="1" si="24"/>
        <v>9.6491830441650921E-3</v>
      </c>
      <c r="AJ63" s="1">
        <f t="shared" ca="1" si="25"/>
        <v>0.76372317425423653</v>
      </c>
      <c r="AK63" s="1">
        <f t="shared" ca="1" si="26"/>
        <v>7.2294828919788681E-3</v>
      </c>
      <c r="AL63" s="1"/>
      <c r="AM63" s="1">
        <f t="shared" ca="1" si="27"/>
        <v>3.0935481682372659E-2</v>
      </c>
      <c r="AN63" s="1">
        <f t="shared" ca="1" si="28"/>
        <v>33</v>
      </c>
      <c r="AO63" s="1">
        <f t="shared" ca="1" si="29"/>
        <v>1</v>
      </c>
      <c r="AQ63" s="1">
        <f t="shared" ca="1" si="30"/>
        <v>85</v>
      </c>
      <c r="AR63" s="1">
        <f t="shared" ca="1" si="31"/>
        <v>10</v>
      </c>
      <c r="AS63" s="1">
        <f t="shared" ca="1" si="32"/>
        <v>30</v>
      </c>
      <c r="AU63" s="1">
        <f t="shared" ca="1" si="33"/>
        <v>87</v>
      </c>
      <c r="AV63" s="1">
        <f t="shared" ca="1" si="34"/>
        <v>8</v>
      </c>
      <c r="AW63" s="1">
        <f t="shared" ca="1" si="35"/>
        <v>5.1398697619521511E-2</v>
      </c>
      <c r="AY63" s="1">
        <f t="shared" ca="1" si="36"/>
        <v>1.3913075967828521</v>
      </c>
      <c r="AZ63" s="1">
        <f t="shared" ca="1" si="37"/>
        <v>315</v>
      </c>
      <c r="BA63" s="1">
        <f t="shared" ca="1" si="38"/>
        <v>7.6556388940212236E-3</v>
      </c>
      <c r="BG63" s="1">
        <f t="shared" ca="1" si="39"/>
        <v>0.33297760709719398</v>
      </c>
      <c r="BH63" s="1">
        <f t="shared" ca="1" si="40"/>
        <v>0.89626829248812567</v>
      </c>
      <c r="BI63" s="1">
        <f t="shared" ca="1" si="41"/>
        <v>750</v>
      </c>
      <c r="BV63" s="1">
        <f t="shared" ca="1" si="42"/>
        <v>0.47792011361653169</v>
      </c>
      <c r="BW63" s="1">
        <f t="shared" ca="1" si="43"/>
        <v>333</v>
      </c>
      <c r="BX63" s="1">
        <f t="shared" ca="1" si="44"/>
        <v>2.1424792244712156E-3</v>
      </c>
      <c r="BY63" s="1">
        <f t="shared" ca="1" si="45"/>
        <v>5.7706882227370825E-2</v>
      </c>
      <c r="BZ63" s="1">
        <f t="shared" ca="1" si="46"/>
        <v>0.44531425573699923</v>
      </c>
      <c r="CB63" s="1">
        <f t="shared" ca="1" si="47"/>
        <v>249</v>
      </c>
      <c r="CC63" s="1">
        <f t="shared" ca="1" si="48"/>
        <v>3</v>
      </c>
      <c r="CD63" s="1">
        <f t="shared" ca="1" si="49"/>
        <v>1.0004436689238325E-2</v>
      </c>
      <c r="CE63" s="1">
        <f t="shared" ca="1" si="71"/>
        <v>0.9513211468654359</v>
      </c>
      <c r="CF63" s="1">
        <f t="shared" ca="1" si="71"/>
        <v>0.66728676043501189</v>
      </c>
      <c r="CH63" s="3">
        <f t="shared" ca="1" si="51"/>
        <v>6.5001252909086635E-2</v>
      </c>
      <c r="CI63" s="3">
        <f t="shared" ca="1" si="52"/>
        <v>0.45185028680236133</v>
      </c>
      <c r="CJ63" s="3">
        <f t="shared" ca="1" si="53"/>
        <v>1282</v>
      </c>
      <c r="CK63" s="3">
        <f t="shared" ca="1" si="54"/>
        <v>1.7954544166632878E-3</v>
      </c>
      <c r="CL63" s="3">
        <f t="shared" ca="1" si="55"/>
        <v>0</v>
      </c>
      <c r="CM63" s="3"/>
      <c r="CN63" s="1">
        <f t="shared" ca="1" si="56"/>
        <v>6.4488724462820599</v>
      </c>
      <c r="CO63" s="1">
        <f t="shared" ca="1" si="57"/>
        <v>0.37717543754444716</v>
      </c>
      <c r="CP63" s="1">
        <f t="shared" ca="1" si="58"/>
        <v>5</v>
      </c>
      <c r="CV63" s="1">
        <f t="shared" ca="1" si="59"/>
        <v>8.7378656844145262</v>
      </c>
      <c r="CW63" s="1">
        <f t="shared" ca="1" si="60"/>
        <v>1039</v>
      </c>
      <c r="CX63" s="1">
        <f t="shared" ca="1" si="61"/>
        <v>8.5557771480539065E-3</v>
      </c>
      <c r="DH63" s="1">
        <f t="shared" ca="1" si="62"/>
        <v>768</v>
      </c>
      <c r="DI63" s="1">
        <f t="shared" ca="1" si="63"/>
        <v>8.9667459473235747E-2</v>
      </c>
      <c r="DJ63" s="1">
        <f t="shared" ca="1" si="64"/>
        <v>19</v>
      </c>
      <c r="DL63" s="1">
        <f t="shared" ca="1" si="65"/>
        <v>0.18200677743384133</v>
      </c>
      <c r="DM63" s="1">
        <f t="shared" ca="1" si="66"/>
        <v>175</v>
      </c>
      <c r="DN63" s="1">
        <f t="shared" ca="1" si="67"/>
        <v>6</v>
      </c>
    </row>
    <row r="64" spans="2:118" x14ac:dyDescent="0.25">
      <c r="B64">
        <f t="shared" ca="1" si="0"/>
        <v>586</v>
      </c>
      <c r="C64">
        <f t="shared" ca="1" si="1"/>
        <v>37</v>
      </c>
      <c r="D64">
        <f t="shared" ca="1" si="2"/>
        <v>3.8791448847646903E-2</v>
      </c>
      <c r="F64" s="1">
        <f t="shared" ca="1" si="3"/>
        <v>23</v>
      </c>
      <c r="G64" s="1">
        <f t="shared" ca="1" si="4"/>
        <v>19</v>
      </c>
      <c r="H64" s="1">
        <f t="shared" ca="1" si="5"/>
        <v>6</v>
      </c>
      <c r="I64" s="1"/>
      <c r="J64" s="1">
        <f t="shared" ca="1" si="6"/>
        <v>16</v>
      </c>
      <c r="K64" s="1">
        <f t="shared" ca="1" si="7"/>
        <v>2.1533356977475693</v>
      </c>
      <c r="L64" s="1">
        <f t="shared" ca="1" si="8"/>
        <v>6</v>
      </c>
      <c r="M64" s="1"/>
      <c r="N64" s="1">
        <f t="shared" ca="1" si="9"/>
        <v>844</v>
      </c>
      <c r="O64" s="1">
        <f t="shared" ca="1" si="10"/>
        <v>11</v>
      </c>
      <c r="P64" s="1"/>
      <c r="Q64" s="1">
        <f t="shared" ca="1" si="11"/>
        <v>3.7752708573467562</v>
      </c>
      <c r="R64" s="1">
        <f t="shared" ca="1" si="12"/>
        <v>844</v>
      </c>
      <c r="S64" s="1"/>
      <c r="T64" s="1">
        <f t="shared" ca="1" si="13"/>
        <v>0.11533790785893167</v>
      </c>
      <c r="U64" s="1">
        <f t="shared" ca="1" si="14"/>
        <v>267</v>
      </c>
      <c r="V64" s="1">
        <f t="shared" ca="1" si="15"/>
        <v>46</v>
      </c>
      <c r="W64" s="1"/>
      <c r="X64" s="1">
        <f t="shared" ca="1" si="16"/>
        <v>4.243054510742807</v>
      </c>
      <c r="Y64" s="1">
        <f t="shared" ca="1" si="17"/>
        <v>0.17253737816439599</v>
      </c>
      <c r="Z64" s="1">
        <f t="shared" ca="1" si="18"/>
        <v>1414</v>
      </c>
      <c r="AB64" s="1">
        <f t="shared" ca="1" si="19"/>
        <v>0.67862203369117302</v>
      </c>
      <c r="AC64" s="1">
        <f t="shared" ca="1" si="20"/>
        <v>352</v>
      </c>
      <c r="AD64" s="1">
        <f t="shared" ca="1" si="21"/>
        <v>6.122392035423474E-3</v>
      </c>
      <c r="AE64" s="1"/>
      <c r="AF64" s="1">
        <f t="shared" ca="1" si="22"/>
        <v>0.83237332913578554</v>
      </c>
      <c r="AG64" s="1">
        <f t="shared" ca="1" si="23"/>
        <v>340</v>
      </c>
      <c r="AH64" s="1">
        <f t="shared" ca="1" si="24"/>
        <v>9.9436149981168317E-4</v>
      </c>
      <c r="AJ64" s="1">
        <f t="shared" ca="1" si="25"/>
        <v>0.79120072269764141</v>
      </c>
      <c r="AK64" s="1">
        <f t="shared" ca="1" si="26"/>
        <v>1.9239159109387827E-3</v>
      </c>
      <c r="AL64" s="1"/>
      <c r="AM64" s="1">
        <f t="shared" ca="1" si="27"/>
        <v>2.3423281382421387E-2</v>
      </c>
      <c r="AN64" s="1">
        <f t="shared" ca="1" si="28"/>
        <v>48</v>
      </c>
      <c r="AO64" s="1">
        <f t="shared" ca="1" si="29"/>
        <v>20</v>
      </c>
      <c r="AQ64" s="1">
        <f t="shared" ca="1" si="30"/>
        <v>94</v>
      </c>
      <c r="AR64" s="1">
        <f t="shared" ca="1" si="31"/>
        <v>2</v>
      </c>
      <c r="AS64" s="1">
        <f t="shared" ca="1" si="32"/>
        <v>78</v>
      </c>
      <c r="AU64" s="1">
        <f t="shared" ca="1" si="33"/>
        <v>376</v>
      </c>
      <c r="AV64" s="1">
        <f t="shared" ca="1" si="34"/>
        <v>6</v>
      </c>
      <c r="AW64" s="1">
        <f t="shared" ca="1" si="35"/>
        <v>0.10814937681794788</v>
      </c>
      <c r="AY64" s="1">
        <f t="shared" ca="1" si="36"/>
        <v>1.6074420064837329</v>
      </c>
      <c r="AZ64" s="1">
        <f t="shared" ca="1" si="37"/>
        <v>147</v>
      </c>
      <c r="BA64" s="1">
        <f t="shared" ca="1" si="38"/>
        <v>4.0147666613824023E-3</v>
      </c>
      <c r="BG64" s="1">
        <f t="shared" ca="1" si="39"/>
        <v>0.73448770803093133</v>
      </c>
      <c r="BH64" s="1">
        <f t="shared" ca="1" si="40"/>
        <v>0.34143290931573511</v>
      </c>
      <c r="BI64" s="1">
        <f t="shared" ca="1" si="41"/>
        <v>828</v>
      </c>
      <c r="BV64" s="1">
        <f t="shared" ca="1" si="42"/>
        <v>0.53660310141933942</v>
      </c>
      <c r="BW64" s="1">
        <f t="shared" ca="1" si="43"/>
        <v>561</v>
      </c>
      <c r="BX64" s="1">
        <f t="shared" ca="1" si="44"/>
        <v>4.7741814967826018E-3</v>
      </c>
      <c r="BY64" s="1">
        <f t="shared" ca="1" si="45"/>
        <v>1.6172122850599279E-2</v>
      </c>
      <c r="BZ64" s="1">
        <f t="shared" ca="1" si="46"/>
        <v>0.61962667184733755</v>
      </c>
      <c r="CB64" s="1">
        <f t="shared" ca="1" si="47"/>
        <v>420</v>
      </c>
      <c r="CC64" s="1">
        <f t="shared" ca="1" si="48"/>
        <v>11</v>
      </c>
      <c r="CD64" s="1">
        <f t="shared" ca="1" si="49"/>
        <v>0.18204389432587581</v>
      </c>
      <c r="CE64" s="1">
        <f t="shared" ca="1" si="71"/>
        <v>0.93640755199701609</v>
      </c>
      <c r="CF64" s="1">
        <f t="shared" ca="1" si="71"/>
        <v>0.8529016004695158</v>
      </c>
      <c r="CH64" s="3">
        <f t="shared" ca="1" si="51"/>
        <v>0.54024359770151709</v>
      </c>
      <c r="CI64" s="3">
        <f t="shared" ca="1" si="52"/>
        <v>0.35250681084940177</v>
      </c>
      <c r="CJ64" s="3">
        <f t="shared" ca="1" si="53"/>
        <v>960</v>
      </c>
      <c r="CK64" s="3">
        <f t="shared" ca="1" si="54"/>
        <v>3.330269452167578E-3</v>
      </c>
      <c r="CL64" s="3">
        <f t="shared" ca="1" si="55"/>
        <v>1</v>
      </c>
      <c r="CM64" s="3"/>
      <c r="CN64" s="1">
        <f t="shared" ca="1" si="56"/>
        <v>5.7020630610879239</v>
      </c>
      <c r="CO64" s="1">
        <f t="shared" ca="1" si="57"/>
        <v>0.12110008922686558</v>
      </c>
      <c r="CP64" s="1">
        <f t="shared" ca="1" si="58"/>
        <v>2</v>
      </c>
      <c r="CV64" s="1">
        <f t="shared" ca="1" si="59"/>
        <v>2.0638489059572307</v>
      </c>
      <c r="CW64" s="1">
        <f t="shared" ca="1" si="60"/>
        <v>1956</v>
      </c>
      <c r="CX64" s="1">
        <f t="shared" ca="1" si="61"/>
        <v>7.4155645175957583E-3</v>
      </c>
      <c r="DH64" s="1">
        <f t="shared" ca="1" si="62"/>
        <v>79</v>
      </c>
      <c r="DI64" s="1">
        <f t="shared" ca="1" si="63"/>
        <v>0.34445000256190078</v>
      </c>
      <c r="DJ64" s="1">
        <f t="shared" ca="1" si="64"/>
        <v>5</v>
      </c>
      <c r="DL64" s="1">
        <f t="shared" ca="1" si="65"/>
        <v>0.18397374433419933</v>
      </c>
      <c r="DM64" s="1">
        <f t="shared" ca="1" si="66"/>
        <v>244</v>
      </c>
      <c r="DN64" s="1">
        <f t="shared" ca="1" si="67"/>
        <v>10</v>
      </c>
    </row>
    <row r="65" spans="2:118" x14ac:dyDescent="0.25">
      <c r="B65">
        <f t="shared" ca="1" si="0"/>
        <v>614</v>
      </c>
      <c r="C65">
        <f t="shared" ca="1" si="1"/>
        <v>16</v>
      </c>
      <c r="D65">
        <f t="shared" ca="1" si="2"/>
        <v>0.11422432530101363</v>
      </c>
      <c r="F65" s="1">
        <f t="shared" ca="1" si="3"/>
        <v>29</v>
      </c>
      <c r="G65" s="1">
        <f t="shared" ca="1" si="4"/>
        <v>4</v>
      </c>
      <c r="H65" s="1">
        <f t="shared" ca="1" si="5"/>
        <v>8</v>
      </c>
      <c r="I65" s="1"/>
      <c r="J65" s="1">
        <f t="shared" ca="1" si="6"/>
        <v>35</v>
      </c>
      <c r="K65" s="1">
        <f t="shared" ca="1" si="7"/>
        <v>2.0874518631340773</v>
      </c>
      <c r="L65" s="1">
        <f t="shared" ca="1" si="8"/>
        <v>7</v>
      </c>
      <c r="M65" s="1"/>
      <c r="N65" s="1">
        <f t="shared" ca="1" si="9"/>
        <v>278</v>
      </c>
      <c r="O65" s="1">
        <f t="shared" ca="1" si="10"/>
        <v>12</v>
      </c>
      <c r="P65" s="1"/>
      <c r="Q65" s="1">
        <f t="shared" ca="1" si="11"/>
        <v>4.0618302893824243</v>
      </c>
      <c r="R65" s="1">
        <f t="shared" ca="1" si="12"/>
        <v>741</v>
      </c>
      <c r="S65" s="1"/>
      <c r="T65" s="1">
        <f t="shared" ca="1" si="13"/>
        <v>0.10792901096488709</v>
      </c>
      <c r="U65" s="1">
        <f t="shared" ca="1" si="14"/>
        <v>322</v>
      </c>
      <c r="V65" s="1">
        <f t="shared" ca="1" si="15"/>
        <v>12</v>
      </c>
      <c r="W65" s="1"/>
      <c r="X65" s="1">
        <f t="shared" ca="1" si="16"/>
        <v>7.8898066297922096</v>
      </c>
      <c r="Y65" s="1">
        <f t="shared" ca="1" si="17"/>
        <v>0.12418082776229192</v>
      </c>
      <c r="Z65" s="1">
        <f t="shared" ca="1" si="18"/>
        <v>1415</v>
      </c>
      <c r="AB65" s="1">
        <f t="shared" ca="1" si="19"/>
        <v>0.97036104366416287</v>
      </c>
      <c r="AC65" s="1">
        <f t="shared" ca="1" si="20"/>
        <v>188</v>
      </c>
      <c r="AD65" s="1">
        <f t="shared" ca="1" si="21"/>
        <v>2.47306301018386E-3</v>
      </c>
      <c r="AE65" s="1"/>
      <c r="AF65" s="1">
        <f t="shared" ca="1" si="22"/>
        <v>0.48841156862749513</v>
      </c>
      <c r="AG65" s="1">
        <f t="shared" ca="1" si="23"/>
        <v>898</v>
      </c>
      <c r="AH65" s="1">
        <f t="shared" ca="1" si="24"/>
        <v>6.499930263184365E-3</v>
      </c>
      <c r="AJ65" s="1">
        <f t="shared" ca="1" si="25"/>
        <v>0.88894923993296726</v>
      </c>
      <c r="AK65" s="1">
        <f t="shared" ca="1" si="26"/>
        <v>8.2995400344529884E-3</v>
      </c>
      <c r="AL65" s="1"/>
      <c r="AM65" s="1">
        <f t="shared" ca="1" si="27"/>
        <v>0.12213573165377613</v>
      </c>
      <c r="AN65" s="1">
        <f t="shared" ca="1" si="28"/>
        <v>18</v>
      </c>
      <c r="AO65" s="1">
        <f t="shared" ca="1" si="29"/>
        <v>17</v>
      </c>
      <c r="AQ65" s="1">
        <f t="shared" ca="1" si="30"/>
        <v>21</v>
      </c>
      <c r="AR65" s="1">
        <f t="shared" ca="1" si="31"/>
        <v>2</v>
      </c>
      <c r="AS65" s="1">
        <f t="shared" ca="1" si="32"/>
        <v>66</v>
      </c>
      <c r="AU65" s="1">
        <f t="shared" ca="1" si="33"/>
        <v>147</v>
      </c>
      <c r="AV65" s="1">
        <f t="shared" ca="1" si="34"/>
        <v>2</v>
      </c>
      <c r="AW65" s="1">
        <f t="shared" ca="1" si="35"/>
        <v>0.18179067600843149</v>
      </c>
      <c r="AY65" s="1">
        <f t="shared" ca="1" si="36"/>
        <v>1.7355554145216363</v>
      </c>
      <c r="AZ65" s="1">
        <f t="shared" ca="1" si="37"/>
        <v>367</v>
      </c>
      <c r="BA65" s="1">
        <f t="shared" ca="1" si="38"/>
        <v>1.0480291100326384E-3</v>
      </c>
      <c r="BG65" s="1">
        <f t="shared" ca="1" si="39"/>
        <v>0.49512280398185837</v>
      </c>
      <c r="BH65" s="1">
        <f t="shared" ca="1" si="40"/>
        <v>0.24178895955015889</v>
      </c>
      <c r="BI65" s="1">
        <f t="shared" ca="1" si="41"/>
        <v>360</v>
      </c>
      <c r="BV65" s="1">
        <f t="shared" ca="1" si="42"/>
        <v>0.78308106921904785</v>
      </c>
      <c r="BW65" s="1">
        <f t="shared" ca="1" si="43"/>
        <v>817</v>
      </c>
      <c r="BX65" s="1">
        <f t="shared" ca="1" si="44"/>
        <v>4.603806931149485E-3</v>
      </c>
      <c r="BY65" s="1">
        <f t="shared" ca="1" si="45"/>
        <v>4.9359043916049644E-2</v>
      </c>
      <c r="BZ65" s="1">
        <f t="shared" ca="1" si="46"/>
        <v>0.22576063821006953</v>
      </c>
      <c r="CB65" s="1">
        <f t="shared" ca="1" si="47"/>
        <v>352</v>
      </c>
      <c r="CC65" s="1">
        <f t="shared" ca="1" si="48"/>
        <v>7</v>
      </c>
      <c r="CD65" s="1">
        <f t="shared" ca="1" si="49"/>
        <v>6.7393774006712856E-2</v>
      </c>
      <c r="CE65" s="1">
        <f t="shared" ca="1" si="71"/>
        <v>0.55764451263316817</v>
      </c>
      <c r="CF65" s="1">
        <f t="shared" ca="1" si="71"/>
        <v>0.71598979807084129</v>
      </c>
      <c r="CH65" s="3">
        <f t="shared" ca="1" si="51"/>
        <v>0.46340013666309876</v>
      </c>
      <c r="CI65" s="3">
        <f t="shared" ca="1" si="52"/>
        <v>0.71364658438405137</v>
      </c>
      <c r="CJ65" s="3">
        <f t="shared" ca="1" si="53"/>
        <v>1862</v>
      </c>
      <c r="CK65" s="3">
        <f t="shared" ca="1" si="54"/>
        <v>3.9290831852702409E-3</v>
      </c>
      <c r="CL65" s="3">
        <f t="shared" ca="1" si="55"/>
        <v>1</v>
      </c>
      <c r="CM65" s="3"/>
      <c r="CN65" s="1">
        <f t="shared" ca="1" si="56"/>
        <v>4.9677979712943756</v>
      </c>
      <c r="CO65" s="1">
        <f t="shared" ca="1" si="57"/>
        <v>0.44443885438614572</v>
      </c>
      <c r="CP65" s="1">
        <f t="shared" ca="1" si="58"/>
        <v>4</v>
      </c>
      <c r="CV65" s="1">
        <f t="shared" ca="1" si="59"/>
        <v>3.1069251751850859</v>
      </c>
      <c r="CW65" s="1">
        <f t="shared" ca="1" si="60"/>
        <v>982</v>
      </c>
      <c r="CX65" s="1">
        <f t="shared" ca="1" si="61"/>
        <v>1.9689875885013945E-3</v>
      </c>
      <c r="DH65" s="1">
        <f t="shared" ca="1" si="62"/>
        <v>422</v>
      </c>
      <c r="DI65" s="1">
        <f t="shared" ca="1" si="63"/>
        <v>0.13109487800399899</v>
      </c>
      <c r="DJ65" s="1">
        <f t="shared" ca="1" si="64"/>
        <v>15</v>
      </c>
      <c r="DL65" s="1">
        <f t="shared" ca="1" si="65"/>
        <v>0.13957950120778687</v>
      </c>
      <c r="DM65" s="1">
        <f t="shared" ca="1" si="66"/>
        <v>77</v>
      </c>
      <c r="DN65" s="1">
        <f t="shared" ca="1" si="67"/>
        <v>9</v>
      </c>
    </row>
    <row r="66" spans="2:118" x14ac:dyDescent="0.25">
      <c r="B66">
        <f t="shared" ca="1" si="0"/>
        <v>69</v>
      </c>
      <c r="C66">
        <f t="shared" ca="1" si="1"/>
        <v>35</v>
      </c>
      <c r="D66">
        <f t="shared" ca="1" si="2"/>
        <v>5.8339382904009411E-2</v>
      </c>
      <c r="F66" s="1">
        <f t="shared" ca="1" si="3"/>
        <v>13</v>
      </c>
      <c r="G66" s="1">
        <f t="shared" ca="1" si="4"/>
        <v>7</v>
      </c>
      <c r="H66" s="1">
        <f t="shared" ca="1" si="5"/>
        <v>1</v>
      </c>
      <c r="I66" s="1"/>
      <c r="J66" s="1">
        <f t="shared" ca="1" si="6"/>
        <v>11</v>
      </c>
      <c r="K66" s="1">
        <f t="shared" ca="1" si="7"/>
        <v>1.3932141752394784</v>
      </c>
      <c r="L66" s="1">
        <f t="shared" ca="1" si="8"/>
        <v>18</v>
      </c>
      <c r="M66" s="1"/>
      <c r="N66" s="1">
        <f t="shared" ca="1" si="9"/>
        <v>681</v>
      </c>
      <c r="O66" s="1">
        <f t="shared" ca="1" si="10"/>
        <v>15</v>
      </c>
      <c r="P66" s="1"/>
      <c r="Q66" s="1">
        <f t="shared" ca="1" si="11"/>
        <v>4.3556985745283514</v>
      </c>
      <c r="R66" s="1">
        <f t="shared" ca="1" si="12"/>
        <v>1191</v>
      </c>
      <c r="S66" s="1"/>
      <c r="T66" s="1">
        <f t="shared" ca="1" si="13"/>
        <v>4.6241073908241108E-2</v>
      </c>
      <c r="U66" s="1">
        <f t="shared" ca="1" si="14"/>
        <v>385</v>
      </c>
      <c r="V66" s="1">
        <f t="shared" ca="1" si="15"/>
        <v>38</v>
      </c>
      <c r="W66" s="1"/>
      <c r="X66" s="1">
        <f t="shared" ca="1" si="16"/>
        <v>0.65078073510034307</v>
      </c>
      <c r="Y66" s="1">
        <f t="shared" ca="1" si="17"/>
        <v>1.5661710073587961E-2</v>
      </c>
      <c r="Z66" s="1">
        <f t="shared" ca="1" si="18"/>
        <v>1198</v>
      </c>
      <c r="AB66" s="1">
        <f t="shared" ca="1" si="19"/>
        <v>0.19329172784790299</v>
      </c>
      <c r="AC66" s="1">
        <f t="shared" ca="1" si="20"/>
        <v>367</v>
      </c>
      <c r="AD66" s="1">
        <f t="shared" ca="1" si="21"/>
        <v>3.0167329039612147E-3</v>
      </c>
      <c r="AE66" s="1"/>
      <c r="AF66" s="1">
        <f t="shared" ca="1" si="22"/>
        <v>0.49795181151136803</v>
      </c>
      <c r="AG66" s="1">
        <f t="shared" ca="1" si="23"/>
        <v>277</v>
      </c>
      <c r="AH66" s="1">
        <f t="shared" ca="1" si="24"/>
        <v>9.9796527275632756E-3</v>
      </c>
      <c r="AJ66" s="1">
        <f t="shared" ca="1" si="25"/>
        <v>0.50317574833935363</v>
      </c>
      <c r="AK66" s="1">
        <f t="shared" ca="1" si="26"/>
        <v>6.7483120536697711E-3</v>
      </c>
      <c r="AL66" s="1"/>
      <c r="AM66" s="1">
        <f t="shared" ca="1" si="27"/>
        <v>0.16643147702970532</v>
      </c>
      <c r="AN66" s="1">
        <f t="shared" ca="1" si="28"/>
        <v>36</v>
      </c>
      <c r="AO66" s="1">
        <f t="shared" ca="1" si="29"/>
        <v>19</v>
      </c>
      <c r="AQ66" s="1">
        <f t="shared" ca="1" si="30"/>
        <v>125</v>
      </c>
      <c r="AR66" s="1">
        <f t="shared" ca="1" si="31"/>
        <v>5</v>
      </c>
      <c r="AS66" s="1">
        <f t="shared" ca="1" si="32"/>
        <v>64</v>
      </c>
      <c r="AU66" s="1">
        <f t="shared" ca="1" si="33"/>
        <v>230</v>
      </c>
      <c r="AV66" s="1">
        <f t="shared" ca="1" si="34"/>
        <v>4</v>
      </c>
      <c r="AW66" s="1">
        <f t="shared" ca="1" si="35"/>
        <v>0.13933252257019452</v>
      </c>
      <c r="AY66" s="1">
        <f t="shared" ca="1" si="36"/>
        <v>1.9793152511652243</v>
      </c>
      <c r="AZ66" s="1">
        <f t="shared" ca="1" si="37"/>
        <v>56</v>
      </c>
      <c r="BA66" s="1">
        <f t="shared" ca="1" si="38"/>
        <v>8.764577990747948E-3</v>
      </c>
      <c r="BG66" s="1">
        <f t="shared" ca="1" si="39"/>
        <v>0.15886578280882901</v>
      </c>
      <c r="BH66" s="1">
        <f t="shared" ca="1" si="40"/>
        <v>0.65567844660617192</v>
      </c>
      <c r="BI66" s="1">
        <f t="shared" ca="1" si="41"/>
        <v>644</v>
      </c>
      <c r="BV66" s="1">
        <f t="shared" ca="1" si="42"/>
        <v>0.3953996770450256</v>
      </c>
      <c r="BW66" s="1">
        <f t="shared" ca="1" si="43"/>
        <v>360</v>
      </c>
      <c r="BX66" s="1">
        <f t="shared" ca="1" si="44"/>
        <v>2.2997471005745175E-3</v>
      </c>
      <c r="BY66" s="1">
        <f t="shared" ca="1" si="45"/>
        <v>4.0456551120298737E-2</v>
      </c>
      <c r="BZ66" s="1">
        <f t="shared" ca="1" si="46"/>
        <v>0.49025425196822048</v>
      </c>
      <c r="CB66" s="1">
        <f t="shared" ca="1" si="47"/>
        <v>187</v>
      </c>
      <c r="CC66" s="1">
        <f t="shared" ca="1" si="48"/>
        <v>6</v>
      </c>
      <c r="CD66" s="1">
        <f t="shared" ca="1" si="49"/>
        <v>0.20447622867134713</v>
      </c>
      <c r="CE66" s="1">
        <f t="shared" ca="1" si="71"/>
        <v>0.70524244569243555</v>
      </c>
      <c r="CF66" s="1">
        <f t="shared" ca="1" si="71"/>
        <v>0.56102414781815313</v>
      </c>
      <c r="CH66" s="3">
        <f t="shared" ca="1" si="51"/>
        <v>0.22802735152592526</v>
      </c>
      <c r="CI66" s="3">
        <f t="shared" ca="1" si="52"/>
        <v>0.57582465130093752</v>
      </c>
      <c r="CJ66" s="3">
        <f t="shared" ca="1" si="53"/>
        <v>1297</v>
      </c>
      <c r="CK66" s="3">
        <f t="shared" ca="1" si="54"/>
        <v>4.4927144157278455E-3</v>
      </c>
      <c r="CL66" s="3">
        <f t="shared" ca="1" si="55"/>
        <v>1</v>
      </c>
      <c r="CM66" s="3"/>
      <c r="CN66" s="1">
        <f t="shared" ca="1" si="56"/>
        <v>1.061455683847969</v>
      </c>
      <c r="CO66" s="1">
        <f t="shared" ca="1" si="57"/>
        <v>0.2965446214074543</v>
      </c>
      <c r="CP66" s="1">
        <f t="shared" ca="1" si="58"/>
        <v>2</v>
      </c>
      <c r="CV66" s="1">
        <f t="shared" ca="1" si="59"/>
        <v>9.0329819760096441</v>
      </c>
      <c r="CW66" s="1">
        <f t="shared" ca="1" si="60"/>
        <v>1429</v>
      </c>
      <c r="CX66" s="1">
        <f t="shared" ca="1" si="61"/>
        <v>2.6990572604955964E-3</v>
      </c>
      <c r="DH66" s="1">
        <f t="shared" ca="1" si="62"/>
        <v>737</v>
      </c>
      <c r="DI66" s="1">
        <f t="shared" ca="1" si="63"/>
        <v>0.92452864567739057</v>
      </c>
      <c r="DJ66" s="1">
        <f t="shared" ca="1" si="64"/>
        <v>5</v>
      </c>
      <c r="DL66" s="1">
        <f t="shared" ca="1" si="65"/>
        <v>0.10679770413797995</v>
      </c>
      <c r="DM66" s="1">
        <f t="shared" ca="1" si="66"/>
        <v>131</v>
      </c>
      <c r="DN66" s="1">
        <f t="shared" ca="1" si="67"/>
        <v>1</v>
      </c>
    </row>
    <row r="67" spans="2:118" x14ac:dyDescent="0.25">
      <c r="B67">
        <f t="shared" ca="1" si="0"/>
        <v>940</v>
      </c>
      <c r="C67">
        <f t="shared" ca="1" si="1"/>
        <v>13</v>
      </c>
      <c r="D67">
        <f t="shared" ca="1" si="2"/>
        <v>0.29918029190982898</v>
      </c>
      <c r="F67" s="1">
        <f t="shared" ca="1" si="3"/>
        <v>23</v>
      </c>
      <c r="G67" s="1">
        <f t="shared" ca="1" si="4"/>
        <v>29</v>
      </c>
      <c r="H67" s="1">
        <f t="shared" ca="1" si="5"/>
        <v>1</v>
      </c>
      <c r="I67" s="1"/>
      <c r="J67" s="1">
        <f t="shared" ca="1" si="6"/>
        <v>6</v>
      </c>
      <c r="K67" s="1">
        <f t="shared" ca="1" si="7"/>
        <v>2.6555288391137735</v>
      </c>
      <c r="L67" s="1">
        <f t="shared" ca="1" si="8"/>
        <v>13</v>
      </c>
      <c r="M67" s="1"/>
      <c r="N67" s="1">
        <f t="shared" ca="1" si="9"/>
        <v>107</v>
      </c>
      <c r="O67" s="1">
        <f t="shared" ca="1" si="10"/>
        <v>34</v>
      </c>
      <c r="P67" s="1"/>
      <c r="Q67" s="1">
        <f t="shared" ca="1" si="11"/>
        <v>1.0517689117131437</v>
      </c>
      <c r="R67" s="1">
        <f t="shared" ca="1" si="12"/>
        <v>962</v>
      </c>
      <c r="S67" s="1"/>
      <c r="T67" s="1">
        <f t="shared" ca="1" si="13"/>
        <v>1.8403233269934684E-2</v>
      </c>
      <c r="U67" s="1">
        <f t="shared" ca="1" si="14"/>
        <v>428</v>
      </c>
      <c r="V67" s="1">
        <f t="shared" ca="1" si="15"/>
        <v>44</v>
      </c>
      <c r="W67" s="1"/>
      <c r="X67" s="1">
        <f t="shared" ca="1" si="16"/>
        <v>5.060238426703128</v>
      </c>
      <c r="Y67" s="1">
        <f t="shared" ca="1" si="17"/>
        <v>0.66566533923309446</v>
      </c>
      <c r="Z67" s="1">
        <f t="shared" ca="1" si="18"/>
        <v>1865</v>
      </c>
      <c r="AB67" s="1">
        <f t="shared" ca="1" si="19"/>
        <v>0.71920549788737254</v>
      </c>
      <c r="AC67" s="1">
        <f t="shared" ca="1" si="20"/>
        <v>939</v>
      </c>
      <c r="AD67" s="1">
        <f t="shared" ca="1" si="21"/>
        <v>2.3590866806286268E-4</v>
      </c>
      <c r="AE67" s="1"/>
      <c r="AF67" s="1">
        <f t="shared" ca="1" si="22"/>
        <v>0.13621925269389346</v>
      </c>
      <c r="AG67" s="1">
        <f t="shared" ca="1" si="23"/>
        <v>173</v>
      </c>
      <c r="AH67" s="1">
        <f t="shared" ca="1" si="24"/>
        <v>7.4975972771848679E-3</v>
      </c>
      <c r="AJ67" s="1">
        <f t="shared" ca="1" si="25"/>
        <v>0.15960160339740792</v>
      </c>
      <c r="AK67" s="1">
        <f t="shared" ca="1" si="26"/>
        <v>9.4167614956365553E-3</v>
      </c>
      <c r="AL67" s="1"/>
      <c r="AM67" s="1">
        <f t="shared" ca="1" si="27"/>
        <v>5.5824222054845253E-2</v>
      </c>
      <c r="AN67" s="1">
        <f t="shared" ca="1" si="28"/>
        <v>14</v>
      </c>
      <c r="AO67" s="1">
        <f t="shared" ca="1" si="29"/>
        <v>17</v>
      </c>
      <c r="AQ67" s="1">
        <f t="shared" ca="1" si="30"/>
        <v>75</v>
      </c>
      <c r="AR67" s="1">
        <f t="shared" ca="1" si="31"/>
        <v>9</v>
      </c>
      <c r="AS67" s="1">
        <f t="shared" ca="1" si="32"/>
        <v>71</v>
      </c>
      <c r="AU67" s="1">
        <f t="shared" ca="1" si="33"/>
        <v>262</v>
      </c>
      <c r="AV67" s="1">
        <f t="shared" ca="1" si="34"/>
        <v>5</v>
      </c>
      <c r="AW67" s="1">
        <f t="shared" ca="1" si="35"/>
        <v>0.17878104616005402</v>
      </c>
      <c r="AY67" s="1">
        <f t="shared" ca="1" si="36"/>
        <v>1.6886486479905973</v>
      </c>
      <c r="AZ67" s="1">
        <f t="shared" ca="1" si="37"/>
        <v>188</v>
      </c>
      <c r="BA67" s="1">
        <f t="shared" ca="1" si="38"/>
        <v>4.4387784104852916E-3</v>
      </c>
      <c r="BG67" s="1">
        <f t="shared" ca="1" si="39"/>
        <v>0.41168202427666595</v>
      </c>
      <c r="BH67" s="1">
        <f t="shared" ca="1" si="40"/>
        <v>0.72869862691180465</v>
      </c>
      <c r="BI67" s="1">
        <f t="shared" ca="1" si="41"/>
        <v>982</v>
      </c>
      <c r="BV67" s="1">
        <f t="shared" ca="1" si="42"/>
        <v>0.80039134253854316</v>
      </c>
      <c r="BW67" s="1">
        <f t="shared" ca="1" si="43"/>
        <v>534</v>
      </c>
      <c r="BX67" s="1">
        <f t="shared" ca="1" si="44"/>
        <v>7.1114995322350246E-3</v>
      </c>
      <c r="BY67" s="1">
        <f t="shared" ca="1" si="45"/>
        <v>3.8814218798813749E-2</v>
      </c>
      <c r="BZ67" s="1">
        <f t="shared" ca="1" si="46"/>
        <v>0.75187122358485947</v>
      </c>
      <c r="CB67" s="1">
        <f t="shared" ca="1" si="47"/>
        <v>176</v>
      </c>
      <c r="CC67" s="1">
        <f t="shared" ca="1" si="48"/>
        <v>3</v>
      </c>
      <c r="CD67" s="1">
        <f t="shared" ca="1" si="49"/>
        <v>0.20285852508818011</v>
      </c>
      <c r="CE67" s="1">
        <f t="shared" ca="1" si="71"/>
        <v>0.85194966924456916</v>
      </c>
      <c r="CF67" s="1">
        <f t="shared" ca="1" si="71"/>
        <v>0.95706828613566564</v>
      </c>
      <c r="CH67" s="3">
        <f t="shared" ca="1" si="51"/>
        <v>0.55127544874564072</v>
      </c>
      <c r="CI67" s="3">
        <f t="shared" ca="1" si="52"/>
        <v>7.3114858590332857E-2</v>
      </c>
      <c r="CJ67" s="3">
        <f t="shared" ca="1" si="53"/>
        <v>1018</v>
      </c>
      <c r="CK67" s="3">
        <f t="shared" ca="1" si="54"/>
        <v>2.0973136270440599E-3</v>
      </c>
      <c r="CL67" s="3">
        <f t="shared" ca="1" si="55"/>
        <v>0</v>
      </c>
      <c r="CM67" s="3"/>
      <c r="CN67" s="1">
        <f t="shared" ca="1" si="56"/>
        <v>13.077922784633875</v>
      </c>
      <c r="CO67" s="1">
        <f t="shared" ca="1" si="57"/>
        <v>2.2969574770449037E-2</v>
      </c>
      <c r="CP67" s="1">
        <f t="shared" ca="1" si="58"/>
        <v>5</v>
      </c>
      <c r="CV67" s="1">
        <f t="shared" ca="1" si="59"/>
        <v>6.9777759605326439</v>
      </c>
      <c r="CW67" s="1">
        <f t="shared" ca="1" si="60"/>
        <v>1581</v>
      </c>
      <c r="CX67" s="1">
        <f t="shared" ca="1" si="61"/>
        <v>3.13034691950616E-3</v>
      </c>
      <c r="DH67" s="1">
        <f t="shared" ca="1" si="62"/>
        <v>840</v>
      </c>
      <c r="DI67" s="1">
        <f t="shared" ca="1" si="63"/>
        <v>0.7203212184618687</v>
      </c>
      <c r="DJ67" s="1">
        <f t="shared" ca="1" si="64"/>
        <v>21</v>
      </c>
      <c r="DL67" s="1">
        <f t="shared" ca="1" si="65"/>
        <v>1.0505079250790661E-2</v>
      </c>
      <c r="DM67" s="1">
        <f t="shared" ca="1" si="66"/>
        <v>54</v>
      </c>
      <c r="DN67" s="1">
        <f t="shared" ca="1" si="67"/>
        <v>5</v>
      </c>
    </row>
    <row r="68" spans="2:118" x14ac:dyDescent="0.25">
      <c r="B68">
        <f t="shared" ref="B68:B131" ca="1" si="72">RANDBETWEEN(15,1000)</f>
        <v>334</v>
      </c>
      <c r="C68">
        <f t="shared" ref="C68:C131" ca="1" si="73">RANDBETWEEN(2,52)</f>
        <v>3</v>
      </c>
      <c r="D68">
        <f t="shared" ref="D68:D131" ca="1" si="74">RAND()*(0.3-0.01)+0.01</f>
        <v>3.4260073218974611E-2</v>
      </c>
      <c r="F68" s="1">
        <f t="shared" ref="F68:F131" ca="1" si="75">RANDBETWEEN(2,52)</f>
        <v>17</v>
      </c>
      <c r="G68" s="1">
        <f t="shared" ref="G68:G131" ca="1" si="76">RANDBETWEEN(2,30)</f>
        <v>18</v>
      </c>
      <c r="H68" s="1">
        <f t="shared" ref="H68:H131" ca="1" si="77">RANDBETWEEN(1,15)</f>
        <v>3</v>
      </c>
      <c r="I68" s="1"/>
      <c r="J68" s="1">
        <f t="shared" ref="J68:J131" ca="1" si="78">RANDBETWEEN(1,39)</f>
        <v>34</v>
      </c>
      <c r="K68" s="1">
        <f t="shared" ref="K68:K131" ca="1" si="79">RAND()*(3-1)+1</f>
        <v>2.8805118554262057</v>
      </c>
      <c r="L68" s="1">
        <f t="shared" ref="L68:L131" ca="1" si="80">RANDBETWEEN(2,35)</f>
        <v>13</v>
      </c>
      <c r="M68" s="1"/>
      <c r="N68" s="1">
        <f t="shared" ref="N68:N131" ca="1" si="81">RANDBETWEEN(15,1000)</f>
        <v>902</v>
      </c>
      <c r="O68" s="1">
        <f t="shared" ref="O68:O131" ca="1" si="82">RANDBETWEEN(2,52)</f>
        <v>20</v>
      </c>
      <c r="P68" s="1"/>
      <c r="Q68" s="1">
        <f t="shared" ref="Q68:Q131" ca="1" si="83">RAND()*(5-0.01)+0.01</f>
        <v>0.38822720385653731</v>
      </c>
      <c r="R68" s="1">
        <f t="shared" ref="R68:R131" ca="1" si="84">RANDBETWEEN(200,1200)</f>
        <v>712</v>
      </c>
      <c r="S68" s="1"/>
      <c r="T68" s="1">
        <f t="shared" ref="T68:T131" ca="1" si="85">RAND()*(0.2-0.01)+0.01</f>
        <v>0.14064317933680209</v>
      </c>
      <c r="U68" s="1">
        <f t="shared" ref="U68:U131" ca="1" si="86">RANDBETWEEN(50,450)</f>
        <v>63</v>
      </c>
      <c r="V68" s="1">
        <f t="shared" ref="V68:V131" ca="1" si="87">RANDBETWEEN(2,52)</f>
        <v>43</v>
      </c>
      <c r="W68" s="1"/>
      <c r="X68" s="1">
        <f t="shared" ref="X68:X131" ca="1" si="88">RAND()*(10-0.01)+0.01</f>
        <v>1.6991709859849038</v>
      </c>
      <c r="Y68" s="1">
        <f t="shared" ref="Y68:Y131" ca="1" si="89">RAND()*(1-0.0001)+0.0001</f>
        <v>5.0870659563544966E-2</v>
      </c>
      <c r="Z68" s="1">
        <f t="shared" ref="Z68:Z131" ca="1" si="90">RANDBETWEEN(100,2000)</f>
        <v>880</v>
      </c>
      <c r="AB68" s="1">
        <f t="shared" ref="AB68:AB131" ca="1" si="91">RAND()*(1-0.0001)+0.0001</f>
        <v>0.33965006100949341</v>
      </c>
      <c r="AC68" s="1">
        <f t="shared" ref="AC68:AC131" ca="1" si="92">RANDBETWEEN(100,1000)</f>
        <v>752</v>
      </c>
      <c r="AD68" s="1">
        <f t="shared" ref="AD68:AD131" ca="1" si="93">RAND()*(0.01-0.00001)+0.00001</f>
        <v>6.6195229062361296E-3</v>
      </c>
      <c r="AE68" s="1"/>
      <c r="AF68" s="1">
        <f t="shared" ref="AF68:AF131" ca="1" si="94">RAND()*(0.9-0.1)+0.1</f>
        <v>0.6125243086977753</v>
      </c>
      <c r="AG68" s="1">
        <f t="shared" ref="AG68:AG131" ca="1" si="95">RANDBETWEEN(100,1000)</f>
        <v>191</v>
      </c>
      <c r="AH68" s="1">
        <f t="shared" ref="AH68:AH131" ca="1" si="96">RAND()*(0.01-0.00001)+0.00001</f>
        <v>4.0396910646938932E-3</v>
      </c>
      <c r="AJ68" s="1">
        <f t="shared" ref="AJ68:AJ131" ca="1" si="97">RAND()*(1-0)+0</f>
        <v>0.54656267165691608</v>
      </c>
      <c r="AK68" s="1">
        <f t="shared" ref="AK68:AK131" ca="1" si="98">RAND()*(0.01-0.00001)+0.00001</f>
        <v>3.0049726396432566E-3</v>
      </c>
      <c r="AL68" s="1"/>
      <c r="AM68" s="1">
        <f t="shared" ref="AM68:AM131" ca="1" si="99">RAND()*(0.2-0.005)+0.005</f>
        <v>0.16544091989247192</v>
      </c>
      <c r="AN68" s="1">
        <f t="shared" ref="AN68:AN131" ca="1" si="100">RANDBETWEEN(10,80)</f>
        <v>29</v>
      </c>
      <c r="AO68" s="1">
        <f t="shared" ref="AO68:AO131" ca="1" si="101">RANDBETWEEN(-1,20)</f>
        <v>19</v>
      </c>
      <c r="AQ68" s="1">
        <f t="shared" ref="AQ68:AQ131" ca="1" si="102">RANDBETWEEN(10,200)</f>
        <v>183</v>
      </c>
      <c r="AR68" s="1">
        <f t="shared" ref="AR68:AR131" ca="1" si="103">RANDBETWEEN(0,10)</f>
        <v>8</v>
      </c>
      <c r="AS68" s="1">
        <f t="shared" ref="AS68:AS131" ca="1" si="104">RANDBETWEEN(1,100)</f>
        <v>60</v>
      </c>
      <c r="AU68" s="1">
        <f t="shared" ref="AU68:AU131" ca="1" si="105">RANDBETWEEN(50,400)</f>
        <v>94</v>
      </c>
      <c r="AV68" s="1">
        <f t="shared" ref="AV68:AV131" ca="1" si="106">RANDBETWEEN(2,10)</f>
        <v>7</v>
      </c>
      <c r="AW68" s="1">
        <f t="shared" ref="AW68:AW131" ca="1" si="107">RAND()*(0.2-0.01)+0.01</f>
        <v>2.3722822822369635E-2</v>
      </c>
      <c r="AY68" s="1">
        <f t="shared" ref="AY68:AY131" ca="1" si="108">RAND()*(2-1.1)+1.1</f>
        <v>1.4207983979056367</v>
      </c>
      <c r="AZ68" s="1">
        <f t="shared" ref="AZ68:AZ131" ca="1" si="109">RANDBETWEEN(50,500)</f>
        <v>119</v>
      </c>
      <c r="BA68" s="1">
        <f t="shared" ref="BA68:BA131" ca="1" si="110">RAND()*(0.01-0.00001)+0.00001</f>
        <v>7.6191093218939921E-3</v>
      </c>
      <c r="BG68" s="1">
        <f t="shared" ref="BG68:BG131" ca="1" si="111">RAND()*(1-0.0001)+0.0001</f>
        <v>0.38881782220521838</v>
      </c>
      <c r="BH68" s="1">
        <f t="shared" ref="BH68:BH131" ca="1" si="112">RAND()*(1-0)+0</f>
        <v>0.85812249879608526</v>
      </c>
      <c r="BI68" s="1">
        <f t="shared" ref="BI68:BI131" ca="1" si="113">RANDBETWEEN(100,1000)</f>
        <v>887</v>
      </c>
      <c r="BV68" s="1">
        <f t="shared" ref="BV68:BV131" ca="1" si="114">RAND()*(1-0.0001)+0.0001</f>
        <v>0.36510279284386371</v>
      </c>
      <c r="BW68" s="1">
        <f t="shared" ref="BW68:BW131" ca="1" si="115">RANDBETWEEN(100,1000)</f>
        <v>856</v>
      </c>
      <c r="BX68" s="1">
        <f t="shared" ref="BX68:BX131" ca="1" si="116">RAND()*(0.01-0.00001)+0.00001</f>
        <v>4.5761705368664828E-3</v>
      </c>
      <c r="BY68" s="1">
        <f t="shared" ref="BY68:BY131" ca="1" si="117">RAND()*(0.1-0.0001)+0.0001</f>
        <v>1.1634857755316155E-2</v>
      </c>
      <c r="BZ68" s="1">
        <f t="shared" ref="BZ68:BZ131" ca="1" si="118">RAND()*(1-0)+0</f>
        <v>0.32560746972624721</v>
      </c>
      <c r="CB68" s="1">
        <f t="shared" ref="CB68:CB131" ca="1" si="119">RANDBETWEEN(50,500)</f>
        <v>379</v>
      </c>
      <c r="CC68" s="1">
        <f t="shared" ref="CC68:CC131" ca="1" si="120">RANDBETWEEN(3,15)</f>
        <v>9</v>
      </c>
      <c r="CD68" s="1">
        <f t="shared" ref="CD68:CD131" ca="1" si="121">RAND()*(0.3-0.01)+0.01</f>
        <v>0.10438144647315097</v>
      </c>
      <c r="CE68" s="1">
        <f t="shared" ref="CE68:CF99" ca="1" si="122">RAND()*(1-0.5)+0.5</f>
        <v>0.65777774315557802</v>
      </c>
      <c r="CF68" s="1">
        <f t="shared" ca="1" si="122"/>
        <v>0.7388099726748556</v>
      </c>
      <c r="CH68" s="3">
        <f t="shared" ref="CH68:CH131" ca="1" si="123">RAND()*(1-0.0001)+0.0001</f>
        <v>9.5795141439295642E-2</v>
      </c>
      <c r="CI68" s="3">
        <f t="shared" ref="CI68:CI131" ca="1" si="124">RAND()*(0.99-0.01)+0.01</f>
        <v>6.6119326871649564E-2</v>
      </c>
      <c r="CJ68" s="3">
        <f t="shared" ref="CJ68:CJ131" ca="1" si="125">RANDBETWEEN(100,2000)</f>
        <v>942</v>
      </c>
      <c r="CK68" s="3">
        <f t="shared" ref="CK68:CK131" ca="1" si="126">RAND()*(0.01-0.000001)+0.000001</f>
        <v>1.0953549902208365E-3</v>
      </c>
      <c r="CL68" s="3">
        <f t="shared" ref="CL68:CL131" ca="1" si="127">RANDBETWEEN(0,1)</f>
        <v>1</v>
      </c>
      <c r="CM68" s="3"/>
      <c r="CN68" s="1">
        <f t="shared" ref="CN68:CN131" ca="1" si="128">RAND()*(20-0.1)+0.1</f>
        <v>17.771259278328831</v>
      </c>
      <c r="CO68" s="1">
        <f t="shared" ref="CO68:CO131" ca="1" si="129">RAND()*(0.5-0.001)+0.001</f>
        <v>0.29621881073425504</v>
      </c>
      <c r="CP68" s="1">
        <f t="shared" ref="CP68:CP131" ca="1" si="130">RANDBETWEEN(1,5)</f>
        <v>4</v>
      </c>
      <c r="CV68" s="1">
        <f t="shared" ref="CV68:CV131" ca="1" si="131">RAND()*(10-0.0001)+0.0001</f>
        <v>1.8659304751295465</v>
      </c>
      <c r="CW68" s="1">
        <f t="shared" ref="CW68:CW131" ca="1" si="132">RANDBETWEEN(100,2000)</f>
        <v>758</v>
      </c>
      <c r="CX68" s="1">
        <f t="shared" ref="CX68:CX131" ca="1" si="133">RAND()*(0.01-0.000001)+0.000001</f>
        <v>5.321688749285635E-3</v>
      </c>
      <c r="DH68" s="1">
        <f t="shared" ref="DH68:DH131" ca="1" si="134">RANDBETWEEN(10,900)</f>
        <v>575</v>
      </c>
      <c r="DI68" s="1">
        <f t="shared" ref="DI68:DI131" ca="1" si="135">RAND()*(1-0.001)+0.001</f>
        <v>0.38244296565986197</v>
      </c>
      <c r="DJ68" s="1">
        <f t="shared" ref="DJ68:DJ131" ca="1" si="136">RANDBETWEEN(1,30)</f>
        <v>25</v>
      </c>
      <c r="DL68" s="1">
        <f t="shared" ref="DL68:DL131" ca="1" si="137">RAND()*(0.2-0.01)+0.01</f>
        <v>8.6715554937908904E-2</v>
      </c>
      <c r="DM68" s="1">
        <f t="shared" ref="DM68:DM131" ca="1" si="138">RANDBETWEEN(50,300)</f>
        <v>276</v>
      </c>
      <c r="DN68" s="1">
        <f t="shared" ref="DN68:DN131" ca="1" si="139">RANDBETWEEN(1,10)</f>
        <v>7</v>
      </c>
    </row>
    <row r="69" spans="2:118" x14ac:dyDescent="0.25">
      <c r="B69">
        <f t="shared" ca="1" si="72"/>
        <v>913</v>
      </c>
      <c r="C69">
        <f t="shared" ca="1" si="73"/>
        <v>10</v>
      </c>
      <c r="D69">
        <f t="shared" ca="1" si="74"/>
        <v>0.27514202574209395</v>
      </c>
      <c r="F69" s="1">
        <f t="shared" ca="1" si="75"/>
        <v>11</v>
      </c>
      <c r="G69" s="1">
        <f t="shared" ca="1" si="76"/>
        <v>9</v>
      </c>
      <c r="H69" s="1">
        <f t="shared" ca="1" si="77"/>
        <v>7</v>
      </c>
      <c r="I69" s="1"/>
      <c r="J69" s="1">
        <f t="shared" ca="1" si="78"/>
        <v>9</v>
      </c>
      <c r="K69" s="1">
        <f t="shared" ca="1" si="79"/>
        <v>2.9862860823533954</v>
      </c>
      <c r="L69" s="1">
        <f t="shared" ca="1" si="80"/>
        <v>10</v>
      </c>
      <c r="M69" s="1"/>
      <c r="N69" s="1">
        <f t="shared" ca="1" si="81"/>
        <v>909</v>
      </c>
      <c r="O69" s="1">
        <f t="shared" ca="1" si="82"/>
        <v>4</v>
      </c>
      <c r="P69" s="1"/>
      <c r="Q69" s="1">
        <f t="shared" ca="1" si="83"/>
        <v>1.5729642474082524</v>
      </c>
      <c r="R69" s="1">
        <f t="shared" ca="1" si="84"/>
        <v>1054</v>
      </c>
      <c r="S69" s="1"/>
      <c r="T69" s="1">
        <f t="shared" ca="1" si="85"/>
        <v>4.1323836892208851E-2</v>
      </c>
      <c r="U69" s="1">
        <f t="shared" ca="1" si="86"/>
        <v>403</v>
      </c>
      <c r="V69" s="1">
        <f t="shared" ca="1" si="87"/>
        <v>36</v>
      </c>
      <c r="W69" s="1"/>
      <c r="X69" s="1">
        <f t="shared" ca="1" si="88"/>
        <v>6.1057511658401955</v>
      </c>
      <c r="Y69" s="1">
        <f t="shared" ca="1" si="89"/>
        <v>0.78536131144795496</v>
      </c>
      <c r="Z69" s="1">
        <f t="shared" ca="1" si="90"/>
        <v>1460</v>
      </c>
      <c r="AB69" s="1">
        <f t="shared" ca="1" si="91"/>
        <v>0.78675621263224471</v>
      </c>
      <c r="AC69" s="1">
        <f t="shared" ca="1" si="92"/>
        <v>338</v>
      </c>
      <c r="AD69" s="1">
        <f t="shared" ca="1" si="93"/>
        <v>6.3705800985214295E-3</v>
      </c>
      <c r="AE69" s="1"/>
      <c r="AF69" s="1">
        <f t="shared" ca="1" si="94"/>
        <v>0.41212079106648258</v>
      </c>
      <c r="AG69" s="1">
        <f t="shared" ca="1" si="95"/>
        <v>330</v>
      </c>
      <c r="AH69" s="1">
        <f t="shared" ca="1" si="96"/>
        <v>4.3033771760776357E-3</v>
      </c>
      <c r="AJ69" s="1">
        <f t="shared" ca="1" si="97"/>
        <v>1.3351466826329483E-2</v>
      </c>
      <c r="AK69" s="1">
        <f t="shared" ca="1" si="98"/>
        <v>9.8025435954759588E-3</v>
      </c>
      <c r="AL69" s="1"/>
      <c r="AM69" s="1">
        <f t="shared" ca="1" si="99"/>
        <v>0.16322564623490701</v>
      </c>
      <c r="AN69" s="1">
        <f t="shared" ca="1" si="100"/>
        <v>79</v>
      </c>
      <c r="AO69" s="1">
        <f t="shared" ca="1" si="101"/>
        <v>7</v>
      </c>
      <c r="AQ69" s="1">
        <f t="shared" ca="1" si="102"/>
        <v>74</v>
      </c>
      <c r="AR69" s="1">
        <f t="shared" ca="1" si="103"/>
        <v>9</v>
      </c>
      <c r="AS69" s="1">
        <f t="shared" ca="1" si="104"/>
        <v>5</v>
      </c>
      <c r="AU69" s="1">
        <f t="shared" ca="1" si="105"/>
        <v>344</v>
      </c>
      <c r="AV69" s="1">
        <f t="shared" ca="1" si="106"/>
        <v>4</v>
      </c>
      <c r="AW69" s="1">
        <f t="shared" ca="1" si="107"/>
        <v>0.17515184690412572</v>
      </c>
      <c r="AY69" s="1">
        <f t="shared" ca="1" si="108"/>
        <v>1.4297161732919104</v>
      </c>
      <c r="AZ69" s="1">
        <f t="shared" ca="1" si="109"/>
        <v>358</v>
      </c>
      <c r="BA69" s="1">
        <f t="shared" ca="1" si="110"/>
        <v>8.1675153285052215E-3</v>
      </c>
      <c r="BG69" s="1">
        <f t="shared" ca="1" si="111"/>
        <v>0.19592581849660631</v>
      </c>
      <c r="BH69" s="1">
        <f t="shared" ca="1" si="112"/>
        <v>0.19783943007270011</v>
      </c>
      <c r="BI69" s="1">
        <f t="shared" ca="1" si="113"/>
        <v>185</v>
      </c>
      <c r="BV69" s="1">
        <f t="shared" ca="1" si="114"/>
        <v>9.8207444625787288E-2</v>
      </c>
      <c r="BW69" s="1">
        <f t="shared" ca="1" si="115"/>
        <v>560</v>
      </c>
      <c r="BX69" s="1">
        <f t="shared" ca="1" si="116"/>
        <v>8.3761918856972272E-3</v>
      </c>
      <c r="BY69" s="1">
        <f t="shared" ca="1" si="117"/>
        <v>4.3224439197601688E-2</v>
      </c>
      <c r="BZ69" s="1">
        <f t="shared" ca="1" si="118"/>
        <v>0.43928396736287156</v>
      </c>
      <c r="CB69" s="1">
        <f t="shared" ca="1" si="119"/>
        <v>78</v>
      </c>
      <c r="CC69" s="1">
        <f t="shared" ca="1" si="120"/>
        <v>9</v>
      </c>
      <c r="CD69" s="1">
        <f t="shared" ca="1" si="121"/>
        <v>0.29085944676812359</v>
      </c>
      <c r="CE69" s="1">
        <f t="shared" ca="1" si="122"/>
        <v>0.54682233136875547</v>
      </c>
      <c r="CF69" s="1">
        <f t="shared" ca="1" si="122"/>
        <v>0.63840421142637049</v>
      </c>
      <c r="CH69" s="3">
        <f t="shared" ca="1" si="123"/>
        <v>0.69566781041414683</v>
      </c>
      <c r="CI69" s="3">
        <f t="shared" ca="1" si="124"/>
        <v>0.19519127377761894</v>
      </c>
      <c r="CJ69" s="3">
        <f t="shared" ca="1" si="125"/>
        <v>604</v>
      </c>
      <c r="CK69" s="3">
        <f t="shared" ca="1" si="126"/>
        <v>1.5963508836219227E-3</v>
      </c>
      <c r="CL69" s="3">
        <f t="shared" ca="1" si="127"/>
        <v>0</v>
      </c>
      <c r="CM69" s="3"/>
      <c r="CN69" s="1">
        <f t="shared" ca="1" si="128"/>
        <v>15.19254052905586</v>
      </c>
      <c r="CO69" s="1">
        <f t="shared" ca="1" si="129"/>
        <v>5.810239580180071E-2</v>
      </c>
      <c r="CP69" s="1">
        <f t="shared" ca="1" si="130"/>
        <v>2</v>
      </c>
      <c r="CV69" s="1">
        <f t="shared" ca="1" si="131"/>
        <v>6.963489014238772</v>
      </c>
      <c r="CW69" s="1">
        <f t="shared" ca="1" si="132"/>
        <v>1664</v>
      </c>
      <c r="CX69" s="1">
        <f t="shared" ca="1" si="133"/>
        <v>4.9193586333344669E-3</v>
      </c>
      <c r="DH69" s="1">
        <f t="shared" ca="1" si="134"/>
        <v>835</v>
      </c>
      <c r="DI69" s="1">
        <f t="shared" ca="1" si="135"/>
        <v>0.22609063175055855</v>
      </c>
      <c r="DJ69" s="1">
        <f t="shared" ca="1" si="136"/>
        <v>7</v>
      </c>
      <c r="DL69" s="1">
        <f t="shared" ca="1" si="137"/>
        <v>0.19353637228340401</v>
      </c>
      <c r="DM69" s="1">
        <f t="shared" ca="1" si="138"/>
        <v>214</v>
      </c>
      <c r="DN69" s="1">
        <f t="shared" ca="1" si="139"/>
        <v>3</v>
      </c>
    </row>
    <row r="70" spans="2:118" x14ac:dyDescent="0.25">
      <c r="B70">
        <f t="shared" ca="1" si="72"/>
        <v>682</v>
      </c>
      <c r="C70">
        <f t="shared" ca="1" si="73"/>
        <v>12</v>
      </c>
      <c r="D70">
        <f t="shared" ca="1" si="74"/>
        <v>6.2736935009624212E-2</v>
      </c>
      <c r="F70" s="1">
        <f t="shared" ca="1" si="75"/>
        <v>37</v>
      </c>
      <c r="G70" s="1">
        <f t="shared" ca="1" si="76"/>
        <v>5</v>
      </c>
      <c r="H70" s="1">
        <f t="shared" ca="1" si="77"/>
        <v>12</v>
      </c>
      <c r="I70" s="1"/>
      <c r="J70" s="1">
        <f t="shared" ca="1" si="78"/>
        <v>23</v>
      </c>
      <c r="K70" s="1">
        <f t="shared" ca="1" si="79"/>
        <v>1.6088508090324338</v>
      </c>
      <c r="L70" s="1">
        <f t="shared" ca="1" si="80"/>
        <v>6</v>
      </c>
      <c r="M70" s="1"/>
      <c r="N70" s="1">
        <f t="shared" ca="1" si="81"/>
        <v>807</v>
      </c>
      <c r="O70" s="1">
        <f t="shared" ca="1" si="82"/>
        <v>26</v>
      </c>
      <c r="P70" s="1"/>
      <c r="Q70" s="1">
        <f t="shared" ca="1" si="83"/>
        <v>2.4304740168302077</v>
      </c>
      <c r="R70" s="1">
        <f t="shared" ca="1" si="84"/>
        <v>313</v>
      </c>
      <c r="S70" s="1"/>
      <c r="T70" s="1">
        <f t="shared" ca="1" si="85"/>
        <v>0.13691373964761525</v>
      </c>
      <c r="U70" s="1">
        <f t="shared" ca="1" si="86"/>
        <v>51</v>
      </c>
      <c r="V70" s="1">
        <f t="shared" ca="1" si="87"/>
        <v>51</v>
      </c>
      <c r="W70" s="1"/>
      <c r="X70" s="1">
        <f t="shared" ca="1" si="88"/>
        <v>4.914206745025349</v>
      </c>
      <c r="Y70" s="1">
        <f t="shared" ca="1" si="89"/>
        <v>2.5189118267315621E-3</v>
      </c>
      <c r="Z70" s="1">
        <f t="shared" ca="1" si="90"/>
        <v>1509</v>
      </c>
      <c r="AB70" s="1">
        <f t="shared" ca="1" si="91"/>
        <v>0.33482948512936422</v>
      </c>
      <c r="AC70" s="1">
        <f t="shared" ca="1" si="92"/>
        <v>479</v>
      </c>
      <c r="AD70" s="1">
        <f t="shared" ca="1" si="93"/>
        <v>4.7100917171675871E-3</v>
      </c>
      <c r="AE70" s="1"/>
      <c r="AF70" s="1">
        <f t="shared" ca="1" si="94"/>
        <v>0.42846931557785484</v>
      </c>
      <c r="AG70" s="1">
        <f t="shared" ca="1" si="95"/>
        <v>103</v>
      </c>
      <c r="AH70" s="1">
        <f t="shared" ca="1" si="96"/>
        <v>9.3438732038051821E-5</v>
      </c>
      <c r="AJ70" s="1">
        <f t="shared" ca="1" si="97"/>
        <v>0.87870213366072702</v>
      </c>
      <c r="AK70" s="1">
        <f t="shared" ca="1" si="98"/>
        <v>7.8571981193259997E-3</v>
      </c>
      <c r="AL70" s="1"/>
      <c r="AM70" s="1">
        <f t="shared" ca="1" si="99"/>
        <v>8.1772108329517562E-2</v>
      </c>
      <c r="AN70" s="1">
        <f t="shared" ca="1" si="100"/>
        <v>64</v>
      </c>
      <c r="AO70" s="1">
        <f t="shared" ca="1" si="101"/>
        <v>11</v>
      </c>
      <c r="AQ70" s="1">
        <f t="shared" ca="1" si="102"/>
        <v>126</v>
      </c>
      <c r="AR70" s="1">
        <f t="shared" ca="1" si="103"/>
        <v>1</v>
      </c>
      <c r="AS70" s="1">
        <f t="shared" ca="1" si="104"/>
        <v>42</v>
      </c>
      <c r="AU70" s="1">
        <f t="shared" ca="1" si="105"/>
        <v>158</v>
      </c>
      <c r="AV70" s="1">
        <f t="shared" ca="1" si="106"/>
        <v>6</v>
      </c>
      <c r="AW70" s="1">
        <f t="shared" ca="1" si="107"/>
        <v>9.2683243956232494E-2</v>
      </c>
      <c r="AY70" s="1">
        <f t="shared" ca="1" si="108"/>
        <v>1.547805717409324</v>
      </c>
      <c r="AZ70" s="1">
        <f t="shared" ca="1" si="109"/>
        <v>155</v>
      </c>
      <c r="BA70" s="1">
        <f t="shared" ca="1" si="110"/>
        <v>1.5300506053245986E-3</v>
      </c>
      <c r="BG70" s="1">
        <f t="shared" ca="1" si="111"/>
        <v>0.98845607444402939</v>
      </c>
      <c r="BH70" s="1">
        <f t="shared" ca="1" si="112"/>
        <v>0.4262001556632431</v>
      </c>
      <c r="BI70" s="1">
        <f t="shared" ca="1" si="113"/>
        <v>495</v>
      </c>
      <c r="BV70" s="1">
        <f t="shared" ca="1" si="114"/>
        <v>0.16967750935949366</v>
      </c>
      <c r="BW70" s="1">
        <f t="shared" ca="1" si="115"/>
        <v>417</v>
      </c>
      <c r="BX70" s="1">
        <f t="shared" ca="1" si="116"/>
        <v>1.0515983746246884E-3</v>
      </c>
      <c r="BY70" s="1">
        <f t="shared" ca="1" si="117"/>
        <v>5.5766157922400236E-2</v>
      </c>
      <c r="BZ70" s="1">
        <f t="shared" ca="1" si="118"/>
        <v>0.33228868683778856</v>
      </c>
      <c r="CB70" s="1">
        <f t="shared" ca="1" si="119"/>
        <v>72</v>
      </c>
      <c r="CC70" s="1">
        <f t="shared" ca="1" si="120"/>
        <v>11</v>
      </c>
      <c r="CD70" s="1">
        <f t="shared" ca="1" si="121"/>
        <v>3.8227388296652912E-2</v>
      </c>
      <c r="CE70" s="1">
        <f t="shared" ca="1" si="122"/>
        <v>0.95113385767424541</v>
      </c>
      <c r="CF70" s="1">
        <f t="shared" ca="1" si="122"/>
        <v>0.78147192658653075</v>
      </c>
      <c r="CH70" s="3">
        <f t="shared" ca="1" si="123"/>
        <v>0.19893786548726611</v>
      </c>
      <c r="CI70" s="3">
        <f t="shared" ca="1" si="124"/>
        <v>0.54529708213804984</v>
      </c>
      <c r="CJ70" s="3">
        <f t="shared" ca="1" si="125"/>
        <v>104</v>
      </c>
      <c r="CK70" s="3">
        <f t="shared" ca="1" si="126"/>
        <v>3.7633322207030798E-3</v>
      </c>
      <c r="CL70" s="3">
        <f t="shared" ca="1" si="127"/>
        <v>1</v>
      </c>
      <c r="CM70" s="3"/>
      <c r="CN70" s="1">
        <f t="shared" ca="1" si="128"/>
        <v>10.63317991383366</v>
      </c>
      <c r="CO70" s="1">
        <f t="shared" ca="1" si="129"/>
        <v>0.16463668775494805</v>
      </c>
      <c r="CP70" s="1">
        <f t="shared" ca="1" si="130"/>
        <v>5</v>
      </c>
      <c r="CV70" s="1">
        <f t="shared" ca="1" si="131"/>
        <v>4.7831632168564138</v>
      </c>
      <c r="CW70" s="1">
        <f t="shared" ca="1" si="132"/>
        <v>832</v>
      </c>
      <c r="CX70" s="1">
        <f t="shared" ca="1" si="133"/>
        <v>5.2299983528805239E-3</v>
      </c>
      <c r="DH70" s="1">
        <f t="shared" ca="1" si="134"/>
        <v>609</v>
      </c>
      <c r="DI70" s="1">
        <f t="shared" ca="1" si="135"/>
        <v>0.72198057106376079</v>
      </c>
      <c r="DJ70" s="1">
        <f t="shared" ca="1" si="136"/>
        <v>1</v>
      </c>
      <c r="DL70" s="1">
        <f t="shared" ca="1" si="137"/>
        <v>0.15263917978329419</v>
      </c>
      <c r="DM70" s="1">
        <f t="shared" ca="1" si="138"/>
        <v>299</v>
      </c>
      <c r="DN70" s="1">
        <f t="shared" ca="1" si="139"/>
        <v>5</v>
      </c>
    </row>
    <row r="71" spans="2:118" x14ac:dyDescent="0.25">
      <c r="B71">
        <f t="shared" ca="1" si="72"/>
        <v>943</v>
      </c>
      <c r="C71">
        <f t="shared" ca="1" si="73"/>
        <v>32</v>
      </c>
      <c r="D71">
        <f t="shared" ca="1" si="74"/>
        <v>0.21813341200693281</v>
      </c>
      <c r="F71" s="1">
        <f t="shared" ca="1" si="75"/>
        <v>11</v>
      </c>
      <c r="G71" s="1">
        <f t="shared" ca="1" si="76"/>
        <v>11</v>
      </c>
      <c r="H71" s="1">
        <f t="shared" ca="1" si="77"/>
        <v>6</v>
      </c>
      <c r="I71" s="1"/>
      <c r="J71" s="1">
        <f t="shared" ca="1" si="78"/>
        <v>14</v>
      </c>
      <c r="K71" s="1">
        <f t="shared" ca="1" si="79"/>
        <v>1.8681571088861832</v>
      </c>
      <c r="L71" s="1">
        <f t="shared" ca="1" si="80"/>
        <v>29</v>
      </c>
      <c r="M71" s="1"/>
      <c r="N71" s="1">
        <f t="shared" ca="1" si="81"/>
        <v>407</v>
      </c>
      <c r="O71" s="1">
        <f t="shared" ca="1" si="82"/>
        <v>5</v>
      </c>
      <c r="P71" s="1"/>
      <c r="Q71" s="1">
        <f t="shared" ca="1" si="83"/>
        <v>4.0039224264870672</v>
      </c>
      <c r="R71" s="1">
        <f t="shared" ca="1" si="84"/>
        <v>613</v>
      </c>
      <c r="S71" s="1"/>
      <c r="T71" s="1">
        <f t="shared" ca="1" si="85"/>
        <v>0.16414241648242622</v>
      </c>
      <c r="U71" s="1">
        <f t="shared" ca="1" si="86"/>
        <v>286</v>
      </c>
      <c r="V71" s="1">
        <f t="shared" ca="1" si="87"/>
        <v>5</v>
      </c>
      <c r="W71" s="1"/>
      <c r="X71" s="1">
        <f t="shared" ca="1" si="88"/>
        <v>2.0569632871046384</v>
      </c>
      <c r="Y71" s="1">
        <f t="shared" ca="1" si="89"/>
        <v>0.4859926358073125</v>
      </c>
      <c r="Z71" s="1">
        <f t="shared" ca="1" si="90"/>
        <v>934</v>
      </c>
      <c r="AB71" s="1">
        <f t="shared" ca="1" si="91"/>
        <v>0.49256299818827992</v>
      </c>
      <c r="AC71" s="1">
        <f t="shared" ca="1" si="92"/>
        <v>206</v>
      </c>
      <c r="AD71" s="1">
        <f t="shared" ca="1" si="93"/>
        <v>8.4112370448358696E-3</v>
      </c>
      <c r="AE71" s="1"/>
      <c r="AF71" s="1">
        <f t="shared" ca="1" si="94"/>
        <v>0.25207754065840182</v>
      </c>
      <c r="AG71" s="1">
        <f t="shared" ca="1" si="95"/>
        <v>297</v>
      </c>
      <c r="AH71" s="1">
        <f t="shared" ca="1" si="96"/>
        <v>2.3061096525984416E-3</v>
      </c>
      <c r="AJ71" s="1">
        <f t="shared" ca="1" si="97"/>
        <v>0.77032868263179699</v>
      </c>
      <c r="AK71" s="1">
        <f t="shared" ca="1" si="98"/>
        <v>1.8029745947062709E-3</v>
      </c>
      <c r="AL71" s="1"/>
      <c r="AM71" s="1">
        <f t="shared" ca="1" si="99"/>
        <v>7.2060822617562845E-2</v>
      </c>
      <c r="AN71" s="1">
        <f t="shared" ca="1" si="100"/>
        <v>50</v>
      </c>
      <c r="AO71" s="1">
        <f t="shared" ca="1" si="101"/>
        <v>6</v>
      </c>
      <c r="AQ71" s="1">
        <f t="shared" ca="1" si="102"/>
        <v>129</v>
      </c>
      <c r="AR71" s="1">
        <f t="shared" ca="1" si="103"/>
        <v>5</v>
      </c>
      <c r="AS71" s="1">
        <f t="shared" ca="1" si="104"/>
        <v>80</v>
      </c>
      <c r="AU71" s="1">
        <f t="shared" ca="1" si="105"/>
        <v>225</v>
      </c>
      <c r="AV71" s="1">
        <f t="shared" ca="1" si="106"/>
        <v>2</v>
      </c>
      <c r="AW71" s="1">
        <f t="shared" ca="1" si="107"/>
        <v>3.0430297093909174E-2</v>
      </c>
      <c r="AY71" s="1">
        <f t="shared" ca="1" si="108"/>
        <v>1.6515711099089849</v>
      </c>
      <c r="AZ71" s="1">
        <f t="shared" ca="1" si="109"/>
        <v>108</v>
      </c>
      <c r="BA71" s="1">
        <f t="shared" ca="1" si="110"/>
        <v>2.7921397840297759E-3</v>
      </c>
      <c r="BG71" s="1">
        <f t="shared" ca="1" si="111"/>
        <v>0.5466927713653863</v>
      </c>
      <c r="BH71" s="1">
        <f t="shared" ca="1" si="112"/>
        <v>9.076618730395114E-3</v>
      </c>
      <c r="BI71" s="1">
        <f t="shared" ca="1" si="113"/>
        <v>533</v>
      </c>
      <c r="BV71" s="1">
        <f t="shared" ca="1" si="114"/>
        <v>0.78427235966447439</v>
      </c>
      <c r="BW71" s="1">
        <f t="shared" ca="1" si="115"/>
        <v>244</v>
      </c>
      <c r="BX71" s="1">
        <f t="shared" ca="1" si="116"/>
        <v>6.3922420237235017E-3</v>
      </c>
      <c r="BY71" s="1">
        <f t="shared" ca="1" si="117"/>
        <v>6.4631201011965497E-2</v>
      </c>
      <c r="BZ71" s="1">
        <f t="shared" ca="1" si="118"/>
        <v>0.85268217232378807</v>
      </c>
      <c r="CB71" s="1">
        <f t="shared" ca="1" si="119"/>
        <v>214</v>
      </c>
      <c r="CC71" s="1">
        <f t="shared" ca="1" si="120"/>
        <v>11</v>
      </c>
      <c r="CD71" s="1">
        <f t="shared" ca="1" si="121"/>
        <v>0.22826205582720444</v>
      </c>
      <c r="CE71" s="1">
        <f t="shared" ca="1" si="122"/>
        <v>0.93625686263188768</v>
      </c>
      <c r="CF71" s="1">
        <f t="shared" ca="1" si="122"/>
        <v>0.80058743166921054</v>
      </c>
      <c r="CH71" s="3">
        <f t="shared" ca="1" si="123"/>
        <v>0.67665486671522912</v>
      </c>
      <c r="CI71" s="3">
        <f t="shared" ca="1" si="124"/>
        <v>0.82011924345189302</v>
      </c>
      <c r="CJ71" s="3">
        <f t="shared" ca="1" si="125"/>
        <v>307</v>
      </c>
      <c r="CK71" s="3">
        <f t="shared" ca="1" si="126"/>
        <v>3.8712504912499939E-3</v>
      </c>
      <c r="CL71" s="3">
        <f t="shared" ca="1" si="127"/>
        <v>1</v>
      </c>
      <c r="CM71" s="3"/>
      <c r="CN71" s="1">
        <f t="shared" ca="1" si="128"/>
        <v>15.690447497017439</v>
      </c>
      <c r="CO71" s="1">
        <f t="shared" ca="1" si="129"/>
        <v>0.35430331311120827</v>
      </c>
      <c r="CP71" s="1">
        <f t="shared" ca="1" si="130"/>
        <v>4</v>
      </c>
      <c r="CV71" s="1">
        <f t="shared" ca="1" si="131"/>
        <v>7.3941663118623273</v>
      </c>
      <c r="CW71" s="1">
        <f t="shared" ca="1" si="132"/>
        <v>413</v>
      </c>
      <c r="CX71" s="1">
        <f t="shared" ca="1" si="133"/>
        <v>1.3456729906877432E-3</v>
      </c>
      <c r="DH71" s="1">
        <f t="shared" ca="1" si="134"/>
        <v>701</v>
      </c>
      <c r="DI71" s="1">
        <f t="shared" ca="1" si="135"/>
        <v>0.98246849195276309</v>
      </c>
      <c r="DJ71" s="1">
        <f t="shared" ca="1" si="136"/>
        <v>17</v>
      </c>
      <c r="DL71" s="1">
        <f t="shared" ca="1" si="137"/>
        <v>0.18682429435347581</v>
      </c>
      <c r="DM71" s="1">
        <f t="shared" ca="1" si="138"/>
        <v>292</v>
      </c>
      <c r="DN71" s="1">
        <f t="shared" ca="1" si="139"/>
        <v>7</v>
      </c>
    </row>
    <row r="72" spans="2:118" x14ac:dyDescent="0.25">
      <c r="B72">
        <f t="shared" ca="1" si="72"/>
        <v>98</v>
      </c>
      <c r="C72">
        <f t="shared" ca="1" si="73"/>
        <v>40</v>
      </c>
      <c r="D72">
        <f t="shared" ca="1" si="74"/>
        <v>0.10993496817310726</v>
      </c>
      <c r="F72" s="1">
        <f t="shared" ca="1" si="75"/>
        <v>11</v>
      </c>
      <c r="G72" s="1">
        <f t="shared" ca="1" si="76"/>
        <v>22</v>
      </c>
      <c r="H72" s="1">
        <f t="shared" ca="1" si="77"/>
        <v>11</v>
      </c>
      <c r="I72" s="1"/>
      <c r="J72" s="1">
        <f t="shared" ca="1" si="78"/>
        <v>16</v>
      </c>
      <c r="K72" s="1">
        <f t="shared" ca="1" si="79"/>
        <v>1.2564540142134617</v>
      </c>
      <c r="L72" s="1">
        <f t="shared" ca="1" si="80"/>
        <v>14</v>
      </c>
      <c r="M72" s="1"/>
      <c r="N72" s="1">
        <f t="shared" ca="1" si="81"/>
        <v>829</v>
      </c>
      <c r="O72" s="1">
        <f t="shared" ca="1" si="82"/>
        <v>48</v>
      </c>
      <c r="P72" s="1"/>
      <c r="Q72" s="1">
        <f t="shared" ca="1" si="83"/>
        <v>3.8567198864222099</v>
      </c>
      <c r="R72" s="1">
        <f t="shared" ca="1" si="84"/>
        <v>830</v>
      </c>
      <c r="S72" s="1"/>
      <c r="T72" s="1">
        <f t="shared" ca="1" si="85"/>
        <v>6.795693891700795E-2</v>
      </c>
      <c r="U72" s="1">
        <f t="shared" ca="1" si="86"/>
        <v>264</v>
      </c>
      <c r="V72" s="1">
        <f t="shared" ca="1" si="87"/>
        <v>42</v>
      </c>
      <c r="W72" s="1"/>
      <c r="X72" s="1">
        <f t="shared" ca="1" si="88"/>
        <v>7.9441863018391103</v>
      </c>
      <c r="Y72" s="1">
        <f t="shared" ca="1" si="89"/>
        <v>0.68900700686259864</v>
      </c>
      <c r="Z72" s="1">
        <f t="shared" ca="1" si="90"/>
        <v>1210</v>
      </c>
      <c r="AB72" s="1">
        <f t="shared" ca="1" si="91"/>
        <v>0.32209082608933176</v>
      </c>
      <c r="AC72" s="1">
        <f t="shared" ca="1" si="92"/>
        <v>895</v>
      </c>
      <c r="AD72" s="1">
        <f t="shared" ca="1" si="93"/>
        <v>8.8801279481038001E-3</v>
      </c>
      <c r="AE72" s="1"/>
      <c r="AF72" s="1">
        <f t="shared" ca="1" si="94"/>
        <v>0.27989698913024719</v>
      </c>
      <c r="AG72" s="1">
        <f t="shared" ca="1" si="95"/>
        <v>464</v>
      </c>
      <c r="AH72" s="1">
        <f t="shared" ca="1" si="96"/>
        <v>4.962183880872599E-3</v>
      </c>
      <c r="AJ72" s="1">
        <f t="shared" ca="1" si="97"/>
        <v>0.56177786447669509</v>
      </c>
      <c r="AK72" s="1">
        <f t="shared" ca="1" si="98"/>
        <v>6.1714166569329871E-3</v>
      </c>
      <c r="AL72" s="1"/>
      <c r="AM72" s="1">
        <f t="shared" ca="1" si="99"/>
        <v>0.15654750537471784</v>
      </c>
      <c r="AN72" s="1">
        <f t="shared" ca="1" si="100"/>
        <v>13</v>
      </c>
      <c r="AO72" s="1">
        <f t="shared" ca="1" si="101"/>
        <v>-1</v>
      </c>
      <c r="AQ72" s="1">
        <f t="shared" ca="1" si="102"/>
        <v>183</v>
      </c>
      <c r="AR72" s="1">
        <f t="shared" ca="1" si="103"/>
        <v>4</v>
      </c>
      <c r="AS72" s="1">
        <f t="shared" ca="1" si="104"/>
        <v>73</v>
      </c>
      <c r="AU72" s="1">
        <f t="shared" ca="1" si="105"/>
        <v>300</v>
      </c>
      <c r="AV72" s="1">
        <f t="shared" ca="1" si="106"/>
        <v>5</v>
      </c>
      <c r="AW72" s="1">
        <f t="shared" ca="1" si="107"/>
        <v>0.13342972821395754</v>
      </c>
      <c r="AY72" s="1">
        <f t="shared" ca="1" si="108"/>
        <v>1.9274028684200126</v>
      </c>
      <c r="AZ72" s="1">
        <f t="shared" ca="1" si="109"/>
        <v>325</v>
      </c>
      <c r="BA72" s="1">
        <f t="shared" ca="1" si="110"/>
        <v>1.0352613301402049E-3</v>
      </c>
      <c r="BG72" s="1">
        <f t="shared" ca="1" si="111"/>
        <v>0.28497753084325733</v>
      </c>
      <c r="BH72" s="1">
        <f t="shared" ca="1" si="112"/>
        <v>0.18882600649805847</v>
      </c>
      <c r="BI72" s="1">
        <f t="shared" ca="1" si="113"/>
        <v>543</v>
      </c>
      <c r="BV72" s="1">
        <f t="shared" ca="1" si="114"/>
        <v>0.57803581598187204</v>
      </c>
      <c r="BW72" s="1">
        <f t="shared" ca="1" si="115"/>
        <v>582</v>
      </c>
      <c r="BX72" s="1">
        <f t="shared" ca="1" si="116"/>
        <v>6.3728209429296679E-3</v>
      </c>
      <c r="BY72" s="1">
        <f t="shared" ca="1" si="117"/>
        <v>1.493642348677531E-2</v>
      </c>
      <c r="BZ72" s="1">
        <f t="shared" ca="1" si="118"/>
        <v>0.26121253427575586</v>
      </c>
      <c r="CB72" s="1">
        <f t="shared" ca="1" si="119"/>
        <v>62</v>
      </c>
      <c r="CC72" s="1">
        <f t="shared" ca="1" si="120"/>
        <v>5</v>
      </c>
      <c r="CD72" s="1">
        <f t="shared" ca="1" si="121"/>
        <v>9.182253463963555E-2</v>
      </c>
      <c r="CE72" s="1">
        <f t="shared" ca="1" si="122"/>
        <v>0.77394469626819806</v>
      </c>
      <c r="CF72" s="1">
        <f t="shared" ca="1" si="122"/>
        <v>0.71502260918990113</v>
      </c>
      <c r="CH72" s="3">
        <f t="shared" ca="1" si="123"/>
        <v>0.50925881690254127</v>
      </c>
      <c r="CI72" s="3">
        <f t="shared" ca="1" si="124"/>
        <v>0.89861365229252077</v>
      </c>
      <c r="CJ72" s="3">
        <f t="shared" ca="1" si="125"/>
        <v>122</v>
      </c>
      <c r="CK72" s="3">
        <f t="shared" ca="1" si="126"/>
        <v>1.0871051163372527E-3</v>
      </c>
      <c r="CL72" s="3">
        <f t="shared" ca="1" si="127"/>
        <v>0</v>
      </c>
      <c r="CM72" s="3"/>
      <c r="CN72" s="1">
        <f t="shared" ca="1" si="128"/>
        <v>12.366087528844117</v>
      </c>
      <c r="CO72" s="1">
        <f t="shared" ca="1" si="129"/>
        <v>0.29922751204749515</v>
      </c>
      <c r="CP72" s="1">
        <f t="shared" ca="1" si="130"/>
        <v>4</v>
      </c>
      <c r="CV72" s="1">
        <f t="shared" ca="1" si="131"/>
        <v>7.8866214180964</v>
      </c>
      <c r="CW72" s="1">
        <f t="shared" ca="1" si="132"/>
        <v>812</v>
      </c>
      <c r="CX72" s="1">
        <f t="shared" ca="1" si="133"/>
        <v>1.5218171339337779E-3</v>
      </c>
      <c r="DH72" s="1">
        <f t="shared" ca="1" si="134"/>
        <v>592</v>
      </c>
      <c r="DI72" s="1">
        <f t="shared" ca="1" si="135"/>
        <v>0.40283022465117407</v>
      </c>
      <c r="DJ72" s="1">
        <f t="shared" ca="1" si="136"/>
        <v>4</v>
      </c>
      <c r="DL72" s="1">
        <f t="shared" ca="1" si="137"/>
        <v>0.11666991869111003</v>
      </c>
      <c r="DM72" s="1">
        <f t="shared" ca="1" si="138"/>
        <v>263</v>
      </c>
      <c r="DN72" s="1">
        <f t="shared" ca="1" si="139"/>
        <v>10</v>
      </c>
    </row>
    <row r="73" spans="2:118" x14ac:dyDescent="0.25">
      <c r="B73">
        <f t="shared" ca="1" si="72"/>
        <v>463</v>
      </c>
      <c r="C73">
        <f t="shared" ca="1" si="73"/>
        <v>21</v>
      </c>
      <c r="D73">
        <f t="shared" ca="1" si="74"/>
        <v>0.12726635863187272</v>
      </c>
      <c r="F73" s="1">
        <f t="shared" ca="1" si="75"/>
        <v>51</v>
      </c>
      <c r="G73" s="1">
        <f t="shared" ca="1" si="76"/>
        <v>17</v>
      </c>
      <c r="H73" s="1">
        <f t="shared" ca="1" si="77"/>
        <v>13</v>
      </c>
      <c r="I73" s="1"/>
      <c r="J73" s="1">
        <f t="shared" ca="1" si="78"/>
        <v>37</v>
      </c>
      <c r="K73" s="1">
        <f t="shared" ca="1" si="79"/>
        <v>1.072004644797242</v>
      </c>
      <c r="L73" s="1">
        <f t="shared" ca="1" si="80"/>
        <v>26</v>
      </c>
      <c r="M73" s="1"/>
      <c r="N73" s="1">
        <f t="shared" ca="1" si="81"/>
        <v>421</v>
      </c>
      <c r="O73" s="1">
        <f t="shared" ca="1" si="82"/>
        <v>23</v>
      </c>
      <c r="P73" s="1"/>
      <c r="Q73" s="1">
        <f t="shared" ca="1" si="83"/>
        <v>2.181621124739241</v>
      </c>
      <c r="R73" s="1">
        <f t="shared" ca="1" si="84"/>
        <v>640</v>
      </c>
      <c r="S73" s="1"/>
      <c r="T73" s="1">
        <f t="shared" ca="1" si="85"/>
        <v>9.8428916810611014E-2</v>
      </c>
      <c r="U73" s="1">
        <f t="shared" ca="1" si="86"/>
        <v>199</v>
      </c>
      <c r="V73" s="1">
        <f t="shared" ca="1" si="87"/>
        <v>51</v>
      </c>
      <c r="W73" s="1"/>
      <c r="X73" s="1">
        <f t="shared" ca="1" si="88"/>
        <v>6.8573778860917107</v>
      </c>
      <c r="Y73" s="1">
        <f t="shared" ca="1" si="89"/>
        <v>0.74152175094334594</v>
      </c>
      <c r="Z73" s="1">
        <f t="shared" ca="1" si="90"/>
        <v>1283</v>
      </c>
      <c r="AB73" s="1">
        <f t="shared" ca="1" si="91"/>
        <v>0.53950971128480396</v>
      </c>
      <c r="AC73" s="1">
        <f t="shared" ca="1" si="92"/>
        <v>418</v>
      </c>
      <c r="AD73" s="1">
        <f t="shared" ca="1" si="93"/>
        <v>2.8761014204770566E-3</v>
      </c>
      <c r="AE73" s="1"/>
      <c r="AF73" s="1">
        <f t="shared" ca="1" si="94"/>
        <v>0.42969761838052234</v>
      </c>
      <c r="AG73" s="1">
        <f t="shared" ca="1" si="95"/>
        <v>552</v>
      </c>
      <c r="AH73" s="1">
        <f t="shared" ca="1" si="96"/>
        <v>3.2667924365826773E-3</v>
      </c>
      <c r="AJ73" s="1">
        <f t="shared" ca="1" si="97"/>
        <v>0.59415979535291874</v>
      </c>
      <c r="AK73" s="1">
        <f t="shared" ca="1" si="98"/>
        <v>6.6282775746535445E-3</v>
      </c>
      <c r="AL73" s="1"/>
      <c r="AM73" s="1">
        <f t="shared" ca="1" si="99"/>
        <v>9.6558991481862755E-2</v>
      </c>
      <c r="AN73" s="1">
        <f t="shared" ca="1" si="100"/>
        <v>37</v>
      </c>
      <c r="AO73" s="1">
        <f t="shared" ca="1" si="101"/>
        <v>13</v>
      </c>
      <c r="AQ73" s="1">
        <f t="shared" ca="1" si="102"/>
        <v>167</v>
      </c>
      <c r="AR73" s="1">
        <f t="shared" ca="1" si="103"/>
        <v>6</v>
      </c>
      <c r="AS73" s="1">
        <f t="shared" ca="1" si="104"/>
        <v>31</v>
      </c>
      <c r="AU73" s="1">
        <f t="shared" ca="1" si="105"/>
        <v>260</v>
      </c>
      <c r="AV73" s="1">
        <f t="shared" ca="1" si="106"/>
        <v>10</v>
      </c>
      <c r="AW73" s="1">
        <f t="shared" ca="1" si="107"/>
        <v>0.17218247662332828</v>
      </c>
      <c r="AY73" s="1">
        <f t="shared" ca="1" si="108"/>
        <v>1.4265737891093639</v>
      </c>
      <c r="AZ73" s="1">
        <f t="shared" ca="1" si="109"/>
        <v>289</v>
      </c>
      <c r="BA73" s="1">
        <f t="shared" ca="1" si="110"/>
        <v>2.5899486366691023E-3</v>
      </c>
      <c r="BG73" s="1">
        <f t="shared" ca="1" si="111"/>
        <v>0.52580778104959802</v>
      </c>
      <c r="BH73" s="1">
        <f t="shared" ca="1" si="112"/>
        <v>0.97999437723973293</v>
      </c>
      <c r="BI73" s="1">
        <f t="shared" ca="1" si="113"/>
        <v>912</v>
      </c>
      <c r="BV73" s="1">
        <f t="shared" ca="1" si="114"/>
        <v>0.17092620269371123</v>
      </c>
      <c r="BW73" s="1">
        <f t="shared" ca="1" si="115"/>
        <v>700</v>
      </c>
      <c r="BX73" s="1">
        <f t="shared" ca="1" si="116"/>
        <v>1.8832866918551789E-3</v>
      </c>
      <c r="BY73" s="1">
        <f t="shared" ca="1" si="117"/>
        <v>8.2031540647299089E-2</v>
      </c>
      <c r="BZ73" s="1">
        <f t="shared" ca="1" si="118"/>
        <v>0.63883540223223045</v>
      </c>
      <c r="CB73" s="1">
        <f t="shared" ca="1" si="119"/>
        <v>186</v>
      </c>
      <c r="CC73" s="1">
        <f t="shared" ca="1" si="120"/>
        <v>8</v>
      </c>
      <c r="CD73" s="1">
        <f t="shared" ca="1" si="121"/>
        <v>0.27592631035595488</v>
      </c>
      <c r="CE73" s="1">
        <f t="shared" ca="1" si="122"/>
        <v>0.71095565028599317</v>
      </c>
      <c r="CF73" s="1">
        <f t="shared" ca="1" si="122"/>
        <v>0.70622672444068202</v>
      </c>
      <c r="CH73" s="3">
        <f t="shared" ca="1" si="123"/>
        <v>0.2574075280047331</v>
      </c>
      <c r="CI73" s="3">
        <f t="shared" ca="1" si="124"/>
        <v>0.53891197797715917</v>
      </c>
      <c r="CJ73" s="3">
        <f t="shared" ca="1" si="125"/>
        <v>1519</v>
      </c>
      <c r="CK73" s="3">
        <f t="shared" ca="1" si="126"/>
        <v>6.4968089397959864E-3</v>
      </c>
      <c r="CL73" s="3">
        <f t="shared" ca="1" si="127"/>
        <v>1</v>
      </c>
      <c r="CM73" s="3"/>
      <c r="CN73" s="1">
        <f t="shared" ca="1" si="128"/>
        <v>19.445504922618166</v>
      </c>
      <c r="CO73" s="1">
        <f t="shared" ca="1" si="129"/>
        <v>0.17902585772502846</v>
      </c>
      <c r="CP73" s="1">
        <f t="shared" ca="1" si="130"/>
        <v>5</v>
      </c>
      <c r="CV73" s="1">
        <f t="shared" ca="1" si="131"/>
        <v>2.7959646714034032</v>
      </c>
      <c r="CW73" s="1">
        <f t="shared" ca="1" si="132"/>
        <v>1122</v>
      </c>
      <c r="CX73" s="1">
        <f t="shared" ca="1" si="133"/>
        <v>4.7338050175025964E-3</v>
      </c>
      <c r="DH73" s="1">
        <f t="shared" ca="1" si="134"/>
        <v>590</v>
      </c>
      <c r="DI73" s="1">
        <f t="shared" ca="1" si="135"/>
        <v>0.96377821269874908</v>
      </c>
      <c r="DJ73" s="1">
        <f t="shared" ca="1" si="136"/>
        <v>10</v>
      </c>
      <c r="DL73" s="1">
        <f t="shared" ca="1" si="137"/>
        <v>0.15197451193915923</v>
      </c>
      <c r="DM73" s="1">
        <f t="shared" ca="1" si="138"/>
        <v>212</v>
      </c>
      <c r="DN73" s="1">
        <f t="shared" ca="1" si="139"/>
        <v>10</v>
      </c>
    </row>
    <row r="74" spans="2:118" x14ac:dyDescent="0.25">
      <c r="B74">
        <f t="shared" ca="1" si="72"/>
        <v>998</v>
      </c>
      <c r="C74">
        <f t="shared" ca="1" si="73"/>
        <v>27</v>
      </c>
      <c r="D74">
        <f t="shared" ca="1" si="74"/>
        <v>0.11694095691914079</v>
      </c>
      <c r="F74" s="1">
        <f t="shared" ca="1" si="75"/>
        <v>52</v>
      </c>
      <c r="G74" s="1">
        <f t="shared" ca="1" si="76"/>
        <v>14</v>
      </c>
      <c r="H74" s="1">
        <f t="shared" ca="1" si="77"/>
        <v>14</v>
      </c>
      <c r="I74" s="1"/>
      <c r="J74" s="1">
        <f t="shared" ca="1" si="78"/>
        <v>1</v>
      </c>
      <c r="K74" s="1">
        <f t="shared" ca="1" si="79"/>
        <v>2.1638496286409614</v>
      </c>
      <c r="L74" s="1">
        <f t="shared" ca="1" si="80"/>
        <v>24</v>
      </c>
      <c r="M74" s="1"/>
      <c r="N74" s="1">
        <f t="shared" ca="1" si="81"/>
        <v>563</v>
      </c>
      <c r="O74" s="1">
        <f t="shared" ca="1" si="82"/>
        <v>29</v>
      </c>
      <c r="P74" s="1"/>
      <c r="Q74" s="1">
        <f t="shared" ca="1" si="83"/>
        <v>0.11785182842681663</v>
      </c>
      <c r="R74" s="1">
        <f t="shared" ca="1" si="84"/>
        <v>741</v>
      </c>
      <c r="S74" s="1"/>
      <c r="T74" s="1">
        <f t="shared" ca="1" si="85"/>
        <v>0.11654658851898252</v>
      </c>
      <c r="U74" s="1">
        <f t="shared" ca="1" si="86"/>
        <v>101</v>
      </c>
      <c r="V74" s="1">
        <f t="shared" ca="1" si="87"/>
        <v>32</v>
      </c>
      <c r="W74" s="1"/>
      <c r="X74" s="1">
        <f t="shared" ca="1" si="88"/>
        <v>9.9681618203865447</v>
      </c>
      <c r="Y74" s="1">
        <f t="shared" ca="1" si="89"/>
        <v>0.20532244603693048</v>
      </c>
      <c r="Z74" s="1">
        <f t="shared" ca="1" si="90"/>
        <v>511</v>
      </c>
      <c r="AB74" s="1">
        <f t="shared" ca="1" si="91"/>
        <v>0.35217441910284636</v>
      </c>
      <c r="AC74" s="1">
        <f t="shared" ca="1" si="92"/>
        <v>632</v>
      </c>
      <c r="AD74" s="1">
        <f t="shared" ca="1" si="93"/>
        <v>4.5308576079478467E-3</v>
      </c>
      <c r="AE74" s="1"/>
      <c r="AF74" s="1">
        <f t="shared" ca="1" si="94"/>
        <v>0.564293624106606</v>
      </c>
      <c r="AG74" s="1">
        <f t="shared" ca="1" si="95"/>
        <v>569</v>
      </c>
      <c r="AH74" s="1">
        <f t="shared" ca="1" si="96"/>
        <v>2.0221164840677555E-3</v>
      </c>
      <c r="AJ74" s="1">
        <f t="shared" ca="1" si="97"/>
        <v>0.94696375513674269</v>
      </c>
      <c r="AK74" s="1">
        <f t="shared" ca="1" si="98"/>
        <v>4.8579739433177909E-3</v>
      </c>
      <c r="AL74" s="1"/>
      <c r="AM74" s="1">
        <f t="shared" ca="1" si="99"/>
        <v>1.1693886660496644E-2</v>
      </c>
      <c r="AN74" s="1">
        <f t="shared" ca="1" si="100"/>
        <v>18</v>
      </c>
      <c r="AO74" s="1">
        <f t="shared" ca="1" si="101"/>
        <v>13</v>
      </c>
      <c r="AQ74" s="1">
        <f t="shared" ca="1" si="102"/>
        <v>143</v>
      </c>
      <c r="AR74" s="1">
        <f t="shared" ca="1" si="103"/>
        <v>10</v>
      </c>
      <c r="AS74" s="1">
        <f t="shared" ca="1" si="104"/>
        <v>75</v>
      </c>
      <c r="AU74" s="1">
        <f t="shared" ca="1" si="105"/>
        <v>331</v>
      </c>
      <c r="AV74" s="1">
        <f t="shared" ca="1" si="106"/>
        <v>7</v>
      </c>
      <c r="AW74" s="1">
        <f t="shared" ca="1" si="107"/>
        <v>0.17327911947647967</v>
      </c>
      <c r="AY74" s="1">
        <f t="shared" ca="1" si="108"/>
        <v>1.7134276444979237</v>
      </c>
      <c r="AZ74" s="1">
        <f t="shared" ca="1" si="109"/>
        <v>484</v>
      </c>
      <c r="BA74" s="1">
        <f t="shared" ca="1" si="110"/>
        <v>9.4536467388476597E-3</v>
      </c>
      <c r="BG74" s="1">
        <f t="shared" ca="1" si="111"/>
        <v>0.77782167151034298</v>
      </c>
      <c r="BH74" s="1">
        <f t="shared" ca="1" si="112"/>
        <v>0.41075210422150588</v>
      </c>
      <c r="BI74" s="1">
        <f t="shared" ca="1" si="113"/>
        <v>386</v>
      </c>
      <c r="BV74" s="1">
        <f t="shared" ca="1" si="114"/>
        <v>0.79231941247783577</v>
      </c>
      <c r="BW74" s="1">
        <f t="shared" ca="1" si="115"/>
        <v>461</v>
      </c>
      <c r="BX74" s="1">
        <f t="shared" ca="1" si="116"/>
        <v>3.1386129276591733E-3</v>
      </c>
      <c r="BY74" s="1">
        <f t="shared" ca="1" si="117"/>
        <v>3.0798801698566941E-2</v>
      </c>
      <c r="BZ74" s="1">
        <f t="shared" ca="1" si="118"/>
        <v>0.34522441776160784</v>
      </c>
      <c r="CB74" s="1">
        <f t="shared" ca="1" si="119"/>
        <v>469</v>
      </c>
      <c r="CC74" s="1">
        <f t="shared" ca="1" si="120"/>
        <v>12</v>
      </c>
      <c r="CD74" s="1">
        <f t="shared" ca="1" si="121"/>
        <v>8.4602440409526483E-2</v>
      </c>
      <c r="CE74" s="1">
        <f t="shared" ca="1" si="122"/>
        <v>0.75031465200329928</v>
      </c>
      <c r="CF74" s="1">
        <f t="shared" ca="1" si="122"/>
        <v>0.98102405292859185</v>
      </c>
      <c r="CH74" s="3">
        <f t="shared" ca="1" si="123"/>
        <v>0.49951809176912509</v>
      </c>
      <c r="CI74" s="3">
        <f t="shared" ca="1" si="124"/>
        <v>0.28577193431543202</v>
      </c>
      <c r="CJ74" s="3">
        <f t="shared" ca="1" si="125"/>
        <v>418</v>
      </c>
      <c r="CK74" s="3">
        <f t="shared" ca="1" si="126"/>
        <v>4.5926014915411151E-3</v>
      </c>
      <c r="CL74" s="3">
        <f t="shared" ca="1" si="127"/>
        <v>1</v>
      </c>
      <c r="CM74" s="3"/>
      <c r="CN74" s="1">
        <f t="shared" ca="1" si="128"/>
        <v>3.2851329846231536</v>
      </c>
      <c r="CO74" s="1">
        <f t="shared" ca="1" si="129"/>
        <v>4.8679929826908788E-2</v>
      </c>
      <c r="CP74" s="1">
        <f t="shared" ca="1" si="130"/>
        <v>3</v>
      </c>
      <c r="CV74" s="1">
        <f t="shared" ca="1" si="131"/>
        <v>2.1973016229392113</v>
      </c>
      <c r="CW74" s="1">
        <f t="shared" ca="1" si="132"/>
        <v>383</v>
      </c>
      <c r="CX74" s="1">
        <f t="shared" ca="1" si="133"/>
        <v>9.2705872346213868E-3</v>
      </c>
      <c r="DH74" s="1">
        <f t="shared" ca="1" si="134"/>
        <v>579</v>
      </c>
      <c r="DI74" s="1">
        <f t="shared" ca="1" si="135"/>
        <v>0.71318901591201711</v>
      </c>
      <c r="DJ74" s="1">
        <f t="shared" ca="1" si="136"/>
        <v>30</v>
      </c>
      <c r="DL74" s="1">
        <f t="shared" ca="1" si="137"/>
        <v>3.1551677531873171E-2</v>
      </c>
      <c r="DM74" s="1">
        <f t="shared" ca="1" si="138"/>
        <v>205</v>
      </c>
      <c r="DN74" s="1">
        <f t="shared" ca="1" si="139"/>
        <v>5</v>
      </c>
    </row>
    <row r="75" spans="2:118" x14ac:dyDescent="0.25">
      <c r="B75">
        <f t="shared" ca="1" si="72"/>
        <v>793</v>
      </c>
      <c r="C75">
        <f t="shared" ca="1" si="73"/>
        <v>36</v>
      </c>
      <c r="D75">
        <f t="shared" ca="1" si="74"/>
        <v>0.15207461431408439</v>
      </c>
      <c r="F75" s="1">
        <f t="shared" ca="1" si="75"/>
        <v>45</v>
      </c>
      <c r="G75" s="1">
        <f t="shared" ca="1" si="76"/>
        <v>9</v>
      </c>
      <c r="H75" s="1">
        <f t="shared" ca="1" si="77"/>
        <v>1</v>
      </c>
      <c r="I75" s="1"/>
      <c r="J75" s="1">
        <f t="shared" ca="1" si="78"/>
        <v>11</v>
      </c>
      <c r="K75" s="1">
        <f t="shared" ca="1" si="79"/>
        <v>2.2120518809858805</v>
      </c>
      <c r="L75" s="1">
        <f t="shared" ca="1" si="80"/>
        <v>27</v>
      </c>
      <c r="M75" s="1"/>
      <c r="N75" s="1">
        <f t="shared" ca="1" si="81"/>
        <v>597</v>
      </c>
      <c r="O75" s="1">
        <f t="shared" ca="1" si="82"/>
        <v>32</v>
      </c>
      <c r="P75" s="1"/>
      <c r="Q75" s="1">
        <f t="shared" ca="1" si="83"/>
        <v>4.5074901125642546</v>
      </c>
      <c r="R75" s="1">
        <f t="shared" ca="1" si="84"/>
        <v>1088</v>
      </c>
      <c r="S75" s="1"/>
      <c r="T75" s="1">
        <f t="shared" ca="1" si="85"/>
        <v>0.17486617645244429</v>
      </c>
      <c r="U75" s="1">
        <f t="shared" ca="1" si="86"/>
        <v>387</v>
      </c>
      <c r="V75" s="1">
        <f t="shared" ca="1" si="87"/>
        <v>11</v>
      </c>
      <c r="W75" s="1"/>
      <c r="X75" s="1">
        <f t="shared" ca="1" si="88"/>
        <v>5.6182701178459897</v>
      </c>
      <c r="Y75" s="1">
        <f t="shared" ca="1" si="89"/>
        <v>0.44604329364093387</v>
      </c>
      <c r="Z75" s="1">
        <f t="shared" ca="1" si="90"/>
        <v>1038</v>
      </c>
      <c r="AB75" s="1">
        <f t="shared" ca="1" si="91"/>
        <v>3.5493765749222847E-2</v>
      </c>
      <c r="AC75" s="1">
        <f t="shared" ca="1" si="92"/>
        <v>218</v>
      </c>
      <c r="AD75" s="1">
        <f t="shared" ca="1" si="93"/>
        <v>1.086202749070923E-3</v>
      </c>
      <c r="AE75" s="1"/>
      <c r="AF75" s="1">
        <f t="shared" ca="1" si="94"/>
        <v>0.26412411843418415</v>
      </c>
      <c r="AG75" s="1">
        <f t="shared" ca="1" si="95"/>
        <v>656</v>
      </c>
      <c r="AH75" s="1">
        <f t="shared" ca="1" si="96"/>
        <v>6.4238906111074665E-3</v>
      </c>
      <c r="AJ75" s="1">
        <f t="shared" ca="1" si="97"/>
        <v>0.45368815580439747</v>
      </c>
      <c r="AK75" s="1">
        <f t="shared" ca="1" si="98"/>
        <v>8.2886733459085274E-3</v>
      </c>
      <c r="AL75" s="1"/>
      <c r="AM75" s="1">
        <f t="shared" ca="1" si="99"/>
        <v>0.16314996417619099</v>
      </c>
      <c r="AN75" s="1">
        <f t="shared" ca="1" si="100"/>
        <v>49</v>
      </c>
      <c r="AO75" s="1">
        <f t="shared" ca="1" si="101"/>
        <v>1</v>
      </c>
      <c r="AQ75" s="1">
        <f t="shared" ca="1" si="102"/>
        <v>134</v>
      </c>
      <c r="AR75" s="1">
        <f t="shared" ca="1" si="103"/>
        <v>6</v>
      </c>
      <c r="AS75" s="1">
        <f t="shared" ca="1" si="104"/>
        <v>93</v>
      </c>
      <c r="AU75" s="1">
        <f t="shared" ca="1" si="105"/>
        <v>234</v>
      </c>
      <c r="AV75" s="1">
        <f t="shared" ca="1" si="106"/>
        <v>5</v>
      </c>
      <c r="AW75" s="1">
        <f t="shared" ca="1" si="107"/>
        <v>0.14845610920178667</v>
      </c>
      <c r="AY75" s="1">
        <f t="shared" ca="1" si="108"/>
        <v>1.3966870300871168</v>
      </c>
      <c r="AZ75" s="1">
        <f t="shared" ca="1" si="109"/>
        <v>290</v>
      </c>
      <c r="BA75" s="1">
        <f t="shared" ca="1" si="110"/>
        <v>3.2342680623459897E-3</v>
      </c>
      <c r="BG75" s="1">
        <f t="shared" ca="1" si="111"/>
        <v>0.34305534565880252</v>
      </c>
      <c r="BH75" s="1">
        <f t="shared" ca="1" si="112"/>
        <v>0.7986012923976481</v>
      </c>
      <c r="BI75" s="1">
        <f t="shared" ca="1" si="113"/>
        <v>543</v>
      </c>
      <c r="BV75" s="1">
        <f t="shared" ca="1" si="114"/>
        <v>0.51942289383971862</v>
      </c>
      <c r="BW75" s="1">
        <f t="shared" ca="1" si="115"/>
        <v>423</v>
      </c>
      <c r="BX75" s="1">
        <f t="shared" ca="1" si="116"/>
        <v>7.5658376543717917E-3</v>
      </c>
      <c r="BY75" s="1">
        <f t="shared" ca="1" si="117"/>
        <v>2.4989095979227053E-2</v>
      </c>
      <c r="BZ75" s="1">
        <f t="shared" ca="1" si="118"/>
        <v>0.53353727323643307</v>
      </c>
      <c r="CB75" s="1">
        <f t="shared" ca="1" si="119"/>
        <v>414</v>
      </c>
      <c r="CC75" s="1">
        <f t="shared" ca="1" si="120"/>
        <v>9</v>
      </c>
      <c r="CD75" s="1">
        <f t="shared" ca="1" si="121"/>
        <v>0.10864536663240595</v>
      </c>
      <c r="CE75" s="1">
        <f t="shared" ca="1" si="122"/>
        <v>0.79139461453128379</v>
      </c>
      <c r="CF75" s="1">
        <f t="shared" ca="1" si="122"/>
        <v>0.70154400152056284</v>
      </c>
      <c r="CH75" s="3">
        <f t="shared" ca="1" si="123"/>
        <v>0.33960593815406354</v>
      </c>
      <c r="CI75" s="3">
        <f t="shared" ca="1" si="124"/>
        <v>0.68101082553980785</v>
      </c>
      <c r="CJ75" s="3">
        <f t="shared" ca="1" si="125"/>
        <v>1381</v>
      </c>
      <c r="CK75" s="3">
        <f t="shared" ca="1" si="126"/>
        <v>3.0052988812697217E-3</v>
      </c>
      <c r="CL75" s="3">
        <f t="shared" ca="1" si="127"/>
        <v>0</v>
      </c>
      <c r="CM75" s="3"/>
      <c r="CN75" s="1">
        <f t="shared" ca="1" si="128"/>
        <v>18.335922156065529</v>
      </c>
      <c r="CO75" s="1">
        <f t="shared" ca="1" si="129"/>
        <v>0.49563452265617208</v>
      </c>
      <c r="CP75" s="1">
        <f t="shared" ca="1" si="130"/>
        <v>2</v>
      </c>
      <c r="CV75" s="1">
        <f t="shared" ca="1" si="131"/>
        <v>3.9719688125600068</v>
      </c>
      <c r="CW75" s="1">
        <f t="shared" ca="1" si="132"/>
        <v>700</v>
      </c>
      <c r="CX75" s="1">
        <f t="shared" ca="1" si="133"/>
        <v>7.8683467234535315E-3</v>
      </c>
      <c r="DH75" s="1">
        <f t="shared" ca="1" si="134"/>
        <v>184</v>
      </c>
      <c r="DI75" s="1">
        <f t="shared" ca="1" si="135"/>
        <v>0.45922080865914677</v>
      </c>
      <c r="DJ75" s="1">
        <f t="shared" ca="1" si="136"/>
        <v>24</v>
      </c>
      <c r="DL75" s="1">
        <f t="shared" ca="1" si="137"/>
        <v>0.18082507148691948</v>
      </c>
      <c r="DM75" s="1">
        <f t="shared" ca="1" si="138"/>
        <v>177</v>
      </c>
      <c r="DN75" s="1">
        <f t="shared" ca="1" si="139"/>
        <v>5</v>
      </c>
    </row>
    <row r="76" spans="2:118" x14ac:dyDescent="0.25">
      <c r="B76">
        <f t="shared" ca="1" si="72"/>
        <v>789</v>
      </c>
      <c r="C76">
        <f t="shared" ca="1" si="73"/>
        <v>33</v>
      </c>
      <c r="D76">
        <f t="shared" ca="1" si="74"/>
        <v>0.25323081596717389</v>
      </c>
      <c r="F76" s="1">
        <f t="shared" ca="1" si="75"/>
        <v>25</v>
      </c>
      <c r="G76" s="1">
        <f t="shared" ca="1" si="76"/>
        <v>22</v>
      </c>
      <c r="H76" s="1">
        <f t="shared" ca="1" si="77"/>
        <v>5</v>
      </c>
      <c r="I76" s="1"/>
      <c r="J76" s="1">
        <f t="shared" ca="1" si="78"/>
        <v>32</v>
      </c>
      <c r="K76" s="1">
        <f t="shared" ca="1" si="79"/>
        <v>2.3618861374646425</v>
      </c>
      <c r="L76" s="1">
        <f t="shared" ca="1" si="80"/>
        <v>12</v>
      </c>
      <c r="M76" s="1"/>
      <c r="N76" s="1">
        <f t="shared" ca="1" si="81"/>
        <v>380</v>
      </c>
      <c r="O76" s="1">
        <f t="shared" ca="1" si="82"/>
        <v>49</v>
      </c>
      <c r="P76" s="1"/>
      <c r="Q76" s="1">
        <f t="shared" ca="1" si="83"/>
        <v>0.18167843708592765</v>
      </c>
      <c r="R76" s="1">
        <f t="shared" ca="1" si="84"/>
        <v>838</v>
      </c>
      <c r="S76" s="1"/>
      <c r="T76" s="1">
        <f t="shared" ca="1" si="85"/>
        <v>0.16465563220852683</v>
      </c>
      <c r="U76" s="1">
        <f t="shared" ca="1" si="86"/>
        <v>249</v>
      </c>
      <c r="V76" s="1">
        <f t="shared" ca="1" si="87"/>
        <v>40</v>
      </c>
      <c r="W76" s="1"/>
      <c r="X76" s="1">
        <f t="shared" ca="1" si="88"/>
        <v>4.7535698562472914</v>
      </c>
      <c r="Y76" s="1">
        <f t="shared" ca="1" si="89"/>
        <v>1.5948356320939132E-3</v>
      </c>
      <c r="Z76" s="1">
        <f t="shared" ca="1" si="90"/>
        <v>230</v>
      </c>
      <c r="AB76" s="1">
        <f t="shared" ca="1" si="91"/>
        <v>3.9823173125817117E-2</v>
      </c>
      <c r="AC76" s="1">
        <f t="shared" ca="1" si="92"/>
        <v>286</v>
      </c>
      <c r="AD76" s="1">
        <f t="shared" ca="1" si="93"/>
        <v>5.7072917562606146E-3</v>
      </c>
      <c r="AE76" s="1"/>
      <c r="AF76" s="1">
        <f t="shared" ca="1" si="94"/>
        <v>0.75235190868817226</v>
      </c>
      <c r="AG76" s="1">
        <f t="shared" ca="1" si="95"/>
        <v>766</v>
      </c>
      <c r="AH76" s="1">
        <f t="shared" ca="1" si="96"/>
        <v>9.0958373842701182E-3</v>
      </c>
      <c r="AJ76" s="1">
        <f t="shared" ca="1" si="97"/>
        <v>0.30410991968421686</v>
      </c>
      <c r="AK76" s="1">
        <f t="shared" ca="1" si="98"/>
        <v>2.8828513983742066E-4</v>
      </c>
      <c r="AL76" s="1"/>
      <c r="AM76" s="1">
        <f t="shared" ca="1" si="99"/>
        <v>7.187654239827411E-2</v>
      </c>
      <c r="AN76" s="1">
        <f t="shared" ca="1" si="100"/>
        <v>24</v>
      </c>
      <c r="AO76" s="1">
        <f t="shared" ca="1" si="101"/>
        <v>6</v>
      </c>
      <c r="AQ76" s="1">
        <f t="shared" ca="1" si="102"/>
        <v>134</v>
      </c>
      <c r="AR76" s="1">
        <f t="shared" ca="1" si="103"/>
        <v>2</v>
      </c>
      <c r="AS76" s="1">
        <f t="shared" ca="1" si="104"/>
        <v>69</v>
      </c>
      <c r="AU76" s="1">
        <f t="shared" ca="1" si="105"/>
        <v>162</v>
      </c>
      <c r="AV76" s="1">
        <f t="shared" ca="1" si="106"/>
        <v>5</v>
      </c>
      <c r="AW76" s="1">
        <f t="shared" ca="1" si="107"/>
        <v>0.16773322309775376</v>
      </c>
      <c r="AY76" s="1">
        <f t="shared" ca="1" si="108"/>
        <v>1.7866617471158417</v>
      </c>
      <c r="AZ76" s="1">
        <f t="shared" ca="1" si="109"/>
        <v>249</v>
      </c>
      <c r="BA76" s="1">
        <f t="shared" ca="1" si="110"/>
        <v>9.05213304531227E-3</v>
      </c>
      <c r="BG76" s="1">
        <f t="shared" ca="1" si="111"/>
        <v>6.3709294783365344E-2</v>
      </c>
      <c r="BH76" s="1">
        <f t="shared" ca="1" si="112"/>
        <v>0.62404732403018937</v>
      </c>
      <c r="BI76" s="1">
        <f t="shared" ca="1" si="113"/>
        <v>711</v>
      </c>
      <c r="BV76" s="1">
        <f t="shared" ca="1" si="114"/>
        <v>0.38317805598660321</v>
      </c>
      <c r="BW76" s="1">
        <f t="shared" ca="1" si="115"/>
        <v>530</v>
      </c>
      <c r="BX76" s="1">
        <f t="shared" ca="1" si="116"/>
        <v>5.0661447040068926E-3</v>
      </c>
      <c r="BY76" s="1">
        <f t="shared" ca="1" si="117"/>
        <v>5.9967339092086271E-2</v>
      </c>
      <c r="BZ76" s="1">
        <f t="shared" ca="1" si="118"/>
        <v>0.11333184504242666</v>
      </c>
      <c r="CB76" s="1">
        <f t="shared" ca="1" si="119"/>
        <v>89</v>
      </c>
      <c r="CC76" s="1">
        <f t="shared" ca="1" si="120"/>
        <v>10</v>
      </c>
      <c r="CD76" s="1">
        <f t="shared" ca="1" si="121"/>
        <v>0.21756282210342198</v>
      </c>
      <c r="CE76" s="1">
        <f t="shared" ca="1" si="122"/>
        <v>0.91014601870840028</v>
      </c>
      <c r="CF76" s="1">
        <f t="shared" ca="1" si="122"/>
        <v>0.75273184095366585</v>
      </c>
      <c r="CH76" s="3">
        <f t="shared" ca="1" si="123"/>
        <v>0.95420043347991845</v>
      </c>
      <c r="CI76" s="3">
        <f t="shared" ca="1" si="124"/>
        <v>0.4426490528100927</v>
      </c>
      <c r="CJ76" s="3">
        <f t="shared" ca="1" si="125"/>
        <v>323</v>
      </c>
      <c r="CK76" s="3">
        <f t="shared" ca="1" si="126"/>
        <v>9.2918013680316752E-3</v>
      </c>
      <c r="CL76" s="3">
        <f t="shared" ca="1" si="127"/>
        <v>0</v>
      </c>
      <c r="CM76" s="3"/>
      <c r="CN76" s="1">
        <f t="shared" ca="1" si="128"/>
        <v>4.9979230924669782</v>
      </c>
      <c r="CO76" s="1">
        <f t="shared" ca="1" si="129"/>
        <v>0.20123961310830368</v>
      </c>
      <c r="CP76" s="1">
        <f t="shared" ca="1" si="130"/>
        <v>4</v>
      </c>
      <c r="CV76" s="1">
        <f t="shared" ca="1" si="131"/>
        <v>0.55177054126387259</v>
      </c>
      <c r="CW76" s="1">
        <f t="shared" ca="1" si="132"/>
        <v>883</v>
      </c>
      <c r="CX76" s="1">
        <f t="shared" ca="1" si="133"/>
        <v>1.4631363006159033E-3</v>
      </c>
      <c r="DH76" s="1">
        <f t="shared" ca="1" si="134"/>
        <v>600</v>
      </c>
      <c r="DI76" s="1">
        <f t="shared" ca="1" si="135"/>
        <v>0.77473223304877747</v>
      </c>
      <c r="DJ76" s="1">
        <f t="shared" ca="1" si="136"/>
        <v>30</v>
      </c>
      <c r="DL76" s="1">
        <f t="shared" ca="1" si="137"/>
        <v>0.14054208536414839</v>
      </c>
      <c r="DM76" s="1">
        <f t="shared" ca="1" si="138"/>
        <v>145</v>
      </c>
      <c r="DN76" s="1">
        <f t="shared" ca="1" si="139"/>
        <v>3</v>
      </c>
    </row>
    <row r="77" spans="2:118" x14ac:dyDescent="0.25">
      <c r="B77">
        <f t="shared" ca="1" si="72"/>
        <v>562</v>
      </c>
      <c r="C77">
        <f t="shared" ca="1" si="73"/>
        <v>12</v>
      </c>
      <c r="D77">
        <f t="shared" ca="1" si="74"/>
        <v>0.25693074130389348</v>
      </c>
      <c r="F77" s="1">
        <f t="shared" ca="1" si="75"/>
        <v>47</v>
      </c>
      <c r="G77" s="1">
        <f t="shared" ca="1" si="76"/>
        <v>28</v>
      </c>
      <c r="H77" s="1">
        <f t="shared" ca="1" si="77"/>
        <v>13</v>
      </c>
      <c r="I77" s="1"/>
      <c r="J77" s="1">
        <f t="shared" ca="1" si="78"/>
        <v>4</v>
      </c>
      <c r="K77" s="1">
        <f t="shared" ca="1" si="79"/>
        <v>2.3550321165505972</v>
      </c>
      <c r="L77" s="1">
        <f t="shared" ca="1" si="80"/>
        <v>28</v>
      </c>
      <c r="M77" s="1"/>
      <c r="N77" s="1">
        <f t="shared" ca="1" si="81"/>
        <v>63</v>
      </c>
      <c r="O77" s="1">
        <f t="shared" ca="1" si="82"/>
        <v>40</v>
      </c>
      <c r="P77" s="1"/>
      <c r="Q77" s="1">
        <f t="shared" ca="1" si="83"/>
        <v>3.8424603697817603</v>
      </c>
      <c r="R77" s="1">
        <f t="shared" ca="1" si="84"/>
        <v>724</v>
      </c>
      <c r="S77" s="1"/>
      <c r="T77" s="1">
        <f t="shared" ca="1" si="85"/>
        <v>0.15903067462887177</v>
      </c>
      <c r="U77" s="1">
        <f t="shared" ca="1" si="86"/>
        <v>330</v>
      </c>
      <c r="V77" s="1">
        <f t="shared" ca="1" si="87"/>
        <v>34</v>
      </c>
      <c r="W77" s="1"/>
      <c r="X77" s="1">
        <f t="shared" ca="1" si="88"/>
        <v>9.0324037665282901</v>
      </c>
      <c r="Y77" s="1">
        <f t="shared" ca="1" si="89"/>
        <v>8.7922792850996509E-2</v>
      </c>
      <c r="Z77" s="1">
        <f t="shared" ca="1" si="90"/>
        <v>1551</v>
      </c>
      <c r="AB77" s="1">
        <f t="shared" ca="1" si="91"/>
        <v>0.58526981142901258</v>
      </c>
      <c r="AC77" s="1">
        <f t="shared" ca="1" si="92"/>
        <v>205</v>
      </c>
      <c r="AD77" s="1">
        <f t="shared" ca="1" si="93"/>
        <v>1.7723192627529434E-3</v>
      </c>
      <c r="AE77" s="1"/>
      <c r="AF77" s="1">
        <f t="shared" ca="1" si="94"/>
        <v>0.38521012591952453</v>
      </c>
      <c r="AG77" s="1">
        <f t="shared" ca="1" si="95"/>
        <v>413</v>
      </c>
      <c r="AH77" s="1">
        <f t="shared" ca="1" si="96"/>
        <v>8.6091119939323228E-3</v>
      </c>
      <c r="AJ77" s="1">
        <f t="shared" ca="1" si="97"/>
        <v>0.45298620366897735</v>
      </c>
      <c r="AK77" s="1">
        <f t="shared" ca="1" si="98"/>
        <v>7.0592406395707467E-3</v>
      </c>
      <c r="AL77" s="1"/>
      <c r="AM77" s="1">
        <f t="shared" ca="1" si="99"/>
        <v>0.16268541093211694</v>
      </c>
      <c r="AN77" s="1">
        <f t="shared" ca="1" si="100"/>
        <v>19</v>
      </c>
      <c r="AO77" s="1">
        <f t="shared" ca="1" si="101"/>
        <v>17</v>
      </c>
      <c r="AQ77" s="1">
        <f t="shared" ca="1" si="102"/>
        <v>56</v>
      </c>
      <c r="AR77" s="1">
        <f t="shared" ca="1" si="103"/>
        <v>1</v>
      </c>
      <c r="AS77" s="1">
        <f t="shared" ca="1" si="104"/>
        <v>87</v>
      </c>
      <c r="AU77" s="1">
        <f t="shared" ca="1" si="105"/>
        <v>318</v>
      </c>
      <c r="AV77" s="1">
        <f t="shared" ca="1" si="106"/>
        <v>6</v>
      </c>
      <c r="AW77" s="1">
        <f t="shared" ca="1" si="107"/>
        <v>3.3398238502449128E-2</v>
      </c>
      <c r="AY77" s="1">
        <f t="shared" ca="1" si="108"/>
        <v>1.3995091335180425</v>
      </c>
      <c r="AZ77" s="1">
        <f t="shared" ca="1" si="109"/>
        <v>84</v>
      </c>
      <c r="BA77" s="1">
        <f t="shared" ca="1" si="110"/>
        <v>3.3335905979053095E-3</v>
      </c>
      <c r="BG77" s="1">
        <f t="shared" ca="1" si="111"/>
        <v>0.15317526973364617</v>
      </c>
      <c r="BH77" s="1">
        <f t="shared" ca="1" si="112"/>
        <v>0.72939114779554204</v>
      </c>
      <c r="BI77" s="1">
        <f t="shared" ca="1" si="113"/>
        <v>883</v>
      </c>
      <c r="BV77" s="1">
        <f t="shared" ca="1" si="114"/>
        <v>0.83380886613788474</v>
      </c>
      <c r="BW77" s="1">
        <f t="shared" ca="1" si="115"/>
        <v>997</v>
      </c>
      <c r="BX77" s="1">
        <f t="shared" ca="1" si="116"/>
        <v>5.9931580277910682E-3</v>
      </c>
      <c r="BY77" s="1">
        <f t="shared" ca="1" si="117"/>
        <v>1.0453860667799084E-2</v>
      </c>
      <c r="BZ77" s="1">
        <f t="shared" ca="1" si="118"/>
        <v>0.82361172067967869</v>
      </c>
      <c r="CB77" s="1">
        <f t="shared" ca="1" si="119"/>
        <v>302</v>
      </c>
      <c r="CC77" s="1">
        <f t="shared" ca="1" si="120"/>
        <v>12</v>
      </c>
      <c r="CD77" s="1">
        <f t="shared" ca="1" si="121"/>
        <v>0.20974868564278898</v>
      </c>
      <c r="CE77" s="1">
        <f t="shared" ca="1" si="122"/>
        <v>0.54204615508015841</v>
      </c>
      <c r="CF77" s="1">
        <f t="shared" ca="1" si="122"/>
        <v>0.74955750831192858</v>
      </c>
      <c r="CH77" s="3">
        <f t="shared" ca="1" si="123"/>
        <v>0.9141212692336198</v>
      </c>
      <c r="CI77" s="3">
        <f t="shared" ca="1" si="124"/>
        <v>0.28729161623562349</v>
      </c>
      <c r="CJ77" s="3">
        <f t="shared" ca="1" si="125"/>
        <v>154</v>
      </c>
      <c r="CK77" s="3">
        <f t="shared" ca="1" si="126"/>
        <v>6.9116192460137883E-3</v>
      </c>
      <c r="CL77" s="3">
        <f t="shared" ca="1" si="127"/>
        <v>1</v>
      </c>
      <c r="CM77" s="3"/>
      <c r="CN77" s="1">
        <f t="shared" ca="1" si="128"/>
        <v>8.0301757947316528</v>
      </c>
      <c r="CO77" s="1">
        <f t="shared" ca="1" si="129"/>
        <v>0.38037177639307918</v>
      </c>
      <c r="CP77" s="1">
        <f t="shared" ca="1" si="130"/>
        <v>2</v>
      </c>
      <c r="CV77" s="1">
        <f t="shared" ca="1" si="131"/>
        <v>9.1291806660583443</v>
      </c>
      <c r="CW77" s="1">
        <f t="shared" ca="1" si="132"/>
        <v>1934</v>
      </c>
      <c r="CX77" s="1">
        <f t="shared" ca="1" si="133"/>
        <v>4.0478422351729055E-4</v>
      </c>
      <c r="DH77" s="1">
        <f t="shared" ca="1" si="134"/>
        <v>337</v>
      </c>
      <c r="DI77" s="1">
        <f t="shared" ca="1" si="135"/>
        <v>0.83994557155840788</v>
      </c>
      <c r="DJ77" s="1">
        <f t="shared" ca="1" si="136"/>
        <v>1</v>
      </c>
      <c r="DL77" s="1">
        <f t="shared" ca="1" si="137"/>
        <v>8.8546299817703733E-2</v>
      </c>
      <c r="DM77" s="1">
        <f t="shared" ca="1" si="138"/>
        <v>220</v>
      </c>
      <c r="DN77" s="1">
        <f t="shared" ca="1" si="139"/>
        <v>7</v>
      </c>
    </row>
    <row r="78" spans="2:118" x14ac:dyDescent="0.25">
      <c r="B78">
        <f t="shared" ca="1" si="72"/>
        <v>456</v>
      </c>
      <c r="C78">
        <f t="shared" ca="1" si="73"/>
        <v>8</v>
      </c>
      <c r="D78">
        <f t="shared" ca="1" si="74"/>
        <v>0.28677237633187552</v>
      </c>
      <c r="F78" s="1">
        <f t="shared" ca="1" si="75"/>
        <v>41</v>
      </c>
      <c r="G78" s="1">
        <f t="shared" ca="1" si="76"/>
        <v>26</v>
      </c>
      <c r="H78" s="1">
        <f t="shared" ca="1" si="77"/>
        <v>1</v>
      </c>
      <c r="I78" s="1"/>
      <c r="J78" s="1">
        <f t="shared" ca="1" si="78"/>
        <v>18</v>
      </c>
      <c r="K78" s="1">
        <f t="shared" ca="1" si="79"/>
        <v>2.562326948156759</v>
      </c>
      <c r="L78" s="1">
        <f t="shared" ca="1" si="80"/>
        <v>21</v>
      </c>
      <c r="M78" s="1"/>
      <c r="N78" s="1">
        <f t="shared" ca="1" si="81"/>
        <v>880</v>
      </c>
      <c r="O78" s="1">
        <f t="shared" ca="1" si="82"/>
        <v>52</v>
      </c>
      <c r="P78" s="1"/>
      <c r="Q78" s="1">
        <f t="shared" ca="1" si="83"/>
        <v>1.3732408814335737</v>
      </c>
      <c r="R78" s="1">
        <f t="shared" ca="1" si="84"/>
        <v>817</v>
      </c>
      <c r="S78" s="1"/>
      <c r="T78" s="1">
        <f t="shared" ca="1" si="85"/>
        <v>0.18694610304938886</v>
      </c>
      <c r="U78" s="1">
        <f t="shared" ca="1" si="86"/>
        <v>249</v>
      </c>
      <c r="V78" s="1">
        <f t="shared" ca="1" si="87"/>
        <v>5</v>
      </c>
      <c r="W78" s="1"/>
      <c r="X78" s="1">
        <f t="shared" ca="1" si="88"/>
        <v>0.36154912165955722</v>
      </c>
      <c r="Y78" s="1">
        <f t="shared" ca="1" si="89"/>
        <v>0.30733979223691887</v>
      </c>
      <c r="Z78" s="1">
        <f t="shared" ca="1" si="90"/>
        <v>256</v>
      </c>
      <c r="AB78" s="1">
        <f t="shared" ca="1" si="91"/>
        <v>0.70068294793873565</v>
      </c>
      <c r="AC78" s="1">
        <f t="shared" ca="1" si="92"/>
        <v>706</v>
      </c>
      <c r="AD78" s="1">
        <f t="shared" ca="1" si="93"/>
        <v>8.4592758269789684E-3</v>
      </c>
      <c r="AE78" s="1"/>
      <c r="AF78" s="1">
        <f t="shared" ca="1" si="94"/>
        <v>0.2005701552765059</v>
      </c>
      <c r="AG78" s="1">
        <f t="shared" ca="1" si="95"/>
        <v>129</v>
      </c>
      <c r="AH78" s="1">
        <f t="shared" ca="1" si="96"/>
        <v>8.6098241447283338E-3</v>
      </c>
      <c r="AJ78" s="1">
        <f t="shared" ca="1" si="97"/>
        <v>0.25200652722481831</v>
      </c>
      <c r="AK78" s="1">
        <f t="shared" ca="1" si="98"/>
        <v>2.6332447590655911E-3</v>
      </c>
      <c r="AL78" s="1"/>
      <c r="AM78" s="1">
        <f t="shared" ca="1" si="99"/>
        <v>0.13468737375307763</v>
      </c>
      <c r="AN78" s="1">
        <f t="shared" ca="1" si="100"/>
        <v>54</v>
      </c>
      <c r="AO78" s="1">
        <f t="shared" ca="1" si="101"/>
        <v>3</v>
      </c>
      <c r="AQ78" s="1">
        <f t="shared" ca="1" si="102"/>
        <v>130</v>
      </c>
      <c r="AR78" s="1">
        <f t="shared" ca="1" si="103"/>
        <v>5</v>
      </c>
      <c r="AS78" s="1">
        <f t="shared" ca="1" si="104"/>
        <v>79</v>
      </c>
      <c r="AU78" s="1">
        <f t="shared" ca="1" si="105"/>
        <v>52</v>
      </c>
      <c r="AV78" s="1">
        <f t="shared" ca="1" si="106"/>
        <v>7</v>
      </c>
      <c r="AW78" s="1">
        <f t="shared" ca="1" si="107"/>
        <v>4.6532195796808E-2</v>
      </c>
      <c r="AY78" s="1">
        <f t="shared" ca="1" si="108"/>
        <v>1.651733652986211</v>
      </c>
      <c r="AZ78" s="1">
        <f t="shared" ca="1" si="109"/>
        <v>281</v>
      </c>
      <c r="BA78" s="1">
        <f t="shared" ca="1" si="110"/>
        <v>6.728912019373201E-3</v>
      </c>
      <c r="BG78" s="1">
        <f t="shared" ca="1" si="111"/>
        <v>6.4425162130109653E-2</v>
      </c>
      <c r="BH78" s="1">
        <f t="shared" ca="1" si="112"/>
        <v>6.1619476879773982E-2</v>
      </c>
      <c r="BI78" s="1">
        <f t="shared" ca="1" si="113"/>
        <v>263</v>
      </c>
      <c r="BV78" s="1">
        <f t="shared" ca="1" si="114"/>
        <v>0.49183732428185711</v>
      </c>
      <c r="BW78" s="1">
        <f t="shared" ca="1" si="115"/>
        <v>433</v>
      </c>
      <c r="BX78" s="1">
        <f t="shared" ca="1" si="116"/>
        <v>5.7982786154311544E-3</v>
      </c>
      <c r="BY78" s="1">
        <f t="shared" ca="1" si="117"/>
        <v>3.8297489311158485E-2</v>
      </c>
      <c r="BZ78" s="1">
        <f t="shared" ca="1" si="118"/>
        <v>0.15159969879791468</v>
      </c>
      <c r="CB78" s="1">
        <f t="shared" ca="1" si="119"/>
        <v>307</v>
      </c>
      <c r="CC78" s="1">
        <f t="shared" ca="1" si="120"/>
        <v>5</v>
      </c>
      <c r="CD78" s="1">
        <f t="shared" ca="1" si="121"/>
        <v>8.1936758627191755E-2</v>
      </c>
      <c r="CE78" s="1">
        <f t="shared" ca="1" si="122"/>
        <v>0.5719673493377484</v>
      </c>
      <c r="CF78" s="1">
        <f t="shared" ca="1" si="122"/>
        <v>0.62033417755716835</v>
      </c>
      <c r="CH78" s="3">
        <f t="shared" ca="1" si="123"/>
        <v>0.89590699887205727</v>
      </c>
      <c r="CI78" s="3">
        <f t="shared" ca="1" si="124"/>
        <v>5.8109644888463277E-2</v>
      </c>
      <c r="CJ78" s="3">
        <f t="shared" ca="1" si="125"/>
        <v>275</v>
      </c>
      <c r="CK78" s="3">
        <f t="shared" ca="1" si="126"/>
        <v>3.3620264270407519E-3</v>
      </c>
      <c r="CL78" s="3">
        <f t="shared" ca="1" si="127"/>
        <v>0</v>
      </c>
      <c r="CM78" s="3"/>
      <c r="CN78" s="1">
        <f t="shared" ca="1" si="128"/>
        <v>3.5364208948244351</v>
      </c>
      <c r="CO78" s="1">
        <f t="shared" ca="1" si="129"/>
        <v>8.7275235902638998E-2</v>
      </c>
      <c r="CP78" s="1">
        <f t="shared" ca="1" si="130"/>
        <v>1</v>
      </c>
      <c r="CV78" s="1">
        <f t="shared" ca="1" si="131"/>
        <v>4.7271995281925765</v>
      </c>
      <c r="CW78" s="1">
        <f t="shared" ca="1" si="132"/>
        <v>1386</v>
      </c>
      <c r="CX78" s="1">
        <f t="shared" ca="1" si="133"/>
        <v>2.1088975243178359E-3</v>
      </c>
      <c r="DH78" s="1">
        <f t="shared" ca="1" si="134"/>
        <v>171</v>
      </c>
      <c r="DI78" s="1">
        <f t="shared" ca="1" si="135"/>
        <v>0.3219176857089377</v>
      </c>
      <c r="DJ78" s="1">
        <f t="shared" ca="1" si="136"/>
        <v>20</v>
      </c>
      <c r="DL78" s="1">
        <f t="shared" ca="1" si="137"/>
        <v>0.17595429789949707</v>
      </c>
      <c r="DM78" s="1">
        <f t="shared" ca="1" si="138"/>
        <v>228</v>
      </c>
      <c r="DN78" s="1">
        <f t="shared" ca="1" si="139"/>
        <v>3</v>
      </c>
    </row>
    <row r="79" spans="2:118" x14ac:dyDescent="0.25">
      <c r="B79">
        <f t="shared" ca="1" si="72"/>
        <v>989</v>
      </c>
      <c r="C79">
        <f t="shared" ca="1" si="73"/>
        <v>36</v>
      </c>
      <c r="D79">
        <f t="shared" ca="1" si="74"/>
        <v>2.0706397549760058E-2</v>
      </c>
      <c r="F79" s="1">
        <f t="shared" ca="1" si="75"/>
        <v>2</v>
      </c>
      <c r="G79" s="1">
        <f t="shared" ca="1" si="76"/>
        <v>28</v>
      </c>
      <c r="H79" s="1">
        <f t="shared" ca="1" si="77"/>
        <v>5</v>
      </c>
      <c r="I79" s="1"/>
      <c r="J79" s="1">
        <f t="shared" ca="1" si="78"/>
        <v>4</v>
      </c>
      <c r="K79" s="1">
        <f t="shared" ca="1" si="79"/>
        <v>1.1835233515147665</v>
      </c>
      <c r="L79" s="1">
        <f t="shared" ca="1" si="80"/>
        <v>34</v>
      </c>
      <c r="M79" s="1"/>
      <c r="N79" s="1">
        <f t="shared" ca="1" si="81"/>
        <v>435</v>
      </c>
      <c r="O79" s="1">
        <f t="shared" ca="1" si="82"/>
        <v>31</v>
      </c>
      <c r="P79" s="1"/>
      <c r="Q79" s="1">
        <f t="shared" ca="1" si="83"/>
        <v>0.26591416858324507</v>
      </c>
      <c r="R79" s="1">
        <f t="shared" ca="1" si="84"/>
        <v>779</v>
      </c>
      <c r="S79" s="1"/>
      <c r="T79" s="1">
        <f t="shared" ca="1" si="85"/>
        <v>4.5143390450143664E-2</v>
      </c>
      <c r="U79" s="1">
        <f t="shared" ca="1" si="86"/>
        <v>294</v>
      </c>
      <c r="V79" s="1">
        <f t="shared" ca="1" si="87"/>
        <v>37</v>
      </c>
      <c r="W79" s="1"/>
      <c r="X79" s="1">
        <f t="shared" ca="1" si="88"/>
        <v>8.633775871387769</v>
      </c>
      <c r="Y79" s="1">
        <f t="shared" ca="1" si="89"/>
        <v>0.4194699389916739</v>
      </c>
      <c r="Z79" s="1">
        <f t="shared" ca="1" si="90"/>
        <v>1647</v>
      </c>
      <c r="AB79" s="1">
        <f t="shared" ca="1" si="91"/>
        <v>0.63128861942006875</v>
      </c>
      <c r="AC79" s="1">
        <f t="shared" ca="1" si="92"/>
        <v>365</v>
      </c>
      <c r="AD79" s="1">
        <f t="shared" ca="1" si="93"/>
        <v>9.1267164736368259E-3</v>
      </c>
      <c r="AE79" s="1"/>
      <c r="AF79" s="1">
        <f t="shared" ca="1" si="94"/>
        <v>0.15230506087308246</v>
      </c>
      <c r="AG79" s="1">
        <f t="shared" ca="1" si="95"/>
        <v>737</v>
      </c>
      <c r="AH79" s="1">
        <f t="shared" ca="1" si="96"/>
        <v>1.3528884413144496E-3</v>
      </c>
      <c r="AJ79" s="1">
        <f t="shared" ca="1" si="97"/>
        <v>0.96733188636652212</v>
      </c>
      <c r="AK79" s="1">
        <f t="shared" ca="1" si="98"/>
        <v>7.7175575095532129E-3</v>
      </c>
      <c r="AL79" s="1"/>
      <c r="AM79" s="1">
        <f t="shared" ca="1" si="99"/>
        <v>4.3810166451805674E-2</v>
      </c>
      <c r="AN79" s="1">
        <f t="shared" ca="1" si="100"/>
        <v>37</v>
      </c>
      <c r="AO79" s="1">
        <f t="shared" ca="1" si="101"/>
        <v>4</v>
      </c>
      <c r="AQ79" s="1">
        <f t="shared" ca="1" si="102"/>
        <v>36</v>
      </c>
      <c r="AR79" s="1">
        <f t="shared" ca="1" si="103"/>
        <v>9</v>
      </c>
      <c r="AS79" s="1">
        <f t="shared" ca="1" si="104"/>
        <v>85</v>
      </c>
      <c r="AU79" s="1">
        <f t="shared" ca="1" si="105"/>
        <v>190</v>
      </c>
      <c r="AV79" s="1">
        <f t="shared" ca="1" si="106"/>
        <v>7</v>
      </c>
      <c r="AW79" s="1">
        <f t="shared" ca="1" si="107"/>
        <v>0.16888706724047578</v>
      </c>
      <c r="AY79" s="1">
        <f t="shared" ca="1" si="108"/>
        <v>1.2017180546854205</v>
      </c>
      <c r="AZ79" s="1">
        <f t="shared" ca="1" si="109"/>
        <v>199</v>
      </c>
      <c r="BA79" s="1">
        <f t="shared" ca="1" si="110"/>
        <v>4.4245987412902342E-4</v>
      </c>
      <c r="BG79" s="1">
        <f t="shared" ca="1" si="111"/>
        <v>0.88028642092080145</v>
      </c>
      <c r="BH79" s="1">
        <f t="shared" ca="1" si="112"/>
        <v>0.47072121649817877</v>
      </c>
      <c r="BI79" s="1">
        <f t="shared" ca="1" si="113"/>
        <v>806</v>
      </c>
      <c r="BV79" s="1">
        <f t="shared" ca="1" si="114"/>
        <v>0.70625411332978438</v>
      </c>
      <c r="BW79" s="1">
        <f t="shared" ca="1" si="115"/>
        <v>647</v>
      </c>
      <c r="BX79" s="1">
        <f t="shared" ca="1" si="116"/>
        <v>7.6465131416550937E-3</v>
      </c>
      <c r="BY79" s="1">
        <f t="shared" ca="1" si="117"/>
        <v>3.1239398041374565E-2</v>
      </c>
      <c r="BZ79" s="1">
        <f t="shared" ca="1" si="118"/>
        <v>0.53114415143339044</v>
      </c>
      <c r="CB79" s="1">
        <f t="shared" ca="1" si="119"/>
        <v>67</v>
      </c>
      <c r="CC79" s="1">
        <f t="shared" ca="1" si="120"/>
        <v>3</v>
      </c>
      <c r="CD79" s="1">
        <f t="shared" ca="1" si="121"/>
        <v>9.6243787004595877E-2</v>
      </c>
      <c r="CE79" s="1">
        <f t="shared" ca="1" si="122"/>
        <v>0.76526831153121855</v>
      </c>
      <c r="CF79" s="1">
        <f t="shared" ca="1" si="122"/>
        <v>0.9148430432148551</v>
      </c>
      <c r="CH79" s="3">
        <f t="shared" ca="1" si="123"/>
        <v>0.5080415730073089</v>
      </c>
      <c r="CI79" s="3">
        <f t="shared" ca="1" si="124"/>
        <v>0.18446125043756581</v>
      </c>
      <c r="CJ79" s="3">
        <f t="shared" ca="1" si="125"/>
        <v>1025</v>
      </c>
      <c r="CK79" s="3">
        <f t="shared" ca="1" si="126"/>
        <v>4.9705306875825351E-3</v>
      </c>
      <c r="CL79" s="3">
        <f t="shared" ca="1" si="127"/>
        <v>1</v>
      </c>
      <c r="CM79" s="3"/>
      <c r="CN79" s="1">
        <f t="shared" ca="1" si="128"/>
        <v>6.4263813025150238</v>
      </c>
      <c r="CO79" s="1">
        <f t="shared" ca="1" si="129"/>
        <v>0.29803868244099307</v>
      </c>
      <c r="CP79" s="1">
        <f t="shared" ca="1" si="130"/>
        <v>3</v>
      </c>
      <c r="CV79" s="1">
        <f t="shared" ca="1" si="131"/>
        <v>4.5258803643378558</v>
      </c>
      <c r="CW79" s="1">
        <f t="shared" ca="1" si="132"/>
        <v>446</v>
      </c>
      <c r="CX79" s="1">
        <f t="shared" ca="1" si="133"/>
        <v>2.9894047938004232E-3</v>
      </c>
      <c r="DH79" s="1">
        <f t="shared" ca="1" si="134"/>
        <v>262</v>
      </c>
      <c r="DI79" s="1">
        <f t="shared" ca="1" si="135"/>
        <v>0.31655896476038575</v>
      </c>
      <c r="DJ79" s="1">
        <f t="shared" ca="1" si="136"/>
        <v>11</v>
      </c>
      <c r="DL79" s="1">
        <f t="shared" ca="1" si="137"/>
        <v>0.13367394551122197</v>
      </c>
      <c r="DM79" s="1">
        <f t="shared" ca="1" si="138"/>
        <v>81</v>
      </c>
      <c r="DN79" s="1">
        <f t="shared" ca="1" si="139"/>
        <v>5</v>
      </c>
    </row>
    <row r="80" spans="2:118" x14ac:dyDescent="0.25">
      <c r="B80">
        <f t="shared" ca="1" si="72"/>
        <v>350</v>
      </c>
      <c r="C80">
        <f t="shared" ca="1" si="73"/>
        <v>33</v>
      </c>
      <c r="D80">
        <f t="shared" ca="1" si="74"/>
        <v>0.17453440392618499</v>
      </c>
      <c r="F80" s="1">
        <f t="shared" ca="1" si="75"/>
        <v>13</v>
      </c>
      <c r="G80" s="1">
        <f t="shared" ca="1" si="76"/>
        <v>5</v>
      </c>
      <c r="H80" s="1">
        <f t="shared" ca="1" si="77"/>
        <v>6</v>
      </c>
      <c r="I80" s="1"/>
      <c r="J80" s="1">
        <f t="shared" ca="1" si="78"/>
        <v>28</v>
      </c>
      <c r="K80" s="1">
        <f t="shared" ca="1" si="79"/>
        <v>1.1306112425853319</v>
      </c>
      <c r="L80" s="1">
        <f t="shared" ca="1" si="80"/>
        <v>11</v>
      </c>
      <c r="M80" s="1"/>
      <c r="N80" s="1">
        <f t="shared" ca="1" si="81"/>
        <v>925</v>
      </c>
      <c r="O80" s="1">
        <f t="shared" ca="1" si="82"/>
        <v>39</v>
      </c>
      <c r="P80" s="1"/>
      <c r="Q80" s="1">
        <f t="shared" ca="1" si="83"/>
        <v>2.1274805015205134</v>
      </c>
      <c r="R80" s="1">
        <f t="shared" ca="1" si="84"/>
        <v>697</v>
      </c>
      <c r="S80" s="1"/>
      <c r="T80" s="1">
        <f t="shared" ca="1" si="85"/>
        <v>9.342730523105125E-2</v>
      </c>
      <c r="U80" s="1">
        <f t="shared" ca="1" si="86"/>
        <v>412</v>
      </c>
      <c r="V80" s="1">
        <f t="shared" ca="1" si="87"/>
        <v>8</v>
      </c>
      <c r="W80" s="1"/>
      <c r="X80" s="1">
        <f t="shared" ca="1" si="88"/>
        <v>2.2145935871974478</v>
      </c>
      <c r="Y80" s="1">
        <f t="shared" ca="1" si="89"/>
        <v>0.89673788363132834</v>
      </c>
      <c r="Z80" s="1">
        <f t="shared" ca="1" si="90"/>
        <v>1856</v>
      </c>
      <c r="AB80" s="1">
        <f t="shared" ca="1" si="91"/>
        <v>0.94455073452774163</v>
      </c>
      <c r="AC80" s="1">
        <f t="shared" ca="1" si="92"/>
        <v>978</v>
      </c>
      <c r="AD80" s="1">
        <f t="shared" ca="1" si="93"/>
        <v>1.3289331721303937E-3</v>
      </c>
      <c r="AE80" s="1"/>
      <c r="AF80" s="1">
        <f t="shared" ca="1" si="94"/>
        <v>0.2090039115173184</v>
      </c>
      <c r="AG80" s="1">
        <f t="shared" ca="1" si="95"/>
        <v>755</v>
      </c>
      <c r="AH80" s="1">
        <f t="shared" ca="1" si="96"/>
        <v>2.3080948732826807E-3</v>
      </c>
      <c r="AJ80" s="1">
        <f t="shared" ca="1" si="97"/>
        <v>0.5552846898044429</v>
      </c>
      <c r="AK80" s="1">
        <f t="shared" ca="1" si="98"/>
        <v>5.9707695566400308E-3</v>
      </c>
      <c r="AL80" s="1"/>
      <c r="AM80" s="1">
        <f t="shared" ca="1" si="99"/>
        <v>8.6169869293675205E-2</v>
      </c>
      <c r="AN80" s="1">
        <f t="shared" ca="1" si="100"/>
        <v>73</v>
      </c>
      <c r="AO80" s="1">
        <f t="shared" ca="1" si="101"/>
        <v>3</v>
      </c>
      <c r="AQ80" s="1">
        <f t="shared" ca="1" si="102"/>
        <v>148</v>
      </c>
      <c r="AR80" s="1">
        <f t="shared" ca="1" si="103"/>
        <v>8</v>
      </c>
      <c r="AS80" s="1">
        <f t="shared" ca="1" si="104"/>
        <v>58</v>
      </c>
      <c r="AU80" s="1">
        <f t="shared" ca="1" si="105"/>
        <v>394</v>
      </c>
      <c r="AV80" s="1">
        <f t="shared" ca="1" si="106"/>
        <v>7</v>
      </c>
      <c r="AW80" s="1">
        <f t="shared" ca="1" si="107"/>
        <v>8.0764300465506103E-2</v>
      </c>
      <c r="AY80" s="1">
        <f t="shared" ca="1" si="108"/>
        <v>1.7948794801453942</v>
      </c>
      <c r="AZ80" s="1">
        <f t="shared" ca="1" si="109"/>
        <v>355</v>
      </c>
      <c r="BA80" s="1">
        <f t="shared" ca="1" si="110"/>
        <v>9.2679929228690148E-3</v>
      </c>
      <c r="BG80" s="1">
        <f t="shared" ca="1" si="111"/>
        <v>2.7070453433818947E-2</v>
      </c>
      <c r="BH80" s="1">
        <f t="shared" ca="1" si="112"/>
        <v>0.69198551480769299</v>
      </c>
      <c r="BI80" s="1">
        <f t="shared" ca="1" si="113"/>
        <v>192</v>
      </c>
      <c r="BV80" s="1">
        <f t="shared" ca="1" si="114"/>
        <v>0.96727582433884607</v>
      </c>
      <c r="BW80" s="1">
        <f t="shared" ca="1" si="115"/>
        <v>433</v>
      </c>
      <c r="BX80" s="1">
        <f t="shared" ca="1" si="116"/>
        <v>8.9661301933751205E-4</v>
      </c>
      <c r="BY80" s="1">
        <f t="shared" ca="1" si="117"/>
        <v>3.235337957625202E-2</v>
      </c>
      <c r="BZ80" s="1">
        <f t="shared" ca="1" si="118"/>
        <v>0.50095925148830789</v>
      </c>
      <c r="CB80" s="1">
        <f t="shared" ca="1" si="119"/>
        <v>71</v>
      </c>
      <c r="CC80" s="1">
        <f t="shared" ca="1" si="120"/>
        <v>14</v>
      </c>
      <c r="CD80" s="1">
        <f t="shared" ca="1" si="121"/>
        <v>7.6721693045410155E-2</v>
      </c>
      <c r="CE80" s="1">
        <f t="shared" ca="1" si="122"/>
        <v>0.68323156516746975</v>
      </c>
      <c r="CF80" s="1">
        <f t="shared" ca="1" si="122"/>
        <v>0.93800859799483516</v>
      </c>
      <c r="CH80" s="3">
        <f t="shared" ca="1" si="123"/>
        <v>0.96672497434300741</v>
      </c>
      <c r="CI80" s="3">
        <f t="shared" ca="1" si="124"/>
        <v>0.22547283561806394</v>
      </c>
      <c r="CJ80" s="3">
        <f t="shared" ca="1" si="125"/>
        <v>1014</v>
      </c>
      <c r="CK80" s="3">
        <f t="shared" ca="1" si="126"/>
        <v>5.7617455580074159E-3</v>
      </c>
      <c r="CL80" s="3">
        <f t="shared" ca="1" si="127"/>
        <v>0</v>
      </c>
      <c r="CM80" s="3"/>
      <c r="CN80" s="1">
        <f t="shared" ca="1" si="128"/>
        <v>16.406480914581653</v>
      </c>
      <c r="CO80" s="1">
        <f t="shared" ca="1" si="129"/>
        <v>0.27518065736108266</v>
      </c>
      <c r="CP80" s="1">
        <f t="shared" ca="1" si="130"/>
        <v>1</v>
      </c>
      <c r="CV80" s="1">
        <f t="shared" ca="1" si="131"/>
        <v>7.3989625245301278</v>
      </c>
      <c r="CW80" s="1">
        <f t="shared" ca="1" si="132"/>
        <v>1950</v>
      </c>
      <c r="CX80" s="1">
        <f t="shared" ca="1" si="133"/>
        <v>3.2581782538119728E-3</v>
      </c>
      <c r="DH80" s="1">
        <f t="shared" ca="1" si="134"/>
        <v>637</v>
      </c>
      <c r="DI80" s="1">
        <f t="shared" ca="1" si="135"/>
        <v>0.37430366598807979</v>
      </c>
      <c r="DJ80" s="1">
        <f t="shared" ca="1" si="136"/>
        <v>24</v>
      </c>
      <c r="DL80" s="1">
        <f t="shared" ca="1" si="137"/>
        <v>0.18283327761424834</v>
      </c>
      <c r="DM80" s="1">
        <f t="shared" ca="1" si="138"/>
        <v>73</v>
      </c>
      <c r="DN80" s="1">
        <f t="shared" ca="1" si="139"/>
        <v>7</v>
      </c>
    </row>
    <row r="81" spans="2:118" x14ac:dyDescent="0.25">
      <c r="B81">
        <f t="shared" ca="1" si="72"/>
        <v>701</v>
      </c>
      <c r="C81">
        <f t="shared" ca="1" si="73"/>
        <v>35</v>
      </c>
      <c r="D81">
        <f t="shared" ca="1" si="74"/>
        <v>0.27039211357036663</v>
      </c>
      <c r="F81" s="1">
        <f t="shared" ca="1" si="75"/>
        <v>27</v>
      </c>
      <c r="G81" s="1">
        <f t="shared" ca="1" si="76"/>
        <v>15</v>
      </c>
      <c r="H81" s="1">
        <f t="shared" ca="1" si="77"/>
        <v>4</v>
      </c>
      <c r="I81" s="1"/>
      <c r="J81" s="1">
        <f t="shared" ca="1" si="78"/>
        <v>27</v>
      </c>
      <c r="K81" s="1">
        <f t="shared" ca="1" si="79"/>
        <v>1.0130718688040701</v>
      </c>
      <c r="L81" s="1">
        <f t="shared" ca="1" si="80"/>
        <v>27</v>
      </c>
      <c r="M81" s="1"/>
      <c r="N81" s="1">
        <f t="shared" ca="1" si="81"/>
        <v>827</v>
      </c>
      <c r="O81" s="1">
        <f t="shared" ca="1" si="82"/>
        <v>31</v>
      </c>
      <c r="P81" s="1"/>
      <c r="Q81" s="1">
        <f t="shared" ca="1" si="83"/>
        <v>4.5247953512544621</v>
      </c>
      <c r="R81" s="1">
        <f t="shared" ca="1" si="84"/>
        <v>266</v>
      </c>
      <c r="S81" s="1"/>
      <c r="T81" s="1">
        <f t="shared" ca="1" si="85"/>
        <v>0.18298763459102022</v>
      </c>
      <c r="U81" s="1">
        <f t="shared" ca="1" si="86"/>
        <v>89</v>
      </c>
      <c r="V81" s="1">
        <f t="shared" ca="1" si="87"/>
        <v>39</v>
      </c>
      <c r="W81" s="1"/>
      <c r="X81" s="1">
        <f t="shared" ca="1" si="88"/>
        <v>8.6628369428502463</v>
      </c>
      <c r="Y81" s="1">
        <f t="shared" ca="1" si="89"/>
        <v>7.9582404131310791E-2</v>
      </c>
      <c r="Z81" s="1">
        <f t="shared" ca="1" si="90"/>
        <v>780</v>
      </c>
      <c r="AB81" s="1">
        <f t="shared" ca="1" si="91"/>
        <v>0.25280867806022173</v>
      </c>
      <c r="AC81" s="1">
        <f t="shared" ca="1" si="92"/>
        <v>112</v>
      </c>
      <c r="AD81" s="1">
        <f t="shared" ca="1" si="93"/>
        <v>5.004594788788742E-3</v>
      </c>
      <c r="AE81" s="1"/>
      <c r="AF81" s="1">
        <f t="shared" ca="1" si="94"/>
        <v>0.82510703251618056</v>
      </c>
      <c r="AG81" s="1">
        <f t="shared" ca="1" si="95"/>
        <v>156</v>
      </c>
      <c r="AH81" s="1">
        <f t="shared" ca="1" si="96"/>
        <v>1.0331403902438017E-5</v>
      </c>
      <c r="AJ81" s="1">
        <f t="shared" ca="1" si="97"/>
        <v>0.62107579039475547</v>
      </c>
      <c r="AK81" s="1">
        <f t="shared" ca="1" si="98"/>
        <v>2.3690454293179303E-3</v>
      </c>
      <c r="AL81" s="1"/>
      <c r="AM81" s="1">
        <f t="shared" ca="1" si="99"/>
        <v>7.4360350164834541E-2</v>
      </c>
      <c r="AN81" s="1">
        <f t="shared" ca="1" si="100"/>
        <v>20</v>
      </c>
      <c r="AO81" s="1">
        <f t="shared" ca="1" si="101"/>
        <v>6</v>
      </c>
      <c r="AQ81" s="1">
        <f t="shared" ca="1" si="102"/>
        <v>20</v>
      </c>
      <c r="AR81" s="1">
        <f t="shared" ca="1" si="103"/>
        <v>10</v>
      </c>
      <c r="AS81" s="1">
        <f t="shared" ca="1" si="104"/>
        <v>99</v>
      </c>
      <c r="AU81" s="1">
        <f t="shared" ca="1" si="105"/>
        <v>211</v>
      </c>
      <c r="AV81" s="1">
        <f t="shared" ca="1" si="106"/>
        <v>4</v>
      </c>
      <c r="AW81" s="1">
        <f t="shared" ca="1" si="107"/>
        <v>0.16313960503604855</v>
      </c>
      <c r="AY81" s="1">
        <f t="shared" ca="1" si="108"/>
        <v>1.8210739554474626</v>
      </c>
      <c r="AZ81" s="1">
        <f t="shared" ca="1" si="109"/>
        <v>166</v>
      </c>
      <c r="BA81" s="1">
        <f t="shared" ca="1" si="110"/>
        <v>8.4922957566137703E-3</v>
      </c>
      <c r="BG81" s="1">
        <f t="shared" ca="1" si="111"/>
        <v>0.98752553889568351</v>
      </c>
      <c r="BH81" s="1">
        <f t="shared" ca="1" si="112"/>
        <v>0.81134373946745497</v>
      </c>
      <c r="BI81" s="1">
        <f t="shared" ca="1" si="113"/>
        <v>410</v>
      </c>
      <c r="BV81" s="1">
        <f t="shared" ca="1" si="114"/>
        <v>0.10144406617510723</v>
      </c>
      <c r="BW81" s="1">
        <f t="shared" ca="1" si="115"/>
        <v>406</v>
      </c>
      <c r="BX81" s="1">
        <f t="shared" ca="1" si="116"/>
        <v>1.5036588974335306E-4</v>
      </c>
      <c r="BY81" s="1">
        <f t="shared" ca="1" si="117"/>
        <v>4.1214803100168959E-4</v>
      </c>
      <c r="BZ81" s="1">
        <f t="shared" ca="1" si="118"/>
        <v>0.90064509860218667</v>
      </c>
      <c r="CB81" s="1">
        <f t="shared" ca="1" si="119"/>
        <v>424</v>
      </c>
      <c r="CC81" s="1">
        <f t="shared" ca="1" si="120"/>
        <v>12</v>
      </c>
      <c r="CD81" s="1">
        <f t="shared" ca="1" si="121"/>
        <v>1.5177702122103358E-2</v>
      </c>
      <c r="CE81" s="1">
        <f t="shared" ca="1" si="122"/>
        <v>0.74745707523421689</v>
      </c>
      <c r="CF81" s="1">
        <f t="shared" ca="1" si="122"/>
        <v>0.91880864943781115</v>
      </c>
      <c r="CH81" s="3">
        <f t="shared" ca="1" si="123"/>
        <v>0.54208519710672931</v>
      </c>
      <c r="CI81" s="3">
        <f t="shared" ca="1" si="124"/>
        <v>0.48286916647887262</v>
      </c>
      <c r="CJ81" s="3">
        <f t="shared" ca="1" si="125"/>
        <v>895</v>
      </c>
      <c r="CK81" s="3">
        <f t="shared" ca="1" si="126"/>
        <v>4.3477252354806152E-3</v>
      </c>
      <c r="CL81" s="3">
        <f t="shared" ca="1" si="127"/>
        <v>0</v>
      </c>
      <c r="CM81" s="3"/>
      <c r="CN81" s="1">
        <f t="shared" ca="1" si="128"/>
        <v>8.1512118355173335</v>
      </c>
      <c r="CO81" s="1">
        <f t="shared" ca="1" si="129"/>
        <v>0.18905086451218772</v>
      </c>
      <c r="CP81" s="1">
        <f t="shared" ca="1" si="130"/>
        <v>3</v>
      </c>
      <c r="CV81" s="1">
        <f t="shared" ca="1" si="131"/>
        <v>6.2962662773795639</v>
      </c>
      <c r="CW81" s="1">
        <f t="shared" ca="1" si="132"/>
        <v>632</v>
      </c>
      <c r="CX81" s="1">
        <f t="shared" ca="1" si="133"/>
        <v>3.6340624711961558E-3</v>
      </c>
      <c r="DH81" s="1">
        <f t="shared" ca="1" si="134"/>
        <v>49</v>
      </c>
      <c r="DI81" s="1">
        <f t="shared" ca="1" si="135"/>
        <v>0.27034210234175382</v>
      </c>
      <c r="DJ81" s="1">
        <f t="shared" ca="1" si="136"/>
        <v>17</v>
      </c>
      <c r="DL81" s="1">
        <f t="shared" ca="1" si="137"/>
        <v>5.5517938730227437E-2</v>
      </c>
      <c r="DM81" s="1">
        <f t="shared" ca="1" si="138"/>
        <v>219</v>
      </c>
      <c r="DN81" s="1">
        <f t="shared" ca="1" si="139"/>
        <v>4</v>
      </c>
    </row>
    <row r="82" spans="2:118" x14ac:dyDescent="0.25">
      <c r="B82">
        <f t="shared" ca="1" si="72"/>
        <v>54</v>
      </c>
      <c r="C82">
        <f t="shared" ca="1" si="73"/>
        <v>11</v>
      </c>
      <c r="D82">
        <f t="shared" ca="1" si="74"/>
        <v>6.3809228728038916E-2</v>
      </c>
      <c r="F82" s="1">
        <f t="shared" ca="1" si="75"/>
        <v>44</v>
      </c>
      <c r="G82" s="1">
        <f t="shared" ca="1" si="76"/>
        <v>11</v>
      </c>
      <c r="H82" s="1">
        <f t="shared" ca="1" si="77"/>
        <v>13</v>
      </c>
      <c r="I82" s="1"/>
      <c r="J82" s="1">
        <f t="shared" ca="1" si="78"/>
        <v>8</v>
      </c>
      <c r="K82" s="1">
        <f t="shared" ca="1" si="79"/>
        <v>1.8518667273109313</v>
      </c>
      <c r="L82" s="1">
        <f t="shared" ca="1" si="80"/>
        <v>5</v>
      </c>
      <c r="M82" s="1"/>
      <c r="N82" s="1">
        <f t="shared" ca="1" si="81"/>
        <v>307</v>
      </c>
      <c r="O82" s="1">
        <f t="shared" ca="1" si="82"/>
        <v>21</v>
      </c>
      <c r="P82" s="1"/>
      <c r="Q82" s="1">
        <f t="shared" ca="1" si="83"/>
        <v>4.4757686134698016</v>
      </c>
      <c r="R82" s="1">
        <f t="shared" ca="1" si="84"/>
        <v>1086</v>
      </c>
      <c r="S82" s="1"/>
      <c r="T82" s="1">
        <f t="shared" ca="1" si="85"/>
        <v>0.13653718814334026</v>
      </c>
      <c r="U82" s="1">
        <f t="shared" ca="1" si="86"/>
        <v>315</v>
      </c>
      <c r="V82" s="1">
        <f t="shared" ca="1" si="87"/>
        <v>6</v>
      </c>
      <c r="W82" s="1"/>
      <c r="X82" s="1">
        <f t="shared" ca="1" si="88"/>
        <v>2.6327026887165759</v>
      </c>
      <c r="Y82" s="1">
        <f t="shared" ca="1" si="89"/>
        <v>0.94561979552063669</v>
      </c>
      <c r="Z82" s="1">
        <f t="shared" ca="1" si="90"/>
        <v>1716</v>
      </c>
      <c r="AB82" s="1">
        <f t="shared" ca="1" si="91"/>
        <v>0.34083376368128193</v>
      </c>
      <c r="AC82" s="1">
        <f t="shared" ca="1" si="92"/>
        <v>261</v>
      </c>
      <c r="AD82" s="1">
        <f t="shared" ca="1" si="93"/>
        <v>7.1076280694475505E-3</v>
      </c>
      <c r="AE82" s="1"/>
      <c r="AF82" s="1">
        <f t="shared" ca="1" si="94"/>
        <v>0.19357470372406854</v>
      </c>
      <c r="AG82" s="1">
        <f t="shared" ca="1" si="95"/>
        <v>576</v>
      </c>
      <c r="AH82" s="1">
        <f t="shared" ca="1" si="96"/>
        <v>5.9188970304259415E-4</v>
      </c>
      <c r="AJ82" s="1">
        <f t="shared" ca="1" si="97"/>
        <v>0.40411614934154239</v>
      </c>
      <c r="AK82" s="1">
        <f t="shared" ca="1" si="98"/>
        <v>4.9458783469315667E-3</v>
      </c>
      <c r="AL82" s="1"/>
      <c r="AM82" s="1">
        <f t="shared" ca="1" si="99"/>
        <v>7.852265987164174E-2</v>
      </c>
      <c r="AN82" s="1">
        <f t="shared" ca="1" si="100"/>
        <v>32</v>
      </c>
      <c r="AO82" s="1">
        <f t="shared" ca="1" si="101"/>
        <v>5</v>
      </c>
      <c r="AQ82" s="1">
        <f t="shared" ca="1" si="102"/>
        <v>34</v>
      </c>
      <c r="AR82" s="1">
        <f t="shared" ca="1" si="103"/>
        <v>9</v>
      </c>
      <c r="AS82" s="1">
        <f t="shared" ca="1" si="104"/>
        <v>30</v>
      </c>
      <c r="AU82" s="1">
        <f t="shared" ca="1" si="105"/>
        <v>95</v>
      </c>
      <c r="AV82" s="1">
        <f t="shared" ca="1" si="106"/>
        <v>9</v>
      </c>
      <c r="AW82" s="1">
        <f t="shared" ca="1" si="107"/>
        <v>0.10003131688027195</v>
      </c>
      <c r="AY82" s="1">
        <f t="shared" ca="1" si="108"/>
        <v>1.1756424562949264</v>
      </c>
      <c r="AZ82" s="1">
        <f t="shared" ca="1" si="109"/>
        <v>96</v>
      </c>
      <c r="BA82" s="1">
        <f t="shared" ca="1" si="110"/>
        <v>7.6196003705885293E-3</v>
      </c>
      <c r="BG82" s="1">
        <f t="shared" ca="1" si="111"/>
        <v>0.64303733557979004</v>
      </c>
      <c r="BH82" s="1">
        <f t="shared" ca="1" si="112"/>
        <v>0.27716744011790384</v>
      </c>
      <c r="BI82" s="1">
        <f t="shared" ca="1" si="113"/>
        <v>910</v>
      </c>
      <c r="BV82" s="1">
        <f t="shared" ca="1" si="114"/>
        <v>0.58759208028389742</v>
      </c>
      <c r="BW82" s="1">
        <f t="shared" ca="1" si="115"/>
        <v>311</v>
      </c>
      <c r="BX82" s="1">
        <f t="shared" ca="1" si="116"/>
        <v>8.5579999373191374E-3</v>
      </c>
      <c r="BY82" s="1">
        <f t="shared" ca="1" si="117"/>
        <v>7.1321936574294142E-2</v>
      </c>
      <c r="BZ82" s="1">
        <f t="shared" ca="1" si="118"/>
        <v>0.52147971256855197</v>
      </c>
      <c r="CB82" s="1">
        <f t="shared" ca="1" si="119"/>
        <v>305</v>
      </c>
      <c r="CC82" s="1">
        <f t="shared" ca="1" si="120"/>
        <v>5</v>
      </c>
      <c r="CD82" s="1">
        <f t="shared" ca="1" si="121"/>
        <v>0.25076773712519829</v>
      </c>
      <c r="CE82" s="1">
        <f t="shared" ca="1" si="122"/>
        <v>0.82330938216914296</v>
      </c>
      <c r="CF82" s="1">
        <f t="shared" ca="1" si="122"/>
        <v>0.54295525946479439</v>
      </c>
      <c r="CH82" s="3">
        <f t="shared" ca="1" si="123"/>
        <v>0.52741135822812213</v>
      </c>
      <c r="CI82" s="3">
        <f t="shared" ca="1" si="124"/>
        <v>0.13494569699717732</v>
      </c>
      <c r="CJ82" s="3">
        <f t="shared" ca="1" si="125"/>
        <v>866</v>
      </c>
      <c r="CK82" s="3">
        <f t="shared" ca="1" si="126"/>
        <v>3.0794777706165282E-3</v>
      </c>
      <c r="CL82" s="3">
        <f t="shared" ca="1" si="127"/>
        <v>0</v>
      </c>
      <c r="CM82" s="3"/>
      <c r="CN82" s="1">
        <f t="shared" ca="1" si="128"/>
        <v>3.0074032664904427</v>
      </c>
      <c r="CO82" s="1">
        <f t="shared" ca="1" si="129"/>
        <v>0.31037818025975911</v>
      </c>
      <c r="CP82" s="1">
        <f t="shared" ca="1" si="130"/>
        <v>1</v>
      </c>
      <c r="CV82" s="1">
        <f t="shared" ca="1" si="131"/>
        <v>4.7520737774441386</v>
      </c>
      <c r="CW82" s="1">
        <f t="shared" ca="1" si="132"/>
        <v>153</v>
      </c>
      <c r="CX82" s="1">
        <f t="shared" ca="1" si="133"/>
        <v>1.0860912594760461E-3</v>
      </c>
      <c r="DH82" s="1">
        <f t="shared" ca="1" si="134"/>
        <v>817</v>
      </c>
      <c r="DI82" s="1">
        <f t="shared" ca="1" si="135"/>
        <v>0.72782493804098847</v>
      </c>
      <c r="DJ82" s="1">
        <f t="shared" ca="1" si="136"/>
        <v>21</v>
      </c>
      <c r="DL82" s="1">
        <f t="shared" ca="1" si="137"/>
        <v>0.17901966575566367</v>
      </c>
      <c r="DM82" s="1">
        <f t="shared" ca="1" si="138"/>
        <v>159</v>
      </c>
      <c r="DN82" s="1">
        <f t="shared" ca="1" si="139"/>
        <v>7</v>
      </c>
    </row>
    <row r="83" spans="2:118" x14ac:dyDescent="0.25">
      <c r="B83">
        <f t="shared" ca="1" si="72"/>
        <v>464</v>
      </c>
      <c r="C83">
        <f t="shared" ca="1" si="73"/>
        <v>19</v>
      </c>
      <c r="D83">
        <f t="shared" ca="1" si="74"/>
        <v>0.20477510664815912</v>
      </c>
      <c r="F83" s="1">
        <f t="shared" ca="1" si="75"/>
        <v>18</v>
      </c>
      <c r="G83" s="1">
        <f t="shared" ca="1" si="76"/>
        <v>5</v>
      </c>
      <c r="H83" s="1">
        <f t="shared" ca="1" si="77"/>
        <v>8</v>
      </c>
      <c r="I83" s="1"/>
      <c r="J83" s="1">
        <f t="shared" ca="1" si="78"/>
        <v>25</v>
      </c>
      <c r="K83" s="1">
        <f t="shared" ca="1" si="79"/>
        <v>2.091830402733982</v>
      </c>
      <c r="L83" s="1">
        <f t="shared" ca="1" si="80"/>
        <v>17</v>
      </c>
      <c r="M83" s="1"/>
      <c r="N83" s="1">
        <f t="shared" ca="1" si="81"/>
        <v>251</v>
      </c>
      <c r="O83" s="1">
        <f t="shared" ca="1" si="82"/>
        <v>46</v>
      </c>
      <c r="P83" s="1"/>
      <c r="Q83" s="1">
        <f t="shared" ca="1" si="83"/>
        <v>2.1674162935362098</v>
      </c>
      <c r="R83" s="1">
        <f t="shared" ca="1" si="84"/>
        <v>1170</v>
      </c>
      <c r="S83" s="1"/>
      <c r="T83" s="1">
        <f t="shared" ca="1" si="85"/>
        <v>2.676654052948791E-2</v>
      </c>
      <c r="U83" s="1">
        <f t="shared" ca="1" si="86"/>
        <v>224</v>
      </c>
      <c r="V83" s="1">
        <f t="shared" ca="1" si="87"/>
        <v>23</v>
      </c>
      <c r="W83" s="1"/>
      <c r="X83" s="1">
        <f t="shared" ca="1" si="88"/>
        <v>2.0285300076897208</v>
      </c>
      <c r="Y83" s="1">
        <f t="shared" ca="1" si="89"/>
        <v>3.0102141752776094E-2</v>
      </c>
      <c r="Z83" s="1">
        <f t="shared" ca="1" si="90"/>
        <v>1996</v>
      </c>
      <c r="AB83" s="1">
        <f t="shared" ca="1" si="91"/>
        <v>0.6025870954947149</v>
      </c>
      <c r="AC83" s="1">
        <f t="shared" ca="1" si="92"/>
        <v>564</v>
      </c>
      <c r="AD83" s="1">
        <f t="shared" ca="1" si="93"/>
        <v>9.7386449101711516E-4</v>
      </c>
      <c r="AE83" s="1"/>
      <c r="AF83" s="1">
        <f t="shared" ca="1" si="94"/>
        <v>0.55736745161372747</v>
      </c>
      <c r="AG83" s="1">
        <f t="shared" ca="1" si="95"/>
        <v>109</v>
      </c>
      <c r="AH83" s="1">
        <f t="shared" ca="1" si="96"/>
        <v>6.6593270464494082E-3</v>
      </c>
      <c r="AJ83" s="1">
        <f t="shared" ca="1" si="97"/>
        <v>8.7488947780191006E-3</v>
      </c>
      <c r="AK83" s="1">
        <f t="shared" ca="1" si="98"/>
        <v>5.2799917636225709E-3</v>
      </c>
      <c r="AL83" s="1"/>
      <c r="AM83" s="1">
        <f t="shared" ca="1" si="99"/>
        <v>0.13809294344673595</v>
      </c>
      <c r="AN83" s="1">
        <f t="shared" ca="1" si="100"/>
        <v>28</v>
      </c>
      <c r="AO83" s="1">
        <f t="shared" ca="1" si="101"/>
        <v>20</v>
      </c>
      <c r="AQ83" s="1">
        <f t="shared" ca="1" si="102"/>
        <v>51</v>
      </c>
      <c r="AR83" s="1">
        <f t="shared" ca="1" si="103"/>
        <v>0</v>
      </c>
      <c r="AS83" s="1">
        <f t="shared" ca="1" si="104"/>
        <v>54</v>
      </c>
      <c r="AU83" s="1">
        <f t="shared" ca="1" si="105"/>
        <v>203</v>
      </c>
      <c r="AV83" s="1">
        <f t="shared" ca="1" si="106"/>
        <v>5</v>
      </c>
      <c r="AW83" s="1">
        <f t="shared" ca="1" si="107"/>
        <v>8.0571377188011176E-2</v>
      </c>
      <c r="AY83" s="1">
        <f t="shared" ca="1" si="108"/>
        <v>1.3129360248835187</v>
      </c>
      <c r="AZ83" s="1">
        <f t="shared" ca="1" si="109"/>
        <v>211</v>
      </c>
      <c r="BA83" s="1">
        <f t="shared" ca="1" si="110"/>
        <v>9.5691302450724401E-3</v>
      </c>
      <c r="BG83" s="1">
        <f t="shared" ca="1" si="111"/>
        <v>0.21629289979358615</v>
      </c>
      <c r="BH83" s="1">
        <f t="shared" ca="1" si="112"/>
        <v>0.38130670690234736</v>
      </c>
      <c r="BI83" s="1">
        <f t="shared" ca="1" si="113"/>
        <v>146</v>
      </c>
      <c r="BV83" s="1">
        <f t="shared" ca="1" si="114"/>
        <v>0.61794970466451393</v>
      </c>
      <c r="BW83" s="1">
        <f t="shared" ca="1" si="115"/>
        <v>993</v>
      </c>
      <c r="BX83" s="1">
        <f t="shared" ca="1" si="116"/>
        <v>8.8427699010518238E-3</v>
      </c>
      <c r="BY83" s="1">
        <f t="shared" ca="1" si="117"/>
        <v>7.1015243074110987E-2</v>
      </c>
      <c r="BZ83" s="1">
        <f t="shared" ca="1" si="118"/>
        <v>0.23781724984068697</v>
      </c>
      <c r="CB83" s="1">
        <f t="shared" ca="1" si="119"/>
        <v>435</v>
      </c>
      <c r="CC83" s="1">
        <f t="shared" ca="1" si="120"/>
        <v>10</v>
      </c>
      <c r="CD83" s="1">
        <f t="shared" ca="1" si="121"/>
        <v>0.28521182231266445</v>
      </c>
      <c r="CE83" s="1">
        <f t="shared" ca="1" si="122"/>
        <v>0.73239663778878539</v>
      </c>
      <c r="CF83" s="1">
        <f t="shared" ca="1" si="122"/>
        <v>0.99475192274440083</v>
      </c>
      <c r="CH83" s="3">
        <f t="shared" ca="1" si="123"/>
        <v>0.48266832796276743</v>
      </c>
      <c r="CI83" s="3">
        <f t="shared" ca="1" si="124"/>
        <v>0.80080692820853305</v>
      </c>
      <c r="CJ83" s="3">
        <f t="shared" ca="1" si="125"/>
        <v>1915</v>
      </c>
      <c r="CK83" s="3">
        <f t="shared" ca="1" si="126"/>
        <v>9.1187558787745194E-3</v>
      </c>
      <c r="CL83" s="3">
        <f t="shared" ca="1" si="127"/>
        <v>1</v>
      </c>
      <c r="CM83" s="3"/>
      <c r="CN83" s="1">
        <f t="shared" ca="1" si="128"/>
        <v>11.871907153935251</v>
      </c>
      <c r="CO83" s="1">
        <f t="shared" ca="1" si="129"/>
        <v>0.19725008430763505</v>
      </c>
      <c r="CP83" s="1">
        <f t="shared" ca="1" si="130"/>
        <v>3</v>
      </c>
      <c r="CV83" s="1">
        <f t="shared" ca="1" si="131"/>
        <v>1.1676162522616536</v>
      </c>
      <c r="CW83" s="1">
        <f t="shared" ca="1" si="132"/>
        <v>1342</v>
      </c>
      <c r="CX83" s="1">
        <f t="shared" ca="1" si="133"/>
        <v>8.2976958397315507E-3</v>
      </c>
      <c r="DH83" s="1">
        <f t="shared" ca="1" si="134"/>
        <v>444</v>
      </c>
      <c r="DI83" s="1">
        <f t="shared" ca="1" si="135"/>
        <v>0.51622311929876341</v>
      </c>
      <c r="DJ83" s="1">
        <f t="shared" ca="1" si="136"/>
        <v>21</v>
      </c>
      <c r="DL83" s="1">
        <f t="shared" ca="1" si="137"/>
        <v>1.978766849351693E-2</v>
      </c>
      <c r="DM83" s="1">
        <f t="shared" ca="1" si="138"/>
        <v>299</v>
      </c>
      <c r="DN83" s="1">
        <f t="shared" ca="1" si="139"/>
        <v>2</v>
      </c>
    </row>
    <row r="84" spans="2:118" x14ac:dyDescent="0.25">
      <c r="B84">
        <f t="shared" ca="1" si="72"/>
        <v>204</v>
      </c>
      <c r="C84">
        <f t="shared" ca="1" si="73"/>
        <v>26</v>
      </c>
      <c r="D84">
        <f t="shared" ca="1" si="74"/>
        <v>0.2262493773648421</v>
      </c>
      <c r="F84" s="1">
        <f t="shared" ca="1" si="75"/>
        <v>14</v>
      </c>
      <c r="G84" s="1">
        <f t="shared" ca="1" si="76"/>
        <v>3</v>
      </c>
      <c r="H84" s="1">
        <f t="shared" ca="1" si="77"/>
        <v>6</v>
      </c>
      <c r="I84" s="1"/>
      <c r="J84" s="1">
        <f t="shared" ca="1" si="78"/>
        <v>33</v>
      </c>
      <c r="K84" s="1">
        <f t="shared" ca="1" si="79"/>
        <v>1.3057853064347722</v>
      </c>
      <c r="L84" s="1">
        <f t="shared" ca="1" si="80"/>
        <v>26</v>
      </c>
      <c r="M84" s="1"/>
      <c r="N84" s="1">
        <f t="shared" ca="1" si="81"/>
        <v>174</v>
      </c>
      <c r="O84" s="1">
        <f t="shared" ca="1" si="82"/>
        <v>11</v>
      </c>
      <c r="P84" s="1"/>
      <c r="Q84" s="1">
        <f t="shared" ca="1" si="83"/>
        <v>2.3307859160582325</v>
      </c>
      <c r="R84" s="1">
        <f t="shared" ca="1" si="84"/>
        <v>200</v>
      </c>
      <c r="S84" s="1"/>
      <c r="T84" s="1">
        <f t="shared" ca="1" si="85"/>
        <v>9.5974087355588183E-2</v>
      </c>
      <c r="U84" s="1">
        <f t="shared" ca="1" si="86"/>
        <v>155</v>
      </c>
      <c r="V84" s="1">
        <f t="shared" ca="1" si="87"/>
        <v>49</v>
      </c>
      <c r="W84" s="1"/>
      <c r="X84" s="1">
        <f t="shared" ca="1" si="88"/>
        <v>9.2941425745029456</v>
      </c>
      <c r="Y84" s="1">
        <f t="shared" ca="1" si="89"/>
        <v>0.23824959581989841</v>
      </c>
      <c r="Z84" s="1">
        <f t="shared" ca="1" si="90"/>
        <v>1714</v>
      </c>
      <c r="AB84" s="1">
        <f t="shared" ca="1" si="91"/>
        <v>2.9848934546237924E-2</v>
      </c>
      <c r="AC84" s="1">
        <f t="shared" ca="1" si="92"/>
        <v>825</v>
      </c>
      <c r="AD84" s="1">
        <f t="shared" ca="1" si="93"/>
        <v>8.5217160969373838E-3</v>
      </c>
      <c r="AE84" s="1"/>
      <c r="AF84" s="1">
        <f t="shared" ca="1" si="94"/>
        <v>0.88566042993591132</v>
      </c>
      <c r="AG84" s="1">
        <f t="shared" ca="1" si="95"/>
        <v>752</v>
      </c>
      <c r="AH84" s="1">
        <f t="shared" ca="1" si="96"/>
        <v>8.4784294786124439E-3</v>
      </c>
      <c r="AJ84" s="1">
        <f t="shared" ca="1" si="97"/>
        <v>0.24055317072182658</v>
      </c>
      <c r="AK84" s="1">
        <f t="shared" ca="1" si="98"/>
        <v>8.1772914416142362E-3</v>
      </c>
      <c r="AL84" s="1"/>
      <c r="AM84" s="1">
        <f t="shared" ca="1" si="99"/>
        <v>0.14375082248571885</v>
      </c>
      <c r="AN84" s="1">
        <f t="shared" ca="1" si="100"/>
        <v>64</v>
      </c>
      <c r="AO84" s="1">
        <f t="shared" ca="1" si="101"/>
        <v>10</v>
      </c>
      <c r="AQ84" s="1">
        <f t="shared" ca="1" si="102"/>
        <v>88</v>
      </c>
      <c r="AR84" s="1">
        <f t="shared" ca="1" si="103"/>
        <v>5</v>
      </c>
      <c r="AS84" s="1">
        <f t="shared" ca="1" si="104"/>
        <v>6</v>
      </c>
      <c r="AU84" s="1">
        <f t="shared" ca="1" si="105"/>
        <v>83</v>
      </c>
      <c r="AV84" s="1">
        <f t="shared" ca="1" si="106"/>
        <v>2</v>
      </c>
      <c r="AW84" s="1">
        <f t="shared" ca="1" si="107"/>
        <v>0.10771446257909388</v>
      </c>
      <c r="AY84" s="1">
        <f t="shared" ca="1" si="108"/>
        <v>1.9568272789244325</v>
      </c>
      <c r="AZ84" s="1">
        <f t="shared" ca="1" si="109"/>
        <v>386</v>
      </c>
      <c r="BA84" s="1">
        <f t="shared" ca="1" si="110"/>
        <v>5.2249132573415685E-3</v>
      </c>
      <c r="BG84" s="1">
        <f t="shared" ca="1" si="111"/>
        <v>0.2141871175515552</v>
      </c>
      <c r="BH84" s="1">
        <f t="shared" ca="1" si="112"/>
        <v>2.9252812385968663E-2</v>
      </c>
      <c r="BI84" s="1">
        <f t="shared" ca="1" si="113"/>
        <v>419</v>
      </c>
      <c r="BV84" s="1">
        <f t="shared" ca="1" si="114"/>
        <v>9.297298109079781E-2</v>
      </c>
      <c r="BW84" s="1">
        <f t="shared" ca="1" si="115"/>
        <v>726</v>
      </c>
      <c r="BX84" s="1">
        <f t="shared" ca="1" si="116"/>
        <v>5.9879141163638287E-3</v>
      </c>
      <c r="BY84" s="1">
        <f t="shared" ca="1" si="117"/>
        <v>7.1256855800123212E-2</v>
      </c>
      <c r="BZ84" s="1">
        <f t="shared" ca="1" si="118"/>
        <v>5.7402876565874617E-2</v>
      </c>
      <c r="CB84" s="1">
        <f t="shared" ca="1" si="119"/>
        <v>94</v>
      </c>
      <c r="CC84" s="1">
        <f t="shared" ca="1" si="120"/>
        <v>3</v>
      </c>
      <c r="CD84" s="1">
        <f t="shared" ca="1" si="121"/>
        <v>6.2488139308333225E-2</v>
      </c>
      <c r="CE84" s="1">
        <f t="shared" ca="1" si="122"/>
        <v>0.62173260119957241</v>
      </c>
      <c r="CF84" s="1">
        <f t="shared" ca="1" si="122"/>
        <v>0.76709864925825855</v>
      </c>
      <c r="CH84" s="3">
        <f t="shared" ca="1" si="123"/>
        <v>0.64698147712034992</v>
      </c>
      <c r="CI84" s="3">
        <f t="shared" ca="1" si="124"/>
        <v>0.62106489966083656</v>
      </c>
      <c r="CJ84" s="3">
        <f t="shared" ca="1" si="125"/>
        <v>1111</v>
      </c>
      <c r="CK84" s="3">
        <f t="shared" ca="1" si="126"/>
        <v>7.2783525647690129E-3</v>
      </c>
      <c r="CL84" s="3">
        <f t="shared" ca="1" si="127"/>
        <v>1</v>
      </c>
      <c r="CM84" s="3"/>
      <c r="CN84" s="1">
        <f t="shared" ca="1" si="128"/>
        <v>19.227005694526603</v>
      </c>
      <c r="CO84" s="1">
        <f t="shared" ca="1" si="129"/>
        <v>0.12219737222180316</v>
      </c>
      <c r="CP84" s="1">
        <f t="shared" ca="1" si="130"/>
        <v>2</v>
      </c>
      <c r="CV84" s="1">
        <f t="shared" ca="1" si="131"/>
        <v>1.7575607838719445</v>
      </c>
      <c r="CW84" s="1">
        <f t="shared" ca="1" si="132"/>
        <v>282</v>
      </c>
      <c r="CX84" s="1">
        <f t="shared" ca="1" si="133"/>
        <v>9.1109548510615798E-3</v>
      </c>
      <c r="DH84" s="1">
        <f t="shared" ca="1" si="134"/>
        <v>512</v>
      </c>
      <c r="DI84" s="1">
        <f t="shared" ca="1" si="135"/>
        <v>0.77871076370640313</v>
      </c>
      <c r="DJ84" s="1">
        <f t="shared" ca="1" si="136"/>
        <v>24</v>
      </c>
      <c r="DL84" s="1">
        <f t="shared" ca="1" si="137"/>
        <v>0.10297279963178239</v>
      </c>
      <c r="DM84" s="1">
        <f t="shared" ca="1" si="138"/>
        <v>294</v>
      </c>
      <c r="DN84" s="1">
        <f t="shared" ca="1" si="139"/>
        <v>3</v>
      </c>
    </row>
    <row r="85" spans="2:118" x14ac:dyDescent="0.25">
      <c r="B85">
        <f t="shared" ca="1" si="72"/>
        <v>518</v>
      </c>
      <c r="C85">
        <f t="shared" ca="1" si="73"/>
        <v>14</v>
      </c>
      <c r="D85">
        <f t="shared" ca="1" si="74"/>
        <v>0.16783448884623139</v>
      </c>
      <c r="F85" s="1">
        <f t="shared" ca="1" si="75"/>
        <v>28</v>
      </c>
      <c r="G85" s="1">
        <f t="shared" ca="1" si="76"/>
        <v>7</v>
      </c>
      <c r="H85" s="1">
        <f t="shared" ca="1" si="77"/>
        <v>9</v>
      </c>
      <c r="I85" s="1"/>
      <c r="J85" s="1">
        <f t="shared" ca="1" si="78"/>
        <v>11</v>
      </c>
      <c r="K85" s="1">
        <f t="shared" ca="1" si="79"/>
        <v>1.9040576231282504</v>
      </c>
      <c r="L85" s="1">
        <f t="shared" ca="1" si="80"/>
        <v>22</v>
      </c>
      <c r="M85" s="1"/>
      <c r="N85" s="1">
        <f t="shared" ca="1" si="81"/>
        <v>213</v>
      </c>
      <c r="O85" s="1">
        <f t="shared" ca="1" si="82"/>
        <v>37</v>
      </c>
      <c r="P85" s="1"/>
      <c r="Q85" s="1">
        <f t="shared" ca="1" si="83"/>
        <v>3.8572050238856606</v>
      </c>
      <c r="R85" s="1">
        <f t="shared" ca="1" si="84"/>
        <v>498</v>
      </c>
      <c r="S85" s="1"/>
      <c r="T85" s="1">
        <f t="shared" ca="1" si="85"/>
        <v>6.8887113412989059E-2</v>
      </c>
      <c r="U85" s="1">
        <f t="shared" ca="1" si="86"/>
        <v>421</v>
      </c>
      <c r="V85" s="1">
        <f t="shared" ca="1" si="87"/>
        <v>51</v>
      </c>
      <c r="W85" s="1"/>
      <c r="X85" s="1">
        <f t="shared" ca="1" si="88"/>
        <v>5.349709644741826</v>
      </c>
      <c r="Y85" s="1">
        <f t="shared" ca="1" si="89"/>
        <v>0.30922459557269416</v>
      </c>
      <c r="Z85" s="1">
        <f t="shared" ca="1" si="90"/>
        <v>1140</v>
      </c>
      <c r="AB85" s="1">
        <f t="shared" ca="1" si="91"/>
        <v>0.42713502951966648</v>
      </c>
      <c r="AC85" s="1">
        <f t="shared" ca="1" si="92"/>
        <v>107</v>
      </c>
      <c r="AD85" s="1">
        <f t="shared" ca="1" si="93"/>
        <v>6.8364775113547117E-3</v>
      </c>
      <c r="AE85" s="1"/>
      <c r="AF85" s="1">
        <f t="shared" ca="1" si="94"/>
        <v>0.87369269760094903</v>
      </c>
      <c r="AG85" s="1">
        <f t="shared" ca="1" si="95"/>
        <v>241</v>
      </c>
      <c r="AH85" s="1">
        <f t="shared" ca="1" si="96"/>
        <v>3.5962877466589756E-3</v>
      </c>
      <c r="AJ85" s="1">
        <f t="shared" ca="1" si="97"/>
        <v>0.29673231392113253</v>
      </c>
      <c r="AK85" s="1">
        <f t="shared" ca="1" si="98"/>
        <v>4.056643352668152E-3</v>
      </c>
      <c r="AL85" s="1"/>
      <c r="AM85" s="1">
        <f t="shared" ca="1" si="99"/>
        <v>9.2603506902207255E-2</v>
      </c>
      <c r="AN85" s="1">
        <f t="shared" ca="1" si="100"/>
        <v>59</v>
      </c>
      <c r="AO85" s="1">
        <f t="shared" ca="1" si="101"/>
        <v>5</v>
      </c>
      <c r="AQ85" s="1">
        <f t="shared" ca="1" si="102"/>
        <v>113</v>
      </c>
      <c r="AR85" s="1">
        <f t="shared" ca="1" si="103"/>
        <v>7</v>
      </c>
      <c r="AS85" s="1">
        <f t="shared" ca="1" si="104"/>
        <v>45</v>
      </c>
      <c r="AU85" s="1">
        <f t="shared" ca="1" si="105"/>
        <v>60</v>
      </c>
      <c r="AV85" s="1">
        <f t="shared" ca="1" si="106"/>
        <v>5</v>
      </c>
      <c r="AW85" s="1">
        <f t="shared" ca="1" si="107"/>
        <v>3.9708810322405044E-2</v>
      </c>
      <c r="AY85" s="1">
        <f t="shared" ca="1" si="108"/>
        <v>1.5760067952302987</v>
      </c>
      <c r="AZ85" s="1">
        <f t="shared" ca="1" si="109"/>
        <v>428</v>
      </c>
      <c r="BA85" s="1">
        <f t="shared" ca="1" si="110"/>
        <v>7.9316568791268881E-3</v>
      </c>
      <c r="BG85" s="1">
        <f t="shared" ca="1" si="111"/>
        <v>0.14051416317130411</v>
      </c>
      <c r="BH85" s="1">
        <f t="shared" ca="1" si="112"/>
        <v>0.77622330224236447</v>
      </c>
      <c r="BI85" s="1">
        <f t="shared" ca="1" si="113"/>
        <v>642</v>
      </c>
      <c r="BV85" s="1">
        <f t="shared" ca="1" si="114"/>
        <v>0.67847080194213005</v>
      </c>
      <c r="BW85" s="1">
        <f t="shared" ca="1" si="115"/>
        <v>476</v>
      </c>
      <c r="BX85" s="1">
        <f t="shared" ca="1" si="116"/>
        <v>2.5730831362742708E-3</v>
      </c>
      <c r="BY85" s="1">
        <f t="shared" ca="1" si="117"/>
        <v>1.4511401349225803E-2</v>
      </c>
      <c r="BZ85" s="1">
        <f t="shared" ca="1" si="118"/>
        <v>0.11647593490867625</v>
      </c>
      <c r="CB85" s="1">
        <f t="shared" ca="1" si="119"/>
        <v>76</v>
      </c>
      <c r="CC85" s="1">
        <f t="shared" ca="1" si="120"/>
        <v>11</v>
      </c>
      <c r="CD85" s="1">
        <f t="shared" ca="1" si="121"/>
        <v>3.8374884246987352E-2</v>
      </c>
      <c r="CE85" s="1">
        <f t="shared" ca="1" si="122"/>
        <v>0.89017850969738443</v>
      </c>
      <c r="CF85" s="1">
        <f t="shared" ca="1" si="122"/>
        <v>0.52569662245831994</v>
      </c>
      <c r="CH85" s="3">
        <f t="shared" ca="1" si="123"/>
        <v>0.51063609359309747</v>
      </c>
      <c r="CI85" s="3">
        <f t="shared" ca="1" si="124"/>
        <v>0.28905221083898086</v>
      </c>
      <c r="CJ85" s="3">
        <f t="shared" ca="1" si="125"/>
        <v>164</v>
      </c>
      <c r="CK85" s="3">
        <f t="shared" ca="1" si="126"/>
        <v>5.6427284670816091E-3</v>
      </c>
      <c r="CL85" s="3">
        <f t="shared" ca="1" si="127"/>
        <v>0</v>
      </c>
      <c r="CM85" s="3"/>
      <c r="CN85" s="1">
        <f t="shared" ca="1" si="128"/>
        <v>9.2493394290174287</v>
      </c>
      <c r="CO85" s="1">
        <f t="shared" ca="1" si="129"/>
        <v>0.3375587965098989</v>
      </c>
      <c r="CP85" s="1">
        <f t="shared" ca="1" si="130"/>
        <v>3</v>
      </c>
      <c r="CV85" s="1">
        <f t="shared" ca="1" si="131"/>
        <v>4.5385534536583121</v>
      </c>
      <c r="CW85" s="1">
        <f t="shared" ca="1" si="132"/>
        <v>1315</v>
      </c>
      <c r="CX85" s="1">
        <f t="shared" ca="1" si="133"/>
        <v>1.6511961277756533E-3</v>
      </c>
      <c r="DH85" s="1">
        <f t="shared" ca="1" si="134"/>
        <v>782</v>
      </c>
      <c r="DI85" s="1">
        <f t="shared" ca="1" si="135"/>
        <v>0.58358906273301314</v>
      </c>
      <c r="DJ85" s="1">
        <f t="shared" ca="1" si="136"/>
        <v>29</v>
      </c>
      <c r="DL85" s="1">
        <f t="shared" ca="1" si="137"/>
        <v>0.1494201723434376</v>
      </c>
      <c r="DM85" s="1">
        <f t="shared" ca="1" si="138"/>
        <v>203</v>
      </c>
      <c r="DN85" s="1">
        <f t="shared" ca="1" si="139"/>
        <v>5</v>
      </c>
    </row>
    <row r="86" spans="2:118" x14ac:dyDescent="0.25">
      <c r="B86">
        <f t="shared" ca="1" si="72"/>
        <v>830</v>
      </c>
      <c r="C86">
        <f t="shared" ca="1" si="73"/>
        <v>24</v>
      </c>
      <c r="D86">
        <f t="shared" ca="1" si="74"/>
        <v>1.2863476608711153E-2</v>
      </c>
      <c r="F86" s="1">
        <f t="shared" ca="1" si="75"/>
        <v>43</v>
      </c>
      <c r="G86" s="1">
        <f t="shared" ca="1" si="76"/>
        <v>17</v>
      </c>
      <c r="H86" s="1">
        <f t="shared" ca="1" si="77"/>
        <v>9</v>
      </c>
      <c r="I86" s="1"/>
      <c r="J86" s="1">
        <f t="shared" ca="1" si="78"/>
        <v>35</v>
      </c>
      <c r="K86" s="1">
        <f t="shared" ca="1" si="79"/>
        <v>2.2418612347970868</v>
      </c>
      <c r="L86" s="1">
        <f t="shared" ca="1" si="80"/>
        <v>13</v>
      </c>
      <c r="M86" s="1"/>
      <c r="N86" s="1">
        <f t="shared" ca="1" si="81"/>
        <v>857</v>
      </c>
      <c r="O86" s="1">
        <f t="shared" ca="1" si="82"/>
        <v>31</v>
      </c>
      <c r="P86" s="1"/>
      <c r="Q86" s="1">
        <f t="shared" ca="1" si="83"/>
        <v>3.3263755287259213</v>
      </c>
      <c r="R86" s="1">
        <f t="shared" ca="1" si="84"/>
        <v>339</v>
      </c>
      <c r="S86" s="1"/>
      <c r="T86" s="1">
        <f t="shared" ca="1" si="85"/>
        <v>0.15201361350875545</v>
      </c>
      <c r="U86" s="1">
        <f t="shared" ca="1" si="86"/>
        <v>77</v>
      </c>
      <c r="V86" s="1">
        <f t="shared" ca="1" si="87"/>
        <v>35</v>
      </c>
      <c r="W86" s="1"/>
      <c r="X86" s="1">
        <f t="shared" ca="1" si="88"/>
        <v>9.1360302104362976</v>
      </c>
      <c r="Y86" s="1">
        <f t="shared" ca="1" si="89"/>
        <v>0.83676292796087992</v>
      </c>
      <c r="Z86" s="1">
        <f t="shared" ca="1" si="90"/>
        <v>433</v>
      </c>
      <c r="AB86" s="1">
        <f t="shared" ca="1" si="91"/>
        <v>0.17900317818183928</v>
      </c>
      <c r="AC86" s="1">
        <f t="shared" ca="1" si="92"/>
        <v>356</v>
      </c>
      <c r="AD86" s="1">
        <f t="shared" ca="1" si="93"/>
        <v>7.9891378055919685E-3</v>
      </c>
      <c r="AE86" s="1"/>
      <c r="AF86" s="1">
        <f t="shared" ca="1" si="94"/>
        <v>0.82779000000594638</v>
      </c>
      <c r="AG86" s="1">
        <f t="shared" ca="1" si="95"/>
        <v>368</v>
      </c>
      <c r="AH86" s="1">
        <f t="shared" ca="1" si="96"/>
        <v>5.5224890381253512E-3</v>
      </c>
      <c r="AJ86" s="1">
        <f t="shared" ca="1" si="97"/>
        <v>6.6075838338102044E-2</v>
      </c>
      <c r="AK86" s="1">
        <f t="shared" ca="1" si="98"/>
        <v>9.916640432565297E-3</v>
      </c>
      <c r="AL86" s="1"/>
      <c r="AM86" s="1">
        <f t="shared" ca="1" si="99"/>
        <v>0.10221122510792877</v>
      </c>
      <c r="AN86" s="1">
        <f t="shared" ca="1" si="100"/>
        <v>39</v>
      </c>
      <c r="AO86" s="1">
        <f t="shared" ca="1" si="101"/>
        <v>9</v>
      </c>
      <c r="AQ86" s="1">
        <f t="shared" ca="1" si="102"/>
        <v>141</v>
      </c>
      <c r="AR86" s="1">
        <f t="shared" ca="1" si="103"/>
        <v>3</v>
      </c>
      <c r="AS86" s="1">
        <f t="shared" ca="1" si="104"/>
        <v>88</v>
      </c>
      <c r="AU86" s="1">
        <f t="shared" ca="1" si="105"/>
        <v>355</v>
      </c>
      <c r="AV86" s="1">
        <f t="shared" ca="1" si="106"/>
        <v>9</v>
      </c>
      <c r="AW86" s="1">
        <f t="shared" ca="1" si="107"/>
        <v>3.2055805589980044E-2</v>
      </c>
      <c r="AY86" s="1">
        <f t="shared" ca="1" si="108"/>
        <v>1.6070623509664852</v>
      </c>
      <c r="AZ86" s="1">
        <f t="shared" ca="1" si="109"/>
        <v>295</v>
      </c>
      <c r="BA86" s="1">
        <f t="shared" ca="1" si="110"/>
        <v>8.8361017244583725E-3</v>
      </c>
      <c r="BG86" s="1">
        <f t="shared" ca="1" si="111"/>
        <v>0.57206700236003849</v>
      </c>
      <c r="BH86" s="1">
        <f t="shared" ca="1" si="112"/>
        <v>0.97615607829611162</v>
      </c>
      <c r="BI86" s="1">
        <f t="shared" ca="1" si="113"/>
        <v>867</v>
      </c>
      <c r="BV86" s="1">
        <f t="shared" ca="1" si="114"/>
        <v>0.69551000605734725</v>
      </c>
      <c r="BW86" s="1">
        <f t="shared" ca="1" si="115"/>
        <v>844</v>
      </c>
      <c r="BX86" s="1">
        <f t="shared" ca="1" si="116"/>
        <v>7.9784318044167513E-3</v>
      </c>
      <c r="BY86" s="1">
        <f t="shared" ca="1" si="117"/>
        <v>5.9584671451316969E-2</v>
      </c>
      <c r="BZ86" s="1">
        <f t="shared" ca="1" si="118"/>
        <v>0.13618753645482884</v>
      </c>
      <c r="CB86" s="1">
        <f t="shared" ca="1" si="119"/>
        <v>78</v>
      </c>
      <c r="CC86" s="1">
        <f t="shared" ca="1" si="120"/>
        <v>6</v>
      </c>
      <c r="CD86" s="1">
        <f t="shared" ca="1" si="121"/>
        <v>0.23476304505436921</v>
      </c>
      <c r="CE86" s="1">
        <f t="shared" ca="1" si="122"/>
        <v>0.95862720932421253</v>
      </c>
      <c r="CF86" s="1">
        <f t="shared" ca="1" si="122"/>
        <v>0.88140105955942405</v>
      </c>
      <c r="CH86" s="3">
        <f t="shared" ca="1" si="123"/>
        <v>0.55043358245997664</v>
      </c>
      <c r="CI86" s="3">
        <f t="shared" ca="1" si="124"/>
        <v>0.34015796368154511</v>
      </c>
      <c r="CJ86" s="3">
        <f t="shared" ca="1" si="125"/>
        <v>944</v>
      </c>
      <c r="CK86" s="3">
        <f t="shared" ca="1" si="126"/>
        <v>2.8859444939976727E-3</v>
      </c>
      <c r="CL86" s="3">
        <f t="shared" ca="1" si="127"/>
        <v>1</v>
      </c>
      <c r="CM86" s="3"/>
      <c r="CN86" s="1">
        <f t="shared" ca="1" si="128"/>
        <v>3.9128350948147026</v>
      </c>
      <c r="CO86" s="1">
        <f t="shared" ca="1" si="129"/>
        <v>3.9753638566990601E-2</v>
      </c>
      <c r="CP86" s="1">
        <f t="shared" ca="1" si="130"/>
        <v>1</v>
      </c>
      <c r="CV86" s="1">
        <f t="shared" ca="1" si="131"/>
        <v>0.17013467108018904</v>
      </c>
      <c r="CW86" s="1">
        <f t="shared" ca="1" si="132"/>
        <v>1363</v>
      </c>
      <c r="CX86" s="1">
        <f t="shared" ca="1" si="133"/>
        <v>4.6735380238278033E-4</v>
      </c>
      <c r="DH86" s="1">
        <f t="shared" ca="1" si="134"/>
        <v>752</v>
      </c>
      <c r="DI86" s="1">
        <f t="shared" ca="1" si="135"/>
        <v>0.35702007073573516</v>
      </c>
      <c r="DJ86" s="1">
        <f t="shared" ca="1" si="136"/>
        <v>26</v>
      </c>
      <c r="DL86" s="1">
        <f t="shared" ca="1" si="137"/>
        <v>0.10075156799025811</v>
      </c>
      <c r="DM86" s="1">
        <f t="shared" ca="1" si="138"/>
        <v>161</v>
      </c>
      <c r="DN86" s="1">
        <f t="shared" ca="1" si="139"/>
        <v>1</v>
      </c>
    </row>
    <row r="87" spans="2:118" x14ac:dyDescent="0.25">
      <c r="B87">
        <f t="shared" ca="1" si="72"/>
        <v>932</v>
      </c>
      <c r="C87">
        <f t="shared" ca="1" si="73"/>
        <v>27</v>
      </c>
      <c r="D87">
        <f t="shared" ca="1" si="74"/>
        <v>0.19234672594178132</v>
      </c>
      <c r="F87" s="1">
        <f t="shared" ca="1" si="75"/>
        <v>16</v>
      </c>
      <c r="G87" s="1">
        <f t="shared" ca="1" si="76"/>
        <v>21</v>
      </c>
      <c r="H87" s="1">
        <f t="shared" ca="1" si="77"/>
        <v>6</v>
      </c>
      <c r="I87" s="1"/>
      <c r="J87" s="1">
        <f t="shared" ca="1" si="78"/>
        <v>6</v>
      </c>
      <c r="K87" s="1">
        <f t="shared" ca="1" si="79"/>
        <v>1.3605283381334534</v>
      </c>
      <c r="L87" s="1">
        <f t="shared" ca="1" si="80"/>
        <v>3</v>
      </c>
      <c r="M87" s="1"/>
      <c r="N87" s="1">
        <f t="shared" ca="1" si="81"/>
        <v>781</v>
      </c>
      <c r="O87" s="1">
        <f t="shared" ca="1" si="82"/>
        <v>40</v>
      </c>
      <c r="P87" s="1"/>
      <c r="Q87" s="1">
        <f t="shared" ca="1" si="83"/>
        <v>0.30326966285507539</v>
      </c>
      <c r="R87" s="1">
        <f t="shared" ca="1" si="84"/>
        <v>243</v>
      </c>
      <c r="S87" s="1"/>
      <c r="T87" s="1">
        <f t="shared" ca="1" si="85"/>
        <v>0.11430717001111634</v>
      </c>
      <c r="U87" s="1">
        <f t="shared" ca="1" si="86"/>
        <v>91</v>
      </c>
      <c r="V87" s="1">
        <f t="shared" ca="1" si="87"/>
        <v>5</v>
      </c>
      <c r="W87" s="1"/>
      <c r="X87" s="1">
        <f t="shared" ca="1" si="88"/>
        <v>5.2028774160684819</v>
      </c>
      <c r="Y87" s="1">
        <f t="shared" ca="1" si="89"/>
        <v>0.12824468464084171</v>
      </c>
      <c r="Z87" s="1">
        <f t="shared" ca="1" si="90"/>
        <v>1406</v>
      </c>
      <c r="AB87" s="1">
        <f t="shared" ca="1" si="91"/>
        <v>0.31053830326913434</v>
      </c>
      <c r="AC87" s="1">
        <f t="shared" ca="1" si="92"/>
        <v>227</v>
      </c>
      <c r="AD87" s="1">
        <f t="shared" ca="1" si="93"/>
        <v>7.3491486507165473E-3</v>
      </c>
      <c r="AE87" s="1"/>
      <c r="AF87" s="1">
        <f t="shared" ca="1" si="94"/>
        <v>0.26417600220215953</v>
      </c>
      <c r="AG87" s="1">
        <f t="shared" ca="1" si="95"/>
        <v>984</v>
      </c>
      <c r="AH87" s="1">
        <f t="shared" ca="1" si="96"/>
        <v>5.342471339569989E-3</v>
      </c>
      <c r="AJ87" s="1">
        <f t="shared" ca="1" si="97"/>
        <v>0.71741222933573179</v>
      </c>
      <c r="AK87" s="1">
        <f t="shared" ca="1" si="98"/>
        <v>2.4358659930669249E-3</v>
      </c>
      <c r="AL87" s="1"/>
      <c r="AM87" s="1">
        <f t="shared" ca="1" si="99"/>
        <v>6.2518748288700757E-2</v>
      </c>
      <c r="AN87" s="1">
        <f t="shared" ca="1" si="100"/>
        <v>17</v>
      </c>
      <c r="AO87" s="1">
        <f t="shared" ca="1" si="101"/>
        <v>19</v>
      </c>
      <c r="AQ87" s="1">
        <f t="shared" ca="1" si="102"/>
        <v>185</v>
      </c>
      <c r="AR87" s="1">
        <f t="shared" ca="1" si="103"/>
        <v>0</v>
      </c>
      <c r="AS87" s="1">
        <f t="shared" ca="1" si="104"/>
        <v>53</v>
      </c>
      <c r="AU87" s="1">
        <f t="shared" ca="1" si="105"/>
        <v>188</v>
      </c>
      <c r="AV87" s="1">
        <f t="shared" ca="1" si="106"/>
        <v>7</v>
      </c>
      <c r="AW87" s="1">
        <f t="shared" ca="1" si="107"/>
        <v>0.19411716680275176</v>
      </c>
      <c r="AY87" s="1">
        <f t="shared" ca="1" si="108"/>
        <v>1.1277892285920652</v>
      </c>
      <c r="AZ87" s="1">
        <f t="shared" ca="1" si="109"/>
        <v>111</v>
      </c>
      <c r="BA87" s="1">
        <f t="shared" ca="1" si="110"/>
        <v>7.25614868864466E-3</v>
      </c>
      <c r="BG87" s="1">
        <f t="shared" ca="1" si="111"/>
        <v>8.7643488440755424E-2</v>
      </c>
      <c r="BH87" s="1">
        <f t="shared" ca="1" si="112"/>
        <v>0.91945792618047995</v>
      </c>
      <c r="BI87" s="1">
        <f t="shared" ca="1" si="113"/>
        <v>578</v>
      </c>
      <c r="BV87" s="1">
        <f t="shared" ca="1" si="114"/>
        <v>0.42255719825300903</v>
      </c>
      <c r="BW87" s="1">
        <f t="shared" ca="1" si="115"/>
        <v>742</v>
      </c>
      <c r="BX87" s="1">
        <f t="shared" ca="1" si="116"/>
        <v>8.7279762072430735E-3</v>
      </c>
      <c r="BY87" s="1">
        <f t="shared" ca="1" si="117"/>
        <v>5.3495574465179552E-2</v>
      </c>
      <c r="BZ87" s="1">
        <f t="shared" ca="1" si="118"/>
        <v>0.8819353579330792</v>
      </c>
      <c r="CB87" s="1">
        <f t="shared" ca="1" si="119"/>
        <v>223</v>
      </c>
      <c r="CC87" s="1">
        <f t="shared" ca="1" si="120"/>
        <v>13</v>
      </c>
      <c r="CD87" s="1">
        <f t="shared" ca="1" si="121"/>
        <v>3.4548146252882175E-2</v>
      </c>
      <c r="CE87" s="1">
        <f t="shared" ca="1" si="122"/>
        <v>0.73254603614822955</v>
      </c>
      <c r="CF87" s="1">
        <f t="shared" ca="1" si="122"/>
        <v>0.51540733865502886</v>
      </c>
      <c r="CH87" s="3">
        <f t="shared" ca="1" si="123"/>
        <v>0.15815731641611816</v>
      </c>
      <c r="CI87" s="3">
        <f t="shared" ca="1" si="124"/>
        <v>0.358416388305839</v>
      </c>
      <c r="CJ87" s="3">
        <f t="shared" ca="1" si="125"/>
        <v>1617</v>
      </c>
      <c r="CK87" s="3">
        <f t="shared" ca="1" si="126"/>
        <v>9.6093854907402451E-3</v>
      </c>
      <c r="CL87" s="3">
        <f t="shared" ca="1" si="127"/>
        <v>1</v>
      </c>
      <c r="CM87" s="3"/>
      <c r="CN87" s="1">
        <f t="shared" ca="1" si="128"/>
        <v>8.1497481816575288</v>
      </c>
      <c r="CO87" s="1">
        <f t="shared" ca="1" si="129"/>
        <v>8.6414234652299401E-2</v>
      </c>
      <c r="CP87" s="1">
        <f t="shared" ca="1" si="130"/>
        <v>2</v>
      </c>
      <c r="CV87" s="1">
        <f t="shared" ca="1" si="131"/>
        <v>9.1811500406479283</v>
      </c>
      <c r="CW87" s="1">
        <f t="shared" ca="1" si="132"/>
        <v>1395</v>
      </c>
      <c r="CX87" s="1">
        <f t="shared" ca="1" si="133"/>
        <v>2.6848174293698807E-3</v>
      </c>
      <c r="DH87" s="1">
        <f t="shared" ca="1" si="134"/>
        <v>818</v>
      </c>
      <c r="DI87" s="1">
        <f t="shared" ca="1" si="135"/>
        <v>0.8235882215653636</v>
      </c>
      <c r="DJ87" s="1">
        <f t="shared" ca="1" si="136"/>
        <v>4</v>
      </c>
      <c r="DL87" s="1">
        <f t="shared" ca="1" si="137"/>
        <v>0.10478863174004795</v>
      </c>
      <c r="DM87" s="1">
        <f t="shared" ca="1" si="138"/>
        <v>300</v>
      </c>
      <c r="DN87" s="1">
        <f t="shared" ca="1" si="139"/>
        <v>4</v>
      </c>
    </row>
    <row r="88" spans="2:118" x14ac:dyDescent="0.25">
      <c r="B88">
        <f t="shared" ca="1" si="72"/>
        <v>507</v>
      </c>
      <c r="C88">
        <f t="shared" ca="1" si="73"/>
        <v>20</v>
      </c>
      <c r="D88">
        <f t="shared" ca="1" si="74"/>
        <v>1.3545463375390025E-2</v>
      </c>
      <c r="F88" s="1">
        <f t="shared" ca="1" si="75"/>
        <v>20</v>
      </c>
      <c r="G88" s="1">
        <f t="shared" ca="1" si="76"/>
        <v>9</v>
      </c>
      <c r="H88" s="1">
        <f t="shared" ca="1" si="77"/>
        <v>8</v>
      </c>
      <c r="I88" s="1"/>
      <c r="J88" s="1">
        <f t="shared" ca="1" si="78"/>
        <v>29</v>
      </c>
      <c r="K88" s="1">
        <f t="shared" ca="1" si="79"/>
        <v>2.9379468957862276</v>
      </c>
      <c r="L88" s="1">
        <f t="shared" ca="1" si="80"/>
        <v>7</v>
      </c>
      <c r="M88" s="1"/>
      <c r="N88" s="1">
        <f t="shared" ca="1" si="81"/>
        <v>210</v>
      </c>
      <c r="O88" s="1">
        <f t="shared" ca="1" si="82"/>
        <v>38</v>
      </c>
      <c r="P88" s="1"/>
      <c r="Q88" s="1">
        <f t="shared" ca="1" si="83"/>
        <v>4.0794589117550535</v>
      </c>
      <c r="R88" s="1">
        <f t="shared" ca="1" si="84"/>
        <v>502</v>
      </c>
      <c r="S88" s="1"/>
      <c r="T88" s="1">
        <f t="shared" ca="1" si="85"/>
        <v>0.17129444347260231</v>
      </c>
      <c r="U88" s="1">
        <f t="shared" ca="1" si="86"/>
        <v>263</v>
      </c>
      <c r="V88" s="1">
        <f t="shared" ca="1" si="87"/>
        <v>50</v>
      </c>
      <c r="W88" s="1"/>
      <c r="X88" s="1">
        <f t="shared" ca="1" si="88"/>
        <v>9.9610839008007765</v>
      </c>
      <c r="Y88" s="1">
        <f t="shared" ca="1" si="89"/>
        <v>8.1568809579996224E-2</v>
      </c>
      <c r="Z88" s="1">
        <f t="shared" ca="1" si="90"/>
        <v>847</v>
      </c>
      <c r="AB88" s="1">
        <f t="shared" ca="1" si="91"/>
        <v>0.36932514867584937</v>
      </c>
      <c r="AC88" s="1">
        <f t="shared" ca="1" si="92"/>
        <v>259</v>
      </c>
      <c r="AD88" s="1">
        <f t="shared" ca="1" si="93"/>
        <v>6.9604265200110529E-3</v>
      </c>
      <c r="AE88" s="1"/>
      <c r="AF88" s="1">
        <f t="shared" ca="1" si="94"/>
        <v>0.22021687176800944</v>
      </c>
      <c r="AG88" s="1">
        <f t="shared" ca="1" si="95"/>
        <v>300</v>
      </c>
      <c r="AH88" s="1">
        <f t="shared" ca="1" si="96"/>
        <v>4.159867118924237E-3</v>
      </c>
      <c r="AJ88" s="1">
        <f t="shared" ca="1" si="97"/>
        <v>0.27750591024306281</v>
      </c>
      <c r="AK88" s="1">
        <f t="shared" ca="1" si="98"/>
        <v>9.7439462644611217E-4</v>
      </c>
      <c r="AL88" s="1"/>
      <c r="AM88" s="1">
        <f t="shared" ca="1" si="99"/>
        <v>0.1483263618388167</v>
      </c>
      <c r="AN88" s="1">
        <f t="shared" ca="1" si="100"/>
        <v>68</v>
      </c>
      <c r="AO88" s="1">
        <f t="shared" ca="1" si="101"/>
        <v>6</v>
      </c>
      <c r="AQ88" s="1">
        <f t="shared" ca="1" si="102"/>
        <v>142</v>
      </c>
      <c r="AR88" s="1">
        <f t="shared" ca="1" si="103"/>
        <v>10</v>
      </c>
      <c r="AS88" s="1">
        <f t="shared" ca="1" si="104"/>
        <v>14</v>
      </c>
      <c r="AU88" s="1">
        <f t="shared" ca="1" si="105"/>
        <v>52</v>
      </c>
      <c r="AV88" s="1">
        <f t="shared" ca="1" si="106"/>
        <v>10</v>
      </c>
      <c r="AW88" s="1">
        <f t="shared" ca="1" si="107"/>
        <v>0.11150538400109176</v>
      </c>
      <c r="AY88" s="1">
        <f t="shared" ca="1" si="108"/>
        <v>1.1396461908486875</v>
      </c>
      <c r="AZ88" s="1">
        <f t="shared" ca="1" si="109"/>
        <v>194</v>
      </c>
      <c r="BA88" s="1">
        <f t="shared" ca="1" si="110"/>
        <v>8.9914124163756829E-3</v>
      </c>
      <c r="BG88" s="1">
        <f t="shared" ca="1" si="111"/>
        <v>0.95001489866933608</v>
      </c>
      <c r="BH88" s="1">
        <f t="shared" ca="1" si="112"/>
        <v>0.93678637511272389</v>
      </c>
      <c r="BI88" s="1">
        <f t="shared" ca="1" si="113"/>
        <v>354</v>
      </c>
      <c r="BV88" s="1">
        <f t="shared" ca="1" si="114"/>
        <v>0.92341633434201442</v>
      </c>
      <c r="BW88" s="1">
        <f t="shared" ca="1" si="115"/>
        <v>123</v>
      </c>
      <c r="BX88" s="1">
        <f t="shared" ca="1" si="116"/>
        <v>9.3942783433031141E-3</v>
      </c>
      <c r="BY88" s="1">
        <f t="shared" ca="1" si="117"/>
        <v>8.7352591460099355E-2</v>
      </c>
      <c r="BZ88" s="1">
        <f t="shared" ca="1" si="118"/>
        <v>0.49538332349100678</v>
      </c>
      <c r="CB88" s="1">
        <f t="shared" ca="1" si="119"/>
        <v>269</v>
      </c>
      <c r="CC88" s="1">
        <f t="shared" ca="1" si="120"/>
        <v>11</v>
      </c>
      <c r="CD88" s="1">
        <f t="shared" ca="1" si="121"/>
        <v>4.7525391358231729E-2</v>
      </c>
      <c r="CE88" s="1">
        <f t="shared" ca="1" si="122"/>
        <v>0.84979180468853477</v>
      </c>
      <c r="CF88" s="1">
        <f t="shared" ca="1" si="122"/>
        <v>0.83615910154576878</v>
      </c>
      <c r="CH88" s="3">
        <f t="shared" ca="1" si="123"/>
        <v>0.21180942719972012</v>
      </c>
      <c r="CI88" s="3">
        <f t="shared" ca="1" si="124"/>
        <v>0.94767125475585323</v>
      </c>
      <c r="CJ88" s="3">
        <f t="shared" ca="1" si="125"/>
        <v>1389</v>
      </c>
      <c r="CK88" s="3">
        <f t="shared" ca="1" si="126"/>
        <v>3.9162106390810822E-3</v>
      </c>
      <c r="CL88" s="3">
        <f t="shared" ca="1" si="127"/>
        <v>0</v>
      </c>
      <c r="CM88" s="3"/>
      <c r="CN88" s="1">
        <f t="shared" ca="1" si="128"/>
        <v>10.74686478872562</v>
      </c>
      <c r="CO88" s="1">
        <f t="shared" ca="1" si="129"/>
        <v>0.3112784200949032</v>
      </c>
      <c r="CP88" s="1">
        <f t="shared" ca="1" si="130"/>
        <v>4</v>
      </c>
      <c r="CV88" s="1">
        <f t="shared" ca="1" si="131"/>
        <v>4.1704965894104991</v>
      </c>
      <c r="CW88" s="1">
        <f t="shared" ca="1" si="132"/>
        <v>900</v>
      </c>
      <c r="CX88" s="1">
        <f t="shared" ca="1" si="133"/>
        <v>1.5963193434384657E-4</v>
      </c>
      <c r="DH88" s="1">
        <f t="shared" ca="1" si="134"/>
        <v>326</v>
      </c>
      <c r="DI88" s="1">
        <f t="shared" ca="1" si="135"/>
        <v>0.50744325539727497</v>
      </c>
      <c r="DJ88" s="1">
        <f t="shared" ca="1" si="136"/>
        <v>13</v>
      </c>
      <c r="DL88" s="1">
        <f t="shared" ca="1" si="137"/>
        <v>8.5716988560513588E-2</v>
      </c>
      <c r="DM88" s="1">
        <f t="shared" ca="1" si="138"/>
        <v>78</v>
      </c>
      <c r="DN88" s="1">
        <f t="shared" ca="1" si="139"/>
        <v>7</v>
      </c>
    </row>
    <row r="89" spans="2:118" x14ac:dyDescent="0.25">
      <c r="B89">
        <f t="shared" ca="1" si="72"/>
        <v>364</v>
      </c>
      <c r="C89">
        <f t="shared" ca="1" si="73"/>
        <v>15</v>
      </c>
      <c r="D89">
        <f t="shared" ca="1" si="74"/>
        <v>0.26811489335649724</v>
      </c>
      <c r="F89" s="1">
        <f t="shared" ca="1" si="75"/>
        <v>45</v>
      </c>
      <c r="G89" s="1">
        <f t="shared" ca="1" si="76"/>
        <v>11</v>
      </c>
      <c r="H89" s="1">
        <f t="shared" ca="1" si="77"/>
        <v>14</v>
      </c>
      <c r="I89" s="1"/>
      <c r="J89" s="1">
        <f t="shared" ca="1" si="78"/>
        <v>12</v>
      </c>
      <c r="K89" s="1">
        <f t="shared" ca="1" si="79"/>
        <v>2.3239710337403641</v>
      </c>
      <c r="L89" s="1">
        <f t="shared" ca="1" si="80"/>
        <v>5</v>
      </c>
      <c r="M89" s="1"/>
      <c r="N89" s="1">
        <f t="shared" ca="1" si="81"/>
        <v>132</v>
      </c>
      <c r="O89" s="1">
        <f t="shared" ca="1" si="82"/>
        <v>10</v>
      </c>
      <c r="P89" s="1"/>
      <c r="Q89" s="1">
        <f t="shared" ca="1" si="83"/>
        <v>4.3737427241596221</v>
      </c>
      <c r="R89" s="1">
        <f t="shared" ca="1" si="84"/>
        <v>493</v>
      </c>
      <c r="S89" s="1"/>
      <c r="T89" s="1">
        <f t="shared" ca="1" si="85"/>
        <v>8.4254981634348872E-2</v>
      </c>
      <c r="U89" s="1">
        <f t="shared" ca="1" si="86"/>
        <v>147</v>
      </c>
      <c r="V89" s="1">
        <f t="shared" ca="1" si="87"/>
        <v>49</v>
      </c>
      <c r="W89" s="1"/>
      <c r="X89" s="1">
        <f t="shared" ca="1" si="88"/>
        <v>0.15017458583515361</v>
      </c>
      <c r="Y89" s="1">
        <f t="shared" ca="1" si="89"/>
        <v>0.26994036753748268</v>
      </c>
      <c r="Z89" s="1">
        <f t="shared" ca="1" si="90"/>
        <v>1830</v>
      </c>
      <c r="AB89" s="1">
        <f t="shared" ca="1" si="91"/>
        <v>0.28666408089079271</v>
      </c>
      <c r="AC89" s="1">
        <f t="shared" ca="1" si="92"/>
        <v>723</v>
      </c>
      <c r="AD89" s="1">
        <f t="shared" ca="1" si="93"/>
        <v>1.1474395298508467E-3</v>
      </c>
      <c r="AE89" s="1"/>
      <c r="AF89" s="1">
        <f t="shared" ca="1" si="94"/>
        <v>0.5348400481094141</v>
      </c>
      <c r="AG89" s="1">
        <f t="shared" ca="1" si="95"/>
        <v>995</v>
      </c>
      <c r="AH89" s="1">
        <f t="shared" ca="1" si="96"/>
        <v>7.5454647472961564E-3</v>
      </c>
      <c r="AJ89" s="1">
        <f t="shared" ca="1" si="97"/>
        <v>0.34647960941685041</v>
      </c>
      <c r="AK89" s="1">
        <f t="shared" ca="1" si="98"/>
        <v>4.0388221741009004E-3</v>
      </c>
      <c r="AL89" s="1"/>
      <c r="AM89" s="1">
        <f t="shared" ca="1" si="99"/>
        <v>9.4074404248474214E-2</v>
      </c>
      <c r="AN89" s="1">
        <f t="shared" ca="1" si="100"/>
        <v>67</v>
      </c>
      <c r="AO89" s="1">
        <f t="shared" ca="1" si="101"/>
        <v>19</v>
      </c>
      <c r="AQ89" s="1">
        <f t="shared" ca="1" si="102"/>
        <v>76</v>
      </c>
      <c r="AR89" s="1">
        <f t="shared" ca="1" si="103"/>
        <v>1</v>
      </c>
      <c r="AS89" s="1">
        <f t="shared" ca="1" si="104"/>
        <v>89</v>
      </c>
      <c r="AU89" s="1">
        <f t="shared" ca="1" si="105"/>
        <v>358</v>
      </c>
      <c r="AV89" s="1">
        <f t="shared" ca="1" si="106"/>
        <v>4</v>
      </c>
      <c r="AW89" s="1">
        <f t="shared" ca="1" si="107"/>
        <v>0.18983275759251445</v>
      </c>
      <c r="AY89" s="1">
        <f t="shared" ca="1" si="108"/>
        <v>1.3451219947283699</v>
      </c>
      <c r="AZ89" s="1">
        <f t="shared" ca="1" si="109"/>
        <v>481</v>
      </c>
      <c r="BA89" s="1">
        <f t="shared" ca="1" si="110"/>
        <v>6.7677978204419504E-3</v>
      </c>
      <c r="BG89" s="1">
        <f t="shared" ca="1" si="111"/>
        <v>0.88651780319031226</v>
      </c>
      <c r="BH89" s="1">
        <f t="shared" ca="1" si="112"/>
        <v>0.70999894168093713</v>
      </c>
      <c r="BI89" s="1">
        <f t="shared" ca="1" si="113"/>
        <v>978</v>
      </c>
      <c r="BV89" s="1">
        <f t="shared" ca="1" si="114"/>
        <v>0.64300996395983079</v>
      </c>
      <c r="BW89" s="1">
        <f t="shared" ca="1" si="115"/>
        <v>650</v>
      </c>
      <c r="BX89" s="1">
        <f t="shared" ca="1" si="116"/>
        <v>7.1236478469345636E-3</v>
      </c>
      <c r="BY89" s="1">
        <f t="shared" ca="1" si="117"/>
        <v>6.3242028525129737E-2</v>
      </c>
      <c r="BZ89" s="1">
        <f t="shared" ca="1" si="118"/>
        <v>0.19171473903534597</v>
      </c>
      <c r="CB89" s="1">
        <f t="shared" ca="1" si="119"/>
        <v>132</v>
      </c>
      <c r="CC89" s="1">
        <f t="shared" ca="1" si="120"/>
        <v>14</v>
      </c>
      <c r="CD89" s="1">
        <f t="shared" ca="1" si="121"/>
        <v>0.17411994527646749</v>
      </c>
      <c r="CE89" s="1">
        <f t="shared" ca="1" si="122"/>
        <v>0.76593516967285202</v>
      </c>
      <c r="CF89" s="1">
        <f t="shared" ca="1" si="122"/>
        <v>0.85871835128393126</v>
      </c>
      <c r="CH89" s="3">
        <f t="shared" ca="1" si="123"/>
        <v>0.14033067757120235</v>
      </c>
      <c r="CI89" s="3">
        <f t="shared" ca="1" si="124"/>
        <v>0.18895380580993115</v>
      </c>
      <c r="CJ89" s="3">
        <f t="shared" ca="1" si="125"/>
        <v>777</v>
      </c>
      <c r="CK89" s="3">
        <f t="shared" ca="1" si="126"/>
        <v>2.1383392392570421E-3</v>
      </c>
      <c r="CL89" s="3">
        <f t="shared" ca="1" si="127"/>
        <v>0</v>
      </c>
      <c r="CM89" s="3"/>
      <c r="CN89" s="1">
        <f t="shared" ca="1" si="128"/>
        <v>17.029746180075929</v>
      </c>
      <c r="CO89" s="1">
        <f t="shared" ca="1" si="129"/>
        <v>0.1052773290979418</v>
      </c>
      <c r="CP89" s="1">
        <f t="shared" ca="1" si="130"/>
        <v>5</v>
      </c>
      <c r="CV89" s="1">
        <f t="shared" ca="1" si="131"/>
        <v>2.8191448812562463</v>
      </c>
      <c r="CW89" s="1">
        <f t="shared" ca="1" si="132"/>
        <v>674</v>
      </c>
      <c r="CX89" s="1">
        <f t="shared" ca="1" si="133"/>
        <v>6.9102164576350592E-4</v>
      </c>
      <c r="DH89" s="1">
        <f t="shared" ca="1" si="134"/>
        <v>261</v>
      </c>
      <c r="DI89" s="1">
        <f t="shared" ca="1" si="135"/>
        <v>0.72418563117638246</v>
      </c>
      <c r="DJ89" s="1">
        <f t="shared" ca="1" si="136"/>
        <v>28</v>
      </c>
      <c r="DL89" s="1">
        <f t="shared" ca="1" si="137"/>
        <v>1.2604680400392733E-2</v>
      </c>
      <c r="DM89" s="1">
        <f t="shared" ca="1" si="138"/>
        <v>125</v>
      </c>
      <c r="DN89" s="1">
        <f t="shared" ca="1" si="139"/>
        <v>3</v>
      </c>
    </row>
    <row r="90" spans="2:118" x14ac:dyDescent="0.25">
      <c r="B90">
        <f t="shared" ca="1" si="72"/>
        <v>596</v>
      </c>
      <c r="C90">
        <f t="shared" ca="1" si="73"/>
        <v>40</v>
      </c>
      <c r="D90">
        <f t="shared" ca="1" si="74"/>
        <v>7.9204808939351015E-2</v>
      </c>
      <c r="F90" s="1">
        <f t="shared" ca="1" si="75"/>
        <v>12</v>
      </c>
      <c r="G90" s="1">
        <f t="shared" ca="1" si="76"/>
        <v>13</v>
      </c>
      <c r="H90" s="1">
        <f t="shared" ca="1" si="77"/>
        <v>15</v>
      </c>
      <c r="I90" s="1"/>
      <c r="J90" s="1">
        <f t="shared" ca="1" si="78"/>
        <v>10</v>
      </c>
      <c r="K90" s="1">
        <f t="shared" ca="1" si="79"/>
        <v>2.9397826511363263</v>
      </c>
      <c r="L90" s="1">
        <f t="shared" ca="1" si="80"/>
        <v>28</v>
      </c>
      <c r="M90" s="1"/>
      <c r="N90" s="1">
        <f t="shared" ca="1" si="81"/>
        <v>305</v>
      </c>
      <c r="O90" s="1">
        <f t="shared" ca="1" si="82"/>
        <v>37</v>
      </c>
      <c r="P90" s="1"/>
      <c r="Q90" s="1">
        <f t="shared" ca="1" si="83"/>
        <v>1.7156239220518918</v>
      </c>
      <c r="R90" s="1">
        <f t="shared" ca="1" si="84"/>
        <v>561</v>
      </c>
      <c r="S90" s="1"/>
      <c r="T90" s="1">
        <f t="shared" ca="1" si="85"/>
        <v>1.4805453980781237E-2</v>
      </c>
      <c r="U90" s="1">
        <f t="shared" ca="1" si="86"/>
        <v>386</v>
      </c>
      <c r="V90" s="1">
        <f t="shared" ca="1" si="87"/>
        <v>19</v>
      </c>
      <c r="W90" s="1"/>
      <c r="X90" s="1">
        <f t="shared" ca="1" si="88"/>
        <v>9.7439502986388185</v>
      </c>
      <c r="Y90" s="1">
        <f t="shared" ca="1" si="89"/>
        <v>0.95603917079030543</v>
      </c>
      <c r="Z90" s="1">
        <f t="shared" ca="1" si="90"/>
        <v>1223</v>
      </c>
      <c r="AB90" s="1">
        <f t="shared" ca="1" si="91"/>
        <v>0.13566963901846107</v>
      </c>
      <c r="AC90" s="1">
        <f t="shared" ca="1" si="92"/>
        <v>214</v>
      </c>
      <c r="AD90" s="1">
        <f t="shared" ca="1" si="93"/>
        <v>4.6278188760656737E-3</v>
      </c>
      <c r="AE90" s="1"/>
      <c r="AF90" s="1">
        <f t="shared" ca="1" si="94"/>
        <v>0.74203423886055342</v>
      </c>
      <c r="AG90" s="1">
        <f t="shared" ca="1" si="95"/>
        <v>129</v>
      </c>
      <c r="AH90" s="1">
        <f t="shared" ca="1" si="96"/>
        <v>8.6777888646626857E-3</v>
      </c>
      <c r="AJ90" s="1">
        <f t="shared" ca="1" si="97"/>
        <v>0.2058747501217556</v>
      </c>
      <c r="AK90" s="1">
        <f t="shared" ca="1" si="98"/>
        <v>5.3499996433026492E-3</v>
      </c>
      <c r="AL90" s="1"/>
      <c r="AM90" s="1">
        <f t="shared" ca="1" si="99"/>
        <v>0.11905717695964463</v>
      </c>
      <c r="AN90" s="1">
        <f t="shared" ca="1" si="100"/>
        <v>80</v>
      </c>
      <c r="AO90" s="1">
        <f t="shared" ca="1" si="101"/>
        <v>1</v>
      </c>
      <c r="AQ90" s="1">
        <f t="shared" ca="1" si="102"/>
        <v>149</v>
      </c>
      <c r="AR90" s="1">
        <f t="shared" ca="1" si="103"/>
        <v>1</v>
      </c>
      <c r="AS90" s="1">
        <f t="shared" ca="1" si="104"/>
        <v>21</v>
      </c>
      <c r="AU90" s="1">
        <f t="shared" ca="1" si="105"/>
        <v>267</v>
      </c>
      <c r="AV90" s="1">
        <f t="shared" ca="1" si="106"/>
        <v>6</v>
      </c>
      <c r="AW90" s="1">
        <f t="shared" ca="1" si="107"/>
        <v>0.12388426643468703</v>
      </c>
      <c r="AY90" s="1">
        <f t="shared" ca="1" si="108"/>
        <v>1.1376448341150474</v>
      </c>
      <c r="AZ90" s="1">
        <f t="shared" ca="1" si="109"/>
        <v>81</v>
      </c>
      <c r="BA90" s="1">
        <f t="shared" ca="1" si="110"/>
        <v>6.8818898595021357E-3</v>
      </c>
      <c r="BG90" s="1">
        <f t="shared" ca="1" si="111"/>
        <v>0.44787196452239436</v>
      </c>
      <c r="BH90" s="1">
        <f t="shared" ca="1" si="112"/>
        <v>1.8740815475411954E-2</v>
      </c>
      <c r="BI90" s="1">
        <f t="shared" ca="1" si="113"/>
        <v>799</v>
      </c>
      <c r="BV90" s="1">
        <f t="shared" ca="1" si="114"/>
        <v>0.92900135478758739</v>
      </c>
      <c r="BW90" s="1">
        <f t="shared" ca="1" si="115"/>
        <v>310</v>
      </c>
      <c r="BX90" s="1">
        <f t="shared" ca="1" si="116"/>
        <v>6.0394330017557651E-3</v>
      </c>
      <c r="BY90" s="1">
        <f t="shared" ca="1" si="117"/>
        <v>1.7896739839994281E-2</v>
      </c>
      <c r="BZ90" s="1">
        <f t="shared" ca="1" si="118"/>
        <v>0.33159210203716394</v>
      </c>
      <c r="CB90" s="1">
        <f t="shared" ca="1" si="119"/>
        <v>256</v>
      </c>
      <c r="CC90" s="1">
        <f t="shared" ca="1" si="120"/>
        <v>7</v>
      </c>
      <c r="CD90" s="1">
        <f t="shared" ca="1" si="121"/>
        <v>0.17024556683973566</v>
      </c>
      <c r="CE90" s="1">
        <f t="shared" ca="1" si="122"/>
        <v>0.66037687378961574</v>
      </c>
      <c r="CF90" s="1">
        <f t="shared" ca="1" si="122"/>
        <v>0.90257553904218502</v>
      </c>
      <c r="CH90" s="3">
        <f t="shared" ca="1" si="123"/>
        <v>0.50201435535429528</v>
      </c>
      <c r="CI90" s="3">
        <f t="shared" ca="1" si="124"/>
        <v>0.75857924202207272</v>
      </c>
      <c r="CJ90" s="3">
        <f t="shared" ca="1" si="125"/>
        <v>1556</v>
      </c>
      <c r="CK90" s="3">
        <f t="shared" ca="1" si="126"/>
        <v>5.5656440615013626E-4</v>
      </c>
      <c r="CL90" s="3">
        <f t="shared" ca="1" si="127"/>
        <v>1</v>
      </c>
      <c r="CM90" s="3"/>
      <c r="CN90" s="1">
        <f t="shared" ca="1" si="128"/>
        <v>3.7382271068616717</v>
      </c>
      <c r="CO90" s="1">
        <f t="shared" ca="1" si="129"/>
        <v>0.16351412224517783</v>
      </c>
      <c r="CP90" s="1">
        <f t="shared" ca="1" si="130"/>
        <v>3</v>
      </c>
      <c r="CV90" s="1">
        <f t="shared" ca="1" si="131"/>
        <v>8.7199480643025797</v>
      </c>
      <c r="CW90" s="1">
        <f t="shared" ca="1" si="132"/>
        <v>477</v>
      </c>
      <c r="CX90" s="1">
        <f t="shared" ca="1" si="133"/>
        <v>8.0693411518231693E-3</v>
      </c>
      <c r="DH90" s="1">
        <f t="shared" ca="1" si="134"/>
        <v>650</v>
      </c>
      <c r="DI90" s="1">
        <f t="shared" ca="1" si="135"/>
        <v>0.94812396639545093</v>
      </c>
      <c r="DJ90" s="1">
        <f t="shared" ca="1" si="136"/>
        <v>21</v>
      </c>
      <c r="DL90" s="1">
        <f t="shared" ca="1" si="137"/>
        <v>8.2701633163110397E-2</v>
      </c>
      <c r="DM90" s="1">
        <f t="shared" ca="1" si="138"/>
        <v>86</v>
      </c>
      <c r="DN90" s="1">
        <f t="shared" ca="1" si="139"/>
        <v>7</v>
      </c>
    </row>
    <row r="91" spans="2:118" x14ac:dyDescent="0.25">
      <c r="B91">
        <f t="shared" ca="1" si="72"/>
        <v>588</v>
      </c>
      <c r="C91">
        <f t="shared" ca="1" si="73"/>
        <v>2</v>
      </c>
      <c r="D91">
        <f t="shared" ca="1" si="74"/>
        <v>3.7688679517551518E-2</v>
      </c>
      <c r="F91" s="1">
        <f t="shared" ca="1" si="75"/>
        <v>12</v>
      </c>
      <c r="G91" s="1">
        <f t="shared" ca="1" si="76"/>
        <v>9</v>
      </c>
      <c r="H91" s="1">
        <f t="shared" ca="1" si="77"/>
        <v>4</v>
      </c>
      <c r="I91" s="1"/>
      <c r="J91" s="1">
        <f t="shared" ca="1" si="78"/>
        <v>39</v>
      </c>
      <c r="K91" s="1">
        <f t="shared" ca="1" si="79"/>
        <v>2.446234825205444</v>
      </c>
      <c r="L91" s="1">
        <f t="shared" ca="1" si="80"/>
        <v>15</v>
      </c>
      <c r="M91" s="1"/>
      <c r="N91" s="1">
        <f t="shared" ca="1" si="81"/>
        <v>471</v>
      </c>
      <c r="O91" s="1">
        <f t="shared" ca="1" si="82"/>
        <v>39</v>
      </c>
      <c r="P91" s="1"/>
      <c r="Q91" s="1">
        <f t="shared" ca="1" si="83"/>
        <v>0.18938747270701398</v>
      </c>
      <c r="R91" s="1">
        <f t="shared" ca="1" si="84"/>
        <v>685</v>
      </c>
      <c r="S91" s="1"/>
      <c r="T91" s="1">
        <f t="shared" ca="1" si="85"/>
        <v>0.19313031912164347</v>
      </c>
      <c r="U91" s="1">
        <f t="shared" ca="1" si="86"/>
        <v>190</v>
      </c>
      <c r="V91" s="1">
        <f t="shared" ca="1" si="87"/>
        <v>11</v>
      </c>
      <c r="W91" s="1"/>
      <c r="X91" s="1">
        <f t="shared" ca="1" si="88"/>
        <v>4.9662261643666996</v>
      </c>
      <c r="Y91" s="1">
        <f t="shared" ca="1" si="89"/>
        <v>0.61277075279224069</v>
      </c>
      <c r="Z91" s="1">
        <f t="shared" ca="1" si="90"/>
        <v>954</v>
      </c>
      <c r="AB91" s="1">
        <f t="shared" ca="1" si="91"/>
        <v>0.38504775493036159</v>
      </c>
      <c r="AC91" s="1">
        <f t="shared" ca="1" si="92"/>
        <v>569</v>
      </c>
      <c r="AD91" s="1">
        <f t="shared" ca="1" si="93"/>
        <v>3.9089901770627527E-3</v>
      </c>
      <c r="AE91" s="1"/>
      <c r="AF91" s="1">
        <f t="shared" ca="1" si="94"/>
        <v>0.86660167338834937</v>
      </c>
      <c r="AG91" s="1">
        <f t="shared" ca="1" si="95"/>
        <v>489</v>
      </c>
      <c r="AH91" s="1">
        <f t="shared" ca="1" si="96"/>
        <v>4.2695739041034922E-3</v>
      </c>
      <c r="AJ91" s="1">
        <f t="shared" ca="1" si="97"/>
        <v>0.79579009366388853</v>
      </c>
      <c r="AK91" s="1">
        <f t="shared" ca="1" si="98"/>
        <v>7.2947342283838264E-3</v>
      </c>
      <c r="AL91" s="1"/>
      <c r="AM91" s="1">
        <f t="shared" ca="1" si="99"/>
        <v>5.1311911145094376E-2</v>
      </c>
      <c r="AN91" s="1">
        <f t="shared" ca="1" si="100"/>
        <v>36</v>
      </c>
      <c r="AO91" s="1">
        <f t="shared" ca="1" si="101"/>
        <v>1</v>
      </c>
      <c r="AQ91" s="1">
        <f t="shared" ca="1" si="102"/>
        <v>134</v>
      </c>
      <c r="AR91" s="1">
        <f t="shared" ca="1" si="103"/>
        <v>5</v>
      </c>
      <c r="AS91" s="1">
        <f t="shared" ca="1" si="104"/>
        <v>99</v>
      </c>
      <c r="AU91" s="1">
        <f t="shared" ca="1" si="105"/>
        <v>63</v>
      </c>
      <c r="AV91" s="1">
        <f t="shared" ca="1" si="106"/>
        <v>3</v>
      </c>
      <c r="AW91" s="1">
        <f t="shared" ca="1" si="107"/>
        <v>0.16632071882203722</v>
      </c>
      <c r="AY91" s="1">
        <f t="shared" ca="1" si="108"/>
        <v>1.8628875095524284</v>
      </c>
      <c r="AZ91" s="1">
        <f t="shared" ca="1" si="109"/>
        <v>127</v>
      </c>
      <c r="BA91" s="1">
        <f t="shared" ca="1" si="110"/>
        <v>6.3470447672089123E-3</v>
      </c>
      <c r="BG91" s="1">
        <f t="shared" ca="1" si="111"/>
        <v>0.91344603624867704</v>
      </c>
      <c r="BH91" s="1">
        <f t="shared" ca="1" si="112"/>
        <v>0.33716638708229352</v>
      </c>
      <c r="BI91" s="1">
        <f t="shared" ca="1" si="113"/>
        <v>691</v>
      </c>
      <c r="BV91" s="1">
        <f t="shared" ca="1" si="114"/>
        <v>2.2930771730540332E-2</v>
      </c>
      <c r="BW91" s="1">
        <f t="shared" ca="1" si="115"/>
        <v>877</v>
      </c>
      <c r="BX91" s="1">
        <f t="shared" ca="1" si="116"/>
        <v>4.1732015413457483E-3</v>
      </c>
      <c r="BY91" s="1">
        <f t="shared" ca="1" si="117"/>
        <v>1.8301955908197232E-3</v>
      </c>
      <c r="BZ91" s="1">
        <f t="shared" ca="1" si="118"/>
        <v>8.4418206724823364E-4</v>
      </c>
      <c r="CB91" s="1">
        <f t="shared" ca="1" si="119"/>
        <v>287</v>
      </c>
      <c r="CC91" s="1">
        <f t="shared" ca="1" si="120"/>
        <v>6</v>
      </c>
      <c r="CD91" s="1">
        <f t="shared" ca="1" si="121"/>
        <v>0.18913078280530846</v>
      </c>
      <c r="CE91" s="1">
        <f t="shared" ca="1" si="122"/>
        <v>0.8860527577150239</v>
      </c>
      <c r="CF91" s="1">
        <f t="shared" ca="1" si="122"/>
        <v>0.64404834553867252</v>
      </c>
      <c r="CH91" s="3">
        <f t="shared" ca="1" si="123"/>
        <v>0.20583890231090143</v>
      </c>
      <c r="CI91" s="3">
        <f t="shared" ca="1" si="124"/>
        <v>0.93053629364081203</v>
      </c>
      <c r="CJ91" s="3">
        <f t="shared" ca="1" si="125"/>
        <v>1363</v>
      </c>
      <c r="CK91" s="3">
        <f t="shared" ca="1" si="126"/>
        <v>7.3940425339707617E-3</v>
      </c>
      <c r="CL91" s="3">
        <f t="shared" ca="1" si="127"/>
        <v>1</v>
      </c>
      <c r="CM91" s="3"/>
      <c r="CN91" s="1">
        <f t="shared" ca="1" si="128"/>
        <v>11.840624039068114</v>
      </c>
      <c r="CO91" s="1">
        <f t="shared" ca="1" si="129"/>
        <v>0.22855885762076913</v>
      </c>
      <c r="CP91" s="1">
        <f t="shared" ca="1" si="130"/>
        <v>1</v>
      </c>
      <c r="CV91" s="1">
        <f t="shared" ca="1" si="131"/>
        <v>3.8375349277101889</v>
      </c>
      <c r="CW91" s="1">
        <f t="shared" ca="1" si="132"/>
        <v>1784</v>
      </c>
      <c r="CX91" s="1">
        <f t="shared" ca="1" si="133"/>
        <v>8.9013148223137765E-3</v>
      </c>
      <c r="DH91" s="1">
        <f t="shared" ca="1" si="134"/>
        <v>209</v>
      </c>
      <c r="DI91" s="1">
        <f t="shared" ca="1" si="135"/>
        <v>0.91093304848938705</v>
      </c>
      <c r="DJ91" s="1">
        <f t="shared" ca="1" si="136"/>
        <v>22</v>
      </c>
      <c r="DL91" s="1">
        <f t="shared" ca="1" si="137"/>
        <v>4.9050567719389863E-2</v>
      </c>
      <c r="DM91" s="1">
        <f t="shared" ca="1" si="138"/>
        <v>192</v>
      </c>
      <c r="DN91" s="1">
        <f t="shared" ca="1" si="139"/>
        <v>7</v>
      </c>
    </row>
    <row r="92" spans="2:118" x14ac:dyDescent="0.25">
      <c r="B92">
        <f t="shared" ca="1" si="72"/>
        <v>96</v>
      </c>
      <c r="C92">
        <f t="shared" ca="1" si="73"/>
        <v>33</v>
      </c>
      <c r="D92">
        <f t="shared" ca="1" si="74"/>
        <v>0.11976917761236358</v>
      </c>
      <c r="F92" s="1">
        <f t="shared" ca="1" si="75"/>
        <v>27</v>
      </c>
      <c r="G92" s="1">
        <f t="shared" ca="1" si="76"/>
        <v>26</v>
      </c>
      <c r="H92" s="1">
        <f t="shared" ca="1" si="77"/>
        <v>11</v>
      </c>
      <c r="I92" s="1"/>
      <c r="J92" s="1">
        <f t="shared" ca="1" si="78"/>
        <v>38</v>
      </c>
      <c r="K92" s="1">
        <f t="shared" ca="1" si="79"/>
        <v>1.0871875082346905</v>
      </c>
      <c r="L92" s="1">
        <f t="shared" ca="1" si="80"/>
        <v>17</v>
      </c>
      <c r="M92" s="1"/>
      <c r="N92" s="1">
        <f t="shared" ca="1" si="81"/>
        <v>695</v>
      </c>
      <c r="O92" s="1">
        <f t="shared" ca="1" si="82"/>
        <v>23</v>
      </c>
      <c r="P92" s="1"/>
      <c r="Q92" s="1">
        <f t="shared" ca="1" si="83"/>
        <v>3.6058599310266231</v>
      </c>
      <c r="R92" s="1">
        <f t="shared" ca="1" si="84"/>
        <v>286</v>
      </c>
      <c r="S92" s="1"/>
      <c r="T92" s="1">
        <f t="shared" ca="1" si="85"/>
        <v>6.1540097917970972E-2</v>
      </c>
      <c r="U92" s="1">
        <f t="shared" ca="1" si="86"/>
        <v>411</v>
      </c>
      <c r="V92" s="1">
        <f t="shared" ca="1" si="87"/>
        <v>26</v>
      </c>
      <c r="W92" s="1"/>
      <c r="X92" s="1">
        <f t="shared" ca="1" si="88"/>
        <v>9.1424603160579512</v>
      </c>
      <c r="Y92" s="1">
        <f t="shared" ca="1" si="89"/>
        <v>0.78110504343655285</v>
      </c>
      <c r="Z92" s="1">
        <f t="shared" ca="1" si="90"/>
        <v>851</v>
      </c>
      <c r="AB92" s="1">
        <f t="shared" ca="1" si="91"/>
        <v>0.31193683321018983</v>
      </c>
      <c r="AC92" s="1">
        <f t="shared" ca="1" si="92"/>
        <v>818</v>
      </c>
      <c r="AD92" s="1">
        <f t="shared" ca="1" si="93"/>
        <v>2.2335098574251507E-3</v>
      </c>
      <c r="AE92" s="1"/>
      <c r="AF92" s="1">
        <f t="shared" ca="1" si="94"/>
        <v>0.40809966193105029</v>
      </c>
      <c r="AG92" s="1">
        <f t="shared" ca="1" si="95"/>
        <v>178</v>
      </c>
      <c r="AH92" s="1">
        <f t="shared" ca="1" si="96"/>
        <v>9.9555886393835301E-3</v>
      </c>
      <c r="AJ92" s="1">
        <f t="shared" ca="1" si="97"/>
        <v>0.25241148830961202</v>
      </c>
      <c r="AK92" s="1">
        <f t="shared" ca="1" si="98"/>
        <v>3.3328103592905464E-3</v>
      </c>
      <c r="AL92" s="1"/>
      <c r="AM92" s="1">
        <f t="shared" ca="1" si="99"/>
        <v>0.16781596711382235</v>
      </c>
      <c r="AN92" s="1">
        <f t="shared" ca="1" si="100"/>
        <v>26</v>
      </c>
      <c r="AO92" s="1">
        <f t="shared" ca="1" si="101"/>
        <v>7</v>
      </c>
      <c r="AQ92" s="1">
        <f t="shared" ca="1" si="102"/>
        <v>171</v>
      </c>
      <c r="AR92" s="1">
        <f t="shared" ca="1" si="103"/>
        <v>8</v>
      </c>
      <c r="AS92" s="1">
        <f t="shared" ca="1" si="104"/>
        <v>77</v>
      </c>
      <c r="AU92" s="1">
        <f t="shared" ca="1" si="105"/>
        <v>55</v>
      </c>
      <c r="AV92" s="1">
        <f t="shared" ca="1" si="106"/>
        <v>7</v>
      </c>
      <c r="AW92" s="1">
        <f t="shared" ca="1" si="107"/>
        <v>0.17996344450957358</v>
      </c>
      <c r="AY92" s="1">
        <f t="shared" ca="1" si="108"/>
        <v>1.3395527535589908</v>
      </c>
      <c r="AZ92" s="1">
        <f t="shared" ca="1" si="109"/>
        <v>437</v>
      </c>
      <c r="BA92" s="1">
        <f t="shared" ca="1" si="110"/>
        <v>2.5959633134489783E-3</v>
      </c>
      <c r="BG92" s="1">
        <f t="shared" ca="1" si="111"/>
        <v>0.82062269408783406</v>
      </c>
      <c r="BH92" s="1">
        <f t="shared" ca="1" si="112"/>
        <v>5.6205016047051748E-2</v>
      </c>
      <c r="BI92" s="1">
        <f t="shared" ca="1" si="113"/>
        <v>447</v>
      </c>
      <c r="BV92" s="1">
        <f t="shared" ca="1" si="114"/>
        <v>0.14306023530019202</v>
      </c>
      <c r="BW92" s="1">
        <f t="shared" ca="1" si="115"/>
        <v>317</v>
      </c>
      <c r="BX92" s="1">
        <f t="shared" ca="1" si="116"/>
        <v>7.9494265178480222E-3</v>
      </c>
      <c r="BY92" s="1">
        <f t="shared" ca="1" si="117"/>
        <v>7.2860327098109287E-2</v>
      </c>
      <c r="BZ92" s="1">
        <f t="shared" ca="1" si="118"/>
        <v>0.71292537754569973</v>
      </c>
      <c r="CB92" s="1">
        <f t="shared" ca="1" si="119"/>
        <v>73</v>
      </c>
      <c r="CC92" s="1">
        <f t="shared" ca="1" si="120"/>
        <v>8</v>
      </c>
      <c r="CD92" s="1">
        <f t="shared" ca="1" si="121"/>
        <v>6.196717137091759E-2</v>
      </c>
      <c r="CE92" s="1">
        <f t="shared" ca="1" si="122"/>
        <v>0.52324916032012381</v>
      </c>
      <c r="CF92" s="1">
        <f t="shared" ca="1" si="122"/>
        <v>0.93961611254760191</v>
      </c>
      <c r="CH92" s="3">
        <f t="shared" ca="1" si="123"/>
        <v>0.90234629209827744</v>
      </c>
      <c r="CI92" s="3">
        <f t="shared" ca="1" si="124"/>
        <v>0.59253784000818599</v>
      </c>
      <c r="CJ92" s="3">
        <f t="shared" ca="1" si="125"/>
        <v>467</v>
      </c>
      <c r="CK92" s="3">
        <f t="shared" ca="1" si="126"/>
        <v>5.4054236546289243E-3</v>
      </c>
      <c r="CL92" s="3">
        <f t="shared" ca="1" si="127"/>
        <v>0</v>
      </c>
      <c r="CM92" s="3"/>
      <c r="CN92" s="1">
        <f t="shared" ca="1" si="128"/>
        <v>2.3720715063654523</v>
      </c>
      <c r="CO92" s="1">
        <f t="shared" ca="1" si="129"/>
        <v>1.8485172957979742E-2</v>
      </c>
      <c r="CP92" s="1">
        <f t="shared" ca="1" si="130"/>
        <v>2</v>
      </c>
      <c r="CV92" s="1">
        <f t="shared" ca="1" si="131"/>
        <v>4.5664156126300606</v>
      </c>
      <c r="CW92" s="1">
        <f t="shared" ca="1" si="132"/>
        <v>1257</v>
      </c>
      <c r="CX92" s="1">
        <f t="shared" ca="1" si="133"/>
        <v>6.0059558713746672E-3</v>
      </c>
      <c r="DH92" s="1">
        <f t="shared" ca="1" si="134"/>
        <v>586</v>
      </c>
      <c r="DI92" s="1">
        <f t="shared" ca="1" si="135"/>
        <v>0.4955143737912916</v>
      </c>
      <c r="DJ92" s="1">
        <f t="shared" ca="1" si="136"/>
        <v>2</v>
      </c>
      <c r="DL92" s="1">
        <f t="shared" ca="1" si="137"/>
        <v>0.12853217165090067</v>
      </c>
      <c r="DM92" s="1">
        <f t="shared" ca="1" si="138"/>
        <v>296</v>
      </c>
      <c r="DN92" s="1">
        <f t="shared" ca="1" si="139"/>
        <v>7</v>
      </c>
    </row>
    <row r="93" spans="2:118" x14ac:dyDescent="0.25">
      <c r="B93">
        <f t="shared" ca="1" si="72"/>
        <v>955</v>
      </c>
      <c r="C93">
        <f t="shared" ca="1" si="73"/>
        <v>16</v>
      </c>
      <c r="D93">
        <f t="shared" ca="1" si="74"/>
        <v>0.12993083358518159</v>
      </c>
      <c r="F93" s="1">
        <f t="shared" ca="1" si="75"/>
        <v>32</v>
      </c>
      <c r="G93" s="1">
        <f t="shared" ca="1" si="76"/>
        <v>23</v>
      </c>
      <c r="H93" s="1">
        <f t="shared" ca="1" si="77"/>
        <v>9</v>
      </c>
      <c r="I93" s="1"/>
      <c r="J93" s="1">
        <f t="shared" ca="1" si="78"/>
        <v>11</v>
      </c>
      <c r="K93" s="1">
        <f t="shared" ca="1" si="79"/>
        <v>1.2962419495326638</v>
      </c>
      <c r="L93" s="1">
        <f t="shared" ca="1" si="80"/>
        <v>34</v>
      </c>
      <c r="M93" s="1"/>
      <c r="N93" s="1">
        <f t="shared" ca="1" si="81"/>
        <v>145</v>
      </c>
      <c r="O93" s="1">
        <f t="shared" ca="1" si="82"/>
        <v>34</v>
      </c>
      <c r="P93" s="1"/>
      <c r="Q93" s="1">
        <f t="shared" ca="1" si="83"/>
        <v>4.3816998460833441</v>
      </c>
      <c r="R93" s="1">
        <f t="shared" ca="1" si="84"/>
        <v>788</v>
      </c>
      <c r="S93" s="1"/>
      <c r="T93" s="1">
        <f t="shared" ca="1" si="85"/>
        <v>7.1679933791827521E-2</v>
      </c>
      <c r="U93" s="1">
        <f t="shared" ca="1" si="86"/>
        <v>295</v>
      </c>
      <c r="V93" s="1">
        <f t="shared" ca="1" si="87"/>
        <v>24</v>
      </c>
      <c r="W93" s="1"/>
      <c r="X93" s="1">
        <f t="shared" ca="1" si="88"/>
        <v>5.9535902649725365</v>
      </c>
      <c r="Y93" s="1">
        <f t="shared" ca="1" si="89"/>
        <v>0.71299864343697827</v>
      </c>
      <c r="Z93" s="1">
        <f t="shared" ca="1" si="90"/>
        <v>1462</v>
      </c>
      <c r="AB93" s="1">
        <f t="shared" ca="1" si="91"/>
        <v>0.59881668536730825</v>
      </c>
      <c r="AC93" s="1">
        <f t="shared" ca="1" si="92"/>
        <v>380</v>
      </c>
      <c r="AD93" s="1">
        <f t="shared" ca="1" si="93"/>
        <v>2.6583747183356165E-3</v>
      </c>
      <c r="AE93" s="1"/>
      <c r="AF93" s="1">
        <f t="shared" ca="1" si="94"/>
        <v>0.8081904643022404</v>
      </c>
      <c r="AG93" s="1">
        <f t="shared" ca="1" si="95"/>
        <v>617</v>
      </c>
      <c r="AH93" s="1">
        <f t="shared" ca="1" si="96"/>
        <v>1.9837549155382918E-3</v>
      </c>
      <c r="AJ93" s="1">
        <f t="shared" ca="1" si="97"/>
        <v>0.57670801032532137</v>
      </c>
      <c r="AK93" s="1">
        <f t="shared" ca="1" si="98"/>
        <v>8.4054526947118669E-3</v>
      </c>
      <c r="AL93" s="1"/>
      <c r="AM93" s="1">
        <f t="shared" ca="1" si="99"/>
        <v>4.4523540021682871E-2</v>
      </c>
      <c r="AN93" s="1">
        <f t="shared" ca="1" si="100"/>
        <v>16</v>
      </c>
      <c r="AO93" s="1">
        <f t="shared" ca="1" si="101"/>
        <v>10</v>
      </c>
      <c r="AQ93" s="1">
        <f t="shared" ca="1" si="102"/>
        <v>125</v>
      </c>
      <c r="AR93" s="1">
        <f t="shared" ca="1" si="103"/>
        <v>5</v>
      </c>
      <c r="AS93" s="1">
        <f t="shared" ca="1" si="104"/>
        <v>72</v>
      </c>
      <c r="AU93" s="1">
        <f t="shared" ca="1" si="105"/>
        <v>72</v>
      </c>
      <c r="AV93" s="1">
        <f t="shared" ca="1" si="106"/>
        <v>8</v>
      </c>
      <c r="AW93" s="1">
        <f t="shared" ca="1" si="107"/>
        <v>6.0472130926540198E-2</v>
      </c>
      <c r="AY93" s="1">
        <f t="shared" ca="1" si="108"/>
        <v>1.4124126173447122</v>
      </c>
      <c r="AZ93" s="1">
        <f t="shared" ca="1" si="109"/>
        <v>472</v>
      </c>
      <c r="BA93" s="1">
        <f t="shared" ca="1" si="110"/>
        <v>9.331590628636123E-3</v>
      </c>
      <c r="BG93" s="1">
        <f t="shared" ca="1" si="111"/>
        <v>0.41390378812971534</v>
      </c>
      <c r="BH93" s="1">
        <f t="shared" ca="1" si="112"/>
        <v>0.15731185689631033</v>
      </c>
      <c r="BI93" s="1">
        <f t="shared" ca="1" si="113"/>
        <v>182</v>
      </c>
      <c r="BV93" s="1">
        <f t="shared" ca="1" si="114"/>
        <v>0.58314959378964482</v>
      </c>
      <c r="BW93" s="1">
        <f t="shared" ca="1" si="115"/>
        <v>446</v>
      </c>
      <c r="BX93" s="1">
        <f t="shared" ca="1" si="116"/>
        <v>7.3000832810386695E-3</v>
      </c>
      <c r="BY93" s="1">
        <f t="shared" ca="1" si="117"/>
        <v>9.7756640172922432E-2</v>
      </c>
      <c r="BZ93" s="1">
        <f t="shared" ca="1" si="118"/>
        <v>0.56952257197953271</v>
      </c>
      <c r="CB93" s="1">
        <f t="shared" ca="1" si="119"/>
        <v>246</v>
      </c>
      <c r="CC93" s="1">
        <f t="shared" ca="1" si="120"/>
        <v>10</v>
      </c>
      <c r="CD93" s="1">
        <f t="shared" ca="1" si="121"/>
        <v>6.9935920271098434E-2</v>
      </c>
      <c r="CE93" s="1">
        <f t="shared" ca="1" si="122"/>
        <v>0.51383664530021389</v>
      </c>
      <c r="CF93" s="1">
        <f t="shared" ca="1" si="122"/>
        <v>0.57973772378469679</v>
      </c>
      <c r="CH93" s="3">
        <f t="shared" ca="1" si="123"/>
        <v>0.46361439138176846</v>
      </c>
      <c r="CI93" s="3">
        <f t="shared" ca="1" si="124"/>
        <v>0.28327418338201921</v>
      </c>
      <c r="CJ93" s="3">
        <f t="shared" ca="1" si="125"/>
        <v>1274</v>
      </c>
      <c r="CK93" s="3">
        <f t="shared" ca="1" si="126"/>
        <v>8.528398163910305E-3</v>
      </c>
      <c r="CL93" s="3">
        <f t="shared" ca="1" si="127"/>
        <v>0</v>
      </c>
      <c r="CM93" s="3"/>
      <c r="CN93" s="1">
        <f t="shared" ca="1" si="128"/>
        <v>5.7459878773116237</v>
      </c>
      <c r="CO93" s="1">
        <f t="shared" ca="1" si="129"/>
        <v>0.11010280922762526</v>
      </c>
      <c r="CP93" s="1">
        <f t="shared" ca="1" si="130"/>
        <v>1</v>
      </c>
      <c r="CV93" s="1">
        <f t="shared" ca="1" si="131"/>
        <v>0.79919710335377214</v>
      </c>
      <c r="CW93" s="1">
        <f t="shared" ca="1" si="132"/>
        <v>305</v>
      </c>
      <c r="CX93" s="1">
        <f t="shared" ca="1" si="133"/>
        <v>9.6103188309965282E-3</v>
      </c>
      <c r="DH93" s="1">
        <f t="shared" ca="1" si="134"/>
        <v>276</v>
      </c>
      <c r="DI93" s="1">
        <f t="shared" ca="1" si="135"/>
        <v>0.69329926927379992</v>
      </c>
      <c r="DJ93" s="1">
        <f t="shared" ca="1" si="136"/>
        <v>26</v>
      </c>
      <c r="DL93" s="1">
        <f t="shared" ca="1" si="137"/>
        <v>1.9706187818330972E-2</v>
      </c>
      <c r="DM93" s="1">
        <f t="shared" ca="1" si="138"/>
        <v>248</v>
      </c>
      <c r="DN93" s="1">
        <f t="shared" ca="1" si="139"/>
        <v>8</v>
      </c>
    </row>
    <row r="94" spans="2:118" x14ac:dyDescent="0.25">
      <c r="B94">
        <f t="shared" ca="1" si="72"/>
        <v>198</v>
      </c>
      <c r="C94">
        <f t="shared" ca="1" si="73"/>
        <v>47</v>
      </c>
      <c r="D94">
        <f t="shared" ca="1" si="74"/>
        <v>7.5898035341171691E-2</v>
      </c>
      <c r="F94" s="1">
        <f t="shared" ca="1" si="75"/>
        <v>52</v>
      </c>
      <c r="G94" s="1">
        <f t="shared" ca="1" si="76"/>
        <v>17</v>
      </c>
      <c r="H94" s="1">
        <f t="shared" ca="1" si="77"/>
        <v>1</v>
      </c>
      <c r="I94" s="1"/>
      <c r="J94" s="1">
        <f t="shared" ca="1" si="78"/>
        <v>18</v>
      </c>
      <c r="K94" s="1">
        <f t="shared" ca="1" si="79"/>
        <v>2.9894689101069352</v>
      </c>
      <c r="L94" s="1">
        <f t="shared" ca="1" si="80"/>
        <v>24</v>
      </c>
      <c r="M94" s="1"/>
      <c r="N94" s="1">
        <f t="shared" ca="1" si="81"/>
        <v>956</v>
      </c>
      <c r="O94" s="1">
        <f t="shared" ca="1" si="82"/>
        <v>22</v>
      </c>
      <c r="P94" s="1"/>
      <c r="Q94" s="1">
        <f t="shared" ca="1" si="83"/>
        <v>4.2033777999462645</v>
      </c>
      <c r="R94" s="1">
        <f t="shared" ca="1" si="84"/>
        <v>437</v>
      </c>
      <c r="S94" s="1"/>
      <c r="T94" s="1">
        <f t="shared" ca="1" si="85"/>
        <v>7.6442250555967109E-2</v>
      </c>
      <c r="U94" s="1">
        <f t="shared" ca="1" si="86"/>
        <v>386</v>
      </c>
      <c r="V94" s="1">
        <f t="shared" ca="1" si="87"/>
        <v>33</v>
      </c>
      <c r="W94" s="1"/>
      <c r="X94" s="1">
        <f t="shared" ca="1" si="88"/>
        <v>2.8311671238218654</v>
      </c>
      <c r="Y94" s="1">
        <f t="shared" ca="1" si="89"/>
        <v>0.10899055201005535</v>
      </c>
      <c r="Z94" s="1">
        <f t="shared" ca="1" si="90"/>
        <v>1217</v>
      </c>
      <c r="AB94" s="1">
        <f t="shared" ca="1" si="91"/>
        <v>0.32935766676954142</v>
      </c>
      <c r="AC94" s="1">
        <f t="shared" ca="1" si="92"/>
        <v>695</v>
      </c>
      <c r="AD94" s="1">
        <f t="shared" ca="1" si="93"/>
        <v>8.357757702736621E-3</v>
      </c>
      <c r="AE94" s="1"/>
      <c r="AF94" s="1">
        <f t="shared" ca="1" si="94"/>
        <v>0.518724941263354</v>
      </c>
      <c r="AG94" s="1">
        <f t="shared" ca="1" si="95"/>
        <v>473</v>
      </c>
      <c r="AH94" s="1">
        <f t="shared" ca="1" si="96"/>
        <v>9.0596848035494615E-3</v>
      </c>
      <c r="AJ94" s="1">
        <f t="shared" ca="1" si="97"/>
        <v>0.78324652047084475</v>
      </c>
      <c r="AK94" s="1">
        <f t="shared" ca="1" si="98"/>
        <v>3.0651414506958001E-3</v>
      </c>
      <c r="AL94" s="1"/>
      <c r="AM94" s="1">
        <f t="shared" ca="1" si="99"/>
        <v>5.4775124453449835E-2</v>
      </c>
      <c r="AN94" s="1">
        <f t="shared" ca="1" si="100"/>
        <v>76</v>
      </c>
      <c r="AO94" s="1">
        <f t="shared" ca="1" si="101"/>
        <v>2</v>
      </c>
      <c r="AQ94" s="1">
        <f t="shared" ca="1" si="102"/>
        <v>171</v>
      </c>
      <c r="AR94" s="1">
        <f t="shared" ca="1" si="103"/>
        <v>2</v>
      </c>
      <c r="AS94" s="1">
        <f t="shared" ca="1" si="104"/>
        <v>86</v>
      </c>
      <c r="AU94" s="1">
        <f t="shared" ca="1" si="105"/>
        <v>161</v>
      </c>
      <c r="AV94" s="1">
        <f t="shared" ca="1" si="106"/>
        <v>6</v>
      </c>
      <c r="AW94" s="1">
        <f t="shared" ca="1" si="107"/>
        <v>9.4579069284005834E-2</v>
      </c>
      <c r="AY94" s="1">
        <f t="shared" ca="1" si="108"/>
        <v>1.8976244080226641</v>
      </c>
      <c r="AZ94" s="1">
        <f t="shared" ca="1" si="109"/>
        <v>51</v>
      </c>
      <c r="BA94" s="1">
        <f t="shared" ca="1" si="110"/>
        <v>4.5015434577410198E-3</v>
      </c>
      <c r="BG94" s="1">
        <f t="shared" ca="1" si="111"/>
        <v>0.594053505320283</v>
      </c>
      <c r="BH94" s="1">
        <f t="shared" ca="1" si="112"/>
        <v>0.84107382324995983</v>
      </c>
      <c r="BI94" s="1">
        <f t="shared" ca="1" si="113"/>
        <v>568</v>
      </c>
      <c r="BV94" s="1">
        <f t="shared" ca="1" si="114"/>
        <v>0.4908692149029516</v>
      </c>
      <c r="BW94" s="1">
        <f t="shared" ca="1" si="115"/>
        <v>651</v>
      </c>
      <c r="BX94" s="1">
        <f t="shared" ca="1" si="116"/>
        <v>1.467402619695531E-3</v>
      </c>
      <c r="BY94" s="1">
        <f t="shared" ca="1" si="117"/>
        <v>2.9633488384947618E-2</v>
      </c>
      <c r="BZ94" s="1">
        <f t="shared" ca="1" si="118"/>
        <v>0.45875275364413293</v>
      </c>
      <c r="CB94" s="1">
        <f t="shared" ca="1" si="119"/>
        <v>108</v>
      </c>
      <c r="CC94" s="1">
        <f t="shared" ca="1" si="120"/>
        <v>11</v>
      </c>
      <c r="CD94" s="1">
        <f t="shared" ca="1" si="121"/>
        <v>5.9466620134869912E-2</v>
      </c>
      <c r="CE94" s="1">
        <f t="shared" ca="1" si="122"/>
        <v>0.9316813256627553</v>
      </c>
      <c r="CF94" s="1">
        <f t="shared" ca="1" si="122"/>
        <v>0.85306678374363987</v>
      </c>
      <c r="CH94" s="3">
        <f t="shared" ca="1" si="123"/>
        <v>0.39343260373439765</v>
      </c>
      <c r="CI94" s="3">
        <f t="shared" ca="1" si="124"/>
        <v>0.22163371655663822</v>
      </c>
      <c r="CJ94" s="3">
        <f t="shared" ca="1" si="125"/>
        <v>1069</v>
      </c>
      <c r="CK94" s="3">
        <f t="shared" ca="1" si="126"/>
        <v>4.0177810962169188E-3</v>
      </c>
      <c r="CL94" s="3">
        <f t="shared" ca="1" si="127"/>
        <v>0</v>
      </c>
      <c r="CM94" s="3"/>
      <c r="CN94" s="1">
        <f t="shared" ca="1" si="128"/>
        <v>3.6575922358683264</v>
      </c>
      <c r="CO94" s="1">
        <f t="shared" ca="1" si="129"/>
        <v>3.8193231021483226E-2</v>
      </c>
      <c r="CP94" s="1">
        <f t="shared" ca="1" si="130"/>
        <v>5</v>
      </c>
      <c r="CV94" s="1">
        <f t="shared" ca="1" si="131"/>
        <v>6.4466020106382986</v>
      </c>
      <c r="CW94" s="1">
        <f t="shared" ca="1" si="132"/>
        <v>339</v>
      </c>
      <c r="CX94" s="1">
        <f t="shared" ca="1" si="133"/>
        <v>9.7325035355879698E-3</v>
      </c>
      <c r="DH94" s="1">
        <f t="shared" ca="1" si="134"/>
        <v>332</v>
      </c>
      <c r="DI94" s="1">
        <f t="shared" ca="1" si="135"/>
        <v>0.5039802083631002</v>
      </c>
      <c r="DJ94" s="1">
        <f t="shared" ca="1" si="136"/>
        <v>15</v>
      </c>
      <c r="DL94" s="1">
        <f t="shared" ca="1" si="137"/>
        <v>0.1071574989073199</v>
      </c>
      <c r="DM94" s="1">
        <f t="shared" ca="1" si="138"/>
        <v>95</v>
      </c>
      <c r="DN94" s="1">
        <f t="shared" ca="1" si="139"/>
        <v>3</v>
      </c>
    </row>
    <row r="95" spans="2:118" x14ac:dyDescent="0.25">
      <c r="B95">
        <f t="shared" ca="1" si="72"/>
        <v>131</v>
      </c>
      <c r="C95">
        <f t="shared" ca="1" si="73"/>
        <v>3</v>
      </c>
      <c r="D95">
        <f t="shared" ca="1" si="74"/>
        <v>0.24103819353337821</v>
      </c>
      <c r="F95" s="1">
        <f t="shared" ca="1" si="75"/>
        <v>48</v>
      </c>
      <c r="G95" s="1">
        <f t="shared" ca="1" si="76"/>
        <v>8</v>
      </c>
      <c r="H95" s="1">
        <f t="shared" ca="1" si="77"/>
        <v>9</v>
      </c>
      <c r="I95" s="1"/>
      <c r="J95" s="1">
        <f t="shared" ca="1" si="78"/>
        <v>8</v>
      </c>
      <c r="K95" s="1">
        <f t="shared" ca="1" si="79"/>
        <v>1.6243593065277344</v>
      </c>
      <c r="L95" s="1">
        <f t="shared" ca="1" si="80"/>
        <v>7</v>
      </c>
      <c r="M95" s="1"/>
      <c r="N95" s="1">
        <f t="shared" ca="1" si="81"/>
        <v>686</v>
      </c>
      <c r="O95" s="1">
        <f t="shared" ca="1" si="82"/>
        <v>9</v>
      </c>
      <c r="P95" s="1"/>
      <c r="Q95" s="1">
        <f t="shared" ca="1" si="83"/>
        <v>1.2027458894930512</v>
      </c>
      <c r="R95" s="1">
        <f t="shared" ca="1" si="84"/>
        <v>1042</v>
      </c>
      <c r="S95" s="1"/>
      <c r="T95" s="1">
        <f t="shared" ca="1" si="85"/>
        <v>9.7750207409117135E-2</v>
      </c>
      <c r="U95" s="1">
        <f t="shared" ca="1" si="86"/>
        <v>432</v>
      </c>
      <c r="V95" s="1">
        <f t="shared" ca="1" si="87"/>
        <v>41</v>
      </c>
      <c r="W95" s="1"/>
      <c r="X95" s="1">
        <f t="shared" ca="1" si="88"/>
        <v>6.2832490284004443</v>
      </c>
      <c r="Y95" s="1">
        <f t="shared" ca="1" si="89"/>
        <v>0.52581989600789203</v>
      </c>
      <c r="Z95" s="1">
        <f t="shared" ca="1" si="90"/>
        <v>779</v>
      </c>
      <c r="AB95" s="1">
        <f t="shared" ca="1" si="91"/>
        <v>0.77821260883166943</v>
      </c>
      <c r="AC95" s="1">
        <f t="shared" ca="1" si="92"/>
        <v>682</v>
      </c>
      <c r="AD95" s="1">
        <f t="shared" ca="1" si="93"/>
        <v>7.6523717750650892E-3</v>
      </c>
      <c r="AE95" s="1"/>
      <c r="AF95" s="1">
        <f t="shared" ca="1" si="94"/>
        <v>0.65960226243835152</v>
      </c>
      <c r="AG95" s="1">
        <f t="shared" ca="1" si="95"/>
        <v>138</v>
      </c>
      <c r="AH95" s="1">
        <f t="shared" ca="1" si="96"/>
        <v>1.9076591743703536E-3</v>
      </c>
      <c r="AJ95" s="1">
        <f t="shared" ca="1" si="97"/>
        <v>0.80054290759822699</v>
      </c>
      <c r="AK95" s="1">
        <f t="shared" ca="1" si="98"/>
        <v>6.0220123409279232E-3</v>
      </c>
      <c r="AL95" s="1"/>
      <c r="AM95" s="1">
        <f t="shared" ca="1" si="99"/>
        <v>5.0512252308742142E-3</v>
      </c>
      <c r="AN95" s="1">
        <f t="shared" ca="1" si="100"/>
        <v>68</v>
      </c>
      <c r="AO95" s="1">
        <f t="shared" ca="1" si="101"/>
        <v>16</v>
      </c>
      <c r="AQ95" s="1">
        <f t="shared" ca="1" si="102"/>
        <v>178</v>
      </c>
      <c r="AR95" s="1">
        <f t="shared" ca="1" si="103"/>
        <v>10</v>
      </c>
      <c r="AS95" s="1">
        <f t="shared" ca="1" si="104"/>
        <v>95</v>
      </c>
      <c r="AU95" s="1">
        <f t="shared" ca="1" si="105"/>
        <v>132</v>
      </c>
      <c r="AV95" s="1">
        <f t="shared" ca="1" si="106"/>
        <v>10</v>
      </c>
      <c r="AW95" s="1">
        <f t="shared" ca="1" si="107"/>
        <v>5.4014111972467922E-2</v>
      </c>
      <c r="AY95" s="1">
        <f t="shared" ca="1" si="108"/>
        <v>1.7014224901078014</v>
      </c>
      <c r="AZ95" s="1">
        <f t="shared" ca="1" si="109"/>
        <v>406</v>
      </c>
      <c r="BA95" s="1">
        <f t="shared" ca="1" si="110"/>
        <v>3.3086641490289699E-3</v>
      </c>
      <c r="BG95" s="1">
        <f t="shared" ca="1" si="111"/>
        <v>0.94879194841061287</v>
      </c>
      <c r="BH95" s="1">
        <f t="shared" ca="1" si="112"/>
        <v>0.571676214804965</v>
      </c>
      <c r="BI95" s="1">
        <f t="shared" ca="1" si="113"/>
        <v>484</v>
      </c>
      <c r="BV95" s="1">
        <f t="shared" ca="1" si="114"/>
        <v>0.62033673652284116</v>
      </c>
      <c r="BW95" s="1">
        <f t="shared" ca="1" si="115"/>
        <v>192</v>
      </c>
      <c r="BX95" s="1">
        <f t="shared" ca="1" si="116"/>
        <v>5.2935993444796752E-3</v>
      </c>
      <c r="BY95" s="1">
        <f t="shared" ca="1" si="117"/>
        <v>2.0512225787389018E-4</v>
      </c>
      <c r="BZ95" s="1">
        <f t="shared" ca="1" si="118"/>
        <v>0.48838866408781623</v>
      </c>
      <c r="CB95" s="1">
        <f t="shared" ca="1" si="119"/>
        <v>439</v>
      </c>
      <c r="CC95" s="1">
        <f t="shared" ca="1" si="120"/>
        <v>6</v>
      </c>
      <c r="CD95" s="1">
        <f t="shared" ca="1" si="121"/>
        <v>0.29699670178321391</v>
      </c>
      <c r="CE95" s="1">
        <f t="shared" ca="1" si="122"/>
        <v>0.52070057395962144</v>
      </c>
      <c r="CF95" s="1">
        <f t="shared" ca="1" si="122"/>
        <v>0.67929101761173094</v>
      </c>
      <c r="CH95" s="3">
        <f t="shared" ca="1" si="123"/>
        <v>0.72776462799305497</v>
      </c>
      <c r="CI95" s="3">
        <f t="shared" ca="1" si="124"/>
        <v>0.38298596721931749</v>
      </c>
      <c r="CJ95" s="3">
        <f t="shared" ca="1" si="125"/>
        <v>768</v>
      </c>
      <c r="CK95" s="3">
        <f t="shared" ca="1" si="126"/>
        <v>2.0976728821432071E-3</v>
      </c>
      <c r="CL95" s="3">
        <f t="shared" ca="1" si="127"/>
        <v>1</v>
      </c>
      <c r="CM95" s="3"/>
      <c r="CN95" s="1">
        <f t="shared" ca="1" si="128"/>
        <v>6.9269621752155555</v>
      </c>
      <c r="CO95" s="1">
        <f t="shared" ca="1" si="129"/>
        <v>0.46795602574355999</v>
      </c>
      <c r="CP95" s="1">
        <f t="shared" ca="1" si="130"/>
        <v>1</v>
      </c>
      <c r="CV95" s="1">
        <f t="shared" ca="1" si="131"/>
        <v>2.863084643364016</v>
      </c>
      <c r="CW95" s="1">
        <f t="shared" ca="1" si="132"/>
        <v>657</v>
      </c>
      <c r="CX95" s="1">
        <f t="shared" ca="1" si="133"/>
        <v>1.6062979016439891E-3</v>
      </c>
      <c r="DH95" s="1">
        <f t="shared" ca="1" si="134"/>
        <v>406</v>
      </c>
      <c r="DI95" s="1">
        <f t="shared" ca="1" si="135"/>
        <v>0.37134435081946426</v>
      </c>
      <c r="DJ95" s="1">
        <f t="shared" ca="1" si="136"/>
        <v>17</v>
      </c>
      <c r="DL95" s="1">
        <f t="shared" ca="1" si="137"/>
        <v>3.9774725933302425E-2</v>
      </c>
      <c r="DM95" s="1">
        <f t="shared" ca="1" si="138"/>
        <v>104</v>
      </c>
      <c r="DN95" s="1">
        <f t="shared" ca="1" si="139"/>
        <v>10</v>
      </c>
    </row>
    <row r="96" spans="2:118" x14ac:dyDescent="0.25">
      <c r="B96">
        <f t="shared" ca="1" si="72"/>
        <v>180</v>
      </c>
      <c r="C96">
        <f t="shared" ca="1" si="73"/>
        <v>20</v>
      </c>
      <c r="D96">
        <f t="shared" ca="1" si="74"/>
        <v>0.15204141578369001</v>
      </c>
      <c r="F96" s="1">
        <f t="shared" ca="1" si="75"/>
        <v>36</v>
      </c>
      <c r="G96" s="1">
        <f t="shared" ca="1" si="76"/>
        <v>4</v>
      </c>
      <c r="H96" s="1">
        <f t="shared" ca="1" si="77"/>
        <v>5</v>
      </c>
      <c r="I96" s="1"/>
      <c r="J96" s="1">
        <f t="shared" ca="1" si="78"/>
        <v>39</v>
      </c>
      <c r="K96" s="1">
        <f t="shared" ca="1" si="79"/>
        <v>1.1183567818007696</v>
      </c>
      <c r="L96" s="1">
        <f t="shared" ca="1" si="80"/>
        <v>33</v>
      </c>
      <c r="M96" s="1"/>
      <c r="N96" s="1">
        <f t="shared" ca="1" si="81"/>
        <v>159</v>
      </c>
      <c r="O96" s="1">
        <f t="shared" ca="1" si="82"/>
        <v>25</v>
      </c>
      <c r="P96" s="1"/>
      <c r="Q96" s="1">
        <f t="shared" ca="1" si="83"/>
        <v>1.9495971057623536</v>
      </c>
      <c r="R96" s="1">
        <f t="shared" ca="1" si="84"/>
        <v>395</v>
      </c>
      <c r="S96" s="1"/>
      <c r="T96" s="1">
        <f t="shared" ca="1" si="85"/>
        <v>4.336476140713931E-2</v>
      </c>
      <c r="U96" s="1">
        <f t="shared" ca="1" si="86"/>
        <v>189</v>
      </c>
      <c r="V96" s="1">
        <f t="shared" ca="1" si="87"/>
        <v>15</v>
      </c>
      <c r="W96" s="1"/>
      <c r="X96" s="1">
        <f t="shared" ca="1" si="88"/>
        <v>0.50262073087632264</v>
      </c>
      <c r="Y96" s="1">
        <f t="shared" ca="1" si="89"/>
        <v>0.73787566763790424</v>
      </c>
      <c r="Z96" s="1">
        <f t="shared" ca="1" si="90"/>
        <v>1434</v>
      </c>
      <c r="AB96" s="1">
        <f t="shared" ca="1" si="91"/>
        <v>0.23522033623611513</v>
      </c>
      <c r="AC96" s="1">
        <f t="shared" ca="1" si="92"/>
        <v>627</v>
      </c>
      <c r="AD96" s="1">
        <f t="shared" ca="1" si="93"/>
        <v>5.7508233494722068E-3</v>
      </c>
      <c r="AE96" s="1"/>
      <c r="AF96" s="1">
        <f t="shared" ca="1" si="94"/>
        <v>0.60690918498979896</v>
      </c>
      <c r="AG96" s="1">
        <f t="shared" ca="1" si="95"/>
        <v>514</v>
      </c>
      <c r="AH96" s="1">
        <f t="shared" ca="1" si="96"/>
        <v>7.0512583897010834E-3</v>
      </c>
      <c r="AJ96" s="1">
        <f t="shared" ca="1" si="97"/>
        <v>0.79165870021682638</v>
      </c>
      <c r="AK96" s="1">
        <f t="shared" ca="1" si="98"/>
        <v>2.6188250161373393E-3</v>
      </c>
      <c r="AL96" s="1"/>
      <c r="AM96" s="1">
        <f t="shared" ca="1" si="99"/>
        <v>0.16836336094120471</v>
      </c>
      <c r="AN96" s="1">
        <f t="shared" ca="1" si="100"/>
        <v>31</v>
      </c>
      <c r="AO96" s="1">
        <f t="shared" ca="1" si="101"/>
        <v>6</v>
      </c>
      <c r="AQ96" s="1">
        <f t="shared" ca="1" si="102"/>
        <v>23</v>
      </c>
      <c r="AR96" s="1">
        <f t="shared" ca="1" si="103"/>
        <v>8</v>
      </c>
      <c r="AS96" s="1">
        <f t="shared" ca="1" si="104"/>
        <v>27</v>
      </c>
      <c r="AU96" s="1">
        <f t="shared" ca="1" si="105"/>
        <v>91</v>
      </c>
      <c r="AV96" s="1">
        <f t="shared" ca="1" si="106"/>
        <v>10</v>
      </c>
      <c r="AW96" s="1">
        <f t="shared" ca="1" si="107"/>
        <v>0.15113227045017244</v>
      </c>
      <c r="AY96" s="1">
        <f t="shared" ca="1" si="108"/>
        <v>1.4813309429068089</v>
      </c>
      <c r="AZ96" s="1">
        <f t="shared" ca="1" si="109"/>
        <v>345</v>
      </c>
      <c r="BA96" s="1">
        <f t="shared" ca="1" si="110"/>
        <v>2.1134689421068386E-3</v>
      </c>
      <c r="BG96" s="1">
        <f t="shared" ca="1" si="111"/>
        <v>0.63228822729949241</v>
      </c>
      <c r="BH96" s="1">
        <f t="shared" ca="1" si="112"/>
        <v>0.14419130541654879</v>
      </c>
      <c r="BI96" s="1">
        <f t="shared" ca="1" si="113"/>
        <v>912</v>
      </c>
      <c r="BV96" s="1">
        <f t="shared" ca="1" si="114"/>
        <v>8.5844195530704437E-2</v>
      </c>
      <c r="BW96" s="1">
        <f t="shared" ca="1" si="115"/>
        <v>903</v>
      </c>
      <c r="BX96" s="1">
        <f t="shared" ca="1" si="116"/>
        <v>8.5918260785877859E-3</v>
      </c>
      <c r="BY96" s="1">
        <f t="shared" ca="1" si="117"/>
        <v>2.2195500340946472E-2</v>
      </c>
      <c r="BZ96" s="1">
        <f t="shared" ca="1" si="118"/>
        <v>8.422324712308904E-2</v>
      </c>
      <c r="CB96" s="1">
        <f t="shared" ca="1" si="119"/>
        <v>131</v>
      </c>
      <c r="CC96" s="1">
        <f t="shared" ca="1" si="120"/>
        <v>8</v>
      </c>
      <c r="CD96" s="1">
        <f t="shared" ca="1" si="121"/>
        <v>0.29115764391875865</v>
      </c>
      <c r="CE96" s="1">
        <f t="shared" ca="1" si="122"/>
        <v>0.79246916835257941</v>
      </c>
      <c r="CF96" s="1">
        <f t="shared" ca="1" si="122"/>
        <v>0.88418018017420119</v>
      </c>
      <c r="CH96" s="3">
        <f t="shared" ca="1" si="123"/>
        <v>0.31420508802170416</v>
      </c>
      <c r="CI96" s="3">
        <f t="shared" ca="1" si="124"/>
        <v>0.58456968826170874</v>
      </c>
      <c r="CJ96" s="3">
        <f t="shared" ca="1" si="125"/>
        <v>1232</v>
      </c>
      <c r="CK96" s="3">
        <f t="shared" ca="1" si="126"/>
        <v>3.1247022013671305E-3</v>
      </c>
      <c r="CL96" s="3">
        <f t="shared" ca="1" si="127"/>
        <v>0</v>
      </c>
      <c r="CM96" s="3"/>
      <c r="CN96" s="1">
        <f t="shared" ca="1" si="128"/>
        <v>17.688405619437194</v>
      </c>
      <c r="CO96" s="1">
        <f t="shared" ca="1" si="129"/>
        <v>0.20393695723901525</v>
      </c>
      <c r="CP96" s="1">
        <f t="shared" ca="1" si="130"/>
        <v>5</v>
      </c>
      <c r="CV96" s="1">
        <f t="shared" ca="1" si="131"/>
        <v>8.6832798658606052</v>
      </c>
      <c r="CW96" s="1">
        <f t="shared" ca="1" si="132"/>
        <v>1728</v>
      </c>
      <c r="CX96" s="1">
        <f t="shared" ca="1" si="133"/>
        <v>3.5296106713923248E-3</v>
      </c>
      <c r="DH96" s="1">
        <f t="shared" ca="1" si="134"/>
        <v>360</v>
      </c>
      <c r="DI96" s="1">
        <f t="shared" ca="1" si="135"/>
        <v>0.81803948109477376</v>
      </c>
      <c r="DJ96" s="1">
        <f t="shared" ca="1" si="136"/>
        <v>22</v>
      </c>
      <c r="DL96" s="1">
        <f t="shared" ca="1" si="137"/>
        <v>0.12842155833664209</v>
      </c>
      <c r="DM96" s="1">
        <f t="shared" ca="1" si="138"/>
        <v>122</v>
      </c>
      <c r="DN96" s="1">
        <f t="shared" ca="1" si="139"/>
        <v>9</v>
      </c>
    </row>
    <row r="97" spans="2:118" x14ac:dyDescent="0.25">
      <c r="B97">
        <f t="shared" ca="1" si="72"/>
        <v>115</v>
      </c>
      <c r="C97">
        <f t="shared" ca="1" si="73"/>
        <v>2</v>
      </c>
      <c r="D97">
        <f t="shared" ca="1" si="74"/>
        <v>0.13904844350270329</v>
      </c>
      <c r="F97" s="1">
        <f t="shared" ca="1" si="75"/>
        <v>5</v>
      </c>
      <c r="G97" s="1">
        <f t="shared" ca="1" si="76"/>
        <v>17</v>
      </c>
      <c r="H97" s="1">
        <f t="shared" ca="1" si="77"/>
        <v>4</v>
      </c>
      <c r="I97" s="1"/>
      <c r="J97" s="1">
        <f t="shared" ca="1" si="78"/>
        <v>9</v>
      </c>
      <c r="K97" s="1">
        <f t="shared" ca="1" si="79"/>
        <v>2.0468447310761535</v>
      </c>
      <c r="L97" s="1">
        <f t="shared" ca="1" si="80"/>
        <v>16</v>
      </c>
      <c r="M97" s="1"/>
      <c r="N97" s="1">
        <f t="shared" ca="1" si="81"/>
        <v>854</v>
      </c>
      <c r="O97" s="1">
        <f t="shared" ca="1" si="82"/>
        <v>24</v>
      </c>
      <c r="P97" s="1"/>
      <c r="Q97" s="1">
        <f t="shared" ca="1" si="83"/>
        <v>3.9848296680135573</v>
      </c>
      <c r="R97" s="1">
        <f t="shared" ca="1" si="84"/>
        <v>403</v>
      </c>
      <c r="S97" s="1"/>
      <c r="T97" s="1">
        <f t="shared" ca="1" si="85"/>
        <v>7.2151643043513361E-2</v>
      </c>
      <c r="U97" s="1">
        <f t="shared" ca="1" si="86"/>
        <v>198</v>
      </c>
      <c r="V97" s="1">
        <f t="shared" ca="1" si="87"/>
        <v>3</v>
      </c>
      <c r="W97" s="1"/>
      <c r="X97" s="1">
        <f t="shared" ca="1" si="88"/>
        <v>4.4141579218758489</v>
      </c>
      <c r="Y97" s="1">
        <f t="shared" ca="1" si="89"/>
        <v>0.32737987365495158</v>
      </c>
      <c r="Z97" s="1">
        <f t="shared" ca="1" si="90"/>
        <v>1132</v>
      </c>
      <c r="AB97" s="1">
        <f t="shared" ca="1" si="91"/>
        <v>0.55030338469003381</v>
      </c>
      <c r="AC97" s="1">
        <f t="shared" ca="1" si="92"/>
        <v>690</v>
      </c>
      <c r="AD97" s="1">
        <f t="shared" ca="1" si="93"/>
        <v>9.9419359532168013E-3</v>
      </c>
      <c r="AE97" s="1"/>
      <c r="AF97" s="1">
        <f t="shared" ca="1" si="94"/>
        <v>0.75753406885138286</v>
      </c>
      <c r="AG97" s="1">
        <f t="shared" ca="1" si="95"/>
        <v>184</v>
      </c>
      <c r="AH97" s="1">
        <f t="shared" ca="1" si="96"/>
        <v>7.3320482324121918E-3</v>
      </c>
      <c r="AJ97" s="1">
        <f t="shared" ca="1" si="97"/>
        <v>3.1422819758936238E-2</v>
      </c>
      <c r="AK97" s="1">
        <f t="shared" ca="1" si="98"/>
        <v>9.3674074194792806E-3</v>
      </c>
      <c r="AL97" s="1"/>
      <c r="AM97" s="1">
        <f t="shared" ca="1" si="99"/>
        <v>0.17724735551995596</v>
      </c>
      <c r="AN97" s="1">
        <f t="shared" ca="1" si="100"/>
        <v>66</v>
      </c>
      <c r="AO97" s="1">
        <f t="shared" ca="1" si="101"/>
        <v>20</v>
      </c>
      <c r="AQ97" s="1">
        <f t="shared" ca="1" si="102"/>
        <v>198</v>
      </c>
      <c r="AR97" s="1">
        <f t="shared" ca="1" si="103"/>
        <v>10</v>
      </c>
      <c r="AS97" s="1">
        <f t="shared" ca="1" si="104"/>
        <v>44</v>
      </c>
      <c r="AU97" s="1">
        <f t="shared" ca="1" si="105"/>
        <v>386</v>
      </c>
      <c r="AV97" s="1">
        <f t="shared" ca="1" si="106"/>
        <v>8</v>
      </c>
      <c r="AW97" s="1">
        <f t="shared" ca="1" si="107"/>
        <v>6.1672786943204154E-2</v>
      </c>
      <c r="AY97" s="1">
        <f t="shared" ca="1" si="108"/>
        <v>1.8457569110688676</v>
      </c>
      <c r="AZ97" s="1">
        <f t="shared" ca="1" si="109"/>
        <v>131</v>
      </c>
      <c r="BA97" s="1">
        <f t="shared" ca="1" si="110"/>
        <v>7.1384044719325721E-3</v>
      </c>
      <c r="BG97" s="1">
        <f t="shared" ca="1" si="111"/>
        <v>0.18398026655169353</v>
      </c>
      <c r="BH97" s="1">
        <f t="shared" ca="1" si="112"/>
        <v>0.10423620921611576</v>
      </c>
      <c r="BI97" s="1">
        <f t="shared" ca="1" si="113"/>
        <v>430</v>
      </c>
      <c r="BV97" s="1">
        <f t="shared" ca="1" si="114"/>
        <v>0.90017376447086417</v>
      </c>
      <c r="BW97" s="1">
        <f t="shared" ca="1" si="115"/>
        <v>672</v>
      </c>
      <c r="BX97" s="1">
        <f t="shared" ca="1" si="116"/>
        <v>2.7516524350102997E-3</v>
      </c>
      <c r="BY97" s="1">
        <f t="shared" ca="1" si="117"/>
        <v>1.9451094318182302E-2</v>
      </c>
      <c r="BZ97" s="1">
        <f t="shared" ca="1" si="118"/>
        <v>0.99263645527565925</v>
      </c>
      <c r="CB97" s="1">
        <f t="shared" ca="1" si="119"/>
        <v>468</v>
      </c>
      <c r="CC97" s="1">
        <f t="shared" ca="1" si="120"/>
        <v>10</v>
      </c>
      <c r="CD97" s="1">
        <f t="shared" ca="1" si="121"/>
        <v>0.26300890968729512</v>
      </c>
      <c r="CE97" s="1">
        <f t="shared" ca="1" si="122"/>
        <v>0.94799979639421994</v>
      </c>
      <c r="CF97" s="1">
        <f t="shared" ca="1" si="122"/>
        <v>0.94447100762664604</v>
      </c>
      <c r="CH97" s="3">
        <f t="shared" ca="1" si="123"/>
        <v>5.6564449850515085E-2</v>
      </c>
      <c r="CI97" s="3">
        <f t="shared" ca="1" si="124"/>
        <v>0.15620934334405451</v>
      </c>
      <c r="CJ97" s="3">
        <f t="shared" ca="1" si="125"/>
        <v>1244</v>
      </c>
      <c r="CK97" s="3">
        <f t="shared" ca="1" si="126"/>
        <v>9.2459409738260886E-3</v>
      </c>
      <c r="CL97" s="3">
        <f t="shared" ca="1" si="127"/>
        <v>1</v>
      </c>
      <c r="CM97" s="3"/>
      <c r="CN97" s="1">
        <f t="shared" ca="1" si="128"/>
        <v>17.876930060463042</v>
      </c>
      <c r="CO97" s="1">
        <f t="shared" ca="1" si="129"/>
        <v>0.367046763951974</v>
      </c>
      <c r="CP97" s="1">
        <f t="shared" ca="1" si="130"/>
        <v>5</v>
      </c>
      <c r="CV97" s="1">
        <f t="shared" ca="1" si="131"/>
        <v>2.4081141179871657</v>
      </c>
      <c r="CW97" s="1">
        <f t="shared" ca="1" si="132"/>
        <v>1454</v>
      </c>
      <c r="CX97" s="1">
        <f t="shared" ca="1" si="133"/>
        <v>2.0658049629170011E-4</v>
      </c>
      <c r="DH97" s="1">
        <f t="shared" ca="1" si="134"/>
        <v>33</v>
      </c>
      <c r="DI97" s="1">
        <f t="shared" ca="1" si="135"/>
        <v>0.96881551279635891</v>
      </c>
      <c r="DJ97" s="1">
        <f t="shared" ca="1" si="136"/>
        <v>26</v>
      </c>
      <c r="DL97" s="1">
        <f t="shared" ca="1" si="137"/>
        <v>6.4303864293778962E-2</v>
      </c>
      <c r="DM97" s="1">
        <f t="shared" ca="1" si="138"/>
        <v>163</v>
      </c>
      <c r="DN97" s="1">
        <f t="shared" ca="1" si="139"/>
        <v>1</v>
      </c>
    </row>
    <row r="98" spans="2:118" x14ac:dyDescent="0.25">
      <c r="B98">
        <f t="shared" ca="1" si="72"/>
        <v>847</v>
      </c>
      <c r="C98">
        <f t="shared" ca="1" si="73"/>
        <v>22</v>
      </c>
      <c r="D98">
        <f t="shared" ca="1" si="74"/>
        <v>0.22244848571949105</v>
      </c>
      <c r="F98" s="1">
        <f t="shared" ca="1" si="75"/>
        <v>15</v>
      </c>
      <c r="G98" s="1">
        <f t="shared" ca="1" si="76"/>
        <v>26</v>
      </c>
      <c r="H98" s="1">
        <f t="shared" ca="1" si="77"/>
        <v>15</v>
      </c>
      <c r="I98" s="1"/>
      <c r="J98" s="1">
        <f t="shared" ca="1" si="78"/>
        <v>6</v>
      </c>
      <c r="K98" s="1">
        <f t="shared" ca="1" si="79"/>
        <v>1.4018545286020836</v>
      </c>
      <c r="L98" s="1">
        <f t="shared" ca="1" si="80"/>
        <v>28</v>
      </c>
      <c r="M98" s="1"/>
      <c r="N98" s="1">
        <f t="shared" ca="1" si="81"/>
        <v>398</v>
      </c>
      <c r="O98" s="1">
        <f t="shared" ca="1" si="82"/>
        <v>15</v>
      </c>
      <c r="P98" s="1"/>
      <c r="Q98" s="1">
        <f t="shared" ca="1" si="83"/>
        <v>2.3892586092161898</v>
      </c>
      <c r="R98" s="1">
        <f t="shared" ca="1" si="84"/>
        <v>1066</v>
      </c>
      <c r="S98" s="1"/>
      <c r="T98" s="1">
        <f t="shared" ca="1" si="85"/>
        <v>0.15153121952768764</v>
      </c>
      <c r="U98" s="1">
        <f t="shared" ca="1" si="86"/>
        <v>297</v>
      </c>
      <c r="V98" s="1">
        <f t="shared" ca="1" si="87"/>
        <v>39</v>
      </c>
      <c r="W98" s="1"/>
      <c r="X98" s="1">
        <f t="shared" ca="1" si="88"/>
        <v>1.2886528136124606</v>
      </c>
      <c r="Y98" s="1">
        <f t="shared" ca="1" si="89"/>
        <v>0.6202191682007433</v>
      </c>
      <c r="Z98" s="1">
        <f t="shared" ca="1" si="90"/>
        <v>498</v>
      </c>
      <c r="AB98" s="1">
        <f t="shared" ca="1" si="91"/>
        <v>0.16124963386849872</v>
      </c>
      <c r="AC98" s="1">
        <f t="shared" ca="1" si="92"/>
        <v>737</v>
      </c>
      <c r="AD98" s="1">
        <f t="shared" ca="1" si="93"/>
        <v>7.4975247897075235E-3</v>
      </c>
      <c r="AE98" s="1"/>
      <c r="AF98" s="1">
        <f t="shared" ca="1" si="94"/>
        <v>0.63405998179963008</v>
      </c>
      <c r="AG98" s="1">
        <f t="shared" ca="1" si="95"/>
        <v>170</v>
      </c>
      <c r="AH98" s="1">
        <f t="shared" ca="1" si="96"/>
        <v>9.8627854685251776E-3</v>
      </c>
      <c r="AJ98" s="1">
        <f t="shared" ca="1" si="97"/>
        <v>0.45610061977413774</v>
      </c>
      <c r="AK98" s="1">
        <f t="shared" ca="1" si="98"/>
        <v>8.1680588678982886E-3</v>
      </c>
      <c r="AL98" s="1"/>
      <c r="AM98" s="1">
        <f t="shared" ca="1" si="99"/>
        <v>9.3077627178251562E-2</v>
      </c>
      <c r="AN98" s="1">
        <f t="shared" ca="1" si="100"/>
        <v>11</v>
      </c>
      <c r="AO98" s="1">
        <f t="shared" ca="1" si="101"/>
        <v>9</v>
      </c>
      <c r="AQ98" s="1">
        <f t="shared" ca="1" si="102"/>
        <v>198</v>
      </c>
      <c r="AR98" s="1">
        <f t="shared" ca="1" si="103"/>
        <v>9</v>
      </c>
      <c r="AS98" s="1">
        <f t="shared" ca="1" si="104"/>
        <v>19</v>
      </c>
      <c r="AU98" s="1">
        <f t="shared" ca="1" si="105"/>
        <v>384</v>
      </c>
      <c r="AV98" s="1">
        <f t="shared" ca="1" si="106"/>
        <v>2</v>
      </c>
      <c r="AW98" s="1">
        <f t="shared" ca="1" si="107"/>
        <v>1.1799076226158809E-2</v>
      </c>
      <c r="AY98" s="1">
        <f t="shared" ca="1" si="108"/>
        <v>1.9152818918527768</v>
      </c>
      <c r="AZ98" s="1">
        <f t="shared" ca="1" si="109"/>
        <v>492</v>
      </c>
      <c r="BA98" s="1">
        <f t="shared" ca="1" si="110"/>
        <v>6.0359321305521348E-4</v>
      </c>
      <c r="BG98" s="1">
        <f t="shared" ca="1" si="111"/>
        <v>0.8901920206479581</v>
      </c>
      <c r="BH98" s="1">
        <f t="shared" ca="1" si="112"/>
        <v>0.57704663044446791</v>
      </c>
      <c r="BI98" s="1">
        <f t="shared" ca="1" si="113"/>
        <v>581</v>
      </c>
      <c r="BV98" s="1">
        <f t="shared" ca="1" si="114"/>
        <v>0.28664526763811043</v>
      </c>
      <c r="BW98" s="1">
        <f t="shared" ca="1" si="115"/>
        <v>922</v>
      </c>
      <c r="BX98" s="1">
        <f t="shared" ca="1" si="116"/>
        <v>3.7439809969134837E-3</v>
      </c>
      <c r="BY98" s="1">
        <f t="shared" ca="1" si="117"/>
        <v>3.5318621865557537E-2</v>
      </c>
      <c r="BZ98" s="1">
        <f t="shared" ca="1" si="118"/>
        <v>0.8797149827791092</v>
      </c>
      <c r="CB98" s="1">
        <f t="shared" ca="1" si="119"/>
        <v>383</v>
      </c>
      <c r="CC98" s="1">
        <f t="shared" ca="1" si="120"/>
        <v>13</v>
      </c>
      <c r="CD98" s="1">
        <f t="shared" ca="1" si="121"/>
        <v>0.1011789181036548</v>
      </c>
      <c r="CE98" s="1">
        <f t="shared" ca="1" si="122"/>
        <v>0.81117391501627134</v>
      </c>
      <c r="CF98" s="1">
        <f t="shared" ca="1" si="122"/>
        <v>0.98193753126366579</v>
      </c>
      <c r="CH98" s="3">
        <f t="shared" ca="1" si="123"/>
        <v>0.96012164184327164</v>
      </c>
      <c r="CI98" s="3">
        <f t="shared" ca="1" si="124"/>
        <v>0.42097935329160219</v>
      </c>
      <c r="CJ98" s="3">
        <f t="shared" ca="1" si="125"/>
        <v>1005</v>
      </c>
      <c r="CK98" s="3">
        <f t="shared" ca="1" si="126"/>
        <v>8.6825936761218987E-3</v>
      </c>
      <c r="CL98" s="3">
        <f t="shared" ca="1" si="127"/>
        <v>1</v>
      </c>
      <c r="CM98" s="3"/>
      <c r="CN98" s="1">
        <f t="shared" ca="1" si="128"/>
        <v>13.439903587625031</v>
      </c>
      <c r="CO98" s="1">
        <f t="shared" ca="1" si="129"/>
        <v>0.34398610073557423</v>
      </c>
      <c r="CP98" s="1">
        <f t="shared" ca="1" si="130"/>
        <v>4</v>
      </c>
      <c r="CV98" s="1">
        <f t="shared" ca="1" si="131"/>
        <v>8.9200130714880963</v>
      </c>
      <c r="CW98" s="1">
        <f t="shared" ca="1" si="132"/>
        <v>1086</v>
      </c>
      <c r="CX98" s="1">
        <f t="shared" ca="1" si="133"/>
        <v>1.8822888592861394E-3</v>
      </c>
      <c r="DH98" s="1">
        <f t="shared" ca="1" si="134"/>
        <v>755</v>
      </c>
      <c r="DI98" s="1">
        <f t="shared" ca="1" si="135"/>
        <v>0.36644843470956256</v>
      </c>
      <c r="DJ98" s="1">
        <f t="shared" ca="1" si="136"/>
        <v>10</v>
      </c>
      <c r="DL98" s="1">
        <f t="shared" ca="1" si="137"/>
        <v>0.10287781667570614</v>
      </c>
      <c r="DM98" s="1">
        <f t="shared" ca="1" si="138"/>
        <v>189</v>
      </c>
      <c r="DN98" s="1">
        <f t="shared" ca="1" si="139"/>
        <v>2</v>
      </c>
    </row>
    <row r="99" spans="2:118" x14ac:dyDescent="0.25">
      <c r="B99">
        <f t="shared" ca="1" si="72"/>
        <v>723</v>
      </c>
      <c r="C99">
        <f t="shared" ca="1" si="73"/>
        <v>49</v>
      </c>
      <c r="D99">
        <f t="shared" ca="1" si="74"/>
        <v>8.6894899953514473E-2</v>
      </c>
      <c r="F99" s="1">
        <f t="shared" ca="1" si="75"/>
        <v>19</v>
      </c>
      <c r="G99" s="1">
        <f t="shared" ca="1" si="76"/>
        <v>7</v>
      </c>
      <c r="H99" s="1">
        <f t="shared" ca="1" si="77"/>
        <v>1</v>
      </c>
      <c r="I99" s="1"/>
      <c r="J99" s="1">
        <f t="shared" ca="1" si="78"/>
        <v>26</v>
      </c>
      <c r="K99" s="1">
        <f t="shared" ca="1" si="79"/>
        <v>1.9713695190475562</v>
      </c>
      <c r="L99" s="1">
        <f t="shared" ca="1" si="80"/>
        <v>35</v>
      </c>
      <c r="M99" s="1"/>
      <c r="N99" s="1">
        <f t="shared" ca="1" si="81"/>
        <v>695</v>
      </c>
      <c r="O99" s="1">
        <f t="shared" ca="1" si="82"/>
        <v>2</v>
      </c>
      <c r="P99" s="1"/>
      <c r="Q99" s="1">
        <f t="shared" ca="1" si="83"/>
        <v>2.2900248374757903</v>
      </c>
      <c r="R99" s="1">
        <f t="shared" ca="1" si="84"/>
        <v>1176</v>
      </c>
      <c r="S99" s="1"/>
      <c r="T99" s="1">
        <f t="shared" ca="1" si="85"/>
        <v>3.8622228688789215E-2</v>
      </c>
      <c r="U99" s="1">
        <f t="shared" ca="1" si="86"/>
        <v>429</v>
      </c>
      <c r="V99" s="1">
        <f t="shared" ca="1" si="87"/>
        <v>43</v>
      </c>
      <c r="W99" s="1"/>
      <c r="X99" s="1">
        <f t="shared" ca="1" si="88"/>
        <v>3.8177658832192458</v>
      </c>
      <c r="Y99" s="1">
        <f t="shared" ca="1" si="89"/>
        <v>0.78048701047501179</v>
      </c>
      <c r="Z99" s="1">
        <f t="shared" ca="1" si="90"/>
        <v>623</v>
      </c>
      <c r="AB99" s="1">
        <f t="shared" ca="1" si="91"/>
        <v>0.84756933416435998</v>
      </c>
      <c r="AC99" s="1">
        <f t="shared" ca="1" si="92"/>
        <v>590</v>
      </c>
      <c r="AD99" s="1">
        <f t="shared" ca="1" si="93"/>
        <v>2.7495665143387037E-3</v>
      </c>
      <c r="AE99" s="1"/>
      <c r="AF99" s="1">
        <f t="shared" ca="1" si="94"/>
        <v>0.11052994004509636</v>
      </c>
      <c r="AG99" s="1">
        <f t="shared" ca="1" si="95"/>
        <v>479</v>
      </c>
      <c r="AH99" s="1">
        <f t="shared" ca="1" si="96"/>
        <v>5.8812222847942153E-3</v>
      </c>
      <c r="AJ99" s="1">
        <f t="shared" ca="1" si="97"/>
        <v>0.65900945299899449</v>
      </c>
      <c r="AK99" s="1">
        <f t="shared" ca="1" si="98"/>
        <v>1.4757597299969926E-3</v>
      </c>
      <c r="AL99" s="1"/>
      <c r="AM99" s="1">
        <f t="shared" ca="1" si="99"/>
        <v>2.1206956097003897E-2</v>
      </c>
      <c r="AN99" s="1">
        <f t="shared" ca="1" si="100"/>
        <v>38</v>
      </c>
      <c r="AO99" s="1">
        <f t="shared" ca="1" si="101"/>
        <v>18</v>
      </c>
      <c r="AQ99" s="1">
        <f t="shared" ca="1" si="102"/>
        <v>106</v>
      </c>
      <c r="AR99" s="1">
        <f t="shared" ca="1" si="103"/>
        <v>5</v>
      </c>
      <c r="AS99" s="1">
        <f t="shared" ca="1" si="104"/>
        <v>72</v>
      </c>
      <c r="AU99" s="1">
        <f t="shared" ca="1" si="105"/>
        <v>102</v>
      </c>
      <c r="AV99" s="1">
        <f t="shared" ca="1" si="106"/>
        <v>6</v>
      </c>
      <c r="AW99" s="1">
        <f t="shared" ca="1" si="107"/>
        <v>8.897786710914217E-2</v>
      </c>
      <c r="AY99" s="1">
        <f t="shared" ca="1" si="108"/>
        <v>1.7081398700570625</v>
      </c>
      <c r="AZ99" s="1">
        <f t="shared" ca="1" si="109"/>
        <v>250</v>
      </c>
      <c r="BA99" s="1">
        <f t="shared" ca="1" si="110"/>
        <v>8.9834328069060797E-3</v>
      </c>
      <c r="BG99" s="1">
        <f t="shared" ca="1" si="111"/>
        <v>0.24776509227072885</v>
      </c>
      <c r="BH99" s="1">
        <f t="shared" ca="1" si="112"/>
        <v>0.60588717566699812</v>
      </c>
      <c r="BI99" s="1">
        <f t="shared" ca="1" si="113"/>
        <v>354</v>
      </c>
      <c r="BV99" s="1">
        <f t="shared" ca="1" si="114"/>
        <v>0.51037348490641388</v>
      </c>
      <c r="BW99" s="1">
        <f t="shared" ca="1" si="115"/>
        <v>1000</v>
      </c>
      <c r="BX99" s="1">
        <f t="shared" ca="1" si="116"/>
        <v>9.958946938445316E-3</v>
      </c>
      <c r="BY99" s="1">
        <f t="shared" ca="1" si="117"/>
        <v>5.3040816175430272E-2</v>
      </c>
      <c r="BZ99" s="1">
        <f t="shared" ca="1" si="118"/>
        <v>0.24838071768515746</v>
      </c>
      <c r="CB99" s="1">
        <f t="shared" ca="1" si="119"/>
        <v>432</v>
      </c>
      <c r="CC99" s="1">
        <f t="shared" ca="1" si="120"/>
        <v>4</v>
      </c>
      <c r="CD99" s="1">
        <f t="shared" ca="1" si="121"/>
        <v>0.26644245670268563</v>
      </c>
      <c r="CE99" s="1">
        <f t="shared" ca="1" si="122"/>
        <v>0.93317246762613704</v>
      </c>
      <c r="CF99" s="1">
        <f t="shared" ca="1" si="122"/>
        <v>0.80188618293212155</v>
      </c>
      <c r="CH99" s="3">
        <f t="shared" ca="1" si="123"/>
        <v>0.42578179945915784</v>
      </c>
      <c r="CI99" s="3">
        <f t="shared" ca="1" si="124"/>
        <v>0.43453902993117366</v>
      </c>
      <c r="CJ99" s="3">
        <f t="shared" ca="1" si="125"/>
        <v>1341</v>
      </c>
      <c r="CK99" s="3">
        <f t="shared" ca="1" si="126"/>
        <v>7.1725585580115674E-3</v>
      </c>
      <c r="CL99" s="3">
        <f t="shared" ca="1" si="127"/>
        <v>0</v>
      </c>
      <c r="CM99" s="3"/>
      <c r="CN99" s="1">
        <f t="shared" ca="1" si="128"/>
        <v>1.4669319179364737</v>
      </c>
      <c r="CO99" s="1">
        <f t="shared" ca="1" si="129"/>
        <v>2.3219842067702667E-2</v>
      </c>
      <c r="CP99" s="1">
        <f t="shared" ca="1" si="130"/>
        <v>5</v>
      </c>
      <c r="CV99" s="1">
        <f t="shared" ca="1" si="131"/>
        <v>8.6018636101461201</v>
      </c>
      <c r="CW99" s="1">
        <f t="shared" ca="1" si="132"/>
        <v>1895</v>
      </c>
      <c r="CX99" s="1">
        <f t="shared" ca="1" si="133"/>
        <v>5.6975432239463972E-3</v>
      </c>
      <c r="DH99" s="1">
        <f t="shared" ca="1" si="134"/>
        <v>593</v>
      </c>
      <c r="DI99" s="1">
        <f t="shared" ca="1" si="135"/>
        <v>0.80442863661244923</v>
      </c>
      <c r="DJ99" s="1">
        <f t="shared" ca="1" si="136"/>
        <v>22</v>
      </c>
      <c r="DL99" s="1">
        <f t="shared" ca="1" si="137"/>
        <v>0.11239559926545635</v>
      </c>
      <c r="DM99" s="1">
        <f t="shared" ca="1" si="138"/>
        <v>173</v>
      </c>
      <c r="DN99" s="1">
        <f t="shared" ca="1" si="139"/>
        <v>7</v>
      </c>
    </row>
    <row r="100" spans="2:118" x14ac:dyDescent="0.25">
      <c r="B100">
        <f t="shared" ca="1" si="72"/>
        <v>31</v>
      </c>
      <c r="C100">
        <f t="shared" ca="1" si="73"/>
        <v>20</v>
      </c>
      <c r="D100">
        <f t="shared" ca="1" si="74"/>
        <v>0.23677775464051157</v>
      </c>
      <c r="F100" s="1">
        <f t="shared" ca="1" si="75"/>
        <v>39</v>
      </c>
      <c r="G100" s="1">
        <f t="shared" ca="1" si="76"/>
        <v>11</v>
      </c>
      <c r="H100" s="1">
        <f t="shared" ca="1" si="77"/>
        <v>14</v>
      </c>
      <c r="I100" s="1"/>
      <c r="J100" s="1">
        <f t="shared" ca="1" si="78"/>
        <v>1</v>
      </c>
      <c r="K100" s="1">
        <f t="shared" ca="1" si="79"/>
        <v>1.9200346110036719</v>
      </c>
      <c r="L100" s="1">
        <f t="shared" ca="1" si="80"/>
        <v>27</v>
      </c>
      <c r="M100" s="1"/>
      <c r="N100" s="1">
        <f t="shared" ca="1" si="81"/>
        <v>203</v>
      </c>
      <c r="O100" s="1">
        <f t="shared" ca="1" si="82"/>
        <v>35</v>
      </c>
      <c r="P100" s="1"/>
      <c r="Q100" s="1">
        <f t="shared" ca="1" si="83"/>
        <v>4.8633927826849446</v>
      </c>
      <c r="R100" s="1">
        <f t="shared" ca="1" si="84"/>
        <v>453</v>
      </c>
      <c r="S100" s="1"/>
      <c r="T100" s="1">
        <f t="shared" ca="1" si="85"/>
        <v>9.9214144579121255E-2</v>
      </c>
      <c r="U100" s="1">
        <f t="shared" ca="1" si="86"/>
        <v>157</v>
      </c>
      <c r="V100" s="1">
        <f t="shared" ca="1" si="87"/>
        <v>30</v>
      </c>
      <c r="W100" s="1"/>
      <c r="X100" s="1">
        <f t="shared" ca="1" si="88"/>
        <v>1.1783696169972573</v>
      </c>
      <c r="Y100" s="1">
        <f t="shared" ca="1" si="89"/>
        <v>0.55331230494835493</v>
      </c>
      <c r="Z100" s="1">
        <f t="shared" ca="1" si="90"/>
        <v>762</v>
      </c>
      <c r="AB100" s="1">
        <f t="shared" ca="1" si="91"/>
        <v>0.22237036752082345</v>
      </c>
      <c r="AC100" s="1">
        <f t="shared" ca="1" si="92"/>
        <v>634</v>
      </c>
      <c r="AD100" s="1">
        <f t="shared" ca="1" si="93"/>
        <v>9.8144173487338723E-3</v>
      </c>
      <c r="AE100" s="1"/>
      <c r="AF100" s="1">
        <f t="shared" ca="1" si="94"/>
        <v>0.29632166284344025</v>
      </c>
      <c r="AG100" s="1">
        <f t="shared" ca="1" si="95"/>
        <v>739</v>
      </c>
      <c r="AH100" s="1">
        <f t="shared" ca="1" si="96"/>
        <v>7.4307081857112687E-3</v>
      </c>
      <c r="AJ100" s="1">
        <f t="shared" ca="1" si="97"/>
        <v>0.8589334954078307</v>
      </c>
      <c r="AK100" s="1">
        <f t="shared" ca="1" si="98"/>
        <v>4.3949624613608121E-3</v>
      </c>
      <c r="AL100" s="1"/>
      <c r="AM100" s="1">
        <f t="shared" ca="1" si="99"/>
        <v>0.14941856232737885</v>
      </c>
      <c r="AN100" s="1">
        <f t="shared" ca="1" si="100"/>
        <v>73</v>
      </c>
      <c r="AO100" s="1">
        <f t="shared" ca="1" si="101"/>
        <v>1</v>
      </c>
      <c r="AQ100" s="1">
        <f t="shared" ca="1" si="102"/>
        <v>40</v>
      </c>
      <c r="AR100" s="1">
        <f t="shared" ca="1" si="103"/>
        <v>7</v>
      </c>
      <c r="AS100" s="1">
        <f t="shared" ca="1" si="104"/>
        <v>36</v>
      </c>
      <c r="AU100" s="1">
        <f t="shared" ca="1" si="105"/>
        <v>249</v>
      </c>
      <c r="AV100" s="1">
        <f t="shared" ca="1" si="106"/>
        <v>6</v>
      </c>
      <c r="AW100" s="1">
        <f t="shared" ca="1" si="107"/>
        <v>0.19403530185697962</v>
      </c>
      <c r="AY100" s="1">
        <f t="shared" ca="1" si="108"/>
        <v>1.460917229068011</v>
      </c>
      <c r="AZ100" s="1">
        <f t="shared" ca="1" si="109"/>
        <v>254</v>
      </c>
      <c r="BA100" s="1">
        <f t="shared" ca="1" si="110"/>
        <v>5.4256130795929695E-3</v>
      </c>
      <c r="BG100" s="1">
        <f t="shared" ca="1" si="111"/>
        <v>0.48934967550339059</v>
      </c>
      <c r="BH100" s="1">
        <f t="shared" ca="1" si="112"/>
        <v>0.43485510577839459</v>
      </c>
      <c r="BI100" s="1">
        <f t="shared" ca="1" si="113"/>
        <v>167</v>
      </c>
      <c r="BV100" s="1">
        <f t="shared" ca="1" si="114"/>
        <v>0.5638353011195375</v>
      </c>
      <c r="BW100" s="1">
        <f t="shared" ca="1" si="115"/>
        <v>307</v>
      </c>
      <c r="BX100" s="1">
        <f t="shared" ca="1" si="116"/>
        <v>3.9062559635300708E-3</v>
      </c>
      <c r="BY100" s="1">
        <f t="shared" ca="1" si="117"/>
        <v>6.5511402551579501E-2</v>
      </c>
      <c r="BZ100" s="1">
        <f t="shared" ca="1" si="118"/>
        <v>0.61379342533923997</v>
      </c>
      <c r="CB100" s="1">
        <f t="shared" ca="1" si="119"/>
        <v>205</v>
      </c>
      <c r="CC100" s="1">
        <f t="shared" ca="1" si="120"/>
        <v>13</v>
      </c>
      <c r="CD100" s="1">
        <f t="shared" ca="1" si="121"/>
        <v>0.22581522377082336</v>
      </c>
      <c r="CE100" s="1">
        <f t="shared" ref="CE100:CF131" ca="1" si="140">RAND()*(1-0.5)+0.5</f>
        <v>0.55618395255433284</v>
      </c>
      <c r="CF100" s="1">
        <f t="shared" ca="1" si="140"/>
        <v>0.86382089311045496</v>
      </c>
      <c r="CH100" s="3">
        <f t="shared" ca="1" si="123"/>
        <v>0.6659416788080651</v>
      </c>
      <c r="CI100" s="3">
        <f t="shared" ca="1" si="124"/>
        <v>0.93040227419057175</v>
      </c>
      <c r="CJ100" s="3">
        <f t="shared" ca="1" si="125"/>
        <v>1906</v>
      </c>
      <c r="CK100" s="3">
        <f t="shared" ca="1" si="126"/>
        <v>6.2859058035669609E-3</v>
      </c>
      <c r="CL100" s="3">
        <f t="shared" ca="1" si="127"/>
        <v>0</v>
      </c>
      <c r="CM100" s="3"/>
      <c r="CN100" s="1">
        <f t="shared" ca="1" si="128"/>
        <v>8.6718699743762677</v>
      </c>
      <c r="CO100" s="1">
        <f t="shared" ca="1" si="129"/>
        <v>4.8173536529656093E-2</v>
      </c>
      <c r="CP100" s="1">
        <f t="shared" ca="1" si="130"/>
        <v>1</v>
      </c>
      <c r="CV100" s="1">
        <f t="shared" ca="1" si="131"/>
        <v>1.7684729274254718</v>
      </c>
      <c r="CW100" s="1">
        <f t="shared" ca="1" si="132"/>
        <v>778</v>
      </c>
      <c r="CX100" s="1">
        <f t="shared" ca="1" si="133"/>
        <v>8.1516167973895101E-4</v>
      </c>
      <c r="DH100" s="1">
        <f t="shared" ca="1" si="134"/>
        <v>71</v>
      </c>
      <c r="DI100" s="1">
        <f t="shared" ca="1" si="135"/>
        <v>0.20885847923243406</v>
      </c>
      <c r="DJ100" s="1">
        <f t="shared" ca="1" si="136"/>
        <v>12</v>
      </c>
      <c r="DL100" s="1">
        <f t="shared" ca="1" si="137"/>
        <v>3.8419479613235254E-2</v>
      </c>
      <c r="DM100" s="1">
        <f t="shared" ca="1" si="138"/>
        <v>125</v>
      </c>
      <c r="DN100" s="1">
        <f t="shared" ca="1" si="139"/>
        <v>4</v>
      </c>
    </row>
    <row r="101" spans="2:118" x14ac:dyDescent="0.25">
      <c r="B101">
        <f t="shared" ca="1" si="72"/>
        <v>288</v>
      </c>
      <c r="C101">
        <f t="shared" ca="1" si="73"/>
        <v>39</v>
      </c>
      <c r="D101">
        <f t="shared" ca="1" si="74"/>
        <v>0.24963392634663353</v>
      </c>
      <c r="F101" s="1">
        <f t="shared" ca="1" si="75"/>
        <v>28</v>
      </c>
      <c r="G101" s="1">
        <f t="shared" ca="1" si="76"/>
        <v>26</v>
      </c>
      <c r="H101" s="1">
        <f t="shared" ca="1" si="77"/>
        <v>10</v>
      </c>
      <c r="I101" s="1"/>
      <c r="J101" s="1">
        <f t="shared" ca="1" si="78"/>
        <v>3</v>
      </c>
      <c r="K101" s="1">
        <f t="shared" ca="1" si="79"/>
        <v>2.3641948788598013</v>
      </c>
      <c r="L101" s="1">
        <f t="shared" ca="1" si="80"/>
        <v>9</v>
      </c>
      <c r="M101" s="1"/>
      <c r="N101" s="1">
        <f t="shared" ca="1" si="81"/>
        <v>660</v>
      </c>
      <c r="O101" s="1">
        <f t="shared" ca="1" si="82"/>
        <v>17</v>
      </c>
      <c r="P101" s="1"/>
      <c r="Q101" s="1">
        <f t="shared" ca="1" si="83"/>
        <v>2.3561955155936918</v>
      </c>
      <c r="R101" s="1">
        <f t="shared" ca="1" si="84"/>
        <v>416</v>
      </c>
      <c r="S101" s="1"/>
      <c r="T101" s="1">
        <f t="shared" ca="1" si="85"/>
        <v>0.19470418905881071</v>
      </c>
      <c r="U101" s="1">
        <f t="shared" ca="1" si="86"/>
        <v>398</v>
      </c>
      <c r="V101" s="1">
        <f t="shared" ca="1" si="87"/>
        <v>21</v>
      </c>
      <c r="W101" s="1"/>
      <c r="X101" s="1">
        <f t="shared" ca="1" si="88"/>
        <v>3.0164641437616413</v>
      </c>
      <c r="Y101" s="1">
        <f t="shared" ca="1" si="89"/>
        <v>0.9473839336717409</v>
      </c>
      <c r="Z101" s="1">
        <f t="shared" ca="1" si="90"/>
        <v>973</v>
      </c>
      <c r="AB101" s="1">
        <f t="shared" ca="1" si="91"/>
        <v>0.22137805208332087</v>
      </c>
      <c r="AC101" s="1">
        <f t="shared" ca="1" si="92"/>
        <v>517</v>
      </c>
      <c r="AD101" s="1">
        <f t="shared" ca="1" si="93"/>
        <v>8.7399404173923671E-3</v>
      </c>
      <c r="AE101" s="1"/>
      <c r="AF101" s="1">
        <f t="shared" ca="1" si="94"/>
        <v>0.69576433995409404</v>
      </c>
      <c r="AG101" s="1">
        <f t="shared" ca="1" si="95"/>
        <v>241</v>
      </c>
      <c r="AH101" s="1">
        <f t="shared" ca="1" si="96"/>
        <v>6.5086781330456365E-3</v>
      </c>
      <c r="AJ101" s="1">
        <f t="shared" ca="1" si="97"/>
        <v>0.68530809328970299</v>
      </c>
      <c r="AK101" s="1">
        <f t="shared" ca="1" si="98"/>
        <v>5.0124210926963631E-3</v>
      </c>
      <c r="AL101" s="1"/>
      <c r="AM101" s="1">
        <f t="shared" ca="1" si="99"/>
        <v>0.15422246453465199</v>
      </c>
      <c r="AN101" s="1">
        <f t="shared" ca="1" si="100"/>
        <v>65</v>
      </c>
      <c r="AO101" s="1">
        <f t="shared" ca="1" si="101"/>
        <v>19</v>
      </c>
      <c r="AQ101" s="1">
        <f t="shared" ca="1" si="102"/>
        <v>197</v>
      </c>
      <c r="AR101" s="1">
        <f t="shared" ca="1" si="103"/>
        <v>3</v>
      </c>
      <c r="AS101" s="1">
        <f t="shared" ca="1" si="104"/>
        <v>23</v>
      </c>
      <c r="AU101" s="1">
        <f t="shared" ca="1" si="105"/>
        <v>313</v>
      </c>
      <c r="AV101" s="1">
        <f t="shared" ca="1" si="106"/>
        <v>3</v>
      </c>
      <c r="AW101" s="1">
        <f t="shared" ca="1" si="107"/>
        <v>4.6456277567415896E-2</v>
      </c>
      <c r="AY101" s="1">
        <f t="shared" ca="1" si="108"/>
        <v>1.5432505630157003</v>
      </c>
      <c r="AZ101" s="1">
        <f t="shared" ca="1" si="109"/>
        <v>436</v>
      </c>
      <c r="BA101" s="1">
        <f t="shared" ca="1" si="110"/>
        <v>1.7141127136322571E-3</v>
      </c>
      <c r="BG101" s="1">
        <f t="shared" ca="1" si="111"/>
        <v>3.3981028201192478E-3</v>
      </c>
      <c r="BH101" s="1">
        <f t="shared" ca="1" si="112"/>
        <v>0.1198919319068884</v>
      </c>
      <c r="BI101" s="1">
        <f t="shared" ca="1" si="113"/>
        <v>727</v>
      </c>
      <c r="BV101" s="1">
        <f t="shared" ca="1" si="114"/>
        <v>0.45529887718168999</v>
      </c>
      <c r="BW101" s="1">
        <f t="shared" ca="1" si="115"/>
        <v>548</v>
      </c>
      <c r="BX101" s="1">
        <f t="shared" ca="1" si="116"/>
        <v>4.3287376030337688E-3</v>
      </c>
      <c r="BY101" s="1">
        <f t="shared" ca="1" si="117"/>
        <v>4.5683742788063114E-2</v>
      </c>
      <c r="BZ101" s="1">
        <f t="shared" ca="1" si="118"/>
        <v>0.87769814942009072</v>
      </c>
      <c r="CB101" s="1">
        <f t="shared" ca="1" si="119"/>
        <v>407</v>
      </c>
      <c r="CC101" s="1">
        <f t="shared" ca="1" si="120"/>
        <v>13</v>
      </c>
      <c r="CD101" s="1">
        <f t="shared" ca="1" si="121"/>
        <v>0.10822790518924656</v>
      </c>
      <c r="CE101" s="1">
        <f t="shared" ca="1" si="140"/>
        <v>0.56942004636850563</v>
      </c>
      <c r="CF101" s="1">
        <f t="shared" ca="1" si="140"/>
        <v>0.63445759452573047</v>
      </c>
      <c r="CH101" s="3">
        <f t="shared" ca="1" si="123"/>
        <v>0.60378610585734072</v>
      </c>
      <c r="CI101" s="3">
        <f t="shared" ca="1" si="124"/>
        <v>0.83154962861248671</v>
      </c>
      <c r="CJ101" s="3">
        <f t="shared" ca="1" si="125"/>
        <v>678</v>
      </c>
      <c r="CK101" s="3">
        <f t="shared" ca="1" si="126"/>
        <v>3.4332936192035608E-3</v>
      </c>
      <c r="CL101" s="3">
        <f t="shared" ca="1" si="127"/>
        <v>1</v>
      </c>
      <c r="CM101" s="3"/>
      <c r="CN101" s="1">
        <f t="shared" ca="1" si="128"/>
        <v>19.4435815003634</v>
      </c>
      <c r="CO101" s="1">
        <f t="shared" ca="1" si="129"/>
        <v>5.9861064405027954E-2</v>
      </c>
      <c r="CP101" s="1">
        <f t="shared" ca="1" si="130"/>
        <v>2</v>
      </c>
      <c r="CV101" s="1">
        <f t="shared" ca="1" si="131"/>
        <v>4.0853941497476836</v>
      </c>
      <c r="CW101" s="1">
        <f t="shared" ca="1" si="132"/>
        <v>1222</v>
      </c>
      <c r="CX101" s="1">
        <f t="shared" ca="1" si="133"/>
        <v>4.0997572343937274E-3</v>
      </c>
      <c r="DH101" s="1">
        <f t="shared" ca="1" si="134"/>
        <v>799</v>
      </c>
      <c r="DI101" s="1">
        <f t="shared" ca="1" si="135"/>
        <v>0.99998688685017378</v>
      </c>
      <c r="DJ101" s="1">
        <f t="shared" ca="1" si="136"/>
        <v>30</v>
      </c>
      <c r="DL101" s="1">
        <f t="shared" ca="1" si="137"/>
        <v>0.11882252032472812</v>
      </c>
      <c r="DM101" s="1">
        <f t="shared" ca="1" si="138"/>
        <v>82</v>
      </c>
      <c r="DN101" s="1">
        <f t="shared" ca="1" si="139"/>
        <v>2</v>
      </c>
    </row>
    <row r="102" spans="2:118" x14ac:dyDescent="0.25">
      <c r="B102">
        <f t="shared" ca="1" si="72"/>
        <v>847</v>
      </c>
      <c r="C102">
        <f t="shared" ca="1" si="73"/>
        <v>11</v>
      </c>
      <c r="D102">
        <f t="shared" ca="1" si="74"/>
        <v>0.20196828369129755</v>
      </c>
      <c r="F102" s="1">
        <f t="shared" ca="1" si="75"/>
        <v>24</v>
      </c>
      <c r="G102" s="1">
        <f t="shared" ca="1" si="76"/>
        <v>6</v>
      </c>
      <c r="H102" s="1">
        <f t="shared" ca="1" si="77"/>
        <v>11</v>
      </c>
      <c r="I102" s="1"/>
      <c r="J102" s="1">
        <f t="shared" ca="1" si="78"/>
        <v>17</v>
      </c>
      <c r="K102" s="1">
        <f t="shared" ca="1" si="79"/>
        <v>2.5290933078585067</v>
      </c>
      <c r="L102" s="1">
        <f t="shared" ca="1" si="80"/>
        <v>19</v>
      </c>
      <c r="M102" s="1"/>
      <c r="N102" s="1">
        <f t="shared" ca="1" si="81"/>
        <v>278</v>
      </c>
      <c r="O102" s="1">
        <f t="shared" ca="1" si="82"/>
        <v>25</v>
      </c>
      <c r="P102" s="1"/>
      <c r="Q102" s="1">
        <f t="shared" ca="1" si="83"/>
        <v>3.1904928817360987</v>
      </c>
      <c r="R102" s="1">
        <f t="shared" ca="1" si="84"/>
        <v>417</v>
      </c>
      <c r="S102" s="1"/>
      <c r="T102" s="1">
        <f t="shared" ca="1" si="85"/>
        <v>0.11891354568688529</v>
      </c>
      <c r="U102" s="1">
        <f t="shared" ca="1" si="86"/>
        <v>375</v>
      </c>
      <c r="V102" s="1">
        <f t="shared" ca="1" si="87"/>
        <v>24</v>
      </c>
      <c r="W102" s="1"/>
      <c r="X102" s="1">
        <f t="shared" ca="1" si="88"/>
        <v>8.2583708651651797</v>
      </c>
      <c r="Y102" s="1">
        <f t="shared" ca="1" si="89"/>
        <v>0.26374643307659923</v>
      </c>
      <c r="Z102" s="1">
        <f t="shared" ca="1" si="90"/>
        <v>697</v>
      </c>
      <c r="AB102" s="1">
        <f t="shared" ca="1" si="91"/>
        <v>0.94735697476152159</v>
      </c>
      <c r="AC102" s="1">
        <f t="shared" ca="1" si="92"/>
        <v>961</v>
      </c>
      <c r="AD102" s="1">
        <f t="shared" ca="1" si="93"/>
        <v>4.739268695690772E-3</v>
      </c>
      <c r="AE102" s="1"/>
      <c r="AF102" s="1">
        <f t="shared" ca="1" si="94"/>
        <v>0.42463527620254526</v>
      </c>
      <c r="AG102" s="1">
        <f t="shared" ca="1" si="95"/>
        <v>268</v>
      </c>
      <c r="AH102" s="1">
        <f t="shared" ca="1" si="96"/>
        <v>5.7786328056814188E-3</v>
      </c>
      <c r="AJ102" s="1">
        <f t="shared" ca="1" si="97"/>
        <v>0.79905921095092836</v>
      </c>
      <c r="AK102" s="1">
        <f t="shared" ca="1" si="98"/>
        <v>3.0961063250956652E-3</v>
      </c>
      <c r="AL102" s="1"/>
      <c r="AM102" s="1">
        <f t="shared" ca="1" si="99"/>
        <v>6.5815039059998512E-2</v>
      </c>
      <c r="AN102" s="1">
        <f t="shared" ca="1" si="100"/>
        <v>79</v>
      </c>
      <c r="AO102" s="1">
        <f t="shared" ca="1" si="101"/>
        <v>4</v>
      </c>
      <c r="AQ102" s="1">
        <f t="shared" ca="1" si="102"/>
        <v>90</v>
      </c>
      <c r="AR102" s="1">
        <f t="shared" ca="1" si="103"/>
        <v>4</v>
      </c>
      <c r="AS102" s="1">
        <f t="shared" ca="1" si="104"/>
        <v>78</v>
      </c>
      <c r="AU102" s="1">
        <f t="shared" ca="1" si="105"/>
        <v>331</v>
      </c>
      <c r="AV102" s="1">
        <f t="shared" ca="1" si="106"/>
        <v>8</v>
      </c>
      <c r="AW102" s="1">
        <f t="shared" ca="1" si="107"/>
        <v>6.9907341696815006E-2</v>
      </c>
      <c r="AY102" s="1">
        <f t="shared" ca="1" si="108"/>
        <v>1.8755378622372305</v>
      </c>
      <c r="AZ102" s="1">
        <f t="shared" ca="1" si="109"/>
        <v>341</v>
      </c>
      <c r="BA102" s="1">
        <f t="shared" ca="1" si="110"/>
        <v>7.5560885822405438E-3</v>
      </c>
      <c r="BG102" s="1">
        <f t="shared" ca="1" si="111"/>
        <v>0.8977995316416264</v>
      </c>
      <c r="BH102" s="1">
        <f t="shared" ca="1" si="112"/>
        <v>0.94766709526565296</v>
      </c>
      <c r="BI102" s="1">
        <f t="shared" ca="1" si="113"/>
        <v>304</v>
      </c>
      <c r="BV102" s="1">
        <f t="shared" ca="1" si="114"/>
        <v>0.43840765697151091</v>
      </c>
      <c r="BW102" s="1">
        <f t="shared" ca="1" si="115"/>
        <v>513</v>
      </c>
      <c r="BX102" s="1">
        <f t="shared" ca="1" si="116"/>
        <v>3.9349725187672845E-3</v>
      </c>
      <c r="BY102" s="1">
        <f t="shared" ca="1" si="117"/>
        <v>8.6673536059267781E-2</v>
      </c>
      <c r="BZ102" s="1">
        <f t="shared" ca="1" si="118"/>
        <v>0.84662472854597259</v>
      </c>
      <c r="CB102" s="1">
        <f t="shared" ca="1" si="119"/>
        <v>457</v>
      </c>
      <c r="CC102" s="1">
        <f t="shared" ca="1" si="120"/>
        <v>5</v>
      </c>
      <c r="CD102" s="1">
        <f t="shared" ca="1" si="121"/>
        <v>0.11621359352867856</v>
      </c>
      <c r="CE102" s="1">
        <f t="shared" ca="1" si="140"/>
        <v>0.65399233834942938</v>
      </c>
      <c r="CF102" s="1">
        <f t="shared" ca="1" si="140"/>
        <v>0.80916044457629677</v>
      </c>
      <c r="CH102" s="3">
        <f t="shared" ca="1" si="123"/>
        <v>0.2920125455207136</v>
      </c>
      <c r="CI102" s="3">
        <f t="shared" ca="1" si="124"/>
        <v>0.44494174591852337</v>
      </c>
      <c r="CJ102" s="3">
        <f t="shared" ca="1" si="125"/>
        <v>1846</v>
      </c>
      <c r="CK102" s="3">
        <f t="shared" ca="1" si="126"/>
        <v>5.024491433250065E-3</v>
      </c>
      <c r="CL102" s="3">
        <f t="shared" ca="1" si="127"/>
        <v>0</v>
      </c>
      <c r="CM102" s="3"/>
      <c r="CN102" s="1">
        <f t="shared" ca="1" si="128"/>
        <v>17.93323354680388</v>
      </c>
      <c r="CO102" s="1">
        <f t="shared" ca="1" si="129"/>
        <v>0.31662663593191898</v>
      </c>
      <c r="CP102" s="1">
        <f t="shared" ca="1" si="130"/>
        <v>2</v>
      </c>
      <c r="CV102" s="1">
        <f t="shared" ca="1" si="131"/>
        <v>3.1659270690095407</v>
      </c>
      <c r="CW102" s="1">
        <f t="shared" ca="1" si="132"/>
        <v>1996</v>
      </c>
      <c r="CX102" s="1">
        <f t="shared" ca="1" si="133"/>
        <v>9.1914504035201326E-3</v>
      </c>
      <c r="DH102" s="1">
        <f t="shared" ca="1" si="134"/>
        <v>224</v>
      </c>
      <c r="DI102" s="1">
        <f t="shared" ca="1" si="135"/>
        <v>0.24862312051750568</v>
      </c>
      <c r="DJ102" s="1">
        <f t="shared" ca="1" si="136"/>
        <v>29</v>
      </c>
      <c r="DL102" s="1">
        <f t="shared" ca="1" si="137"/>
        <v>4.2182667280648664E-2</v>
      </c>
      <c r="DM102" s="1">
        <f t="shared" ca="1" si="138"/>
        <v>239</v>
      </c>
      <c r="DN102" s="1">
        <f t="shared" ca="1" si="139"/>
        <v>3</v>
      </c>
    </row>
    <row r="103" spans="2:118" x14ac:dyDescent="0.25">
      <c r="B103">
        <f t="shared" ca="1" si="72"/>
        <v>489</v>
      </c>
      <c r="C103">
        <f t="shared" ca="1" si="73"/>
        <v>36</v>
      </c>
      <c r="D103">
        <f t="shared" ca="1" si="74"/>
        <v>0.16067167631908147</v>
      </c>
      <c r="F103" s="1">
        <f t="shared" ca="1" si="75"/>
        <v>30</v>
      </c>
      <c r="G103" s="1">
        <f t="shared" ca="1" si="76"/>
        <v>22</v>
      </c>
      <c r="H103" s="1">
        <f t="shared" ca="1" si="77"/>
        <v>14</v>
      </c>
      <c r="I103" s="1"/>
      <c r="J103" s="1">
        <f t="shared" ca="1" si="78"/>
        <v>15</v>
      </c>
      <c r="K103" s="1">
        <f t="shared" ca="1" si="79"/>
        <v>1.4758669047427042</v>
      </c>
      <c r="L103" s="1">
        <f t="shared" ca="1" si="80"/>
        <v>6</v>
      </c>
      <c r="M103" s="1"/>
      <c r="N103" s="1">
        <f t="shared" ca="1" si="81"/>
        <v>941</v>
      </c>
      <c r="O103" s="1">
        <f t="shared" ca="1" si="82"/>
        <v>17</v>
      </c>
      <c r="P103" s="1"/>
      <c r="Q103" s="1">
        <f t="shared" ca="1" si="83"/>
        <v>3.9501127626581662</v>
      </c>
      <c r="R103" s="1">
        <f t="shared" ca="1" si="84"/>
        <v>430</v>
      </c>
      <c r="S103" s="1"/>
      <c r="T103" s="1">
        <f t="shared" ca="1" si="85"/>
        <v>9.712365834928649E-2</v>
      </c>
      <c r="U103" s="1">
        <f t="shared" ca="1" si="86"/>
        <v>101</v>
      </c>
      <c r="V103" s="1">
        <f t="shared" ca="1" si="87"/>
        <v>8</v>
      </c>
      <c r="W103" s="1"/>
      <c r="X103" s="1">
        <f t="shared" ca="1" si="88"/>
        <v>7.1801052154678748</v>
      </c>
      <c r="Y103" s="1">
        <f t="shared" ca="1" si="89"/>
        <v>1.2900000011872583E-2</v>
      </c>
      <c r="Z103" s="1">
        <f t="shared" ca="1" si="90"/>
        <v>662</v>
      </c>
      <c r="AB103" s="1">
        <f t="shared" ca="1" si="91"/>
        <v>4.3297479296089672E-3</v>
      </c>
      <c r="AC103" s="1">
        <f t="shared" ca="1" si="92"/>
        <v>694</v>
      </c>
      <c r="AD103" s="1">
        <f t="shared" ca="1" si="93"/>
        <v>1.8772861190769139E-4</v>
      </c>
      <c r="AE103" s="1"/>
      <c r="AF103" s="1">
        <f t="shared" ca="1" si="94"/>
        <v>0.21463963514880666</v>
      </c>
      <c r="AG103" s="1">
        <f t="shared" ca="1" si="95"/>
        <v>212</v>
      </c>
      <c r="AH103" s="1">
        <f t="shared" ca="1" si="96"/>
        <v>2.8992201029954833E-3</v>
      </c>
      <c r="AJ103" s="1">
        <f t="shared" ca="1" si="97"/>
        <v>0.97676872031662476</v>
      </c>
      <c r="AK103" s="1">
        <f t="shared" ca="1" si="98"/>
        <v>2.4417096810678868E-3</v>
      </c>
      <c r="AL103" s="1"/>
      <c r="AM103" s="1">
        <f t="shared" ca="1" si="99"/>
        <v>4.5272833340672926E-2</v>
      </c>
      <c r="AN103" s="1">
        <f t="shared" ca="1" si="100"/>
        <v>71</v>
      </c>
      <c r="AO103" s="1">
        <f t="shared" ca="1" si="101"/>
        <v>8</v>
      </c>
      <c r="AQ103" s="1">
        <f t="shared" ca="1" si="102"/>
        <v>163</v>
      </c>
      <c r="AR103" s="1">
        <f t="shared" ca="1" si="103"/>
        <v>8</v>
      </c>
      <c r="AS103" s="1">
        <f t="shared" ca="1" si="104"/>
        <v>85</v>
      </c>
      <c r="AU103" s="1">
        <f t="shared" ca="1" si="105"/>
        <v>73</v>
      </c>
      <c r="AV103" s="1">
        <f t="shared" ca="1" si="106"/>
        <v>5</v>
      </c>
      <c r="AW103" s="1">
        <f t="shared" ca="1" si="107"/>
        <v>5.1340883408144487E-2</v>
      </c>
      <c r="AY103" s="1">
        <f t="shared" ca="1" si="108"/>
        <v>1.6937253761675002</v>
      </c>
      <c r="AZ103" s="1">
        <f t="shared" ca="1" si="109"/>
        <v>104</v>
      </c>
      <c r="BA103" s="1">
        <f t="shared" ca="1" si="110"/>
        <v>5.7374247325592759E-3</v>
      </c>
      <c r="BG103" s="1">
        <f t="shared" ca="1" si="111"/>
        <v>9.5222520657403317E-2</v>
      </c>
      <c r="BH103" s="1">
        <f t="shared" ca="1" si="112"/>
        <v>0.62543624798586495</v>
      </c>
      <c r="BI103" s="1">
        <f t="shared" ca="1" si="113"/>
        <v>616</v>
      </c>
      <c r="BV103" s="1">
        <f t="shared" ca="1" si="114"/>
        <v>0.4400873348942107</v>
      </c>
      <c r="BW103" s="1">
        <f t="shared" ca="1" si="115"/>
        <v>732</v>
      </c>
      <c r="BX103" s="1">
        <f t="shared" ca="1" si="116"/>
        <v>8.408698129915201E-3</v>
      </c>
      <c r="BY103" s="1">
        <f t="shared" ca="1" si="117"/>
        <v>6.6464538193007669E-2</v>
      </c>
      <c r="BZ103" s="1">
        <f t="shared" ca="1" si="118"/>
        <v>0.69846135175094648</v>
      </c>
      <c r="CB103" s="1">
        <f t="shared" ca="1" si="119"/>
        <v>202</v>
      </c>
      <c r="CC103" s="1">
        <f t="shared" ca="1" si="120"/>
        <v>6</v>
      </c>
      <c r="CD103" s="1">
        <f t="shared" ca="1" si="121"/>
        <v>0.24327004134727825</v>
      </c>
      <c r="CE103" s="1">
        <f t="shared" ca="1" si="140"/>
        <v>0.87921082124213723</v>
      </c>
      <c r="CF103" s="1">
        <f t="shared" ca="1" si="140"/>
        <v>0.93492307405687491</v>
      </c>
      <c r="CH103" s="3">
        <f t="shared" ca="1" si="123"/>
        <v>0.30983251607248036</v>
      </c>
      <c r="CI103" s="3">
        <f t="shared" ca="1" si="124"/>
        <v>0.41959630691359612</v>
      </c>
      <c r="CJ103" s="3">
        <f t="shared" ca="1" si="125"/>
        <v>359</v>
      </c>
      <c r="CK103" s="3">
        <f t="shared" ca="1" si="126"/>
        <v>5.6754331137779217E-3</v>
      </c>
      <c r="CL103" s="3">
        <f t="shared" ca="1" si="127"/>
        <v>1</v>
      </c>
      <c r="CM103" s="3"/>
      <c r="CN103" s="1">
        <f t="shared" ca="1" si="128"/>
        <v>4.7860893716998456</v>
      </c>
      <c r="CO103" s="1">
        <f t="shared" ca="1" si="129"/>
        <v>0.40287537864508716</v>
      </c>
      <c r="CP103" s="1">
        <f t="shared" ca="1" si="130"/>
        <v>5</v>
      </c>
      <c r="CV103" s="1">
        <f t="shared" ca="1" si="131"/>
        <v>8.0649992527710879</v>
      </c>
      <c r="CW103" s="1">
        <f t="shared" ca="1" si="132"/>
        <v>1524</v>
      </c>
      <c r="CX103" s="1">
        <f t="shared" ca="1" si="133"/>
        <v>4.8817471815645608E-3</v>
      </c>
      <c r="DH103" s="1">
        <f t="shared" ca="1" si="134"/>
        <v>182</v>
      </c>
      <c r="DI103" s="1">
        <f t="shared" ca="1" si="135"/>
        <v>0.3870462313022785</v>
      </c>
      <c r="DJ103" s="1">
        <f t="shared" ca="1" si="136"/>
        <v>27</v>
      </c>
      <c r="DL103" s="1">
        <f t="shared" ca="1" si="137"/>
        <v>1.3907475581971092E-2</v>
      </c>
      <c r="DM103" s="1">
        <f t="shared" ca="1" si="138"/>
        <v>51</v>
      </c>
      <c r="DN103" s="1">
        <f t="shared" ca="1" si="139"/>
        <v>10</v>
      </c>
    </row>
    <row r="104" spans="2:118" x14ac:dyDescent="0.25">
      <c r="B104">
        <f t="shared" ca="1" si="72"/>
        <v>35</v>
      </c>
      <c r="C104">
        <f t="shared" ca="1" si="73"/>
        <v>17</v>
      </c>
      <c r="D104">
        <f t="shared" ca="1" si="74"/>
        <v>2.5549616522554195E-2</v>
      </c>
      <c r="F104" s="1">
        <f t="shared" ca="1" si="75"/>
        <v>44</v>
      </c>
      <c r="G104" s="1">
        <f t="shared" ca="1" si="76"/>
        <v>22</v>
      </c>
      <c r="H104" s="1">
        <f t="shared" ca="1" si="77"/>
        <v>4</v>
      </c>
      <c r="I104" s="1"/>
      <c r="J104" s="1">
        <f t="shared" ca="1" si="78"/>
        <v>23</v>
      </c>
      <c r="K104" s="1">
        <f t="shared" ca="1" si="79"/>
        <v>2.1157965000922885</v>
      </c>
      <c r="L104" s="1">
        <f t="shared" ca="1" si="80"/>
        <v>4</v>
      </c>
      <c r="M104" s="1"/>
      <c r="N104" s="1">
        <f t="shared" ca="1" si="81"/>
        <v>859</v>
      </c>
      <c r="O104" s="1">
        <f t="shared" ca="1" si="82"/>
        <v>15</v>
      </c>
      <c r="P104" s="1"/>
      <c r="Q104" s="1">
        <f t="shared" ca="1" si="83"/>
        <v>4.4709703228551625</v>
      </c>
      <c r="R104" s="1">
        <f t="shared" ca="1" si="84"/>
        <v>1106</v>
      </c>
      <c r="S104" s="1"/>
      <c r="T104" s="1">
        <f t="shared" ca="1" si="85"/>
        <v>5.8669695689037418E-2</v>
      </c>
      <c r="U104" s="1">
        <f t="shared" ca="1" si="86"/>
        <v>371</v>
      </c>
      <c r="V104" s="1">
        <f t="shared" ca="1" si="87"/>
        <v>35</v>
      </c>
      <c r="W104" s="1"/>
      <c r="X104" s="1">
        <f t="shared" ca="1" si="88"/>
        <v>2.5622984210738804</v>
      </c>
      <c r="Y104" s="1">
        <f t="shared" ca="1" si="89"/>
        <v>0.70000624979986392</v>
      </c>
      <c r="Z104" s="1">
        <f t="shared" ca="1" si="90"/>
        <v>1669</v>
      </c>
      <c r="AB104" s="1">
        <f t="shared" ca="1" si="91"/>
        <v>0.28836404567026191</v>
      </c>
      <c r="AC104" s="1">
        <f t="shared" ca="1" si="92"/>
        <v>470</v>
      </c>
      <c r="AD104" s="1">
        <f t="shared" ca="1" si="93"/>
        <v>9.7022350183785886E-3</v>
      </c>
      <c r="AE104" s="1"/>
      <c r="AF104" s="1">
        <f t="shared" ca="1" si="94"/>
        <v>0.5051652531356845</v>
      </c>
      <c r="AG104" s="1">
        <f t="shared" ca="1" si="95"/>
        <v>543</v>
      </c>
      <c r="AH104" s="1">
        <f t="shared" ca="1" si="96"/>
        <v>6.3740084019510996E-3</v>
      </c>
      <c r="AJ104" s="1">
        <f t="shared" ca="1" si="97"/>
        <v>0.37487619453844867</v>
      </c>
      <c r="AK104" s="1">
        <f t="shared" ca="1" si="98"/>
        <v>2.7378650530210553E-3</v>
      </c>
      <c r="AL104" s="1"/>
      <c r="AM104" s="1">
        <f t="shared" ca="1" si="99"/>
        <v>0.19239610388592593</v>
      </c>
      <c r="AN104" s="1">
        <f t="shared" ca="1" si="100"/>
        <v>78</v>
      </c>
      <c r="AO104" s="1">
        <f t="shared" ca="1" si="101"/>
        <v>14</v>
      </c>
      <c r="AQ104" s="1">
        <f t="shared" ca="1" si="102"/>
        <v>65</v>
      </c>
      <c r="AR104" s="1">
        <f t="shared" ca="1" si="103"/>
        <v>8</v>
      </c>
      <c r="AS104" s="1">
        <f t="shared" ca="1" si="104"/>
        <v>13</v>
      </c>
      <c r="AU104" s="1">
        <f t="shared" ca="1" si="105"/>
        <v>251</v>
      </c>
      <c r="AV104" s="1">
        <f t="shared" ca="1" si="106"/>
        <v>2</v>
      </c>
      <c r="AW104" s="1">
        <f t="shared" ca="1" si="107"/>
        <v>0.17689246872026479</v>
      </c>
      <c r="AY104" s="1">
        <f t="shared" ca="1" si="108"/>
        <v>1.2617067160929596</v>
      </c>
      <c r="AZ104" s="1">
        <f t="shared" ca="1" si="109"/>
        <v>344</v>
      </c>
      <c r="BA104" s="1">
        <f t="shared" ca="1" si="110"/>
        <v>4.02368958631896E-3</v>
      </c>
      <c r="BG104" s="1">
        <f t="shared" ca="1" si="111"/>
        <v>0.54760517469732772</v>
      </c>
      <c r="BH104" s="1">
        <f t="shared" ca="1" si="112"/>
        <v>0.90670652304895183</v>
      </c>
      <c r="BI104" s="1">
        <f t="shared" ca="1" si="113"/>
        <v>931</v>
      </c>
      <c r="BV104" s="1">
        <f t="shared" ca="1" si="114"/>
        <v>0.16741924241925243</v>
      </c>
      <c r="BW104" s="1">
        <f t="shared" ca="1" si="115"/>
        <v>867</v>
      </c>
      <c r="BX104" s="1">
        <f t="shared" ca="1" si="116"/>
        <v>6.1725413107824043E-3</v>
      </c>
      <c r="BY104" s="1">
        <f t="shared" ca="1" si="117"/>
        <v>9.9379267564203677E-2</v>
      </c>
      <c r="BZ104" s="1">
        <f t="shared" ca="1" si="118"/>
        <v>0.31196664502436056</v>
      </c>
      <c r="CB104" s="1">
        <f t="shared" ca="1" si="119"/>
        <v>445</v>
      </c>
      <c r="CC104" s="1">
        <f t="shared" ca="1" si="120"/>
        <v>10</v>
      </c>
      <c r="CD104" s="1">
        <f t="shared" ca="1" si="121"/>
        <v>0.2000040360240615</v>
      </c>
      <c r="CE104" s="1">
        <f t="shared" ca="1" si="140"/>
        <v>0.86421970039853291</v>
      </c>
      <c r="CF104" s="1">
        <f t="shared" ca="1" si="140"/>
        <v>0.63287396980316402</v>
      </c>
      <c r="CH104" s="3">
        <f t="shared" ca="1" si="123"/>
        <v>9.1765763801684816E-2</v>
      </c>
      <c r="CI104" s="3">
        <f t="shared" ca="1" si="124"/>
        <v>0.24497954218720452</v>
      </c>
      <c r="CJ104" s="3">
        <f t="shared" ca="1" si="125"/>
        <v>1426</v>
      </c>
      <c r="CK104" s="3">
        <f t="shared" ca="1" si="126"/>
        <v>7.9758980651723523E-3</v>
      </c>
      <c r="CL104" s="3">
        <f t="shared" ca="1" si="127"/>
        <v>1</v>
      </c>
      <c r="CM104" s="3"/>
      <c r="CN104" s="1">
        <f t="shared" ca="1" si="128"/>
        <v>9.9081984997125456</v>
      </c>
      <c r="CO104" s="1">
        <f t="shared" ca="1" si="129"/>
        <v>0.16237311300316687</v>
      </c>
      <c r="CP104" s="1">
        <f t="shared" ca="1" si="130"/>
        <v>2</v>
      </c>
      <c r="CV104" s="1">
        <f t="shared" ca="1" si="131"/>
        <v>2.9926592256107893</v>
      </c>
      <c r="CW104" s="1">
        <f t="shared" ca="1" si="132"/>
        <v>484</v>
      </c>
      <c r="CX104" s="1">
        <f t="shared" ca="1" si="133"/>
        <v>1.3174099146597254E-3</v>
      </c>
      <c r="DH104" s="1">
        <f t="shared" ca="1" si="134"/>
        <v>466</v>
      </c>
      <c r="DI104" s="1">
        <f t="shared" ca="1" si="135"/>
        <v>0.95323163684025836</v>
      </c>
      <c r="DJ104" s="1">
        <f t="shared" ca="1" si="136"/>
        <v>13</v>
      </c>
      <c r="DL104" s="1">
        <f t="shared" ca="1" si="137"/>
        <v>0.19698157050302734</v>
      </c>
      <c r="DM104" s="1">
        <f t="shared" ca="1" si="138"/>
        <v>62</v>
      </c>
      <c r="DN104" s="1">
        <f t="shared" ca="1" si="139"/>
        <v>9</v>
      </c>
    </row>
    <row r="105" spans="2:118" x14ac:dyDescent="0.25">
      <c r="B105">
        <f t="shared" ca="1" si="72"/>
        <v>55</v>
      </c>
      <c r="C105">
        <f t="shared" ca="1" si="73"/>
        <v>22</v>
      </c>
      <c r="D105">
        <f t="shared" ca="1" si="74"/>
        <v>2.4853391389860598E-2</v>
      </c>
      <c r="F105" s="1">
        <f t="shared" ca="1" si="75"/>
        <v>12</v>
      </c>
      <c r="G105" s="1">
        <f t="shared" ca="1" si="76"/>
        <v>10</v>
      </c>
      <c r="H105" s="1">
        <f t="shared" ca="1" si="77"/>
        <v>4</v>
      </c>
      <c r="I105" s="1"/>
      <c r="J105" s="1">
        <f t="shared" ca="1" si="78"/>
        <v>16</v>
      </c>
      <c r="K105" s="1">
        <f t="shared" ca="1" si="79"/>
        <v>1.6457651830891493</v>
      </c>
      <c r="L105" s="1">
        <f t="shared" ca="1" si="80"/>
        <v>18</v>
      </c>
      <c r="M105" s="1"/>
      <c r="N105" s="1">
        <f t="shared" ca="1" si="81"/>
        <v>217</v>
      </c>
      <c r="O105" s="1">
        <f t="shared" ca="1" si="82"/>
        <v>37</v>
      </c>
      <c r="P105" s="1"/>
      <c r="Q105" s="1">
        <f t="shared" ca="1" si="83"/>
        <v>1.2267153407761917</v>
      </c>
      <c r="R105" s="1">
        <f t="shared" ca="1" si="84"/>
        <v>1114</v>
      </c>
      <c r="S105" s="1"/>
      <c r="T105" s="1">
        <f t="shared" ca="1" si="85"/>
        <v>5.7723142525900419E-2</v>
      </c>
      <c r="U105" s="1">
        <f t="shared" ca="1" si="86"/>
        <v>78</v>
      </c>
      <c r="V105" s="1">
        <f t="shared" ca="1" si="87"/>
        <v>4</v>
      </c>
      <c r="W105" s="1"/>
      <c r="X105" s="1">
        <f t="shared" ca="1" si="88"/>
        <v>8.1137907066999375</v>
      </c>
      <c r="Y105" s="1">
        <f t="shared" ca="1" si="89"/>
        <v>0.64535412014845972</v>
      </c>
      <c r="Z105" s="1">
        <f t="shared" ca="1" si="90"/>
        <v>1797</v>
      </c>
      <c r="AB105" s="1">
        <f t="shared" ca="1" si="91"/>
        <v>0.64392592514149916</v>
      </c>
      <c r="AC105" s="1">
        <f t="shared" ca="1" si="92"/>
        <v>772</v>
      </c>
      <c r="AD105" s="1">
        <f t="shared" ca="1" si="93"/>
        <v>5.9516783707424105E-4</v>
      </c>
      <c r="AE105" s="1"/>
      <c r="AF105" s="1">
        <f t="shared" ca="1" si="94"/>
        <v>0.4361474548690919</v>
      </c>
      <c r="AG105" s="1">
        <f t="shared" ca="1" si="95"/>
        <v>830</v>
      </c>
      <c r="AH105" s="1">
        <f t="shared" ca="1" si="96"/>
        <v>5.0725456796443325E-3</v>
      </c>
      <c r="AJ105" s="1">
        <f t="shared" ca="1" si="97"/>
        <v>0.83002274737205484</v>
      </c>
      <c r="AK105" s="1">
        <f t="shared" ca="1" si="98"/>
        <v>8.8932473492833177E-4</v>
      </c>
      <c r="AL105" s="1"/>
      <c r="AM105" s="1">
        <f t="shared" ca="1" si="99"/>
        <v>0.11262752332911459</v>
      </c>
      <c r="AN105" s="1">
        <f t="shared" ca="1" si="100"/>
        <v>49</v>
      </c>
      <c r="AO105" s="1">
        <f t="shared" ca="1" si="101"/>
        <v>16</v>
      </c>
      <c r="AQ105" s="1">
        <f t="shared" ca="1" si="102"/>
        <v>16</v>
      </c>
      <c r="AR105" s="1">
        <f t="shared" ca="1" si="103"/>
        <v>4</v>
      </c>
      <c r="AS105" s="1">
        <f t="shared" ca="1" si="104"/>
        <v>60</v>
      </c>
      <c r="AU105" s="1">
        <f t="shared" ca="1" si="105"/>
        <v>346</v>
      </c>
      <c r="AV105" s="1">
        <f t="shared" ca="1" si="106"/>
        <v>6</v>
      </c>
      <c r="AW105" s="1">
        <f t="shared" ca="1" si="107"/>
        <v>0.16815607775346911</v>
      </c>
      <c r="AY105" s="1">
        <f t="shared" ca="1" si="108"/>
        <v>1.6104096853872736</v>
      </c>
      <c r="AZ105" s="1">
        <f t="shared" ca="1" si="109"/>
        <v>291</v>
      </c>
      <c r="BA105" s="1">
        <f t="shared" ca="1" si="110"/>
        <v>1.4986551194481261E-3</v>
      </c>
      <c r="BG105" s="1">
        <f t="shared" ca="1" si="111"/>
        <v>0.54621503591975962</v>
      </c>
      <c r="BH105" s="1">
        <f t="shared" ca="1" si="112"/>
        <v>0.8560224168606172</v>
      </c>
      <c r="BI105" s="1">
        <f t="shared" ca="1" si="113"/>
        <v>621</v>
      </c>
      <c r="BV105" s="1">
        <f t="shared" ca="1" si="114"/>
        <v>0.69918869543089501</v>
      </c>
      <c r="BW105" s="1">
        <f t="shared" ca="1" si="115"/>
        <v>829</v>
      </c>
      <c r="BX105" s="1">
        <f t="shared" ca="1" si="116"/>
        <v>7.8774409469343967E-3</v>
      </c>
      <c r="BY105" s="1">
        <f t="shared" ca="1" si="117"/>
        <v>1.2957891195871761E-2</v>
      </c>
      <c r="BZ105" s="1">
        <f t="shared" ca="1" si="118"/>
        <v>0.69605225607316323</v>
      </c>
      <c r="CB105" s="1">
        <f t="shared" ca="1" si="119"/>
        <v>98</v>
      </c>
      <c r="CC105" s="1">
        <f t="shared" ca="1" si="120"/>
        <v>6</v>
      </c>
      <c r="CD105" s="1">
        <f t="shared" ca="1" si="121"/>
        <v>3.5066448709679607E-2</v>
      </c>
      <c r="CE105" s="1">
        <f t="shared" ca="1" si="140"/>
        <v>0.65764689739692317</v>
      </c>
      <c r="CF105" s="1">
        <f t="shared" ca="1" si="140"/>
        <v>0.94131004736110169</v>
      </c>
      <c r="CH105" s="3">
        <f t="shared" ca="1" si="123"/>
        <v>0.31939849745994353</v>
      </c>
      <c r="CI105" s="3">
        <f t="shared" ca="1" si="124"/>
        <v>0.40152901507332123</v>
      </c>
      <c r="CJ105" s="3">
        <f t="shared" ca="1" si="125"/>
        <v>1658</v>
      </c>
      <c r="CK105" s="3">
        <f t="shared" ca="1" si="126"/>
        <v>7.5268497572474396E-3</v>
      </c>
      <c r="CL105" s="3">
        <f t="shared" ca="1" si="127"/>
        <v>0</v>
      </c>
      <c r="CM105" s="3"/>
      <c r="CN105" s="1">
        <f t="shared" ca="1" si="128"/>
        <v>2.0086847753364108</v>
      </c>
      <c r="CO105" s="1">
        <f t="shared" ca="1" si="129"/>
        <v>0.38414361699783661</v>
      </c>
      <c r="CP105" s="1">
        <f t="shared" ca="1" si="130"/>
        <v>5</v>
      </c>
      <c r="CV105" s="1">
        <f t="shared" ca="1" si="131"/>
        <v>4.049331997113768</v>
      </c>
      <c r="CW105" s="1">
        <f t="shared" ca="1" si="132"/>
        <v>1934</v>
      </c>
      <c r="CX105" s="1">
        <f t="shared" ca="1" si="133"/>
        <v>8.0512339888059708E-3</v>
      </c>
      <c r="DH105" s="1">
        <f t="shared" ca="1" si="134"/>
        <v>342</v>
      </c>
      <c r="DI105" s="1">
        <f t="shared" ca="1" si="135"/>
        <v>0.78927530980751015</v>
      </c>
      <c r="DJ105" s="1">
        <f t="shared" ca="1" si="136"/>
        <v>6</v>
      </c>
      <c r="DL105" s="1">
        <f t="shared" ca="1" si="137"/>
        <v>8.3292753897352828E-2</v>
      </c>
      <c r="DM105" s="1">
        <f t="shared" ca="1" si="138"/>
        <v>160</v>
      </c>
      <c r="DN105" s="1">
        <f t="shared" ca="1" si="139"/>
        <v>4</v>
      </c>
    </row>
    <row r="106" spans="2:118" x14ac:dyDescent="0.25">
      <c r="B106">
        <f t="shared" ca="1" si="72"/>
        <v>290</v>
      </c>
      <c r="C106">
        <f t="shared" ca="1" si="73"/>
        <v>45</v>
      </c>
      <c r="D106">
        <f t="shared" ca="1" si="74"/>
        <v>6.4237677282373992E-2</v>
      </c>
      <c r="F106" s="1">
        <f t="shared" ca="1" si="75"/>
        <v>49</v>
      </c>
      <c r="G106" s="1">
        <f t="shared" ca="1" si="76"/>
        <v>25</v>
      </c>
      <c r="H106" s="1">
        <f t="shared" ca="1" si="77"/>
        <v>8</v>
      </c>
      <c r="I106" s="1"/>
      <c r="J106" s="1">
        <f t="shared" ca="1" si="78"/>
        <v>25</v>
      </c>
      <c r="K106" s="1">
        <f t="shared" ca="1" si="79"/>
        <v>2.4184721741764248</v>
      </c>
      <c r="L106" s="1">
        <f t="shared" ca="1" si="80"/>
        <v>28</v>
      </c>
      <c r="M106" s="1"/>
      <c r="N106" s="1">
        <f t="shared" ca="1" si="81"/>
        <v>996</v>
      </c>
      <c r="O106" s="1">
        <f t="shared" ca="1" si="82"/>
        <v>7</v>
      </c>
      <c r="P106" s="1"/>
      <c r="Q106" s="1">
        <f t="shared" ca="1" si="83"/>
        <v>0.97004047046937203</v>
      </c>
      <c r="R106" s="1">
        <f t="shared" ca="1" si="84"/>
        <v>1064</v>
      </c>
      <c r="S106" s="1"/>
      <c r="T106" s="1">
        <f t="shared" ca="1" si="85"/>
        <v>0.11714069625766048</v>
      </c>
      <c r="U106" s="1">
        <f t="shared" ca="1" si="86"/>
        <v>365</v>
      </c>
      <c r="V106" s="1">
        <f t="shared" ca="1" si="87"/>
        <v>34</v>
      </c>
      <c r="W106" s="1"/>
      <c r="X106" s="1">
        <f t="shared" ca="1" si="88"/>
        <v>5.8321892966569902</v>
      </c>
      <c r="Y106" s="1">
        <f t="shared" ca="1" si="89"/>
        <v>0.51783523947952792</v>
      </c>
      <c r="Z106" s="1">
        <f t="shared" ca="1" si="90"/>
        <v>417</v>
      </c>
      <c r="AB106" s="1">
        <f t="shared" ca="1" si="91"/>
        <v>0.99284920311827929</v>
      </c>
      <c r="AC106" s="1">
        <f t="shared" ca="1" si="92"/>
        <v>802</v>
      </c>
      <c r="AD106" s="1">
        <f t="shared" ca="1" si="93"/>
        <v>9.8236027449618811E-3</v>
      </c>
      <c r="AE106" s="1"/>
      <c r="AF106" s="1">
        <f t="shared" ca="1" si="94"/>
        <v>0.47149915358659511</v>
      </c>
      <c r="AG106" s="1">
        <f t="shared" ca="1" si="95"/>
        <v>107</v>
      </c>
      <c r="AH106" s="1">
        <f t="shared" ca="1" si="96"/>
        <v>9.8122925378521762E-3</v>
      </c>
      <c r="AJ106" s="1">
        <f t="shared" ca="1" si="97"/>
        <v>0.65609894825920989</v>
      </c>
      <c r="AK106" s="1">
        <f t="shared" ca="1" si="98"/>
        <v>1.535728809067866E-4</v>
      </c>
      <c r="AL106" s="1"/>
      <c r="AM106" s="1">
        <f t="shared" ca="1" si="99"/>
        <v>0.15236377632799319</v>
      </c>
      <c r="AN106" s="1">
        <f t="shared" ca="1" si="100"/>
        <v>52</v>
      </c>
      <c r="AO106" s="1">
        <f t="shared" ca="1" si="101"/>
        <v>19</v>
      </c>
      <c r="AQ106" s="1">
        <f t="shared" ca="1" si="102"/>
        <v>48</v>
      </c>
      <c r="AR106" s="1">
        <f t="shared" ca="1" si="103"/>
        <v>10</v>
      </c>
      <c r="AS106" s="1">
        <f t="shared" ca="1" si="104"/>
        <v>52</v>
      </c>
      <c r="AU106" s="1">
        <f t="shared" ca="1" si="105"/>
        <v>231</v>
      </c>
      <c r="AV106" s="1">
        <f t="shared" ca="1" si="106"/>
        <v>8</v>
      </c>
      <c r="AW106" s="1">
        <f t="shared" ca="1" si="107"/>
        <v>9.9261202604487994E-2</v>
      </c>
      <c r="AY106" s="1">
        <f t="shared" ca="1" si="108"/>
        <v>1.7472700935712862</v>
      </c>
      <c r="AZ106" s="1">
        <f t="shared" ca="1" si="109"/>
        <v>441</v>
      </c>
      <c r="BA106" s="1">
        <f t="shared" ca="1" si="110"/>
        <v>5.546534453664897E-3</v>
      </c>
      <c r="BG106" s="1">
        <f t="shared" ca="1" si="111"/>
        <v>0.30643592077410886</v>
      </c>
      <c r="BH106" s="1">
        <f t="shared" ca="1" si="112"/>
        <v>0.13484675604463359</v>
      </c>
      <c r="BI106" s="1">
        <f t="shared" ca="1" si="113"/>
        <v>884</v>
      </c>
      <c r="BV106" s="1">
        <f t="shared" ca="1" si="114"/>
        <v>0.20296973951143751</v>
      </c>
      <c r="BW106" s="1">
        <f t="shared" ca="1" si="115"/>
        <v>184</v>
      </c>
      <c r="BX106" s="1">
        <f t="shared" ca="1" si="116"/>
        <v>3.6075161842247152E-3</v>
      </c>
      <c r="BY106" s="1">
        <f t="shared" ca="1" si="117"/>
        <v>5.047322183756723E-2</v>
      </c>
      <c r="BZ106" s="1">
        <f t="shared" ca="1" si="118"/>
        <v>0.62100130886917371</v>
      </c>
      <c r="CB106" s="1">
        <f t="shared" ca="1" si="119"/>
        <v>448</v>
      </c>
      <c r="CC106" s="1">
        <f t="shared" ca="1" si="120"/>
        <v>8</v>
      </c>
      <c r="CD106" s="1">
        <f t="shared" ca="1" si="121"/>
        <v>1.4604991088210402E-2</v>
      </c>
      <c r="CE106" s="1">
        <f t="shared" ca="1" si="140"/>
        <v>0.64918302382357751</v>
      </c>
      <c r="CF106" s="1">
        <f t="shared" ca="1" si="140"/>
        <v>0.52775119087591449</v>
      </c>
      <c r="CH106" s="3">
        <f t="shared" ca="1" si="123"/>
        <v>0.22734516307766681</v>
      </c>
      <c r="CI106" s="3">
        <f t="shared" ca="1" si="124"/>
        <v>0.59061544302374414</v>
      </c>
      <c r="CJ106" s="3">
        <f t="shared" ca="1" si="125"/>
        <v>1775</v>
      </c>
      <c r="CK106" s="3">
        <f t="shared" ca="1" si="126"/>
        <v>2.3243895669236669E-3</v>
      </c>
      <c r="CL106" s="3">
        <f t="shared" ca="1" si="127"/>
        <v>0</v>
      </c>
      <c r="CM106" s="3"/>
      <c r="CN106" s="1">
        <f t="shared" ca="1" si="128"/>
        <v>2.3921714688104108</v>
      </c>
      <c r="CO106" s="1">
        <f t="shared" ca="1" si="129"/>
        <v>0.45420664185192366</v>
      </c>
      <c r="CP106" s="1">
        <f t="shared" ca="1" si="130"/>
        <v>2</v>
      </c>
      <c r="CV106" s="1">
        <f t="shared" ca="1" si="131"/>
        <v>4.5450984825613752</v>
      </c>
      <c r="CW106" s="1">
        <f t="shared" ca="1" si="132"/>
        <v>1384</v>
      </c>
      <c r="CX106" s="1">
        <f t="shared" ca="1" si="133"/>
        <v>7.6335850526904553E-3</v>
      </c>
      <c r="DH106" s="1">
        <f t="shared" ca="1" si="134"/>
        <v>149</v>
      </c>
      <c r="DI106" s="1">
        <f t="shared" ca="1" si="135"/>
        <v>0.44941760957356153</v>
      </c>
      <c r="DJ106" s="1">
        <f t="shared" ca="1" si="136"/>
        <v>30</v>
      </c>
      <c r="DL106" s="1">
        <f t="shared" ca="1" si="137"/>
        <v>0.1801690173595725</v>
      </c>
      <c r="DM106" s="1">
        <f t="shared" ca="1" si="138"/>
        <v>96</v>
      </c>
      <c r="DN106" s="1">
        <f t="shared" ca="1" si="139"/>
        <v>3</v>
      </c>
    </row>
    <row r="107" spans="2:118" x14ac:dyDescent="0.25">
      <c r="B107">
        <f t="shared" ca="1" si="72"/>
        <v>644</v>
      </c>
      <c r="C107">
        <f t="shared" ca="1" si="73"/>
        <v>44</v>
      </c>
      <c r="D107">
        <f t="shared" ca="1" si="74"/>
        <v>0.25757759284050258</v>
      </c>
      <c r="F107" s="1">
        <f t="shared" ca="1" si="75"/>
        <v>4</v>
      </c>
      <c r="G107" s="1">
        <f t="shared" ca="1" si="76"/>
        <v>25</v>
      </c>
      <c r="H107" s="1">
        <f t="shared" ca="1" si="77"/>
        <v>1</v>
      </c>
      <c r="I107" s="1"/>
      <c r="J107" s="1">
        <f t="shared" ca="1" si="78"/>
        <v>15</v>
      </c>
      <c r="K107" s="1">
        <f t="shared" ca="1" si="79"/>
        <v>2.3435292072734972</v>
      </c>
      <c r="L107" s="1">
        <f t="shared" ca="1" si="80"/>
        <v>5</v>
      </c>
      <c r="M107" s="1"/>
      <c r="N107" s="1">
        <f t="shared" ca="1" si="81"/>
        <v>415</v>
      </c>
      <c r="O107" s="1">
        <f t="shared" ca="1" si="82"/>
        <v>8</v>
      </c>
      <c r="P107" s="1"/>
      <c r="Q107" s="1">
        <f t="shared" ca="1" si="83"/>
        <v>1.117097981975073</v>
      </c>
      <c r="R107" s="1">
        <f t="shared" ca="1" si="84"/>
        <v>500</v>
      </c>
      <c r="S107" s="1"/>
      <c r="T107" s="1">
        <f t="shared" ca="1" si="85"/>
        <v>0.17733416980909394</v>
      </c>
      <c r="U107" s="1">
        <f t="shared" ca="1" si="86"/>
        <v>132</v>
      </c>
      <c r="V107" s="1">
        <f t="shared" ca="1" si="87"/>
        <v>8</v>
      </c>
      <c r="W107" s="1"/>
      <c r="X107" s="1">
        <f t="shared" ca="1" si="88"/>
        <v>3.9100083698308548</v>
      </c>
      <c r="Y107" s="1">
        <f t="shared" ca="1" si="89"/>
        <v>0.81266504573583831</v>
      </c>
      <c r="Z107" s="1">
        <f t="shared" ca="1" si="90"/>
        <v>177</v>
      </c>
      <c r="AB107" s="1">
        <f t="shared" ca="1" si="91"/>
        <v>0.29839277576137846</v>
      </c>
      <c r="AC107" s="1">
        <f t="shared" ca="1" si="92"/>
        <v>937</v>
      </c>
      <c r="AD107" s="1">
        <f t="shared" ca="1" si="93"/>
        <v>9.979576165202864E-3</v>
      </c>
      <c r="AE107" s="1"/>
      <c r="AF107" s="1">
        <f t="shared" ca="1" si="94"/>
        <v>0.6154635769214154</v>
      </c>
      <c r="AG107" s="1">
        <f t="shared" ca="1" si="95"/>
        <v>175</v>
      </c>
      <c r="AH107" s="1">
        <f t="shared" ca="1" si="96"/>
        <v>1.6365745743440172E-3</v>
      </c>
      <c r="AJ107" s="1">
        <f t="shared" ca="1" si="97"/>
        <v>0.22927171947726088</v>
      </c>
      <c r="AK107" s="1">
        <f t="shared" ca="1" si="98"/>
        <v>4.279822936142116E-3</v>
      </c>
      <c r="AL107" s="1"/>
      <c r="AM107" s="1">
        <f t="shared" ca="1" si="99"/>
        <v>0.13360700817730931</v>
      </c>
      <c r="AN107" s="1">
        <f t="shared" ca="1" si="100"/>
        <v>32</v>
      </c>
      <c r="AO107" s="1">
        <f t="shared" ca="1" si="101"/>
        <v>17</v>
      </c>
      <c r="AQ107" s="1">
        <f t="shared" ca="1" si="102"/>
        <v>97</v>
      </c>
      <c r="AR107" s="1">
        <f t="shared" ca="1" si="103"/>
        <v>9</v>
      </c>
      <c r="AS107" s="1">
        <f t="shared" ca="1" si="104"/>
        <v>69</v>
      </c>
      <c r="AU107" s="1">
        <f t="shared" ca="1" si="105"/>
        <v>155</v>
      </c>
      <c r="AV107" s="1">
        <f t="shared" ca="1" si="106"/>
        <v>4</v>
      </c>
      <c r="AW107" s="1">
        <f t="shared" ca="1" si="107"/>
        <v>1.8195182876921373E-2</v>
      </c>
      <c r="AY107" s="1">
        <f t="shared" ca="1" si="108"/>
        <v>1.2673017909034801</v>
      </c>
      <c r="AZ107" s="1">
        <f t="shared" ca="1" si="109"/>
        <v>106</v>
      </c>
      <c r="BA107" s="1">
        <f t="shared" ca="1" si="110"/>
        <v>9.2745204166677885E-3</v>
      </c>
      <c r="BG107" s="1">
        <f t="shared" ca="1" si="111"/>
        <v>0.37081110733067979</v>
      </c>
      <c r="BH107" s="1">
        <f t="shared" ca="1" si="112"/>
        <v>0.31171649956875624</v>
      </c>
      <c r="BI107" s="1">
        <f t="shared" ca="1" si="113"/>
        <v>332</v>
      </c>
      <c r="BV107" s="1">
        <f t="shared" ca="1" si="114"/>
        <v>0.82953073877781147</v>
      </c>
      <c r="BW107" s="1">
        <f t="shared" ca="1" si="115"/>
        <v>522</v>
      </c>
      <c r="BX107" s="1">
        <f t="shared" ca="1" si="116"/>
        <v>1.2581588196652065E-3</v>
      </c>
      <c r="BY107" s="1">
        <f t="shared" ca="1" si="117"/>
        <v>8.5396335863455158E-2</v>
      </c>
      <c r="BZ107" s="1">
        <f t="shared" ca="1" si="118"/>
        <v>0.19993428816442449</v>
      </c>
      <c r="CB107" s="1">
        <f t="shared" ca="1" si="119"/>
        <v>473</v>
      </c>
      <c r="CC107" s="1">
        <f t="shared" ca="1" si="120"/>
        <v>7</v>
      </c>
      <c r="CD107" s="1">
        <f t="shared" ca="1" si="121"/>
        <v>0.1972516072328715</v>
      </c>
      <c r="CE107" s="1">
        <f t="shared" ca="1" si="140"/>
        <v>0.53034177879817879</v>
      </c>
      <c r="CF107" s="1">
        <f t="shared" ca="1" si="140"/>
        <v>0.62845175047887003</v>
      </c>
      <c r="CH107" s="3">
        <f t="shared" ca="1" si="123"/>
        <v>0.71228837175733539</v>
      </c>
      <c r="CI107" s="3">
        <f t="shared" ca="1" si="124"/>
        <v>0.34818684015140444</v>
      </c>
      <c r="CJ107" s="3">
        <f t="shared" ca="1" si="125"/>
        <v>1141</v>
      </c>
      <c r="CK107" s="3">
        <f t="shared" ca="1" si="126"/>
        <v>9.9697305734309464E-3</v>
      </c>
      <c r="CL107" s="3">
        <f t="shared" ca="1" si="127"/>
        <v>1</v>
      </c>
      <c r="CM107" s="3"/>
      <c r="CN107" s="1">
        <f t="shared" ca="1" si="128"/>
        <v>9.1071021231777074</v>
      </c>
      <c r="CO107" s="1">
        <f t="shared" ca="1" si="129"/>
        <v>0.18430358087834345</v>
      </c>
      <c r="CP107" s="1">
        <f t="shared" ca="1" si="130"/>
        <v>1</v>
      </c>
      <c r="CV107" s="1">
        <f t="shared" ca="1" si="131"/>
        <v>3.2867049965101063</v>
      </c>
      <c r="CW107" s="1">
        <f t="shared" ca="1" si="132"/>
        <v>1464</v>
      </c>
      <c r="CX107" s="1">
        <f t="shared" ca="1" si="133"/>
        <v>3.2768757792768972E-3</v>
      </c>
      <c r="DH107" s="1">
        <f t="shared" ca="1" si="134"/>
        <v>37</v>
      </c>
      <c r="DI107" s="1">
        <f t="shared" ca="1" si="135"/>
        <v>0.42793692989269938</v>
      </c>
      <c r="DJ107" s="1">
        <f t="shared" ca="1" si="136"/>
        <v>3</v>
      </c>
      <c r="DL107" s="1">
        <f t="shared" ca="1" si="137"/>
        <v>4.3007155228859194E-2</v>
      </c>
      <c r="DM107" s="1">
        <f t="shared" ca="1" si="138"/>
        <v>137</v>
      </c>
      <c r="DN107" s="1">
        <f t="shared" ca="1" si="139"/>
        <v>9</v>
      </c>
    </row>
    <row r="108" spans="2:118" x14ac:dyDescent="0.25">
      <c r="B108">
        <f t="shared" ca="1" si="72"/>
        <v>375</v>
      </c>
      <c r="C108">
        <f t="shared" ca="1" si="73"/>
        <v>2</v>
      </c>
      <c r="D108">
        <f t="shared" ca="1" si="74"/>
        <v>0.15966936282603042</v>
      </c>
      <c r="F108" s="1">
        <f t="shared" ca="1" si="75"/>
        <v>18</v>
      </c>
      <c r="G108" s="1">
        <f t="shared" ca="1" si="76"/>
        <v>28</v>
      </c>
      <c r="H108" s="1">
        <f t="shared" ca="1" si="77"/>
        <v>11</v>
      </c>
      <c r="I108" s="1"/>
      <c r="J108" s="1">
        <f t="shared" ca="1" si="78"/>
        <v>6</v>
      </c>
      <c r="K108" s="1">
        <f t="shared" ca="1" si="79"/>
        <v>2.4455966849034922</v>
      </c>
      <c r="L108" s="1">
        <f t="shared" ca="1" si="80"/>
        <v>19</v>
      </c>
      <c r="M108" s="1"/>
      <c r="N108" s="1">
        <f t="shared" ca="1" si="81"/>
        <v>776</v>
      </c>
      <c r="O108" s="1">
        <f t="shared" ca="1" si="82"/>
        <v>3</v>
      </c>
      <c r="P108" s="1"/>
      <c r="Q108" s="1">
        <f t="shared" ca="1" si="83"/>
        <v>1.7737699738946411</v>
      </c>
      <c r="R108" s="1">
        <f t="shared" ca="1" si="84"/>
        <v>1034</v>
      </c>
      <c r="S108" s="1"/>
      <c r="T108" s="1">
        <f t="shared" ca="1" si="85"/>
        <v>0.19754172014595761</v>
      </c>
      <c r="U108" s="1">
        <f t="shared" ca="1" si="86"/>
        <v>238</v>
      </c>
      <c r="V108" s="1">
        <f t="shared" ca="1" si="87"/>
        <v>22</v>
      </c>
      <c r="W108" s="1"/>
      <c r="X108" s="1">
        <f t="shared" ca="1" si="88"/>
        <v>4.6582493734050558</v>
      </c>
      <c r="Y108" s="1">
        <f t="shared" ca="1" si="89"/>
        <v>0.47692668991893339</v>
      </c>
      <c r="Z108" s="1">
        <f t="shared" ca="1" si="90"/>
        <v>1098</v>
      </c>
      <c r="AB108" s="1">
        <f t="shared" ca="1" si="91"/>
        <v>0.7726400794576106</v>
      </c>
      <c r="AC108" s="1">
        <f t="shared" ca="1" si="92"/>
        <v>739</v>
      </c>
      <c r="AD108" s="1">
        <f t="shared" ca="1" si="93"/>
        <v>4.3863139511159024E-4</v>
      </c>
      <c r="AE108" s="1"/>
      <c r="AF108" s="1">
        <f t="shared" ca="1" si="94"/>
        <v>0.24540816507772442</v>
      </c>
      <c r="AG108" s="1">
        <f t="shared" ca="1" si="95"/>
        <v>869</v>
      </c>
      <c r="AH108" s="1">
        <f t="shared" ca="1" si="96"/>
        <v>8.376228532310126E-3</v>
      </c>
      <c r="AJ108" s="1">
        <f t="shared" ca="1" si="97"/>
        <v>0.84841996274093912</v>
      </c>
      <c r="AK108" s="1">
        <f t="shared" ca="1" si="98"/>
        <v>7.042264907324622E-3</v>
      </c>
      <c r="AL108" s="1"/>
      <c r="AM108" s="1">
        <f t="shared" ca="1" si="99"/>
        <v>0.11414373633801561</v>
      </c>
      <c r="AN108" s="1">
        <f t="shared" ca="1" si="100"/>
        <v>72</v>
      </c>
      <c r="AO108" s="1">
        <f t="shared" ca="1" si="101"/>
        <v>13</v>
      </c>
      <c r="AQ108" s="1">
        <f t="shared" ca="1" si="102"/>
        <v>173</v>
      </c>
      <c r="AR108" s="1">
        <f t="shared" ca="1" si="103"/>
        <v>6</v>
      </c>
      <c r="AS108" s="1">
        <f t="shared" ca="1" si="104"/>
        <v>80</v>
      </c>
      <c r="AU108" s="1">
        <f t="shared" ca="1" si="105"/>
        <v>290</v>
      </c>
      <c r="AV108" s="1">
        <f t="shared" ca="1" si="106"/>
        <v>10</v>
      </c>
      <c r="AW108" s="1">
        <f t="shared" ca="1" si="107"/>
        <v>0.1983768014139099</v>
      </c>
      <c r="AY108" s="1">
        <f t="shared" ca="1" si="108"/>
        <v>1.7315252843811684</v>
      </c>
      <c r="AZ108" s="1">
        <f t="shared" ca="1" si="109"/>
        <v>123</v>
      </c>
      <c r="BA108" s="1">
        <f t="shared" ca="1" si="110"/>
        <v>9.9271230996074468E-3</v>
      </c>
      <c r="BG108" s="1">
        <f t="shared" ca="1" si="111"/>
        <v>0.32835070660712673</v>
      </c>
      <c r="BH108" s="1">
        <f t="shared" ca="1" si="112"/>
        <v>0.9971254287540785</v>
      </c>
      <c r="BI108" s="1">
        <f t="shared" ca="1" si="113"/>
        <v>810</v>
      </c>
      <c r="BV108" s="1">
        <f t="shared" ca="1" si="114"/>
        <v>0.57049965316748508</v>
      </c>
      <c r="BW108" s="1">
        <f t="shared" ca="1" si="115"/>
        <v>543</v>
      </c>
      <c r="BX108" s="1">
        <f t="shared" ca="1" si="116"/>
        <v>5.4814793863025065E-3</v>
      </c>
      <c r="BY108" s="1">
        <f t="shared" ca="1" si="117"/>
        <v>8.1445978935250282E-2</v>
      </c>
      <c r="BZ108" s="1">
        <f t="shared" ca="1" si="118"/>
        <v>0.40584896745193588</v>
      </c>
      <c r="CB108" s="1">
        <f t="shared" ca="1" si="119"/>
        <v>354</v>
      </c>
      <c r="CC108" s="1">
        <f t="shared" ca="1" si="120"/>
        <v>4</v>
      </c>
      <c r="CD108" s="1">
        <f t="shared" ca="1" si="121"/>
        <v>3.1259338794033871E-2</v>
      </c>
      <c r="CE108" s="1">
        <f t="shared" ca="1" si="140"/>
        <v>0.74701599228136484</v>
      </c>
      <c r="CF108" s="1">
        <f t="shared" ca="1" si="140"/>
        <v>0.69229549662525358</v>
      </c>
      <c r="CH108" s="3">
        <f t="shared" ca="1" si="123"/>
        <v>0.72312804068543712</v>
      </c>
      <c r="CI108" s="3">
        <f t="shared" ca="1" si="124"/>
        <v>0.24322008992074945</v>
      </c>
      <c r="CJ108" s="3">
        <f t="shared" ca="1" si="125"/>
        <v>1564</v>
      </c>
      <c r="CK108" s="3">
        <f t="shared" ca="1" si="126"/>
        <v>9.6142247241479024E-3</v>
      </c>
      <c r="CL108" s="3">
        <f t="shared" ca="1" si="127"/>
        <v>0</v>
      </c>
      <c r="CM108" s="3"/>
      <c r="CN108" s="1">
        <f t="shared" ca="1" si="128"/>
        <v>7.0236916213133522</v>
      </c>
      <c r="CO108" s="1">
        <f t="shared" ca="1" si="129"/>
        <v>0.47601368443877484</v>
      </c>
      <c r="CP108" s="1">
        <f t="shared" ca="1" si="130"/>
        <v>2</v>
      </c>
      <c r="CV108" s="1">
        <f t="shared" ca="1" si="131"/>
        <v>7.4993686828235164</v>
      </c>
      <c r="CW108" s="1">
        <f t="shared" ca="1" si="132"/>
        <v>1493</v>
      </c>
      <c r="CX108" s="1">
        <f t="shared" ca="1" si="133"/>
        <v>1.3496532172377817E-3</v>
      </c>
      <c r="DH108" s="1">
        <f t="shared" ca="1" si="134"/>
        <v>709</v>
      </c>
      <c r="DI108" s="1">
        <f t="shared" ca="1" si="135"/>
        <v>0.5835492014380399</v>
      </c>
      <c r="DJ108" s="1">
        <f t="shared" ca="1" si="136"/>
        <v>14</v>
      </c>
      <c r="DL108" s="1">
        <f t="shared" ca="1" si="137"/>
        <v>8.466114592835236E-2</v>
      </c>
      <c r="DM108" s="1">
        <f t="shared" ca="1" si="138"/>
        <v>55</v>
      </c>
      <c r="DN108" s="1">
        <f t="shared" ca="1" si="139"/>
        <v>6</v>
      </c>
    </row>
    <row r="109" spans="2:118" x14ac:dyDescent="0.25">
      <c r="B109">
        <f t="shared" ca="1" si="72"/>
        <v>213</v>
      </c>
      <c r="C109">
        <f t="shared" ca="1" si="73"/>
        <v>48</v>
      </c>
      <c r="D109">
        <f t="shared" ca="1" si="74"/>
        <v>0.13362259427891035</v>
      </c>
      <c r="F109" s="1">
        <f t="shared" ca="1" si="75"/>
        <v>3</v>
      </c>
      <c r="G109" s="1">
        <f t="shared" ca="1" si="76"/>
        <v>17</v>
      </c>
      <c r="H109" s="1">
        <f t="shared" ca="1" si="77"/>
        <v>10</v>
      </c>
      <c r="I109" s="1"/>
      <c r="J109" s="1">
        <f t="shared" ca="1" si="78"/>
        <v>8</v>
      </c>
      <c r="K109" s="1">
        <f t="shared" ca="1" si="79"/>
        <v>1.2446428462871379</v>
      </c>
      <c r="L109" s="1">
        <f t="shared" ca="1" si="80"/>
        <v>16</v>
      </c>
      <c r="M109" s="1"/>
      <c r="N109" s="1">
        <f t="shared" ca="1" si="81"/>
        <v>321</v>
      </c>
      <c r="O109" s="1">
        <f t="shared" ca="1" si="82"/>
        <v>42</v>
      </c>
      <c r="P109" s="1"/>
      <c r="Q109" s="1">
        <f t="shared" ca="1" si="83"/>
        <v>4.3338430759647188</v>
      </c>
      <c r="R109" s="1">
        <f t="shared" ca="1" si="84"/>
        <v>779</v>
      </c>
      <c r="S109" s="1"/>
      <c r="T109" s="1">
        <f t="shared" ca="1" si="85"/>
        <v>0.18703455494500185</v>
      </c>
      <c r="U109" s="1">
        <f t="shared" ca="1" si="86"/>
        <v>193</v>
      </c>
      <c r="V109" s="1">
        <f t="shared" ca="1" si="87"/>
        <v>31</v>
      </c>
      <c r="W109" s="1"/>
      <c r="X109" s="1">
        <f t="shared" ca="1" si="88"/>
        <v>2.043233054084189</v>
      </c>
      <c r="Y109" s="1">
        <f t="shared" ca="1" si="89"/>
        <v>0.52020671347250291</v>
      </c>
      <c r="Z109" s="1">
        <f t="shared" ca="1" si="90"/>
        <v>546</v>
      </c>
      <c r="AB109" s="1">
        <f t="shared" ca="1" si="91"/>
        <v>0.54023666125383951</v>
      </c>
      <c r="AC109" s="1">
        <f t="shared" ca="1" si="92"/>
        <v>658</v>
      </c>
      <c r="AD109" s="1">
        <f t="shared" ca="1" si="93"/>
        <v>8.5506450674589698E-3</v>
      </c>
      <c r="AE109" s="1"/>
      <c r="AF109" s="1">
        <f t="shared" ca="1" si="94"/>
        <v>0.43312202764699348</v>
      </c>
      <c r="AG109" s="1">
        <f t="shared" ca="1" si="95"/>
        <v>510</v>
      </c>
      <c r="AH109" s="1">
        <f t="shared" ca="1" si="96"/>
        <v>2.9031063573208946E-3</v>
      </c>
      <c r="AJ109" s="1">
        <f t="shared" ca="1" si="97"/>
        <v>0.90097094326667793</v>
      </c>
      <c r="AK109" s="1">
        <f t="shared" ca="1" si="98"/>
        <v>7.1038017113056592E-3</v>
      </c>
      <c r="AL109" s="1"/>
      <c r="AM109" s="1">
        <f t="shared" ca="1" si="99"/>
        <v>0.11503864181739787</v>
      </c>
      <c r="AN109" s="1">
        <f t="shared" ca="1" si="100"/>
        <v>35</v>
      </c>
      <c r="AO109" s="1">
        <f t="shared" ca="1" si="101"/>
        <v>4</v>
      </c>
      <c r="AQ109" s="1">
        <f t="shared" ca="1" si="102"/>
        <v>168</v>
      </c>
      <c r="AR109" s="1">
        <f t="shared" ca="1" si="103"/>
        <v>8</v>
      </c>
      <c r="AS109" s="1">
        <f t="shared" ca="1" si="104"/>
        <v>30</v>
      </c>
      <c r="AU109" s="1">
        <f t="shared" ca="1" si="105"/>
        <v>103</v>
      </c>
      <c r="AV109" s="1">
        <f t="shared" ca="1" si="106"/>
        <v>8</v>
      </c>
      <c r="AW109" s="1">
        <f t="shared" ca="1" si="107"/>
        <v>7.9981990995457941E-2</v>
      </c>
      <c r="AY109" s="1">
        <f t="shared" ca="1" si="108"/>
        <v>1.764106970362378</v>
      </c>
      <c r="AZ109" s="1">
        <f t="shared" ca="1" si="109"/>
        <v>259</v>
      </c>
      <c r="BA109" s="1">
        <f t="shared" ca="1" si="110"/>
        <v>7.4653078872205843E-3</v>
      </c>
      <c r="BG109" s="1">
        <f t="shared" ca="1" si="111"/>
        <v>0.73790327527483568</v>
      </c>
      <c r="BH109" s="1">
        <f t="shared" ca="1" si="112"/>
        <v>0.91696413918634367</v>
      </c>
      <c r="BI109" s="1">
        <f t="shared" ca="1" si="113"/>
        <v>787</v>
      </c>
      <c r="BV109" s="1">
        <f t="shared" ca="1" si="114"/>
        <v>0.54006831536170574</v>
      </c>
      <c r="BW109" s="1">
        <f t="shared" ca="1" si="115"/>
        <v>821</v>
      </c>
      <c r="BX109" s="1">
        <f t="shared" ca="1" si="116"/>
        <v>7.4600463105117384E-3</v>
      </c>
      <c r="BY109" s="1">
        <f t="shared" ca="1" si="117"/>
        <v>9.8398631072710852E-2</v>
      </c>
      <c r="BZ109" s="1">
        <f t="shared" ca="1" si="118"/>
        <v>0.63809235526731023</v>
      </c>
      <c r="CB109" s="1">
        <f t="shared" ca="1" si="119"/>
        <v>61</v>
      </c>
      <c r="CC109" s="1">
        <f t="shared" ca="1" si="120"/>
        <v>6</v>
      </c>
      <c r="CD109" s="1">
        <f t="shared" ca="1" si="121"/>
        <v>0.18449226229183541</v>
      </c>
      <c r="CE109" s="1">
        <f t="shared" ca="1" si="140"/>
        <v>0.88295574426833867</v>
      </c>
      <c r="CF109" s="1">
        <f t="shared" ca="1" si="140"/>
        <v>0.9810589992714267</v>
      </c>
      <c r="CH109" s="3">
        <f t="shared" ca="1" si="123"/>
        <v>3.8261292560962244E-2</v>
      </c>
      <c r="CI109" s="3">
        <f t="shared" ca="1" si="124"/>
        <v>0.29804879227193332</v>
      </c>
      <c r="CJ109" s="3">
        <f t="shared" ca="1" si="125"/>
        <v>1463</v>
      </c>
      <c r="CK109" s="3">
        <f t="shared" ca="1" si="126"/>
        <v>2.3124287886740749E-3</v>
      </c>
      <c r="CL109" s="3">
        <f t="shared" ca="1" si="127"/>
        <v>0</v>
      </c>
      <c r="CM109" s="3"/>
      <c r="CN109" s="1">
        <f t="shared" ca="1" si="128"/>
        <v>2.8088249718658322</v>
      </c>
      <c r="CO109" s="1">
        <f t="shared" ca="1" si="129"/>
        <v>0.38321946323397899</v>
      </c>
      <c r="CP109" s="1">
        <f t="shared" ca="1" si="130"/>
        <v>2</v>
      </c>
      <c r="CV109" s="1">
        <f t="shared" ca="1" si="131"/>
        <v>6.8985579300991224</v>
      </c>
      <c r="CW109" s="1">
        <f t="shared" ca="1" si="132"/>
        <v>1718</v>
      </c>
      <c r="CX109" s="1">
        <f t="shared" ca="1" si="133"/>
        <v>7.8913457987563156E-3</v>
      </c>
      <c r="DH109" s="1">
        <f t="shared" ca="1" si="134"/>
        <v>249</v>
      </c>
      <c r="DI109" s="1">
        <f t="shared" ca="1" si="135"/>
        <v>0.19931271218984498</v>
      </c>
      <c r="DJ109" s="1">
        <f t="shared" ca="1" si="136"/>
        <v>25</v>
      </c>
      <c r="DL109" s="1">
        <f t="shared" ca="1" si="137"/>
        <v>0.18440980922488373</v>
      </c>
      <c r="DM109" s="1">
        <f t="shared" ca="1" si="138"/>
        <v>55</v>
      </c>
      <c r="DN109" s="1">
        <f t="shared" ca="1" si="139"/>
        <v>9</v>
      </c>
    </row>
    <row r="110" spans="2:118" x14ac:dyDescent="0.25">
      <c r="B110">
        <f t="shared" ca="1" si="72"/>
        <v>771</v>
      </c>
      <c r="C110">
        <f t="shared" ca="1" si="73"/>
        <v>13</v>
      </c>
      <c r="D110">
        <f t="shared" ca="1" si="74"/>
        <v>0.25764754080327207</v>
      </c>
      <c r="F110" s="1">
        <f t="shared" ca="1" si="75"/>
        <v>46</v>
      </c>
      <c r="G110" s="1">
        <f t="shared" ca="1" si="76"/>
        <v>16</v>
      </c>
      <c r="H110" s="1">
        <f t="shared" ca="1" si="77"/>
        <v>4</v>
      </c>
      <c r="I110" s="1"/>
      <c r="J110" s="1">
        <f t="shared" ca="1" si="78"/>
        <v>2</v>
      </c>
      <c r="K110" s="1">
        <f t="shared" ca="1" si="79"/>
        <v>1.2666871614565507</v>
      </c>
      <c r="L110" s="1">
        <f t="shared" ca="1" si="80"/>
        <v>25</v>
      </c>
      <c r="M110" s="1"/>
      <c r="N110" s="1">
        <f t="shared" ca="1" si="81"/>
        <v>108</v>
      </c>
      <c r="O110" s="1">
        <f t="shared" ca="1" si="82"/>
        <v>17</v>
      </c>
      <c r="P110" s="1"/>
      <c r="Q110" s="1">
        <f t="shared" ca="1" si="83"/>
        <v>3.7336414495440881E-2</v>
      </c>
      <c r="R110" s="1">
        <f t="shared" ca="1" si="84"/>
        <v>447</v>
      </c>
      <c r="S110" s="1"/>
      <c r="T110" s="1">
        <f t="shared" ca="1" si="85"/>
        <v>6.6165242607959251E-2</v>
      </c>
      <c r="U110" s="1">
        <f t="shared" ca="1" si="86"/>
        <v>346</v>
      </c>
      <c r="V110" s="1">
        <f t="shared" ca="1" si="87"/>
        <v>23</v>
      </c>
      <c r="W110" s="1"/>
      <c r="X110" s="1">
        <f t="shared" ca="1" si="88"/>
        <v>3.8345620667971412</v>
      </c>
      <c r="Y110" s="1">
        <f t="shared" ca="1" si="89"/>
        <v>0.60776207666361759</v>
      </c>
      <c r="Z110" s="1">
        <f t="shared" ca="1" si="90"/>
        <v>371</v>
      </c>
      <c r="AB110" s="1">
        <f t="shared" ca="1" si="91"/>
        <v>0.47149646417801966</v>
      </c>
      <c r="AC110" s="1">
        <f t="shared" ca="1" si="92"/>
        <v>776</v>
      </c>
      <c r="AD110" s="1">
        <f t="shared" ca="1" si="93"/>
        <v>8.3453308444463754E-3</v>
      </c>
      <c r="AE110" s="1"/>
      <c r="AF110" s="1">
        <f t="shared" ca="1" si="94"/>
        <v>0.52517498560484066</v>
      </c>
      <c r="AG110" s="1">
        <f t="shared" ca="1" si="95"/>
        <v>128</v>
      </c>
      <c r="AH110" s="1">
        <f t="shared" ca="1" si="96"/>
        <v>6.3757169930559621E-3</v>
      </c>
      <c r="AJ110" s="1">
        <f t="shared" ca="1" si="97"/>
        <v>0.6297972424204128</v>
      </c>
      <c r="AK110" s="1">
        <f t="shared" ca="1" si="98"/>
        <v>2.8691135106297429E-3</v>
      </c>
      <c r="AL110" s="1"/>
      <c r="AM110" s="1">
        <f t="shared" ca="1" si="99"/>
        <v>0.13384933644974811</v>
      </c>
      <c r="AN110" s="1">
        <f t="shared" ca="1" si="100"/>
        <v>58</v>
      </c>
      <c r="AO110" s="1">
        <f t="shared" ca="1" si="101"/>
        <v>1</v>
      </c>
      <c r="AQ110" s="1">
        <f t="shared" ca="1" si="102"/>
        <v>11</v>
      </c>
      <c r="AR110" s="1">
        <f t="shared" ca="1" si="103"/>
        <v>10</v>
      </c>
      <c r="AS110" s="1">
        <f t="shared" ca="1" si="104"/>
        <v>16</v>
      </c>
      <c r="AU110" s="1">
        <f t="shared" ca="1" si="105"/>
        <v>280</v>
      </c>
      <c r="AV110" s="1">
        <f t="shared" ca="1" si="106"/>
        <v>8</v>
      </c>
      <c r="AW110" s="1">
        <f t="shared" ca="1" si="107"/>
        <v>3.9520829646935783E-2</v>
      </c>
      <c r="AY110" s="1">
        <f t="shared" ca="1" si="108"/>
        <v>1.7462919884721275</v>
      </c>
      <c r="AZ110" s="1">
        <f t="shared" ca="1" si="109"/>
        <v>341</v>
      </c>
      <c r="BA110" s="1">
        <f t="shared" ca="1" si="110"/>
        <v>4.3302808656152623E-3</v>
      </c>
      <c r="BG110" s="1">
        <f t="shared" ca="1" si="111"/>
        <v>0.529119966471013</v>
      </c>
      <c r="BH110" s="1">
        <f t="shared" ca="1" si="112"/>
        <v>0.92568349485658497</v>
      </c>
      <c r="BI110" s="1">
        <f t="shared" ca="1" si="113"/>
        <v>122</v>
      </c>
      <c r="BV110" s="1">
        <f t="shared" ca="1" si="114"/>
        <v>0.25925936722548465</v>
      </c>
      <c r="BW110" s="1">
        <f t="shared" ca="1" si="115"/>
        <v>720</v>
      </c>
      <c r="BX110" s="1">
        <f t="shared" ca="1" si="116"/>
        <v>2.6159499542905387E-3</v>
      </c>
      <c r="BY110" s="1">
        <f t="shared" ca="1" si="117"/>
        <v>3.2761499959794951E-2</v>
      </c>
      <c r="BZ110" s="1">
        <f t="shared" ca="1" si="118"/>
        <v>0.46863027195804763</v>
      </c>
      <c r="CB110" s="1">
        <f t="shared" ca="1" si="119"/>
        <v>171</v>
      </c>
      <c r="CC110" s="1">
        <f t="shared" ca="1" si="120"/>
        <v>6</v>
      </c>
      <c r="CD110" s="1">
        <f t="shared" ca="1" si="121"/>
        <v>0.28713183775223727</v>
      </c>
      <c r="CE110" s="1">
        <f t="shared" ca="1" si="140"/>
        <v>0.76703847528541824</v>
      </c>
      <c r="CF110" s="1">
        <f t="shared" ca="1" si="140"/>
        <v>0.50172953811597565</v>
      </c>
      <c r="CH110" s="3">
        <f t="shared" ca="1" si="123"/>
        <v>0.18322207791928602</v>
      </c>
      <c r="CI110" s="3">
        <f t="shared" ca="1" si="124"/>
        <v>0.66998490937173927</v>
      </c>
      <c r="CJ110" s="3">
        <f t="shared" ca="1" si="125"/>
        <v>1199</v>
      </c>
      <c r="CK110" s="3">
        <f t="shared" ca="1" si="126"/>
        <v>9.7614904771060017E-3</v>
      </c>
      <c r="CL110" s="3">
        <f t="shared" ca="1" si="127"/>
        <v>1</v>
      </c>
      <c r="CM110" s="3"/>
      <c r="CN110" s="1">
        <f t="shared" ca="1" si="128"/>
        <v>17.650691941786558</v>
      </c>
      <c r="CO110" s="1">
        <f t="shared" ca="1" si="129"/>
        <v>2.2558506618061771E-2</v>
      </c>
      <c r="CP110" s="1">
        <f t="shared" ca="1" si="130"/>
        <v>5</v>
      </c>
      <c r="CV110" s="1">
        <f t="shared" ca="1" si="131"/>
        <v>9.0906707083471723</v>
      </c>
      <c r="CW110" s="1">
        <f t="shared" ca="1" si="132"/>
        <v>667</v>
      </c>
      <c r="CX110" s="1">
        <f t="shared" ca="1" si="133"/>
        <v>2.1430303616179688E-3</v>
      </c>
      <c r="DH110" s="1">
        <f t="shared" ca="1" si="134"/>
        <v>37</v>
      </c>
      <c r="DI110" s="1">
        <f t="shared" ca="1" si="135"/>
        <v>8.7584714432935341E-3</v>
      </c>
      <c r="DJ110" s="1">
        <f t="shared" ca="1" si="136"/>
        <v>16</v>
      </c>
      <c r="DL110" s="1">
        <f t="shared" ca="1" si="137"/>
        <v>6.8518463574502336E-2</v>
      </c>
      <c r="DM110" s="1">
        <f t="shared" ca="1" si="138"/>
        <v>162</v>
      </c>
      <c r="DN110" s="1">
        <f t="shared" ca="1" si="139"/>
        <v>10</v>
      </c>
    </row>
    <row r="111" spans="2:118" x14ac:dyDescent="0.25">
      <c r="B111">
        <f t="shared" ca="1" si="72"/>
        <v>913</v>
      </c>
      <c r="C111">
        <f t="shared" ca="1" si="73"/>
        <v>32</v>
      </c>
      <c r="D111">
        <f t="shared" ca="1" si="74"/>
        <v>0.14645221345888612</v>
      </c>
      <c r="F111" s="1">
        <f t="shared" ca="1" si="75"/>
        <v>17</v>
      </c>
      <c r="G111" s="1">
        <f t="shared" ca="1" si="76"/>
        <v>5</v>
      </c>
      <c r="H111" s="1">
        <f t="shared" ca="1" si="77"/>
        <v>11</v>
      </c>
      <c r="I111" s="1"/>
      <c r="J111" s="1">
        <f t="shared" ca="1" si="78"/>
        <v>36</v>
      </c>
      <c r="K111" s="1">
        <f t="shared" ca="1" si="79"/>
        <v>1.5602791204715949</v>
      </c>
      <c r="L111" s="1">
        <f t="shared" ca="1" si="80"/>
        <v>25</v>
      </c>
      <c r="M111" s="1"/>
      <c r="N111" s="1">
        <f t="shared" ca="1" si="81"/>
        <v>349</v>
      </c>
      <c r="O111" s="1">
        <f t="shared" ca="1" si="82"/>
        <v>2</v>
      </c>
      <c r="P111" s="1"/>
      <c r="Q111" s="1">
        <f t="shared" ca="1" si="83"/>
        <v>0.64292316236763247</v>
      </c>
      <c r="R111" s="1">
        <f t="shared" ca="1" si="84"/>
        <v>632</v>
      </c>
      <c r="S111" s="1"/>
      <c r="T111" s="1">
        <f t="shared" ca="1" si="85"/>
        <v>0.1369933846012738</v>
      </c>
      <c r="U111" s="1">
        <f t="shared" ca="1" si="86"/>
        <v>339</v>
      </c>
      <c r="V111" s="1">
        <f t="shared" ca="1" si="87"/>
        <v>10</v>
      </c>
      <c r="W111" s="1"/>
      <c r="X111" s="1">
        <f t="shared" ca="1" si="88"/>
        <v>5.6363400975176301</v>
      </c>
      <c r="Y111" s="1">
        <f t="shared" ca="1" si="89"/>
        <v>0.44219325211633992</v>
      </c>
      <c r="Z111" s="1">
        <f t="shared" ca="1" si="90"/>
        <v>894</v>
      </c>
      <c r="AB111" s="1">
        <f t="shared" ca="1" si="91"/>
        <v>0.53922888862442964</v>
      </c>
      <c r="AC111" s="1">
        <f t="shared" ca="1" si="92"/>
        <v>959</v>
      </c>
      <c r="AD111" s="1">
        <f t="shared" ca="1" si="93"/>
        <v>6.5569675023910748E-4</v>
      </c>
      <c r="AE111" s="1"/>
      <c r="AF111" s="1">
        <f t="shared" ca="1" si="94"/>
        <v>0.78658585692229133</v>
      </c>
      <c r="AG111" s="1">
        <f t="shared" ca="1" si="95"/>
        <v>829</v>
      </c>
      <c r="AH111" s="1">
        <f t="shared" ca="1" si="96"/>
        <v>4.3715711863543854E-3</v>
      </c>
      <c r="AJ111" s="1">
        <f t="shared" ca="1" si="97"/>
        <v>0.1412868765790003</v>
      </c>
      <c r="AK111" s="1">
        <f t="shared" ca="1" si="98"/>
        <v>6.592122342740917E-3</v>
      </c>
      <c r="AL111" s="1"/>
      <c r="AM111" s="1">
        <f t="shared" ca="1" si="99"/>
        <v>1.4322782932984147E-2</v>
      </c>
      <c r="AN111" s="1">
        <f t="shared" ca="1" si="100"/>
        <v>48</v>
      </c>
      <c r="AO111" s="1">
        <f t="shared" ca="1" si="101"/>
        <v>0</v>
      </c>
      <c r="AQ111" s="1">
        <f t="shared" ca="1" si="102"/>
        <v>53</v>
      </c>
      <c r="AR111" s="1">
        <f t="shared" ca="1" si="103"/>
        <v>1</v>
      </c>
      <c r="AS111" s="1">
        <f t="shared" ca="1" si="104"/>
        <v>81</v>
      </c>
      <c r="AU111" s="1">
        <f t="shared" ca="1" si="105"/>
        <v>383</v>
      </c>
      <c r="AV111" s="1">
        <f t="shared" ca="1" si="106"/>
        <v>2</v>
      </c>
      <c r="AW111" s="1">
        <f t="shared" ca="1" si="107"/>
        <v>7.1298784874830504E-2</v>
      </c>
      <c r="AY111" s="1">
        <f t="shared" ca="1" si="108"/>
        <v>1.6295304061277194</v>
      </c>
      <c r="AZ111" s="1">
        <f t="shared" ca="1" si="109"/>
        <v>402</v>
      </c>
      <c r="BA111" s="1">
        <f t="shared" ca="1" si="110"/>
        <v>1.3143433976697365E-3</v>
      </c>
      <c r="BG111" s="1">
        <f t="shared" ca="1" si="111"/>
        <v>0.58680878575056417</v>
      </c>
      <c r="BH111" s="1">
        <f t="shared" ca="1" si="112"/>
        <v>0.9662808925141908</v>
      </c>
      <c r="BI111" s="1">
        <f t="shared" ca="1" si="113"/>
        <v>954</v>
      </c>
      <c r="BV111" s="1">
        <f t="shared" ca="1" si="114"/>
        <v>0.60406215181398815</v>
      </c>
      <c r="BW111" s="1">
        <f t="shared" ca="1" si="115"/>
        <v>913</v>
      </c>
      <c r="BX111" s="1">
        <f t="shared" ca="1" si="116"/>
        <v>4.1797820817617362E-3</v>
      </c>
      <c r="BY111" s="1">
        <f t="shared" ca="1" si="117"/>
        <v>1.1445675460504366E-3</v>
      </c>
      <c r="BZ111" s="1">
        <f t="shared" ca="1" si="118"/>
        <v>0.47044648250904963</v>
      </c>
      <c r="CB111" s="1">
        <f t="shared" ca="1" si="119"/>
        <v>68</v>
      </c>
      <c r="CC111" s="1">
        <f t="shared" ca="1" si="120"/>
        <v>11</v>
      </c>
      <c r="CD111" s="1">
        <f t="shared" ca="1" si="121"/>
        <v>0.239094805521084</v>
      </c>
      <c r="CE111" s="1">
        <f t="shared" ca="1" si="140"/>
        <v>0.74287576443910264</v>
      </c>
      <c r="CF111" s="1">
        <f t="shared" ca="1" si="140"/>
        <v>0.917412035928588</v>
      </c>
      <c r="CH111" s="3">
        <f t="shared" ca="1" si="123"/>
        <v>0.25835709747026131</v>
      </c>
      <c r="CI111" s="3">
        <f t="shared" ca="1" si="124"/>
        <v>0.78713297613042976</v>
      </c>
      <c r="CJ111" s="3">
        <f t="shared" ca="1" si="125"/>
        <v>1018</v>
      </c>
      <c r="CK111" s="3">
        <f t="shared" ca="1" si="126"/>
        <v>2.578614212193929E-3</v>
      </c>
      <c r="CL111" s="3">
        <f t="shared" ca="1" si="127"/>
        <v>1</v>
      </c>
      <c r="CM111" s="3"/>
      <c r="CN111" s="1">
        <f t="shared" ca="1" si="128"/>
        <v>4.4215393431988605</v>
      </c>
      <c r="CO111" s="1">
        <f t="shared" ca="1" si="129"/>
        <v>0.42900401229767404</v>
      </c>
      <c r="CP111" s="1">
        <f t="shared" ca="1" si="130"/>
        <v>4</v>
      </c>
      <c r="CV111" s="1">
        <f t="shared" ca="1" si="131"/>
        <v>5.6195595547838977</v>
      </c>
      <c r="CW111" s="1">
        <f t="shared" ca="1" si="132"/>
        <v>1006</v>
      </c>
      <c r="CX111" s="1">
        <f t="shared" ca="1" si="133"/>
        <v>4.8636637143600501E-3</v>
      </c>
      <c r="DH111" s="1">
        <f t="shared" ca="1" si="134"/>
        <v>61</v>
      </c>
      <c r="DI111" s="1">
        <f t="shared" ca="1" si="135"/>
        <v>0.4173457877044191</v>
      </c>
      <c r="DJ111" s="1">
        <f t="shared" ca="1" si="136"/>
        <v>5</v>
      </c>
      <c r="DL111" s="1">
        <f t="shared" ca="1" si="137"/>
        <v>9.7213552563662209E-2</v>
      </c>
      <c r="DM111" s="1">
        <f t="shared" ca="1" si="138"/>
        <v>223</v>
      </c>
      <c r="DN111" s="1">
        <f t="shared" ca="1" si="139"/>
        <v>5</v>
      </c>
    </row>
    <row r="112" spans="2:118" x14ac:dyDescent="0.25">
      <c r="B112">
        <f t="shared" ca="1" si="72"/>
        <v>249</v>
      </c>
      <c r="C112">
        <f t="shared" ca="1" si="73"/>
        <v>41</v>
      </c>
      <c r="D112">
        <f t="shared" ca="1" si="74"/>
        <v>1.4986968272465206E-2</v>
      </c>
      <c r="F112" s="1">
        <f t="shared" ca="1" si="75"/>
        <v>42</v>
      </c>
      <c r="G112" s="1">
        <f t="shared" ca="1" si="76"/>
        <v>20</v>
      </c>
      <c r="H112" s="1">
        <f t="shared" ca="1" si="77"/>
        <v>9</v>
      </c>
      <c r="I112" s="1"/>
      <c r="J112" s="1">
        <f t="shared" ca="1" si="78"/>
        <v>27</v>
      </c>
      <c r="K112" s="1">
        <f t="shared" ca="1" si="79"/>
        <v>2.9234921848615025</v>
      </c>
      <c r="L112" s="1">
        <f t="shared" ca="1" si="80"/>
        <v>4</v>
      </c>
      <c r="M112" s="1"/>
      <c r="N112" s="1">
        <f t="shared" ca="1" si="81"/>
        <v>77</v>
      </c>
      <c r="O112" s="1">
        <f t="shared" ca="1" si="82"/>
        <v>42</v>
      </c>
      <c r="P112" s="1"/>
      <c r="Q112" s="1">
        <f t="shared" ca="1" si="83"/>
        <v>3.4829531873492461</v>
      </c>
      <c r="R112" s="1">
        <f t="shared" ca="1" si="84"/>
        <v>1092</v>
      </c>
      <c r="S112" s="1"/>
      <c r="T112" s="1">
        <f t="shared" ca="1" si="85"/>
        <v>0.11616386518083466</v>
      </c>
      <c r="U112" s="1">
        <f t="shared" ca="1" si="86"/>
        <v>305</v>
      </c>
      <c r="V112" s="1">
        <f t="shared" ca="1" si="87"/>
        <v>41</v>
      </c>
      <c r="W112" s="1"/>
      <c r="X112" s="1">
        <f t="shared" ca="1" si="88"/>
        <v>2.8596170897856559</v>
      </c>
      <c r="Y112" s="1">
        <f t="shared" ca="1" si="89"/>
        <v>0.48953622318472578</v>
      </c>
      <c r="Z112" s="1">
        <f t="shared" ca="1" si="90"/>
        <v>284</v>
      </c>
      <c r="AB112" s="1">
        <f t="shared" ca="1" si="91"/>
        <v>0.74863310553257878</v>
      </c>
      <c r="AC112" s="1">
        <f t="shared" ca="1" si="92"/>
        <v>194</v>
      </c>
      <c r="AD112" s="1">
        <f t="shared" ca="1" si="93"/>
        <v>1.3203389623751376E-3</v>
      </c>
      <c r="AE112" s="1"/>
      <c r="AF112" s="1">
        <f t="shared" ca="1" si="94"/>
        <v>0.7199005103257623</v>
      </c>
      <c r="AG112" s="1">
        <f t="shared" ca="1" si="95"/>
        <v>361</v>
      </c>
      <c r="AH112" s="1">
        <f t="shared" ca="1" si="96"/>
        <v>3.579277089489687E-3</v>
      </c>
      <c r="AJ112" s="1">
        <f t="shared" ca="1" si="97"/>
        <v>0.86713485500092524</v>
      </c>
      <c r="AK112" s="1">
        <f t="shared" ca="1" si="98"/>
        <v>4.6456106619255361E-4</v>
      </c>
      <c r="AL112" s="1"/>
      <c r="AM112" s="1">
        <f t="shared" ca="1" si="99"/>
        <v>0.18762822593327272</v>
      </c>
      <c r="AN112" s="1">
        <f t="shared" ca="1" si="100"/>
        <v>80</v>
      </c>
      <c r="AO112" s="1">
        <f t="shared" ca="1" si="101"/>
        <v>5</v>
      </c>
      <c r="AQ112" s="1">
        <f t="shared" ca="1" si="102"/>
        <v>115</v>
      </c>
      <c r="AR112" s="1">
        <f t="shared" ca="1" si="103"/>
        <v>1</v>
      </c>
      <c r="AS112" s="1">
        <f t="shared" ca="1" si="104"/>
        <v>87</v>
      </c>
      <c r="AU112" s="1">
        <f t="shared" ca="1" si="105"/>
        <v>152</v>
      </c>
      <c r="AV112" s="1">
        <f t="shared" ca="1" si="106"/>
        <v>9</v>
      </c>
      <c r="AW112" s="1">
        <f t="shared" ca="1" si="107"/>
        <v>9.037602411115174E-2</v>
      </c>
      <c r="AY112" s="1">
        <f t="shared" ca="1" si="108"/>
        <v>1.1404135973718141</v>
      </c>
      <c r="AZ112" s="1">
        <f t="shared" ca="1" si="109"/>
        <v>217</v>
      </c>
      <c r="BA112" s="1">
        <f t="shared" ca="1" si="110"/>
        <v>7.5343858577399548E-3</v>
      </c>
      <c r="BG112" s="1">
        <f t="shared" ca="1" si="111"/>
        <v>0.47687758811392633</v>
      </c>
      <c r="BH112" s="1">
        <f t="shared" ca="1" si="112"/>
        <v>0.61418551193270843</v>
      </c>
      <c r="BI112" s="1">
        <f t="shared" ca="1" si="113"/>
        <v>990</v>
      </c>
      <c r="BV112" s="1">
        <f t="shared" ca="1" si="114"/>
        <v>0.15939885408647281</v>
      </c>
      <c r="BW112" s="1">
        <f t="shared" ca="1" si="115"/>
        <v>772</v>
      </c>
      <c r="BX112" s="1">
        <f t="shared" ca="1" si="116"/>
        <v>2.7152364061821723E-3</v>
      </c>
      <c r="BY112" s="1">
        <f t="shared" ca="1" si="117"/>
        <v>1.5004070345699493E-2</v>
      </c>
      <c r="BZ112" s="1">
        <f t="shared" ca="1" si="118"/>
        <v>9.3145878660384929E-2</v>
      </c>
      <c r="CB112" s="1">
        <f t="shared" ca="1" si="119"/>
        <v>447</v>
      </c>
      <c r="CC112" s="1">
        <f t="shared" ca="1" si="120"/>
        <v>6</v>
      </c>
      <c r="CD112" s="1">
        <f t="shared" ca="1" si="121"/>
        <v>0.12216304522484657</v>
      </c>
      <c r="CE112" s="1">
        <f t="shared" ca="1" si="140"/>
        <v>0.95539481052990616</v>
      </c>
      <c r="CF112" s="1">
        <f t="shared" ca="1" si="140"/>
        <v>0.69034519074532774</v>
      </c>
      <c r="CH112" s="3">
        <f t="shared" ca="1" si="123"/>
        <v>0.18464682027979007</v>
      </c>
      <c r="CI112" s="3">
        <f t="shared" ca="1" si="124"/>
        <v>0.81088169442949831</v>
      </c>
      <c r="CJ112" s="3">
        <f t="shared" ca="1" si="125"/>
        <v>1784</v>
      </c>
      <c r="CK112" s="3">
        <f t="shared" ca="1" si="126"/>
        <v>1.3712194340446712E-3</v>
      </c>
      <c r="CL112" s="3">
        <f t="shared" ca="1" si="127"/>
        <v>0</v>
      </c>
      <c r="CM112" s="3"/>
      <c r="CN112" s="1">
        <f t="shared" ca="1" si="128"/>
        <v>14.913667027870581</v>
      </c>
      <c r="CO112" s="1">
        <f t="shared" ca="1" si="129"/>
        <v>0.48241932770223395</v>
      </c>
      <c r="CP112" s="1">
        <f t="shared" ca="1" si="130"/>
        <v>2</v>
      </c>
      <c r="CV112" s="1">
        <f t="shared" ca="1" si="131"/>
        <v>2.3382513573596864</v>
      </c>
      <c r="CW112" s="1">
        <f t="shared" ca="1" si="132"/>
        <v>1708</v>
      </c>
      <c r="CX112" s="1">
        <f t="shared" ca="1" si="133"/>
        <v>3.4815362384933136E-3</v>
      </c>
      <c r="DH112" s="1">
        <f t="shared" ca="1" si="134"/>
        <v>384</v>
      </c>
      <c r="DI112" s="1">
        <f t="shared" ca="1" si="135"/>
        <v>0.84048937244562183</v>
      </c>
      <c r="DJ112" s="1">
        <f t="shared" ca="1" si="136"/>
        <v>24</v>
      </c>
      <c r="DL112" s="1">
        <f t="shared" ca="1" si="137"/>
        <v>0.17256279473409558</v>
      </c>
      <c r="DM112" s="1">
        <f t="shared" ca="1" si="138"/>
        <v>112</v>
      </c>
      <c r="DN112" s="1">
        <f t="shared" ca="1" si="139"/>
        <v>3</v>
      </c>
    </row>
    <row r="113" spans="2:118" x14ac:dyDescent="0.25">
      <c r="B113">
        <f t="shared" ca="1" si="72"/>
        <v>67</v>
      </c>
      <c r="C113">
        <f t="shared" ca="1" si="73"/>
        <v>49</v>
      </c>
      <c r="D113">
        <f t="shared" ca="1" si="74"/>
        <v>0.16874050352857137</v>
      </c>
      <c r="F113" s="1">
        <f t="shared" ca="1" si="75"/>
        <v>45</v>
      </c>
      <c r="G113" s="1">
        <f t="shared" ca="1" si="76"/>
        <v>6</v>
      </c>
      <c r="H113" s="1">
        <f t="shared" ca="1" si="77"/>
        <v>5</v>
      </c>
      <c r="I113" s="1"/>
      <c r="J113" s="1">
        <f t="shared" ca="1" si="78"/>
        <v>35</v>
      </c>
      <c r="K113" s="1">
        <f t="shared" ca="1" si="79"/>
        <v>1.8775197315810099</v>
      </c>
      <c r="L113" s="1">
        <f t="shared" ca="1" si="80"/>
        <v>16</v>
      </c>
      <c r="M113" s="1"/>
      <c r="N113" s="1">
        <f t="shared" ca="1" si="81"/>
        <v>754</v>
      </c>
      <c r="O113" s="1">
        <f t="shared" ca="1" si="82"/>
        <v>18</v>
      </c>
      <c r="P113" s="1"/>
      <c r="Q113" s="1">
        <f t="shared" ca="1" si="83"/>
        <v>3.4012195562914505</v>
      </c>
      <c r="R113" s="1">
        <f t="shared" ca="1" si="84"/>
        <v>827</v>
      </c>
      <c r="S113" s="1"/>
      <c r="T113" s="1">
        <f t="shared" ca="1" si="85"/>
        <v>0.11521267962994163</v>
      </c>
      <c r="U113" s="1">
        <f t="shared" ca="1" si="86"/>
        <v>258</v>
      </c>
      <c r="V113" s="1">
        <f t="shared" ca="1" si="87"/>
        <v>52</v>
      </c>
      <c r="W113" s="1"/>
      <c r="X113" s="1">
        <f t="shared" ca="1" si="88"/>
        <v>9.0676916043933034</v>
      </c>
      <c r="Y113" s="1">
        <f t="shared" ca="1" si="89"/>
        <v>0.79280830666074376</v>
      </c>
      <c r="Z113" s="1">
        <f t="shared" ca="1" si="90"/>
        <v>700</v>
      </c>
      <c r="AB113" s="1">
        <f t="shared" ca="1" si="91"/>
        <v>0.48353891514346375</v>
      </c>
      <c r="AC113" s="1">
        <f t="shared" ca="1" si="92"/>
        <v>162</v>
      </c>
      <c r="AD113" s="1">
        <f t="shared" ca="1" si="93"/>
        <v>2.816510072612609E-3</v>
      </c>
      <c r="AE113" s="1"/>
      <c r="AF113" s="1">
        <f t="shared" ca="1" si="94"/>
        <v>0.17645889604452636</v>
      </c>
      <c r="AG113" s="1">
        <f t="shared" ca="1" si="95"/>
        <v>898</v>
      </c>
      <c r="AH113" s="1">
        <f t="shared" ca="1" si="96"/>
        <v>1.1699416445704238E-3</v>
      </c>
      <c r="AJ113" s="1">
        <f t="shared" ca="1" si="97"/>
        <v>0.37887588752502777</v>
      </c>
      <c r="AK113" s="1">
        <f t="shared" ca="1" si="98"/>
        <v>4.3391661923856484E-4</v>
      </c>
      <c r="AL113" s="1"/>
      <c r="AM113" s="1">
        <f t="shared" ca="1" si="99"/>
        <v>1.4971145943449487E-2</v>
      </c>
      <c r="AN113" s="1">
        <f t="shared" ca="1" si="100"/>
        <v>29</v>
      </c>
      <c r="AO113" s="1">
        <f t="shared" ca="1" si="101"/>
        <v>4</v>
      </c>
      <c r="AQ113" s="1">
        <f t="shared" ca="1" si="102"/>
        <v>89</v>
      </c>
      <c r="AR113" s="1">
        <f t="shared" ca="1" si="103"/>
        <v>10</v>
      </c>
      <c r="AS113" s="1">
        <f t="shared" ca="1" si="104"/>
        <v>8</v>
      </c>
      <c r="AU113" s="1">
        <f t="shared" ca="1" si="105"/>
        <v>120</v>
      </c>
      <c r="AV113" s="1">
        <f t="shared" ca="1" si="106"/>
        <v>10</v>
      </c>
      <c r="AW113" s="1">
        <f t="shared" ca="1" si="107"/>
        <v>1.8988708285236432E-2</v>
      </c>
      <c r="AY113" s="1">
        <f t="shared" ca="1" si="108"/>
        <v>1.6414040419308775</v>
      </c>
      <c r="AZ113" s="1">
        <f t="shared" ca="1" si="109"/>
        <v>123</v>
      </c>
      <c r="BA113" s="1">
        <f t="shared" ca="1" si="110"/>
        <v>2.1011000226472411E-3</v>
      </c>
      <c r="BG113" s="1">
        <f t="shared" ca="1" si="111"/>
        <v>0.33423313507491537</v>
      </c>
      <c r="BH113" s="1">
        <f t="shared" ca="1" si="112"/>
        <v>0.6271548914572419</v>
      </c>
      <c r="BI113" s="1">
        <f t="shared" ca="1" si="113"/>
        <v>145</v>
      </c>
      <c r="BV113" s="1">
        <f t="shared" ca="1" si="114"/>
        <v>0.14139965180788783</v>
      </c>
      <c r="BW113" s="1">
        <f t="shared" ca="1" si="115"/>
        <v>998</v>
      </c>
      <c r="BX113" s="1">
        <f t="shared" ca="1" si="116"/>
        <v>9.646733635929567E-3</v>
      </c>
      <c r="BY113" s="1">
        <f t="shared" ca="1" si="117"/>
        <v>8.9340339064692215E-2</v>
      </c>
      <c r="BZ113" s="1">
        <f t="shared" ca="1" si="118"/>
        <v>0.35851853184011051</v>
      </c>
      <c r="CB113" s="1">
        <f t="shared" ca="1" si="119"/>
        <v>424</v>
      </c>
      <c r="CC113" s="1">
        <f t="shared" ca="1" si="120"/>
        <v>6</v>
      </c>
      <c r="CD113" s="1">
        <f t="shared" ca="1" si="121"/>
        <v>5.8407089619045914E-2</v>
      </c>
      <c r="CE113" s="1">
        <f t="shared" ca="1" si="140"/>
        <v>0.90012842997610742</v>
      </c>
      <c r="CF113" s="1">
        <f t="shared" ca="1" si="140"/>
        <v>0.98232284811371962</v>
      </c>
      <c r="CH113" s="3">
        <f t="shared" ca="1" si="123"/>
        <v>0.28645300674687385</v>
      </c>
      <c r="CI113" s="3">
        <f t="shared" ca="1" si="124"/>
        <v>0.63098425642307643</v>
      </c>
      <c r="CJ113" s="3">
        <f t="shared" ca="1" si="125"/>
        <v>1158</v>
      </c>
      <c r="CK113" s="3">
        <f t="shared" ca="1" si="126"/>
        <v>6.0060400605994584E-3</v>
      </c>
      <c r="CL113" s="3">
        <f t="shared" ca="1" si="127"/>
        <v>1</v>
      </c>
      <c r="CM113" s="3"/>
      <c r="CN113" s="1">
        <f t="shared" ca="1" si="128"/>
        <v>10.647166782824051</v>
      </c>
      <c r="CO113" s="1">
        <f t="shared" ca="1" si="129"/>
        <v>0.41112003927826185</v>
      </c>
      <c r="CP113" s="1">
        <f t="shared" ca="1" si="130"/>
        <v>1</v>
      </c>
      <c r="CV113" s="1">
        <f t="shared" ca="1" si="131"/>
        <v>1.5972892026025405</v>
      </c>
      <c r="CW113" s="1">
        <f t="shared" ca="1" si="132"/>
        <v>785</v>
      </c>
      <c r="CX113" s="1">
        <f t="shared" ca="1" si="133"/>
        <v>3.5970210739055678E-5</v>
      </c>
      <c r="DH113" s="1">
        <f t="shared" ca="1" si="134"/>
        <v>183</v>
      </c>
      <c r="DI113" s="1">
        <f t="shared" ca="1" si="135"/>
        <v>0.32479183853152893</v>
      </c>
      <c r="DJ113" s="1">
        <f t="shared" ca="1" si="136"/>
        <v>8</v>
      </c>
      <c r="DL113" s="1">
        <f t="shared" ca="1" si="137"/>
        <v>0.18477264521562015</v>
      </c>
      <c r="DM113" s="1">
        <f t="shared" ca="1" si="138"/>
        <v>112</v>
      </c>
      <c r="DN113" s="1">
        <f t="shared" ca="1" si="139"/>
        <v>2</v>
      </c>
    </row>
    <row r="114" spans="2:118" x14ac:dyDescent="0.25">
      <c r="B114">
        <f t="shared" ca="1" si="72"/>
        <v>720</v>
      </c>
      <c r="C114">
        <f t="shared" ca="1" si="73"/>
        <v>27</v>
      </c>
      <c r="D114">
        <f t="shared" ca="1" si="74"/>
        <v>0.28616979828352213</v>
      </c>
      <c r="F114" s="1">
        <f t="shared" ca="1" si="75"/>
        <v>35</v>
      </c>
      <c r="G114" s="1">
        <f t="shared" ca="1" si="76"/>
        <v>24</v>
      </c>
      <c r="H114" s="1">
        <f t="shared" ca="1" si="77"/>
        <v>4</v>
      </c>
      <c r="I114" s="1"/>
      <c r="J114" s="1">
        <f t="shared" ca="1" si="78"/>
        <v>17</v>
      </c>
      <c r="K114" s="1">
        <f t="shared" ca="1" si="79"/>
        <v>2.0204760443672476</v>
      </c>
      <c r="L114" s="1">
        <f t="shared" ca="1" si="80"/>
        <v>18</v>
      </c>
      <c r="M114" s="1"/>
      <c r="N114" s="1">
        <f t="shared" ca="1" si="81"/>
        <v>621</v>
      </c>
      <c r="O114" s="1">
        <f t="shared" ca="1" si="82"/>
        <v>4</v>
      </c>
      <c r="P114" s="1"/>
      <c r="Q114" s="1">
        <f t="shared" ca="1" si="83"/>
        <v>4.3082795689797901</v>
      </c>
      <c r="R114" s="1">
        <f t="shared" ca="1" si="84"/>
        <v>767</v>
      </c>
      <c r="S114" s="1"/>
      <c r="T114" s="1">
        <f t="shared" ca="1" si="85"/>
        <v>4.3303579847378627E-2</v>
      </c>
      <c r="U114" s="1">
        <f t="shared" ca="1" si="86"/>
        <v>58</v>
      </c>
      <c r="V114" s="1">
        <f t="shared" ca="1" si="87"/>
        <v>38</v>
      </c>
      <c r="W114" s="1"/>
      <c r="X114" s="1">
        <f t="shared" ca="1" si="88"/>
        <v>7.6135880154840798</v>
      </c>
      <c r="Y114" s="1">
        <f t="shared" ca="1" si="89"/>
        <v>5.3573422247557654E-3</v>
      </c>
      <c r="Z114" s="1">
        <f t="shared" ca="1" si="90"/>
        <v>1769</v>
      </c>
      <c r="AB114" s="1">
        <f t="shared" ca="1" si="91"/>
        <v>0.47448075284812402</v>
      </c>
      <c r="AC114" s="1">
        <f t="shared" ca="1" si="92"/>
        <v>155</v>
      </c>
      <c r="AD114" s="1">
        <f t="shared" ca="1" si="93"/>
        <v>1.8664114141439779E-3</v>
      </c>
      <c r="AE114" s="1"/>
      <c r="AF114" s="1">
        <f t="shared" ca="1" si="94"/>
        <v>0.4525689961858167</v>
      </c>
      <c r="AG114" s="1">
        <f t="shared" ca="1" si="95"/>
        <v>1000</v>
      </c>
      <c r="AH114" s="1">
        <f t="shared" ca="1" si="96"/>
        <v>3.8845092839161024E-3</v>
      </c>
      <c r="AJ114" s="1">
        <f t="shared" ca="1" si="97"/>
        <v>1.004563570043604E-2</v>
      </c>
      <c r="AK114" s="1">
        <f t="shared" ca="1" si="98"/>
        <v>5.0666142147041404E-3</v>
      </c>
      <c r="AL114" s="1"/>
      <c r="AM114" s="1">
        <f t="shared" ca="1" si="99"/>
        <v>0.13739393033792935</v>
      </c>
      <c r="AN114" s="1">
        <f t="shared" ca="1" si="100"/>
        <v>59</v>
      </c>
      <c r="AO114" s="1">
        <f t="shared" ca="1" si="101"/>
        <v>6</v>
      </c>
      <c r="AQ114" s="1">
        <f t="shared" ca="1" si="102"/>
        <v>98</v>
      </c>
      <c r="AR114" s="1">
        <f t="shared" ca="1" si="103"/>
        <v>7</v>
      </c>
      <c r="AS114" s="1">
        <f t="shared" ca="1" si="104"/>
        <v>70</v>
      </c>
      <c r="AU114" s="1">
        <f t="shared" ca="1" si="105"/>
        <v>376</v>
      </c>
      <c r="AV114" s="1">
        <f t="shared" ca="1" si="106"/>
        <v>2</v>
      </c>
      <c r="AW114" s="1">
        <f t="shared" ca="1" si="107"/>
        <v>5.9672991049612933E-2</v>
      </c>
      <c r="AY114" s="1">
        <f t="shared" ca="1" si="108"/>
        <v>1.960650417261564</v>
      </c>
      <c r="AZ114" s="1">
        <f t="shared" ca="1" si="109"/>
        <v>404</v>
      </c>
      <c r="BA114" s="1">
        <f t="shared" ca="1" si="110"/>
        <v>2.167374407773003E-3</v>
      </c>
      <c r="BG114" s="1">
        <f t="shared" ca="1" si="111"/>
        <v>0.8601276117635045</v>
      </c>
      <c r="BH114" s="1">
        <f t="shared" ca="1" si="112"/>
        <v>0.58448084473562012</v>
      </c>
      <c r="BI114" s="1">
        <f t="shared" ca="1" si="113"/>
        <v>194</v>
      </c>
      <c r="BV114" s="1">
        <f t="shared" ca="1" si="114"/>
        <v>6.7663253898212219E-2</v>
      </c>
      <c r="BW114" s="1">
        <f t="shared" ca="1" si="115"/>
        <v>303</v>
      </c>
      <c r="BX114" s="1">
        <f t="shared" ca="1" si="116"/>
        <v>4.3629801938050482E-3</v>
      </c>
      <c r="BY114" s="1">
        <f t="shared" ca="1" si="117"/>
        <v>2.4121056332288948E-2</v>
      </c>
      <c r="BZ114" s="1">
        <f t="shared" ca="1" si="118"/>
        <v>0.68295805617746763</v>
      </c>
      <c r="CB114" s="1">
        <f t="shared" ca="1" si="119"/>
        <v>89</v>
      </c>
      <c r="CC114" s="1">
        <f t="shared" ca="1" si="120"/>
        <v>4</v>
      </c>
      <c r="CD114" s="1">
        <f t="shared" ca="1" si="121"/>
        <v>8.3826104591813708E-2</v>
      </c>
      <c r="CE114" s="1">
        <f t="shared" ca="1" si="140"/>
        <v>0.83286181538640158</v>
      </c>
      <c r="CF114" s="1">
        <f t="shared" ca="1" si="140"/>
        <v>0.92490251303857829</v>
      </c>
      <c r="CH114" s="3">
        <f t="shared" ca="1" si="123"/>
        <v>0.65103086427347245</v>
      </c>
      <c r="CI114" s="3">
        <f t="shared" ca="1" si="124"/>
        <v>0.32224477777576066</v>
      </c>
      <c r="CJ114" s="3">
        <f t="shared" ca="1" si="125"/>
        <v>1047</v>
      </c>
      <c r="CK114" s="3">
        <f t="shared" ca="1" si="126"/>
        <v>9.7440238123372783E-3</v>
      </c>
      <c r="CL114" s="3">
        <f t="shared" ca="1" si="127"/>
        <v>0</v>
      </c>
      <c r="CM114" s="3"/>
      <c r="CN114" s="1">
        <f t="shared" ca="1" si="128"/>
        <v>9.0721162163169051</v>
      </c>
      <c r="CO114" s="1">
        <f t="shared" ca="1" si="129"/>
        <v>0.34254286012695856</v>
      </c>
      <c r="CP114" s="1">
        <f t="shared" ca="1" si="130"/>
        <v>1</v>
      </c>
      <c r="CV114" s="1">
        <f t="shared" ca="1" si="131"/>
        <v>5.8893748866467277</v>
      </c>
      <c r="CW114" s="1">
        <f t="shared" ca="1" si="132"/>
        <v>727</v>
      </c>
      <c r="CX114" s="1">
        <f t="shared" ca="1" si="133"/>
        <v>9.2923069838422283E-3</v>
      </c>
      <c r="DH114" s="1">
        <f t="shared" ca="1" si="134"/>
        <v>78</v>
      </c>
      <c r="DI114" s="1">
        <f t="shared" ca="1" si="135"/>
        <v>0.247292065514117</v>
      </c>
      <c r="DJ114" s="1">
        <f t="shared" ca="1" si="136"/>
        <v>16</v>
      </c>
      <c r="DL114" s="1">
        <f t="shared" ca="1" si="137"/>
        <v>8.4259160994894666E-2</v>
      </c>
      <c r="DM114" s="1">
        <f t="shared" ca="1" si="138"/>
        <v>223</v>
      </c>
      <c r="DN114" s="1">
        <f t="shared" ca="1" si="139"/>
        <v>2</v>
      </c>
    </row>
    <row r="115" spans="2:118" x14ac:dyDescent="0.25">
      <c r="B115">
        <f t="shared" ca="1" si="72"/>
        <v>532</v>
      </c>
      <c r="C115">
        <f t="shared" ca="1" si="73"/>
        <v>37</v>
      </c>
      <c r="D115">
        <f t="shared" ca="1" si="74"/>
        <v>0.2870243528087752</v>
      </c>
      <c r="F115" s="1">
        <f t="shared" ca="1" si="75"/>
        <v>38</v>
      </c>
      <c r="G115" s="1">
        <f t="shared" ca="1" si="76"/>
        <v>2</v>
      </c>
      <c r="H115" s="1">
        <f t="shared" ca="1" si="77"/>
        <v>15</v>
      </c>
      <c r="I115" s="1"/>
      <c r="J115" s="1">
        <f t="shared" ca="1" si="78"/>
        <v>6</v>
      </c>
      <c r="K115" s="1">
        <f t="shared" ca="1" si="79"/>
        <v>2.4676693470985462</v>
      </c>
      <c r="L115" s="1">
        <f t="shared" ca="1" si="80"/>
        <v>6</v>
      </c>
      <c r="M115" s="1"/>
      <c r="N115" s="1">
        <f t="shared" ca="1" si="81"/>
        <v>639</v>
      </c>
      <c r="O115" s="1">
        <f t="shared" ca="1" si="82"/>
        <v>29</v>
      </c>
      <c r="P115" s="1"/>
      <c r="Q115" s="1">
        <f t="shared" ca="1" si="83"/>
        <v>4.9552155084918201</v>
      </c>
      <c r="R115" s="1">
        <f t="shared" ca="1" si="84"/>
        <v>593</v>
      </c>
      <c r="S115" s="1"/>
      <c r="T115" s="1">
        <f t="shared" ca="1" si="85"/>
        <v>0.12456770653842275</v>
      </c>
      <c r="U115" s="1">
        <f t="shared" ca="1" si="86"/>
        <v>172</v>
      </c>
      <c r="V115" s="1">
        <f t="shared" ca="1" si="87"/>
        <v>3</v>
      </c>
      <c r="W115" s="1"/>
      <c r="X115" s="1">
        <f t="shared" ca="1" si="88"/>
        <v>5.5650759545897746</v>
      </c>
      <c r="Y115" s="1">
        <f t="shared" ca="1" si="89"/>
        <v>0.28173244866153507</v>
      </c>
      <c r="Z115" s="1">
        <f t="shared" ca="1" si="90"/>
        <v>1084</v>
      </c>
      <c r="AB115" s="1">
        <f t="shared" ca="1" si="91"/>
        <v>0.80502344995675645</v>
      </c>
      <c r="AC115" s="1">
        <f t="shared" ca="1" si="92"/>
        <v>198</v>
      </c>
      <c r="AD115" s="1">
        <f t="shared" ca="1" si="93"/>
        <v>7.9538348099107564E-3</v>
      </c>
      <c r="AE115" s="1"/>
      <c r="AF115" s="1">
        <f t="shared" ca="1" si="94"/>
        <v>0.64336900909323702</v>
      </c>
      <c r="AG115" s="1">
        <f t="shared" ca="1" si="95"/>
        <v>213</v>
      </c>
      <c r="AH115" s="1">
        <f t="shared" ca="1" si="96"/>
        <v>9.0908247092952223E-3</v>
      </c>
      <c r="AJ115" s="1">
        <f t="shared" ca="1" si="97"/>
        <v>0.68335060964258376</v>
      </c>
      <c r="AK115" s="1">
        <f t="shared" ca="1" si="98"/>
        <v>2.8877989636804133E-3</v>
      </c>
      <c r="AL115" s="1"/>
      <c r="AM115" s="1">
        <f t="shared" ca="1" si="99"/>
        <v>7.5610671873330634E-3</v>
      </c>
      <c r="AN115" s="1">
        <f t="shared" ca="1" si="100"/>
        <v>31</v>
      </c>
      <c r="AO115" s="1">
        <f t="shared" ca="1" si="101"/>
        <v>3</v>
      </c>
      <c r="AQ115" s="1">
        <f t="shared" ca="1" si="102"/>
        <v>83</v>
      </c>
      <c r="AR115" s="1">
        <f t="shared" ca="1" si="103"/>
        <v>2</v>
      </c>
      <c r="AS115" s="1">
        <f t="shared" ca="1" si="104"/>
        <v>33</v>
      </c>
      <c r="AU115" s="1">
        <f t="shared" ca="1" si="105"/>
        <v>296</v>
      </c>
      <c r="AV115" s="1">
        <f t="shared" ca="1" si="106"/>
        <v>3</v>
      </c>
      <c r="AW115" s="1">
        <f t="shared" ca="1" si="107"/>
        <v>0.12861098968533863</v>
      </c>
      <c r="AY115" s="1">
        <f t="shared" ca="1" si="108"/>
        <v>1.4767721630061506</v>
      </c>
      <c r="AZ115" s="1">
        <f t="shared" ca="1" si="109"/>
        <v>86</v>
      </c>
      <c r="BA115" s="1">
        <f t="shared" ca="1" si="110"/>
        <v>8.3990888490806104E-3</v>
      </c>
      <c r="BG115" s="1">
        <f t="shared" ca="1" si="111"/>
        <v>2.8488516790399911E-2</v>
      </c>
      <c r="BH115" s="1">
        <f t="shared" ca="1" si="112"/>
        <v>0.15009906032754528</v>
      </c>
      <c r="BI115" s="1">
        <f t="shared" ca="1" si="113"/>
        <v>783</v>
      </c>
      <c r="BV115" s="1">
        <f t="shared" ca="1" si="114"/>
        <v>0.56503488406086222</v>
      </c>
      <c r="BW115" s="1">
        <f t="shared" ca="1" si="115"/>
        <v>296</v>
      </c>
      <c r="BX115" s="1">
        <f t="shared" ca="1" si="116"/>
        <v>7.7593414746224051E-3</v>
      </c>
      <c r="BY115" s="1">
        <f t="shared" ca="1" si="117"/>
        <v>9.958404129134403E-2</v>
      </c>
      <c r="BZ115" s="1">
        <f t="shared" ca="1" si="118"/>
        <v>0.33878725975995372</v>
      </c>
      <c r="CB115" s="1">
        <f t="shared" ca="1" si="119"/>
        <v>190</v>
      </c>
      <c r="CC115" s="1">
        <f t="shared" ca="1" si="120"/>
        <v>4</v>
      </c>
      <c r="CD115" s="1">
        <f t="shared" ca="1" si="121"/>
        <v>0.26792325719407573</v>
      </c>
      <c r="CE115" s="1">
        <f t="shared" ca="1" si="140"/>
        <v>0.61452057413089767</v>
      </c>
      <c r="CF115" s="1">
        <f t="shared" ca="1" si="140"/>
        <v>0.93206813063735594</v>
      </c>
      <c r="CH115" s="3">
        <f t="shared" ca="1" si="123"/>
        <v>0.48806594134060005</v>
      </c>
      <c r="CI115" s="3">
        <f t="shared" ca="1" si="124"/>
        <v>0.32562813890879316</v>
      </c>
      <c r="CJ115" s="3">
        <f t="shared" ca="1" si="125"/>
        <v>1339</v>
      </c>
      <c r="CK115" s="3">
        <f t="shared" ca="1" si="126"/>
        <v>7.251260424200847E-3</v>
      </c>
      <c r="CL115" s="3">
        <f t="shared" ca="1" si="127"/>
        <v>1</v>
      </c>
      <c r="CM115" s="3"/>
      <c r="CN115" s="1">
        <f t="shared" ca="1" si="128"/>
        <v>3.2027588155235973</v>
      </c>
      <c r="CO115" s="1">
        <f t="shared" ca="1" si="129"/>
        <v>8.0769870217029076E-3</v>
      </c>
      <c r="CP115" s="1">
        <f t="shared" ca="1" si="130"/>
        <v>4</v>
      </c>
      <c r="CV115" s="1">
        <f t="shared" ca="1" si="131"/>
        <v>4.0027292357668456</v>
      </c>
      <c r="CW115" s="1">
        <f t="shared" ca="1" si="132"/>
        <v>368</v>
      </c>
      <c r="CX115" s="1">
        <f t="shared" ca="1" si="133"/>
        <v>9.699526350871665E-3</v>
      </c>
      <c r="DH115" s="1">
        <f t="shared" ca="1" si="134"/>
        <v>807</v>
      </c>
      <c r="DI115" s="1">
        <f t="shared" ca="1" si="135"/>
        <v>0.35904700148840157</v>
      </c>
      <c r="DJ115" s="1">
        <f t="shared" ca="1" si="136"/>
        <v>19</v>
      </c>
      <c r="DL115" s="1">
        <f t="shared" ca="1" si="137"/>
        <v>3.573344392024453E-2</v>
      </c>
      <c r="DM115" s="1">
        <f t="shared" ca="1" si="138"/>
        <v>162</v>
      </c>
      <c r="DN115" s="1">
        <f t="shared" ca="1" si="139"/>
        <v>8</v>
      </c>
    </row>
    <row r="116" spans="2:118" x14ac:dyDescent="0.25">
      <c r="B116">
        <f t="shared" ca="1" si="72"/>
        <v>144</v>
      </c>
      <c r="C116">
        <f t="shared" ca="1" si="73"/>
        <v>37</v>
      </c>
      <c r="D116">
        <f t="shared" ca="1" si="74"/>
        <v>0.13997197355357904</v>
      </c>
      <c r="F116" s="1">
        <f t="shared" ca="1" si="75"/>
        <v>34</v>
      </c>
      <c r="G116" s="1">
        <f t="shared" ca="1" si="76"/>
        <v>5</v>
      </c>
      <c r="H116" s="1">
        <f t="shared" ca="1" si="77"/>
        <v>5</v>
      </c>
      <c r="I116" s="1"/>
      <c r="J116" s="1">
        <f t="shared" ca="1" si="78"/>
        <v>38</v>
      </c>
      <c r="K116" s="1">
        <f t="shared" ca="1" si="79"/>
        <v>1.4953097746695705</v>
      </c>
      <c r="L116" s="1">
        <f t="shared" ca="1" si="80"/>
        <v>18</v>
      </c>
      <c r="M116" s="1"/>
      <c r="N116" s="1">
        <f t="shared" ca="1" si="81"/>
        <v>576</v>
      </c>
      <c r="O116" s="1">
        <f t="shared" ca="1" si="82"/>
        <v>14</v>
      </c>
      <c r="P116" s="1"/>
      <c r="Q116" s="1">
        <f t="shared" ca="1" si="83"/>
        <v>1.9105564150321699</v>
      </c>
      <c r="R116" s="1">
        <f t="shared" ca="1" si="84"/>
        <v>943</v>
      </c>
      <c r="S116" s="1"/>
      <c r="T116" s="1">
        <f t="shared" ca="1" si="85"/>
        <v>8.1469433560283092E-2</v>
      </c>
      <c r="U116" s="1">
        <f t="shared" ca="1" si="86"/>
        <v>146</v>
      </c>
      <c r="V116" s="1">
        <f t="shared" ca="1" si="87"/>
        <v>9</v>
      </c>
      <c r="W116" s="1"/>
      <c r="X116" s="1">
        <f t="shared" ca="1" si="88"/>
        <v>1.264170557975316</v>
      </c>
      <c r="Y116" s="1">
        <f t="shared" ca="1" si="89"/>
        <v>0.6789992592584122</v>
      </c>
      <c r="Z116" s="1">
        <f t="shared" ca="1" si="90"/>
        <v>337</v>
      </c>
      <c r="AB116" s="1">
        <f t="shared" ca="1" si="91"/>
        <v>0.83177702855837488</v>
      </c>
      <c r="AC116" s="1">
        <f t="shared" ca="1" si="92"/>
        <v>138</v>
      </c>
      <c r="AD116" s="1">
        <f t="shared" ca="1" si="93"/>
        <v>5.1092645459154082E-4</v>
      </c>
      <c r="AE116" s="1"/>
      <c r="AF116" s="1">
        <f t="shared" ca="1" si="94"/>
        <v>0.24290680036572418</v>
      </c>
      <c r="AG116" s="1">
        <f t="shared" ca="1" si="95"/>
        <v>658</v>
      </c>
      <c r="AH116" s="1">
        <f t="shared" ca="1" si="96"/>
        <v>8.3845258191544217E-3</v>
      </c>
      <c r="AJ116" s="1">
        <f t="shared" ca="1" si="97"/>
        <v>0.8969797746246051</v>
      </c>
      <c r="AK116" s="1">
        <f t="shared" ca="1" si="98"/>
        <v>2.0007762653671732E-3</v>
      </c>
      <c r="AL116" s="1"/>
      <c r="AM116" s="1">
        <f t="shared" ca="1" si="99"/>
        <v>0.1424326781880926</v>
      </c>
      <c r="AN116" s="1">
        <f t="shared" ca="1" si="100"/>
        <v>61</v>
      </c>
      <c r="AO116" s="1">
        <f t="shared" ca="1" si="101"/>
        <v>6</v>
      </c>
      <c r="AQ116" s="1">
        <f t="shared" ca="1" si="102"/>
        <v>54</v>
      </c>
      <c r="AR116" s="1">
        <f t="shared" ca="1" si="103"/>
        <v>10</v>
      </c>
      <c r="AS116" s="1">
        <f t="shared" ca="1" si="104"/>
        <v>86</v>
      </c>
      <c r="AU116" s="1">
        <f t="shared" ca="1" si="105"/>
        <v>283</v>
      </c>
      <c r="AV116" s="1">
        <f t="shared" ca="1" si="106"/>
        <v>5</v>
      </c>
      <c r="AW116" s="1">
        <f t="shared" ca="1" si="107"/>
        <v>6.2498887046005772E-2</v>
      </c>
      <c r="AY116" s="1">
        <f t="shared" ca="1" si="108"/>
        <v>1.1224627208134852</v>
      </c>
      <c r="AZ116" s="1">
        <f t="shared" ca="1" si="109"/>
        <v>272</v>
      </c>
      <c r="BA116" s="1">
        <f t="shared" ca="1" si="110"/>
        <v>9.8104951620847005E-3</v>
      </c>
      <c r="BG116" s="1">
        <f t="shared" ca="1" si="111"/>
        <v>0.34543150336085932</v>
      </c>
      <c r="BH116" s="1">
        <f t="shared" ca="1" si="112"/>
        <v>0.75099246005023623</v>
      </c>
      <c r="BI116" s="1">
        <f t="shared" ca="1" si="113"/>
        <v>816</v>
      </c>
      <c r="BV116" s="1">
        <f t="shared" ca="1" si="114"/>
        <v>0.74542290956944512</v>
      </c>
      <c r="BW116" s="1">
        <f t="shared" ca="1" si="115"/>
        <v>588</v>
      </c>
      <c r="BX116" s="1">
        <f t="shared" ca="1" si="116"/>
        <v>4.8415827978489766E-3</v>
      </c>
      <c r="BY116" s="1">
        <f t="shared" ca="1" si="117"/>
        <v>4.8465261741493411E-2</v>
      </c>
      <c r="BZ116" s="1">
        <f t="shared" ca="1" si="118"/>
        <v>0.75234749176313043</v>
      </c>
      <c r="CB116" s="1">
        <f t="shared" ca="1" si="119"/>
        <v>261</v>
      </c>
      <c r="CC116" s="1">
        <f t="shared" ca="1" si="120"/>
        <v>13</v>
      </c>
      <c r="CD116" s="1">
        <f t="shared" ca="1" si="121"/>
        <v>0.14183094955785311</v>
      </c>
      <c r="CE116" s="1">
        <f t="shared" ca="1" si="140"/>
        <v>0.92573856358545648</v>
      </c>
      <c r="CF116" s="1">
        <f t="shared" ca="1" si="140"/>
        <v>0.50881232059083281</v>
      </c>
      <c r="CH116" s="3">
        <f t="shared" ca="1" si="123"/>
        <v>0.78961990688859984</v>
      </c>
      <c r="CI116" s="3">
        <f t="shared" ca="1" si="124"/>
        <v>0.56499752336146247</v>
      </c>
      <c r="CJ116" s="3">
        <f t="shared" ca="1" si="125"/>
        <v>404</v>
      </c>
      <c r="CK116" s="3">
        <f t="shared" ca="1" si="126"/>
        <v>9.1976395913556299E-3</v>
      </c>
      <c r="CL116" s="3">
        <f t="shared" ca="1" si="127"/>
        <v>0</v>
      </c>
      <c r="CM116" s="3"/>
      <c r="CN116" s="1">
        <f t="shared" ca="1" si="128"/>
        <v>2.6300101553878652</v>
      </c>
      <c r="CO116" s="1">
        <f t="shared" ca="1" si="129"/>
        <v>7.751060839568942E-2</v>
      </c>
      <c r="CP116" s="1">
        <f t="shared" ca="1" si="130"/>
        <v>5</v>
      </c>
      <c r="CV116" s="1">
        <f t="shared" ca="1" si="131"/>
        <v>0.2218584990956376</v>
      </c>
      <c r="CW116" s="1">
        <f t="shared" ca="1" si="132"/>
        <v>1437</v>
      </c>
      <c r="CX116" s="1">
        <f t="shared" ca="1" si="133"/>
        <v>7.6142241006697895E-3</v>
      </c>
      <c r="DH116" s="1">
        <f t="shared" ca="1" si="134"/>
        <v>445</v>
      </c>
      <c r="DI116" s="1">
        <f t="shared" ca="1" si="135"/>
        <v>0.19137101864135964</v>
      </c>
      <c r="DJ116" s="1">
        <f t="shared" ca="1" si="136"/>
        <v>10</v>
      </c>
      <c r="DL116" s="1">
        <f t="shared" ca="1" si="137"/>
        <v>0.16247053460548475</v>
      </c>
      <c r="DM116" s="1">
        <f t="shared" ca="1" si="138"/>
        <v>274</v>
      </c>
      <c r="DN116" s="1">
        <f t="shared" ca="1" si="139"/>
        <v>9</v>
      </c>
    </row>
    <row r="117" spans="2:118" x14ac:dyDescent="0.25">
      <c r="B117">
        <f t="shared" ca="1" si="72"/>
        <v>92</v>
      </c>
      <c r="C117">
        <f t="shared" ca="1" si="73"/>
        <v>6</v>
      </c>
      <c r="D117">
        <f t="shared" ca="1" si="74"/>
        <v>0.13941708872580258</v>
      </c>
      <c r="F117" s="1">
        <f t="shared" ca="1" si="75"/>
        <v>19</v>
      </c>
      <c r="G117" s="1">
        <f t="shared" ca="1" si="76"/>
        <v>7</v>
      </c>
      <c r="H117" s="1">
        <f t="shared" ca="1" si="77"/>
        <v>9</v>
      </c>
      <c r="I117" s="1"/>
      <c r="J117" s="1">
        <f t="shared" ca="1" si="78"/>
        <v>9</v>
      </c>
      <c r="K117" s="1">
        <f t="shared" ca="1" si="79"/>
        <v>1.0267523610632039</v>
      </c>
      <c r="L117" s="1">
        <f t="shared" ca="1" si="80"/>
        <v>8</v>
      </c>
      <c r="M117" s="1"/>
      <c r="N117" s="1">
        <f t="shared" ca="1" si="81"/>
        <v>530</v>
      </c>
      <c r="O117" s="1">
        <f t="shared" ca="1" si="82"/>
        <v>36</v>
      </c>
      <c r="P117" s="1"/>
      <c r="Q117" s="1">
        <f t="shared" ca="1" si="83"/>
        <v>1.4841748426799848</v>
      </c>
      <c r="R117" s="1">
        <f t="shared" ca="1" si="84"/>
        <v>483</v>
      </c>
      <c r="S117" s="1"/>
      <c r="T117" s="1">
        <f t="shared" ca="1" si="85"/>
        <v>8.0978077131940829E-2</v>
      </c>
      <c r="U117" s="1">
        <f t="shared" ca="1" si="86"/>
        <v>122</v>
      </c>
      <c r="V117" s="1">
        <f t="shared" ca="1" si="87"/>
        <v>48</v>
      </c>
      <c r="W117" s="1"/>
      <c r="X117" s="1">
        <f t="shared" ca="1" si="88"/>
        <v>3.1960448570438165</v>
      </c>
      <c r="Y117" s="1">
        <f t="shared" ca="1" si="89"/>
        <v>0.82345081458997271</v>
      </c>
      <c r="Z117" s="1">
        <f t="shared" ca="1" si="90"/>
        <v>204</v>
      </c>
      <c r="AB117" s="1">
        <f t="shared" ca="1" si="91"/>
        <v>0.40665430064158414</v>
      </c>
      <c r="AC117" s="1">
        <f t="shared" ca="1" si="92"/>
        <v>453</v>
      </c>
      <c r="AD117" s="1">
        <f t="shared" ca="1" si="93"/>
        <v>2.0712817976311065E-3</v>
      </c>
      <c r="AE117" s="1"/>
      <c r="AF117" s="1">
        <f t="shared" ca="1" si="94"/>
        <v>0.65920630152347415</v>
      </c>
      <c r="AG117" s="1">
        <f t="shared" ca="1" si="95"/>
        <v>811</v>
      </c>
      <c r="AH117" s="1">
        <f t="shared" ca="1" si="96"/>
        <v>2.0728070142368537E-3</v>
      </c>
      <c r="AJ117" s="1">
        <f t="shared" ca="1" si="97"/>
        <v>7.3796877902500224E-2</v>
      </c>
      <c r="AK117" s="1">
        <f t="shared" ca="1" si="98"/>
        <v>4.7030459272625691E-3</v>
      </c>
      <c r="AL117" s="1"/>
      <c r="AM117" s="1">
        <f t="shared" ca="1" si="99"/>
        <v>5.8151830241929041E-2</v>
      </c>
      <c r="AN117" s="1">
        <f t="shared" ca="1" si="100"/>
        <v>78</v>
      </c>
      <c r="AO117" s="1">
        <f t="shared" ca="1" si="101"/>
        <v>15</v>
      </c>
      <c r="AQ117" s="1">
        <f t="shared" ca="1" si="102"/>
        <v>144</v>
      </c>
      <c r="AR117" s="1">
        <f t="shared" ca="1" si="103"/>
        <v>7</v>
      </c>
      <c r="AS117" s="1">
        <f t="shared" ca="1" si="104"/>
        <v>76</v>
      </c>
      <c r="AU117" s="1">
        <f t="shared" ca="1" si="105"/>
        <v>345</v>
      </c>
      <c r="AV117" s="1">
        <f t="shared" ca="1" si="106"/>
        <v>4</v>
      </c>
      <c r="AW117" s="1">
        <f t="shared" ca="1" si="107"/>
        <v>0.16099686498128654</v>
      </c>
      <c r="AY117" s="1">
        <f t="shared" ca="1" si="108"/>
        <v>1.2619069976543751</v>
      </c>
      <c r="AZ117" s="1">
        <f t="shared" ca="1" si="109"/>
        <v>375</v>
      </c>
      <c r="BA117" s="1">
        <f t="shared" ca="1" si="110"/>
        <v>1.9056222247069723E-3</v>
      </c>
      <c r="BG117" s="1">
        <f t="shared" ca="1" si="111"/>
        <v>0.83790052782314672</v>
      </c>
      <c r="BH117" s="1">
        <f t="shared" ca="1" si="112"/>
        <v>5.0065290988421385E-3</v>
      </c>
      <c r="BI117" s="1">
        <f t="shared" ca="1" si="113"/>
        <v>135</v>
      </c>
      <c r="BV117" s="1">
        <f t="shared" ca="1" si="114"/>
        <v>0.39950844357829751</v>
      </c>
      <c r="BW117" s="1">
        <f t="shared" ca="1" si="115"/>
        <v>604</v>
      </c>
      <c r="BX117" s="1">
        <f t="shared" ca="1" si="116"/>
        <v>2.3417621938546501E-3</v>
      </c>
      <c r="BY117" s="1">
        <f t="shared" ca="1" si="117"/>
        <v>2.0311527905970992E-2</v>
      </c>
      <c r="BZ117" s="1">
        <f t="shared" ca="1" si="118"/>
        <v>0.49439649882917469</v>
      </c>
      <c r="CB117" s="1">
        <f t="shared" ca="1" si="119"/>
        <v>236</v>
      </c>
      <c r="CC117" s="1">
        <f t="shared" ca="1" si="120"/>
        <v>5</v>
      </c>
      <c r="CD117" s="1">
        <f t="shared" ca="1" si="121"/>
        <v>0.2275109663601293</v>
      </c>
      <c r="CE117" s="1">
        <f t="shared" ca="1" si="140"/>
        <v>0.98294864169262985</v>
      </c>
      <c r="CF117" s="1">
        <f t="shared" ca="1" si="140"/>
        <v>0.54533967466573374</v>
      </c>
      <c r="CH117" s="3">
        <f t="shared" ca="1" si="123"/>
        <v>0.26890173247328214</v>
      </c>
      <c r="CI117" s="3">
        <f t="shared" ca="1" si="124"/>
        <v>0.8248648858225881</v>
      </c>
      <c r="CJ117" s="3">
        <f t="shared" ca="1" si="125"/>
        <v>679</v>
      </c>
      <c r="CK117" s="3">
        <f t="shared" ca="1" si="126"/>
        <v>2.76000085800099E-3</v>
      </c>
      <c r="CL117" s="3">
        <f t="shared" ca="1" si="127"/>
        <v>1</v>
      </c>
      <c r="CM117" s="3"/>
      <c r="CN117" s="1">
        <f t="shared" ca="1" si="128"/>
        <v>8.280318887763034</v>
      </c>
      <c r="CO117" s="1">
        <f t="shared" ca="1" si="129"/>
        <v>0.28132944595854364</v>
      </c>
      <c r="CP117" s="1">
        <f t="shared" ca="1" si="130"/>
        <v>2</v>
      </c>
      <c r="CV117" s="1">
        <f t="shared" ca="1" si="131"/>
        <v>1.9747462087730043</v>
      </c>
      <c r="CW117" s="1">
        <f t="shared" ca="1" si="132"/>
        <v>730</v>
      </c>
      <c r="CX117" s="1">
        <f t="shared" ca="1" si="133"/>
        <v>7.8466185823251912E-3</v>
      </c>
      <c r="DH117" s="1">
        <f t="shared" ca="1" si="134"/>
        <v>279</v>
      </c>
      <c r="DI117" s="1">
        <f t="shared" ca="1" si="135"/>
        <v>0.72805026768500503</v>
      </c>
      <c r="DJ117" s="1">
        <f t="shared" ca="1" si="136"/>
        <v>27</v>
      </c>
      <c r="DL117" s="1">
        <f t="shared" ca="1" si="137"/>
        <v>6.8201924850916265E-2</v>
      </c>
      <c r="DM117" s="1">
        <f t="shared" ca="1" si="138"/>
        <v>52</v>
      </c>
      <c r="DN117" s="1">
        <f t="shared" ca="1" si="139"/>
        <v>5</v>
      </c>
    </row>
    <row r="118" spans="2:118" x14ac:dyDescent="0.25">
      <c r="B118">
        <f t="shared" ca="1" si="72"/>
        <v>513</v>
      </c>
      <c r="C118">
        <f t="shared" ca="1" si="73"/>
        <v>26</v>
      </c>
      <c r="D118">
        <f t="shared" ca="1" si="74"/>
        <v>7.7633656152669248E-2</v>
      </c>
      <c r="F118" s="1">
        <f t="shared" ca="1" si="75"/>
        <v>51</v>
      </c>
      <c r="G118" s="1">
        <f t="shared" ca="1" si="76"/>
        <v>24</v>
      </c>
      <c r="H118" s="1">
        <f t="shared" ca="1" si="77"/>
        <v>4</v>
      </c>
      <c r="I118" s="1"/>
      <c r="J118" s="1">
        <f t="shared" ca="1" si="78"/>
        <v>24</v>
      </c>
      <c r="K118" s="1">
        <f t="shared" ca="1" si="79"/>
        <v>1.895576512688427</v>
      </c>
      <c r="L118" s="1">
        <f t="shared" ca="1" si="80"/>
        <v>9</v>
      </c>
      <c r="M118" s="1"/>
      <c r="N118" s="1">
        <f t="shared" ca="1" si="81"/>
        <v>736</v>
      </c>
      <c r="O118" s="1">
        <f t="shared" ca="1" si="82"/>
        <v>24</v>
      </c>
      <c r="P118" s="1"/>
      <c r="Q118" s="1">
        <f t="shared" ca="1" si="83"/>
        <v>2.8624326727974578</v>
      </c>
      <c r="R118" s="1">
        <f t="shared" ca="1" si="84"/>
        <v>381</v>
      </c>
      <c r="S118" s="1"/>
      <c r="T118" s="1">
        <f t="shared" ca="1" si="85"/>
        <v>2.2070368159722121E-2</v>
      </c>
      <c r="U118" s="1">
        <f t="shared" ca="1" si="86"/>
        <v>299</v>
      </c>
      <c r="V118" s="1">
        <f t="shared" ca="1" si="87"/>
        <v>41</v>
      </c>
      <c r="W118" s="1"/>
      <c r="X118" s="1">
        <f t="shared" ca="1" si="88"/>
        <v>6.499801923222166</v>
      </c>
      <c r="Y118" s="1">
        <f t="shared" ca="1" si="89"/>
        <v>0.39897769131645006</v>
      </c>
      <c r="Z118" s="1">
        <f t="shared" ca="1" si="90"/>
        <v>184</v>
      </c>
      <c r="AB118" s="1">
        <f t="shared" ca="1" si="91"/>
        <v>0.29363842598054346</v>
      </c>
      <c r="AC118" s="1">
        <f t="shared" ca="1" si="92"/>
        <v>606</v>
      </c>
      <c r="AD118" s="1">
        <f t="shared" ca="1" si="93"/>
        <v>8.0172838427905596E-3</v>
      </c>
      <c r="AE118" s="1"/>
      <c r="AF118" s="1">
        <f t="shared" ca="1" si="94"/>
        <v>0.77296012822195237</v>
      </c>
      <c r="AG118" s="1">
        <f t="shared" ca="1" si="95"/>
        <v>337</v>
      </c>
      <c r="AH118" s="1">
        <f t="shared" ca="1" si="96"/>
        <v>6.3265188347055488E-4</v>
      </c>
      <c r="AJ118" s="1">
        <f t="shared" ca="1" si="97"/>
        <v>0.92584670839248262</v>
      </c>
      <c r="AK118" s="1">
        <f t="shared" ca="1" si="98"/>
        <v>1.7020214882089127E-3</v>
      </c>
      <c r="AL118" s="1"/>
      <c r="AM118" s="1">
        <f t="shared" ca="1" si="99"/>
        <v>3.4732818386315471E-2</v>
      </c>
      <c r="AN118" s="1">
        <f t="shared" ca="1" si="100"/>
        <v>73</v>
      </c>
      <c r="AO118" s="1">
        <f t="shared" ca="1" si="101"/>
        <v>0</v>
      </c>
      <c r="AQ118" s="1">
        <f t="shared" ca="1" si="102"/>
        <v>99</v>
      </c>
      <c r="AR118" s="1">
        <f t="shared" ca="1" si="103"/>
        <v>5</v>
      </c>
      <c r="AS118" s="1">
        <f t="shared" ca="1" si="104"/>
        <v>91</v>
      </c>
      <c r="AU118" s="1">
        <f t="shared" ca="1" si="105"/>
        <v>350</v>
      </c>
      <c r="AV118" s="1">
        <f t="shared" ca="1" si="106"/>
        <v>3</v>
      </c>
      <c r="AW118" s="1">
        <f t="shared" ca="1" si="107"/>
        <v>8.1094403723783612E-2</v>
      </c>
      <c r="AY118" s="1">
        <f t="shared" ca="1" si="108"/>
        <v>1.4665033088565465</v>
      </c>
      <c r="AZ118" s="1">
        <f t="shared" ca="1" si="109"/>
        <v>271</v>
      </c>
      <c r="BA118" s="1">
        <f t="shared" ca="1" si="110"/>
        <v>7.0624332598920596E-4</v>
      </c>
      <c r="BG118" s="1">
        <f t="shared" ca="1" si="111"/>
        <v>0.21927549739189592</v>
      </c>
      <c r="BH118" s="1">
        <f t="shared" ca="1" si="112"/>
        <v>0.39450291870087439</v>
      </c>
      <c r="BI118" s="1">
        <f t="shared" ca="1" si="113"/>
        <v>324</v>
      </c>
      <c r="BV118" s="1">
        <f t="shared" ca="1" si="114"/>
        <v>0.9869517535416098</v>
      </c>
      <c r="BW118" s="1">
        <f t="shared" ca="1" si="115"/>
        <v>981</v>
      </c>
      <c r="BX118" s="1">
        <f t="shared" ca="1" si="116"/>
        <v>3.6306539992331925E-3</v>
      </c>
      <c r="BY118" s="1">
        <f t="shared" ca="1" si="117"/>
        <v>2.890803926702239E-2</v>
      </c>
      <c r="BZ118" s="1">
        <f t="shared" ca="1" si="118"/>
        <v>0.78910719654747863</v>
      </c>
      <c r="CB118" s="1">
        <f t="shared" ca="1" si="119"/>
        <v>113</v>
      </c>
      <c r="CC118" s="1">
        <f t="shared" ca="1" si="120"/>
        <v>11</v>
      </c>
      <c r="CD118" s="1">
        <f t="shared" ca="1" si="121"/>
        <v>9.0017726498155162E-2</v>
      </c>
      <c r="CE118" s="1">
        <f t="shared" ca="1" si="140"/>
        <v>0.6334006667956622</v>
      </c>
      <c r="CF118" s="1">
        <f t="shared" ca="1" si="140"/>
        <v>0.59193744968745232</v>
      </c>
      <c r="CH118" s="3">
        <f t="shared" ca="1" si="123"/>
        <v>0.89712700710261395</v>
      </c>
      <c r="CI118" s="3">
        <f t="shared" ca="1" si="124"/>
        <v>0.94687844035970059</v>
      </c>
      <c r="CJ118" s="3">
        <f t="shared" ca="1" si="125"/>
        <v>1407</v>
      </c>
      <c r="CK118" s="3">
        <f t="shared" ca="1" si="126"/>
        <v>9.7409277762448218E-3</v>
      </c>
      <c r="CL118" s="3">
        <f t="shared" ca="1" si="127"/>
        <v>0</v>
      </c>
      <c r="CM118" s="3"/>
      <c r="CN118" s="1">
        <f t="shared" ca="1" si="128"/>
        <v>4.7635961003235945</v>
      </c>
      <c r="CO118" s="1">
        <f t="shared" ca="1" si="129"/>
        <v>0.35313983503049406</v>
      </c>
      <c r="CP118" s="1">
        <f t="shared" ca="1" si="130"/>
        <v>3</v>
      </c>
      <c r="CV118" s="1">
        <f t="shared" ca="1" si="131"/>
        <v>1.9795257597476021</v>
      </c>
      <c r="CW118" s="1">
        <f t="shared" ca="1" si="132"/>
        <v>1043</v>
      </c>
      <c r="CX118" s="1">
        <f t="shared" ca="1" si="133"/>
        <v>5.9999177534630511E-3</v>
      </c>
      <c r="DH118" s="1">
        <f t="shared" ca="1" si="134"/>
        <v>658</v>
      </c>
      <c r="DI118" s="1">
        <f t="shared" ca="1" si="135"/>
        <v>0.1709551336860676</v>
      </c>
      <c r="DJ118" s="1">
        <f t="shared" ca="1" si="136"/>
        <v>12</v>
      </c>
      <c r="DL118" s="1">
        <f t="shared" ca="1" si="137"/>
        <v>6.5675876232365607E-2</v>
      </c>
      <c r="DM118" s="1">
        <f t="shared" ca="1" si="138"/>
        <v>282</v>
      </c>
      <c r="DN118" s="1">
        <f t="shared" ca="1" si="139"/>
        <v>2</v>
      </c>
    </row>
    <row r="119" spans="2:118" x14ac:dyDescent="0.25">
      <c r="B119">
        <f t="shared" ca="1" si="72"/>
        <v>314</v>
      </c>
      <c r="C119">
        <f t="shared" ca="1" si="73"/>
        <v>31</v>
      </c>
      <c r="D119">
        <f t="shared" ca="1" si="74"/>
        <v>0.24742155223929377</v>
      </c>
      <c r="F119" s="1">
        <f t="shared" ca="1" si="75"/>
        <v>31</v>
      </c>
      <c r="G119" s="1">
        <f t="shared" ca="1" si="76"/>
        <v>20</v>
      </c>
      <c r="H119" s="1">
        <f t="shared" ca="1" si="77"/>
        <v>1</v>
      </c>
      <c r="I119" s="1"/>
      <c r="J119" s="1">
        <f t="shared" ca="1" si="78"/>
        <v>17</v>
      </c>
      <c r="K119" s="1">
        <f t="shared" ca="1" si="79"/>
        <v>2.0856432461218777</v>
      </c>
      <c r="L119" s="1">
        <f t="shared" ca="1" si="80"/>
        <v>4</v>
      </c>
      <c r="M119" s="1"/>
      <c r="N119" s="1">
        <f t="shared" ca="1" si="81"/>
        <v>955</v>
      </c>
      <c r="O119" s="1">
        <f t="shared" ca="1" si="82"/>
        <v>24</v>
      </c>
      <c r="P119" s="1"/>
      <c r="Q119" s="1">
        <f t="shared" ca="1" si="83"/>
        <v>4.938380420243031</v>
      </c>
      <c r="R119" s="1">
        <f t="shared" ca="1" si="84"/>
        <v>672</v>
      </c>
      <c r="S119" s="1"/>
      <c r="T119" s="1">
        <f t="shared" ca="1" si="85"/>
        <v>2.0861066353792077E-2</v>
      </c>
      <c r="U119" s="1">
        <f t="shared" ca="1" si="86"/>
        <v>145</v>
      </c>
      <c r="V119" s="1">
        <f t="shared" ca="1" si="87"/>
        <v>14</v>
      </c>
      <c r="W119" s="1"/>
      <c r="X119" s="1">
        <f t="shared" ca="1" si="88"/>
        <v>6.5301473987283103</v>
      </c>
      <c r="Y119" s="1">
        <f t="shared" ca="1" si="89"/>
        <v>0.67464940153338726</v>
      </c>
      <c r="Z119" s="1">
        <f t="shared" ca="1" si="90"/>
        <v>1312</v>
      </c>
      <c r="AB119" s="1">
        <f t="shared" ca="1" si="91"/>
        <v>0.73477171923958795</v>
      </c>
      <c r="AC119" s="1">
        <f t="shared" ca="1" si="92"/>
        <v>302</v>
      </c>
      <c r="AD119" s="1">
        <f t="shared" ca="1" si="93"/>
        <v>2.3338510240128174E-3</v>
      </c>
      <c r="AE119" s="1"/>
      <c r="AF119" s="1">
        <f t="shared" ca="1" si="94"/>
        <v>0.19995306295045481</v>
      </c>
      <c r="AG119" s="1">
        <f t="shared" ca="1" si="95"/>
        <v>891</v>
      </c>
      <c r="AH119" s="1">
        <f t="shared" ca="1" si="96"/>
        <v>8.1239238623301846E-3</v>
      </c>
      <c r="AJ119" s="1">
        <f t="shared" ca="1" si="97"/>
        <v>0.70430423197181347</v>
      </c>
      <c r="AK119" s="1">
        <f t="shared" ca="1" si="98"/>
        <v>9.6777840303041221E-3</v>
      </c>
      <c r="AL119" s="1"/>
      <c r="AM119" s="1">
        <f t="shared" ca="1" si="99"/>
        <v>0.18676889899181609</v>
      </c>
      <c r="AN119" s="1">
        <f t="shared" ca="1" si="100"/>
        <v>18</v>
      </c>
      <c r="AO119" s="1">
        <f t="shared" ca="1" si="101"/>
        <v>0</v>
      </c>
      <c r="AQ119" s="1">
        <f t="shared" ca="1" si="102"/>
        <v>70</v>
      </c>
      <c r="AR119" s="1">
        <f t="shared" ca="1" si="103"/>
        <v>9</v>
      </c>
      <c r="AS119" s="1">
        <f t="shared" ca="1" si="104"/>
        <v>14</v>
      </c>
      <c r="AU119" s="1">
        <f t="shared" ca="1" si="105"/>
        <v>300</v>
      </c>
      <c r="AV119" s="1">
        <f t="shared" ca="1" si="106"/>
        <v>2</v>
      </c>
      <c r="AW119" s="1">
        <f t="shared" ca="1" si="107"/>
        <v>0.1177527861132474</v>
      </c>
      <c r="AY119" s="1">
        <f t="shared" ca="1" si="108"/>
        <v>1.6205261524931229</v>
      </c>
      <c r="AZ119" s="1">
        <f t="shared" ca="1" si="109"/>
        <v>295</v>
      </c>
      <c r="BA119" s="1">
        <f t="shared" ca="1" si="110"/>
        <v>2.646155670722637E-3</v>
      </c>
      <c r="BG119" s="1">
        <f t="shared" ca="1" si="111"/>
        <v>0.98818517862960986</v>
      </c>
      <c r="BH119" s="1">
        <f t="shared" ca="1" si="112"/>
        <v>0.82256514246450085</v>
      </c>
      <c r="BI119" s="1">
        <f t="shared" ca="1" si="113"/>
        <v>196</v>
      </c>
      <c r="BV119" s="1">
        <f t="shared" ca="1" si="114"/>
        <v>0.52770197783645578</v>
      </c>
      <c r="BW119" s="1">
        <f t="shared" ca="1" si="115"/>
        <v>431</v>
      </c>
      <c r="BX119" s="1">
        <f t="shared" ca="1" si="116"/>
        <v>6.7873152792909232E-3</v>
      </c>
      <c r="BY119" s="1">
        <f t="shared" ca="1" si="117"/>
        <v>5.6944801582171987E-2</v>
      </c>
      <c r="BZ119" s="1">
        <f t="shared" ca="1" si="118"/>
        <v>2.0046158732800468E-2</v>
      </c>
      <c r="CB119" s="1">
        <f t="shared" ca="1" si="119"/>
        <v>195</v>
      </c>
      <c r="CC119" s="1">
        <f t="shared" ca="1" si="120"/>
        <v>8</v>
      </c>
      <c r="CD119" s="1">
        <f t="shared" ca="1" si="121"/>
        <v>0.19686926420561346</v>
      </c>
      <c r="CE119" s="1">
        <f t="shared" ca="1" si="140"/>
        <v>0.80162836413591954</v>
      </c>
      <c r="CF119" s="1">
        <f t="shared" ca="1" si="140"/>
        <v>0.81898633941936883</v>
      </c>
      <c r="CH119" s="3">
        <f t="shared" ca="1" si="123"/>
        <v>0.34554795155927565</v>
      </c>
      <c r="CI119" s="3">
        <f t="shared" ca="1" si="124"/>
        <v>0.27796177149096613</v>
      </c>
      <c r="CJ119" s="3">
        <f t="shared" ca="1" si="125"/>
        <v>1803</v>
      </c>
      <c r="CK119" s="3">
        <f t="shared" ca="1" si="126"/>
        <v>8.9854731217267735E-3</v>
      </c>
      <c r="CL119" s="3">
        <f t="shared" ca="1" si="127"/>
        <v>1</v>
      </c>
      <c r="CM119" s="3"/>
      <c r="CN119" s="1">
        <f t="shared" ca="1" si="128"/>
        <v>11.518480272350905</v>
      </c>
      <c r="CO119" s="1">
        <f t="shared" ca="1" si="129"/>
        <v>0.4580170832478595</v>
      </c>
      <c r="CP119" s="1">
        <f t="shared" ca="1" si="130"/>
        <v>3</v>
      </c>
      <c r="CV119" s="1">
        <f t="shared" ca="1" si="131"/>
        <v>9.6799645438104903E-2</v>
      </c>
      <c r="CW119" s="1">
        <f t="shared" ca="1" si="132"/>
        <v>470</v>
      </c>
      <c r="CX119" s="1">
        <f t="shared" ca="1" si="133"/>
        <v>9.20520579622096E-3</v>
      </c>
      <c r="DH119" s="1">
        <f t="shared" ca="1" si="134"/>
        <v>334</v>
      </c>
      <c r="DI119" s="1">
        <f t="shared" ca="1" si="135"/>
        <v>0.75561598492489579</v>
      </c>
      <c r="DJ119" s="1">
        <f t="shared" ca="1" si="136"/>
        <v>15</v>
      </c>
      <c r="DL119" s="1">
        <f t="shared" ca="1" si="137"/>
        <v>0.19267702773048473</v>
      </c>
      <c r="DM119" s="1">
        <f t="shared" ca="1" si="138"/>
        <v>224</v>
      </c>
      <c r="DN119" s="1">
        <f t="shared" ca="1" si="139"/>
        <v>10</v>
      </c>
    </row>
    <row r="120" spans="2:118" x14ac:dyDescent="0.25">
      <c r="B120">
        <f t="shared" ca="1" si="72"/>
        <v>148</v>
      </c>
      <c r="C120">
        <f t="shared" ca="1" si="73"/>
        <v>4</v>
      </c>
      <c r="D120">
        <f t="shared" ca="1" si="74"/>
        <v>0.15919247550488522</v>
      </c>
      <c r="F120" s="1">
        <f t="shared" ca="1" si="75"/>
        <v>16</v>
      </c>
      <c r="G120" s="1">
        <f t="shared" ca="1" si="76"/>
        <v>15</v>
      </c>
      <c r="H120" s="1">
        <f t="shared" ca="1" si="77"/>
        <v>8</v>
      </c>
      <c r="I120" s="1"/>
      <c r="J120" s="1">
        <f t="shared" ca="1" si="78"/>
        <v>37</v>
      </c>
      <c r="K120" s="1">
        <f t="shared" ca="1" si="79"/>
        <v>2.3334159235607363</v>
      </c>
      <c r="L120" s="1">
        <f t="shared" ca="1" si="80"/>
        <v>33</v>
      </c>
      <c r="M120" s="1"/>
      <c r="N120" s="1">
        <f t="shared" ca="1" si="81"/>
        <v>289</v>
      </c>
      <c r="O120" s="1">
        <f t="shared" ca="1" si="82"/>
        <v>23</v>
      </c>
      <c r="P120" s="1"/>
      <c r="Q120" s="1">
        <f t="shared" ca="1" si="83"/>
        <v>3.0779405109997762</v>
      </c>
      <c r="R120" s="1">
        <f t="shared" ca="1" si="84"/>
        <v>531</v>
      </c>
      <c r="S120" s="1"/>
      <c r="T120" s="1">
        <f t="shared" ca="1" si="85"/>
        <v>8.484365214903053E-2</v>
      </c>
      <c r="U120" s="1">
        <f t="shared" ca="1" si="86"/>
        <v>369</v>
      </c>
      <c r="V120" s="1">
        <f t="shared" ca="1" si="87"/>
        <v>50</v>
      </c>
      <c r="W120" s="1"/>
      <c r="X120" s="1">
        <f t="shared" ca="1" si="88"/>
        <v>4.1898329911932137</v>
      </c>
      <c r="Y120" s="1">
        <f t="shared" ca="1" si="89"/>
        <v>0.92778721285331878</v>
      </c>
      <c r="Z120" s="1">
        <f t="shared" ca="1" si="90"/>
        <v>769</v>
      </c>
      <c r="AB120" s="1">
        <f t="shared" ca="1" si="91"/>
        <v>8.5383266444670966E-2</v>
      </c>
      <c r="AC120" s="1">
        <f t="shared" ca="1" si="92"/>
        <v>118</v>
      </c>
      <c r="AD120" s="1">
        <f t="shared" ca="1" si="93"/>
        <v>4.6111091463657116E-3</v>
      </c>
      <c r="AE120" s="1"/>
      <c r="AF120" s="1">
        <f t="shared" ca="1" si="94"/>
        <v>0.20491689486762221</v>
      </c>
      <c r="AG120" s="1">
        <f t="shared" ca="1" si="95"/>
        <v>712</v>
      </c>
      <c r="AH120" s="1">
        <f t="shared" ca="1" si="96"/>
        <v>9.4057451667290751E-3</v>
      </c>
      <c r="AJ120" s="1">
        <f t="shared" ca="1" si="97"/>
        <v>0.72851324608526513</v>
      </c>
      <c r="AK120" s="1">
        <f t="shared" ca="1" si="98"/>
        <v>1.6123908042789922E-3</v>
      </c>
      <c r="AL120" s="1"/>
      <c r="AM120" s="1">
        <f t="shared" ca="1" si="99"/>
        <v>0.11777716338388255</v>
      </c>
      <c r="AN120" s="1">
        <f t="shared" ca="1" si="100"/>
        <v>32</v>
      </c>
      <c r="AO120" s="1">
        <f t="shared" ca="1" si="101"/>
        <v>9</v>
      </c>
      <c r="AQ120" s="1">
        <f t="shared" ca="1" si="102"/>
        <v>85</v>
      </c>
      <c r="AR120" s="1">
        <f t="shared" ca="1" si="103"/>
        <v>5</v>
      </c>
      <c r="AS120" s="1">
        <f t="shared" ca="1" si="104"/>
        <v>98</v>
      </c>
      <c r="AU120" s="1">
        <f t="shared" ca="1" si="105"/>
        <v>399</v>
      </c>
      <c r="AV120" s="1">
        <f t="shared" ca="1" si="106"/>
        <v>10</v>
      </c>
      <c r="AW120" s="1">
        <f t="shared" ca="1" si="107"/>
        <v>0.1745236300336114</v>
      </c>
      <c r="AY120" s="1">
        <f t="shared" ca="1" si="108"/>
        <v>1.7368908583331941</v>
      </c>
      <c r="AZ120" s="1">
        <f t="shared" ca="1" si="109"/>
        <v>375</v>
      </c>
      <c r="BA120" s="1">
        <f t="shared" ca="1" si="110"/>
        <v>8.3051297230753735E-3</v>
      </c>
      <c r="BG120" s="1">
        <f t="shared" ca="1" si="111"/>
        <v>0.86376552503471427</v>
      </c>
      <c r="BH120" s="1">
        <f t="shared" ca="1" si="112"/>
        <v>1.5277882381106389E-2</v>
      </c>
      <c r="BI120" s="1">
        <f t="shared" ca="1" si="113"/>
        <v>132</v>
      </c>
      <c r="BV120" s="1">
        <f t="shared" ca="1" si="114"/>
        <v>0.55203093787361557</v>
      </c>
      <c r="BW120" s="1">
        <f t="shared" ca="1" si="115"/>
        <v>720</v>
      </c>
      <c r="BX120" s="1">
        <f t="shared" ca="1" si="116"/>
        <v>1.3836246515395608E-3</v>
      </c>
      <c r="BY120" s="1">
        <f t="shared" ca="1" si="117"/>
        <v>7.4351918517317095E-2</v>
      </c>
      <c r="BZ120" s="1">
        <f t="shared" ca="1" si="118"/>
        <v>0.29882771967358668</v>
      </c>
      <c r="CB120" s="1">
        <f t="shared" ca="1" si="119"/>
        <v>270</v>
      </c>
      <c r="CC120" s="1">
        <f t="shared" ca="1" si="120"/>
        <v>8</v>
      </c>
      <c r="CD120" s="1">
        <f t="shared" ca="1" si="121"/>
        <v>0.25732465831752466</v>
      </c>
      <c r="CE120" s="1">
        <f t="shared" ca="1" si="140"/>
        <v>0.57233291817309406</v>
      </c>
      <c r="CF120" s="1">
        <f t="shared" ca="1" si="140"/>
        <v>0.72496405548456855</v>
      </c>
      <c r="CH120" s="3">
        <f t="shared" ca="1" si="123"/>
        <v>0.80044138137470644</v>
      </c>
      <c r="CI120" s="3">
        <f t="shared" ca="1" si="124"/>
        <v>0.62583226851087115</v>
      </c>
      <c r="CJ120" s="3">
        <f t="shared" ca="1" si="125"/>
        <v>677</v>
      </c>
      <c r="CK120" s="3">
        <f t="shared" ca="1" si="126"/>
        <v>7.9539401682973306E-3</v>
      </c>
      <c r="CL120" s="3">
        <f t="shared" ca="1" si="127"/>
        <v>0</v>
      </c>
      <c r="CM120" s="3"/>
      <c r="CN120" s="1">
        <f t="shared" ca="1" si="128"/>
        <v>4.3297147568054619</v>
      </c>
      <c r="CO120" s="1">
        <f t="shared" ca="1" si="129"/>
        <v>0.21943823841593216</v>
      </c>
      <c r="CP120" s="1">
        <f t="shared" ca="1" si="130"/>
        <v>5</v>
      </c>
      <c r="CV120" s="1">
        <f t="shared" ca="1" si="131"/>
        <v>5.3799368405593295</v>
      </c>
      <c r="CW120" s="1">
        <f t="shared" ca="1" si="132"/>
        <v>1401</v>
      </c>
      <c r="CX120" s="1">
        <f t="shared" ca="1" si="133"/>
        <v>1.9478610745943671E-3</v>
      </c>
      <c r="DH120" s="1">
        <f t="shared" ca="1" si="134"/>
        <v>325</v>
      </c>
      <c r="DI120" s="1">
        <f t="shared" ca="1" si="135"/>
        <v>8.2412181148361179E-3</v>
      </c>
      <c r="DJ120" s="1">
        <f t="shared" ca="1" si="136"/>
        <v>6</v>
      </c>
      <c r="DL120" s="1">
        <f t="shared" ca="1" si="137"/>
        <v>0.11059612730489932</v>
      </c>
      <c r="DM120" s="1">
        <f t="shared" ca="1" si="138"/>
        <v>270</v>
      </c>
      <c r="DN120" s="1">
        <f t="shared" ca="1" si="139"/>
        <v>5</v>
      </c>
    </row>
    <row r="121" spans="2:118" x14ac:dyDescent="0.25">
      <c r="B121">
        <f t="shared" ca="1" si="72"/>
        <v>389</v>
      </c>
      <c r="C121">
        <f t="shared" ca="1" si="73"/>
        <v>30</v>
      </c>
      <c r="D121">
        <f t="shared" ca="1" si="74"/>
        <v>0.27308461246774185</v>
      </c>
      <c r="F121" s="1">
        <f t="shared" ca="1" si="75"/>
        <v>9</v>
      </c>
      <c r="G121" s="1">
        <f t="shared" ca="1" si="76"/>
        <v>22</v>
      </c>
      <c r="H121" s="1">
        <f t="shared" ca="1" si="77"/>
        <v>6</v>
      </c>
      <c r="I121" s="1"/>
      <c r="J121" s="1">
        <f t="shared" ca="1" si="78"/>
        <v>1</v>
      </c>
      <c r="K121" s="1">
        <f t="shared" ca="1" si="79"/>
        <v>2.3117045918778372</v>
      </c>
      <c r="L121" s="1">
        <f t="shared" ca="1" si="80"/>
        <v>23</v>
      </c>
      <c r="M121" s="1"/>
      <c r="N121" s="1">
        <f t="shared" ca="1" si="81"/>
        <v>51</v>
      </c>
      <c r="O121" s="1">
        <f t="shared" ca="1" si="82"/>
        <v>33</v>
      </c>
      <c r="P121" s="1"/>
      <c r="Q121" s="1">
        <f t="shared" ca="1" si="83"/>
        <v>3.6407643796881488</v>
      </c>
      <c r="R121" s="1">
        <f t="shared" ca="1" si="84"/>
        <v>1078</v>
      </c>
      <c r="S121" s="1"/>
      <c r="T121" s="1">
        <f t="shared" ca="1" si="85"/>
        <v>0.19999835129199586</v>
      </c>
      <c r="U121" s="1">
        <f t="shared" ca="1" si="86"/>
        <v>218</v>
      </c>
      <c r="V121" s="1">
        <f t="shared" ca="1" si="87"/>
        <v>27</v>
      </c>
      <c r="W121" s="1"/>
      <c r="X121" s="1">
        <f t="shared" ca="1" si="88"/>
        <v>4.0412771922252233</v>
      </c>
      <c r="Y121" s="1">
        <f t="shared" ca="1" si="89"/>
        <v>1.0874660903259399E-2</v>
      </c>
      <c r="Z121" s="1">
        <f t="shared" ca="1" si="90"/>
        <v>118</v>
      </c>
      <c r="AB121" s="1">
        <f t="shared" ca="1" si="91"/>
        <v>0.52476033602025618</v>
      </c>
      <c r="AC121" s="1">
        <f t="shared" ca="1" si="92"/>
        <v>754</v>
      </c>
      <c r="AD121" s="1">
        <f t="shared" ca="1" si="93"/>
        <v>2.9099430413598629E-3</v>
      </c>
      <c r="AE121" s="1"/>
      <c r="AF121" s="1">
        <f t="shared" ca="1" si="94"/>
        <v>0.28939471586557919</v>
      </c>
      <c r="AG121" s="1">
        <f t="shared" ca="1" si="95"/>
        <v>899</v>
      </c>
      <c r="AH121" s="1">
        <f t="shared" ca="1" si="96"/>
        <v>1.2863934034662509E-3</v>
      </c>
      <c r="AJ121" s="1">
        <f t="shared" ca="1" si="97"/>
        <v>0.64917229993003733</v>
      </c>
      <c r="AK121" s="1">
        <f t="shared" ca="1" si="98"/>
        <v>2.8083358296638848E-3</v>
      </c>
      <c r="AL121" s="1"/>
      <c r="AM121" s="1">
        <f t="shared" ca="1" si="99"/>
        <v>0.13923488099845349</v>
      </c>
      <c r="AN121" s="1">
        <f t="shared" ca="1" si="100"/>
        <v>73</v>
      </c>
      <c r="AO121" s="1">
        <f t="shared" ca="1" si="101"/>
        <v>18</v>
      </c>
      <c r="AQ121" s="1">
        <f t="shared" ca="1" si="102"/>
        <v>12</v>
      </c>
      <c r="AR121" s="1">
        <f t="shared" ca="1" si="103"/>
        <v>0</v>
      </c>
      <c r="AS121" s="1">
        <f t="shared" ca="1" si="104"/>
        <v>40</v>
      </c>
      <c r="AU121" s="1">
        <f t="shared" ca="1" si="105"/>
        <v>322</v>
      </c>
      <c r="AV121" s="1">
        <f t="shared" ca="1" si="106"/>
        <v>8</v>
      </c>
      <c r="AW121" s="1">
        <f t="shared" ca="1" si="107"/>
        <v>9.3680883700033829E-2</v>
      </c>
      <c r="AY121" s="1">
        <f t="shared" ca="1" si="108"/>
        <v>1.4945548621304248</v>
      </c>
      <c r="AZ121" s="1">
        <f t="shared" ca="1" si="109"/>
        <v>389</v>
      </c>
      <c r="BA121" s="1">
        <f t="shared" ca="1" si="110"/>
        <v>1.5476447740454861E-3</v>
      </c>
      <c r="BG121" s="1">
        <f t="shared" ca="1" si="111"/>
        <v>0.21409358648229029</v>
      </c>
      <c r="BH121" s="1">
        <f t="shared" ca="1" si="112"/>
        <v>0.25501290596457649</v>
      </c>
      <c r="BI121" s="1">
        <f t="shared" ca="1" si="113"/>
        <v>639</v>
      </c>
      <c r="BV121" s="1">
        <f t="shared" ca="1" si="114"/>
        <v>0.9371657896896447</v>
      </c>
      <c r="BW121" s="1">
        <f t="shared" ca="1" si="115"/>
        <v>802</v>
      </c>
      <c r="BX121" s="1">
        <f t="shared" ca="1" si="116"/>
        <v>9.1106177258773301E-3</v>
      </c>
      <c r="BY121" s="1">
        <f t="shared" ca="1" si="117"/>
        <v>5.2137841829409719E-2</v>
      </c>
      <c r="BZ121" s="1">
        <f t="shared" ca="1" si="118"/>
        <v>0.27528303531810905</v>
      </c>
      <c r="CB121" s="1">
        <f t="shared" ca="1" si="119"/>
        <v>75</v>
      </c>
      <c r="CC121" s="1">
        <f t="shared" ca="1" si="120"/>
        <v>11</v>
      </c>
      <c r="CD121" s="1">
        <f t="shared" ca="1" si="121"/>
        <v>0.16308928459037117</v>
      </c>
      <c r="CE121" s="1">
        <f t="shared" ca="1" si="140"/>
        <v>0.91880183729065101</v>
      </c>
      <c r="CF121" s="1">
        <f t="shared" ca="1" si="140"/>
        <v>0.77256574888700047</v>
      </c>
      <c r="CH121" s="3">
        <f t="shared" ca="1" si="123"/>
        <v>0.96028484277115211</v>
      </c>
      <c r="CI121" s="3">
        <f t="shared" ca="1" si="124"/>
        <v>0.4170130782943367</v>
      </c>
      <c r="CJ121" s="3">
        <f t="shared" ca="1" si="125"/>
        <v>484</v>
      </c>
      <c r="CK121" s="3">
        <f t="shared" ca="1" si="126"/>
        <v>7.1107665311892368E-4</v>
      </c>
      <c r="CL121" s="3">
        <f t="shared" ca="1" si="127"/>
        <v>0</v>
      </c>
      <c r="CM121" s="3"/>
      <c r="CN121" s="1">
        <f t="shared" ca="1" si="128"/>
        <v>14.797165775647361</v>
      </c>
      <c r="CO121" s="1">
        <f t="shared" ca="1" si="129"/>
        <v>7.3216814876073136E-2</v>
      </c>
      <c r="CP121" s="1">
        <f t="shared" ca="1" si="130"/>
        <v>1</v>
      </c>
      <c r="CV121" s="1">
        <f t="shared" ca="1" si="131"/>
        <v>5.782241791439656</v>
      </c>
      <c r="CW121" s="1">
        <f t="shared" ca="1" si="132"/>
        <v>513</v>
      </c>
      <c r="CX121" s="1">
        <f t="shared" ca="1" si="133"/>
        <v>2.0908013772736852E-4</v>
      </c>
      <c r="DH121" s="1">
        <f t="shared" ca="1" si="134"/>
        <v>636</v>
      </c>
      <c r="DI121" s="1">
        <f t="shared" ca="1" si="135"/>
        <v>0.77325194006151787</v>
      </c>
      <c r="DJ121" s="1">
        <f t="shared" ca="1" si="136"/>
        <v>13</v>
      </c>
      <c r="DL121" s="1">
        <f t="shared" ca="1" si="137"/>
        <v>0.17271467613083211</v>
      </c>
      <c r="DM121" s="1">
        <f t="shared" ca="1" si="138"/>
        <v>175</v>
      </c>
      <c r="DN121" s="1">
        <f t="shared" ca="1" si="139"/>
        <v>4</v>
      </c>
    </row>
    <row r="122" spans="2:118" x14ac:dyDescent="0.25">
      <c r="B122">
        <f t="shared" ca="1" si="72"/>
        <v>901</v>
      </c>
      <c r="C122">
        <f t="shared" ca="1" si="73"/>
        <v>26</v>
      </c>
      <c r="D122">
        <f t="shared" ca="1" si="74"/>
        <v>7.8666256134910961E-2</v>
      </c>
      <c r="F122" s="1">
        <f t="shared" ca="1" si="75"/>
        <v>8</v>
      </c>
      <c r="G122" s="1">
        <f t="shared" ca="1" si="76"/>
        <v>2</v>
      </c>
      <c r="H122" s="1">
        <f t="shared" ca="1" si="77"/>
        <v>12</v>
      </c>
      <c r="I122" s="1"/>
      <c r="J122" s="1">
        <f t="shared" ca="1" si="78"/>
        <v>29</v>
      </c>
      <c r="K122" s="1">
        <f t="shared" ca="1" si="79"/>
        <v>2.1588917097858946</v>
      </c>
      <c r="L122" s="1">
        <f t="shared" ca="1" si="80"/>
        <v>24</v>
      </c>
      <c r="M122" s="1"/>
      <c r="N122" s="1">
        <f t="shared" ca="1" si="81"/>
        <v>186</v>
      </c>
      <c r="O122" s="1">
        <f t="shared" ca="1" si="82"/>
        <v>16</v>
      </c>
      <c r="P122" s="1"/>
      <c r="Q122" s="1">
        <f t="shared" ca="1" si="83"/>
        <v>3.8593271538363898</v>
      </c>
      <c r="R122" s="1">
        <f t="shared" ca="1" si="84"/>
        <v>259</v>
      </c>
      <c r="S122" s="1"/>
      <c r="T122" s="1">
        <f t="shared" ca="1" si="85"/>
        <v>0.12421688249323712</v>
      </c>
      <c r="U122" s="1">
        <f t="shared" ca="1" si="86"/>
        <v>77</v>
      </c>
      <c r="V122" s="1">
        <f t="shared" ca="1" si="87"/>
        <v>27</v>
      </c>
      <c r="W122" s="1"/>
      <c r="X122" s="1">
        <f t="shared" ca="1" si="88"/>
        <v>7.15526378444532</v>
      </c>
      <c r="Y122" s="1">
        <f t="shared" ca="1" si="89"/>
        <v>0.38596207128166488</v>
      </c>
      <c r="Z122" s="1">
        <f t="shared" ca="1" si="90"/>
        <v>1402</v>
      </c>
      <c r="AB122" s="1">
        <f t="shared" ca="1" si="91"/>
        <v>0.35788655747336351</v>
      </c>
      <c r="AC122" s="1">
        <f t="shared" ca="1" si="92"/>
        <v>742</v>
      </c>
      <c r="AD122" s="1">
        <f t="shared" ca="1" si="93"/>
        <v>2.9482361849438405E-3</v>
      </c>
      <c r="AE122" s="1"/>
      <c r="AF122" s="1">
        <f t="shared" ca="1" si="94"/>
        <v>0.67892380569113775</v>
      </c>
      <c r="AG122" s="1">
        <f t="shared" ca="1" si="95"/>
        <v>360</v>
      </c>
      <c r="AH122" s="1">
        <f t="shared" ca="1" si="96"/>
        <v>5.9317384914244166E-3</v>
      </c>
      <c r="AJ122" s="1">
        <f t="shared" ca="1" si="97"/>
        <v>0.95884821163695588</v>
      </c>
      <c r="AK122" s="1">
        <f t="shared" ca="1" si="98"/>
        <v>4.1375953501434793E-3</v>
      </c>
      <c r="AL122" s="1"/>
      <c r="AM122" s="1">
        <f t="shared" ca="1" si="99"/>
        <v>9.0380880075872069E-2</v>
      </c>
      <c r="AN122" s="1">
        <f t="shared" ca="1" si="100"/>
        <v>74</v>
      </c>
      <c r="AO122" s="1">
        <f t="shared" ca="1" si="101"/>
        <v>4</v>
      </c>
      <c r="AQ122" s="1">
        <f t="shared" ca="1" si="102"/>
        <v>155</v>
      </c>
      <c r="AR122" s="1">
        <f t="shared" ca="1" si="103"/>
        <v>7</v>
      </c>
      <c r="AS122" s="1">
        <f t="shared" ca="1" si="104"/>
        <v>81</v>
      </c>
      <c r="AU122" s="1">
        <f t="shared" ca="1" si="105"/>
        <v>210</v>
      </c>
      <c r="AV122" s="1">
        <f t="shared" ca="1" si="106"/>
        <v>10</v>
      </c>
      <c r="AW122" s="1">
        <f t="shared" ca="1" si="107"/>
        <v>8.3127344341629023E-2</v>
      </c>
      <c r="AY122" s="1">
        <f t="shared" ca="1" si="108"/>
        <v>1.4963227564709121</v>
      </c>
      <c r="AZ122" s="1">
        <f t="shared" ca="1" si="109"/>
        <v>220</v>
      </c>
      <c r="BA122" s="1">
        <f t="shared" ca="1" si="110"/>
        <v>8.1442735467507424E-3</v>
      </c>
      <c r="BG122" s="1">
        <f t="shared" ca="1" si="111"/>
        <v>0.51539613971900289</v>
      </c>
      <c r="BH122" s="1">
        <f t="shared" ca="1" si="112"/>
        <v>0.51041130034700832</v>
      </c>
      <c r="BI122" s="1">
        <f t="shared" ca="1" si="113"/>
        <v>806</v>
      </c>
      <c r="BV122" s="1">
        <f t="shared" ca="1" si="114"/>
        <v>0.1961552622162403</v>
      </c>
      <c r="BW122" s="1">
        <f t="shared" ca="1" si="115"/>
        <v>262</v>
      </c>
      <c r="BX122" s="1">
        <f t="shared" ca="1" si="116"/>
        <v>9.5543349441251698E-3</v>
      </c>
      <c r="BY122" s="1">
        <f t="shared" ca="1" si="117"/>
        <v>6.8282523324627059E-2</v>
      </c>
      <c r="BZ122" s="1">
        <f t="shared" ca="1" si="118"/>
        <v>0.41938677124236046</v>
      </c>
      <c r="CB122" s="1">
        <f t="shared" ca="1" si="119"/>
        <v>131</v>
      </c>
      <c r="CC122" s="1">
        <f t="shared" ca="1" si="120"/>
        <v>9</v>
      </c>
      <c r="CD122" s="1">
        <f t="shared" ca="1" si="121"/>
        <v>0.29878848766826538</v>
      </c>
      <c r="CE122" s="1">
        <f t="shared" ca="1" si="140"/>
        <v>0.74830198224104383</v>
      </c>
      <c r="CF122" s="1">
        <f t="shared" ca="1" si="140"/>
        <v>0.70111129769309155</v>
      </c>
      <c r="CH122" s="3">
        <f t="shared" ca="1" si="123"/>
        <v>0.95421405295505213</v>
      </c>
      <c r="CI122" s="3">
        <f t="shared" ca="1" si="124"/>
        <v>0.87962994207445944</v>
      </c>
      <c r="CJ122" s="3">
        <f t="shared" ca="1" si="125"/>
        <v>573</v>
      </c>
      <c r="CK122" s="3">
        <f t="shared" ca="1" si="126"/>
        <v>7.5590198631747367E-3</v>
      </c>
      <c r="CL122" s="3">
        <f t="shared" ca="1" si="127"/>
        <v>0</v>
      </c>
      <c r="CM122" s="3"/>
      <c r="CN122" s="1">
        <f t="shared" ca="1" si="128"/>
        <v>6.2939673516847439</v>
      </c>
      <c r="CO122" s="1">
        <f t="shared" ca="1" si="129"/>
        <v>0.27959616403102799</v>
      </c>
      <c r="CP122" s="1">
        <f t="shared" ca="1" si="130"/>
        <v>1</v>
      </c>
      <c r="CV122" s="1">
        <f t="shared" ca="1" si="131"/>
        <v>5.0911037242610435</v>
      </c>
      <c r="CW122" s="1">
        <f t="shared" ca="1" si="132"/>
        <v>245</v>
      </c>
      <c r="CX122" s="1">
        <f t="shared" ca="1" si="133"/>
        <v>5.3612983956431205E-4</v>
      </c>
      <c r="DH122" s="1">
        <f t="shared" ca="1" si="134"/>
        <v>791</v>
      </c>
      <c r="DI122" s="1">
        <f t="shared" ca="1" si="135"/>
        <v>0.96426809756954357</v>
      </c>
      <c r="DJ122" s="1">
        <f t="shared" ca="1" si="136"/>
        <v>30</v>
      </c>
      <c r="DL122" s="1">
        <f t="shared" ca="1" si="137"/>
        <v>0.17965373968123874</v>
      </c>
      <c r="DM122" s="1">
        <f t="shared" ca="1" si="138"/>
        <v>244</v>
      </c>
      <c r="DN122" s="1">
        <f t="shared" ca="1" si="139"/>
        <v>1</v>
      </c>
    </row>
    <row r="123" spans="2:118" x14ac:dyDescent="0.25">
      <c r="B123">
        <f t="shared" ca="1" si="72"/>
        <v>601</v>
      </c>
      <c r="C123">
        <f t="shared" ca="1" si="73"/>
        <v>7</v>
      </c>
      <c r="D123">
        <f t="shared" ca="1" si="74"/>
        <v>2.6142956119826866E-2</v>
      </c>
      <c r="F123" s="1">
        <f t="shared" ca="1" si="75"/>
        <v>19</v>
      </c>
      <c r="G123" s="1">
        <f t="shared" ca="1" si="76"/>
        <v>29</v>
      </c>
      <c r="H123" s="1">
        <f t="shared" ca="1" si="77"/>
        <v>1</v>
      </c>
      <c r="I123" s="1"/>
      <c r="J123" s="1">
        <f t="shared" ca="1" si="78"/>
        <v>23</v>
      </c>
      <c r="K123" s="1">
        <f t="shared" ca="1" si="79"/>
        <v>2.2858178245213994</v>
      </c>
      <c r="L123" s="1">
        <f t="shared" ca="1" si="80"/>
        <v>3</v>
      </c>
      <c r="M123" s="1"/>
      <c r="N123" s="1">
        <f t="shared" ca="1" si="81"/>
        <v>736</v>
      </c>
      <c r="O123" s="1">
        <f t="shared" ca="1" si="82"/>
        <v>25</v>
      </c>
      <c r="P123" s="1"/>
      <c r="Q123" s="1">
        <f t="shared" ca="1" si="83"/>
        <v>2.7753335462125648</v>
      </c>
      <c r="R123" s="1">
        <f t="shared" ca="1" si="84"/>
        <v>1022</v>
      </c>
      <c r="S123" s="1"/>
      <c r="T123" s="1">
        <f t="shared" ca="1" si="85"/>
        <v>0.19502387643740554</v>
      </c>
      <c r="U123" s="1">
        <f t="shared" ca="1" si="86"/>
        <v>210</v>
      </c>
      <c r="V123" s="1">
        <f t="shared" ca="1" si="87"/>
        <v>35</v>
      </c>
      <c r="W123" s="1"/>
      <c r="X123" s="1">
        <f t="shared" ca="1" si="88"/>
        <v>3.2852630923938859</v>
      </c>
      <c r="Y123" s="1">
        <f t="shared" ca="1" si="89"/>
        <v>0.998654431023551</v>
      </c>
      <c r="Z123" s="1">
        <f t="shared" ca="1" si="90"/>
        <v>1434</v>
      </c>
      <c r="AB123" s="1">
        <f t="shared" ca="1" si="91"/>
        <v>0.23160606604200248</v>
      </c>
      <c r="AC123" s="1">
        <f t="shared" ca="1" si="92"/>
        <v>294</v>
      </c>
      <c r="AD123" s="1">
        <f t="shared" ca="1" si="93"/>
        <v>7.8090146422744615E-3</v>
      </c>
      <c r="AE123" s="1"/>
      <c r="AF123" s="1">
        <f t="shared" ca="1" si="94"/>
        <v>0.5947303034614152</v>
      </c>
      <c r="AG123" s="1">
        <f t="shared" ca="1" si="95"/>
        <v>252</v>
      </c>
      <c r="AH123" s="1">
        <f t="shared" ca="1" si="96"/>
        <v>2.5468898559696802E-3</v>
      </c>
      <c r="AJ123" s="1">
        <f t="shared" ca="1" si="97"/>
        <v>0.60378791140706867</v>
      </c>
      <c r="AK123" s="1">
        <f t="shared" ca="1" si="98"/>
        <v>3.7631255266883921E-3</v>
      </c>
      <c r="AL123" s="1"/>
      <c r="AM123" s="1">
        <f t="shared" ca="1" si="99"/>
        <v>3.1803881274204381E-2</v>
      </c>
      <c r="AN123" s="1">
        <f t="shared" ca="1" si="100"/>
        <v>39</v>
      </c>
      <c r="AO123" s="1">
        <f t="shared" ca="1" si="101"/>
        <v>16</v>
      </c>
      <c r="AQ123" s="1">
        <f t="shared" ca="1" si="102"/>
        <v>84</v>
      </c>
      <c r="AR123" s="1">
        <f t="shared" ca="1" si="103"/>
        <v>2</v>
      </c>
      <c r="AS123" s="1">
        <f t="shared" ca="1" si="104"/>
        <v>40</v>
      </c>
      <c r="AU123" s="1">
        <f t="shared" ca="1" si="105"/>
        <v>354</v>
      </c>
      <c r="AV123" s="1">
        <f t="shared" ca="1" si="106"/>
        <v>5</v>
      </c>
      <c r="AW123" s="1">
        <f t="shared" ca="1" si="107"/>
        <v>0.19678994773174102</v>
      </c>
      <c r="AY123" s="1">
        <f t="shared" ca="1" si="108"/>
        <v>1.328062634074884</v>
      </c>
      <c r="AZ123" s="1">
        <f t="shared" ca="1" si="109"/>
        <v>484</v>
      </c>
      <c r="BA123" s="1">
        <f t="shared" ca="1" si="110"/>
        <v>2.4710380986891865E-4</v>
      </c>
      <c r="BG123" s="1">
        <f t="shared" ca="1" si="111"/>
        <v>0.18226318572136058</v>
      </c>
      <c r="BH123" s="1">
        <f t="shared" ca="1" si="112"/>
        <v>0.18864881994937677</v>
      </c>
      <c r="BI123" s="1">
        <f t="shared" ca="1" si="113"/>
        <v>633</v>
      </c>
      <c r="BV123" s="1">
        <f t="shared" ca="1" si="114"/>
        <v>0.76502300390049083</v>
      </c>
      <c r="BW123" s="1">
        <f t="shared" ca="1" si="115"/>
        <v>734</v>
      </c>
      <c r="BX123" s="1">
        <f t="shared" ca="1" si="116"/>
        <v>8.2490205294860532E-3</v>
      </c>
      <c r="BY123" s="1">
        <f t="shared" ca="1" si="117"/>
        <v>4.7842741175346155E-2</v>
      </c>
      <c r="BZ123" s="1">
        <f t="shared" ca="1" si="118"/>
        <v>0.33237976035478412</v>
      </c>
      <c r="CB123" s="1">
        <f t="shared" ca="1" si="119"/>
        <v>400</v>
      </c>
      <c r="CC123" s="1">
        <f t="shared" ca="1" si="120"/>
        <v>10</v>
      </c>
      <c r="CD123" s="1">
        <f t="shared" ca="1" si="121"/>
        <v>4.4956313136161538E-2</v>
      </c>
      <c r="CE123" s="1">
        <f t="shared" ca="1" si="140"/>
        <v>0.79133356583122516</v>
      </c>
      <c r="CF123" s="1">
        <f t="shared" ca="1" si="140"/>
        <v>0.56939351409748062</v>
      </c>
      <c r="CH123" s="3">
        <f t="shared" ca="1" si="123"/>
        <v>0.38261504053090328</v>
      </c>
      <c r="CI123" s="3">
        <f t="shared" ca="1" si="124"/>
        <v>0.41640877414033123</v>
      </c>
      <c r="CJ123" s="3">
        <f t="shared" ca="1" si="125"/>
        <v>337</v>
      </c>
      <c r="CK123" s="3">
        <f t="shared" ca="1" si="126"/>
        <v>2.5813654502390856E-4</v>
      </c>
      <c r="CL123" s="3">
        <f t="shared" ca="1" si="127"/>
        <v>0</v>
      </c>
      <c r="CM123" s="3"/>
      <c r="CN123" s="1">
        <f t="shared" ca="1" si="128"/>
        <v>16.901717661617521</v>
      </c>
      <c r="CO123" s="1">
        <f t="shared" ca="1" si="129"/>
        <v>0.2942583663314004</v>
      </c>
      <c r="CP123" s="1">
        <f t="shared" ca="1" si="130"/>
        <v>1</v>
      </c>
      <c r="CV123" s="1">
        <f t="shared" ca="1" si="131"/>
        <v>8.4419275156362481</v>
      </c>
      <c r="CW123" s="1">
        <f t="shared" ca="1" si="132"/>
        <v>750</v>
      </c>
      <c r="CX123" s="1">
        <f t="shared" ca="1" si="133"/>
        <v>3.904801764951879E-3</v>
      </c>
      <c r="DH123" s="1">
        <f t="shared" ca="1" si="134"/>
        <v>805</v>
      </c>
      <c r="DI123" s="1">
        <f t="shared" ca="1" si="135"/>
        <v>0.99871113991210481</v>
      </c>
      <c r="DJ123" s="1">
        <f t="shared" ca="1" si="136"/>
        <v>22</v>
      </c>
      <c r="DL123" s="1">
        <f t="shared" ca="1" si="137"/>
        <v>5.2198633326728749E-2</v>
      </c>
      <c r="DM123" s="1">
        <f t="shared" ca="1" si="138"/>
        <v>300</v>
      </c>
      <c r="DN123" s="1">
        <f t="shared" ca="1" si="139"/>
        <v>6</v>
      </c>
    </row>
    <row r="124" spans="2:118" x14ac:dyDescent="0.25">
      <c r="B124">
        <f t="shared" ca="1" si="72"/>
        <v>866</v>
      </c>
      <c r="C124">
        <f t="shared" ca="1" si="73"/>
        <v>37</v>
      </c>
      <c r="D124">
        <f t="shared" ca="1" si="74"/>
        <v>0.1385457142558072</v>
      </c>
      <c r="F124" s="1">
        <f t="shared" ca="1" si="75"/>
        <v>28</v>
      </c>
      <c r="G124" s="1">
        <f t="shared" ca="1" si="76"/>
        <v>22</v>
      </c>
      <c r="H124" s="1">
        <f t="shared" ca="1" si="77"/>
        <v>13</v>
      </c>
      <c r="I124" s="1"/>
      <c r="J124" s="1">
        <f t="shared" ca="1" si="78"/>
        <v>3</v>
      </c>
      <c r="K124" s="1">
        <f t="shared" ca="1" si="79"/>
        <v>2.6234806637920487</v>
      </c>
      <c r="L124" s="1">
        <f t="shared" ca="1" si="80"/>
        <v>8</v>
      </c>
      <c r="M124" s="1"/>
      <c r="N124" s="1">
        <f t="shared" ca="1" si="81"/>
        <v>759</v>
      </c>
      <c r="O124" s="1">
        <f t="shared" ca="1" si="82"/>
        <v>20</v>
      </c>
      <c r="P124" s="1"/>
      <c r="Q124" s="1">
        <f t="shared" ca="1" si="83"/>
        <v>2.2345773139036433</v>
      </c>
      <c r="R124" s="1">
        <f t="shared" ca="1" si="84"/>
        <v>398</v>
      </c>
      <c r="S124" s="1"/>
      <c r="T124" s="1">
        <f t="shared" ca="1" si="85"/>
        <v>5.9903061451320183E-2</v>
      </c>
      <c r="U124" s="1">
        <f t="shared" ca="1" si="86"/>
        <v>388</v>
      </c>
      <c r="V124" s="1">
        <f t="shared" ca="1" si="87"/>
        <v>51</v>
      </c>
      <c r="W124" s="1"/>
      <c r="X124" s="1">
        <f t="shared" ca="1" si="88"/>
        <v>9.5782224403425698</v>
      </c>
      <c r="Y124" s="1">
        <f t="shared" ca="1" si="89"/>
        <v>0.10063572440270097</v>
      </c>
      <c r="Z124" s="1">
        <f t="shared" ca="1" si="90"/>
        <v>453</v>
      </c>
      <c r="AB124" s="1">
        <f t="shared" ca="1" si="91"/>
        <v>0.27065899730276199</v>
      </c>
      <c r="AC124" s="1">
        <f t="shared" ca="1" si="92"/>
        <v>242</v>
      </c>
      <c r="AD124" s="1">
        <f t="shared" ca="1" si="93"/>
        <v>6.8768178332755392E-3</v>
      </c>
      <c r="AE124" s="1"/>
      <c r="AF124" s="1">
        <f t="shared" ca="1" si="94"/>
        <v>0.3213462291008341</v>
      </c>
      <c r="AG124" s="1">
        <f t="shared" ca="1" si="95"/>
        <v>979</v>
      </c>
      <c r="AH124" s="1">
        <f t="shared" ca="1" si="96"/>
        <v>4.7157427050613368E-3</v>
      </c>
      <c r="AJ124" s="1">
        <f t="shared" ca="1" si="97"/>
        <v>0.58100251676358095</v>
      </c>
      <c r="AK124" s="1">
        <f t="shared" ca="1" si="98"/>
        <v>9.4494228036307998E-3</v>
      </c>
      <c r="AL124" s="1"/>
      <c r="AM124" s="1">
        <f t="shared" ca="1" si="99"/>
        <v>1.0394913463120884E-2</v>
      </c>
      <c r="AN124" s="1">
        <f t="shared" ca="1" si="100"/>
        <v>67</v>
      </c>
      <c r="AO124" s="1">
        <f t="shared" ca="1" si="101"/>
        <v>3</v>
      </c>
      <c r="AQ124" s="1">
        <f t="shared" ca="1" si="102"/>
        <v>89</v>
      </c>
      <c r="AR124" s="1">
        <f t="shared" ca="1" si="103"/>
        <v>6</v>
      </c>
      <c r="AS124" s="1">
        <f t="shared" ca="1" si="104"/>
        <v>32</v>
      </c>
      <c r="AU124" s="1">
        <f t="shared" ca="1" si="105"/>
        <v>92</v>
      </c>
      <c r="AV124" s="1">
        <f t="shared" ca="1" si="106"/>
        <v>4</v>
      </c>
      <c r="AW124" s="1">
        <f t="shared" ca="1" si="107"/>
        <v>1.4456977774243169E-2</v>
      </c>
      <c r="AY124" s="1">
        <f t="shared" ca="1" si="108"/>
        <v>1.5492577857339165</v>
      </c>
      <c r="AZ124" s="1">
        <f t="shared" ca="1" si="109"/>
        <v>148</v>
      </c>
      <c r="BA124" s="1">
        <f t="shared" ca="1" si="110"/>
        <v>7.7471015368996889E-3</v>
      </c>
      <c r="BG124" s="1">
        <f t="shared" ca="1" si="111"/>
        <v>0.78861555194572319</v>
      </c>
      <c r="BH124" s="1">
        <f t="shared" ca="1" si="112"/>
        <v>0.30389134064161238</v>
      </c>
      <c r="BI124" s="1">
        <f t="shared" ca="1" si="113"/>
        <v>759</v>
      </c>
      <c r="BV124" s="1">
        <f t="shared" ca="1" si="114"/>
        <v>0.54485309435674467</v>
      </c>
      <c r="BW124" s="1">
        <f t="shared" ca="1" si="115"/>
        <v>807</v>
      </c>
      <c r="BX124" s="1">
        <f t="shared" ca="1" si="116"/>
        <v>7.0391349685262842E-3</v>
      </c>
      <c r="BY124" s="1">
        <f t="shared" ca="1" si="117"/>
        <v>2.5494954996691001E-2</v>
      </c>
      <c r="BZ124" s="1">
        <f t="shared" ca="1" si="118"/>
        <v>7.9178244544316101E-2</v>
      </c>
      <c r="CB124" s="1">
        <f t="shared" ca="1" si="119"/>
        <v>91</v>
      </c>
      <c r="CC124" s="1">
        <f t="shared" ca="1" si="120"/>
        <v>13</v>
      </c>
      <c r="CD124" s="1">
        <f t="shared" ca="1" si="121"/>
        <v>0.2034468491905394</v>
      </c>
      <c r="CE124" s="1">
        <f t="shared" ca="1" si="140"/>
        <v>0.722450627568204</v>
      </c>
      <c r="CF124" s="1">
        <f t="shared" ca="1" si="140"/>
        <v>0.63006346889048204</v>
      </c>
      <c r="CH124" s="3">
        <f t="shared" ca="1" si="123"/>
        <v>9.6226539859545594E-3</v>
      </c>
      <c r="CI124" s="3">
        <f t="shared" ca="1" si="124"/>
        <v>0.82658332478175156</v>
      </c>
      <c r="CJ124" s="3">
        <f t="shared" ca="1" si="125"/>
        <v>398</v>
      </c>
      <c r="CK124" s="3">
        <f t="shared" ca="1" si="126"/>
        <v>1.2621017566493997E-3</v>
      </c>
      <c r="CL124" s="3">
        <f t="shared" ca="1" si="127"/>
        <v>0</v>
      </c>
      <c r="CM124" s="3"/>
      <c r="CN124" s="1">
        <f t="shared" ca="1" si="128"/>
        <v>9.3720005551244565</v>
      </c>
      <c r="CO124" s="1">
        <f t="shared" ca="1" si="129"/>
        <v>0.45222000724061512</v>
      </c>
      <c r="CP124" s="1">
        <f t="shared" ca="1" si="130"/>
        <v>1</v>
      </c>
      <c r="CV124" s="1">
        <f t="shared" ca="1" si="131"/>
        <v>7.0155174888516472</v>
      </c>
      <c r="CW124" s="1">
        <f t="shared" ca="1" si="132"/>
        <v>1256</v>
      </c>
      <c r="CX124" s="1">
        <f t="shared" ca="1" si="133"/>
        <v>9.3696938740012847E-3</v>
      </c>
      <c r="DH124" s="1">
        <f t="shared" ca="1" si="134"/>
        <v>177</v>
      </c>
      <c r="DI124" s="1">
        <f t="shared" ca="1" si="135"/>
        <v>0.42418757077164165</v>
      </c>
      <c r="DJ124" s="1">
        <f t="shared" ca="1" si="136"/>
        <v>24</v>
      </c>
      <c r="DL124" s="1">
        <f t="shared" ca="1" si="137"/>
        <v>1.5908066839805616E-2</v>
      </c>
      <c r="DM124" s="1">
        <f t="shared" ca="1" si="138"/>
        <v>90</v>
      </c>
      <c r="DN124" s="1">
        <f t="shared" ca="1" si="139"/>
        <v>10</v>
      </c>
    </row>
    <row r="125" spans="2:118" x14ac:dyDescent="0.25">
      <c r="B125">
        <f t="shared" ca="1" si="72"/>
        <v>276</v>
      </c>
      <c r="C125">
        <f t="shared" ca="1" si="73"/>
        <v>3</v>
      </c>
      <c r="D125">
        <f t="shared" ca="1" si="74"/>
        <v>5.6932970157524632E-2</v>
      </c>
      <c r="F125" s="1">
        <f t="shared" ca="1" si="75"/>
        <v>6</v>
      </c>
      <c r="G125" s="1">
        <f t="shared" ca="1" si="76"/>
        <v>27</v>
      </c>
      <c r="H125" s="1">
        <f t="shared" ca="1" si="77"/>
        <v>4</v>
      </c>
      <c r="I125" s="1"/>
      <c r="J125" s="1">
        <f t="shared" ca="1" si="78"/>
        <v>28</v>
      </c>
      <c r="K125" s="1">
        <f t="shared" ca="1" si="79"/>
        <v>2.4414399825899586</v>
      </c>
      <c r="L125" s="1">
        <f t="shared" ca="1" si="80"/>
        <v>28</v>
      </c>
      <c r="M125" s="1"/>
      <c r="N125" s="1">
        <f t="shared" ca="1" si="81"/>
        <v>156</v>
      </c>
      <c r="O125" s="1">
        <f t="shared" ca="1" si="82"/>
        <v>35</v>
      </c>
      <c r="P125" s="1"/>
      <c r="Q125" s="1">
        <f t="shared" ca="1" si="83"/>
        <v>1.6762318621551517</v>
      </c>
      <c r="R125" s="1">
        <f t="shared" ca="1" si="84"/>
        <v>913</v>
      </c>
      <c r="S125" s="1"/>
      <c r="T125" s="1">
        <f t="shared" ca="1" si="85"/>
        <v>3.1391726672480455E-2</v>
      </c>
      <c r="U125" s="1">
        <f t="shared" ca="1" si="86"/>
        <v>405</v>
      </c>
      <c r="V125" s="1">
        <f t="shared" ca="1" si="87"/>
        <v>27</v>
      </c>
      <c r="W125" s="1"/>
      <c r="X125" s="1">
        <f t="shared" ca="1" si="88"/>
        <v>0.47124384280732745</v>
      </c>
      <c r="Y125" s="1">
        <f t="shared" ca="1" si="89"/>
        <v>0.24074438743715817</v>
      </c>
      <c r="Z125" s="1">
        <f t="shared" ca="1" si="90"/>
        <v>235</v>
      </c>
      <c r="AB125" s="1">
        <f t="shared" ca="1" si="91"/>
        <v>5.5084782612009595E-2</v>
      </c>
      <c r="AC125" s="1">
        <f t="shared" ca="1" si="92"/>
        <v>327</v>
      </c>
      <c r="AD125" s="1">
        <f t="shared" ca="1" si="93"/>
        <v>4.863733044241981E-3</v>
      </c>
      <c r="AE125" s="1"/>
      <c r="AF125" s="1">
        <f t="shared" ca="1" si="94"/>
        <v>0.76272675952053981</v>
      </c>
      <c r="AG125" s="1">
        <f t="shared" ca="1" si="95"/>
        <v>980</v>
      </c>
      <c r="AH125" s="1">
        <f t="shared" ca="1" si="96"/>
        <v>4.9417429098789622E-4</v>
      </c>
      <c r="AJ125" s="1">
        <f t="shared" ca="1" si="97"/>
        <v>0.55111425947652992</v>
      </c>
      <c r="AK125" s="1">
        <f t="shared" ca="1" si="98"/>
        <v>7.1255570573843675E-3</v>
      </c>
      <c r="AL125" s="1"/>
      <c r="AM125" s="1">
        <f t="shared" ca="1" si="99"/>
        <v>5.8285370292316098E-2</v>
      </c>
      <c r="AN125" s="1">
        <f t="shared" ca="1" si="100"/>
        <v>59</v>
      </c>
      <c r="AO125" s="1">
        <f t="shared" ca="1" si="101"/>
        <v>12</v>
      </c>
      <c r="AQ125" s="1">
        <f t="shared" ca="1" si="102"/>
        <v>83</v>
      </c>
      <c r="AR125" s="1">
        <f t="shared" ca="1" si="103"/>
        <v>9</v>
      </c>
      <c r="AS125" s="1">
        <f t="shared" ca="1" si="104"/>
        <v>96</v>
      </c>
      <c r="AU125" s="1">
        <f t="shared" ca="1" si="105"/>
        <v>310</v>
      </c>
      <c r="AV125" s="1">
        <f t="shared" ca="1" si="106"/>
        <v>9</v>
      </c>
      <c r="AW125" s="1">
        <f t="shared" ca="1" si="107"/>
        <v>7.6524145182283676E-2</v>
      </c>
      <c r="AY125" s="1">
        <f t="shared" ca="1" si="108"/>
        <v>1.2114919374294659</v>
      </c>
      <c r="AZ125" s="1">
        <f t="shared" ca="1" si="109"/>
        <v>107</v>
      </c>
      <c r="BA125" s="1">
        <f t="shared" ca="1" si="110"/>
        <v>8.3981260919810657E-3</v>
      </c>
      <c r="BG125" s="1">
        <f t="shared" ca="1" si="111"/>
        <v>0.37687901012646691</v>
      </c>
      <c r="BH125" s="1">
        <f t="shared" ca="1" si="112"/>
        <v>0.65414014492997086</v>
      </c>
      <c r="BI125" s="1">
        <f t="shared" ca="1" si="113"/>
        <v>295</v>
      </c>
      <c r="BV125" s="1">
        <f t="shared" ca="1" si="114"/>
        <v>0.49539468218657917</v>
      </c>
      <c r="BW125" s="1">
        <f t="shared" ca="1" si="115"/>
        <v>258</v>
      </c>
      <c r="BX125" s="1">
        <f t="shared" ca="1" si="116"/>
        <v>2.279550286904364E-3</v>
      </c>
      <c r="BY125" s="1">
        <f t="shared" ca="1" si="117"/>
        <v>2.4974044336983598E-2</v>
      </c>
      <c r="BZ125" s="1">
        <f t="shared" ca="1" si="118"/>
        <v>0.1136586955601312</v>
      </c>
      <c r="CB125" s="1">
        <f t="shared" ca="1" si="119"/>
        <v>239</v>
      </c>
      <c r="CC125" s="1">
        <f t="shared" ca="1" si="120"/>
        <v>14</v>
      </c>
      <c r="CD125" s="1">
        <f t="shared" ca="1" si="121"/>
        <v>0.22053313480180622</v>
      </c>
      <c r="CE125" s="1">
        <f t="shared" ca="1" si="140"/>
        <v>0.84464925233906785</v>
      </c>
      <c r="CF125" s="1">
        <f t="shared" ca="1" si="140"/>
        <v>0.85479104189380573</v>
      </c>
      <c r="CH125" s="3">
        <f t="shared" ca="1" si="123"/>
        <v>0.48497745512581786</v>
      </c>
      <c r="CI125" s="3">
        <f t="shared" ca="1" si="124"/>
        <v>0.20400539792769901</v>
      </c>
      <c r="CJ125" s="3">
        <f t="shared" ca="1" si="125"/>
        <v>874</v>
      </c>
      <c r="CK125" s="3">
        <f t="shared" ca="1" si="126"/>
        <v>3.4556953205330653E-3</v>
      </c>
      <c r="CL125" s="3">
        <f t="shared" ca="1" si="127"/>
        <v>0</v>
      </c>
      <c r="CM125" s="3"/>
      <c r="CN125" s="1">
        <f t="shared" ca="1" si="128"/>
        <v>5.6167364861696916</v>
      </c>
      <c r="CO125" s="1">
        <f t="shared" ca="1" si="129"/>
        <v>0.39116991614104313</v>
      </c>
      <c r="CP125" s="1">
        <f t="shared" ca="1" si="130"/>
        <v>5</v>
      </c>
      <c r="CV125" s="1">
        <f t="shared" ca="1" si="131"/>
        <v>4.6297845753545648</v>
      </c>
      <c r="CW125" s="1">
        <f t="shared" ca="1" si="132"/>
        <v>992</v>
      </c>
      <c r="CX125" s="1">
        <f t="shared" ca="1" si="133"/>
        <v>9.348617860612583E-3</v>
      </c>
      <c r="DH125" s="1">
        <f t="shared" ca="1" si="134"/>
        <v>492</v>
      </c>
      <c r="DI125" s="1">
        <f t="shared" ca="1" si="135"/>
        <v>0.69362520984654719</v>
      </c>
      <c r="DJ125" s="1">
        <f t="shared" ca="1" si="136"/>
        <v>24</v>
      </c>
      <c r="DL125" s="1">
        <f t="shared" ca="1" si="137"/>
        <v>0.14670502708075703</v>
      </c>
      <c r="DM125" s="1">
        <f t="shared" ca="1" si="138"/>
        <v>168</v>
      </c>
      <c r="DN125" s="1">
        <f t="shared" ca="1" si="139"/>
        <v>8</v>
      </c>
    </row>
    <row r="126" spans="2:118" x14ac:dyDescent="0.25">
      <c r="B126">
        <f t="shared" ca="1" si="72"/>
        <v>887</v>
      </c>
      <c r="C126">
        <f t="shared" ca="1" si="73"/>
        <v>13</v>
      </c>
      <c r="D126">
        <f t="shared" ca="1" si="74"/>
        <v>0.20169610754508532</v>
      </c>
      <c r="F126" s="1">
        <f t="shared" ca="1" si="75"/>
        <v>25</v>
      </c>
      <c r="G126" s="1">
        <f t="shared" ca="1" si="76"/>
        <v>19</v>
      </c>
      <c r="H126" s="1">
        <f t="shared" ca="1" si="77"/>
        <v>1</v>
      </c>
      <c r="I126" s="1"/>
      <c r="J126" s="1">
        <f t="shared" ca="1" si="78"/>
        <v>18</v>
      </c>
      <c r="K126" s="1">
        <f t="shared" ca="1" si="79"/>
        <v>2.2896150831362858</v>
      </c>
      <c r="L126" s="1">
        <f t="shared" ca="1" si="80"/>
        <v>17</v>
      </c>
      <c r="M126" s="1"/>
      <c r="N126" s="1">
        <f t="shared" ca="1" si="81"/>
        <v>363</v>
      </c>
      <c r="O126" s="1">
        <f t="shared" ca="1" si="82"/>
        <v>31</v>
      </c>
      <c r="P126" s="1"/>
      <c r="Q126" s="1">
        <f t="shared" ca="1" si="83"/>
        <v>3.4023781670241395</v>
      </c>
      <c r="R126" s="1">
        <f t="shared" ca="1" si="84"/>
        <v>918</v>
      </c>
      <c r="S126" s="1"/>
      <c r="T126" s="1">
        <f t="shared" ca="1" si="85"/>
        <v>0.19529060873219853</v>
      </c>
      <c r="U126" s="1">
        <f t="shared" ca="1" si="86"/>
        <v>112</v>
      </c>
      <c r="V126" s="1">
        <f t="shared" ca="1" si="87"/>
        <v>7</v>
      </c>
      <c r="W126" s="1"/>
      <c r="X126" s="1">
        <f t="shared" ca="1" si="88"/>
        <v>2.5771632971631759</v>
      </c>
      <c r="Y126" s="1">
        <f t="shared" ca="1" si="89"/>
        <v>0.17600686728417567</v>
      </c>
      <c r="Z126" s="1">
        <f t="shared" ca="1" si="90"/>
        <v>1705</v>
      </c>
      <c r="AB126" s="1">
        <f t="shared" ca="1" si="91"/>
        <v>0.93343578303882757</v>
      </c>
      <c r="AC126" s="1">
        <f t="shared" ca="1" si="92"/>
        <v>646</v>
      </c>
      <c r="AD126" s="1">
        <f t="shared" ca="1" si="93"/>
        <v>5.3423013595312891E-3</v>
      </c>
      <c r="AE126" s="1"/>
      <c r="AF126" s="1">
        <f t="shared" ca="1" si="94"/>
        <v>0.46287649583314205</v>
      </c>
      <c r="AG126" s="1">
        <f t="shared" ca="1" si="95"/>
        <v>733</v>
      </c>
      <c r="AH126" s="1">
        <f t="shared" ca="1" si="96"/>
        <v>5.289279627193914E-3</v>
      </c>
      <c r="AJ126" s="1">
        <f t="shared" ca="1" si="97"/>
        <v>0.64616109640558339</v>
      </c>
      <c r="AK126" s="1">
        <f t="shared" ca="1" si="98"/>
        <v>6.4900491110821568E-3</v>
      </c>
      <c r="AL126" s="1"/>
      <c r="AM126" s="1">
        <f t="shared" ca="1" si="99"/>
        <v>1.6952684744168008E-2</v>
      </c>
      <c r="AN126" s="1">
        <f t="shared" ca="1" si="100"/>
        <v>60</v>
      </c>
      <c r="AO126" s="1">
        <f t="shared" ca="1" si="101"/>
        <v>10</v>
      </c>
      <c r="AQ126" s="1">
        <f t="shared" ca="1" si="102"/>
        <v>146</v>
      </c>
      <c r="AR126" s="1">
        <f t="shared" ca="1" si="103"/>
        <v>5</v>
      </c>
      <c r="AS126" s="1">
        <f t="shared" ca="1" si="104"/>
        <v>96</v>
      </c>
      <c r="AU126" s="1">
        <f t="shared" ca="1" si="105"/>
        <v>61</v>
      </c>
      <c r="AV126" s="1">
        <f t="shared" ca="1" si="106"/>
        <v>4</v>
      </c>
      <c r="AW126" s="1">
        <f t="shared" ca="1" si="107"/>
        <v>2.1432151592675079E-2</v>
      </c>
      <c r="AY126" s="1">
        <f t="shared" ca="1" si="108"/>
        <v>1.3194697772271837</v>
      </c>
      <c r="AZ126" s="1">
        <f t="shared" ca="1" si="109"/>
        <v>120</v>
      </c>
      <c r="BA126" s="1">
        <f t="shared" ca="1" si="110"/>
        <v>7.0977276710799423E-3</v>
      </c>
      <c r="BG126" s="1">
        <f t="shared" ca="1" si="111"/>
        <v>0.60488969871482168</v>
      </c>
      <c r="BH126" s="1">
        <f t="shared" ca="1" si="112"/>
        <v>0.59962438622654979</v>
      </c>
      <c r="BI126" s="1">
        <f t="shared" ca="1" si="113"/>
        <v>297</v>
      </c>
      <c r="BV126" s="1">
        <f t="shared" ca="1" si="114"/>
        <v>0.43662783911935837</v>
      </c>
      <c r="BW126" s="1">
        <f t="shared" ca="1" si="115"/>
        <v>995</v>
      </c>
      <c r="BX126" s="1">
        <f t="shared" ca="1" si="116"/>
        <v>7.5916339695018889E-3</v>
      </c>
      <c r="BY126" s="1">
        <f t="shared" ca="1" si="117"/>
        <v>8.8690423260605625E-2</v>
      </c>
      <c r="BZ126" s="1">
        <f t="shared" ca="1" si="118"/>
        <v>0.5269541078347485</v>
      </c>
      <c r="CB126" s="1">
        <f t="shared" ca="1" si="119"/>
        <v>358</v>
      </c>
      <c r="CC126" s="1">
        <f t="shared" ca="1" si="120"/>
        <v>15</v>
      </c>
      <c r="CD126" s="1">
        <f t="shared" ca="1" si="121"/>
        <v>0.10841304749756867</v>
      </c>
      <c r="CE126" s="1">
        <f t="shared" ca="1" si="140"/>
        <v>0.64680137516438596</v>
      </c>
      <c r="CF126" s="1">
        <f t="shared" ca="1" si="140"/>
        <v>0.57118869430960573</v>
      </c>
      <c r="CH126" s="3">
        <f t="shared" ca="1" si="123"/>
        <v>5.0759765105343142E-2</v>
      </c>
      <c r="CI126" s="3">
        <f t="shared" ca="1" si="124"/>
        <v>0.53564989447264044</v>
      </c>
      <c r="CJ126" s="3">
        <f t="shared" ca="1" si="125"/>
        <v>1539</v>
      </c>
      <c r="CK126" s="3">
        <f t="shared" ca="1" si="126"/>
        <v>3.2009213444560941E-3</v>
      </c>
      <c r="CL126" s="3">
        <f t="shared" ca="1" si="127"/>
        <v>1</v>
      </c>
      <c r="CM126" s="3"/>
      <c r="CN126" s="1">
        <f t="shared" ca="1" si="128"/>
        <v>6.5013584743268567</v>
      </c>
      <c r="CO126" s="1">
        <f t="shared" ca="1" si="129"/>
        <v>0.42685873971531907</v>
      </c>
      <c r="CP126" s="1">
        <f t="shared" ca="1" si="130"/>
        <v>1</v>
      </c>
      <c r="CV126" s="1">
        <f t="shared" ca="1" si="131"/>
        <v>3.0374742538540942</v>
      </c>
      <c r="CW126" s="1">
        <f t="shared" ca="1" si="132"/>
        <v>371</v>
      </c>
      <c r="CX126" s="1">
        <f t="shared" ca="1" si="133"/>
        <v>5.5501906839996789E-3</v>
      </c>
      <c r="DH126" s="1">
        <f t="shared" ca="1" si="134"/>
        <v>422</v>
      </c>
      <c r="DI126" s="1">
        <f t="shared" ca="1" si="135"/>
        <v>0.3574690298452714</v>
      </c>
      <c r="DJ126" s="1">
        <f t="shared" ca="1" si="136"/>
        <v>20</v>
      </c>
      <c r="DL126" s="1">
        <f t="shared" ca="1" si="137"/>
        <v>0.18940514097491226</v>
      </c>
      <c r="DM126" s="1">
        <f t="shared" ca="1" si="138"/>
        <v>88</v>
      </c>
      <c r="DN126" s="1">
        <f t="shared" ca="1" si="139"/>
        <v>3</v>
      </c>
    </row>
    <row r="127" spans="2:118" x14ac:dyDescent="0.25">
      <c r="B127">
        <f t="shared" ca="1" si="72"/>
        <v>396</v>
      </c>
      <c r="C127">
        <f t="shared" ca="1" si="73"/>
        <v>25</v>
      </c>
      <c r="D127">
        <f t="shared" ca="1" si="74"/>
        <v>0.21391427428641424</v>
      </c>
      <c r="F127" s="1">
        <f t="shared" ca="1" si="75"/>
        <v>50</v>
      </c>
      <c r="G127" s="1">
        <f t="shared" ca="1" si="76"/>
        <v>22</v>
      </c>
      <c r="H127" s="1">
        <f t="shared" ca="1" si="77"/>
        <v>2</v>
      </c>
      <c r="I127" s="1"/>
      <c r="J127" s="1">
        <f t="shared" ca="1" si="78"/>
        <v>38</v>
      </c>
      <c r="K127" s="1">
        <f t="shared" ca="1" si="79"/>
        <v>2.1546494866811718</v>
      </c>
      <c r="L127" s="1">
        <f t="shared" ca="1" si="80"/>
        <v>7</v>
      </c>
      <c r="M127" s="1"/>
      <c r="N127" s="1">
        <f t="shared" ca="1" si="81"/>
        <v>398</v>
      </c>
      <c r="O127" s="1">
        <f t="shared" ca="1" si="82"/>
        <v>45</v>
      </c>
      <c r="P127" s="1"/>
      <c r="Q127" s="1">
        <f t="shared" ca="1" si="83"/>
        <v>0.27159026730264441</v>
      </c>
      <c r="R127" s="1">
        <f t="shared" ca="1" si="84"/>
        <v>459</v>
      </c>
      <c r="S127" s="1"/>
      <c r="T127" s="1">
        <f t="shared" ca="1" si="85"/>
        <v>0.14416703943305373</v>
      </c>
      <c r="U127" s="1">
        <f t="shared" ca="1" si="86"/>
        <v>295</v>
      </c>
      <c r="V127" s="1">
        <f t="shared" ca="1" si="87"/>
        <v>4</v>
      </c>
      <c r="W127" s="1"/>
      <c r="X127" s="1">
        <f t="shared" ca="1" si="88"/>
        <v>6.2385021807735201</v>
      </c>
      <c r="Y127" s="1">
        <f t="shared" ca="1" si="89"/>
        <v>0.81057458124184656</v>
      </c>
      <c r="Z127" s="1">
        <f t="shared" ca="1" si="90"/>
        <v>1621</v>
      </c>
      <c r="AB127" s="1">
        <f t="shared" ca="1" si="91"/>
        <v>0.658204181412677</v>
      </c>
      <c r="AC127" s="1">
        <f t="shared" ca="1" si="92"/>
        <v>969</v>
      </c>
      <c r="AD127" s="1">
        <f t="shared" ca="1" si="93"/>
        <v>4.6693534881272628E-3</v>
      </c>
      <c r="AE127" s="1"/>
      <c r="AF127" s="1">
        <f t="shared" ca="1" si="94"/>
        <v>0.69644686407663814</v>
      </c>
      <c r="AG127" s="1">
        <f t="shared" ca="1" si="95"/>
        <v>598</v>
      </c>
      <c r="AH127" s="1">
        <f t="shared" ca="1" si="96"/>
        <v>2.9588349559660767E-3</v>
      </c>
      <c r="AJ127" s="1">
        <f t="shared" ca="1" si="97"/>
        <v>0.23104331831021541</v>
      </c>
      <c r="AK127" s="1">
        <f t="shared" ca="1" si="98"/>
        <v>1.8914156892224036E-4</v>
      </c>
      <c r="AL127" s="1"/>
      <c r="AM127" s="1">
        <f t="shared" ca="1" si="99"/>
        <v>9.3836883435171631E-2</v>
      </c>
      <c r="AN127" s="1">
        <f t="shared" ca="1" si="100"/>
        <v>52</v>
      </c>
      <c r="AO127" s="1">
        <f t="shared" ca="1" si="101"/>
        <v>14</v>
      </c>
      <c r="AQ127" s="1">
        <f t="shared" ca="1" si="102"/>
        <v>124</v>
      </c>
      <c r="AR127" s="1">
        <f t="shared" ca="1" si="103"/>
        <v>7</v>
      </c>
      <c r="AS127" s="1">
        <f t="shared" ca="1" si="104"/>
        <v>27</v>
      </c>
      <c r="AU127" s="1">
        <f t="shared" ca="1" si="105"/>
        <v>395</v>
      </c>
      <c r="AV127" s="1">
        <f t="shared" ca="1" si="106"/>
        <v>8</v>
      </c>
      <c r="AW127" s="1">
        <f t="shared" ca="1" si="107"/>
        <v>0.17588200461505771</v>
      </c>
      <c r="AY127" s="1">
        <f t="shared" ca="1" si="108"/>
        <v>1.7382360348129335</v>
      </c>
      <c r="AZ127" s="1">
        <f t="shared" ca="1" si="109"/>
        <v>399</v>
      </c>
      <c r="BA127" s="1">
        <f t="shared" ca="1" si="110"/>
        <v>2.8340275951766101E-3</v>
      </c>
      <c r="BG127" s="1">
        <f t="shared" ca="1" si="111"/>
        <v>0.35296644095723045</v>
      </c>
      <c r="BH127" s="1">
        <f t="shared" ca="1" si="112"/>
        <v>0.84496136999129245</v>
      </c>
      <c r="BI127" s="1">
        <f t="shared" ca="1" si="113"/>
        <v>356</v>
      </c>
      <c r="BV127" s="1">
        <f t="shared" ca="1" si="114"/>
        <v>0.40049040829244736</v>
      </c>
      <c r="BW127" s="1">
        <f t="shared" ca="1" si="115"/>
        <v>709</v>
      </c>
      <c r="BX127" s="1">
        <f t="shared" ca="1" si="116"/>
        <v>7.2051779840901441E-4</v>
      </c>
      <c r="BY127" s="1">
        <f t="shared" ca="1" si="117"/>
        <v>2.2671108752634669E-2</v>
      </c>
      <c r="BZ127" s="1">
        <f t="shared" ca="1" si="118"/>
        <v>0.43367800153155567</v>
      </c>
      <c r="CB127" s="1">
        <f t="shared" ca="1" si="119"/>
        <v>72</v>
      </c>
      <c r="CC127" s="1">
        <f t="shared" ca="1" si="120"/>
        <v>5</v>
      </c>
      <c r="CD127" s="1">
        <f t="shared" ca="1" si="121"/>
        <v>0.23054757473034218</v>
      </c>
      <c r="CE127" s="1">
        <f t="shared" ca="1" si="140"/>
        <v>0.66160732696915847</v>
      </c>
      <c r="CF127" s="1">
        <f t="shared" ca="1" si="140"/>
        <v>0.61010595286441405</v>
      </c>
      <c r="CH127" s="3">
        <f t="shared" ca="1" si="123"/>
        <v>0.5922665964858036</v>
      </c>
      <c r="CI127" s="3">
        <f t="shared" ca="1" si="124"/>
        <v>0.1771462625641802</v>
      </c>
      <c r="CJ127" s="3">
        <f t="shared" ca="1" si="125"/>
        <v>1929</v>
      </c>
      <c r="CK127" s="3">
        <f t="shared" ca="1" si="126"/>
        <v>4.2052212058576585E-3</v>
      </c>
      <c r="CL127" s="3">
        <f t="shared" ca="1" si="127"/>
        <v>1</v>
      </c>
      <c r="CM127" s="3"/>
      <c r="CN127" s="1">
        <f t="shared" ca="1" si="128"/>
        <v>19.888203565904519</v>
      </c>
      <c r="CO127" s="1">
        <f t="shared" ca="1" si="129"/>
        <v>0.45749177303581762</v>
      </c>
      <c r="CP127" s="1">
        <f t="shared" ca="1" si="130"/>
        <v>2</v>
      </c>
      <c r="CV127" s="1">
        <f t="shared" ca="1" si="131"/>
        <v>1.8138200998319964</v>
      </c>
      <c r="CW127" s="1">
        <f t="shared" ca="1" si="132"/>
        <v>148</v>
      </c>
      <c r="CX127" s="1">
        <f t="shared" ca="1" si="133"/>
        <v>5.7289388637914952E-3</v>
      </c>
      <c r="DH127" s="1">
        <f t="shared" ca="1" si="134"/>
        <v>583</v>
      </c>
      <c r="DI127" s="1">
        <f t="shared" ca="1" si="135"/>
        <v>0.43922127278733347</v>
      </c>
      <c r="DJ127" s="1">
        <f t="shared" ca="1" si="136"/>
        <v>16</v>
      </c>
      <c r="DL127" s="1">
        <f t="shared" ca="1" si="137"/>
        <v>5.3304143919304478E-2</v>
      </c>
      <c r="DM127" s="1">
        <f t="shared" ca="1" si="138"/>
        <v>164</v>
      </c>
      <c r="DN127" s="1">
        <f t="shared" ca="1" si="139"/>
        <v>6</v>
      </c>
    </row>
    <row r="128" spans="2:118" x14ac:dyDescent="0.25">
      <c r="B128">
        <f t="shared" ca="1" si="72"/>
        <v>424</v>
      </c>
      <c r="C128">
        <f t="shared" ca="1" si="73"/>
        <v>40</v>
      </c>
      <c r="D128">
        <f t="shared" ca="1" si="74"/>
        <v>0.20718571361876154</v>
      </c>
      <c r="F128" s="1">
        <f t="shared" ca="1" si="75"/>
        <v>22</v>
      </c>
      <c r="G128" s="1">
        <f t="shared" ca="1" si="76"/>
        <v>20</v>
      </c>
      <c r="H128" s="1">
        <f t="shared" ca="1" si="77"/>
        <v>6</v>
      </c>
      <c r="I128" s="1"/>
      <c r="J128" s="1">
        <f t="shared" ca="1" si="78"/>
        <v>36</v>
      </c>
      <c r="K128" s="1">
        <f t="shared" ca="1" si="79"/>
        <v>2.1057628614254078</v>
      </c>
      <c r="L128" s="1">
        <f t="shared" ca="1" si="80"/>
        <v>16</v>
      </c>
      <c r="M128" s="1"/>
      <c r="N128" s="1">
        <f t="shared" ca="1" si="81"/>
        <v>744</v>
      </c>
      <c r="O128" s="1">
        <f t="shared" ca="1" si="82"/>
        <v>16</v>
      </c>
      <c r="P128" s="1"/>
      <c r="Q128" s="1">
        <f t="shared" ca="1" si="83"/>
        <v>3.0340510528262818</v>
      </c>
      <c r="R128" s="1">
        <f t="shared" ca="1" si="84"/>
        <v>1164</v>
      </c>
      <c r="S128" s="1"/>
      <c r="T128" s="1">
        <f t="shared" ca="1" si="85"/>
        <v>2.5844282667245873E-2</v>
      </c>
      <c r="U128" s="1">
        <f t="shared" ca="1" si="86"/>
        <v>416</v>
      </c>
      <c r="V128" s="1">
        <f t="shared" ca="1" si="87"/>
        <v>8</v>
      </c>
      <c r="W128" s="1"/>
      <c r="X128" s="1">
        <f t="shared" ca="1" si="88"/>
        <v>8.7867307285426541</v>
      </c>
      <c r="Y128" s="1">
        <f t="shared" ca="1" si="89"/>
        <v>0.74884021727233563</v>
      </c>
      <c r="Z128" s="1">
        <f t="shared" ca="1" si="90"/>
        <v>1315</v>
      </c>
      <c r="AB128" s="1">
        <f t="shared" ca="1" si="91"/>
        <v>0.37826825617595011</v>
      </c>
      <c r="AC128" s="1">
        <f t="shared" ca="1" si="92"/>
        <v>180</v>
      </c>
      <c r="AD128" s="1">
        <f t="shared" ca="1" si="93"/>
        <v>4.2884955954102487E-3</v>
      </c>
      <c r="AE128" s="1"/>
      <c r="AF128" s="1">
        <f t="shared" ca="1" si="94"/>
        <v>0.48232863712448404</v>
      </c>
      <c r="AG128" s="1">
        <f t="shared" ca="1" si="95"/>
        <v>760</v>
      </c>
      <c r="AH128" s="1">
        <f t="shared" ca="1" si="96"/>
        <v>7.7352493004868485E-3</v>
      </c>
      <c r="AJ128" s="1">
        <f t="shared" ca="1" si="97"/>
        <v>0.56763869018800739</v>
      </c>
      <c r="AK128" s="1">
        <f t="shared" ca="1" si="98"/>
        <v>3.9312085837307689E-3</v>
      </c>
      <c r="AL128" s="1"/>
      <c r="AM128" s="1">
        <f t="shared" ca="1" si="99"/>
        <v>0.14768426749914071</v>
      </c>
      <c r="AN128" s="1">
        <f t="shared" ca="1" si="100"/>
        <v>51</v>
      </c>
      <c r="AO128" s="1">
        <f t="shared" ca="1" si="101"/>
        <v>17</v>
      </c>
      <c r="AQ128" s="1">
        <f t="shared" ca="1" si="102"/>
        <v>82</v>
      </c>
      <c r="AR128" s="1">
        <f t="shared" ca="1" si="103"/>
        <v>10</v>
      </c>
      <c r="AS128" s="1">
        <f t="shared" ca="1" si="104"/>
        <v>33</v>
      </c>
      <c r="AU128" s="1">
        <f t="shared" ca="1" si="105"/>
        <v>135</v>
      </c>
      <c r="AV128" s="1">
        <f t="shared" ca="1" si="106"/>
        <v>5</v>
      </c>
      <c r="AW128" s="1">
        <f t="shared" ca="1" si="107"/>
        <v>0.10366035346394852</v>
      </c>
      <c r="AY128" s="1">
        <f t="shared" ca="1" si="108"/>
        <v>1.3433377144062215</v>
      </c>
      <c r="AZ128" s="1">
        <f t="shared" ca="1" si="109"/>
        <v>157</v>
      </c>
      <c r="BA128" s="1">
        <f t="shared" ca="1" si="110"/>
        <v>2.9807559339918503E-3</v>
      </c>
      <c r="BG128" s="1">
        <f t="shared" ca="1" si="111"/>
        <v>0.28355455426862586</v>
      </c>
      <c r="BH128" s="1">
        <f t="shared" ca="1" si="112"/>
        <v>0.39321513211417625</v>
      </c>
      <c r="BI128" s="1">
        <f t="shared" ca="1" si="113"/>
        <v>159</v>
      </c>
      <c r="BV128" s="1">
        <f t="shared" ca="1" si="114"/>
        <v>0.82422147584574013</v>
      </c>
      <c r="BW128" s="1">
        <f t="shared" ca="1" si="115"/>
        <v>459</v>
      </c>
      <c r="BX128" s="1">
        <f t="shared" ca="1" si="116"/>
        <v>8.8737063503772102E-3</v>
      </c>
      <c r="BY128" s="1">
        <f t="shared" ca="1" si="117"/>
        <v>7.5790836024730204E-2</v>
      </c>
      <c r="BZ128" s="1">
        <f t="shared" ca="1" si="118"/>
        <v>0.6221760763239893</v>
      </c>
      <c r="CB128" s="1">
        <f t="shared" ca="1" si="119"/>
        <v>94</v>
      </c>
      <c r="CC128" s="1">
        <f t="shared" ca="1" si="120"/>
        <v>8</v>
      </c>
      <c r="CD128" s="1">
        <f t="shared" ca="1" si="121"/>
        <v>0.25667716653115408</v>
      </c>
      <c r="CE128" s="1">
        <f t="shared" ca="1" si="140"/>
        <v>0.83032184671352038</v>
      </c>
      <c r="CF128" s="1">
        <f t="shared" ca="1" si="140"/>
        <v>0.84778239806245592</v>
      </c>
      <c r="CH128" s="3">
        <f t="shared" ca="1" si="123"/>
        <v>0.79106666670113113</v>
      </c>
      <c r="CI128" s="3">
        <f t="shared" ca="1" si="124"/>
        <v>0.9636487022832112</v>
      </c>
      <c r="CJ128" s="3">
        <f t="shared" ca="1" si="125"/>
        <v>588</v>
      </c>
      <c r="CK128" s="3">
        <f t="shared" ca="1" si="126"/>
        <v>5.7974860160734743E-3</v>
      </c>
      <c r="CL128" s="3">
        <f t="shared" ca="1" si="127"/>
        <v>1</v>
      </c>
      <c r="CM128" s="3"/>
      <c r="CN128" s="1">
        <f t="shared" ca="1" si="128"/>
        <v>12.604770282389239</v>
      </c>
      <c r="CO128" s="1">
        <f t="shared" ca="1" si="129"/>
        <v>0.34354868100470121</v>
      </c>
      <c r="CP128" s="1">
        <f t="shared" ca="1" si="130"/>
        <v>1</v>
      </c>
      <c r="CV128" s="1">
        <f t="shared" ca="1" si="131"/>
        <v>2.496469721763015</v>
      </c>
      <c r="CW128" s="1">
        <f t="shared" ca="1" si="132"/>
        <v>1084</v>
      </c>
      <c r="CX128" s="1">
        <f t="shared" ca="1" si="133"/>
        <v>7.5350533603446733E-3</v>
      </c>
      <c r="DH128" s="1">
        <f t="shared" ca="1" si="134"/>
        <v>764</v>
      </c>
      <c r="DI128" s="1">
        <f t="shared" ca="1" si="135"/>
        <v>0.20982875033896442</v>
      </c>
      <c r="DJ128" s="1">
        <f t="shared" ca="1" si="136"/>
        <v>12</v>
      </c>
      <c r="DL128" s="1">
        <f t="shared" ca="1" si="137"/>
        <v>0.14712007230318186</v>
      </c>
      <c r="DM128" s="1">
        <f t="shared" ca="1" si="138"/>
        <v>201</v>
      </c>
      <c r="DN128" s="1">
        <f t="shared" ca="1" si="139"/>
        <v>5</v>
      </c>
    </row>
    <row r="129" spans="2:118" x14ac:dyDescent="0.25">
      <c r="B129">
        <f t="shared" ca="1" si="72"/>
        <v>372</v>
      </c>
      <c r="C129">
        <f t="shared" ca="1" si="73"/>
        <v>35</v>
      </c>
      <c r="D129">
        <f t="shared" ca="1" si="74"/>
        <v>0.18650658292804834</v>
      </c>
      <c r="F129" s="1">
        <f t="shared" ca="1" si="75"/>
        <v>17</v>
      </c>
      <c r="G129" s="1">
        <f t="shared" ca="1" si="76"/>
        <v>16</v>
      </c>
      <c r="H129" s="1">
        <f t="shared" ca="1" si="77"/>
        <v>4</v>
      </c>
      <c r="I129" s="1"/>
      <c r="J129" s="1">
        <f t="shared" ca="1" si="78"/>
        <v>29</v>
      </c>
      <c r="K129" s="1">
        <f t="shared" ca="1" si="79"/>
        <v>1.4594475217994951</v>
      </c>
      <c r="L129" s="1">
        <f t="shared" ca="1" si="80"/>
        <v>29</v>
      </c>
      <c r="M129" s="1"/>
      <c r="N129" s="1">
        <f t="shared" ca="1" si="81"/>
        <v>912</v>
      </c>
      <c r="O129" s="1">
        <f t="shared" ca="1" si="82"/>
        <v>23</v>
      </c>
      <c r="P129" s="1"/>
      <c r="Q129" s="1">
        <f t="shared" ca="1" si="83"/>
        <v>4.4883692824888817</v>
      </c>
      <c r="R129" s="1">
        <f t="shared" ca="1" si="84"/>
        <v>224</v>
      </c>
      <c r="S129" s="1"/>
      <c r="T129" s="1">
        <f t="shared" ca="1" si="85"/>
        <v>6.524443598862753E-2</v>
      </c>
      <c r="U129" s="1">
        <f t="shared" ca="1" si="86"/>
        <v>78</v>
      </c>
      <c r="V129" s="1">
        <f t="shared" ca="1" si="87"/>
        <v>34</v>
      </c>
      <c r="W129" s="1"/>
      <c r="X129" s="1">
        <f t="shared" ca="1" si="88"/>
        <v>1.6121270565721424</v>
      </c>
      <c r="Y129" s="1">
        <f t="shared" ca="1" si="89"/>
        <v>0.39338417728045411</v>
      </c>
      <c r="Z129" s="1">
        <f t="shared" ca="1" si="90"/>
        <v>1282</v>
      </c>
      <c r="AB129" s="1">
        <f t="shared" ca="1" si="91"/>
        <v>0.12763332455993909</v>
      </c>
      <c r="AC129" s="1">
        <f t="shared" ca="1" si="92"/>
        <v>881</v>
      </c>
      <c r="AD129" s="1">
        <f t="shared" ca="1" si="93"/>
        <v>3.5425212222506813E-3</v>
      </c>
      <c r="AE129" s="1"/>
      <c r="AF129" s="1">
        <f t="shared" ca="1" si="94"/>
        <v>0.36968775027770762</v>
      </c>
      <c r="AG129" s="1">
        <f t="shared" ca="1" si="95"/>
        <v>926</v>
      </c>
      <c r="AH129" s="1">
        <f t="shared" ca="1" si="96"/>
        <v>6.9984860046635386E-3</v>
      </c>
      <c r="AJ129" s="1">
        <f t="shared" ca="1" si="97"/>
        <v>0.52931648713225543</v>
      </c>
      <c r="AK129" s="1">
        <f t="shared" ca="1" si="98"/>
        <v>7.7632284940377591E-3</v>
      </c>
      <c r="AL129" s="1"/>
      <c r="AM129" s="1">
        <f t="shared" ca="1" si="99"/>
        <v>0.18855026235199734</v>
      </c>
      <c r="AN129" s="1">
        <f t="shared" ca="1" si="100"/>
        <v>73</v>
      </c>
      <c r="AO129" s="1">
        <f t="shared" ca="1" si="101"/>
        <v>1</v>
      </c>
      <c r="AQ129" s="1">
        <f t="shared" ca="1" si="102"/>
        <v>115</v>
      </c>
      <c r="AR129" s="1">
        <f t="shared" ca="1" si="103"/>
        <v>3</v>
      </c>
      <c r="AS129" s="1">
        <f t="shared" ca="1" si="104"/>
        <v>68</v>
      </c>
      <c r="AU129" s="1">
        <f t="shared" ca="1" si="105"/>
        <v>274</v>
      </c>
      <c r="AV129" s="1">
        <f t="shared" ca="1" si="106"/>
        <v>6</v>
      </c>
      <c r="AW129" s="1">
        <f t="shared" ca="1" si="107"/>
        <v>0.15831073458238371</v>
      </c>
      <c r="AY129" s="1">
        <f t="shared" ca="1" si="108"/>
        <v>1.2703048039204776</v>
      </c>
      <c r="AZ129" s="1">
        <f t="shared" ca="1" si="109"/>
        <v>435</v>
      </c>
      <c r="BA129" s="1">
        <f t="shared" ca="1" si="110"/>
        <v>5.2550799554267123E-4</v>
      </c>
      <c r="BG129" s="1">
        <f t="shared" ca="1" si="111"/>
        <v>2.4905442701245815E-2</v>
      </c>
      <c r="BH129" s="1">
        <f t="shared" ca="1" si="112"/>
        <v>0.72402005907330946</v>
      </c>
      <c r="BI129" s="1">
        <f t="shared" ca="1" si="113"/>
        <v>652</v>
      </c>
      <c r="BV129" s="1">
        <f t="shared" ca="1" si="114"/>
        <v>0.83175697849329056</v>
      </c>
      <c r="BW129" s="1">
        <f t="shared" ca="1" si="115"/>
        <v>901</v>
      </c>
      <c r="BX129" s="1">
        <f t="shared" ca="1" si="116"/>
        <v>5.6638513637576604E-3</v>
      </c>
      <c r="BY129" s="1">
        <f t="shared" ca="1" si="117"/>
        <v>4.066755666222336E-2</v>
      </c>
      <c r="BZ129" s="1">
        <f t="shared" ca="1" si="118"/>
        <v>0.56682281682444668</v>
      </c>
      <c r="CB129" s="1">
        <f t="shared" ca="1" si="119"/>
        <v>298</v>
      </c>
      <c r="CC129" s="1">
        <f t="shared" ca="1" si="120"/>
        <v>15</v>
      </c>
      <c r="CD129" s="1">
        <f t="shared" ca="1" si="121"/>
        <v>0.19343751342286777</v>
      </c>
      <c r="CE129" s="1">
        <f t="shared" ca="1" si="140"/>
        <v>0.50105079345727743</v>
      </c>
      <c r="CF129" s="1">
        <f t="shared" ca="1" si="140"/>
        <v>0.79508241216265252</v>
      </c>
      <c r="CH129" s="3">
        <f t="shared" ca="1" si="123"/>
        <v>0.40057181969573363</v>
      </c>
      <c r="CI129" s="3">
        <f t="shared" ca="1" si="124"/>
        <v>0.29291304797802797</v>
      </c>
      <c r="CJ129" s="3">
        <f t="shared" ca="1" si="125"/>
        <v>710</v>
      </c>
      <c r="CK129" s="3">
        <f t="shared" ca="1" si="126"/>
        <v>9.5810247719677836E-3</v>
      </c>
      <c r="CL129" s="3">
        <f t="shared" ca="1" si="127"/>
        <v>1</v>
      </c>
      <c r="CM129" s="3"/>
      <c r="CN129" s="1">
        <f t="shared" ca="1" si="128"/>
        <v>10.564555539507843</v>
      </c>
      <c r="CO129" s="1">
        <f t="shared" ca="1" si="129"/>
        <v>0.27708056310992879</v>
      </c>
      <c r="CP129" s="1">
        <f t="shared" ca="1" si="130"/>
        <v>2</v>
      </c>
      <c r="CV129" s="1">
        <f t="shared" ca="1" si="131"/>
        <v>0.19131898329636235</v>
      </c>
      <c r="CW129" s="1">
        <f t="shared" ca="1" si="132"/>
        <v>751</v>
      </c>
      <c r="CX129" s="1">
        <f t="shared" ca="1" si="133"/>
        <v>9.3687140963210798E-3</v>
      </c>
      <c r="DH129" s="1">
        <f t="shared" ca="1" si="134"/>
        <v>290</v>
      </c>
      <c r="DI129" s="1">
        <f t="shared" ca="1" si="135"/>
        <v>0.4439182622470782</v>
      </c>
      <c r="DJ129" s="1">
        <f t="shared" ca="1" si="136"/>
        <v>30</v>
      </c>
      <c r="DL129" s="1">
        <f t="shared" ca="1" si="137"/>
        <v>4.750673057558355E-2</v>
      </c>
      <c r="DM129" s="1">
        <f t="shared" ca="1" si="138"/>
        <v>89</v>
      </c>
      <c r="DN129" s="1">
        <f t="shared" ca="1" si="139"/>
        <v>5</v>
      </c>
    </row>
    <row r="130" spans="2:118" x14ac:dyDescent="0.25">
      <c r="B130">
        <f t="shared" ca="1" si="72"/>
        <v>290</v>
      </c>
      <c r="C130">
        <f t="shared" ca="1" si="73"/>
        <v>34</v>
      </c>
      <c r="D130">
        <f t="shared" ca="1" si="74"/>
        <v>6.4532038258519289E-2</v>
      </c>
      <c r="F130" s="1">
        <f t="shared" ca="1" si="75"/>
        <v>2</v>
      </c>
      <c r="G130" s="1">
        <f t="shared" ca="1" si="76"/>
        <v>12</v>
      </c>
      <c r="H130" s="1">
        <f t="shared" ca="1" si="77"/>
        <v>3</v>
      </c>
      <c r="I130" s="1"/>
      <c r="J130" s="1">
        <f t="shared" ca="1" si="78"/>
        <v>7</v>
      </c>
      <c r="K130" s="1">
        <f t="shared" ca="1" si="79"/>
        <v>2.1841944444787202</v>
      </c>
      <c r="L130" s="1">
        <f t="shared" ca="1" si="80"/>
        <v>26</v>
      </c>
      <c r="M130" s="1"/>
      <c r="N130" s="1">
        <f t="shared" ca="1" si="81"/>
        <v>98</v>
      </c>
      <c r="O130" s="1">
        <f t="shared" ca="1" si="82"/>
        <v>38</v>
      </c>
      <c r="P130" s="1"/>
      <c r="Q130" s="1">
        <f t="shared" ca="1" si="83"/>
        <v>3.6037417404608494</v>
      </c>
      <c r="R130" s="1">
        <f t="shared" ca="1" si="84"/>
        <v>409</v>
      </c>
      <c r="S130" s="1"/>
      <c r="T130" s="1">
        <f t="shared" ca="1" si="85"/>
        <v>4.0889642487317038E-2</v>
      </c>
      <c r="U130" s="1">
        <f t="shared" ca="1" si="86"/>
        <v>74</v>
      </c>
      <c r="V130" s="1">
        <f t="shared" ca="1" si="87"/>
        <v>15</v>
      </c>
      <c r="W130" s="1"/>
      <c r="X130" s="1">
        <f t="shared" ca="1" si="88"/>
        <v>0.1298454630739585</v>
      </c>
      <c r="Y130" s="1">
        <f t="shared" ca="1" si="89"/>
        <v>1.5368103124827099E-2</v>
      </c>
      <c r="Z130" s="1">
        <f t="shared" ca="1" si="90"/>
        <v>436</v>
      </c>
      <c r="AB130" s="1">
        <f t="shared" ca="1" si="91"/>
        <v>0.39077434644449227</v>
      </c>
      <c r="AC130" s="1">
        <f t="shared" ca="1" si="92"/>
        <v>810</v>
      </c>
      <c r="AD130" s="1">
        <f t="shared" ca="1" si="93"/>
        <v>2.1078178882149249E-3</v>
      </c>
      <c r="AE130" s="1"/>
      <c r="AF130" s="1">
        <f t="shared" ca="1" si="94"/>
        <v>0.52244126118799217</v>
      </c>
      <c r="AG130" s="1">
        <f t="shared" ca="1" si="95"/>
        <v>603</v>
      </c>
      <c r="AH130" s="1">
        <f t="shared" ca="1" si="96"/>
        <v>1.2379208464293012E-3</v>
      </c>
      <c r="AJ130" s="1">
        <f t="shared" ca="1" si="97"/>
        <v>0.27883681324250842</v>
      </c>
      <c r="AK130" s="1">
        <f t="shared" ca="1" si="98"/>
        <v>6.2509563877951877E-3</v>
      </c>
      <c r="AL130" s="1"/>
      <c r="AM130" s="1">
        <f t="shared" ca="1" si="99"/>
        <v>0.12000934783202773</v>
      </c>
      <c r="AN130" s="1">
        <f t="shared" ca="1" si="100"/>
        <v>44</v>
      </c>
      <c r="AO130" s="1">
        <f t="shared" ca="1" si="101"/>
        <v>6</v>
      </c>
      <c r="AQ130" s="1">
        <f t="shared" ca="1" si="102"/>
        <v>187</v>
      </c>
      <c r="AR130" s="1">
        <f t="shared" ca="1" si="103"/>
        <v>7</v>
      </c>
      <c r="AS130" s="1">
        <f t="shared" ca="1" si="104"/>
        <v>4</v>
      </c>
      <c r="AU130" s="1">
        <f t="shared" ca="1" si="105"/>
        <v>136</v>
      </c>
      <c r="AV130" s="1">
        <f t="shared" ca="1" si="106"/>
        <v>9</v>
      </c>
      <c r="AW130" s="1">
        <f t="shared" ca="1" si="107"/>
        <v>2.4105728493544656E-2</v>
      </c>
      <c r="AY130" s="1">
        <f t="shared" ca="1" si="108"/>
        <v>1.6672185248084839</v>
      </c>
      <c r="AZ130" s="1">
        <f t="shared" ca="1" si="109"/>
        <v>207</v>
      </c>
      <c r="BA130" s="1">
        <f t="shared" ca="1" si="110"/>
        <v>1.0749566570289516E-3</v>
      </c>
      <c r="BG130" s="1">
        <f t="shared" ca="1" si="111"/>
        <v>0.23194527413632507</v>
      </c>
      <c r="BH130" s="1">
        <f t="shared" ca="1" si="112"/>
        <v>0.96352908438743512</v>
      </c>
      <c r="BI130" s="1">
        <f t="shared" ca="1" si="113"/>
        <v>914</v>
      </c>
      <c r="BV130" s="1">
        <f t="shared" ca="1" si="114"/>
        <v>0.33743626436470525</v>
      </c>
      <c r="BW130" s="1">
        <f t="shared" ca="1" si="115"/>
        <v>989</v>
      </c>
      <c r="BX130" s="1">
        <f t="shared" ca="1" si="116"/>
        <v>4.2370184300495042E-3</v>
      </c>
      <c r="BY130" s="1">
        <f t="shared" ca="1" si="117"/>
        <v>6.2203713736841533E-2</v>
      </c>
      <c r="BZ130" s="1">
        <f t="shared" ca="1" si="118"/>
        <v>0.61364466655710403</v>
      </c>
      <c r="CB130" s="1">
        <f t="shared" ca="1" si="119"/>
        <v>87</v>
      </c>
      <c r="CC130" s="1">
        <f t="shared" ca="1" si="120"/>
        <v>7</v>
      </c>
      <c r="CD130" s="1">
        <f t="shared" ca="1" si="121"/>
        <v>8.4606684825111689E-2</v>
      </c>
      <c r="CE130" s="1">
        <f t="shared" ca="1" si="140"/>
        <v>0.76278812496298143</v>
      </c>
      <c r="CF130" s="1">
        <f t="shared" ca="1" si="140"/>
        <v>0.61320577996008074</v>
      </c>
      <c r="CH130" s="3">
        <f t="shared" ca="1" si="123"/>
        <v>0.46595063164020678</v>
      </c>
      <c r="CI130" s="3">
        <f t="shared" ca="1" si="124"/>
        <v>0.72391709665443027</v>
      </c>
      <c r="CJ130" s="3">
        <f t="shared" ca="1" si="125"/>
        <v>612</v>
      </c>
      <c r="CK130" s="3">
        <f t="shared" ca="1" si="126"/>
        <v>9.8755372754986102E-3</v>
      </c>
      <c r="CL130" s="3">
        <f t="shared" ca="1" si="127"/>
        <v>1</v>
      </c>
      <c r="CM130" s="3"/>
      <c r="CN130" s="1">
        <f t="shared" ca="1" si="128"/>
        <v>4.0808825706966223</v>
      </c>
      <c r="CO130" s="1">
        <f t="shared" ca="1" si="129"/>
        <v>0.29412154805815094</v>
      </c>
      <c r="CP130" s="1">
        <f t="shared" ca="1" si="130"/>
        <v>1</v>
      </c>
      <c r="CV130" s="1">
        <f t="shared" ca="1" si="131"/>
        <v>6.8540333371587376</v>
      </c>
      <c r="CW130" s="1">
        <f t="shared" ca="1" si="132"/>
        <v>530</v>
      </c>
      <c r="CX130" s="1">
        <f t="shared" ca="1" si="133"/>
        <v>1.0076273766199107E-3</v>
      </c>
      <c r="DH130" s="1">
        <f t="shared" ca="1" si="134"/>
        <v>605</v>
      </c>
      <c r="DI130" s="1">
        <f t="shared" ca="1" si="135"/>
        <v>0.32160498445493985</v>
      </c>
      <c r="DJ130" s="1">
        <f t="shared" ca="1" si="136"/>
        <v>9</v>
      </c>
      <c r="DL130" s="1">
        <f t="shared" ca="1" si="137"/>
        <v>0.16852246840447446</v>
      </c>
      <c r="DM130" s="1">
        <f t="shared" ca="1" si="138"/>
        <v>56</v>
      </c>
      <c r="DN130" s="1">
        <f t="shared" ca="1" si="139"/>
        <v>2</v>
      </c>
    </row>
    <row r="131" spans="2:118" x14ac:dyDescent="0.25">
      <c r="B131">
        <f t="shared" ca="1" si="72"/>
        <v>750</v>
      </c>
      <c r="C131">
        <f t="shared" ca="1" si="73"/>
        <v>50</v>
      </c>
      <c r="D131">
        <f t="shared" ca="1" si="74"/>
        <v>0.27470959003022116</v>
      </c>
      <c r="F131" s="1">
        <f t="shared" ca="1" si="75"/>
        <v>30</v>
      </c>
      <c r="G131" s="1">
        <f t="shared" ca="1" si="76"/>
        <v>21</v>
      </c>
      <c r="H131" s="1">
        <f t="shared" ca="1" si="77"/>
        <v>4</v>
      </c>
      <c r="I131" s="1"/>
      <c r="J131" s="1">
        <f t="shared" ca="1" si="78"/>
        <v>25</v>
      </c>
      <c r="K131" s="1">
        <f t="shared" ca="1" si="79"/>
        <v>2.0027023381456877</v>
      </c>
      <c r="L131" s="1">
        <f t="shared" ca="1" si="80"/>
        <v>16</v>
      </c>
      <c r="M131" s="1"/>
      <c r="N131" s="1">
        <f t="shared" ca="1" si="81"/>
        <v>954</v>
      </c>
      <c r="O131" s="1">
        <f t="shared" ca="1" si="82"/>
        <v>45</v>
      </c>
      <c r="P131" s="1"/>
      <c r="Q131" s="1">
        <f t="shared" ca="1" si="83"/>
        <v>4.9548839255929851</v>
      </c>
      <c r="R131" s="1">
        <f t="shared" ca="1" si="84"/>
        <v>416</v>
      </c>
      <c r="S131" s="1"/>
      <c r="T131" s="1">
        <f t="shared" ca="1" si="85"/>
        <v>0.19483288501781121</v>
      </c>
      <c r="U131" s="1">
        <f t="shared" ca="1" si="86"/>
        <v>69</v>
      </c>
      <c r="V131" s="1">
        <f t="shared" ca="1" si="87"/>
        <v>35</v>
      </c>
      <c r="W131" s="1"/>
      <c r="X131" s="1">
        <f t="shared" ca="1" si="88"/>
        <v>3.7209410455687331</v>
      </c>
      <c r="Y131" s="1">
        <f t="shared" ca="1" si="89"/>
        <v>0.90138111210401017</v>
      </c>
      <c r="Z131" s="1">
        <f t="shared" ca="1" si="90"/>
        <v>1951</v>
      </c>
      <c r="AB131" s="1">
        <f t="shared" ca="1" si="91"/>
        <v>0.74868723862549136</v>
      </c>
      <c r="AC131" s="1">
        <f t="shared" ca="1" si="92"/>
        <v>193</v>
      </c>
      <c r="AD131" s="1">
        <f t="shared" ca="1" si="93"/>
        <v>1.7457072069936316E-3</v>
      </c>
      <c r="AE131" s="1"/>
      <c r="AF131" s="1">
        <f t="shared" ca="1" si="94"/>
        <v>0.84372669502342545</v>
      </c>
      <c r="AG131" s="1">
        <f t="shared" ca="1" si="95"/>
        <v>441</v>
      </c>
      <c r="AH131" s="1">
        <f t="shared" ca="1" si="96"/>
        <v>9.2796407176854393E-3</v>
      </c>
      <c r="AJ131" s="1">
        <f t="shared" ca="1" si="97"/>
        <v>0.52577484685542886</v>
      </c>
      <c r="AK131" s="1">
        <f t="shared" ca="1" si="98"/>
        <v>9.8274546114885952E-3</v>
      </c>
      <c r="AL131" s="1"/>
      <c r="AM131" s="1">
        <f t="shared" ca="1" si="99"/>
        <v>0.12266476979220137</v>
      </c>
      <c r="AN131" s="1">
        <f t="shared" ca="1" si="100"/>
        <v>36</v>
      </c>
      <c r="AO131" s="1">
        <f t="shared" ca="1" si="101"/>
        <v>20</v>
      </c>
      <c r="AQ131" s="1">
        <f t="shared" ca="1" si="102"/>
        <v>29</v>
      </c>
      <c r="AR131" s="1">
        <f t="shared" ca="1" si="103"/>
        <v>2</v>
      </c>
      <c r="AS131" s="1">
        <f t="shared" ca="1" si="104"/>
        <v>87</v>
      </c>
      <c r="AU131" s="1">
        <f t="shared" ca="1" si="105"/>
        <v>191</v>
      </c>
      <c r="AV131" s="1">
        <f t="shared" ca="1" si="106"/>
        <v>5</v>
      </c>
      <c r="AW131" s="1">
        <f t="shared" ca="1" si="107"/>
        <v>6.3138819599198509E-2</v>
      </c>
      <c r="AY131" s="1">
        <f t="shared" ca="1" si="108"/>
        <v>1.9345163193907398</v>
      </c>
      <c r="AZ131" s="1">
        <f t="shared" ca="1" si="109"/>
        <v>261</v>
      </c>
      <c r="BA131" s="1">
        <f t="shared" ca="1" si="110"/>
        <v>5.96380524932666E-3</v>
      </c>
      <c r="BG131" s="1">
        <f t="shared" ca="1" si="111"/>
        <v>0.23936470993285744</v>
      </c>
      <c r="BH131" s="1">
        <f t="shared" ca="1" si="112"/>
        <v>0.49968421640409422</v>
      </c>
      <c r="BI131" s="1">
        <f t="shared" ca="1" si="113"/>
        <v>928</v>
      </c>
      <c r="BV131" s="1">
        <f t="shared" ca="1" si="114"/>
        <v>0.97963281856446038</v>
      </c>
      <c r="BW131" s="1">
        <f t="shared" ca="1" si="115"/>
        <v>399</v>
      </c>
      <c r="BX131" s="1">
        <f t="shared" ca="1" si="116"/>
        <v>6.7760565676170011E-3</v>
      </c>
      <c r="BY131" s="1">
        <f t="shared" ca="1" si="117"/>
        <v>6.9068059833020487E-2</v>
      </c>
      <c r="BZ131" s="1">
        <f t="shared" ca="1" si="118"/>
        <v>0.19112681534087228</v>
      </c>
      <c r="CB131" s="1">
        <f t="shared" ca="1" si="119"/>
        <v>74</v>
      </c>
      <c r="CC131" s="1">
        <f t="shared" ca="1" si="120"/>
        <v>7</v>
      </c>
      <c r="CD131" s="1">
        <f t="shared" ca="1" si="121"/>
        <v>2.4124983987257674E-2</v>
      </c>
      <c r="CE131" s="1">
        <f t="shared" ca="1" si="140"/>
        <v>0.67411575805030033</v>
      </c>
      <c r="CF131" s="1">
        <f t="shared" ca="1" si="140"/>
        <v>0.69628874414902608</v>
      </c>
      <c r="CH131" s="3">
        <f t="shared" ca="1" si="123"/>
        <v>0.23747152201839014</v>
      </c>
      <c r="CI131" s="3">
        <f t="shared" ca="1" si="124"/>
        <v>0.4653888980967702</v>
      </c>
      <c r="CJ131" s="3">
        <f t="shared" ca="1" si="125"/>
        <v>418</v>
      </c>
      <c r="CK131" s="3">
        <f t="shared" ca="1" si="126"/>
        <v>3.7214025609070473E-3</v>
      </c>
      <c r="CL131" s="3">
        <f t="shared" ca="1" si="127"/>
        <v>1</v>
      </c>
      <c r="CM131" s="3"/>
      <c r="CN131" s="1">
        <f t="shared" ca="1" si="128"/>
        <v>7.400672740212924</v>
      </c>
      <c r="CO131" s="1">
        <f t="shared" ca="1" si="129"/>
        <v>8.9522556339856216E-2</v>
      </c>
      <c r="CP131" s="1">
        <f t="shared" ca="1" si="130"/>
        <v>3</v>
      </c>
      <c r="CV131" s="1">
        <f t="shared" ca="1" si="131"/>
        <v>4.7548578560649357</v>
      </c>
      <c r="CW131" s="1">
        <f t="shared" ca="1" si="132"/>
        <v>805</v>
      </c>
      <c r="CX131" s="1">
        <f t="shared" ca="1" si="133"/>
        <v>9.8089617994762644E-3</v>
      </c>
      <c r="DH131" s="1">
        <f t="shared" ca="1" si="134"/>
        <v>355</v>
      </c>
      <c r="DI131" s="1">
        <f t="shared" ca="1" si="135"/>
        <v>0.89928716584434243</v>
      </c>
      <c r="DJ131" s="1">
        <f t="shared" ca="1" si="136"/>
        <v>1</v>
      </c>
      <c r="DL131" s="1">
        <f t="shared" ca="1" si="137"/>
        <v>0.12745762971874564</v>
      </c>
      <c r="DM131" s="1">
        <f t="shared" ca="1" si="138"/>
        <v>112</v>
      </c>
      <c r="DN131" s="1">
        <f t="shared" ca="1" si="139"/>
        <v>9</v>
      </c>
    </row>
    <row r="132" spans="2:118" x14ac:dyDescent="0.25">
      <c r="B132">
        <f t="shared" ref="B132:B195" ca="1" si="141">RANDBETWEEN(15,1000)</f>
        <v>716</v>
      </c>
      <c r="C132">
        <f t="shared" ref="C132:C195" ca="1" si="142">RANDBETWEEN(2,52)</f>
        <v>16</v>
      </c>
      <c r="D132">
        <f t="shared" ref="D132:D195" ca="1" si="143">RAND()*(0.3-0.01)+0.01</f>
        <v>0.26769995334346031</v>
      </c>
      <c r="F132" s="1">
        <f t="shared" ref="F132:F195" ca="1" si="144">RANDBETWEEN(2,52)</f>
        <v>34</v>
      </c>
      <c r="G132" s="1">
        <f t="shared" ref="G132:G195" ca="1" si="145">RANDBETWEEN(2,30)</f>
        <v>15</v>
      </c>
      <c r="H132" s="1">
        <f t="shared" ref="H132:H195" ca="1" si="146">RANDBETWEEN(1,15)</f>
        <v>15</v>
      </c>
      <c r="I132" s="1"/>
      <c r="J132" s="1">
        <f t="shared" ref="J132:J195" ca="1" si="147">RANDBETWEEN(1,39)</f>
        <v>14</v>
      </c>
      <c r="K132" s="1">
        <f t="shared" ref="K132:K195" ca="1" si="148">RAND()*(3-1)+1</f>
        <v>2.8416570389862228</v>
      </c>
      <c r="L132" s="1">
        <f t="shared" ref="L132:L195" ca="1" si="149">RANDBETWEEN(2,35)</f>
        <v>25</v>
      </c>
      <c r="M132" s="1"/>
      <c r="N132" s="1">
        <f t="shared" ref="N132:N195" ca="1" si="150">RANDBETWEEN(15,1000)</f>
        <v>243</v>
      </c>
      <c r="O132" s="1">
        <f t="shared" ref="O132:O195" ca="1" si="151">RANDBETWEEN(2,52)</f>
        <v>47</v>
      </c>
      <c r="P132" s="1"/>
      <c r="Q132" s="1">
        <f t="shared" ref="Q132:Q195" ca="1" si="152">RAND()*(5-0.01)+0.01</f>
        <v>1.6478058627287333</v>
      </c>
      <c r="R132" s="1">
        <f t="shared" ref="R132:R195" ca="1" si="153">RANDBETWEEN(200,1200)</f>
        <v>787</v>
      </c>
      <c r="S132" s="1"/>
      <c r="T132" s="1">
        <f t="shared" ref="T132:T195" ca="1" si="154">RAND()*(0.2-0.01)+0.01</f>
        <v>0.17594100750238331</v>
      </c>
      <c r="U132" s="1">
        <f t="shared" ref="U132:U195" ca="1" si="155">RANDBETWEEN(50,450)</f>
        <v>64</v>
      </c>
      <c r="V132" s="1">
        <f t="shared" ref="V132:V195" ca="1" si="156">RANDBETWEEN(2,52)</f>
        <v>44</v>
      </c>
      <c r="W132" s="1"/>
      <c r="X132" s="1">
        <f t="shared" ref="X132:X195" ca="1" si="157">RAND()*(10-0.01)+0.01</f>
        <v>4.9741102249971343</v>
      </c>
      <c r="Y132" s="1">
        <f t="shared" ref="Y132:Y195" ca="1" si="158">RAND()*(1-0.0001)+0.0001</f>
        <v>0.51910279256869196</v>
      </c>
      <c r="Z132" s="1">
        <f t="shared" ref="Z132:Z195" ca="1" si="159">RANDBETWEEN(100,2000)</f>
        <v>758</v>
      </c>
      <c r="AB132" s="1">
        <f t="shared" ref="AB132:AB195" ca="1" si="160">RAND()*(1-0.0001)+0.0001</f>
        <v>9.1596477230181605E-2</v>
      </c>
      <c r="AC132" s="1">
        <f t="shared" ref="AC132:AC195" ca="1" si="161">RANDBETWEEN(100,1000)</f>
        <v>128</v>
      </c>
      <c r="AD132" s="1">
        <f t="shared" ref="AD132:AD195" ca="1" si="162">RAND()*(0.01-0.00001)+0.00001</f>
        <v>6.2775608480409757E-3</v>
      </c>
      <c r="AE132" s="1"/>
      <c r="AF132" s="1">
        <f t="shared" ref="AF132:AF195" ca="1" si="163">RAND()*(0.9-0.1)+0.1</f>
        <v>0.44186485696473665</v>
      </c>
      <c r="AG132" s="1">
        <f t="shared" ref="AG132:AG195" ca="1" si="164">RANDBETWEEN(100,1000)</f>
        <v>762</v>
      </c>
      <c r="AH132" s="1">
        <f t="shared" ref="AH132:AH195" ca="1" si="165">RAND()*(0.01-0.00001)+0.00001</f>
        <v>6.9663908641996652E-3</v>
      </c>
      <c r="AJ132" s="1">
        <f t="shared" ref="AJ132:AJ195" ca="1" si="166">RAND()*(1-0)+0</f>
        <v>0.83533071756827937</v>
      </c>
      <c r="AK132" s="1">
        <f t="shared" ref="AK132:AK195" ca="1" si="167">RAND()*(0.01-0.00001)+0.00001</f>
        <v>5.4377014231630086E-3</v>
      </c>
      <c r="AL132" s="1"/>
      <c r="AM132" s="1">
        <f t="shared" ref="AM132:AM195" ca="1" si="168">RAND()*(0.2-0.005)+0.005</f>
        <v>0.10621249517228915</v>
      </c>
      <c r="AN132" s="1">
        <f t="shared" ref="AN132:AN195" ca="1" si="169">RANDBETWEEN(10,80)</f>
        <v>74</v>
      </c>
      <c r="AO132" s="1">
        <f t="shared" ref="AO132:AO195" ca="1" si="170">RANDBETWEEN(-1,20)</f>
        <v>17</v>
      </c>
      <c r="AQ132" s="1">
        <f t="shared" ref="AQ132:AQ195" ca="1" si="171">RANDBETWEEN(10,200)</f>
        <v>123</v>
      </c>
      <c r="AR132" s="1">
        <f t="shared" ref="AR132:AR195" ca="1" si="172">RANDBETWEEN(0,10)</f>
        <v>4</v>
      </c>
      <c r="AS132" s="1">
        <f t="shared" ref="AS132:AS195" ca="1" si="173">RANDBETWEEN(1,100)</f>
        <v>80</v>
      </c>
      <c r="AU132" s="1">
        <f t="shared" ref="AU132:AU195" ca="1" si="174">RANDBETWEEN(50,400)</f>
        <v>201</v>
      </c>
      <c r="AV132" s="1">
        <f t="shared" ref="AV132:AV195" ca="1" si="175">RANDBETWEEN(2,10)</f>
        <v>2</v>
      </c>
      <c r="AW132" s="1">
        <f t="shared" ref="AW132:AW195" ca="1" si="176">RAND()*(0.2-0.01)+0.01</f>
        <v>6.0752969430949912E-2</v>
      </c>
      <c r="AY132" s="1">
        <f t="shared" ref="AY132:AY195" ca="1" si="177">RAND()*(2-1.1)+1.1</f>
        <v>1.4419940094787211</v>
      </c>
      <c r="AZ132" s="1">
        <f t="shared" ref="AZ132:AZ195" ca="1" si="178">RANDBETWEEN(50,500)</f>
        <v>499</v>
      </c>
      <c r="BA132" s="1">
        <f t="shared" ref="BA132:BA195" ca="1" si="179">RAND()*(0.01-0.00001)+0.00001</f>
        <v>5.1262968670513975E-3</v>
      </c>
      <c r="BG132" s="1">
        <f t="shared" ref="BG132:BG195" ca="1" si="180">RAND()*(1-0.0001)+0.0001</f>
        <v>0.67672181581451796</v>
      </c>
      <c r="BH132" s="1">
        <f t="shared" ref="BH132:BH195" ca="1" si="181">RAND()*(1-0)+0</f>
        <v>7.5732047264431168E-2</v>
      </c>
      <c r="BI132" s="1">
        <f t="shared" ref="BI132:BI195" ca="1" si="182">RANDBETWEEN(100,1000)</f>
        <v>173</v>
      </c>
      <c r="BV132" s="1">
        <f t="shared" ref="BV132:BV195" ca="1" si="183">RAND()*(1-0.0001)+0.0001</f>
        <v>5.5080050442787382E-2</v>
      </c>
      <c r="BW132" s="1">
        <f t="shared" ref="BW132:BW195" ca="1" si="184">RANDBETWEEN(100,1000)</f>
        <v>940</v>
      </c>
      <c r="BX132" s="1">
        <f t="shared" ref="BX132:BX195" ca="1" si="185">RAND()*(0.01-0.00001)+0.00001</f>
        <v>2.8941343680843013E-3</v>
      </c>
      <c r="BY132" s="1">
        <f t="shared" ref="BY132:BY195" ca="1" si="186">RAND()*(0.1-0.0001)+0.0001</f>
        <v>8.5050656100774905E-2</v>
      </c>
      <c r="BZ132" s="1">
        <f t="shared" ref="BZ132:BZ195" ca="1" si="187">RAND()*(1-0)+0</f>
        <v>0.32611409827665239</v>
      </c>
      <c r="CB132" s="1">
        <f t="shared" ref="CB132:CB195" ca="1" si="188">RANDBETWEEN(50,500)</f>
        <v>342</v>
      </c>
      <c r="CC132" s="1">
        <f t="shared" ref="CC132:CC195" ca="1" si="189">RANDBETWEEN(3,15)</f>
        <v>9</v>
      </c>
      <c r="CD132" s="1">
        <f t="shared" ref="CD132:CD195" ca="1" si="190">RAND()*(0.3-0.01)+0.01</f>
        <v>7.4940478019326517E-2</v>
      </c>
      <c r="CE132" s="1">
        <f t="shared" ref="CE132:CF163" ca="1" si="191">RAND()*(1-0.5)+0.5</f>
        <v>0.71942412038982684</v>
      </c>
      <c r="CF132" s="1">
        <f t="shared" ca="1" si="191"/>
        <v>0.90606443184738428</v>
      </c>
      <c r="CH132" s="3">
        <f t="shared" ref="CH132:CH195" ca="1" si="192">RAND()*(1-0.0001)+0.0001</f>
        <v>0.44132503831427145</v>
      </c>
      <c r="CI132" s="3">
        <f t="shared" ref="CI132:CI195" ca="1" si="193">RAND()*(0.99-0.01)+0.01</f>
        <v>0.46312131012259883</v>
      </c>
      <c r="CJ132" s="3">
        <f t="shared" ref="CJ132:CJ195" ca="1" si="194">RANDBETWEEN(100,2000)</f>
        <v>750</v>
      </c>
      <c r="CK132" s="3">
        <f t="shared" ref="CK132:CK195" ca="1" si="195">RAND()*(0.01-0.000001)+0.000001</f>
        <v>2.7295207892753916E-3</v>
      </c>
      <c r="CL132" s="3">
        <f t="shared" ref="CL132:CL195" ca="1" si="196">RANDBETWEEN(0,1)</f>
        <v>0</v>
      </c>
      <c r="CM132" s="3"/>
      <c r="CN132" s="1">
        <f t="shared" ref="CN132:CN195" ca="1" si="197">RAND()*(20-0.1)+0.1</f>
        <v>4.3376338502443277</v>
      </c>
      <c r="CO132" s="1">
        <f t="shared" ref="CO132:CO195" ca="1" si="198">RAND()*(0.5-0.001)+0.001</f>
        <v>0.39088295881807456</v>
      </c>
      <c r="CP132" s="1">
        <f t="shared" ref="CP132:CP195" ca="1" si="199">RANDBETWEEN(1,5)</f>
        <v>4</v>
      </c>
      <c r="CV132" s="1">
        <f t="shared" ref="CV132:CV195" ca="1" si="200">RAND()*(10-0.0001)+0.0001</f>
        <v>6.5702083101069064</v>
      </c>
      <c r="CW132" s="1">
        <f t="shared" ref="CW132:CW195" ca="1" si="201">RANDBETWEEN(100,2000)</f>
        <v>1208</v>
      </c>
      <c r="CX132" s="1">
        <f t="shared" ref="CX132:CX195" ca="1" si="202">RAND()*(0.01-0.000001)+0.000001</f>
        <v>8.3847446481657307E-3</v>
      </c>
      <c r="DH132" s="1">
        <f t="shared" ref="DH132:DH195" ca="1" si="203">RANDBETWEEN(10,900)</f>
        <v>52</v>
      </c>
      <c r="DI132" s="1">
        <f t="shared" ref="DI132:DI195" ca="1" si="204">RAND()*(1-0.001)+0.001</f>
        <v>0.90400454260168772</v>
      </c>
      <c r="DJ132" s="1">
        <f t="shared" ref="DJ132:DJ195" ca="1" si="205">RANDBETWEEN(1,30)</f>
        <v>25</v>
      </c>
      <c r="DL132" s="1">
        <f t="shared" ref="DL132:DL195" ca="1" si="206">RAND()*(0.2-0.01)+0.01</f>
        <v>0.19742605106378533</v>
      </c>
      <c r="DM132" s="1">
        <f t="shared" ref="DM132:DM195" ca="1" si="207">RANDBETWEEN(50,300)</f>
        <v>70</v>
      </c>
      <c r="DN132" s="1">
        <f t="shared" ref="DN132:DN195" ca="1" si="208">RANDBETWEEN(1,10)</f>
        <v>6</v>
      </c>
    </row>
    <row r="133" spans="2:118" x14ac:dyDescent="0.25">
      <c r="B133">
        <f t="shared" ca="1" si="141"/>
        <v>683</v>
      </c>
      <c r="C133">
        <f t="shared" ca="1" si="142"/>
        <v>44</v>
      </c>
      <c r="D133">
        <f t="shared" ca="1" si="143"/>
        <v>0.16990422630022969</v>
      </c>
      <c r="F133" s="1">
        <f t="shared" ca="1" si="144"/>
        <v>38</v>
      </c>
      <c r="G133" s="1">
        <f t="shared" ca="1" si="145"/>
        <v>24</v>
      </c>
      <c r="H133" s="1">
        <f t="shared" ca="1" si="146"/>
        <v>2</v>
      </c>
      <c r="I133" s="1"/>
      <c r="J133" s="1">
        <f t="shared" ca="1" si="147"/>
        <v>31</v>
      </c>
      <c r="K133" s="1">
        <f t="shared" ca="1" si="148"/>
        <v>2.3254130536694326</v>
      </c>
      <c r="L133" s="1">
        <f t="shared" ca="1" si="149"/>
        <v>35</v>
      </c>
      <c r="M133" s="1"/>
      <c r="N133" s="1">
        <f t="shared" ca="1" si="150"/>
        <v>339</v>
      </c>
      <c r="O133" s="1">
        <f t="shared" ca="1" si="151"/>
        <v>13</v>
      </c>
      <c r="P133" s="1"/>
      <c r="Q133" s="1">
        <f t="shared" ca="1" si="152"/>
        <v>0.65768986966087206</v>
      </c>
      <c r="R133" s="1">
        <f t="shared" ca="1" si="153"/>
        <v>380</v>
      </c>
      <c r="S133" s="1"/>
      <c r="T133" s="1">
        <f t="shared" ca="1" si="154"/>
        <v>4.4118854321625753E-2</v>
      </c>
      <c r="U133" s="1">
        <f t="shared" ca="1" si="155"/>
        <v>232</v>
      </c>
      <c r="V133" s="1">
        <f t="shared" ca="1" si="156"/>
        <v>23</v>
      </c>
      <c r="W133" s="1"/>
      <c r="X133" s="1">
        <f t="shared" ca="1" si="157"/>
        <v>9.4236753729246789</v>
      </c>
      <c r="Y133" s="1">
        <f t="shared" ca="1" si="158"/>
        <v>0.67332628361705371</v>
      </c>
      <c r="Z133" s="1">
        <f t="shared" ca="1" si="159"/>
        <v>598</v>
      </c>
      <c r="AB133" s="1">
        <f t="shared" ca="1" si="160"/>
        <v>0.5010262257780036</v>
      </c>
      <c r="AC133" s="1">
        <f t="shared" ca="1" si="161"/>
        <v>767</v>
      </c>
      <c r="AD133" s="1">
        <f t="shared" ca="1" si="162"/>
        <v>9.5064346172075882E-3</v>
      </c>
      <c r="AE133" s="1"/>
      <c r="AF133" s="1">
        <f t="shared" ca="1" si="163"/>
        <v>0.14804778078542633</v>
      </c>
      <c r="AG133" s="1">
        <f t="shared" ca="1" si="164"/>
        <v>568</v>
      </c>
      <c r="AH133" s="1">
        <f t="shared" ca="1" si="165"/>
        <v>4.9344388332393675E-3</v>
      </c>
      <c r="AJ133" s="1">
        <f t="shared" ca="1" si="166"/>
        <v>0.15979139958247235</v>
      </c>
      <c r="AK133" s="1">
        <f t="shared" ca="1" si="167"/>
        <v>6.858267373898547E-3</v>
      </c>
      <c r="AL133" s="1"/>
      <c r="AM133" s="1">
        <f t="shared" ca="1" si="168"/>
        <v>1.5493258862161473E-2</v>
      </c>
      <c r="AN133" s="1">
        <f t="shared" ca="1" si="169"/>
        <v>77</v>
      </c>
      <c r="AO133" s="1">
        <f t="shared" ca="1" si="170"/>
        <v>1</v>
      </c>
      <c r="AQ133" s="1">
        <f t="shared" ca="1" si="171"/>
        <v>18</v>
      </c>
      <c r="AR133" s="1">
        <f t="shared" ca="1" si="172"/>
        <v>3</v>
      </c>
      <c r="AS133" s="1">
        <f t="shared" ca="1" si="173"/>
        <v>98</v>
      </c>
      <c r="AU133" s="1">
        <f t="shared" ca="1" si="174"/>
        <v>341</v>
      </c>
      <c r="AV133" s="1">
        <f t="shared" ca="1" si="175"/>
        <v>5</v>
      </c>
      <c r="AW133" s="1">
        <f t="shared" ca="1" si="176"/>
        <v>0.17002169516536547</v>
      </c>
      <c r="AY133" s="1">
        <f t="shared" ca="1" si="177"/>
        <v>1.5867558080824691</v>
      </c>
      <c r="AZ133" s="1">
        <f t="shared" ca="1" si="178"/>
        <v>128</v>
      </c>
      <c r="BA133" s="1">
        <f t="shared" ca="1" si="179"/>
        <v>5.4488254530656068E-3</v>
      </c>
      <c r="BG133" s="1">
        <f t="shared" ca="1" si="180"/>
        <v>0.54910680785248689</v>
      </c>
      <c r="BH133" s="1">
        <f t="shared" ca="1" si="181"/>
        <v>0.85483661109702858</v>
      </c>
      <c r="BI133" s="1">
        <f t="shared" ca="1" si="182"/>
        <v>506</v>
      </c>
      <c r="BV133" s="1">
        <f t="shared" ca="1" si="183"/>
        <v>0.49041382317850757</v>
      </c>
      <c r="BW133" s="1">
        <f t="shared" ca="1" si="184"/>
        <v>370</v>
      </c>
      <c r="BX133" s="1">
        <f t="shared" ca="1" si="185"/>
        <v>1.4921552843934723E-4</v>
      </c>
      <c r="BY133" s="1">
        <f t="shared" ca="1" si="186"/>
        <v>7.1739548499082775E-2</v>
      </c>
      <c r="BZ133" s="1">
        <f t="shared" ca="1" si="187"/>
        <v>0.51641111045021648</v>
      </c>
      <c r="CB133" s="1">
        <f t="shared" ca="1" si="188"/>
        <v>284</v>
      </c>
      <c r="CC133" s="1">
        <f t="shared" ca="1" si="189"/>
        <v>7</v>
      </c>
      <c r="CD133" s="1">
        <f t="shared" ca="1" si="190"/>
        <v>0.22381481639144735</v>
      </c>
      <c r="CE133" s="1">
        <f t="shared" ca="1" si="191"/>
        <v>0.97456527760129674</v>
      </c>
      <c r="CF133" s="1">
        <f t="shared" ca="1" si="191"/>
        <v>0.73477904407947425</v>
      </c>
      <c r="CH133" s="3">
        <f t="shared" ca="1" si="192"/>
        <v>0.74255510547141024</v>
      </c>
      <c r="CI133" s="3">
        <f t="shared" ca="1" si="193"/>
        <v>0.81519725561724765</v>
      </c>
      <c r="CJ133" s="3">
        <f t="shared" ca="1" si="194"/>
        <v>863</v>
      </c>
      <c r="CK133" s="3">
        <f t="shared" ca="1" si="195"/>
        <v>2.3440049022657844E-3</v>
      </c>
      <c r="CL133" s="3">
        <f t="shared" ca="1" si="196"/>
        <v>0</v>
      </c>
      <c r="CM133" s="3"/>
      <c r="CN133" s="1">
        <f t="shared" ca="1" si="197"/>
        <v>10.951536352178861</v>
      </c>
      <c r="CO133" s="1">
        <f t="shared" ca="1" si="198"/>
        <v>0.23377680450105456</v>
      </c>
      <c r="CP133" s="1">
        <f t="shared" ca="1" si="199"/>
        <v>2</v>
      </c>
      <c r="CV133" s="1">
        <f t="shared" ca="1" si="200"/>
        <v>8.8209277553163439</v>
      </c>
      <c r="CW133" s="1">
        <f t="shared" ca="1" si="201"/>
        <v>1221</v>
      </c>
      <c r="CX133" s="1">
        <f t="shared" ca="1" si="202"/>
        <v>8.2174906295463509E-4</v>
      </c>
      <c r="DH133" s="1">
        <f t="shared" ca="1" si="203"/>
        <v>857</v>
      </c>
      <c r="DI133" s="1">
        <f t="shared" ca="1" si="204"/>
        <v>0.15537726427882476</v>
      </c>
      <c r="DJ133" s="1">
        <f t="shared" ca="1" si="205"/>
        <v>11</v>
      </c>
      <c r="DL133" s="1">
        <f t="shared" ca="1" si="206"/>
        <v>8.1024614970459416E-2</v>
      </c>
      <c r="DM133" s="1">
        <f t="shared" ca="1" si="207"/>
        <v>271</v>
      </c>
      <c r="DN133" s="1">
        <f t="shared" ca="1" si="208"/>
        <v>1</v>
      </c>
    </row>
    <row r="134" spans="2:118" x14ac:dyDescent="0.25">
      <c r="B134">
        <f t="shared" ca="1" si="141"/>
        <v>61</v>
      </c>
      <c r="C134">
        <f t="shared" ca="1" si="142"/>
        <v>45</v>
      </c>
      <c r="D134">
        <f t="shared" ca="1" si="143"/>
        <v>2.4865716076233634E-2</v>
      </c>
      <c r="F134" s="1">
        <f t="shared" ca="1" si="144"/>
        <v>15</v>
      </c>
      <c r="G134" s="1">
        <f t="shared" ca="1" si="145"/>
        <v>30</v>
      </c>
      <c r="H134" s="1">
        <f t="shared" ca="1" si="146"/>
        <v>14</v>
      </c>
      <c r="I134" s="1"/>
      <c r="J134" s="1">
        <f t="shared" ca="1" si="147"/>
        <v>33</v>
      </c>
      <c r="K134" s="1">
        <f t="shared" ca="1" si="148"/>
        <v>2.2524477858603835</v>
      </c>
      <c r="L134" s="1">
        <f t="shared" ca="1" si="149"/>
        <v>30</v>
      </c>
      <c r="M134" s="1"/>
      <c r="N134" s="1">
        <f t="shared" ca="1" si="150"/>
        <v>432</v>
      </c>
      <c r="O134" s="1">
        <f t="shared" ca="1" si="151"/>
        <v>41</v>
      </c>
      <c r="P134" s="1"/>
      <c r="Q134" s="1">
        <f t="shared" ca="1" si="152"/>
        <v>3.4860100518799539</v>
      </c>
      <c r="R134" s="1">
        <f t="shared" ca="1" si="153"/>
        <v>928</v>
      </c>
      <c r="S134" s="1"/>
      <c r="T134" s="1">
        <f t="shared" ca="1" si="154"/>
        <v>0.12011038044309902</v>
      </c>
      <c r="U134" s="1">
        <f t="shared" ca="1" si="155"/>
        <v>347</v>
      </c>
      <c r="V134" s="1">
        <f t="shared" ca="1" si="156"/>
        <v>46</v>
      </c>
      <c r="W134" s="1"/>
      <c r="X134" s="1">
        <f t="shared" ca="1" si="157"/>
        <v>7.1358934808471757</v>
      </c>
      <c r="Y134" s="1">
        <f t="shared" ca="1" si="158"/>
        <v>3.4309432986398783E-2</v>
      </c>
      <c r="Z134" s="1">
        <f t="shared" ca="1" si="159"/>
        <v>1143</v>
      </c>
      <c r="AB134" s="1">
        <f t="shared" ca="1" si="160"/>
        <v>5.2611966559476829E-2</v>
      </c>
      <c r="AC134" s="1">
        <f t="shared" ca="1" si="161"/>
        <v>407</v>
      </c>
      <c r="AD134" s="1">
        <f t="shared" ca="1" si="162"/>
        <v>3.3865330730615048E-4</v>
      </c>
      <c r="AE134" s="1"/>
      <c r="AF134" s="1">
        <f t="shared" ca="1" si="163"/>
        <v>0.7965408911809656</v>
      </c>
      <c r="AG134" s="1">
        <f t="shared" ca="1" si="164"/>
        <v>391</v>
      </c>
      <c r="AH134" s="1">
        <f t="shared" ca="1" si="165"/>
        <v>1.091770963786899E-3</v>
      </c>
      <c r="AJ134" s="1">
        <f t="shared" ca="1" si="166"/>
        <v>0.32960747910305543</v>
      </c>
      <c r="AK134" s="1">
        <f t="shared" ca="1" si="167"/>
        <v>1.1915861544359028E-3</v>
      </c>
      <c r="AL134" s="1"/>
      <c r="AM134" s="1">
        <f t="shared" ca="1" si="168"/>
        <v>0.19061791618190232</v>
      </c>
      <c r="AN134" s="1">
        <f t="shared" ca="1" si="169"/>
        <v>11</v>
      </c>
      <c r="AO134" s="1">
        <f t="shared" ca="1" si="170"/>
        <v>13</v>
      </c>
      <c r="AQ134" s="1">
        <f t="shared" ca="1" si="171"/>
        <v>152</v>
      </c>
      <c r="AR134" s="1">
        <f t="shared" ca="1" si="172"/>
        <v>3</v>
      </c>
      <c r="AS134" s="1">
        <f t="shared" ca="1" si="173"/>
        <v>5</v>
      </c>
      <c r="AU134" s="1">
        <f t="shared" ca="1" si="174"/>
        <v>256</v>
      </c>
      <c r="AV134" s="1">
        <f t="shared" ca="1" si="175"/>
        <v>4</v>
      </c>
      <c r="AW134" s="1">
        <f t="shared" ca="1" si="176"/>
        <v>0.12647443056978655</v>
      </c>
      <c r="AY134" s="1">
        <f t="shared" ca="1" si="177"/>
        <v>1.2514932819266047</v>
      </c>
      <c r="AZ134" s="1">
        <f t="shared" ca="1" si="178"/>
        <v>208</v>
      </c>
      <c r="BA134" s="1">
        <f t="shared" ca="1" si="179"/>
        <v>8.9103921153347743E-3</v>
      </c>
      <c r="BG134" s="1">
        <f t="shared" ca="1" si="180"/>
        <v>0.36898160258702462</v>
      </c>
      <c r="BH134" s="1">
        <f t="shared" ca="1" si="181"/>
        <v>0.30530335449457635</v>
      </c>
      <c r="BI134" s="1">
        <f t="shared" ca="1" si="182"/>
        <v>811</v>
      </c>
      <c r="BV134" s="1">
        <f t="shared" ca="1" si="183"/>
        <v>0.79739367047194787</v>
      </c>
      <c r="BW134" s="1">
        <f t="shared" ca="1" si="184"/>
        <v>601</v>
      </c>
      <c r="BX134" s="1">
        <f t="shared" ca="1" si="185"/>
        <v>7.0862513745044873E-3</v>
      </c>
      <c r="BY134" s="1">
        <f t="shared" ca="1" si="186"/>
        <v>3.2094564007876325E-3</v>
      </c>
      <c r="BZ134" s="1">
        <f t="shared" ca="1" si="187"/>
        <v>0.23739886436991309</v>
      </c>
      <c r="CB134" s="1">
        <f t="shared" ca="1" si="188"/>
        <v>423</v>
      </c>
      <c r="CC134" s="1">
        <f t="shared" ca="1" si="189"/>
        <v>11</v>
      </c>
      <c r="CD134" s="1">
        <f t="shared" ca="1" si="190"/>
        <v>0.19922700866903889</v>
      </c>
      <c r="CE134" s="1">
        <f t="shared" ca="1" si="191"/>
        <v>0.76126468934524161</v>
      </c>
      <c r="CF134" s="1">
        <f t="shared" ca="1" si="191"/>
        <v>0.51434023097863779</v>
      </c>
      <c r="CH134" s="3">
        <f t="shared" ca="1" si="192"/>
        <v>4.9592693112031676E-2</v>
      </c>
      <c r="CI134" s="3">
        <f t="shared" ca="1" si="193"/>
        <v>0.10382748260698296</v>
      </c>
      <c r="CJ134" s="3">
        <f t="shared" ca="1" si="194"/>
        <v>1485</v>
      </c>
      <c r="CK134" s="3">
        <f t="shared" ca="1" si="195"/>
        <v>6.4237562094916932E-3</v>
      </c>
      <c r="CL134" s="3">
        <f t="shared" ca="1" si="196"/>
        <v>0</v>
      </c>
      <c r="CM134" s="3"/>
      <c r="CN134" s="1">
        <f t="shared" ca="1" si="197"/>
        <v>10.588507371658375</v>
      </c>
      <c r="CO134" s="1">
        <f t="shared" ca="1" si="198"/>
        <v>0.13424574240486631</v>
      </c>
      <c r="CP134" s="1">
        <f t="shared" ca="1" si="199"/>
        <v>4</v>
      </c>
      <c r="CV134" s="1">
        <f t="shared" ca="1" si="200"/>
        <v>1.7281966193926239</v>
      </c>
      <c r="CW134" s="1">
        <f t="shared" ca="1" si="201"/>
        <v>607</v>
      </c>
      <c r="CX134" s="1">
        <f t="shared" ca="1" si="202"/>
        <v>1.3566780983647981E-3</v>
      </c>
      <c r="DH134" s="1">
        <f t="shared" ca="1" si="203"/>
        <v>155</v>
      </c>
      <c r="DI134" s="1">
        <f t="shared" ca="1" si="204"/>
        <v>0.70205494376357258</v>
      </c>
      <c r="DJ134" s="1">
        <f t="shared" ca="1" si="205"/>
        <v>10</v>
      </c>
      <c r="DL134" s="1">
        <f t="shared" ca="1" si="206"/>
        <v>0.16972565399673167</v>
      </c>
      <c r="DM134" s="1">
        <f t="shared" ca="1" si="207"/>
        <v>245</v>
      </c>
      <c r="DN134" s="1">
        <f t="shared" ca="1" si="208"/>
        <v>10</v>
      </c>
    </row>
    <row r="135" spans="2:118" x14ac:dyDescent="0.25">
      <c r="B135">
        <f t="shared" ca="1" si="141"/>
        <v>330</v>
      </c>
      <c r="C135">
        <f t="shared" ca="1" si="142"/>
        <v>8</v>
      </c>
      <c r="D135">
        <f t="shared" ca="1" si="143"/>
        <v>0.12896855048708031</v>
      </c>
      <c r="F135" s="1">
        <f t="shared" ca="1" si="144"/>
        <v>22</v>
      </c>
      <c r="G135" s="1">
        <f t="shared" ca="1" si="145"/>
        <v>6</v>
      </c>
      <c r="H135" s="1">
        <f t="shared" ca="1" si="146"/>
        <v>13</v>
      </c>
      <c r="I135" s="1"/>
      <c r="J135" s="1">
        <f t="shared" ca="1" si="147"/>
        <v>10</v>
      </c>
      <c r="K135" s="1">
        <f t="shared" ca="1" si="148"/>
        <v>2.8464986916184762</v>
      </c>
      <c r="L135" s="1">
        <f t="shared" ca="1" si="149"/>
        <v>31</v>
      </c>
      <c r="M135" s="1"/>
      <c r="N135" s="1">
        <f t="shared" ca="1" si="150"/>
        <v>95</v>
      </c>
      <c r="O135" s="1">
        <f t="shared" ca="1" si="151"/>
        <v>32</v>
      </c>
      <c r="P135" s="1"/>
      <c r="Q135" s="1">
        <f t="shared" ca="1" si="152"/>
        <v>0.58326397468645508</v>
      </c>
      <c r="R135" s="1">
        <f t="shared" ca="1" si="153"/>
        <v>549</v>
      </c>
      <c r="S135" s="1"/>
      <c r="T135" s="1">
        <f t="shared" ca="1" si="154"/>
        <v>0.17428004430791108</v>
      </c>
      <c r="U135" s="1">
        <f t="shared" ca="1" si="155"/>
        <v>272</v>
      </c>
      <c r="V135" s="1">
        <f t="shared" ca="1" si="156"/>
        <v>3</v>
      </c>
      <c r="W135" s="1"/>
      <c r="X135" s="1">
        <f t="shared" ca="1" si="157"/>
        <v>9.6042041863297758</v>
      </c>
      <c r="Y135" s="1">
        <f t="shared" ca="1" si="158"/>
        <v>0.55700894635110243</v>
      </c>
      <c r="Z135" s="1">
        <f t="shared" ca="1" si="159"/>
        <v>716</v>
      </c>
      <c r="AB135" s="1">
        <f t="shared" ca="1" si="160"/>
        <v>0.15217564473200554</v>
      </c>
      <c r="AC135" s="1">
        <f t="shared" ca="1" si="161"/>
        <v>866</v>
      </c>
      <c r="AD135" s="1">
        <f t="shared" ca="1" si="162"/>
        <v>8.4014097902628745E-3</v>
      </c>
      <c r="AE135" s="1"/>
      <c r="AF135" s="1">
        <f t="shared" ca="1" si="163"/>
        <v>0.69301529488744595</v>
      </c>
      <c r="AG135" s="1">
        <f t="shared" ca="1" si="164"/>
        <v>319</v>
      </c>
      <c r="AH135" s="1">
        <f t="shared" ca="1" si="165"/>
        <v>3.0758954713232434E-5</v>
      </c>
      <c r="AJ135" s="1">
        <f t="shared" ca="1" si="166"/>
        <v>0.93831882823595769</v>
      </c>
      <c r="AK135" s="1">
        <f t="shared" ca="1" si="167"/>
        <v>8.8780046447767408E-3</v>
      </c>
      <c r="AL135" s="1"/>
      <c r="AM135" s="1">
        <f t="shared" ca="1" si="168"/>
        <v>9.7215467298558414E-2</v>
      </c>
      <c r="AN135" s="1">
        <f t="shared" ca="1" si="169"/>
        <v>35</v>
      </c>
      <c r="AO135" s="1">
        <f t="shared" ca="1" si="170"/>
        <v>13</v>
      </c>
      <c r="AQ135" s="1">
        <f t="shared" ca="1" si="171"/>
        <v>85</v>
      </c>
      <c r="AR135" s="1">
        <f t="shared" ca="1" si="172"/>
        <v>8</v>
      </c>
      <c r="AS135" s="1">
        <f t="shared" ca="1" si="173"/>
        <v>45</v>
      </c>
      <c r="AU135" s="1">
        <f t="shared" ca="1" si="174"/>
        <v>269</v>
      </c>
      <c r="AV135" s="1">
        <f t="shared" ca="1" si="175"/>
        <v>3</v>
      </c>
      <c r="AW135" s="1">
        <f t="shared" ca="1" si="176"/>
        <v>0.11768739005618958</v>
      </c>
      <c r="AY135" s="1">
        <f t="shared" ca="1" si="177"/>
        <v>1.9196301853092632</v>
      </c>
      <c r="AZ135" s="1">
        <f t="shared" ca="1" si="178"/>
        <v>404</v>
      </c>
      <c r="BA135" s="1">
        <f t="shared" ca="1" si="179"/>
        <v>9.3144244050769108E-4</v>
      </c>
      <c r="BG135" s="1">
        <f t="shared" ca="1" si="180"/>
        <v>0.31719658108834564</v>
      </c>
      <c r="BH135" s="1">
        <f t="shared" ca="1" si="181"/>
        <v>0.44476445275319054</v>
      </c>
      <c r="BI135" s="1">
        <f t="shared" ca="1" si="182"/>
        <v>976</v>
      </c>
      <c r="BV135" s="1">
        <f t="shared" ca="1" si="183"/>
        <v>0.53222055733018525</v>
      </c>
      <c r="BW135" s="1">
        <f t="shared" ca="1" si="184"/>
        <v>240</v>
      </c>
      <c r="BX135" s="1">
        <f t="shared" ca="1" si="185"/>
        <v>7.0861953945674534E-3</v>
      </c>
      <c r="BY135" s="1">
        <f t="shared" ca="1" si="186"/>
        <v>2.8785196460410622E-2</v>
      </c>
      <c r="BZ135" s="1">
        <f t="shared" ca="1" si="187"/>
        <v>0.48895143177646649</v>
      </c>
      <c r="CB135" s="1">
        <f t="shared" ca="1" si="188"/>
        <v>263</v>
      </c>
      <c r="CC135" s="1">
        <f t="shared" ca="1" si="189"/>
        <v>10</v>
      </c>
      <c r="CD135" s="1">
        <f t="shared" ca="1" si="190"/>
        <v>0.20418583092544895</v>
      </c>
      <c r="CE135" s="1">
        <f t="shared" ca="1" si="191"/>
        <v>0.69088707273765637</v>
      </c>
      <c r="CF135" s="1">
        <f t="shared" ca="1" si="191"/>
        <v>0.72627111366724728</v>
      </c>
      <c r="CH135" s="3">
        <f t="shared" ca="1" si="192"/>
        <v>0.91119719471507121</v>
      </c>
      <c r="CI135" s="3">
        <f t="shared" ca="1" si="193"/>
        <v>0.12927619242978192</v>
      </c>
      <c r="CJ135" s="3">
        <f t="shared" ca="1" si="194"/>
        <v>995</v>
      </c>
      <c r="CK135" s="3">
        <f t="shared" ca="1" si="195"/>
        <v>1.3749568342930137E-3</v>
      </c>
      <c r="CL135" s="3">
        <f t="shared" ca="1" si="196"/>
        <v>1</v>
      </c>
      <c r="CM135" s="3"/>
      <c r="CN135" s="1">
        <f t="shared" ca="1" si="197"/>
        <v>6.2196480629487407</v>
      </c>
      <c r="CO135" s="1">
        <f t="shared" ca="1" si="198"/>
        <v>0.20654075446538989</v>
      </c>
      <c r="CP135" s="1">
        <f t="shared" ca="1" si="199"/>
        <v>4</v>
      </c>
      <c r="CV135" s="1">
        <f t="shared" ca="1" si="200"/>
        <v>2.0390507296764935</v>
      </c>
      <c r="CW135" s="1">
        <f t="shared" ca="1" si="201"/>
        <v>346</v>
      </c>
      <c r="CX135" s="1">
        <f t="shared" ca="1" si="202"/>
        <v>4.8150164294498204E-3</v>
      </c>
      <c r="DH135" s="1">
        <f t="shared" ca="1" si="203"/>
        <v>866</v>
      </c>
      <c r="DI135" s="1">
        <f t="shared" ca="1" si="204"/>
        <v>1.546631190079685E-2</v>
      </c>
      <c r="DJ135" s="1">
        <f t="shared" ca="1" si="205"/>
        <v>8</v>
      </c>
      <c r="DL135" s="1">
        <f t="shared" ca="1" si="206"/>
        <v>3.2409427283658795E-2</v>
      </c>
      <c r="DM135" s="1">
        <f t="shared" ca="1" si="207"/>
        <v>230</v>
      </c>
      <c r="DN135" s="1">
        <f t="shared" ca="1" si="208"/>
        <v>1</v>
      </c>
    </row>
    <row r="136" spans="2:118" x14ac:dyDescent="0.25">
      <c r="B136">
        <f t="shared" ca="1" si="141"/>
        <v>565</v>
      </c>
      <c r="C136">
        <f t="shared" ca="1" si="142"/>
        <v>13</v>
      </c>
      <c r="D136">
        <f t="shared" ca="1" si="143"/>
        <v>3.6515886474053093E-2</v>
      </c>
      <c r="F136" s="1">
        <f t="shared" ca="1" si="144"/>
        <v>33</v>
      </c>
      <c r="G136" s="1">
        <f t="shared" ca="1" si="145"/>
        <v>25</v>
      </c>
      <c r="H136" s="1">
        <f t="shared" ca="1" si="146"/>
        <v>12</v>
      </c>
      <c r="I136" s="1"/>
      <c r="J136" s="1">
        <f t="shared" ca="1" si="147"/>
        <v>30</v>
      </c>
      <c r="K136" s="1">
        <f t="shared" ca="1" si="148"/>
        <v>2.5160075934357531</v>
      </c>
      <c r="L136" s="1">
        <f t="shared" ca="1" si="149"/>
        <v>29</v>
      </c>
      <c r="M136" s="1"/>
      <c r="N136" s="1">
        <f t="shared" ca="1" si="150"/>
        <v>489</v>
      </c>
      <c r="O136" s="1">
        <f t="shared" ca="1" si="151"/>
        <v>20</v>
      </c>
      <c r="P136" s="1"/>
      <c r="Q136" s="1">
        <f t="shared" ca="1" si="152"/>
        <v>4.9001132716876841</v>
      </c>
      <c r="R136" s="1">
        <f t="shared" ca="1" si="153"/>
        <v>1016</v>
      </c>
      <c r="S136" s="1"/>
      <c r="T136" s="1">
        <f t="shared" ca="1" si="154"/>
        <v>0.13167580544133042</v>
      </c>
      <c r="U136" s="1">
        <f t="shared" ca="1" si="155"/>
        <v>349</v>
      </c>
      <c r="V136" s="1">
        <f t="shared" ca="1" si="156"/>
        <v>8</v>
      </c>
      <c r="W136" s="1"/>
      <c r="X136" s="1">
        <f t="shared" ca="1" si="157"/>
        <v>4.2459066872902129</v>
      </c>
      <c r="Y136" s="1">
        <f t="shared" ca="1" si="158"/>
        <v>0.25353698405500685</v>
      </c>
      <c r="Z136" s="1">
        <f t="shared" ca="1" si="159"/>
        <v>576</v>
      </c>
      <c r="AB136" s="1">
        <f t="shared" ca="1" si="160"/>
        <v>0.16799820571188678</v>
      </c>
      <c r="AC136" s="1">
        <f t="shared" ca="1" si="161"/>
        <v>957</v>
      </c>
      <c r="AD136" s="1">
        <f t="shared" ca="1" si="162"/>
        <v>9.8532258566602898E-3</v>
      </c>
      <c r="AE136" s="1"/>
      <c r="AF136" s="1">
        <f t="shared" ca="1" si="163"/>
        <v>0.18446755594116918</v>
      </c>
      <c r="AG136" s="1">
        <f t="shared" ca="1" si="164"/>
        <v>312</v>
      </c>
      <c r="AH136" s="1">
        <f t="shared" ca="1" si="165"/>
        <v>2.3626881465782688E-4</v>
      </c>
      <c r="AJ136" s="1">
        <f t="shared" ca="1" si="166"/>
        <v>0.51877237518672081</v>
      </c>
      <c r="AK136" s="1">
        <f t="shared" ca="1" si="167"/>
        <v>4.2679047548338633E-3</v>
      </c>
      <c r="AL136" s="1"/>
      <c r="AM136" s="1">
        <f t="shared" ca="1" si="168"/>
        <v>3.009579102168012E-2</v>
      </c>
      <c r="AN136" s="1">
        <f t="shared" ca="1" si="169"/>
        <v>80</v>
      </c>
      <c r="AO136" s="1">
        <f t="shared" ca="1" si="170"/>
        <v>10</v>
      </c>
      <c r="AQ136" s="1">
        <f t="shared" ca="1" si="171"/>
        <v>83</v>
      </c>
      <c r="AR136" s="1">
        <f t="shared" ca="1" si="172"/>
        <v>3</v>
      </c>
      <c r="AS136" s="1">
        <f t="shared" ca="1" si="173"/>
        <v>64</v>
      </c>
      <c r="AU136" s="1">
        <f t="shared" ca="1" si="174"/>
        <v>92</v>
      </c>
      <c r="AV136" s="1">
        <f t="shared" ca="1" si="175"/>
        <v>2</v>
      </c>
      <c r="AW136" s="1">
        <f t="shared" ca="1" si="176"/>
        <v>0.11786552539056903</v>
      </c>
      <c r="AY136" s="1">
        <f t="shared" ca="1" si="177"/>
        <v>1.6477398164668244</v>
      </c>
      <c r="AZ136" s="1">
        <f t="shared" ca="1" si="178"/>
        <v>490</v>
      </c>
      <c r="BA136" s="1">
        <f t="shared" ca="1" si="179"/>
        <v>9.0433170135242897E-3</v>
      </c>
      <c r="BG136" s="1">
        <f t="shared" ca="1" si="180"/>
        <v>0.40755289141301798</v>
      </c>
      <c r="BH136" s="1">
        <f t="shared" ca="1" si="181"/>
        <v>0.47939693486797075</v>
      </c>
      <c r="BI136" s="1">
        <f t="shared" ca="1" si="182"/>
        <v>986</v>
      </c>
      <c r="BV136" s="1">
        <f t="shared" ca="1" si="183"/>
        <v>0.76561662489585991</v>
      </c>
      <c r="BW136" s="1">
        <f t="shared" ca="1" si="184"/>
        <v>161</v>
      </c>
      <c r="BX136" s="1">
        <f t="shared" ca="1" si="185"/>
        <v>1.2716228860895403E-3</v>
      </c>
      <c r="BY136" s="1">
        <f t="shared" ca="1" si="186"/>
        <v>5.8992466199423978E-2</v>
      </c>
      <c r="BZ136" s="1">
        <f t="shared" ca="1" si="187"/>
        <v>0.73307618401334196</v>
      </c>
      <c r="CB136" s="1">
        <f t="shared" ca="1" si="188"/>
        <v>313</v>
      </c>
      <c r="CC136" s="1">
        <f t="shared" ca="1" si="189"/>
        <v>8</v>
      </c>
      <c r="CD136" s="1">
        <f t="shared" ca="1" si="190"/>
        <v>0.14301673666343873</v>
      </c>
      <c r="CE136" s="1">
        <f t="shared" ca="1" si="191"/>
        <v>0.58276707925030613</v>
      </c>
      <c r="CF136" s="1">
        <f t="shared" ca="1" si="191"/>
        <v>0.74233209303329817</v>
      </c>
      <c r="CH136" s="3">
        <f t="shared" ca="1" si="192"/>
        <v>0.73054542406420775</v>
      </c>
      <c r="CI136" s="3">
        <f t="shared" ca="1" si="193"/>
        <v>4.2595131506010367E-2</v>
      </c>
      <c r="CJ136" s="3">
        <f t="shared" ca="1" si="194"/>
        <v>636</v>
      </c>
      <c r="CK136" s="3">
        <f t="shared" ca="1" si="195"/>
        <v>2.5195034575668514E-3</v>
      </c>
      <c r="CL136" s="3">
        <f t="shared" ca="1" si="196"/>
        <v>1</v>
      </c>
      <c r="CM136" s="3"/>
      <c r="CN136" s="1">
        <f t="shared" ca="1" si="197"/>
        <v>1.1146531095936141</v>
      </c>
      <c r="CO136" s="1">
        <f t="shared" ca="1" si="198"/>
        <v>0.32486893138923817</v>
      </c>
      <c r="CP136" s="1">
        <f t="shared" ca="1" si="199"/>
        <v>2</v>
      </c>
      <c r="CV136" s="1">
        <f t="shared" ca="1" si="200"/>
        <v>2.7041837776963824</v>
      </c>
      <c r="CW136" s="1">
        <f t="shared" ca="1" si="201"/>
        <v>286</v>
      </c>
      <c r="CX136" s="1">
        <f t="shared" ca="1" si="202"/>
        <v>8.051049901885151E-3</v>
      </c>
      <c r="DH136" s="1">
        <f t="shared" ca="1" si="203"/>
        <v>428</v>
      </c>
      <c r="DI136" s="1">
        <f t="shared" ca="1" si="204"/>
        <v>0.52459584745120913</v>
      </c>
      <c r="DJ136" s="1">
        <f t="shared" ca="1" si="205"/>
        <v>27</v>
      </c>
      <c r="DL136" s="1">
        <f t="shared" ca="1" si="206"/>
        <v>0.14977594214031537</v>
      </c>
      <c r="DM136" s="1">
        <f t="shared" ca="1" si="207"/>
        <v>91</v>
      </c>
      <c r="DN136" s="1">
        <f t="shared" ca="1" si="208"/>
        <v>2</v>
      </c>
    </row>
    <row r="137" spans="2:118" x14ac:dyDescent="0.25">
      <c r="B137">
        <f t="shared" ca="1" si="141"/>
        <v>162</v>
      </c>
      <c r="C137">
        <f t="shared" ca="1" si="142"/>
        <v>28</v>
      </c>
      <c r="D137">
        <f t="shared" ca="1" si="143"/>
        <v>0.29398907280914921</v>
      </c>
      <c r="F137" s="1">
        <f t="shared" ca="1" si="144"/>
        <v>38</v>
      </c>
      <c r="G137" s="1">
        <f t="shared" ca="1" si="145"/>
        <v>16</v>
      </c>
      <c r="H137" s="1">
        <f t="shared" ca="1" si="146"/>
        <v>13</v>
      </c>
      <c r="I137" s="1"/>
      <c r="J137" s="1">
        <f t="shared" ca="1" si="147"/>
        <v>6</v>
      </c>
      <c r="K137" s="1">
        <f t="shared" ca="1" si="148"/>
        <v>2.1747094099265691</v>
      </c>
      <c r="L137" s="1">
        <f t="shared" ca="1" si="149"/>
        <v>16</v>
      </c>
      <c r="M137" s="1"/>
      <c r="N137" s="1">
        <f t="shared" ca="1" si="150"/>
        <v>532</v>
      </c>
      <c r="O137" s="1">
        <f t="shared" ca="1" si="151"/>
        <v>48</v>
      </c>
      <c r="P137" s="1"/>
      <c r="Q137" s="1">
        <f t="shared" ca="1" si="152"/>
        <v>4.0273598646531292</v>
      </c>
      <c r="R137" s="1">
        <f t="shared" ca="1" si="153"/>
        <v>270</v>
      </c>
      <c r="S137" s="1"/>
      <c r="T137" s="1">
        <f t="shared" ca="1" si="154"/>
        <v>8.1375532104742257E-2</v>
      </c>
      <c r="U137" s="1">
        <f t="shared" ca="1" si="155"/>
        <v>306</v>
      </c>
      <c r="V137" s="1">
        <f t="shared" ca="1" si="156"/>
        <v>14</v>
      </c>
      <c r="W137" s="1"/>
      <c r="X137" s="1">
        <f t="shared" ca="1" si="157"/>
        <v>7.1087317579027998</v>
      </c>
      <c r="Y137" s="1">
        <f t="shared" ca="1" si="158"/>
        <v>0.28092421611757801</v>
      </c>
      <c r="Z137" s="1">
        <f t="shared" ca="1" si="159"/>
        <v>1294</v>
      </c>
      <c r="AB137" s="1">
        <f t="shared" ca="1" si="160"/>
        <v>0.92429092712790228</v>
      </c>
      <c r="AC137" s="1">
        <f t="shared" ca="1" si="161"/>
        <v>205</v>
      </c>
      <c r="AD137" s="1">
        <f t="shared" ca="1" si="162"/>
        <v>3.8015823557031904E-3</v>
      </c>
      <c r="AE137" s="1"/>
      <c r="AF137" s="1">
        <f t="shared" ca="1" si="163"/>
        <v>0.88680644180219104</v>
      </c>
      <c r="AG137" s="1">
        <f t="shared" ca="1" si="164"/>
        <v>302</v>
      </c>
      <c r="AH137" s="1">
        <f t="shared" ca="1" si="165"/>
        <v>4.8182895329000592E-4</v>
      </c>
      <c r="AJ137" s="1">
        <f t="shared" ca="1" si="166"/>
        <v>0.81942596762331632</v>
      </c>
      <c r="AK137" s="1">
        <f t="shared" ca="1" si="167"/>
        <v>3.2592964883255602E-3</v>
      </c>
      <c r="AL137" s="1"/>
      <c r="AM137" s="1">
        <f t="shared" ca="1" si="168"/>
        <v>3.5404624833515023E-2</v>
      </c>
      <c r="AN137" s="1">
        <f t="shared" ca="1" si="169"/>
        <v>48</v>
      </c>
      <c r="AO137" s="1">
        <f t="shared" ca="1" si="170"/>
        <v>6</v>
      </c>
      <c r="AQ137" s="1">
        <f t="shared" ca="1" si="171"/>
        <v>153</v>
      </c>
      <c r="AR137" s="1">
        <f t="shared" ca="1" si="172"/>
        <v>2</v>
      </c>
      <c r="AS137" s="1">
        <f t="shared" ca="1" si="173"/>
        <v>3</v>
      </c>
      <c r="AU137" s="1">
        <f t="shared" ca="1" si="174"/>
        <v>331</v>
      </c>
      <c r="AV137" s="1">
        <f t="shared" ca="1" si="175"/>
        <v>2</v>
      </c>
      <c r="AW137" s="1">
        <f t="shared" ca="1" si="176"/>
        <v>1.9234687919411325E-2</v>
      </c>
      <c r="AY137" s="1">
        <f t="shared" ca="1" si="177"/>
        <v>1.7489631494325377</v>
      </c>
      <c r="AZ137" s="1">
        <f t="shared" ca="1" si="178"/>
        <v>371</v>
      </c>
      <c r="BA137" s="1">
        <f t="shared" ca="1" si="179"/>
        <v>1.9078634401901628E-3</v>
      </c>
      <c r="BG137" s="1">
        <f t="shared" ca="1" si="180"/>
        <v>0.34284312174407389</v>
      </c>
      <c r="BH137" s="1">
        <f t="shared" ca="1" si="181"/>
        <v>0.75573598010625642</v>
      </c>
      <c r="BI137" s="1">
        <f t="shared" ca="1" si="182"/>
        <v>435</v>
      </c>
      <c r="BV137" s="1">
        <f t="shared" ca="1" si="183"/>
        <v>0.55056785034079148</v>
      </c>
      <c r="BW137" s="1">
        <f t="shared" ca="1" si="184"/>
        <v>239</v>
      </c>
      <c r="BX137" s="1">
        <f t="shared" ca="1" si="185"/>
        <v>4.6043603671563366E-3</v>
      </c>
      <c r="BY137" s="1">
        <f t="shared" ca="1" si="186"/>
        <v>2.3154116865897117E-2</v>
      </c>
      <c r="BZ137" s="1">
        <f t="shared" ca="1" si="187"/>
        <v>0.49775228085375622</v>
      </c>
      <c r="CB137" s="1">
        <f t="shared" ca="1" si="188"/>
        <v>200</v>
      </c>
      <c r="CC137" s="1">
        <f t="shared" ca="1" si="189"/>
        <v>6</v>
      </c>
      <c r="CD137" s="1">
        <f t="shared" ca="1" si="190"/>
        <v>0.19799222660198607</v>
      </c>
      <c r="CE137" s="1">
        <f t="shared" ca="1" si="191"/>
        <v>0.93085081887415311</v>
      </c>
      <c r="CF137" s="1">
        <f t="shared" ca="1" si="191"/>
        <v>0.80518001841594622</v>
      </c>
      <c r="CH137" s="3">
        <f t="shared" ca="1" si="192"/>
        <v>0.66986292937691927</v>
      </c>
      <c r="CI137" s="3">
        <f t="shared" ca="1" si="193"/>
        <v>0.39365155553378128</v>
      </c>
      <c r="CJ137" s="3">
        <f t="shared" ca="1" si="194"/>
        <v>1231</v>
      </c>
      <c r="CK137" s="3">
        <f t="shared" ca="1" si="195"/>
        <v>8.9201572360363894E-4</v>
      </c>
      <c r="CL137" s="3">
        <f t="shared" ca="1" si="196"/>
        <v>0</v>
      </c>
      <c r="CM137" s="3"/>
      <c r="CN137" s="1">
        <f t="shared" ca="1" si="197"/>
        <v>15.173122400273883</v>
      </c>
      <c r="CO137" s="1">
        <f t="shared" ca="1" si="198"/>
        <v>0.4121767377761244</v>
      </c>
      <c r="CP137" s="1">
        <f t="shared" ca="1" si="199"/>
        <v>1</v>
      </c>
      <c r="CV137" s="1">
        <f t="shared" ca="1" si="200"/>
        <v>2.5577262966974716</v>
      </c>
      <c r="CW137" s="1">
        <f t="shared" ca="1" si="201"/>
        <v>1213</v>
      </c>
      <c r="CX137" s="1">
        <f t="shared" ca="1" si="202"/>
        <v>9.6907771968143108E-3</v>
      </c>
      <c r="DH137" s="1">
        <f t="shared" ca="1" si="203"/>
        <v>459</v>
      </c>
      <c r="DI137" s="1">
        <f t="shared" ca="1" si="204"/>
        <v>0.34234876997344066</v>
      </c>
      <c r="DJ137" s="1">
        <f t="shared" ca="1" si="205"/>
        <v>20</v>
      </c>
      <c r="DL137" s="1">
        <f t="shared" ca="1" si="206"/>
        <v>7.2829865928350723E-2</v>
      </c>
      <c r="DM137" s="1">
        <f t="shared" ca="1" si="207"/>
        <v>100</v>
      </c>
      <c r="DN137" s="1">
        <f t="shared" ca="1" si="208"/>
        <v>8</v>
      </c>
    </row>
    <row r="138" spans="2:118" x14ac:dyDescent="0.25">
      <c r="B138">
        <f t="shared" ca="1" si="141"/>
        <v>840</v>
      </c>
      <c r="C138">
        <f t="shared" ca="1" si="142"/>
        <v>45</v>
      </c>
      <c r="D138">
        <f t="shared" ca="1" si="143"/>
        <v>0.18977062236573336</v>
      </c>
      <c r="F138" s="1">
        <f t="shared" ca="1" si="144"/>
        <v>46</v>
      </c>
      <c r="G138" s="1">
        <f t="shared" ca="1" si="145"/>
        <v>15</v>
      </c>
      <c r="H138" s="1">
        <f t="shared" ca="1" si="146"/>
        <v>8</v>
      </c>
      <c r="I138" s="1"/>
      <c r="J138" s="1">
        <f t="shared" ca="1" si="147"/>
        <v>2</v>
      </c>
      <c r="K138" s="1">
        <f t="shared" ca="1" si="148"/>
        <v>2.2378030027291813</v>
      </c>
      <c r="L138" s="1">
        <f t="shared" ca="1" si="149"/>
        <v>26</v>
      </c>
      <c r="M138" s="1"/>
      <c r="N138" s="1">
        <f t="shared" ca="1" si="150"/>
        <v>121</v>
      </c>
      <c r="O138" s="1">
        <f t="shared" ca="1" si="151"/>
        <v>25</v>
      </c>
      <c r="P138" s="1"/>
      <c r="Q138" s="1">
        <f t="shared" ca="1" si="152"/>
        <v>1.4678600076246957</v>
      </c>
      <c r="R138" s="1">
        <f t="shared" ca="1" si="153"/>
        <v>960</v>
      </c>
      <c r="S138" s="1"/>
      <c r="T138" s="1">
        <f t="shared" ca="1" si="154"/>
        <v>2.8149901604148639E-2</v>
      </c>
      <c r="U138" s="1">
        <f t="shared" ca="1" si="155"/>
        <v>392</v>
      </c>
      <c r="V138" s="1">
        <f t="shared" ca="1" si="156"/>
        <v>37</v>
      </c>
      <c r="W138" s="1"/>
      <c r="X138" s="1">
        <f t="shared" ca="1" si="157"/>
        <v>2.8683943533741973</v>
      </c>
      <c r="Y138" s="1">
        <f t="shared" ca="1" si="158"/>
        <v>0.31295971946884066</v>
      </c>
      <c r="Z138" s="1">
        <f t="shared" ca="1" si="159"/>
        <v>740</v>
      </c>
      <c r="AB138" s="1">
        <f t="shared" ca="1" si="160"/>
        <v>0.26125964253037232</v>
      </c>
      <c r="AC138" s="1">
        <f t="shared" ca="1" si="161"/>
        <v>842</v>
      </c>
      <c r="AD138" s="1">
        <f t="shared" ca="1" si="162"/>
        <v>5.8044387496823269E-3</v>
      </c>
      <c r="AE138" s="1"/>
      <c r="AF138" s="1">
        <f t="shared" ca="1" si="163"/>
        <v>0.79107170228678003</v>
      </c>
      <c r="AG138" s="1">
        <f t="shared" ca="1" si="164"/>
        <v>412</v>
      </c>
      <c r="AH138" s="1">
        <f t="shared" ca="1" si="165"/>
        <v>6.4342551529464819E-4</v>
      </c>
      <c r="AJ138" s="1">
        <f t="shared" ca="1" si="166"/>
        <v>0.88711113463316416</v>
      </c>
      <c r="AK138" s="1">
        <f t="shared" ca="1" si="167"/>
        <v>8.5002734158090513E-3</v>
      </c>
      <c r="AL138" s="1"/>
      <c r="AM138" s="1">
        <f t="shared" ca="1" si="168"/>
        <v>2.9643834762104308E-2</v>
      </c>
      <c r="AN138" s="1">
        <f t="shared" ca="1" si="169"/>
        <v>47</v>
      </c>
      <c r="AO138" s="1">
        <f t="shared" ca="1" si="170"/>
        <v>9</v>
      </c>
      <c r="AQ138" s="1">
        <f t="shared" ca="1" si="171"/>
        <v>19</v>
      </c>
      <c r="AR138" s="1">
        <f t="shared" ca="1" si="172"/>
        <v>2</v>
      </c>
      <c r="AS138" s="1">
        <f t="shared" ca="1" si="173"/>
        <v>61</v>
      </c>
      <c r="AU138" s="1">
        <f t="shared" ca="1" si="174"/>
        <v>178</v>
      </c>
      <c r="AV138" s="1">
        <f t="shared" ca="1" si="175"/>
        <v>6</v>
      </c>
      <c r="AW138" s="1">
        <f t="shared" ca="1" si="176"/>
        <v>0.15854233571953777</v>
      </c>
      <c r="AY138" s="1">
        <f t="shared" ca="1" si="177"/>
        <v>1.5186771940908406</v>
      </c>
      <c r="AZ138" s="1">
        <f t="shared" ca="1" si="178"/>
        <v>432</v>
      </c>
      <c r="BA138" s="1">
        <f t="shared" ca="1" si="179"/>
        <v>1.4404558853827452E-3</v>
      </c>
      <c r="BG138" s="1">
        <f t="shared" ca="1" si="180"/>
        <v>0.38133042691111596</v>
      </c>
      <c r="BH138" s="1">
        <f t="shared" ca="1" si="181"/>
        <v>8.5429708562697271E-2</v>
      </c>
      <c r="BI138" s="1">
        <f t="shared" ca="1" si="182"/>
        <v>276</v>
      </c>
      <c r="BV138" s="1">
        <f t="shared" ca="1" si="183"/>
        <v>0.19972680335774348</v>
      </c>
      <c r="BW138" s="1">
        <f t="shared" ca="1" si="184"/>
        <v>877</v>
      </c>
      <c r="BX138" s="1">
        <f t="shared" ca="1" si="185"/>
        <v>4.1252655741147899E-3</v>
      </c>
      <c r="BY138" s="1">
        <f t="shared" ca="1" si="186"/>
        <v>3.8834220851397004E-2</v>
      </c>
      <c r="BZ138" s="1">
        <f t="shared" ca="1" si="187"/>
        <v>0.46324470807640283</v>
      </c>
      <c r="CB138" s="1">
        <f t="shared" ca="1" si="188"/>
        <v>449</v>
      </c>
      <c r="CC138" s="1">
        <f t="shared" ca="1" si="189"/>
        <v>14</v>
      </c>
      <c r="CD138" s="1">
        <f t="shared" ca="1" si="190"/>
        <v>0.27140577810440869</v>
      </c>
      <c r="CE138" s="1">
        <f t="shared" ca="1" si="191"/>
        <v>0.94793975491516169</v>
      </c>
      <c r="CF138" s="1">
        <f t="shared" ca="1" si="191"/>
        <v>0.7309758155372138</v>
      </c>
      <c r="CH138" s="3">
        <f t="shared" ca="1" si="192"/>
        <v>0.99685662717740309</v>
      </c>
      <c r="CI138" s="3">
        <f t="shared" ca="1" si="193"/>
        <v>5.1249389212810401E-2</v>
      </c>
      <c r="CJ138" s="3">
        <f t="shared" ca="1" si="194"/>
        <v>1761</v>
      </c>
      <c r="CK138" s="3">
        <f t="shared" ca="1" si="195"/>
        <v>9.0737983128893855E-3</v>
      </c>
      <c r="CL138" s="3">
        <f t="shared" ca="1" si="196"/>
        <v>1</v>
      </c>
      <c r="CM138" s="3"/>
      <c r="CN138" s="1">
        <f t="shared" ca="1" si="197"/>
        <v>2.8635494295026462</v>
      </c>
      <c r="CO138" s="1">
        <f t="shared" ca="1" si="198"/>
        <v>4.1579696017506877E-2</v>
      </c>
      <c r="CP138" s="1">
        <f t="shared" ca="1" si="199"/>
        <v>4</v>
      </c>
      <c r="CV138" s="1">
        <f t="shared" ca="1" si="200"/>
        <v>6.0651346474903347</v>
      </c>
      <c r="CW138" s="1">
        <f t="shared" ca="1" si="201"/>
        <v>615</v>
      </c>
      <c r="CX138" s="1">
        <f t="shared" ca="1" si="202"/>
        <v>6.506703266082786E-3</v>
      </c>
      <c r="DH138" s="1">
        <f t="shared" ca="1" si="203"/>
        <v>551</v>
      </c>
      <c r="DI138" s="1">
        <f t="shared" ca="1" si="204"/>
        <v>0.80279166732801577</v>
      </c>
      <c r="DJ138" s="1">
        <f t="shared" ca="1" si="205"/>
        <v>16</v>
      </c>
      <c r="DL138" s="1">
        <f t="shared" ca="1" si="206"/>
        <v>6.145686547700159E-2</v>
      </c>
      <c r="DM138" s="1">
        <f t="shared" ca="1" si="207"/>
        <v>59</v>
      </c>
      <c r="DN138" s="1">
        <f t="shared" ca="1" si="208"/>
        <v>5</v>
      </c>
    </row>
    <row r="139" spans="2:118" x14ac:dyDescent="0.25">
      <c r="B139">
        <f t="shared" ca="1" si="141"/>
        <v>747</v>
      </c>
      <c r="C139">
        <f t="shared" ca="1" si="142"/>
        <v>40</v>
      </c>
      <c r="D139">
        <f t="shared" ca="1" si="143"/>
        <v>0.27466629107864049</v>
      </c>
      <c r="F139" s="1">
        <f t="shared" ca="1" si="144"/>
        <v>24</v>
      </c>
      <c r="G139" s="1">
        <f t="shared" ca="1" si="145"/>
        <v>23</v>
      </c>
      <c r="H139" s="1">
        <f t="shared" ca="1" si="146"/>
        <v>14</v>
      </c>
      <c r="I139" s="1"/>
      <c r="J139" s="1">
        <f t="shared" ca="1" si="147"/>
        <v>15</v>
      </c>
      <c r="K139" s="1">
        <f t="shared" ca="1" si="148"/>
        <v>2.4797175645430745</v>
      </c>
      <c r="L139" s="1">
        <f t="shared" ca="1" si="149"/>
        <v>6</v>
      </c>
      <c r="M139" s="1"/>
      <c r="N139" s="1">
        <f t="shared" ca="1" si="150"/>
        <v>35</v>
      </c>
      <c r="O139" s="1">
        <f t="shared" ca="1" si="151"/>
        <v>23</v>
      </c>
      <c r="P139" s="1"/>
      <c r="Q139" s="1">
        <f t="shared" ca="1" si="152"/>
        <v>1.8511805053431907</v>
      </c>
      <c r="R139" s="1">
        <f t="shared" ca="1" si="153"/>
        <v>995</v>
      </c>
      <c r="S139" s="1"/>
      <c r="T139" s="1">
        <f t="shared" ca="1" si="154"/>
        <v>9.1716780128432859E-2</v>
      </c>
      <c r="U139" s="1">
        <f t="shared" ca="1" si="155"/>
        <v>110</v>
      </c>
      <c r="V139" s="1">
        <f t="shared" ca="1" si="156"/>
        <v>36</v>
      </c>
      <c r="W139" s="1"/>
      <c r="X139" s="1">
        <f t="shared" ca="1" si="157"/>
        <v>6.3275013042404193</v>
      </c>
      <c r="Y139" s="1">
        <f t="shared" ca="1" si="158"/>
        <v>0.93753678059155565</v>
      </c>
      <c r="Z139" s="1">
        <f t="shared" ca="1" si="159"/>
        <v>457</v>
      </c>
      <c r="AB139" s="1">
        <f t="shared" ca="1" si="160"/>
        <v>3.4934382445393035E-2</v>
      </c>
      <c r="AC139" s="1">
        <f t="shared" ca="1" si="161"/>
        <v>904</v>
      </c>
      <c r="AD139" s="1">
        <f t="shared" ca="1" si="162"/>
        <v>2.5511298166028731E-3</v>
      </c>
      <c r="AE139" s="1"/>
      <c r="AF139" s="1">
        <f t="shared" ca="1" si="163"/>
        <v>0.89980339241947893</v>
      </c>
      <c r="AG139" s="1">
        <f t="shared" ca="1" si="164"/>
        <v>654</v>
      </c>
      <c r="AH139" s="1">
        <f t="shared" ca="1" si="165"/>
        <v>7.8086963200922335E-3</v>
      </c>
      <c r="AJ139" s="1">
        <f t="shared" ca="1" si="166"/>
        <v>1.2069893467773429E-2</v>
      </c>
      <c r="AK139" s="1">
        <f t="shared" ca="1" si="167"/>
        <v>3.6324845109544828E-3</v>
      </c>
      <c r="AL139" s="1"/>
      <c r="AM139" s="1">
        <f t="shared" ca="1" si="168"/>
        <v>0.11465297378607035</v>
      </c>
      <c r="AN139" s="1">
        <f t="shared" ca="1" si="169"/>
        <v>61</v>
      </c>
      <c r="AO139" s="1">
        <f t="shared" ca="1" si="170"/>
        <v>10</v>
      </c>
      <c r="AQ139" s="1">
        <f t="shared" ca="1" si="171"/>
        <v>60</v>
      </c>
      <c r="AR139" s="1">
        <f t="shared" ca="1" si="172"/>
        <v>2</v>
      </c>
      <c r="AS139" s="1">
        <f t="shared" ca="1" si="173"/>
        <v>95</v>
      </c>
      <c r="AU139" s="1">
        <f t="shared" ca="1" si="174"/>
        <v>149</v>
      </c>
      <c r="AV139" s="1">
        <f t="shared" ca="1" si="175"/>
        <v>8</v>
      </c>
      <c r="AW139" s="1">
        <f t="shared" ca="1" si="176"/>
        <v>5.2348099620845287E-2</v>
      </c>
      <c r="AY139" s="1">
        <f t="shared" ca="1" si="177"/>
        <v>1.5209078264852529</v>
      </c>
      <c r="AZ139" s="1">
        <f t="shared" ca="1" si="178"/>
        <v>306</v>
      </c>
      <c r="BA139" s="1">
        <f t="shared" ca="1" si="179"/>
        <v>7.9132204870573427E-3</v>
      </c>
      <c r="BG139" s="1">
        <f t="shared" ca="1" si="180"/>
        <v>0.52350499327065581</v>
      </c>
      <c r="BH139" s="1">
        <f t="shared" ca="1" si="181"/>
        <v>0.536223844173495</v>
      </c>
      <c r="BI139" s="1">
        <f t="shared" ca="1" si="182"/>
        <v>411</v>
      </c>
      <c r="BV139" s="1">
        <f t="shared" ca="1" si="183"/>
        <v>0.36119076575062437</v>
      </c>
      <c r="BW139" s="1">
        <f t="shared" ca="1" si="184"/>
        <v>838</v>
      </c>
      <c r="BX139" s="1">
        <f t="shared" ca="1" si="185"/>
        <v>4.8110846992240833E-3</v>
      </c>
      <c r="BY139" s="1">
        <f t="shared" ca="1" si="186"/>
        <v>5.5302888434827314E-2</v>
      </c>
      <c r="BZ139" s="1">
        <f t="shared" ca="1" si="187"/>
        <v>0.30462509781742009</v>
      </c>
      <c r="CB139" s="1">
        <f t="shared" ca="1" si="188"/>
        <v>471</v>
      </c>
      <c r="CC139" s="1">
        <f t="shared" ca="1" si="189"/>
        <v>7</v>
      </c>
      <c r="CD139" s="1">
        <f t="shared" ca="1" si="190"/>
        <v>0.18037195952166371</v>
      </c>
      <c r="CE139" s="1">
        <f t="shared" ca="1" si="191"/>
        <v>0.77307836459505053</v>
      </c>
      <c r="CF139" s="1">
        <f t="shared" ca="1" si="191"/>
        <v>0.99713464110877559</v>
      </c>
      <c r="CH139" s="3">
        <f t="shared" ca="1" si="192"/>
        <v>0.92020050076129056</v>
      </c>
      <c r="CI139" s="3">
        <f t="shared" ca="1" si="193"/>
        <v>0.19293980239092454</v>
      </c>
      <c r="CJ139" s="3">
        <f t="shared" ca="1" si="194"/>
        <v>644</v>
      </c>
      <c r="CK139" s="3">
        <f t="shared" ca="1" si="195"/>
        <v>2.4595502786398486E-3</v>
      </c>
      <c r="CL139" s="3">
        <f t="shared" ca="1" si="196"/>
        <v>0</v>
      </c>
      <c r="CM139" s="3"/>
      <c r="CN139" s="1">
        <f t="shared" ca="1" si="197"/>
        <v>9.3463064827355016</v>
      </c>
      <c r="CO139" s="1">
        <f t="shared" ca="1" si="198"/>
        <v>0.37634048617882099</v>
      </c>
      <c r="CP139" s="1">
        <f t="shared" ca="1" si="199"/>
        <v>1</v>
      </c>
      <c r="CV139" s="1">
        <f t="shared" ca="1" si="200"/>
        <v>2.1468307668941762</v>
      </c>
      <c r="CW139" s="1">
        <f t="shared" ca="1" si="201"/>
        <v>1607</v>
      </c>
      <c r="CX139" s="1">
        <f t="shared" ca="1" si="202"/>
        <v>4.678878389027686E-3</v>
      </c>
      <c r="DH139" s="1">
        <f t="shared" ca="1" si="203"/>
        <v>266</v>
      </c>
      <c r="DI139" s="1">
        <f t="shared" ca="1" si="204"/>
        <v>0.19423854622637102</v>
      </c>
      <c r="DJ139" s="1">
        <f t="shared" ca="1" si="205"/>
        <v>13</v>
      </c>
      <c r="DL139" s="1">
        <f t="shared" ca="1" si="206"/>
        <v>0.19928149212938642</v>
      </c>
      <c r="DM139" s="1">
        <f t="shared" ca="1" si="207"/>
        <v>246</v>
      </c>
      <c r="DN139" s="1">
        <f t="shared" ca="1" si="208"/>
        <v>7</v>
      </c>
    </row>
    <row r="140" spans="2:118" x14ac:dyDescent="0.25">
      <c r="B140">
        <f t="shared" ca="1" si="141"/>
        <v>757</v>
      </c>
      <c r="C140">
        <f t="shared" ca="1" si="142"/>
        <v>33</v>
      </c>
      <c r="D140">
        <f t="shared" ca="1" si="143"/>
        <v>3.8267813665972469E-2</v>
      </c>
      <c r="F140" s="1">
        <f t="shared" ca="1" si="144"/>
        <v>2</v>
      </c>
      <c r="G140" s="1">
        <f t="shared" ca="1" si="145"/>
        <v>21</v>
      </c>
      <c r="H140" s="1">
        <f t="shared" ca="1" si="146"/>
        <v>6</v>
      </c>
      <c r="I140" s="1"/>
      <c r="J140" s="1">
        <f t="shared" ca="1" si="147"/>
        <v>7</v>
      </c>
      <c r="K140" s="1">
        <f t="shared" ca="1" si="148"/>
        <v>2.9226289521584441</v>
      </c>
      <c r="L140" s="1">
        <f t="shared" ca="1" si="149"/>
        <v>7</v>
      </c>
      <c r="M140" s="1"/>
      <c r="N140" s="1">
        <f t="shared" ca="1" si="150"/>
        <v>979</v>
      </c>
      <c r="O140" s="1">
        <f t="shared" ca="1" si="151"/>
        <v>52</v>
      </c>
      <c r="P140" s="1"/>
      <c r="Q140" s="1">
        <f t="shared" ca="1" si="152"/>
        <v>4.7915211607079886</v>
      </c>
      <c r="R140" s="1">
        <f t="shared" ca="1" si="153"/>
        <v>622</v>
      </c>
      <c r="S140" s="1"/>
      <c r="T140" s="1">
        <f t="shared" ca="1" si="154"/>
        <v>0.19599244618725864</v>
      </c>
      <c r="U140" s="1">
        <f t="shared" ca="1" si="155"/>
        <v>401</v>
      </c>
      <c r="V140" s="1">
        <f t="shared" ca="1" si="156"/>
        <v>36</v>
      </c>
      <c r="W140" s="1"/>
      <c r="X140" s="1">
        <f t="shared" ca="1" si="157"/>
        <v>9.5401190614241695</v>
      </c>
      <c r="Y140" s="1">
        <f t="shared" ca="1" si="158"/>
        <v>0.28916010386037838</v>
      </c>
      <c r="Z140" s="1">
        <f t="shared" ca="1" si="159"/>
        <v>142</v>
      </c>
      <c r="AB140" s="1">
        <f t="shared" ca="1" si="160"/>
        <v>0.31350519915508757</v>
      </c>
      <c r="AC140" s="1">
        <f t="shared" ca="1" si="161"/>
        <v>352</v>
      </c>
      <c r="AD140" s="1">
        <f t="shared" ca="1" si="162"/>
        <v>1.8685831696621646E-3</v>
      </c>
      <c r="AE140" s="1"/>
      <c r="AF140" s="1">
        <f t="shared" ca="1" si="163"/>
        <v>0.89036292537031725</v>
      </c>
      <c r="AG140" s="1">
        <f t="shared" ca="1" si="164"/>
        <v>214</v>
      </c>
      <c r="AH140" s="1">
        <f t="shared" ca="1" si="165"/>
        <v>7.9355112852563317E-3</v>
      </c>
      <c r="AJ140" s="1">
        <f t="shared" ca="1" si="166"/>
        <v>0.70415539240117875</v>
      </c>
      <c r="AK140" s="1">
        <f t="shared" ca="1" si="167"/>
        <v>7.3430006719946567E-3</v>
      </c>
      <c r="AL140" s="1"/>
      <c r="AM140" s="1">
        <f t="shared" ca="1" si="168"/>
        <v>0.16955060839562339</v>
      </c>
      <c r="AN140" s="1">
        <f t="shared" ca="1" si="169"/>
        <v>46</v>
      </c>
      <c r="AO140" s="1">
        <f t="shared" ca="1" si="170"/>
        <v>11</v>
      </c>
      <c r="AQ140" s="1">
        <f t="shared" ca="1" si="171"/>
        <v>104</v>
      </c>
      <c r="AR140" s="1">
        <f t="shared" ca="1" si="172"/>
        <v>0</v>
      </c>
      <c r="AS140" s="1">
        <f t="shared" ca="1" si="173"/>
        <v>75</v>
      </c>
      <c r="AU140" s="1">
        <f t="shared" ca="1" si="174"/>
        <v>62</v>
      </c>
      <c r="AV140" s="1">
        <f t="shared" ca="1" si="175"/>
        <v>6</v>
      </c>
      <c r="AW140" s="1">
        <f t="shared" ca="1" si="176"/>
        <v>0.17847592490364494</v>
      </c>
      <c r="AY140" s="1">
        <f t="shared" ca="1" si="177"/>
        <v>1.1539614534810878</v>
      </c>
      <c r="AZ140" s="1">
        <f t="shared" ca="1" si="178"/>
        <v>345</v>
      </c>
      <c r="BA140" s="1">
        <f t="shared" ca="1" si="179"/>
        <v>7.6581665992806402E-4</v>
      </c>
      <c r="BG140" s="1">
        <f t="shared" ca="1" si="180"/>
        <v>0.37504695098409851</v>
      </c>
      <c r="BH140" s="1">
        <f t="shared" ca="1" si="181"/>
        <v>0.58701881346006202</v>
      </c>
      <c r="BI140" s="1">
        <f t="shared" ca="1" si="182"/>
        <v>979</v>
      </c>
      <c r="BV140" s="1">
        <f t="shared" ca="1" si="183"/>
        <v>0.89193806596032299</v>
      </c>
      <c r="BW140" s="1">
        <f t="shared" ca="1" si="184"/>
        <v>698</v>
      </c>
      <c r="BX140" s="1">
        <f t="shared" ca="1" si="185"/>
        <v>1.175606064942085E-3</v>
      </c>
      <c r="BY140" s="1">
        <f t="shared" ca="1" si="186"/>
        <v>6.4548079430136657E-2</v>
      </c>
      <c r="BZ140" s="1">
        <f t="shared" ca="1" si="187"/>
        <v>0.43152770341765612</v>
      </c>
      <c r="CB140" s="1">
        <f t="shared" ca="1" si="188"/>
        <v>80</v>
      </c>
      <c r="CC140" s="1">
        <f t="shared" ca="1" si="189"/>
        <v>13</v>
      </c>
      <c r="CD140" s="1">
        <f t="shared" ca="1" si="190"/>
        <v>0.18788137173614952</v>
      </c>
      <c r="CE140" s="1">
        <f t="shared" ca="1" si="191"/>
        <v>0.97541034790347703</v>
      </c>
      <c r="CF140" s="1">
        <f t="shared" ca="1" si="191"/>
        <v>0.59758771844478831</v>
      </c>
      <c r="CH140" s="3">
        <f t="shared" ca="1" si="192"/>
        <v>0.10920052591675573</v>
      </c>
      <c r="CI140" s="3">
        <f t="shared" ca="1" si="193"/>
        <v>0.27484218084504675</v>
      </c>
      <c r="CJ140" s="3">
        <f t="shared" ca="1" si="194"/>
        <v>998</v>
      </c>
      <c r="CK140" s="3">
        <f t="shared" ca="1" si="195"/>
        <v>8.5716592766302141E-3</v>
      </c>
      <c r="CL140" s="3">
        <f t="shared" ca="1" si="196"/>
        <v>0</v>
      </c>
      <c r="CM140" s="3"/>
      <c r="CN140" s="1">
        <f t="shared" ca="1" si="197"/>
        <v>10.72234835886437</v>
      </c>
      <c r="CO140" s="1">
        <f t="shared" ca="1" si="198"/>
        <v>0.22336518065906366</v>
      </c>
      <c r="CP140" s="1">
        <f t="shared" ca="1" si="199"/>
        <v>4</v>
      </c>
      <c r="CV140" s="1">
        <f t="shared" ca="1" si="200"/>
        <v>4.902502480869936</v>
      </c>
      <c r="CW140" s="1">
        <f t="shared" ca="1" si="201"/>
        <v>1193</v>
      </c>
      <c r="CX140" s="1">
        <f t="shared" ca="1" si="202"/>
        <v>7.8671516645116429E-3</v>
      </c>
      <c r="DH140" s="1">
        <f t="shared" ca="1" si="203"/>
        <v>893</v>
      </c>
      <c r="DI140" s="1">
        <f t="shared" ca="1" si="204"/>
        <v>0.98958825651843718</v>
      </c>
      <c r="DJ140" s="1">
        <f t="shared" ca="1" si="205"/>
        <v>13</v>
      </c>
      <c r="DL140" s="1">
        <f t="shared" ca="1" si="206"/>
        <v>0.15214462438619675</v>
      </c>
      <c r="DM140" s="1">
        <f t="shared" ca="1" si="207"/>
        <v>165</v>
      </c>
      <c r="DN140" s="1">
        <f t="shared" ca="1" si="208"/>
        <v>2</v>
      </c>
    </row>
    <row r="141" spans="2:118" x14ac:dyDescent="0.25">
      <c r="B141">
        <f t="shared" ca="1" si="141"/>
        <v>806</v>
      </c>
      <c r="C141">
        <f t="shared" ca="1" si="142"/>
        <v>14</v>
      </c>
      <c r="D141">
        <f t="shared" ca="1" si="143"/>
        <v>0.21336542990595925</v>
      </c>
      <c r="F141" s="1">
        <f t="shared" ca="1" si="144"/>
        <v>39</v>
      </c>
      <c r="G141" s="1">
        <f t="shared" ca="1" si="145"/>
        <v>22</v>
      </c>
      <c r="H141" s="1">
        <f t="shared" ca="1" si="146"/>
        <v>6</v>
      </c>
      <c r="I141" s="1"/>
      <c r="J141" s="1">
        <f t="shared" ca="1" si="147"/>
        <v>14</v>
      </c>
      <c r="K141" s="1">
        <f t="shared" ca="1" si="148"/>
        <v>2.4861930944359512</v>
      </c>
      <c r="L141" s="1">
        <f t="shared" ca="1" si="149"/>
        <v>11</v>
      </c>
      <c r="M141" s="1"/>
      <c r="N141" s="1">
        <f t="shared" ca="1" si="150"/>
        <v>289</v>
      </c>
      <c r="O141" s="1">
        <f t="shared" ca="1" si="151"/>
        <v>45</v>
      </c>
      <c r="P141" s="1"/>
      <c r="Q141" s="1">
        <f t="shared" ca="1" si="152"/>
        <v>2.4841252058030303</v>
      </c>
      <c r="R141" s="1">
        <f t="shared" ca="1" si="153"/>
        <v>455</v>
      </c>
      <c r="S141" s="1"/>
      <c r="T141" s="1">
        <f t="shared" ca="1" si="154"/>
        <v>0.10637929041285708</v>
      </c>
      <c r="U141" s="1">
        <f t="shared" ca="1" si="155"/>
        <v>340</v>
      </c>
      <c r="V141" s="1">
        <f t="shared" ca="1" si="156"/>
        <v>20</v>
      </c>
      <c r="W141" s="1"/>
      <c r="X141" s="1">
        <f t="shared" ca="1" si="157"/>
        <v>7.8371764443317575</v>
      </c>
      <c r="Y141" s="1">
        <f t="shared" ca="1" si="158"/>
        <v>0.32880220412878886</v>
      </c>
      <c r="Z141" s="1">
        <f t="shared" ca="1" si="159"/>
        <v>1404</v>
      </c>
      <c r="AB141" s="1">
        <f t="shared" ca="1" si="160"/>
        <v>0.48733501476881663</v>
      </c>
      <c r="AC141" s="1">
        <f t="shared" ca="1" si="161"/>
        <v>720</v>
      </c>
      <c r="AD141" s="1">
        <f t="shared" ca="1" si="162"/>
        <v>5.1806898210093643E-3</v>
      </c>
      <c r="AE141" s="1"/>
      <c r="AF141" s="1">
        <f t="shared" ca="1" si="163"/>
        <v>0.30511842357129693</v>
      </c>
      <c r="AG141" s="1">
        <f t="shared" ca="1" si="164"/>
        <v>510</v>
      </c>
      <c r="AH141" s="1">
        <f t="shared" ca="1" si="165"/>
        <v>4.0513969807900504E-3</v>
      </c>
      <c r="AJ141" s="1">
        <f t="shared" ca="1" si="166"/>
        <v>0.84674408928301548</v>
      </c>
      <c r="AK141" s="1">
        <f t="shared" ca="1" si="167"/>
        <v>8.226569096721691E-3</v>
      </c>
      <c r="AL141" s="1"/>
      <c r="AM141" s="1">
        <f t="shared" ca="1" si="168"/>
        <v>0.13505700895530154</v>
      </c>
      <c r="AN141" s="1">
        <f t="shared" ca="1" si="169"/>
        <v>66</v>
      </c>
      <c r="AO141" s="1">
        <f t="shared" ca="1" si="170"/>
        <v>0</v>
      </c>
      <c r="AQ141" s="1">
        <f t="shared" ca="1" si="171"/>
        <v>180</v>
      </c>
      <c r="AR141" s="1">
        <f t="shared" ca="1" si="172"/>
        <v>4</v>
      </c>
      <c r="AS141" s="1">
        <f t="shared" ca="1" si="173"/>
        <v>60</v>
      </c>
      <c r="AU141" s="1">
        <f t="shared" ca="1" si="174"/>
        <v>179</v>
      </c>
      <c r="AV141" s="1">
        <f t="shared" ca="1" si="175"/>
        <v>6</v>
      </c>
      <c r="AW141" s="1">
        <f t="shared" ca="1" si="176"/>
        <v>3.9169561870686299E-2</v>
      </c>
      <c r="AY141" s="1">
        <f t="shared" ca="1" si="177"/>
        <v>1.9054223489295321</v>
      </c>
      <c r="AZ141" s="1">
        <f t="shared" ca="1" si="178"/>
        <v>114</v>
      </c>
      <c r="BA141" s="1">
        <f t="shared" ca="1" si="179"/>
        <v>2.245646310147266E-3</v>
      </c>
      <c r="BG141" s="1">
        <f t="shared" ca="1" si="180"/>
        <v>0.25223318472936146</v>
      </c>
      <c r="BH141" s="1">
        <f t="shared" ca="1" si="181"/>
        <v>0.95060235605436905</v>
      </c>
      <c r="BI141" s="1">
        <f t="shared" ca="1" si="182"/>
        <v>243</v>
      </c>
      <c r="BV141" s="1">
        <f t="shared" ca="1" si="183"/>
        <v>0.17019861722954621</v>
      </c>
      <c r="BW141" s="1">
        <f t="shared" ca="1" si="184"/>
        <v>142</v>
      </c>
      <c r="BX141" s="1">
        <f t="shared" ca="1" si="185"/>
        <v>1.1200797805271216E-3</v>
      </c>
      <c r="BY141" s="1">
        <f t="shared" ca="1" si="186"/>
        <v>4.4687851706764758E-2</v>
      </c>
      <c r="BZ141" s="1">
        <f t="shared" ca="1" si="187"/>
        <v>0.49974340234280068</v>
      </c>
      <c r="CB141" s="1">
        <f t="shared" ca="1" si="188"/>
        <v>98</v>
      </c>
      <c r="CC141" s="1">
        <f t="shared" ca="1" si="189"/>
        <v>4</v>
      </c>
      <c r="CD141" s="1">
        <f t="shared" ca="1" si="190"/>
        <v>6.2335199383645713E-2</v>
      </c>
      <c r="CE141" s="1">
        <f t="shared" ca="1" si="191"/>
        <v>0.63002357868296399</v>
      </c>
      <c r="CF141" s="1">
        <f t="shared" ca="1" si="191"/>
        <v>0.97294651954630185</v>
      </c>
      <c r="CH141" s="3">
        <f t="shared" ca="1" si="192"/>
        <v>0.43354201007518745</v>
      </c>
      <c r="CI141" s="3">
        <f t="shared" ca="1" si="193"/>
        <v>0.13313298978181645</v>
      </c>
      <c r="CJ141" s="3">
        <f t="shared" ca="1" si="194"/>
        <v>926</v>
      </c>
      <c r="CK141" s="3">
        <f t="shared" ca="1" si="195"/>
        <v>4.0225837214103071E-3</v>
      </c>
      <c r="CL141" s="3">
        <f t="shared" ca="1" si="196"/>
        <v>1</v>
      </c>
      <c r="CM141" s="3"/>
      <c r="CN141" s="1">
        <f t="shared" ca="1" si="197"/>
        <v>11.142700823417764</v>
      </c>
      <c r="CO141" s="1">
        <f t="shared" ca="1" si="198"/>
        <v>2.4577795214063065E-2</v>
      </c>
      <c r="CP141" s="1">
        <f t="shared" ca="1" si="199"/>
        <v>3</v>
      </c>
      <c r="CV141" s="1">
        <f t="shared" ca="1" si="200"/>
        <v>1.3607530448556857</v>
      </c>
      <c r="CW141" s="1">
        <f t="shared" ca="1" si="201"/>
        <v>1732</v>
      </c>
      <c r="CX141" s="1">
        <f t="shared" ca="1" si="202"/>
        <v>3.5686790603389287E-3</v>
      </c>
      <c r="DH141" s="1">
        <f t="shared" ca="1" si="203"/>
        <v>896</v>
      </c>
      <c r="DI141" s="1">
        <f t="shared" ca="1" si="204"/>
        <v>0.14622251310626513</v>
      </c>
      <c r="DJ141" s="1">
        <f t="shared" ca="1" si="205"/>
        <v>28</v>
      </c>
      <c r="DL141" s="1">
        <f t="shared" ca="1" si="206"/>
        <v>2.7304326848736377E-2</v>
      </c>
      <c r="DM141" s="1">
        <f t="shared" ca="1" si="207"/>
        <v>120</v>
      </c>
      <c r="DN141" s="1">
        <f t="shared" ca="1" si="208"/>
        <v>8</v>
      </c>
    </row>
    <row r="142" spans="2:118" x14ac:dyDescent="0.25">
      <c r="B142">
        <f t="shared" ca="1" si="141"/>
        <v>704</v>
      </c>
      <c r="C142">
        <f t="shared" ca="1" si="142"/>
        <v>3</v>
      </c>
      <c r="D142">
        <f t="shared" ca="1" si="143"/>
        <v>0.10180057185834993</v>
      </c>
      <c r="F142" s="1">
        <f t="shared" ca="1" si="144"/>
        <v>38</v>
      </c>
      <c r="G142" s="1">
        <f t="shared" ca="1" si="145"/>
        <v>5</v>
      </c>
      <c r="H142" s="1">
        <f t="shared" ca="1" si="146"/>
        <v>10</v>
      </c>
      <c r="I142" s="1"/>
      <c r="J142" s="1">
        <f t="shared" ca="1" si="147"/>
        <v>16</v>
      </c>
      <c r="K142" s="1">
        <f t="shared" ca="1" si="148"/>
        <v>2.258366525783472</v>
      </c>
      <c r="L142" s="1">
        <f t="shared" ca="1" si="149"/>
        <v>10</v>
      </c>
      <c r="M142" s="1"/>
      <c r="N142" s="1">
        <f t="shared" ca="1" si="150"/>
        <v>324</v>
      </c>
      <c r="O142" s="1">
        <f t="shared" ca="1" si="151"/>
        <v>52</v>
      </c>
      <c r="P142" s="1"/>
      <c r="Q142" s="1">
        <f t="shared" ca="1" si="152"/>
        <v>2.1972606175879577</v>
      </c>
      <c r="R142" s="1">
        <f t="shared" ca="1" si="153"/>
        <v>226</v>
      </c>
      <c r="S142" s="1"/>
      <c r="T142" s="1">
        <f t="shared" ca="1" si="154"/>
        <v>3.6092972032901918E-2</v>
      </c>
      <c r="U142" s="1">
        <f t="shared" ca="1" si="155"/>
        <v>93</v>
      </c>
      <c r="V142" s="1">
        <f t="shared" ca="1" si="156"/>
        <v>28</v>
      </c>
      <c r="W142" s="1"/>
      <c r="X142" s="1">
        <f t="shared" ca="1" si="157"/>
        <v>0.21584584772836787</v>
      </c>
      <c r="Y142" s="1">
        <f t="shared" ca="1" si="158"/>
        <v>0.70707775541849693</v>
      </c>
      <c r="Z142" s="1">
        <f t="shared" ca="1" si="159"/>
        <v>1692</v>
      </c>
      <c r="AB142" s="1">
        <f t="shared" ca="1" si="160"/>
        <v>0.11136798217112499</v>
      </c>
      <c r="AC142" s="1">
        <f t="shared" ca="1" si="161"/>
        <v>724</v>
      </c>
      <c r="AD142" s="1">
        <f t="shared" ca="1" si="162"/>
        <v>9.7210101199261788E-3</v>
      </c>
      <c r="AE142" s="1"/>
      <c r="AF142" s="1">
        <f t="shared" ca="1" si="163"/>
        <v>0.64872602180948191</v>
      </c>
      <c r="AG142" s="1">
        <f t="shared" ca="1" si="164"/>
        <v>341</v>
      </c>
      <c r="AH142" s="1">
        <f t="shared" ca="1" si="165"/>
        <v>4.4663626327598998E-3</v>
      </c>
      <c r="AJ142" s="1">
        <f t="shared" ca="1" si="166"/>
        <v>0.17344529786075691</v>
      </c>
      <c r="AK142" s="1">
        <f t="shared" ca="1" si="167"/>
        <v>8.0335488535388869E-3</v>
      </c>
      <c r="AL142" s="1"/>
      <c r="AM142" s="1">
        <f t="shared" ca="1" si="168"/>
        <v>1.1216551522350409E-2</v>
      </c>
      <c r="AN142" s="1">
        <f t="shared" ca="1" si="169"/>
        <v>68</v>
      </c>
      <c r="AO142" s="1">
        <f t="shared" ca="1" si="170"/>
        <v>12</v>
      </c>
      <c r="AQ142" s="1">
        <f t="shared" ca="1" si="171"/>
        <v>55</v>
      </c>
      <c r="AR142" s="1">
        <f t="shared" ca="1" si="172"/>
        <v>4</v>
      </c>
      <c r="AS142" s="1">
        <f t="shared" ca="1" si="173"/>
        <v>60</v>
      </c>
      <c r="AU142" s="1">
        <f t="shared" ca="1" si="174"/>
        <v>120</v>
      </c>
      <c r="AV142" s="1">
        <f t="shared" ca="1" si="175"/>
        <v>7</v>
      </c>
      <c r="AW142" s="1">
        <f t="shared" ca="1" si="176"/>
        <v>3.7741856973911365E-2</v>
      </c>
      <c r="AY142" s="1">
        <f t="shared" ca="1" si="177"/>
        <v>1.8533604907261567</v>
      </c>
      <c r="AZ142" s="1">
        <f t="shared" ca="1" si="178"/>
        <v>366</v>
      </c>
      <c r="BA142" s="1">
        <f t="shared" ca="1" si="179"/>
        <v>7.8628572434207775E-3</v>
      </c>
      <c r="BG142" s="1">
        <f t="shared" ca="1" si="180"/>
        <v>0.72477025609917389</v>
      </c>
      <c r="BH142" s="1">
        <f t="shared" ca="1" si="181"/>
        <v>0.78371748409396069</v>
      </c>
      <c r="BI142" s="1">
        <f t="shared" ca="1" si="182"/>
        <v>350</v>
      </c>
      <c r="BV142" s="1">
        <f t="shared" ca="1" si="183"/>
        <v>0.78516755376111924</v>
      </c>
      <c r="BW142" s="1">
        <f t="shared" ca="1" si="184"/>
        <v>226</v>
      </c>
      <c r="BX142" s="1">
        <f t="shared" ca="1" si="185"/>
        <v>9.0424893906386021E-3</v>
      </c>
      <c r="BY142" s="1">
        <f t="shared" ca="1" si="186"/>
        <v>7.6430612698668604E-2</v>
      </c>
      <c r="BZ142" s="1">
        <f t="shared" ca="1" si="187"/>
        <v>0.70770984188385266</v>
      </c>
      <c r="CB142" s="1">
        <f t="shared" ca="1" si="188"/>
        <v>483</v>
      </c>
      <c r="CC142" s="1">
        <f t="shared" ca="1" si="189"/>
        <v>6</v>
      </c>
      <c r="CD142" s="1">
        <f t="shared" ca="1" si="190"/>
        <v>0.25815950811512683</v>
      </c>
      <c r="CE142" s="1">
        <f t="shared" ca="1" si="191"/>
        <v>0.97086570996198718</v>
      </c>
      <c r="CF142" s="1">
        <f t="shared" ca="1" si="191"/>
        <v>0.5987096483858716</v>
      </c>
      <c r="CH142" s="3">
        <f t="shared" ca="1" si="192"/>
        <v>0.58118800513416979</v>
      </c>
      <c r="CI142" s="3">
        <f t="shared" ca="1" si="193"/>
        <v>0.25897376029056624</v>
      </c>
      <c r="CJ142" s="3">
        <f t="shared" ca="1" si="194"/>
        <v>353</v>
      </c>
      <c r="CK142" s="3">
        <f t="shared" ca="1" si="195"/>
        <v>2.5976149876004253E-3</v>
      </c>
      <c r="CL142" s="3">
        <f t="shared" ca="1" si="196"/>
        <v>0</v>
      </c>
      <c r="CM142" s="3"/>
      <c r="CN142" s="1">
        <f t="shared" ca="1" si="197"/>
        <v>11.340296471261995</v>
      </c>
      <c r="CO142" s="1">
        <f t="shared" ca="1" si="198"/>
        <v>0.14126616816129228</v>
      </c>
      <c r="CP142" s="1">
        <f t="shared" ca="1" si="199"/>
        <v>4</v>
      </c>
      <c r="CV142" s="1">
        <f t="shared" ca="1" si="200"/>
        <v>3.2530254116367572</v>
      </c>
      <c r="CW142" s="1">
        <f t="shared" ca="1" si="201"/>
        <v>1017</v>
      </c>
      <c r="CX142" s="1">
        <f t="shared" ca="1" si="202"/>
        <v>4.7603553939509838E-3</v>
      </c>
      <c r="DH142" s="1">
        <f t="shared" ca="1" si="203"/>
        <v>705</v>
      </c>
      <c r="DI142" s="1">
        <f t="shared" ca="1" si="204"/>
        <v>0.33943779912028166</v>
      </c>
      <c r="DJ142" s="1">
        <f t="shared" ca="1" si="205"/>
        <v>12</v>
      </c>
      <c r="DL142" s="1">
        <f t="shared" ca="1" si="206"/>
        <v>2.5869762374379136E-2</v>
      </c>
      <c r="DM142" s="1">
        <f t="shared" ca="1" si="207"/>
        <v>131</v>
      </c>
      <c r="DN142" s="1">
        <f t="shared" ca="1" si="208"/>
        <v>3</v>
      </c>
    </row>
    <row r="143" spans="2:118" x14ac:dyDescent="0.25">
      <c r="B143">
        <f t="shared" ca="1" si="141"/>
        <v>693</v>
      </c>
      <c r="C143">
        <f t="shared" ca="1" si="142"/>
        <v>16</v>
      </c>
      <c r="D143">
        <f t="shared" ca="1" si="143"/>
        <v>2.3390401211735405E-2</v>
      </c>
      <c r="F143" s="1">
        <f t="shared" ca="1" si="144"/>
        <v>23</v>
      </c>
      <c r="G143" s="1">
        <f t="shared" ca="1" si="145"/>
        <v>23</v>
      </c>
      <c r="H143" s="1">
        <f t="shared" ca="1" si="146"/>
        <v>14</v>
      </c>
      <c r="I143" s="1"/>
      <c r="J143" s="1">
        <f t="shared" ca="1" si="147"/>
        <v>17</v>
      </c>
      <c r="K143" s="1">
        <f t="shared" ca="1" si="148"/>
        <v>2.5300171378784984</v>
      </c>
      <c r="L143" s="1">
        <f t="shared" ca="1" si="149"/>
        <v>6</v>
      </c>
      <c r="M143" s="1"/>
      <c r="N143" s="1">
        <f t="shared" ca="1" si="150"/>
        <v>705</v>
      </c>
      <c r="O143" s="1">
        <f t="shared" ca="1" si="151"/>
        <v>18</v>
      </c>
      <c r="P143" s="1"/>
      <c r="Q143" s="1">
        <f t="shared" ca="1" si="152"/>
        <v>0.8486376924390876</v>
      </c>
      <c r="R143" s="1">
        <f t="shared" ca="1" si="153"/>
        <v>799</v>
      </c>
      <c r="S143" s="1"/>
      <c r="T143" s="1">
        <f t="shared" ca="1" si="154"/>
        <v>0.10492809245977612</v>
      </c>
      <c r="U143" s="1">
        <f t="shared" ca="1" si="155"/>
        <v>153</v>
      </c>
      <c r="V143" s="1">
        <f t="shared" ca="1" si="156"/>
        <v>40</v>
      </c>
      <c r="W143" s="1"/>
      <c r="X143" s="1">
        <f t="shared" ca="1" si="157"/>
        <v>4.778995951418052</v>
      </c>
      <c r="Y143" s="1">
        <f t="shared" ca="1" si="158"/>
        <v>0.60559794481148521</v>
      </c>
      <c r="Z143" s="1">
        <f t="shared" ca="1" si="159"/>
        <v>1401</v>
      </c>
      <c r="AB143" s="1">
        <f t="shared" ca="1" si="160"/>
        <v>8.8311717342478308E-2</v>
      </c>
      <c r="AC143" s="1">
        <f t="shared" ca="1" si="161"/>
        <v>981</v>
      </c>
      <c r="AD143" s="1">
        <f t="shared" ca="1" si="162"/>
        <v>9.3600031051895467E-3</v>
      </c>
      <c r="AE143" s="1"/>
      <c r="AF143" s="1">
        <f t="shared" ca="1" si="163"/>
        <v>0.24483359385624778</v>
      </c>
      <c r="AG143" s="1">
        <f t="shared" ca="1" si="164"/>
        <v>741</v>
      </c>
      <c r="AH143" s="1">
        <f t="shared" ca="1" si="165"/>
        <v>9.4790840763711356E-3</v>
      </c>
      <c r="AJ143" s="1">
        <f t="shared" ca="1" si="166"/>
        <v>0.29274407127146895</v>
      </c>
      <c r="AK143" s="1">
        <f t="shared" ca="1" si="167"/>
        <v>2.5149287256886876E-3</v>
      </c>
      <c r="AL143" s="1"/>
      <c r="AM143" s="1">
        <f t="shared" ca="1" si="168"/>
        <v>0.1965105146617375</v>
      </c>
      <c r="AN143" s="1">
        <f t="shared" ca="1" si="169"/>
        <v>72</v>
      </c>
      <c r="AO143" s="1">
        <f t="shared" ca="1" si="170"/>
        <v>19</v>
      </c>
      <c r="AQ143" s="1">
        <f t="shared" ca="1" si="171"/>
        <v>151</v>
      </c>
      <c r="AR143" s="1">
        <f t="shared" ca="1" si="172"/>
        <v>5</v>
      </c>
      <c r="AS143" s="1">
        <f t="shared" ca="1" si="173"/>
        <v>19</v>
      </c>
      <c r="AU143" s="1">
        <f t="shared" ca="1" si="174"/>
        <v>348</v>
      </c>
      <c r="AV143" s="1">
        <f t="shared" ca="1" si="175"/>
        <v>4</v>
      </c>
      <c r="AW143" s="1">
        <f t="shared" ca="1" si="176"/>
        <v>0.15322568837745215</v>
      </c>
      <c r="AY143" s="1">
        <f t="shared" ca="1" si="177"/>
        <v>1.828276338737127</v>
      </c>
      <c r="AZ143" s="1">
        <f t="shared" ca="1" si="178"/>
        <v>346</v>
      </c>
      <c r="BA143" s="1">
        <f t="shared" ca="1" si="179"/>
        <v>9.2989323614673844E-4</v>
      </c>
      <c r="BG143" s="1">
        <f t="shared" ca="1" si="180"/>
        <v>0.72007874508084324</v>
      </c>
      <c r="BH143" s="1">
        <f t="shared" ca="1" si="181"/>
        <v>0.79280912922756319</v>
      </c>
      <c r="BI143" s="1">
        <f t="shared" ca="1" si="182"/>
        <v>689</v>
      </c>
      <c r="BV143" s="1">
        <f t="shared" ca="1" si="183"/>
        <v>0.85526977984577324</v>
      </c>
      <c r="BW143" s="1">
        <f t="shared" ca="1" si="184"/>
        <v>443</v>
      </c>
      <c r="BX143" s="1">
        <f t="shared" ca="1" si="185"/>
        <v>3.0781329807334865E-3</v>
      </c>
      <c r="BY143" s="1">
        <f t="shared" ca="1" si="186"/>
        <v>3.1691915415627943E-2</v>
      </c>
      <c r="BZ143" s="1">
        <f t="shared" ca="1" si="187"/>
        <v>0.35118419444252058</v>
      </c>
      <c r="CB143" s="1">
        <f t="shared" ca="1" si="188"/>
        <v>401</v>
      </c>
      <c r="CC143" s="1">
        <f t="shared" ca="1" si="189"/>
        <v>15</v>
      </c>
      <c r="CD143" s="1">
        <f t="shared" ca="1" si="190"/>
        <v>0.29072026519865801</v>
      </c>
      <c r="CE143" s="1">
        <f t="shared" ca="1" si="191"/>
        <v>0.7883554420668617</v>
      </c>
      <c r="CF143" s="1">
        <f t="shared" ca="1" si="191"/>
        <v>0.84363605799118657</v>
      </c>
      <c r="CH143" s="3">
        <f t="shared" ca="1" si="192"/>
        <v>0.81029852479054287</v>
      </c>
      <c r="CI143" s="3">
        <f t="shared" ca="1" si="193"/>
        <v>0.2211262596403383</v>
      </c>
      <c r="CJ143" s="3">
        <f t="shared" ca="1" si="194"/>
        <v>1874</v>
      </c>
      <c r="CK143" s="3">
        <f t="shared" ca="1" si="195"/>
        <v>8.9033181541653007E-3</v>
      </c>
      <c r="CL143" s="3">
        <f t="shared" ca="1" si="196"/>
        <v>1</v>
      </c>
      <c r="CM143" s="3"/>
      <c r="CN143" s="1">
        <f t="shared" ca="1" si="197"/>
        <v>14.128345154581829</v>
      </c>
      <c r="CO143" s="1">
        <f t="shared" ca="1" si="198"/>
        <v>0.29726512598532739</v>
      </c>
      <c r="CP143" s="1">
        <f t="shared" ca="1" si="199"/>
        <v>5</v>
      </c>
      <c r="CV143" s="1">
        <f t="shared" ca="1" si="200"/>
        <v>4.5063266146303764</v>
      </c>
      <c r="CW143" s="1">
        <f t="shared" ca="1" si="201"/>
        <v>1816</v>
      </c>
      <c r="CX143" s="1">
        <f t="shared" ca="1" si="202"/>
        <v>1.9170037928801177E-3</v>
      </c>
      <c r="DH143" s="1">
        <f t="shared" ca="1" si="203"/>
        <v>145</v>
      </c>
      <c r="DI143" s="1">
        <f t="shared" ca="1" si="204"/>
        <v>0.70851341170898641</v>
      </c>
      <c r="DJ143" s="1">
        <f t="shared" ca="1" si="205"/>
        <v>12</v>
      </c>
      <c r="DL143" s="1">
        <f t="shared" ca="1" si="206"/>
        <v>8.9521351983855149E-2</v>
      </c>
      <c r="DM143" s="1">
        <f t="shared" ca="1" si="207"/>
        <v>76</v>
      </c>
      <c r="DN143" s="1">
        <f t="shared" ca="1" si="208"/>
        <v>3</v>
      </c>
    </row>
    <row r="144" spans="2:118" x14ac:dyDescent="0.25">
      <c r="B144">
        <f t="shared" ca="1" si="141"/>
        <v>494</v>
      </c>
      <c r="C144">
        <f t="shared" ca="1" si="142"/>
        <v>30</v>
      </c>
      <c r="D144">
        <f t="shared" ca="1" si="143"/>
        <v>1.32982457187841E-2</v>
      </c>
      <c r="F144" s="1">
        <f t="shared" ca="1" si="144"/>
        <v>16</v>
      </c>
      <c r="G144" s="1">
        <f t="shared" ca="1" si="145"/>
        <v>19</v>
      </c>
      <c r="H144" s="1">
        <f t="shared" ca="1" si="146"/>
        <v>8</v>
      </c>
      <c r="I144" s="1"/>
      <c r="J144" s="1">
        <f t="shared" ca="1" si="147"/>
        <v>12</v>
      </c>
      <c r="K144" s="1">
        <f t="shared" ca="1" si="148"/>
        <v>2.5402112436869979</v>
      </c>
      <c r="L144" s="1">
        <f t="shared" ca="1" si="149"/>
        <v>15</v>
      </c>
      <c r="M144" s="1"/>
      <c r="N144" s="1">
        <f t="shared" ca="1" si="150"/>
        <v>702</v>
      </c>
      <c r="O144" s="1">
        <f t="shared" ca="1" si="151"/>
        <v>40</v>
      </c>
      <c r="P144" s="1"/>
      <c r="Q144" s="1">
        <f t="shared" ca="1" si="152"/>
        <v>4.0842192684348575</v>
      </c>
      <c r="R144" s="1">
        <f t="shared" ca="1" si="153"/>
        <v>348</v>
      </c>
      <c r="S144" s="1"/>
      <c r="T144" s="1">
        <f t="shared" ca="1" si="154"/>
        <v>0.13363553945826348</v>
      </c>
      <c r="U144" s="1">
        <f t="shared" ca="1" si="155"/>
        <v>399</v>
      </c>
      <c r="V144" s="1">
        <f t="shared" ca="1" si="156"/>
        <v>23</v>
      </c>
      <c r="W144" s="1"/>
      <c r="X144" s="1">
        <f t="shared" ca="1" si="157"/>
        <v>1.7262060509335402</v>
      </c>
      <c r="Y144" s="1">
        <f t="shared" ca="1" si="158"/>
        <v>9.5737847402764475E-2</v>
      </c>
      <c r="Z144" s="1">
        <f t="shared" ca="1" si="159"/>
        <v>1974</v>
      </c>
      <c r="AB144" s="1">
        <f t="shared" ca="1" si="160"/>
        <v>0.19547152607611723</v>
      </c>
      <c r="AC144" s="1">
        <f t="shared" ca="1" si="161"/>
        <v>492</v>
      </c>
      <c r="AD144" s="1">
        <f t="shared" ca="1" si="162"/>
        <v>8.6544627185900658E-3</v>
      </c>
      <c r="AE144" s="1"/>
      <c r="AF144" s="1">
        <f t="shared" ca="1" si="163"/>
        <v>0.8579642349464659</v>
      </c>
      <c r="AG144" s="1">
        <f t="shared" ca="1" si="164"/>
        <v>921</v>
      </c>
      <c r="AH144" s="1">
        <f t="shared" ca="1" si="165"/>
        <v>7.5728271019024239E-3</v>
      </c>
      <c r="AJ144" s="1">
        <f t="shared" ca="1" si="166"/>
        <v>0.36413570081564994</v>
      </c>
      <c r="AK144" s="1">
        <f t="shared" ca="1" si="167"/>
        <v>4.3392643972016923E-3</v>
      </c>
      <c r="AL144" s="1"/>
      <c r="AM144" s="1">
        <f t="shared" ca="1" si="168"/>
        <v>0.16857686826760554</v>
      </c>
      <c r="AN144" s="1">
        <f t="shared" ca="1" si="169"/>
        <v>35</v>
      </c>
      <c r="AO144" s="1">
        <f t="shared" ca="1" si="170"/>
        <v>17</v>
      </c>
      <c r="AQ144" s="1">
        <f t="shared" ca="1" si="171"/>
        <v>134</v>
      </c>
      <c r="AR144" s="1">
        <f t="shared" ca="1" si="172"/>
        <v>1</v>
      </c>
      <c r="AS144" s="1">
        <f t="shared" ca="1" si="173"/>
        <v>98</v>
      </c>
      <c r="AU144" s="1">
        <f t="shared" ca="1" si="174"/>
        <v>389</v>
      </c>
      <c r="AV144" s="1">
        <f t="shared" ca="1" si="175"/>
        <v>10</v>
      </c>
      <c r="AW144" s="1">
        <f t="shared" ca="1" si="176"/>
        <v>0.12002697760863708</v>
      </c>
      <c r="AY144" s="1">
        <f t="shared" ca="1" si="177"/>
        <v>1.731177093395331</v>
      </c>
      <c r="AZ144" s="1">
        <f t="shared" ca="1" si="178"/>
        <v>284</v>
      </c>
      <c r="BA144" s="1">
        <f t="shared" ca="1" si="179"/>
        <v>8.3926115573989182E-3</v>
      </c>
      <c r="BG144" s="1">
        <f t="shared" ca="1" si="180"/>
        <v>0.17697034556462363</v>
      </c>
      <c r="BH144" s="1">
        <f t="shared" ca="1" si="181"/>
        <v>0.29731511575483505</v>
      </c>
      <c r="BI144" s="1">
        <f t="shared" ca="1" si="182"/>
        <v>524</v>
      </c>
      <c r="BV144" s="1">
        <f t="shared" ca="1" si="183"/>
        <v>0.55894704551301932</v>
      </c>
      <c r="BW144" s="1">
        <f t="shared" ca="1" si="184"/>
        <v>442</v>
      </c>
      <c r="BX144" s="1">
        <f t="shared" ca="1" si="185"/>
        <v>2.6311599803364566E-3</v>
      </c>
      <c r="BY144" s="1">
        <f t="shared" ca="1" si="186"/>
        <v>9.5331774722335783E-2</v>
      </c>
      <c r="BZ144" s="1">
        <f t="shared" ca="1" si="187"/>
        <v>0.40223856016056703</v>
      </c>
      <c r="CB144" s="1">
        <f t="shared" ca="1" si="188"/>
        <v>84</v>
      </c>
      <c r="CC144" s="1">
        <f t="shared" ca="1" si="189"/>
        <v>12</v>
      </c>
      <c r="CD144" s="1">
        <f t="shared" ca="1" si="190"/>
        <v>0.21212937562317807</v>
      </c>
      <c r="CE144" s="1">
        <f t="shared" ca="1" si="191"/>
        <v>0.53859341050308718</v>
      </c>
      <c r="CF144" s="1">
        <f t="shared" ca="1" si="191"/>
        <v>0.91364367645606959</v>
      </c>
      <c r="CH144" s="3">
        <f t="shared" ca="1" si="192"/>
        <v>0.17369624424795538</v>
      </c>
      <c r="CI144" s="3">
        <f t="shared" ca="1" si="193"/>
        <v>0.26827479560867407</v>
      </c>
      <c r="CJ144" s="3">
        <f t="shared" ca="1" si="194"/>
        <v>1406</v>
      </c>
      <c r="CK144" s="3">
        <f t="shared" ca="1" si="195"/>
        <v>7.3850816875388123E-3</v>
      </c>
      <c r="CL144" s="3">
        <f t="shared" ca="1" si="196"/>
        <v>0</v>
      </c>
      <c r="CM144" s="3"/>
      <c r="CN144" s="1">
        <f t="shared" ca="1" si="197"/>
        <v>15.288614616030024</v>
      </c>
      <c r="CO144" s="1">
        <f t="shared" ca="1" si="198"/>
        <v>0.45092735461540051</v>
      </c>
      <c r="CP144" s="1">
        <f t="shared" ca="1" si="199"/>
        <v>5</v>
      </c>
      <c r="CV144" s="1">
        <f t="shared" ca="1" si="200"/>
        <v>8.372372871741387</v>
      </c>
      <c r="CW144" s="1">
        <f t="shared" ca="1" si="201"/>
        <v>1142</v>
      </c>
      <c r="CX144" s="1">
        <f t="shared" ca="1" si="202"/>
        <v>8.4101431679912235E-3</v>
      </c>
      <c r="DH144" s="1">
        <f t="shared" ca="1" si="203"/>
        <v>396</v>
      </c>
      <c r="DI144" s="1">
        <f t="shared" ca="1" si="204"/>
        <v>0.28085423176884156</v>
      </c>
      <c r="DJ144" s="1">
        <f t="shared" ca="1" si="205"/>
        <v>13</v>
      </c>
      <c r="DL144" s="1">
        <f t="shared" ca="1" si="206"/>
        <v>6.703181386051893E-2</v>
      </c>
      <c r="DM144" s="1">
        <f t="shared" ca="1" si="207"/>
        <v>113</v>
      </c>
      <c r="DN144" s="1">
        <f t="shared" ca="1" si="208"/>
        <v>9</v>
      </c>
    </row>
    <row r="145" spans="2:118" x14ac:dyDescent="0.25">
      <c r="B145">
        <f t="shared" ca="1" si="141"/>
        <v>97</v>
      </c>
      <c r="C145">
        <f t="shared" ca="1" si="142"/>
        <v>9</v>
      </c>
      <c r="D145">
        <f t="shared" ca="1" si="143"/>
        <v>6.2047366369598289E-2</v>
      </c>
      <c r="F145" s="1">
        <f t="shared" ca="1" si="144"/>
        <v>11</v>
      </c>
      <c r="G145" s="1">
        <f t="shared" ca="1" si="145"/>
        <v>15</v>
      </c>
      <c r="H145" s="1">
        <f t="shared" ca="1" si="146"/>
        <v>5</v>
      </c>
      <c r="I145" s="1"/>
      <c r="J145" s="1">
        <f t="shared" ca="1" si="147"/>
        <v>19</v>
      </c>
      <c r="K145" s="1">
        <f t="shared" ca="1" si="148"/>
        <v>1.1516381087714793</v>
      </c>
      <c r="L145" s="1">
        <f t="shared" ca="1" si="149"/>
        <v>20</v>
      </c>
      <c r="M145" s="1"/>
      <c r="N145" s="1">
        <f t="shared" ca="1" si="150"/>
        <v>891</v>
      </c>
      <c r="O145" s="1">
        <f t="shared" ca="1" si="151"/>
        <v>45</v>
      </c>
      <c r="P145" s="1"/>
      <c r="Q145" s="1">
        <f t="shared" ca="1" si="152"/>
        <v>2.9979943235630686</v>
      </c>
      <c r="R145" s="1">
        <f t="shared" ca="1" si="153"/>
        <v>1089</v>
      </c>
      <c r="S145" s="1"/>
      <c r="T145" s="1">
        <f t="shared" ca="1" si="154"/>
        <v>0.17917505767454039</v>
      </c>
      <c r="U145" s="1">
        <f t="shared" ca="1" si="155"/>
        <v>280</v>
      </c>
      <c r="V145" s="1">
        <f t="shared" ca="1" si="156"/>
        <v>14</v>
      </c>
      <c r="W145" s="1"/>
      <c r="X145" s="1">
        <f t="shared" ca="1" si="157"/>
        <v>4.4710811518866613</v>
      </c>
      <c r="Y145" s="1">
        <f t="shared" ca="1" si="158"/>
        <v>0.8335053548989747</v>
      </c>
      <c r="Z145" s="1">
        <f t="shared" ca="1" si="159"/>
        <v>1001</v>
      </c>
      <c r="AB145" s="1">
        <f t="shared" ca="1" si="160"/>
        <v>0.42424695824373598</v>
      </c>
      <c r="AC145" s="1">
        <f t="shared" ca="1" si="161"/>
        <v>806</v>
      </c>
      <c r="AD145" s="1">
        <f t="shared" ca="1" si="162"/>
        <v>2.4109736971567471E-3</v>
      </c>
      <c r="AE145" s="1"/>
      <c r="AF145" s="1">
        <f t="shared" ca="1" si="163"/>
        <v>0.4296349364085581</v>
      </c>
      <c r="AG145" s="1">
        <f t="shared" ca="1" si="164"/>
        <v>480</v>
      </c>
      <c r="AH145" s="1">
        <f t="shared" ca="1" si="165"/>
        <v>7.6971146858963672E-3</v>
      </c>
      <c r="AJ145" s="1">
        <f t="shared" ca="1" si="166"/>
        <v>0.68909361703745131</v>
      </c>
      <c r="AK145" s="1">
        <f t="shared" ca="1" si="167"/>
        <v>7.0301786618396133E-3</v>
      </c>
      <c r="AL145" s="1"/>
      <c r="AM145" s="1">
        <f t="shared" ca="1" si="168"/>
        <v>3.4430089904357274E-2</v>
      </c>
      <c r="AN145" s="1">
        <f t="shared" ca="1" si="169"/>
        <v>63</v>
      </c>
      <c r="AO145" s="1">
        <f t="shared" ca="1" si="170"/>
        <v>12</v>
      </c>
      <c r="AQ145" s="1">
        <f t="shared" ca="1" si="171"/>
        <v>135</v>
      </c>
      <c r="AR145" s="1">
        <f t="shared" ca="1" si="172"/>
        <v>2</v>
      </c>
      <c r="AS145" s="1">
        <f t="shared" ca="1" si="173"/>
        <v>23</v>
      </c>
      <c r="AU145" s="1">
        <f t="shared" ca="1" si="174"/>
        <v>160</v>
      </c>
      <c r="AV145" s="1">
        <f t="shared" ca="1" si="175"/>
        <v>4</v>
      </c>
      <c r="AW145" s="1">
        <f t="shared" ca="1" si="176"/>
        <v>8.1090566326062624E-2</v>
      </c>
      <c r="AY145" s="1">
        <f t="shared" ca="1" si="177"/>
        <v>1.4094067140289455</v>
      </c>
      <c r="AZ145" s="1">
        <f t="shared" ca="1" si="178"/>
        <v>91</v>
      </c>
      <c r="BA145" s="1">
        <f t="shared" ca="1" si="179"/>
        <v>1.7527733894153875E-3</v>
      </c>
      <c r="BG145" s="1">
        <f t="shared" ca="1" si="180"/>
        <v>0.35223100877442526</v>
      </c>
      <c r="BH145" s="1">
        <f t="shared" ca="1" si="181"/>
        <v>0.83495090439354014</v>
      </c>
      <c r="BI145" s="1">
        <f t="shared" ca="1" si="182"/>
        <v>446</v>
      </c>
      <c r="BV145" s="1">
        <f t="shared" ca="1" si="183"/>
        <v>0.34248405132364085</v>
      </c>
      <c r="BW145" s="1">
        <f t="shared" ca="1" si="184"/>
        <v>887</v>
      </c>
      <c r="BX145" s="1">
        <f t="shared" ca="1" si="185"/>
        <v>5.9071197564388132E-3</v>
      </c>
      <c r="BY145" s="1">
        <f t="shared" ca="1" si="186"/>
        <v>2.0581745760400508E-2</v>
      </c>
      <c r="BZ145" s="1">
        <f t="shared" ca="1" si="187"/>
        <v>0.66363407315262601</v>
      </c>
      <c r="CB145" s="1">
        <f t="shared" ca="1" si="188"/>
        <v>240</v>
      </c>
      <c r="CC145" s="1">
        <f t="shared" ca="1" si="189"/>
        <v>12</v>
      </c>
      <c r="CD145" s="1">
        <f t="shared" ca="1" si="190"/>
        <v>0.21646177201252689</v>
      </c>
      <c r="CE145" s="1">
        <f t="shared" ca="1" si="191"/>
        <v>0.55738157185643078</v>
      </c>
      <c r="CF145" s="1">
        <f t="shared" ca="1" si="191"/>
        <v>0.55530830379634621</v>
      </c>
      <c r="CH145" s="3">
        <f t="shared" ca="1" si="192"/>
        <v>0.18976855782210214</v>
      </c>
      <c r="CI145" s="3">
        <f t="shared" ca="1" si="193"/>
        <v>0.29838521869917844</v>
      </c>
      <c r="CJ145" s="3">
        <f t="shared" ca="1" si="194"/>
        <v>823</v>
      </c>
      <c r="CK145" s="3">
        <f t="shared" ca="1" si="195"/>
        <v>5.1946937156734973E-3</v>
      </c>
      <c r="CL145" s="3">
        <f t="shared" ca="1" si="196"/>
        <v>1</v>
      </c>
      <c r="CM145" s="3"/>
      <c r="CN145" s="1">
        <f t="shared" ca="1" si="197"/>
        <v>2.9463742770953472</v>
      </c>
      <c r="CO145" s="1">
        <f t="shared" ca="1" si="198"/>
        <v>0.29214568962239396</v>
      </c>
      <c r="CP145" s="1">
        <f t="shared" ca="1" si="199"/>
        <v>1</v>
      </c>
      <c r="CV145" s="1">
        <f t="shared" ca="1" si="200"/>
        <v>5.2155696884433489</v>
      </c>
      <c r="CW145" s="1">
        <f t="shared" ca="1" si="201"/>
        <v>436</v>
      </c>
      <c r="CX145" s="1">
        <f t="shared" ca="1" si="202"/>
        <v>2.9107183847779231E-3</v>
      </c>
      <c r="DH145" s="1">
        <f t="shared" ca="1" si="203"/>
        <v>95</v>
      </c>
      <c r="DI145" s="1">
        <f t="shared" ca="1" si="204"/>
        <v>9.7917809280022416E-2</v>
      </c>
      <c r="DJ145" s="1">
        <f t="shared" ca="1" si="205"/>
        <v>6</v>
      </c>
      <c r="DL145" s="1">
        <f t="shared" ca="1" si="206"/>
        <v>0.10266328076745138</v>
      </c>
      <c r="DM145" s="1">
        <f t="shared" ca="1" si="207"/>
        <v>99</v>
      </c>
      <c r="DN145" s="1">
        <f t="shared" ca="1" si="208"/>
        <v>4</v>
      </c>
    </row>
    <row r="146" spans="2:118" x14ac:dyDescent="0.25">
      <c r="B146">
        <f t="shared" ca="1" si="141"/>
        <v>849</v>
      </c>
      <c r="C146">
        <f t="shared" ca="1" si="142"/>
        <v>5</v>
      </c>
      <c r="D146">
        <f t="shared" ca="1" si="143"/>
        <v>0.19343858125850322</v>
      </c>
      <c r="F146" s="1">
        <f t="shared" ca="1" si="144"/>
        <v>23</v>
      </c>
      <c r="G146" s="1">
        <f t="shared" ca="1" si="145"/>
        <v>20</v>
      </c>
      <c r="H146" s="1">
        <f t="shared" ca="1" si="146"/>
        <v>6</v>
      </c>
      <c r="I146" s="1"/>
      <c r="J146" s="1">
        <f t="shared" ca="1" si="147"/>
        <v>7</v>
      </c>
      <c r="K146" s="1">
        <f t="shared" ca="1" si="148"/>
        <v>2.2317028821228018</v>
      </c>
      <c r="L146" s="1">
        <f t="shared" ca="1" si="149"/>
        <v>27</v>
      </c>
      <c r="M146" s="1"/>
      <c r="N146" s="1">
        <f t="shared" ca="1" si="150"/>
        <v>135</v>
      </c>
      <c r="O146" s="1">
        <f t="shared" ca="1" si="151"/>
        <v>32</v>
      </c>
      <c r="P146" s="1"/>
      <c r="Q146" s="1">
        <f t="shared" ca="1" si="152"/>
        <v>3.5585625740048963</v>
      </c>
      <c r="R146" s="1">
        <f t="shared" ca="1" si="153"/>
        <v>1028</v>
      </c>
      <c r="S146" s="1"/>
      <c r="T146" s="1">
        <f t="shared" ca="1" si="154"/>
        <v>0.19208925811382274</v>
      </c>
      <c r="U146" s="1">
        <f t="shared" ca="1" si="155"/>
        <v>443</v>
      </c>
      <c r="V146" s="1">
        <f t="shared" ca="1" si="156"/>
        <v>17</v>
      </c>
      <c r="W146" s="1"/>
      <c r="X146" s="1">
        <f t="shared" ca="1" si="157"/>
        <v>8.6877448647268913</v>
      </c>
      <c r="Y146" s="1">
        <f t="shared" ca="1" si="158"/>
        <v>0.95770633403216066</v>
      </c>
      <c r="Z146" s="1">
        <f t="shared" ca="1" si="159"/>
        <v>1624</v>
      </c>
      <c r="AB146" s="1">
        <f t="shared" ca="1" si="160"/>
        <v>0.14160503818086212</v>
      </c>
      <c r="AC146" s="1">
        <f t="shared" ca="1" si="161"/>
        <v>115</v>
      </c>
      <c r="AD146" s="1">
        <f t="shared" ca="1" si="162"/>
        <v>2.508936430873679E-3</v>
      </c>
      <c r="AE146" s="1"/>
      <c r="AF146" s="1">
        <f t="shared" ca="1" si="163"/>
        <v>0.89722362551096224</v>
      </c>
      <c r="AG146" s="1">
        <f t="shared" ca="1" si="164"/>
        <v>773</v>
      </c>
      <c r="AH146" s="1">
        <f t="shared" ca="1" si="165"/>
        <v>8.3749164817605078E-3</v>
      </c>
      <c r="AJ146" s="1">
        <f t="shared" ca="1" si="166"/>
        <v>0.79351827716410361</v>
      </c>
      <c r="AK146" s="1">
        <f t="shared" ca="1" si="167"/>
        <v>6.0785574714573298E-3</v>
      </c>
      <c r="AL146" s="1"/>
      <c r="AM146" s="1">
        <f t="shared" ca="1" si="168"/>
        <v>5.9533988307347484E-2</v>
      </c>
      <c r="AN146" s="1">
        <f t="shared" ca="1" si="169"/>
        <v>15</v>
      </c>
      <c r="AO146" s="1">
        <f t="shared" ca="1" si="170"/>
        <v>12</v>
      </c>
      <c r="AQ146" s="1">
        <f t="shared" ca="1" si="171"/>
        <v>74</v>
      </c>
      <c r="AR146" s="1">
        <f t="shared" ca="1" si="172"/>
        <v>9</v>
      </c>
      <c r="AS146" s="1">
        <f t="shared" ca="1" si="173"/>
        <v>96</v>
      </c>
      <c r="AU146" s="1">
        <f t="shared" ca="1" si="174"/>
        <v>73</v>
      </c>
      <c r="AV146" s="1">
        <f t="shared" ca="1" si="175"/>
        <v>6</v>
      </c>
      <c r="AW146" s="1">
        <f t="shared" ca="1" si="176"/>
        <v>1.2527500801903898E-2</v>
      </c>
      <c r="AY146" s="1">
        <f t="shared" ca="1" si="177"/>
        <v>1.4577535505809065</v>
      </c>
      <c r="AZ146" s="1">
        <f t="shared" ca="1" si="178"/>
        <v>441</v>
      </c>
      <c r="BA146" s="1">
        <f t="shared" ca="1" si="179"/>
        <v>7.5908518649646746E-3</v>
      </c>
      <c r="BG146" s="1">
        <f t="shared" ca="1" si="180"/>
        <v>0.57655907119377237</v>
      </c>
      <c r="BH146" s="1">
        <f t="shared" ca="1" si="181"/>
        <v>0.39371374656944824</v>
      </c>
      <c r="BI146" s="1">
        <f t="shared" ca="1" si="182"/>
        <v>432</v>
      </c>
      <c r="BV146" s="1">
        <f t="shared" ca="1" si="183"/>
        <v>0.29742578333189668</v>
      </c>
      <c r="BW146" s="1">
        <f t="shared" ca="1" si="184"/>
        <v>272</v>
      </c>
      <c r="BX146" s="1">
        <f t="shared" ca="1" si="185"/>
        <v>8.8080948638493805E-4</v>
      </c>
      <c r="BY146" s="1">
        <f t="shared" ca="1" si="186"/>
        <v>7.9179581666826718E-2</v>
      </c>
      <c r="BZ146" s="1">
        <f t="shared" ca="1" si="187"/>
        <v>5.4359712779068259E-2</v>
      </c>
      <c r="CB146" s="1">
        <f t="shared" ca="1" si="188"/>
        <v>465</v>
      </c>
      <c r="CC146" s="1">
        <f t="shared" ca="1" si="189"/>
        <v>4</v>
      </c>
      <c r="CD146" s="1">
        <f t="shared" ca="1" si="190"/>
        <v>5.0891870815739329E-2</v>
      </c>
      <c r="CE146" s="1">
        <f t="shared" ca="1" si="191"/>
        <v>0.61231015317381754</v>
      </c>
      <c r="CF146" s="1">
        <f t="shared" ca="1" si="191"/>
        <v>0.98998432215842247</v>
      </c>
      <c r="CH146" s="3">
        <f t="shared" ca="1" si="192"/>
        <v>0.41604766841609286</v>
      </c>
      <c r="CI146" s="3">
        <f t="shared" ca="1" si="193"/>
        <v>0.38216625139210458</v>
      </c>
      <c r="CJ146" s="3">
        <f t="shared" ca="1" si="194"/>
        <v>177</v>
      </c>
      <c r="CK146" s="3">
        <f t="shared" ca="1" si="195"/>
        <v>5.6611412224340501E-3</v>
      </c>
      <c r="CL146" s="3">
        <f t="shared" ca="1" si="196"/>
        <v>1</v>
      </c>
      <c r="CM146" s="3"/>
      <c r="CN146" s="1">
        <f t="shared" ca="1" si="197"/>
        <v>8.1952787164117726</v>
      </c>
      <c r="CO146" s="1">
        <f t="shared" ca="1" si="198"/>
        <v>0.17703500057506799</v>
      </c>
      <c r="CP146" s="1">
        <f t="shared" ca="1" si="199"/>
        <v>5</v>
      </c>
      <c r="CV146" s="1">
        <f t="shared" ca="1" si="200"/>
        <v>3.1246823422540659</v>
      </c>
      <c r="CW146" s="1">
        <f t="shared" ca="1" si="201"/>
        <v>922</v>
      </c>
      <c r="CX146" s="1">
        <f t="shared" ca="1" si="202"/>
        <v>9.4850606164821709E-3</v>
      </c>
      <c r="DH146" s="1">
        <f t="shared" ca="1" si="203"/>
        <v>218</v>
      </c>
      <c r="DI146" s="1">
        <f t="shared" ca="1" si="204"/>
        <v>0.73963957091276533</v>
      </c>
      <c r="DJ146" s="1">
        <f t="shared" ca="1" si="205"/>
        <v>28</v>
      </c>
      <c r="DL146" s="1">
        <f t="shared" ca="1" si="206"/>
        <v>8.1694560448907688E-2</v>
      </c>
      <c r="DM146" s="1">
        <f t="shared" ca="1" si="207"/>
        <v>236</v>
      </c>
      <c r="DN146" s="1">
        <f t="shared" ca="1" si="208"/>
        <v>1</v>
      </c>
    </row>
    <row r="147" spans="2:118" x14ac:dyDescent="0.25">
      <c r="B147">
        <f t="shared" ca="1" si="141"/>
        <v>865</v>
      </c>
      <c r="C147">
        <f t="shared" ca="1" si="142"/>
        <v>46</v>
      </c>
      <c r="D147">
        <f t="shared" ca="1" si="143"/>
        <v>0.27991700617006887</v>
      </c>
      <c r="F147" s="1">
        <f t="shared" ca="1" si="144"/>
        <v>17</v>
      </c>
      <c r="G147" s="1">
        <f t="shared" ca="1" si="145"/>
        <v>17</v>
      </c>
      <c r="H147" s="1">
        <f t="shared" ca="1" si="146"/>
        <v>4</v>
      </c>
      <c r="I147" s="1"/>
      <c r="J147" s="1">
        <f t="shared" ca="1" si="147"/>
        <v>13</v>
      </c>
      <c r="K147" s="1">
        <f t="shared" ca="1" si="148"/>
        <v>1.9560875121441166</v>
      </c>
      <c r="L147" s="1">
        <f t="shared" ca="1" si="149"/>
        <v>11</v>
      </c>
      <c r="M147" s="1"/>
      <c r="N147" s="1">
        <f t="shared" ca="1" si="150"/>
        <v>476</v>
      </c>
      <c r="O147" s="1">
        <f t="shared" ca="1" si="151"/>
        <v>48</v>
      </c>
      <c r="P147" s="1"/>
      <c r="Q147" s="1">
        <f t="shared" ca="1" si="152"/>
        <v>2.8588363853450365</v>
      </c>
      <c r="R147" s="1">
        <f t="shared" ca="1" si="153"/>
        <v>332</v>
      </c>
      <c r="S147" s="1"/>
      <c r="T147" s="1">
        <f t="shared" ca="1" si="154"/>
        <v>4.9102657486965733E-2</v>
      </c>
      <c r="U147" s="1">
        <f t="shared" ca="1" si="155"/>
        <v>412</v>
      </c>
      <c r="V147" s="1">
        <f t="shared" ca="1" si="156"/>
        <v>24</v>
      </c>
      <c r="W147" s="1"/>
      <c r="X147" s="1">
        <f t="shared" ca="1" si="157"/>
        <v>0.10820986589285646</v>
      </c>
      <c r="Y147" s="1">
        <f t="shared" ca="1" si="158"/>
        <v>0.71738202611692259</v>
      </c>
      <c r="Z147" s="1">
        <f t="shared" ca="1" si="159"/>
        <v>978</v>
      </c>
      <c r="AB147" s="1">
        <f t="shared" ca="1" si="160"/>
        <v>0.3018013105335452</v>
      </c>
      <c r="AC147" s="1">
        <f t="shared" ca="1" si="161"/>
        <v>441</v>
      </c>
      <c r="AD147" s="1">
        <f t="shared" ca="1" si="162"/>
        <v>4.821590241103518E-3</v>
      </c>
      <c r="AE147" s="1"/>
      <c r="AF147" s="1">
        <f t="shared" ca="1" si="163"/>
        <v>0.44317120646173891</v>
      </c>
      <c r="AG147" s="1">
        <f t="shared" ca="1" si="164"/>
        <v>757</v>
      </c>
      <c r="AH147" s="1">
        <f t="shared" ca="1" si="165"/>
        <v>1.8296419922188957E-3</v>
      </c>
      <c r="AJ147" s="1">
        <f t="shared" ca="1" si="166"/>
        <v>1.4150252461098134E-5</v>
      </c>
      <c r="AK147" s="1">
        <f t="shared" ca="1" si="167"/>
        <v>5.4168297718217781E-3</v>
      </c>
      <c r="AL147" s="1"/>
      <c r="AM147" s="1">
        <f t="shared" ca="1" si="168"/>
        <v>3.6894838518703253E-2</v>
      </c>
      <c r="AN147" s="1">
        <f t="shared" ca="1" si="169"/>
        <v>11</v>
      </c>
      <c r="AO147" s="1">
        <f t="shared" ca="1" si="170"/>
        <v>11</v>
      </c>
      <c r="AQ147" s="1">
        <f t="shared" ca="1" si="171"/>
        <v>146</v>
      </c>
      <c r="AR147" s="1">
        <f t="shared" ca="1" si="172"/>
        <v>5</v>
      </c>
      <c r="AS147" s="1">
        <f t="shared" ca="1" si="173"/>
        <v>84</v>
      </c>
      <c r="AU147" s="1">
        <f t="shared" ca="1" si="174"/>
        <v>312</v>
      </c>
      <c r="AV147" s="1">
        <f t="shared" ca="1" si="175"/>
        <v>2</v>
      </c>
      <c r="AW147" s="1">
        <f t="shared" ca="1" si="176"/>
        <v>0.19508544924214835</v>
      </c>
      <c r="AY147" s="1">
        <f t="shared" ca="1" si="177"/>
        <v>1.3066501342475139</v>
      </c>
      <c r="AZ147" s="1">
        <f t="shared" ca="1" si="178"/>
        <v>133</v>
      </c>
      <c r="BA147" s="1">
        <f t="shared" ca="1" si="179"/>
        <v>7.7819167204750787E-3</v>
      </c>
      <c r="BG147" s="1">
        <f t="shared" ca="1" si="180"/>
        <v>0.59248493710145345</v>
      </c>
      <c r="BH147" s="1">
        <f t="shared" ca="1" si="181"/>
        <v>0.84749813724418566</v>
      </c>
      <c r="BI147" s="1">
        <f t="shared" ca="1" si="182"/>
        <v>499</v>
      </c>
      <c r="BV147" s="1">
        <f t="shared" ca="1" si="183"/>
        <v>0.70516962672849892</v>
      </c>
      <c r="BW147" s="1">
        <f t="shared" ca="1" si="184"/>
        <v>716</v>
      </c>
      <c r="BX147" s="1">
        <f t="shared" ca="1" si="185"/>
        <v>7.9223445136782297E-3</v>
      </c>
      <c r="BY147" s="1">
        <f t="shared" ca="1" si="186"/>
        <v>9.9534500050821442E-2</v>
      </c>
      <c r="BZ147" s="1">
        <f t="shared" ca="1" si="187"/>
        <v>0.78990370059172632</v>
      </c>
      <c r="CB147" s="1">
        <f t="shared" ca="1" si="188"/>
        <v>401</v>
      </c>
      <c r="CC147" s="1">
        <f t="shared" ca="1" si="189"/>
        <v>10</v>
      </c>
      <c r="CD147" s="1">
        <f t="shared" ca="1" si="190"/>
        <v>3.0096832585212216E-2</v>
      </c>
      <c r="CE147" s="1">
        <f t="shared" ca="1" si="191"/>
        <v>0.9629323159035269</v>
      </c>
      <c r="CF147" s="1">
        <f t="shared" ca="1" si="191"/>
        <v>0.86118225870662002</v>
      </c>
      <c r="CH147" s="3">
        <f t="shared" ca="1" si="192"/>
        <v>0.21815697447972726</v>
      </c>
      <c r="CI147" s="3">
        <f t="shared" ca="1" si="193"/>
        <v>0.39789849211615719</v>
      </c>
      <c r="CJ147" s="3">
        <f t="shared" ca="1" si="194"/>
        <v>1387</v>
      </c>
      <c r="CK147" s="3">
        <f t="shared" ca="1" si="195"/>
        <v>1.4062204677894423E-3</v>
      </c>
      <c r="CL147" s="3">
        <f t="shared" ca="1" si="196"/>
        <v>0</v>
      </c>
      <c r="CM147" s="3"/>
      <c r="CN147" s="1">
        <f t="shared" ca="1" si="197"/>
        <v>3.726855646771146</v>
      </c>
      <c r="CO147" s="1">
        <f t="shared" ca="1" si="198"/>
        <v>0.33083056863938942</v>
      </c>
      <c r="CP147" s="1">
        <f t="shared" ca="1" si="199"/>
        <v>5</v>
      </c>
      <c r="CV147" s="1">
        <f t="shared" ca="1" si="200"/>
        <v>5.3257511346642996</v>
      </c>
      <c r="CW147" s="1">
        <f t="shared" ca="1" si="201"/>
        <v>668</v>
      </c>
      <c r="CX147" s="1">
        <f t="shared" ca="1" si="202"/>
        <v>3.5935315861076161E-3</v>
      </c>
      <c r="DH147" s="1">
        <f t="shared" ca="1" si="203"/>
        <v>889</v>
      </c>
      <c r="DI147" s="1">
        <f t="shared" ca="1" si="204"/>
        <v>0.95480032248551605</v>
      </c>
      <c r="DJ147" s="1">
        <f t="shared" ca="1" si="205"/>
        <v>2</v>
      </c>
      <c r="DL147" s="1">
        <f t="shared" ca="1" si="206"/>
        <v>0.14416314842854958</v>
      </c>
      <c r="DM147" s="1">
        <f t="shared" ca="1" si="207"/>
        <v>166</v>
      </c>
      <c r="DN147" s="1">
        <f t="shared" ca="1" si="208"/>
        <v>5</v>
      </c>
    </row>
    <row r="148" spans="2:118" x14ac:dyDescent="0.25">
      <c r="B148">
        <f t="shared" ca="1" si="141"/>
        <v>231</v>
      </c>
      <c r="C148">
        <f t="shared" ca="1" si="142"/>
        <v>28</v>
      </c>
      <c r="D148">
        <f t="shared" ca="1" si="143"/>
        <v>4.4425674881503001E-2</v>
      </c>
      <c r="F148" s="1">
        <f t="shared" ca="1" si="144"/>
        <v>31</v>
      </c>
      <c r="G148" s="1">
        <f t="shared" ca="1" si="145"/>
        <v>22</v>
      </c>
      <c r="H148" s="1">
        <f t="shared" ca="1" si="146"/>
        <v>2</v>
      </c>
      <c r="I148" s="1"/>
      <c r="J148" s="1">
        <f t="shared" ca="1" si="147"/>
        <v>3</v>
      </c>
      <c r="K148" s="1">
        <f t="shared" ca="1" si="148"/>
        <v>1.8420959379385982</v>
      </c>
      <c r="L148" s="1">
        <f t="shared" ca="1" si="149"/>
        <v>31</v>
      </c>
      <c r="M148" s="1"/>
      <c r="N148" s="1">
        <f t="shared" ca="1" si="150"/>
        <v>433</v>
      </c>
      <c r="O148" s="1">
        <f t="shared" ca="1" si="151"/>
        <v>46</v>
      </c>
      <c r="P148" s="1"/>
      <c r="Q148" s="1">
        <f t="shared" ca="1" si="152"/>
        <v>3.681442297433505</v>
      </c>
      <c r="R148" s="1">
        <f t="shared" ca="1" si="153"/>
        <v>853</v>
      </c>
      <c r="S148" s="1"/>
      <c r="T148" s="1">
        <f t="shared" ca="1" si="154"/>
        <v>0.18602273883086404</v>
      </c>
      <c r="U148" s="1">
        <f t="shared" ca="1" si="155"/>
        <v>110</v>
      </c>
      <c r="V148" s="1">
        <f t="shared" ca="1" si="156"/>
        <v>10</v>
      </c>
      <c r="W148" s="1"/>
      <c r="X148" s="1">
        <f t="shared" ca="1" si="157"/>
        <v>1.741661517783047</v>
      </c>
      <c r="Y148" s="1">
        <f t="shared" ca="1" si="158"/>
        <v>0.6389238162748504</v>
      </c>
      <c r="Z148" s="1">
        <f t="shared" ca="1" si="159"/>
        <v>1648</v>
      </c>
      <c r="AB148" s="1">
        <f t="shared" ca="1" si="160"/>
        <v>0.86283833759833439</v>
      </c>
      <c r="AC148" s="1">
        <f t="shared" ca="1" si="161"/>
        <v>177</v>
      </c>
      <c r="AD148" s="1">
        <f t="shared" ca="1" si="162"/>
        <v>1.7865279726458293E-3</v>
      </c>
      <c r="AE148" s="1"/>
      <c r="AF148" s="1">
        <f t="shared" ca="1" si="163"/>
        <v>0.26465867629020956</v>
      </c>
      <c r="AG148" s="1">
        <f t="shared" ca="1" si="164"/>
        <v>968</v>
      </c>
      <c r="AH148" s="1">
        <f t="shared" ca="1" si="165"/>
        <v>2.0708519763496403E-3</v>
      </c>
      <c r="AJ148" s="1">
        <f t="shared" ca="1" si="166"/>
        <v>0.32617387636325657</v>
      </c>
      <c r="AK148" s="1">
        <f t="shared" ca="1" si="167"/>
        <v>7.5845562114074143E-3</v>
      </c>
      <c r="AL148" s="1"/>
      <c r="AM148" s="1">
        <f t="shared" ca="1" si="168"/>
        <v>5.46987769083059E-2</v>
      </c>
      <c r="AN148" s="1">
        <f t="shared" ca="1" si="169"/>
        <v>19</v>
      </c>
      <c r="AO148" s="1">
        <f t="shared" ca="1" si="170"/>
        <v>2</v>
      </c>
      <c r="AQ148" s="1">
        <f t="shared" ca="1" si="171"/>
        <v>38</v>
      </c>
      <c r="AR148" s="1">
        <f t="shared" ca="1" si="172"/>
        <v>10</v>
      </c>
      <c r="AS148" s="1">
        <f t="shared" ca="1" si="173"/>
        <v>36</v>
      </c>
      <c r="AU148" s="1">
        <f t="shared" ca="1" si="174"/>
        <v>256</v>
      </c>
      <c r="AV148" s="1">
        <f t="shared" ca="1" si="175"/>
        <v>10</v>
      </c>
      <c r="AW148" s="1">
        <f t="shared" ca="1" si="176"/>
        <v>7.8148524713805817E-2</v>
      </c>
      <c r="AY148" s="1">
        <f t="shared" ca="1" si="177"/>
        <v>1.1749904731196545</v>
      </c>
      <c r="AZ148" s="1">
        <f t="shared" ca="1" si="178"/>
        <v>437</v>
      </c>
      <c r="BA148" s="1">
        <f t="shared" ca="1" si="179"/>
        <v>4.0179240471570664E-3</v>
      </c>
      <c r="BG148" s="1">
        <f t="shared" ca="1" si="180"/>
        <v>0.61776283505941498</v>
      </c>
      <c r="BH148" s="1">
        <f t="shared" ca="1" si="181"/>
        <v>0.18943176989202581</v>
      </c>
      <c r="BI148" s="1">
        <f t="shared" ca="1" si="182"/>
        <v>345</v>
      </c>
      <c r="BV148" s="1">
        <f t="shared" ca="1" si="183"/>
        <v>0.92464553547273154</v>
      </c>
      <c r="BW148" s="1">
        <f t="shared" ca="1" si="184"/>
        <v>725</v>
      </c>
      <c r="BX148" s="1">
        <f t="shared" ca="1" si="185"/>
        <v>7.729421883381736E-3</v>
      </c>
      <c r="BY148" s="1">
        <f t="shared" ca="1" si="186"/>
        <v>3.7541736358955198E-2</v>
      </c>
      <c r="BZ148" s="1">
        <f t="shared" ca="1" si="187"/>
        <v>0.88016993767324458</v>
      </c>
      <c r="CB148" s="1">
        <f t="shared" ca="1" si="188"/>
        <v>94</v>
      </c>
      <c r="CC148" s="1">
        <f t="shared" ca="1" si="189"/>
        <v>14</v>
      </c>
      <c r="CD148" s="1">
        <f t="shared" ca="1" si="190"/>
        <v>0.1082140483697283</v>
      </c>
      <c r="CE148" s="1">
        <f t="shared" ca="1" si="191"/>
        <v>0.97687106243830646</v>
      </c>
      <c r="CF148" s="1">
        <f t="shared" ca="1" si="191"/>
        <v>0.8840584646886227</v>
      </c>
      <c r="CH148" s="3">
        <f t="shared" ca="1" si="192"/>
        <v>0.34385419040239673</v>
      </c>
      <c r="CI148" s="3">
        <f t="shared" ca="1" si="193"/>
        <v>0.70199567738050606</v>
      </c>
      <c r="CJ148" s="3">
        <f t="shared" ca="1" si="194"/>
        <v>1808</v>
      </c>
      <c r="CK148" s="3">
        <f t="shared" ca="1" si="195"/>
        <v>8.4327984841348E-3</v>
      </c>
      <c r="CL148" s="3">
        <f t="shared" ca="1" si="196"/>
        <v>0</v>
      </c>
      <c r="CM148" s="3"/>
      <c r="CN148" s="1">
        <f t="shared" ca="1" si="197"/>
        <v>6.8241905646226479</v>
      </c>
      <c r="CO148" s="1">
        <f t="shared" ca="1" si="198"/>
        <v>0.13203653279526884</v>
      </c>
      <c r="CP148" s="1">
        <f t="shared" ca="1" si="199"/>
        <v>2</v>
      </c>
      <c r="CV148" s="1">
        <f t="shared" ca="1" si="200"/>
        <v>9.509012223035672</v>
      </c>
      <c r="CW148" s="1">
        <f t="shared" ca="1" si="201"/>
        <v>234</v>
      </c>
      <c r="CX148" s="1">
        <f t="shared" ca="1" si="202"/>
        <v>6.2239882664383035E-3</v>
      </c>
      <c r="DH148" s="1">
        <f t="shared" ca="1" si="203"/>
        <v>175</v>
      </c>
      <c r="DI148" s="1">
        <f t="shared" ca="1" si="204"/>
        <v>0.85795879889311466</v>
      </c>
      <c r="DJ148" s="1">
        <f t="shared" ca="1" si="205"/>
        <v>23</v>
      </c>
      <c r="DL148" s="1">
        <f t="shared" ca="1" si="206"/>
        <v>3.8278576134595864E-2</v>
      </c>
      <c r="DM148" s="1">
        <f t="shared" ca="1" si="207"/>
        <v>53</v>
      </c>
      <c r="DN148" s="1">
        <f t="shared" ca="1" si="208"/>
        <v>2</v>
      </c>
    </row>
    <row r="149" spans="2:118" x14ac:dyDescent="0.25">
      <c r="B149">
        <f t="shared" ca="1" si="141"/>
        <v>626</v>
      </c>
      <c r="C149">
        <f t="shared" ca="1" si="142"/>
        <v>30</v>
      </c>
      <c r="D149">
        <f t="shared" ca="1" si="143"/>
        <v>0.27809851604146779</v>
      </c>
      <c r="F149" s="1">
        <f t="shared" ca="1" si="144"/>
        <v>25</v>
      </c>
      <c r="G149" s="1">
        <f t="shared" ca="1" si="145"/>
        <v>20</v>
      </c>
      <c r="H149" s="1">
        <f t="shared" ca="1" si="146"/>
        <v>1</v>
      </c>
      <c r="I149" s="1"/>
      <c r="J149" s="1">
        <f t="shared" ca="1" si="147"/>
        <v>14</v>
      </c>
      <c r="K149" s="1">
        <f t="shared" ca="1" si="148"/>
        <v>2.6599795996694526</v>
      </c>
      <c r="L149" s="1">
        <f t="shared" ca="1" si="149"/>
        <v>4</v>
      </c>
      <c r="M149" s="1"/>
      <c r="N149" s="1">
        <f t="shared" ca="1" si="150"/>
        <v>410</v>
      </c>
      <c r="O149" s="1">
        <f t="shared" ca="1" si="151"/>
        <v>17</v>
      </c>
      <c r="P149" s="1"/>
      <c r="Q149" s="1">
        <f t="shared" ca="1" si="152"/>
        <v>0.27906146886909816</v>
      </c>
      <c r="R149" s="1">
        <f t="shared" ca="1" si="153"/>
        <v>1139</v>
      </c>
      <c r="S149" s="1"/>
      <c r="T149" s="1">
        <f t="shared" ca="1" si="154"/>
        <v>2.9058651997986219E-2</v>
      </c>
      <c r="U149" s="1">
        <f t="shared" ca="1" si="155"/>
        <v>402</v>
      </c>
      <c r="V149" s="1">
        <f t="shared" ca="1" si="156"/>
        <v>28</v>
      </c>
      <c r="W149" s="1"/>
      <c r="X149" s="1">
        <f t="shared" ca="1" si="157"/>
        <v>0.5564876402427138</v>
      </c>
      <c r="Y149" s="1">
        <f t="shared" ca="1" si="158"/>
        <v>0.25877449713324191</v>
      </c>
      <c r="Z149" s="1">
        <f t="shared" ca="1" si="159"/>
        <v>626</v>
      </c>
      <c r="AB149" s="1">
        <f t="shared" ca="1" si="160"/>
        <v>0.17170489325228958</v>
      </c>
      <c r="AC149" s="1">
        <f t="shared" ca="1" si="161"/>
        <v>967</v>
      </c>
      <c r="AD149" s="1">
        <f t="shared" ca="1" si="162"/>
        <v>9.6763805213222059E-3</v>
      </c>
      <c r="AE149" s="1"/>
      <c r="AF149" s="1">
        <f t="shared" ca="1" si="163"/>
        <v>0.69262440138328341</v>
      </c>
      <c r="AG149" s="1">
        <f t="shared" ca="1" si="164"/>
        <v>320</v>
      </c>
      <c r="AH149" s="1">
        <f t="shared" ca="1" si="165"/>
        <v>4.0068654502925282E-3</v>
      </c>
      <c r="AJ149" s="1">
        <f t="shared" ca="1" si="166"/>
        <v>0.58309902261765256</v>
      </c>
      <c r="AK149" s="1">
        <f t="shared" ca="1" si="167"/>
        <v>2.1162965434191666E-3</v>
      </c>
      <c r="AL149" s="1"/>
      <c r="AM149" s="1">
        <f t="shared" ca="1" si="168"/>
        <v>0.12147434491398974</v>
      </c>
      <c r="AN149" s="1">
        <f t="shared" ca="1" si="169"/>
        <v>80</v>
      </c>
      <c r="AO149" s="1">
        <f t="shared" ca="1" si="170"/>
        <v>7</v>
      </c>
      <c r="AQ149" s="1">
        <f t="shared" ca="1" si="171"/>
        <v>112</v>
      </c>
      <c r="AR149" s="1">
        <f t="shared" ca="1" si="172"/>
        <v>0</v>
      </c>
      <c r="AS149" s="1">
        <f t="shared" ca="1" si="173"/>
        <v>92</v>
      </c>
      <c r="AU149" s="1">
        <f t="shared" ca="1" si="174"/>
        <v>326</v>
      </c>
      <c r="AV149" s="1">
        <f t="shared" ca="1" si="175"/>
        <v>9</v>
      </c>
      <c r="AW149" s="1">
        <f t="shared" ca="1" si="176"/>
        <v>1.8478716041039973E-2</v>
      </c>
      <c r="AY149" s="1">
        <f t="shared" ca="1" si="177"/>
        <v>1.2265838755757894</v>
      </c>
      <c r="AZ149" s="1">
        <f t="shared" ca="1" si="178"/>
        <v>298</v>
      </c>
      <c r="BA149" s="1">
        <f t="shared" ca="1" si="179"/>
        <v>5.0537869041477465E-3</v>
      </c>
      <c r="BG149" s="1">
        <f t="shared" ca="1" si="180"/>
        <v>0.46983061811147592</v>
      </c>
      <c r="BH149" s="1">
        <f t="shared" ca="1" si="181"/>
        <v>0.77706860284163004</v>
      </c>
      <c r="BI149" s="1">
        <f t="shared" ca="1" si="182"/>
        <v>263</v>
      </c>
      <c r="BV149" s="1">
        <f t="shared" ca="1" si="183"/>
        <v>0.83068798124809373</v>
      </c>
      <c r="BW149" s="1">
        <f t="shared" ca="1" si="184"/>
        <v>164</v>
      </c>
      <c r="BX149" s="1">
        <f t="shared" ca="1" si="185"/>
        <v>9.1470391183971541E-3</v>
      </c>
      <c r="BY149" s="1">
        <f t="shared" ca="1" si="186"/>
        <v>2.5868597958595092E-2</v>
      </c>
      <c r="BZ149" s="1">
        <f t="shared" ca="1" si="187"/>
        <v>0.39841638491020248</v>
      </c>
      <c r="CB149" s="1">
        <f t="shared" ca="1" si="188"/>
        <v>477</v>
      </c>
      <c r="CC149" s="1">
        <f t="shared" ca="1" si="189"/>
        <v>8</v>
      </c>
      <c r="CD149" s="1">
        <f t="shared" ca="1" si="190"/>
        <v>7.9337262524194152E-2</v>
      </c>
      <c r="CE149" s="1">
        <f t="shared" ca="1" si="191"/>
        <v>0.85316023685508813</v>
      </c>
      <c r="CF149" s="1">
        <f t="shared" ca="1" si="191"/>
        <v>0.61669649537887272</v>
      </c>
      <c r="CH149" s="3">
        <f t="shared" ca="1" si="192"/>
        <v>4.049160030070928E-2</v>
      </c>
      <c r="CI149" s="3">
        <f t="shared" ca="1" si="193"/>
        <v>0.64688693418719145</v>
      </c>
      <c r="CJ149" s="3">
        <f t="shared" ca="1" si="194"/>
        <v>770</v>
      </c>
      <c r="CK149" s="3">
        <f t="shared" ca="1" si="195"/>
        <v>2.4016994185470783E-3</v>
      </c>
      <c r="CL149" s="3">
        <f t="shared" ca="1" si="196"/>
        <v>0</v>
      </c>
      <c r="CM149" s="3"/>
      <c r="CN149" s="1">
        <f t="shared" ca="1" si="197"/>
        <v>5.4766434709780256</v>
      </c>
      <c r="CO149" s="1">
        <f t="shared" ca="1" si="198"/>
        <v>0.22883615498155332</v>
      </c>
      <c r="CP149" s="1">
        <f t="shared" ca="1" si="199"/>
        <v>1</v>
      </c>
      <c r="CV149" s="1">
        <f t="shared" ca="1" si="200"/>
        <v>4.8877370147433243</v>
      </c>
      <c r="CW149" s="1">
        <f t="shared" ca="1" si="201"/>
        <v>1124</v>
      </c>
      <c r="CX149" s="1">
        <f t="shared" ca="1" si="202"/>
        <v>9.7848400825743184E-3</v>
      </c>
      <c r="DH149" s="1">
        <f t="shared" ca="1" si="203"/>
        <v>799</v>
      </c>
      <c r="DI149" s="1">
        <f t="shared" ca="1" si="204"/>
        <v>0.85757458581517032</v>
      </c>
      <c r="DJ149" s="1">
        <f t="shared" ca="1" si="205"/>
        <v>21</v>
      </c>
      <c r="DL149" s="1">
        <f t="shared" ca="1" si="206"/>
        <v>0.13339971836633951</v>
      </c>
      <c r="DM149" s="1">
        <f t="shared" ca="1" si="207"/>
        <v>178</v>
      </c>
      <c r="DN149" s="1">
        <f t="shared" ca="1" si="208"/>
        <v>1</v>
      </c>
    </row>
    <row r="150" spans="2:118" x14ac:dyDescent="0.25">
      <c r="B150">
        <f t="shared" ca="1" si="141"/>
        <v>660</v>
      </c>
      <c r="C150">
        <f t="shared" ca="1" si="142"/>
        <v>34</v>
      </c>
      <c r="D150">
        <f t="shared" ca="1" si="143"/>
        <v>0.13347944664661296</v>
      </c>
      <c r="F150" s="1">
        <f t="shared" ca="1" si="144"/>
        <v>37</v>
      </c>
      <c r="G150" s="1">
        <f t="shared" ca="1" si="145"/>
        <v>9</v>
      </c>
      <c r="H150" s="1">
        <f t="shared" ca="1" si="146"/>
        <v>8</v>
      </c>
      <c r="I150" s="1"/>
      <c r="J150" s="1">
        <f t="shared" ca="1" si="147"/>
        <v>3</v>
      </c>
      <c r="K150" s="1">
        <f t="shared" ca="1" si="148"/>
        <v>2.1186843581396611</v>
      </c>
      <c r="L150" s="1">
        <f t="shared" ca="1" si="149"/>
        <v>7</v>
      </c>
      <c r="M150" s="1"/>
      <c r="N150" s="1">
        <f t="shared" ca="1" si="150"/>
        <v>364</v>
      </c>
      <c r="O150" s="1">
        <f t="shared" ca="1" si="151"/>
        <v>23</v>
      </c>
      <c r="P150" s="1"/>
      <c r="Q150" s="1">
        <f t="shared" ca="1" si="152"/>
        <v>4.0716667816409426</v>
      </c>
      <c r="R150" s="1">
        <f t="shared" ca="1" si="153"/>
        <v>696</v>
      </c>
      <c r="S150" s="1"/>
      <c r="T150" s="1">
        <f t="shared" ca="1" si="154"/>
        <v>0.18191523871622553</v>
      </c>
      <c r="U150" s="1">
        <f t="shared" ca="1" si="155"/>
        <v>254</v>
      </c>
      <c r="V150" s="1">
        <f t="shared" ca="1" si="156"/>
        <v>45</v>
      </c>
      <c r="W150" s="1"/>
      <c r="X150" s="1">
        <f t="shared" ca="1" si="157"/>
        <v>7.2747923325597048</v>
      </c>
      <c r="Y150" s="1">
        <f t="shared" ca="1" si="158"/>
        <v>0.4085458211342175</v>
      </c>
      <c r="Z150" s="1">
        <f t="shared" ca="1" si="159"/>
        <v>1001</v>
      </c>
      <c r="AB150" s="1">
        <f t="shared" ca="1" si="160"/>
        <v>0.82406021824066167</v>
      </c>
      <c r="AC150" s="1">
        <f t="shared" ca="1" si="161"/>
        <v>421</v>
      </c>
      <c r="AD150" s="1">
        <f t="shared" ca="1" si="162"/>
        <v>5.6410678008742519E-3</v>
      </c>
      <c r="AE150" s="1"/>
      <c r="AF150" s="1">
        <f t="shared" ca="1" si="163"/>
        <v>0.64922501933152643</v>
      </c>
      <c r="AG150" s="1">
        <f t="shared" ca="1" si="164"/>
        <v>594</v>
      </c>
      <c r="AH150" s="1">
        <f t="shared" ca="1" si="165"/>
        <v>6.9544159484654453E-3</v>
      </c>
      <c r="AJ150" s="1">
        <f t="shared" ca="1" si="166"/>
        <v>1.1177715119233822E-3</v>
      </c>
      <c r="AK150" s="1">
        <f t="shared" ca="1" si="167"/>
        <v>1.8684703535188248E-3</v>
      </c>
      <c r="AL150" s="1"/>
      <c r="AM150" s="1">
        <f t="shared" ca="1" si="168"/>
        <v>2.3388856907841527E-2</v>
      </c>
      <c r="AN150" s="1">
        <f t="shared" ca="1" si="169"/>
        <v>27</v>
      </c>
      <c r="AO150" s="1">
        <f t="shared" ca="1" si="170"/>
        <v>1</v>
      </c>
      <c r="AQ150" s="1">
        <f t="shared" ca="1" si="171"/>
        <v>57</v>
      </c>
      <c r="AR150" s="1">
        <f t="shared" ca="1" si="172"/>
        <v>0</v>
      </c>
      <c r="AS150" s="1">
        <f t="shared" ca="1" si="173"/>
        <v>30</v>
      </c>
      <c r="AU150" s="1">
        <f t="shared" ca="1" si="174"/>
        <v>299</v>
      </c>
      <c r="AV150" s="1">
        <f t="shared" ca="1" si="175"/>
        <v>4</v>
      </c>
      <c r="AW150" s="1">
        <f t="shared" ca="1" si="176"/>
        <v>5.0694395378284574E-2</v>
      </c>
      <c r="AY150" s="1">
        <f t="shared" ca="1" si="177"/>
        <v>1.3112592406013355</v>
      </c>
      <c r="AZ150" s="1">
        <f t="shared" ca="1" si="178"/>
        <v>322</v>
      </c>
      <c r="BA150" s="1">
        <f t="shared" ca="1" si="179"/>
        <v>9.9549429945602341E-3</v>
      </c>
      <c r="BG150" s="1">
        <f t="shared" ca="1" si="180"/>
        <v>0.51687215397223996</v>
      </c>
      <c r="BH150" s="1">
        <f t="shared" ca="1" si="181"/>
        <v>4.1388431183420837E-2</v>
      </c>
      <c r="BI150" s="1">
        <f t="shared" ca="1" si="182"/>
        <v>588</v>
      </c>
      <c r="BV150" s="1">
        <f t="shared" ca="1" si="183"/>
        <v>0.21557179634945725</v>
      </c>
      <c r="BW150" s="1">
        <f t="shared" ca="1" si="184"/>
        <v>995</v>
      </c>
      <c r="BX150" s="1">
        <f t="shared" ca="1" si="185"/>
        <v>2.7757074591409866E-3</v>
      </c>
      <c r="BY150" s="1">
        <f t="shared" ca="1" si="186"/>
        <v>2.1586287651941045E-2</v>
      </c>
      <c r="BZ150" s="1">
        <f t="shared" ca="1" si="187"/>
        <v>0.83046380737455505</v>
      </c>
      <c r="CB150" s="1">
        <f t="shared" ca="1" si="188"/>
        <v>118</v>
      </c>
      <c r="CC150" s="1">
        <f t="shared" ca="1" si="189"/>
        <v>7</v>
      </c>
      <c r="CD150" s="1">
        <f t="shared" ca="1" si="190"/>
        <v>0.18870821103688395</v>
      </c>
      <c r="CE150" s="1">
        <f t="shared" ca="1" si="191"/>
        <v>0.69523133820137262</v>
      </c>
      <c r="CF150" s="1">
        <f t="shared" ca="1" si="191"/>
        <v>0.64544128277558088</v>
      </c>
      <c r="CH150" s="3">
        <f t="shared" ca="1" si="192"/>
        <v>0.39284407121238535</v>
      </c>
      <c r="CI150" s="3">
        <f t="shared" ca="1" si="193"/>
        <v>0.65842628699160899</v>
      </c>
      <c r="CJ150" s="3">
        <f t="shared" ca="1" si="194"/>
        <v>1871</v>
      </c>
      <c r="CK150" s="3">
        <f t="shared" ca="1" si="195"/>
        <v>4.3525183944918885E-3</v>
      </c>
      <c r="CL150" s="3">
        <f t="shared" ca="1" si="196"/>
        <v>0</v>
      </c>
      <c r="CM150" s="3"/>
      <c r="CN150" s="1">
        <f t="shared" ca="1" si="197"/>
        <v>14.89214404244966</v>
      </c>
      <c r="CO150" s="1">
        <f t="shared" ca="1" si="198"/>
        <v>0.2412744133260756</v>
      </c>
      <c r="CP150" s="1">
        <f t="shared" ca="1" si="199"/>
        <v>3</v>
      </c>
      <c r="CV150" s="1">
        <f t="shared" ca="1" si="200"/>
        <v>6.8705403683656767</v>
      </c>
      <c r="CW150" s="1">
        <f t="shared" ca="1" si="201"/>
        <v>1877</v>
      </c>
      <c r="CX150" s="1">
        <f t="shared" ca="1" si="202"/>
        <v>9.4273334105240622E-3</v>
      </c>
      <c r="DH150" s="1">
        <f t="shared" ca="1" si="203"/>
        <v>539</v>
      </c>
      <c r="DI150" s="1">
        <f t="shared" ca="1" si="204"/>
        <v>0.90964498606045707</v>
      </c>
      <c r="DJ150" s="1">
        <f t="shared" ca="1" si="205"/>
        <v>3</v>
      </c>
      <c r="DL150" s="1">
        <f t="shared" ca="1" si="206"/>
        <v>0.15358160675068983</v>
      </c>
      <c r="DM150" s="1">
        <f t="shared" ca="1" si="207"/>
        <v>133</v>
      </c>
      <c r="DN150" s="1">
        <f t="shared" ca="1" si="208"/>
        <v>6</v>
      </c>
    </row>
    <row r="151" spans="2:118" x14ac:dyDescent="0.25">
      <c r="B151">
        <f t="shared" ca="1" si="141"/>
        <v>306</v>
      </c>
      <c r="C151">
        <f t="shared" ca="1" si="142"/>
        <v>12</v>
      </c>
      <c r="D151">
        <f t="shared" ca="1" si="143"/>
        <v>0.19373795381380121</v>
      </c>
      <c r="F151" s="1">
        <f t="shared" ca="1" si="144"/>
        <v>14</v>
      </c>
      <c r="G151" s="1">
        <f t="shared" ca="1" si="145"/>
        <v>29</v>
      </c>
      <c r="H151" s="1">
        <f t="shared" ca="1" si="146"/>
        <v>12</v>
      </c>
      <c r="I151" s="1"/>
      <c r="J151" s="1">
        <f t="shared" ca="1" si="147"/>
        <v>29</v>
      </c>
      <c r="K151" s="1">
        <f t="shared" ca="1" si="148"/>
        <v>1.317791275096317</v>
      </c>
      <c r="L151" s="1">
        <f t="shared" ca="1" si="149"/>
        <v>14</v>
      </c>
      <c r="M151" s="1"/>
      <c r="N151" s="1">
        <f t="shared" ca="1" si="150"/>
        <v>382</v>
      </c>
      <c r="O151" s="1">
        <f t="shared" ca="1" si="151"/>
        <v>18</v>
      </c>
      <c r="P151" s="1"/>
      <c r="Q151" s="1">
        <f t="shared" ca="1" si="152"/>
        <v>4.4786591676796439</v>
      </c>
      <c r="R151" s="1">
        <f t="shared" ca="1" si="153"/>
        <v>981</v>
      </c>
      <c r="S151" s="1"/>
      <c r="T151" s="1">
        <f t="shared" ca="1" si="154"/>
        <v>8.4512258103414797E-2</v>
      </c>
      <c r="U151" s="1">
        <f t="shared" ca="1" si="155"/>
        <v>246</v>
      </c>
      <c r="V151" s="1">
        <f t="shared" ca="1" si="156"/>
        <v>41</v>
      </c>
      <c r="W151" s="1"/>
      <c r="X151" s="1">
        <f t="shared" ca="1" si="157"/>
        <v>6.2588760460659802</v>
      </c>
      <c r="Y151" s="1">
        <f t="shared" ca="1" si="158"/>
        <v>0.26049539327358556</v>
      </c>
      <c r="Z151" s="1">
        <f t="shared" ca="1" si="159"/>
        <v>647</v>
      </c>
      <c r="AB151" s="1">
        <f t="shared" ca="1" si="160"/>
        <v>0.94671743045311429</v>
      </c>
      <c r="AC151" s="1">
        <f t="shared" ca="1" si="161"/>
        <v>627</v>
      </c>
      <c r="AD151" s="1">
        <f t="shared" ca="1" si="162"/>
        <v>1.5199280357157112E-4</v>
      </c>
      <c r="AE151" s="1"/>
      <c r="AF151" s="1">
        <f t="shared" ca="1" si="163"/>
        <v>0.16468745496380449</v>
      </c>
      <c r="AG151" s="1">
        <f t="shared" ca="1" si="164"/>
        <v>226</v>
      </c>
      <c r="AH151" s="1">
        <f t="shared" ca="1" si="165"/>
        <v>3.6490019565905921E-3</v>
      </c>
      <c r="AJ151" s="1">
        <f t="shared" ca="1" si="166"/>
        <v>0.14008883760745638</v>
      </c>
      <c r="AK151" s="1">
        <f t="shared" ca="1" si="167"/>
        <v>4.5425221773259779E-3</v>
      </c>
      <c r="AL151" s="1"/>
      <c r="AM151" s="1">
        <f t="shared" ca="1" si="168"/>
        <v>0.14378041635980385</v>
      </c>
      <c r="AN151" s="1">
        <f t="shared" ca="1" si="169"/>
        <v>21</v>
      </c>
      <c r="AO151" s="1">
        <f t="shared" ca="1" si="170"/>
        <v>19</v>
      </c>
      <c r="AQ151" s="1">
        <f t="shared" ca="1" si="171"/>
        <v>40</v>
      </c>
      <c r="AR151" s="1">
        <f t="shared" ca="1" si="172"/>
        <v>0</v>
      </c>
      <c r="AS151" s="1">
        <f t="shared" ca="1" si="173"/>
        <v>67</v>
      </c>
      <c r="AU151" s="1">
        <f t="shared" ca="1" si="174"/>
        <v>317</v>
      </c>
      <c r="AV151" s="1">
        <f t="shared" ca="1" si="175"/>
        <v>2</v>
      </c>
      <c r="AW151" s="1">
        <f t="shared" ca="1" si="176"/>
        <v>0.11329401206529881</v>
      </c>
      <c r="AY151" s="1">
        <f t="shared" ca="1" si="177"/>
        <v>1.9531807567997106</v>
      </c>
      <c r="AZ151" s="1">
        <f t="shared" ca="1" si="178"/>
        <v>273</v>
      </c>
      <c r="BA151" s="1">
        <f t="shared" ca="1" si="179"/>
        <v>4.0549857888281205E-3</v>
      </c>
      <c r="BG151" s="1">
        <f t="shared" ca="1" si="180"/>
        <v>0.22066743322816537</v>
      </c>
      <c r="BH151" s="1">
        <f t="shared" ca="1" si="181"/>
        <v>0.40563981279811445</v>
      </c>
      <c r="BI151" s="1">
        <f t="shared" ca="1" si="182"/>
        <v>839</v>
      </c>
      <c r="BV151" s="1">
        <f t="shared" ca="1" si="183"/>
        <v>0.59766774989727467</v>
      </c>
      <c r="BW151" s="1">
        <f t="shared" ca="1" si="184"/>
        <v>676</v>
      </c>
      <c r="BX151" s="1">
        <f t="shared" ca="1" si="185"/>
        <v>5.0151678561819214E-3</v>
      </c>
      <c r="BY151" s="1">
        <f t="shared" ca="1" si="186"/>
        <v>9.1429172977597964E-2</v>
      </c>
      <c r="BZ151" s="1">
        <f t="shared" ca="1" si="187"/>
        <v>0.62283665785847619</v>
      </c>
      <c r="CB151" s="1">
        <f t="shared" ca="1" si="188"/>
        <v>147</v>
      </c>
      <c r="CC151" s="1">
        <f t="shared" ca="1" si="189"/>
        <v>10</v>
      </c>
      <c r="CD151" s="1">
        <f t="shared" ca="1" si="190"/>
        <v>0.25404460291758757</v>
      </c>
      <c r="CE151" s="1">
        <f t="shared" ca="1" si="191"/>
        <v>0.50818293289844507</v>
      </c>
      <c r="CF151" s="1">
        <f t="shared" ca="1" si="191"/>
        <v>0.87759859334221457</v>
      </c>
      <c r="CH151" s="3">
        <f t="shared" ca="1" si="192"/>
        <v>0.1805311825816979</v>
      </c>
      <c r="CI151" s="3">
        <f t="shared" ca="1" si="193"/>
        <v>0.27301658484789643</v>
      </c>
      <c r="CJ151" s="3">
        <f t="shared" ca="1" si="194"/>
        <v>1307</v>
      </c>
      <c r="CK151" s="3">
        <f t="shared" ca="1" si="195"/>
        <v>3.8227786182936513E-3</v>
      </c>
      <c r="CL151" s="3">
        <f t="shared" ca="1" si="196"/>
        <v>1</v>
      </c>
      <c r="CM151" s="3"/>
      <c r="CN151" s="1">
        <f t="shared" ca="1" si="197"/>
        <v>19.474241892028264</v>
      </c>
      <c r="CO151" s="1">
        <f t="shared" ca="1" si="198"/>
        <v>0.49267062138670764</v>
      </c>
      <c r="CP151" s="1">
        <f t="shared" ca="1" si="199"/>
        <v>2</v>
      </c>
      <c r="CV151" s="1">
        <f t="shared" ca="1" si="200"/>
        <v>1.3026954550369829</v>
      </c>
      <c r="CW151" s="1">
        <f t="shared" ca="1" si="201"/>
        <v>1274</v>
      </c>
      <c r="CX151" s="1">
        <f t="shared" ca="1" si="202"/>
        <v>3.6383776440096108E-3</v>
      </c>
      <c r="DH151" s="1">
        <f t="shared" ca="1" si="203"/>
        <v>235</v>
      </c>
      <c r="DI151" s="1">
        <f t="shared" ca="1" si="204"/>
        <v>0.91765435652928928</v>
      </c>
      <c r="DJ151" s="1">
        <f t="shared" ca="1" si="205"/>
        <v>28</v>
      </c>
      <c r="DL151" s="1">
        <f t="shared" ca="1" si="206"/>
        <v>0.10583173869203523</v>
      </c>
      <c r="DM151" s="1">
        <f t="shared" ca="1" si="207"/>
        <v>236</v>
      </c>
      <c r="DN151" s="1">
        <f t="shared" ca="1" si="208"/>
        <v>4</v>
      </c>
    </row>
    <row r="152" spans="2:118" x14ac:dyDescent="0.25">
      <c r="B152">
        <f t="shared" ca="1" si="141"/>
        <v>446</v>
      </c>
      <c r="C152">
        <f t="shared" ca="1" si="142"/>
        <v>45</v>
      </c>
      <c r="D152">
        <f t="shared" ca="1" si="143"/>
        <v>2.2392774789231532E-2</v>
      </c>
      <c r="F152" s="1">
        <f t="shared" ca="1" si="144"/>
        <v>45</v>
      </c>
      <c r="G152" s="1">
        <f t="shared" ca="1" si="145"/>
        <v>21</v>
      </c>
      <c r="H152" s="1">
        <f t="shared" ca="1" si="146"/>
        <v>4</v>
      </c>
      <c r="I152" s="1"/>
      <c r="J152" s="1">
        <f t="shared" ca="1" si="147"/>
        <v>12</v>
      </c>
      <c r="K152" s="1">
        <f t="shared" ca="1" si="148"/>
        <v>1.4446044313504625</v>
      </c>
      <c r="L152" s="1">
        <f t="shared" ca="1" si="149"/>
        <v>32</v>
      </c>
      <c r="M152" s="1"/>
      <c r="N152" s="1">
        <f t="shared" ca="1" si="150"/>
        <v>616</v>
      </c>
      <c r="O152" s="1">
        <f t="shared" ca="1" si="151"/>
        <v>45</v>
      </c>
      <c r="P152" s="1"/>
      <c r="Q152" s="1">
        <f t="shared" ca="1" si="152"/>
        <v>0.45559125933243222</v>
      </c>
      <c r="R152" s="1">
        <f t="shared" ca="1" si="153"/>
        <v>910</v>
      </c>
      <c r="S152" s="1"/>
      <c r="T152" s="1">
        <f t="shared" ca="1" si="154"/>
        <v>0.11737031467570171</v>
      </c>
      <c r="U152" s="1">
        <f t="shared" ca="1" si="155"/>
        <v>50</v>
      </c>
      <c r="V152" s="1">
        <f t="shared" ca="1" si="156"/>
        <v>15</v>
      </c>
      <c r="W152" s="1"/>
      <c r="X152" s="1">
        <f t="shared" ca="1" si="157"/>
        <v>7.8208898230355404</v>
      </c>
      <c r="Y152" s="1">
        <f t="shared" ca="1" si="158"/>
        <v>0.10370833298422807</v>
      </c>
      <c r="Z152" s="1">
        <f t="shared" ca="1" si="159"/>
        <v>253</v>
      </c>
      <c r="AB152" s="1">
        <f t="shared" ca="1" si="160"/>
        <v>6.2950952427012027E-2</v>
      </c>
      <c r="AC152" s="1">
        <f t="shared" ca="1" si="161"/>
        <v>300</v>
      </c>
      <c r="AD152" s="1">
        <f t="shared" ca="1" si="162"/>
        <v>9.4380811250389975E-3</v>
      </c>
      <c r="AE152" s="1"/>
      <c r="AF152" s="1">
        <f t="shared" ca="1" si="163"/>
        <v>0.21678064582045176</v>
      </c>
      <c r="AG152" s="1">
        <f t="shared" ca="1" si="164"/>
        <v>137</v>
      </c>
      <c r="AH152" s="1">
        <f t="shared" ca="1" si="165"/>
        <v>8.6281986850441292E-3</v>
      </c>
      <c r="AJ152" s="1">
        <f t="shared" ca="1" si="166"/>
        <v>0.48493613045975825</v>
      </c>
      <c r="AK152" s="1">
        <f t="shared" ca="1" si="167"/>
        <v>3.1777343139027495E-3</v>
      </c>
      <c r="AL152" s="1"/>
      <c r="AM152" s="1">
        <f t="shared" ca="1" si="168"/>
        <v>0.13559675159063109</v>
      </c>
      <c r="AN152" s="1">
        <f t="shared" ca="1" si="169"/>
        <v>68</v>
      </c>
      <c r="AO152" s="1">
        <f t="shared" ca="1" si="170"/>
        <v>9</v>
      </c>
      <c r="AQ152" s="1">
        <f t="shared" ca="1" si="171"/>
        <v>152</v>
      </c>
      <c r="AR152" s="1">
        <f t="shared" ca="1" si="172"/>
        <v>0</v>
      </c>
      <c r="AS152" s="1">
        <f t="shared" ca="1" si="173"/>
        <v>93</v>
      </c>
      <c r="AU152" s="1">
        <f t="shared" ca="1" si="174"/>
        <v>110</v>
      </c>
      <c r="AV152" s="1">
        <f t="shared" ca="1" si="175"/>
        <v>8</v>
      </c>
      <c r="AW152" s="1">
        <f t="shared" ca="1" si="176"/>
        <v>0.13380728376628803</v>
      </c>
      <c r="AY152" s="1">
        <f t="shared" ca="1" si="177"/>
        <v>1.7821724706235802</v>
      </c>
      <c r="AZ152" s="1">
        <f t="shared" ca="1" si="178"/>
        <v>412</v>
      </c>
      <c r="BA152" s="1">
        <f t="shared" ca="1" si="179"/>
        <v>3.3566348038722993E-3</v>
      </c>
      <c r="BG152" s="1">
        <f t="shared" ca="1" si="180"/>
        <v>0.23102551871270197</v>
      </c>
      <c r="BH152" s="1">
        <f t="shared" ca="1" si="181"/>
        <v>0.54684770397222116</v>
      </c>
      <c r="BI152" s="1">
        <f t="shared" ca="1" si="182"/>
        <v>619</v>
      </c>
      <c r="BV152" s="1">
        <f t="shared" ca="1" si="183"/>
        <v>0.64911630505016371</v>
      </c>
      <c r="BW152" s="1">
        <f t="shared" ca="1" si="184"/>
        <v>741</v>
      </c>
      <c r="BX152" s="1">
        <f t="shared" ca="1" si="185"/>
        <v>8.2872583987472475E-3</v>
      </c>
      <c r="BY152" s="1">
        <f t="shared" ca="1" si="186"/>
        <v>4.7705834317093944E-2</v>
      </c>
      <c r="BZ152" s="1">
        <f t="shared" ca="1" si="187"/>
        <v>0.3615059437796071</v>
      </c>
      <c r="CB152" s="1">
        <f t="shared" ca="1" si="188"/>
        <v>55</v>
      </c>
      <c r="CC152" s="1">
        <f t="shared" ca="1" si="189"/>
        <v>14</v>
      </c>
      <c r="CD152" s="1">
        <f t="shared" ca="1" si="190"/>
        <v>0.11758649805334268</v>
      </c>
      <c r="CE152" s="1">
        <f t="shared" ca="1" si="191"/>
        <v>0.73657415541631965</v>
      </c>
      <c r="CF152" s="1">
        <f t="shared" ca="1" si="191"/>
        <v>0.95563460038694825</v>
      </c>
      <c r="CH152" s="3">
        <f t="shared" ca="1" si="192"/>
        <v>0.55869895367431044</v>
      </c>
      <c r="CI152" s="3">
        <f t="shared" ca="1" si="193"/>
        <v>0.44035967265189302</v>
      </c>
      <c r="CJ152" s="3">
        <f t="shared" ca="1" si="194"/>
        <v>937</v>
      </c>
      <c r="CK152" s="3">
        <f t="shared" ca="1" si="195"/>
        <v>2.0959868410768789E-3</v>
      </c>
      <c r="CL152" s="3">
        <f t="shared" ca="1" si="196"/>
        <v>1</v>
      </c>
      <c r="CM152" s="3"/>
      <c r="CN152" s="1">
        <f t="shared" ca="1" si="197"/>
        <v>19.24239849483428</v>
      </c>
      <c r="CO152" s="1">
        <f t="shared" ca="1" si="198"/>
        <v>0.45313081357431229</v>
      </c>
      <c r="CP152" s="1">
        <f t="shared" ca="1" si="199"/>
        <v>4</v>
      </c>
      <c r="CV152" s="1">
        <f t="shared" ca="1" si="200"/>
        <v>8.5975383877380924</v>
      </c>
      <c r="CW152" s="1">
        <f t="shared" ca="1" si="201"/>
        <v>467</v>
      </c>
      <c r="CX152" s="1">
        <f t="shared" ca="1" si="202"/>
        <v>8.1863468628646154E-3</v>
      </c>
      <c r="DH152" s="1">
        <f t="shared" ca="1" si="203"/>
        <v>232</v>
      </c>
      <c r="DI152" s="1">
        <f t="shared" ca="1" si="204"/>
        <v>0.85378151947371916</v>
      </c>
      <c r="DJ152" s="1">
        <f t="shared" ca="1" si="205"/>
        <v>10</v>
      </c>
      <c r="DL152" s="1">
        <f t="shared" ca="1" si="206"/>
        <v>0.10894094729177806</v>
      </c>
      <c r="DM152" s="1">
        <f t="shared" ca="1" si="207"/>
        <v>81</v>
      </c>
      <c r="DN152" s="1">
        <f t="shared" ca="1" si="208"/>
        <v>3</v>
      </c>
    </row>
    <row r="153" spans="2:118" x14ac:dyDescent="0.25">
      <c r="B153">
        <f t="shared" ca="1" si="141"/>
        <v>736</v>
      </c>
      <c r="C153">
        <f t="shared" ca="1" si="142"/>
        <v>12</v>
      </c>
      <c r="D153">
        <f t="shared" ca="1" si="143"/>
        <v>0.16341920304402557</v>
      </c>
      <c r="F153" s="1">
        <f t="shared" ca="1" si="144"/>
        <v>9</v>
      </c>
      <c r="G153" s="1">
        <f t="shared" ca="1" si="145"/>
        <v>20</v>
      </c>
      <c r="H153" s="1">
        <f t="shared" ca="1" si="146"/>
        <v>7</v>
      </c>
      <c r="I153" s="1"/>
      <c r="J153" s="1">
        <f t="shared" ca="1" si="147"/>
        <v>31</v>
      </c>
      <c r="K153" s="1">
        <f t="shared" ca="1" si="148"/>
        <v>1.8657115077173341</v>
      </c>
      <c r="L153" s="1">
        <f t="shared" ca="1" si="149"/>
        <v>11</v>
      </c>
      <c r="M153" s="1"/>
      <c r="N153" s="1">
        <f t="shared" ca="1" si="150"/>
        <v>279</v>
      </c>
      <c r="O153" s="1">
        <f t="shared" ca="1" si="151"/>
        <v>40</v>
      </c>
      <c r="P153" s="1"/>
      <c r="Q153" s="1">
        <f t="shared" ca="1" si="152"/>
        <v>1.3812881258057949E-2</v>
      </c>
      <c r="R153" s="1">
        <f t="shared" ca="1" si="153"/>
        <v>439</v>
      </c>
      <c r="S153" s="1"/>
      <c r="T153" s="1">
        <f t="shared" ca="1" si="154"/>
        <v>0.12625611764220113</v>
      </c>
      <c r="U153" s="1">
        <f t="shared" ca="1" si="155"/>
        <v>124</v>
      </c>
      <c r="V153" s="1">
        <f t="shared" ca="1" si="156"/>
        <v>49</v>
      </c>
      <c r="W153" s="1"/>
      <c r="X153" s="1">
        <f t="shared" ca="1" si="157"/>
        <v>0.67105086339474695</v>
      </c>
      <c r="Y153" s="1">
        <f t="shared" ca="1" si="158"/>
        <v>5.9769202981035984E-4</v>
      </c>
      <c r="Z153" s="1">
        <f t="shared" ca="1" si="159"/>
        <v>1126</v>
      </c>
      <c r="AB153" s="1">
        <f t="shared" ca="1" si="160"/>
        <v>9.2702770427736947E-2</v>
      </c>
      <c r="AC153" s="1">
        <f t="shared" ca="1" si="161"/>
        <v>755</v>
      </c>
      <c r="AD153" s="1">
        <f t="shared" ca="1" si="162"/>
        <v>6.8260117041353471E-3</v>
      </c>
      <c r="AE153" s="1"/>
      <c r="AF153" s="1">
        <f t="shared" ca="1" si="163"/>
        <v>0.661245159643711</v>
      </c>
      <c r="AG153" s="1">
        <f t="shared" ca="1" si="164"/>
        <v>572</v>
      </c>
      <c r="AH153" s="1">
        <f t="shared" ca="1" si="165"/>
        <v>3.4445997036347872E-3</v>
      </c>
      <c r="AJ153" s="1">
        <f t="shared" ca="1" si="166"/>
        <v>0.11762562254770192</v>
      </c>
      <c r="AK153" s="1">
        <f t="shared" ca="1" si="167"/>
        <v>4.0390143004623126E-3</v>
      </c>
      <c r="AL153" s="1"/>
      <c r="AM153" s="1">
        <f t="shared" ca="1" si="168"/>
        <v>5.7242041560235643E-2</v>
      </c>
      <c r="AN153" s="1">
        <f t="shared" ca="1" si="169"/>
        <v>68</v>
      </c>
      <c r="AO153" s="1">
        <f t="shared" ca="1" si="170"/>
        <v>1</v>
      </c>
      <c r="AQ153" s="1">
        <f t="shared" ca="1" si="171"/>
        <v>199</v>
      </c>
      <c r="AR153" s="1">
        <f t="shared" ca="1" si="172"/>
        <v>7</v>
      </c>
      <c r="AS153" s="1">
        <f t="shared" ca="1" si="173"/>
        <v>92</v>
      </c>
      <c r="AU153" s="1">
        <f t="shared" ca="1" si="174"/>
        <v>152</v>
      </c>
      <c r="AV153" s="1">
        <f t="shared" ca="1" si="175"/>
        <v>6</v>
      </c>
      <c r="AW153" s="1">
        <f t="shared" ca="1" si="176"/>
        <v>1.1996566874194705E-2</v>
      </c>
      <c r="AY153" s="1">
        <f t="shared" ca="1" si="177"/>
        <v>1.1251824700854247</v>
      </c>
      <c r="AZ153" s="1">
        <f t="shared" ca="1" si="178"/>
        <v>148</v>
      </c>
      <c r="BA153" s="1">
        <f t="shared" ca="1" si="179"/>
        <v>9.8949708913772193E-4</v>
      </c>
      <c r="BG153" s="1">
        <f t="shared" ca="1" si="180"/>
        <v>0.62738044528260284</v>
      </c>
      <c r="BH153" s="1">
        <f t="shared" ca="1" si="181"/>
        <v>0.31893192265452419</v>
      </c>
      <c r="BI153" s="1">
        <f t="shared" ca="1" si="182"/>
        <v>522</v>
      </c>
      <c r="BV153" s="1">
        <f t="shared" ca="1" si="183"/>
        <v>0.44384867832763081</v>
      </c>
      <c r="BW153" s="1">
        <f t="shared" ca="1" si="184"/>
        <v>751</v>
      </c>
      <c r="BX153" s="1">
        <f t="shared" ca="1" si="185"/>
        <v>8.5983140998650408E-3</v>
      </c>
      <c r="BY153" s="1">
        <f t="shared" ca="1" si="186"/>
        <v>5.2390994313800635E-2</v>
      </c>
      <c r="BZ153" s="1">
        <f t="shared" ca="1" si="187"/>
        <v>0.15166424589357741</v>
      </c>
      <c r="CB153" s="1">
        <f t="shared" ca="1" si="188"/>
        <v>395</v>
      </c>
      <c r="CC153" s="1">
        <f t="shared" ca="1" si="189"/>
        <v>7</v>
      </c>
      <c r="CD153" s="1">
        <f t="shared" ca="1" si="190"/>
        <v>6.7788774396467688E-2</v>
      </c>
      <c r="CE153" s="1">
        <f t="shared" ca="1" si="191"/>
        <v>0.52272733287993289</v>
      </c>
      <c r="CF153" s="1">
        <f t="shared" ca="1" si="191"/>
        <v>0.64509652583480714</v>
      </c>
      <c r="CH153" s="3">
        <f t="shared" ca="1" si="192"/>
        <v>0.69778293252533974</v>
      </c>
      <c r="CI153" s="3">
        <f t="shared" ca="1" si="193"/>
        <v>0.25610190775082631</v>
      </c>
      <c r="CJ153" s="3">
        <f t="shared" ca="1" si="194"/>
        <v>1123</v>
      </c>
      <c r="CK153" s="3">
        <f t="shared" ca="1" si="195"/>
        <v>8.5271188161205238E-3</v>
      </c>
      <c r="CL153" s="3">
        <f t="shared" ca="1" si="196"/>
        <v>1</v>
      </c>
      <c r="CM153" s="3"/>
      <c r="CN153" s="1">
        <f t="shared" ca="1" si="197"/>
        <v>6.4917199652992492</v>
      </c>
      <c r="CO153" s="1">
        <f t="shared" ca="1" si="198"/>
        <v>1.8358237237787556E-2</v>
      </c>
      <c r="CP153" s="1">
        <f t="shared" ca="1" si="199"/>
        <v>3</v>
      </c>
      <c r="CV153" s="1">
        <f t="shared" ca="1" si="200"/>
        <v>5.3278524158278682</v>
      </c>
      <c r="CW153" s="1">
        <f t="shared" ca="1" si="201"/>
        <v>1548</v>
      </c>
      <c r="CX153" s="1">
        <f t="shared" ca="1" si="202"/>
        <v>2.131653322184515E-3</v>
      </c>
      <c r="DH153" s="1">
        <f t="shared" ca="1" si="203"/>
        <v>269</v>
      </c>
      <c r="DI153" s="1">
        <f t="shared" ca="1" si="204"/>
        <v>0.60212186517182087</v>
      </c>
      <c r="DJ153" s="1">
        <f t="shared" ca="1" si="205"/>
        <v>30</v>
      </c>
      <c r="DL153" s="1">
        <f t="shared" ca="1" si="206"/>
        <v>0.19067658078747798</v>
      </c>
      <c r="DM153" s="1">
        <f t="shared" ca="1" si="207"/>
        <v>279</v>
      </c>
      <c r="DN153" s="1">
        <f t="shared" ca="1" si="208"/>
        <v>1</v>
      </c>
    </row>
    <row r="154" spans="2:118" x14ac:dyDescent="0.25">
      <c r="B154">
        <f t="shared" ca="1" si="141"/>
        <v>165</v>
      </c>
      <c r="C154">
        <f t="shared" ca="1" si="142"/>
        <v>10</v>
      </c>
      <c r="D154">
        <f t="shared" ca="1" si="143"/>
        <v>6.0842902976504E-2</v>
      </c>
      <c r="F154" s="1">
        <f t="shared" ca="1" si="144"/>
        <v>6</v>
      </c>
      <c r="G154" s="1">
        <f t="shared" ca="1" si="145"/>
        <v>15</v>
      </c>
      <c r="H154" s="1">
        <f t="shared" ca="1" si="146"/>
        <v>12</v>
      </c>
      <c r="I154" s="1"/>
      <c r="J154" s="1">
        <f t="shared" ca="1" si="147"/>
        <v>38</v>
      </c>
      <c r="K154" s="1">
        <f t="shared" ca="1" si="148"/>
        <v>1.3432992837195801</v>
      </c>
      <c r="L154" s="1">
        <f t="shared" ca="1" si="149"/>
        <v>14</v>
      </c>
      <c r="M154" s="1"/>
      <c r="N154" s="1">
        <f t="shared" ca="1" si="150"/>
        <v>491</v>
      </c>
      <c r="O154" s="1">
        <f t="shared" ca="1" si="151"/>
        <v>41</v>
      </c>
      <c r="P154" s="1"/>
      <c r="Q154" s="1">
        <f t="shared" ca="1" si="152"/>
        <v>1.9161110244720618</v>
      </c>
      <c r="R154" s="1">
        <f t="shared" ca="1" si="153"/>
        <v>200</v>
      </c>
      <c r="S154" s="1"/>
      <c r="T154" s="1">
        <f t="shared" ca="1" si="154"/>
        <v>5.9504004508900921E-2</v>
      </c>
      <c r="U154" s="1">
        <f t="shared" ca="1" si="155"/>
        <v>300</v>
      </c>
      <c r="V154" s="1">
        <f t="shared" ca="1" si="156"/>
        <v>51</v>
      </c>
      <c r="W154" s="1"/>
      <c r="X154" s="1">
        <f t="shared" ca="1" si="157"/>
        <v>9.6067516771786998</v>
      </c>
      <c r="Y154" s="1">
        <f t="shared" ca="1" si="158"/>
        <v>0.16827826602733031</v>
      </c>
      <c r="Z154" s="1">
        <f t="shared" ca="1" si="159"/>
        <v>1110</v>
      </c>
      <c r="AB154" s="1">
        <f t="shared" ca="1" si="160"/>
        <v>0.75401128990739397</v>
      </c>
      <c r="AC154" s="1">
        <f t="shared" ca="1" si="161"/>
        <v>633</v>
      </c>
      <c r="AD154" s="1">
        <f t="shared" ca="1" si="162"/>
        <v>6.1027775936747701E-3</v>
      </c>
      <c r="AE154" s="1"/>
      <c r="AF154" s="1">
        <f t="shared" ca="1" si="163"/>
        <v>0.6888045242364278</v>
      </c>
      <c r="AG154" s="1">
        <f t="shared" ca="1" si="164"/>
        <v>138</v>
      </c>
      <c r="AH154" s="1">
        <f t="shared" ca="1" si="165"/>
        <v>4.0651835208028722E-3</v>
      </c>
      <c r="AJ154" s="1">
        <f t="shared" ca="1" si="166"/>
        <v>6.7904467322735251E-2</v>
      </c>
      <c r="AK154" s="1">
        <f t="shared" ca="1" si="167"/>
        <v>3.396000348552892E-3</v>
      </c>
      <c r="AL154" s="1"/>
      <c r="AM154" s="1">
        <f t="shared" ca="1" si="168"/>
        <v>1.605151998450853E-2</v>
      </c>
      <c r="AN154" s="1">
        <f t="shared" ca="1" si="169"/>
        <v>13</v>
      </c>
      <c r="AO154" s="1">
        <f t="shared" ca="1" si="170"/>
        <v>13</v>
      </c>
      <c r="AQ154" s="1">
        <f t="shared" ca="1" si="171"/>
        <v>65</v>
      </c>
      <c r="AR154" s="1">
        <f t="shared" ca="1" si="172"/>
        <v>8</v>
      </c>
      <c r="AS154" s="1">
        <f t="shared" ca="1" si="173"/>
        <v>95</v>
      </c>
      <c r="AU154" s="1">
        <f t="shared" ca="1" si="174"/>
        <v>73</v>
      </c>
      <c r="AV154" s="1">
        <f t="shared" ca="1" si="175"/>
        <v>4</v>
      </c>
      <c r="AW154" s="1">
        <f t="shared" ca="1" si="176"/>
        <v>0.12882974198032565</v>
      </c>
      <c r="AY154" s="1">
        <f t="shared" ca="1" si="177"/>
        <v>1.3067147402790913</v>
      </c>
      <c r="AZ154" s="1">
        <f t="shared" ca="1" si="178"/>
        <v>455</v>
      </c>
      <c r="BA154" s="1">
        <f t="shared" ca="1" si="179"/>
        <v>1.9537525944857972E-4</v>
      </c>
      <c r="BG154" s="1">
        <f t="shared" ca="1" si="180"/>
        <v>0.37058441490291966</v>
      </c>
      <c r="BH154" s="1">
        <f t="shared" ca="1" si="181"/>
        <v>0.51741788336778227</v>
      </c>
      <c r="BI154" s="1">
        <f t="shared" ca="1" si="182"/>
        <v>186</v>
      </c>
      <c r="BV154" s="1">
        <f t="shared" ca="1" si="183"/>
        <v>0.41875635646577375</v>
      </c>
      <c r="BW154" s="1">
        <f t="shared" ca="1" si="184"/>
        <v>541</v>
      </c>
      <c r="BX154" s="1">
        <f t="shared" ca="1" si="185"/>
        <v>3.1901703737726092E-3</v>
      </c>
      <c r="BY154" s="1">
        <f t="shared" ca="1" si="186"/>
        <v>7.9740278417425578E-2</v>
      </c>
      <c r="BZ154" s="1">
        <f t="shared" ca="1" si="187"/>
        <v>0.18256347879425794</v>
      </c>
      <c r="CB154" s="1">
        <f t="shared" ca="1" si="188"/>
        <v>415</v>
      </c>
      <c r="CC154" s="1">
        <f t="shared" ca="1" si="189"/>
        <v>10</v>
      </c>
      <c r="CD154" s="1">
        <f t="shared" ca="1" si="190"/>
        <v>5.9932060557132745E-2</v>
      </c>
      <c r="CE154" s="1">
        <f t="shared" ca="1" si="191"/>
        <v>0.63098466403603515</v>
      </c>
      <c r="CF154" s="1">
        <f t="shared" ca="1" si="191"/>
        <v>0.93759942603171365</v>
      </c>
      <c r="CH154" s="3">
        <f t="shared" ca="1" si="192"/>
        <v>0.66392718365264569</v>
      </c>
      <c r="CI154" s="3">
        <f t="shared" ca="1" si="193"/>
        <v>0.65971687948642255</v>
      </c>
      <c r="CJ154" s="3">
        <f t="shared" ca="1" si="194"/>
        <v>958</v>
      </c>
      <c r="CK154" s="3">
        <f t="shared" ca="1" si="195"/>
        <v>4.4869809671301475E-3</v>
      </c>
      <c r="CL154" s="3">
        <f t="shared" ca="1" si="196"/>
        <v>0</v>
      </c>
      <c r="CM154" s="3"/>
      <c r="CN154" s="1">
        <f t="shared" ca="1" si="197"/>
        <v>8.5343623328100726</v>
      </c>
      <c r="CO154" s="1">
        <f t="shared" ca="1" si="198"/>
        <v>0.33792090618880227</v>
      </c>
      <c r="CP154" s="1">
        <f t="shared" ca="1" si="199"/>
        <v>4</v>
      </c>
      <c r="CV154" s="1">
        <f t="shared" ca="1" si="200"/>
        <v>6.4733776359528861</v>
      </c>
      <c r="CW154" s="1">
        <f t="shared" ca="1" si="201"/>
        <v>1022</v>
      </c>
      <c r="CX154" s="1">
        <f t="shared" ca="1" si="202"/>
        <v>2.1959046675242644E-3</v>
      </c>
      <c r="DH154" s="1">
        <f t="shared" ca="1" si="203"/>
        <v>172</v>
      </c>
      <c r="DI154" s="1">
        <f t="shared" ca="1" si="204"/>
        <v>0.22072838436278838</v>
      </c>
      <c r="DJ154" s="1">
        <f t="shared" ca="1" si="205"/>
        <v>8</v>
      </c>
      <c r="DL154" s="1">
        <f t="shared" ca="1" si="206"/>
        <v>0.17358868772908656</v>
      </c>
      <c r="DM154" s="1">
        <f t="shared" ca="1" si="207"/>
        <v>63</v>
      </c>
      <c r="DN154" s="1">
        <f t="shared" ca="1" si="208"/>
        <v>5</v>
      </c>
    </row>
    <row r="155" spans="2:118" x14ac:dyDescent="0.25">
      <c r="B155">
        <f t="shared" ca="1" si="141"/>
        <v>226</v>
      </c>
      <c r="C155">
        <f t="shared" ca="1" si="142"/>
        <v>3</v>
      </c>
      <c r="D155">
        <f t="shared" ca="1" si="143"/>
        <v>0.11556953723573889</v>
      </c>
      <c r="F155" s="1">
        <f t="shared" ca="1" si="144"/>
        <v>2</v>
      </c>
      <c r="G155" s="1">
        <f t="shared" ca="1" si="145"/>
        <v>3</v>
      </c>
      <c r="H155" s="1">
        <f t="shared" ca="1" si="146"/>
        <v>8</v>
      </c>
      <c r="I155" s="1"/>
      <c r="J155" s="1">
        <f t="shared" ca="1" si="147"/>
        <v>9</v>
      </c>
      <c r="K155" s="1">
        <f t="shared" ca="1" si="148"/>
        <v>2.4329725621522029</v>
      </c>
      <c r="L155" s="1">
        <f t="shared" ca="1" si="149"/>
        <v>17</v>
      </c>
      <c r="M155" s="1"/>
      <c r="N155" s="1">
        <f t="shared" ca="1" si="150"/>
        <v>282</v>
      </c>
      <c r="O155" s="1">
        <f t="shared" ca="1" si="151"/>
        <v>44</v>
      </c>
      <c r="P155" s="1"/>
      <c r="Q155" s="1">
        <f t="shared" ca="1" si="152"/>
        <v>2.5585732806060513</v>
      </c>
      <c r="R155" s="1">
        <f t="shared" ca="1" si="153"/>
        <v>1033</v>
      </c>
      <c r="S155" s="1"/>
      <c r="T155" s="1">
        <f t="shared" ca="1" si="154"/>
        <v>0.18022261527606756</v>
      </c>
      <c r="U155" s="1">
        <f t="shared" ca="1" si="155"/>
        <v>217</v>
      </c>
      <c r="V155" s="1">
        <f t="shared" ca="1" si="156"/>
        <v>15</v>
      </c>
      <c r="W155" s="1"/>
      <c r="X155" s="1">
        <f t="shared" ca="1" si="157"/>
        <v>5.2452036139186529</v>
      </c>
      <c r="Y155" s="1">
        <f t="shared" ca="1" si="158"/>
        <v>9.5266658592821019E-2</v>
      </c>
      <c r="Z155" s="1">
        <f t="shared" ca="1" si="159"/>
        <v>1801</v>
      </c>
      <c r="AB155" s="1">
        <f t="shared" ca="1" si="160"/>
        <v>0.87481864731268666</v>
      </c>
      <c r="AC155" s="1">
        <f t="shared" ca="1" si="161"/>
        <v>127</v>
      </c>
      <c r="AD155" s="1">
        <f t="shared" ca="1" si="162"/>
        <v>2.2404047012088688E-3</v>
      </c>
      <c r="AE155" s="1"/>
      <c r="AF155" s="1">
        <f t="shared" ca="1" si="163"/>
        <v>0.11414734761078088</v>
      </c>
      <c r="AG155" s="1">
        <f t="shared" ca="1" si="164"/>
        <v>296</v>
      </c>
      <c r="AH155" s="1">
        <f t="shared" ca="1" si="165"/>
        <v>1.516229840059917E-3</v>
      </c>
      <c r="AJ155" s="1">
        <f t="shared" ca="1" si="166"/>
        <v>5.9279007939679218E-2</v>
      </c>
      <c r="AK155" s="1">
        <f t="shared" ca="1" si="167"/>
        <v>1.0341370644484774E-3</v>
      </c>
      <c r="AL155" s="1"/>
      <c r="AM155" s="1">
        <f t="shared" ca="1" si="168"/>
        <v>4.1021145916119266E-2</v>
      </c>
      <c r="AN155" s="1">
        <f t="shared" ca="1" si="169"/>
        <v>78</v>
      </c>
      <c r="AO155" s="1">
        <f t="shared" ca="1" si="170"/>
        <v>13</v>
      </c>
      <c r="AQ155" s="1">
        <f t="shared" ca="1" si="171"/>
        <v>122</v>
      </c>
      <c r="AR155" s="1">
        <f t="shared" ca="1" si="172"/>
        <v>3</v>
      </c>
      <c r="AS155" s="1">
        <f t="shared" ca="1" si="173"/>
        <v>74</v>
      </c>
      <c r="AU155" s="1">
        <f t="shared" ca="1" si="174"/>
        <v>266</v>
      </c>
      <c r="AV155" s="1">
        <f t="shared" ca="1" si="175"/>
        <v>2</v>
      </c>
      <c r="AW155" s="1">
        <f t="shared" ca="1" si="176"/>
        <v>0.12062706275457935</v>
      </c>
      <c r="AY155" s="1">
        <f t="shared" ca="1" si="177"/>
        <v>1.3094316014708487</v>
      </c>
      <c r="AZ155" s="1">
        <f t="shared" ca="1" si="178"/>
        <v>281</v>
      </c>
      <c r="BA155" s="1">
        <f t="shared" ca="1" si="179"/>
        <v>9.4453852565094549E-3</v>
      </c>
      <c r="BG155" s="1">
        <f t="shared" ca="1" si="180"/>
        <v>0.73344116533232318</v>
      </c>
      <c r="BH155" s="1">
        <f t="shared" ca="1" si="181"/>
        <v>0.62205874558956575</v>
      </c>
      <c r="BI155" s="1">
        <f t="shared" ca="1" si="182"/>
        <v>960</v>
      </c>
      <c r="BV155" s="1">
        <f t="shared" ca="1" si="183"/>
        <v>0.42204140084394015</v>
      </c>
      <c r="BW155" s="1">
        <f t="shared" ca="1" si="184"/>
        <v>485</v>
      </c>
      <c r="BX155" s="1">
        <f t="shared" ca="1" si="185"/>
        <v>7.5743050277783715E-3</v>
      </c>
      <c r="BY155" s="1">
        <f t="shared" ca="1" si="186"/>
        <v>5.0086566426078984E-2</v>
      </c>
      <c r="BZ155" s="1">
        <f t="shared" ca="1" si="187"/>
        <v>0.38679924324113812</v>
      </c>
      <c r="CB155" s="1">
        <f t="shared" ca="1" si="188"/>
        <v>97</v>
      </c>
      <c r="CC155" s="1">
        <f t="shared" ca="1" si="189"/>
        <v>12</v>
      </c>
      <c r="CD155" s="1">
        <f t="shared" ca="1" si="190"/>
        <v>0.15854725587968579</v>
      </c>
      <c r="CE155" s="1">
        <f t="shared" ca="1" si="191"/>
        <v>0.62261129135590165</v>
      </c>
      <c r="CF155" s="1">
        <f t="shared" ca="1" si="191"/>
        <v>0.91131540987237691</v>
      </c>
      <c r="CH155" s="3">
        <f t="shared" ca="1" si="192"/>
        <v>0.15656911186653893</v>
      </c>
      <c r="CI155" s="3">
        <f t="shared" ca="1" si="193"/>
        <v>4.7004990288808883E-2</v>
      </c>
      <c r="CJ155" s="3">
        <f t="shared" ca="1" si="194"/>
        <v>414</v>
      </c>
      <c r="CK155" s="3">
        <f t="shared" ca="1" si="195"/>
        <v>6.9330934914164253E-3</v>
      </c>
      <c r="CL155" s="3">
        <f t="shared" ca="1" si="196"/>
        <v>0</v>
      </c>
      <c r="CM155" s="3"/>
      <c r="CN155" s="1">
        <f t="shared" ca="1" si="197"/>
        <v>3.9229984297148826</v>
      </c>
      <c r="CO155" s="1">
        <f t="shared" ca="1" si="198"/>
        <v>0.25800619064196734</v>
      </c>
      <c r="CP155" s="1">
        <f t="shared" ca="1" si="199"/>
        <v>3</v>
      </c>
      <c r="CV155" s="1">
        <f t="shared" ca="1" si="200"/>
        <v>4.7368668986190343</v>
      </c>
      <c r="CW155" s="1">
        <f t="shared" ca="1" si="201"/>
        <v>1256</v>
      </c>
      <c r="CX155" s="1">
        <f t="shared" ca="1" si="202"/>
        <v>1.1897416919731148E-4</v>
      </c>
      <c r="DH155" s="1">
        <f t="shared" ca="1" si="203"/>
        <v>768</v>
      </c>
      <c r="DI155" s="1">
        <f t="shared" ca="1" si="204"/>
        <v>0.55089195409366254</v>
      </c>
      <c r="DJ155" s="1">
        <f t="shared" ca="1" si="205"/>
        <v>14</v>
      </c>
      <c r="DL155" s="1">
        <f t="shared" ca="1" si="206"/>
        <v>0.14948042697970534</v>
      </c>
      <c r="DM155" s="1">
        <f t="shared" ca="1" si="207"/>
        <v>65</v>
      </c>
      <c r="DN155" s="1">
        <f t="shared" ca="1" si="208"/>
        <v>6</v>
      </c>
    </row>
    <row r="156" spans="2:118" x14ac:dyDescent="0.25">
      <c r="B156">
        <f t="shared" ca="1" si="141"/>
        <v>601</v>
      </c>
      <c r="C156">
        <f t="shared" ca="1" si="142"/>
        <v>52</v>
      </c>
      <c r="D156">
        <f t="shared" ca="1" si="143"/>
        <v>0.10810673963995546</v>
      </c>
      <c r="F156" s="1">
        <f t="shared" ca="1" si="144"/>
        <v>13</v>
      </c>
      <c r="G156" s="1">
        <f t="shared" ca="1" si="145"/>
        <v>26</v>
      </c>
      <c r="H156" s="1">
        <f t="shared" ca="1" si="146"/>
        <v>13</v>
      </c>
      <c r="I156" s="1"/>
      <c r="J156" s="1">
        <f t="shared" ca="1" si="147"/>
        <v>2</v>
      </c>
      <c r="K156" s="1">
        <f t="shared" ca="1" si="148"/>
        <v>2.9562727943710492</v>
      </c>
      <c r="L156" s="1">
        <f t="shared" ca="1" si="149"/>
        <v>16</v>
      </c>
      <c r="M156" s="1"/>
      <c r="N156" s="1">
        <f t="shared" ca="1" si="150"/>
        <v>888</v>
      </c>
      <c r="O156" s="1">
        <f t="shared" ca="1" si="151"/>
        <v>52</v>
      </c>
      <c r="P156" s="1"/>
      <c r="Q156" s="1">
        <f t="shared" ca="1" si="152"/>
        <v>0.50049540757087074</v>
      </c>
      <c r="R156" s="1">
        <f t="shared" ca="1" si="153"/>
        <v>975</v>
      </c>
      <c r="S156" s="1"/>
      <c r="T156" s="1">
        <f t="shared" ca="1" si="154"/>
        <v>4.5658065949676807E-2</v>
      </c>
      <c r="U156" s="1">
        <f t="shared" ca="1" si="155"/>
        <v>151</v>
      </c>
      <c r="V156" s="1">
        <f t="shared" ca="1" si="156"/>
        <v>8</v>
      </c>
      <c r="W156" s="1"/>
      <c r="X156" s="1">
        <f t="shared" ca="1" si="157"/>
        <v>8.5856502278378599</v>
      </c>
      <c r="Y156" s="1">
        <f t="shared" ca="1" si="158"/>
        <v>0.96659293755974685</v>
      </c>
      <c r="Z156" s="1">
        <f t="shared" ca="1" si="159"/>
        <v>422</v>
      </c>
      <c r="AB156" s="1">
        <f t="shared" ca="1" si="160"/>
        <v>2.2993632659032346E-2</v>
      </c>
      <c r="AC156" s="1">
        <f t="shared" ca="1" si="161"/>
        <v>127</v>
      </c>
      <c r="AD156" s="1">
        <f t="shared" ca="1" si="162"/>
        <v>6.9228460759434875E-3</v>
      </c>
      <c r="AE156" s="1"/>
      <c r="AF156" s="1">
        <f t="shared" ca="1" si="163"/>
        <v>0.60498727991877821</v>
      </c>
      <c r="AG156" s="1">
        <f t="shared" ca="1" si="164"/>
        <v>656</v>
      </c>
      <c r="AH156" s="1">
        <f t="shared" ca="1" si="165"/>
        <v>4.5841939866721002E-3</v>
      </c>
      <c r="AJ156" s="1">
        <f t="shared" ca="1" si="166"/>
        <v>0.15595092065134142</v>
      </c>
      <c r="AK156" s="1">
        <f t="shared" ca="1" si="167"/>
        <v>3.8408054663502471E-3</v>
      </c>
      <c r="AL156" s="1"/>
      <c r="AM156" s="1">
        <f t="shared" ca="1" si="168"/>
        <v>0.19959327570975804</v>
      </c>
      <c r="AN156" s="1">
        <f t="shared" ca="1" si="169"/>
        <v>36</v>
      </c>
      <c r="AO156" s="1">
        <f t="shared" ca="1" si="170"/>
        <v>17</v>
      </c>
      <c r="AQ156" s="1">
        <f t="shared" ca="1" si="171"/>
        <v>160</v>
      </c>
      <c r="AR156" s="1">
        <f t="shared" ca="1" si="172"/>
        <v>0</v>
      </c>
      <c r="AS156" s="1">
        <f t="shared" ca="1" si="173"/>
        <v>55</v>
      </c>
      <c r="AU156" s="1">
        <f t="shared" ca="1" si="174"/>
        <v>372</v>
      </c>
      <c r="AV156" s="1">
        <f t="shared" ca="1" si="175"/>
        <v>9</v>
      </c>
      <c r="AW156" s="1">
        <f t="shared" ca="1" si="176"/>
        <v>0.15337584946043675</v>
      </c>
      <c r="AY156" s="1">
        <f t="shared" ca="1" si="177"/>
        <v>1.7778299609870332</v>
      </c>
      <c r="AZ156" s="1">
        <f t="shared" ca="1" si="178"/>
        <v>175</v>
      </c>
      <c r="BA156" s="1">
        <f t="shared" ca="1" si="179"/>
        <v>2.7299868000328258E-3</v>
      </c>
      <c r="BG156" s="1">
        <f t="shared" ca="1" si="180"/>
        <v>0.58902251660392591</v>
      </c>
      <c r="BH156" s="1">
        <f t="shared" ca="1" si="181"/>
        <v>0.42008612774300658</v>
      </c>
      <c r="BI156" s="1">
        <f t="shared" ca="1" si="182"/>
        <v>130</v>
      </c>
      <c r="BV156" s="1">
        <f t="shared" ca="1" si="183"/>
        <v>0.49745618957740229</v>
      </c>
      <c r="BW156" s="1">
        <f t="shared" ca="1" si="184"/>
        <v>609</v>
      </c>
      <c r="BX156" s="1">
        <f t="shared" ca="1" si="185"/>
        <v>5.9468775038235165E-3</v>
      </c>
      <c r="BY156" s="1">
        <f t="shared" ca="1" si="186"/>
        <v>2.1201400513821984E-2</v>
      </c>
      <c r="BZ156" s="1">
        <f t="shared" ca="1" si="187"/>
        <v>0.94484698808293233</v>
      </c>
      <c r="CB156" s="1">
        <f t="shared" ca="1" si="188"/>
        <v>397</v>
      </c>
      <c r="CC156" s="1">
        <f t="shared" ca="1" si="189"/>
        <v>4</v>
      </c>
      <c r="CD156" s="1">
        <f t="shared" ca="1" si="190"/>
        <v>0.10908249790713757</v>
      </c>
      <c r="CE156" s="1">
        <f t="shared" ca="1" si="191"/>
        <v>0.88678050750765269</v>
      </c>
      <c r="CF156" s="1">
        <f t="shared" ca="1" si="191"/>
        <v>0.94166981910133196</v>
      </c>
      <c r="CH156" s="3">
        <f t="shared" ca="1" si="192"/>
        <v>0.90565892155036232</v>
      </c>
      <c r="CI156" s="3">
        <f t="shared" ca="1" si="193"/>
        <v>0.90236130512644552</v>
      </c>
      <c r="CJ156" s="3">
        <f t="shared" ca="1" si="194"/>
        <v>1457</v>
      </c>
      <c r="CK156" s="3">
        <f t="shared" ca="1" si="195"/>
        <v>9.4493932603390268E-3</v>
      </c>
      <c r="CL156" s="3">
        <f t="shared" ca="1" si="196"/>
        <v>1</v>
      </c>
      <c r="CM156" s="3"/>
      <c r="CN156" s="1">
        <f t="shared" ca="1" si="197"/>
        <v>9.3259283827493924</v>
      </c>
      <c r="CO156" s="1">
        <f t="shared" ca="1" si="198"/>
        <v>0.38297348396803732</v>
      </c>
      <c r="CP156" s="1">
        <f t="shared" ca="1" si="199"/>
        <v>5</v>
      </c>
      <c r="CV156" s="1">
        <f t="shared" ca="1" si="200"/>
        <v>9.4377160350812446</v>
      </c>
      <c r="CW156" s="1">
        <f t="shared" ca="1" si="201"/>
        <v>1838</v>
      </c>
      <c r="CX156" s="1">
        <f t="shared" ca="1" si="202"/>
        <v>2.3618486803500642E-3</v>
      </c>
      <c r="DH156" s="1">
        <f t="shared" ca="1" si="203"/>
        <v>62</v>
      </c>
      <c r="DI156" s="1">
        <f t="shared" ca="1" si="204"/>
        <v>0.43474191358118236</v>
      </c>
      <c r="DJ156" s="1">
        <f t="shared" ca="1" si="205"/>
        <v>27</v>
      </c>
      <c r="DL156" s="1">
        <f t="shared" ca="1" si="206"/>
        <v>8.9582824430939664E-2</v>
      </c>
      <c r="DM156" s="1">
        <f t="shared" ca="1" si="207"/>
        <v>159</v>
      </c>
      <c r="DN156" s="1">
        <f t="shared" ca="1" si="208"/>
        <v>8</v>
      </c>
    </row>
    <row r="157" spans="2:118" x14ac:dyDescent="0.25">
      <c r="B157">
        <f t="shared" ca="1" si="141"/>
        <v>254</v>
      </c>
      <c r="C157">
        <f t="shared" ca="1" si="142"/>
        <v>39</v>
      </c>
      <c r="D157">
        <f t="shared" ca="1" si="143"/>
        <v>0.17285585157531563</v>
      </c>
      <c r="F157" s="1">
        <f t="shared" ca="1" si="144"/>
        <v>29</v>
      </c>
      <c r="G157" s="1">
        <f t="shared" ca="1" si="145"/>
        <v>29</v>
      </c>
      <c r="H157" s="1">
        <f t="shared" ca="1" si="146"/>
        <v>7</v>
      </c>
      <c r="I157" s="1"/>
      <c r="J157" s="1">
        <f t="shared" ca="1" si="147"/>
        <v>32</v>
      </c>
      <c r="K157" s="1">
        <f t="shared" ca="1" si="148"/>
        <v>2.5267926275244581</v>
      </c>
      <c r="L157" s="1">
        <f t="shared" ca="1" si="149"/>
        <v>15</v>
      </c>
      <c r="M157" s="1"/>
      <c r="N157" s="1">
        <f t="shared" ca="1" si="150"/>
        <v>342</v>
      </c>
      <c r="O157" s="1">
        <f t="shared" ca="1" si="151"/>
        <v>40</v>
      </c>
      <c r="P157" s="1"/>
      <c r="Q157" s="1">
        <f t="shared" ca="1" si="152"/>
        <v>1.6496588108627681</v>
      </c>
      <c r="R157" s="1">
        <f t="shared" ca="1" si="153"/>
        <v>1042</v>
      </c>
      <c r="S157" s="1"/>
      <c r="T157" s="1">
        <f t="shared" ca="1" si="154"/>
        <v>1.0787296172328294E-2</v>
      </c>
      <c r="U157" s="1">
        <f t="shared" ca="1" si="155"/>
        <v>398</v>
      </c>
      <c r="V157" s="1">
        <f t="shared" ca="1" si="156"/>
        <v>47</v>
      </c>
      <c r="W157" s="1"/>
      <c r="X157" s="1">
        <f t="shared" ca="1" si="157"/>
        <v>7.3913995042476701</v>
      </c>
      <c r="Y157" s="1">
        <f t="shared" ca="1" si="158"/>
        <v>0.46348566842689265</v>
      </c>
      <c r="Z157" s="1">
        <f t="shared" ca="1" si="159"/>
        <v>1736</v>
      </c>
      <c r="AB157" s="1">
        <f t="shared" ca="1" si="160"/>
        <v>0.53734732984905698</v>
      </c>
      <c r="AC157" s="1">
        <f t="shared" ca="1" si="161"/>
        <v>242</v>
      </c>
      <c r="AD157" s="1">
        <f t="shared" ca="1" si="162"/>
        <v>1.1027175958982761E-3</v>
      </c>
      <c r="AE157" s="1"/>
      <c r="AF157" s="1">
        <f t="shared" ca="1" si="163"/>
        <v>0.84340821065191063</v>
      </c>
      <c r="AG157" s="1">
        <f t="shared" ca="1" si="164"/>
        <v>123</v>
      </c>
      <c r="AH157" s="1">
        <f t="shared" ca="1" si="165"/>
        <v>2.1554287022137282E-3</v>
      </c>
      <c r="AJ157" s="1">
        <f t="shared" ca="1" si="166"/>
        <v>0.62864706581243801</v>
      </c>
      <c r="AK157" s="1">
        <f t="shared" ca="1" si="167"/>
        <v>8.5237888022140374E-3</v>
      </c>
      <c r="AL157" s="1"/>
      <c r="AM157" s="1">
        <f t="shared" ca="1" si="168"/>
        <v>6.3662420037488732E-2</v>
      </c>
      <c r="AN157" s="1">
        <f t="shared" ca="1" si="169"/>
        <v>16</v>
      </c>
      <c r="AO157" s="1">
        <f t="shared" ca="1" si="170"/>
        <v>15</v>
      </c>
      <c r="AQ157" s="1">
        <f t="shared" ca="1" si="171"/>
        <v>72</v>
      </c>
      <c r="AR157" s="1">
        <f t="shared" ca="1" si="172"/>
        <v>8</v>
      </c>
      <c r="AS157" s="1">
        <f t="shared" ca="1" si="173"/>
        <v>73</v>
      </c>
      <c r="AU157" s="1">
        <f t="shared" ca="1" si="174"/>
        <v>244</v>
      </c>
      <c r="AV157" s="1">
        <f t="shared" ca="1" si="175"/>
        <v>9</v>
      </c>
      <c r="AW157" s="1">
        <f t="shared" ca="1" si="176"/>
        <v>0.12503981733534619</v>
      </c>
      <c r="AY157" s="1">
        <f t="shared" ca="1" si="177"/>
        <v>1.1573963954770377</v>
      </c>
      <c r="AZ157" s="1">
        <f t="shared" ca="1" si="178"/>
        <v>180</v>
      </c>
      <c r="BA157" s="1">
        <f t="shared" ca="1" si="179"/>
        <v>2.8037380965037269E-3</v>
      </c>
      <c r="BG157" s="1">
        <f t="shared" ca="1" si="180"/>
        <v>0.27077211667449463</v>
      </c>
      <c r="BH157" s="1">
        <f t="shared" ca="1" si="181"/>
        <v>0.98168163214917858</v>
      </c>
      <c r="BI157" s="1">
        <f t="shared" ca="1" si="182"/>
        <v>468</v>
      </c>
      <c r="BV157" s="1">
        <f t="shared" ca="1" si="183"/>
        <v>8.8800934055885475E-3</v>
      </c>
      <c r="BW157" s="1">
        <f t="shared" ca="1" si="184"/>
        <v>943</v>
      </c>
      <c r="BX157" s="1">
        <f t="shared" ca="1" si="185"/>
        <v>3.8142230059352174E-3</v>
      </c>
      <c r="BY157" s="1">
        <f t="shared" ca="1" si="186"/>
        <v>8.3399560217031016E-2</v>
      </c>
      <c r="BZ157" s="1">
        <f t="shared" ca="1" si="187"/>
        <v>0.25451424511392529</v>
      </c>
      <c r="CB157" s="1">
        <f t="shared" ca="1" si="188"/>
        <v>419</v>
      </c>
      <c r="CC157" s="1">
        <f t="shared" ca="1" si="189"/>
        <v>7</v>
      </c>
      <c r="CD157" s="1">
        <f t="shared" ca="1" si="190"/>
        <v>0.10932008934142357</v>
      </c>
      <c r="CE157" s="1">
        <f t="shared" ca="1" si="191"/>
        <v>0.62204252873361732</v>
      </c>
      <c r="CF157" s="1">
        <f t="shared" ca="1" si="191"/>
        <v>0.64589108116518423</v>
      </c>
      <c r="CH157" s="3">
        <f t="shared" ca="1" si="192"/>
        <v>0.50309915067924749</v>
      </c>
      <c r="CI157" s="3">
        <f t="shared" ca="1" si="193"/>
        <v>0.48573608076323699</v>
      </c>
      <c r="CJ157" s="3">
        <f t="shared" ca="1" si="194"/>
        <v>1404</v>
      </c>
      <c r="CK157" s="3">
        <f t="shared" ca="1" si="195"/>
        <v>9.9165711229843162E-3</v>
      </c>
      <c r="CL157" s="3">
        <f t="shared" ca="1" si="196"/>
        <v>1</v>
      </c>
      <c r="CM157" s="3"/>
      <c r="CN157" s="1">
        <f t="shared" ca="1" si="197"/>
        <v>5.8402074393728167</v>
      </c>
      <c r="CO157" s="1">
        <f t="shared" ca="1" si="198"/>
        <v>0.13499673616999763</v>
      </c>
      <c r="CP157" s="1">
        <f t="shared" ca="1" si="199"/>
        <v>3</v>
      </c>
      <c r="CV157" s="1">
        <f t="shared" ca="1" si="200"/>
        <v>7.0678343594566524</v>
      </c>
      <c r="CW157" s="1">
        <f t="shared" ca="1" si="201"/>
        <v>1843</v>
      </c>
      <c r="CX157" s="1">
        <f t="shared" ca="1" si="202"/>
        <v>3.8902804749066886E-5</v>
      </c>
      <c r="DH157" s="1">
        <f t="shared" ca="1" si="203"/>
        <v>384</v>
      </c>
      <c r="DI157" s="1">
        <f t="shared" ca="1" si="204"/>
        <v>5.3909288804795653E-2</v>
      </c>
      <c r="DJ157" s="1">
        <f t="shared" ca="1" si="205"/>
        <v>9</v>
      </c>
      <c r="DL157" s="1">
        <f t="shared" ca="1" si="206"/>
        <v>4.8395926531877166E-2</v>
      </c>
      <c r="DM157" s="1">
        <f t="shared" ca="1" si="207"/>
        <v>166</v>
      </c>
      <c r="DN157" s="1">
        <f t="shared" ca="1" si="208"/>
        <v>1</v>
      </c>
    </row>
    <row r="158" spans="2:118" x14ac:dyDescent="0.25">
      <c r="B158">
        <f t="shared" ca="1" si="141"/>
        <v>855</v>
      </c>
      <c r="C158">
        <f t="shared" ca="1" si="142"/>
        <v>33</v>
      </c>
      <c r="D158">
        <f t="shared" ca="1" si="143"/>
        <v>0.29613344723441531</v>
      </c>
      <c r="F158" s="1">
        <f t="shared" ca="1" si="144"/>
        <v>10</v>
      </c>
      <c r="G158" s="1">
        <f t="shared" ca="1" si="145"/>
        <v>6</v>
      </c>
      <c r="H158" s="1">
        <f t="shared" ca="1" si="146"/>
        <v>9</v>
      </c>
      <c r="I158" s="1"/>
      <c r="J158" s="1">
        <f t="shared" ca="1" si="147"/>
        <v>1</v>
      </c>
      <c r="K158" s="1">
        <f t="shared" ca="1" si="148"/>
        <v>1.2430173887971723</v>
      </c>
      <c r="L158" s="1">
        <f t="shared" ca="1" si="149"/>
        <v>25</v>
      </c>
      <c r="M158" s="1"/>
      <c r="N158" s="1">
        <f t="shared" ca="1" si="150"/>
        <v>80</v>
      </c>
      <c r="O158" s="1">
        <f t="shared" ca="1" si="151"/>
        <v>45</v>
      </c>
      <c r="P158" s="1"/>
      <c r="Q158" s="1">
        <f t="shared" ca="1" si="152"/>
        <v>4.4955264772251491</v>
      </c>
      <c r="R158" s="1">
        <f t="shared" ca="1" si="153"/>
        <v>558</v>
      </c>
      <c r="S158" s="1"/>
      <c r="T158" s="1">
        <f t="shared" ca="1" si="154"/>
        <v>0.13846611382376534</v>
      </c>
      <c r="U158" s="1">
        <f t="shared" ca="1" si="155"/>
        <v>225</v>
      </c>
      <c r="V158" s="1">
        <f t="shared" ca="1" si="156"/>
        <v>27</v>
      </c>
      <c r="W158" s="1"/>
      <c r="X158" s="1">
        <f t="shared" ca="1" si="157"/>
        <v>4.5575283423581556</v>
      </c>
      <c r="Y158" s="1">
        <f t="shared" ca="1" si="158"/>
        <v>0.15454659625243969</v>
      </c>
      <c r="Z158" s="1">
        <f t="shared" ca="1" si="159"/>
        <v>1733</v>
      </c>
      <c r="AB158" s="1">
        <f t="shared" ca="1" si="160"/>
        <v>0.92698383450191957</v>
      </c>
      <c r="AC158" s="1">
        <f t="shared" ca="1" si="161"/>
        <v>316</v>
      </c>
      <c r="AD158" s="1">
        <f t="shared" ca="1" si="162"/>
        <v>4.742421687386764E-3</v>
      </c>
      <c r="AE158" s="1"/>
      <c r="AF158" s="1">
        <f t="shared" ca="1" si="163"/>
        <v>0.58979101208544649</v>
      </c>
      <c r="AG158" s="1">
        <f t="shared" ca="1" si="164"/>
        <v>954</v>
      </c>
      <c r="AH158" s="1">
        <f t="shared" ca="1" si="165"/>
        <v>3.3640101634595291E-3</v>
      </c>
      <c r="AJ158" s="1">
        <f t="shared" ca="1" si="166"/>
        <v>0.51517857096207009</v>
      </c>
      <c r="AK158" s="1">
        <f t="shared" ca="1" si="167"/>
        <v>4.3850792143039002E-3</v>
      </c>
      <c r="AL158" s="1"/>
      <c r="AM158" s="1">
        <f t="shared" ca="1" si="168"/>
        <v>0.16764216376047614</v>
      </c>
      <c r="AN158" s="1">
        <f t="shared" ca="1" si="169"/>
        <v>78</v>
      </c>
      <c r="AO158" s="1">
        <f t="shared" ca="1" si="170"/>
        <v>20</v>
      </c>
      <c r="AQ158" s="1">
        <f t="shared" ca="1" si="171"/>
        <v>105</v>
      </c>
      <c r="AR158" s="1">
        <f t="shared" ca="1" si="172"/>
        <v>6</v>
      </c>
      <c r="AS158" s="1">
        <f t="shared" ca="1" si="173"/>
        <v>68</v>
      </c>
      <c r="AU158" s="1">
        <f t="shared" ca="1" si="174"/>
        <v>61</v>
      </c>
      <c r="AV158" s="1">
        <f t="shared" ca="1" si="175"/>
        <v>9</v>
      </c>
      <c r="AW158" s="1">
        <f t="shared" ca="1" si="176"/>
        <v>0.15016196243403698</v>
      </c>
      <c r="AY158" s="1">
        <f t="shared" ca="1" si="177"/>
        <v>1.2479665990240543</v>
      </c>
      <c r="AZ158" s="1">
        <f t="shared" ca="1" si="178"/>
        <v>214</v>
      </c>
      <c r="BA158" s="1">
        <f t="shared" ca="1" si="179"/>
        <v>9.9036240208946278E-3</v>
      </c>
      <c r="BG158" s="1">
        <f t="shared" ca="1" si="180"/>
        <v>0.9682328428524003</v>
      </c>
      <c r="BH158" s="1">
        <f t="shared" ca="1" si="181"/>
        <v>7.6760747378453731E-3</v>
      </c>
      <c r="BI158" s="1">
        <f t="shared" ca="1" si="182"/>
        <v>270</v>
      </c>
      <c r="BV158" s="1">
        <f t="shared" ca="1" si="183"/>
        <v>0.40066869363274249</v>
      </c>
      <c r="BW158" s="1">
        <f t="shared" ca="1" si="184"/>
        <v>201</v>
      </c>
      <c r="BX158" s="1">
        <f t="shared" ca="1" si="185"/>
        <v>1.8575899225566571E-3</v>
      </c>
      <c r="BY158" s="1">
        <f t="shared" ca="1" si="186"/>
        <v>6.0470563970186891E-3</v>
      </c>
      <c r="BZ158" s="1">
        <f t="shared" ca="1" si="187"/>
        <v>0.47544901481669521</v>
      </c>
      <c r="CB158" s="1">
        <f t="shared" ca="1" si="188"/>
        <v>423</v>
      </c>
      <c r="CC158" s="1">
        <f t="shared" ca="1" si="189"/>
        <v>4</v>
      </c>
      <c r="CD158" s="1">
        <f t="shared" ca="1" si="190"/>
        <v>4.43787863628263E-2</v>
      </c>
      <c r="CE158" s="1">
        <f t="shared" ca="1" si="191"/>
        <v>0.77503757030891085</v>
      </c>
      <c r="CF158" s="1">
        <f t="shared" ca="1" si="191"/>
        <v>0.53543207448622199</v>
      </c>
      <c r="CH158" s="3">
        <f t="shared" ca="1" si="192"/>
        <v>0.68410292044479104</v>
      </c>
      <c r="CI158" s="3">
        <f t="shared" ca="1" si="193"/>
        <v>0.18851344688580263</v>
      </c>
      <c r="CJ158" s="3">
        <f t="shared" ca="1" si="194"/>
        <v>1347</v>
      </c>
      <c r="CK158" s="3">
        <f t="shared" ca="1" si="195"/>
        <v>5.5709532516611572E-3</v>
      </c>
      <c r="CL158" s="3">
        <f t="shared" ca="1" si="196"/>
        <v>0</v>
      </c>
      <c r="CM158" s="3"/>
      <c r="CN158" s="1">
        <f t="shared" ca="1" si="197"/>
        <v>10.474572562757018</v>
      </c>
      <c r="CO158" s="1">
        <f t="shared" ca="1" si="198"/>
        <v>5.2426006762537631E-3</v>
      </c>
      <c r="CP158" s="1">
        <f t="shared" ca="1" si="199"/>
        <v>5</v>
      </c>
      <c r="CV158" s="1">
        <f t="shared" ca="1" si="200"/>
        <v>3.1770093346148922</v>
      </c>
      <c r="CW158" s="1">
        <f t="shared" ca="1" si="201"/>
        <v>1223</v>
      </c>
      <c r="CX158" s="1">
        <f t="shared" ca="1" si="202"/>
        <v>1.517170856214763E-4</v>
      </c>
      <c r="DH158" s="1">
        <f t="shared" ca="1" si="203"/>
        <v>819</v>
      </c>
      <c r="DI158" s="1">
        <f t="shared" ca="1" si="204"/>
        <v>7.2902883315474037E-2</v>
      </c>
      <c r="DJ158" s="1">
        <f t="shared" ca="1" si="205"/>
        <v>26</v>
      </c>
      <c r="DL158" s="1">
        <f t="shared" ca="1" si="206"/>
        <v>9.6727817059039586E-2</v>
      </c>
      <c r="DM158" s="1">
        <f t="shared" ca="1" si="207"/>
        <v>140</v>
      </c>
      <c r="DN158" s="1">
        <f t="shared" ca="1" si="208"/>
        <v>5</v>
      </c>
    </row>
    <row r="159" spans="2:118" x14ac:dyDescent="0.25">
      <c r="B159">
        <f t="shared" ca="1" si="141"/>
        <v>619</v>
      </c>
      <c r="C159">
        <f t="shared" ca="1" si="142"/>
        <v>33</v>
      </c>
      <c r="D159">
        <f t="shared" ca="1" si="143"/>
        <v>0.25179443835958681</v>
      </c>
      <c r="F159" s="1">
        <f t="shared" ca="1" si="144"/>
        <v>47</v>
      </c>
      <c r="G159" s="1">
        <f t="shared" ca="1" si="145"/>
        <v>14</v>
      </c>
      <c r="H159" s="1">
        <f t="shared" ca="1" si="146"/>
        <v>8</v>
      </c>
      <c r="I159" s="1"/>
      <c r="J159" s="1">
        <f t="shared" ca="1" si="147"/>
        <v>36</v>
      </c>
      <c r="K159" s="1">
        <f t="shared" ca="1" si="148"/>
        <v>1.9464336082042957</v>
      </c>
      <c r="L159" s="1">
        <f t="shared" ca="1" si="149"/>
        <v>34</v>
      </c>
      <c r="M159" s="1"/>
      <c r="N159" s="1">
        <f t="shared" ca="1" si="150"/>
        <v>522</v>
      </c>
      <c r="O159" s="1">
        <f t="shared" ca="1" si="151"/>
        <v>49</v>
      </c>
      <c r="P159" s="1"/>
      <c r="Q159" s="1">
        <f t="shared" ca="1" si="152"/>
        <v>0.69924459615740131</v>
      </c>
      <c r="R159" s="1">
        <f t="shared" ca="1" si="153"/>
        <v>885</v>
      </c>
      <c r="S159" s="1"/>
      <c r="T159" s="1">
        <f t="shared" ca="1" si="154"/>
        <v>1.1541571755062086E-2</v>
      </c>
      <c r="U159" s="1">
        <f t="shared" ca="1" si="155"/>
        <v>250</v>
      </c>
      <c r="V159" s="1">
        <f t="shared" ca="1" si="156"/>
        <v>21</v>
      </c>
      <c r="W159" s="1"/>
      <c r="X159" s="1">
        <f t="shared" ca="1" si="157"/>
        <v>5.0205246769174536</v>
      </c>
      <c r="Y159" s="1">
        <f t="shared" ca="1" si="158"/>
        <v>0.34004715836525645</v>
      </c>
      <c r="Z159" s="1">
        <f t="shared" ca="1" si="159"/>
        <v>974</v>
      </c>
      <c r="AB159" s="1">
        <f t="shared" ca="1" si="160"/>
        <v>9.2713329238883285E-2</v>
      </c>
      <c r="AC159" s="1">
        <f t="shared" ca="1" si="161"/>
        <v>131</v>
      </c>
      <c r="AD159" s="1">
        <f t="shared" ca="1" si="162"/>
        <v>5.5816201273874919E-3</v>
      </c>
      <c r="AE159" s="1"/>
      <c r="AF159" s="1">
        <f t="shared" ca="1" si="163"/>
        <v>0.41951162215129634</v>
      </c>
      <c r="AG159" s="1">
        <f t="shared" ca="1" si="164"/>
        <v>181</v>
      </c>
      <c r="AH159" s="1">
        <f t="shared" ca="1" si="165"/>
        <v>6.2853091239505523E-3</v>
      </c>
      <c r="AJ159" s="1">
        <f t="shared" ca="1" si="166"/>
        <v>6.8845326620516567E-2</v>
      </c>
      <c r="AK159" s="1">
        <f t="shared" ca="1" si="167"/>
        <v>1.6552710643806878E-4</v>
      </c>
      <c r="AL159" s="1"/>
      <c r="AM159" s="1">
        <f t="shared" ca="1" si="168"/>
        <v>8.5260018349166772E-2</v>
      </c>
      <c r="AN159" s="1">
        <f t="shared" ca="1" si="169"/>
        <v>65</v>
      </c>
      <c r="AO159" s="1">
        <f t="shared" ca="1" si="170"/>
        <v>14</v>
      </c>
      <c r="AQ159" s="1">
        <f t="shared" ca="1" si="171"/>
        <v>160</v>
      </c>
      <c r="AR159" s="1">
        <f t="shared" ca="1" si="172"/>
        <v>1</v>
      </c>
      <c r="AS159" s="1">
        <f t="shared" ca="1" si="173"/>
        <v>15</v>
      </c>
      <c r="AU159" s="1">
        <f t="shared" ca="1" si="174"/>
        <v>393</v>
      </c>
      <c r="AV159" s="1">
        <f t="shared" ca="1" si="175"/>
        <v>2</v>
      </c>
      <c r="AW159" s="1">
        <f t="shared" ca="1" si="176"/>
        <v>9.4372580606329401E-2</v>
      </c>
      <c r="AY159" s="1">
        <f t="shared" ca="1" si="177"/>
        <v>1.3041770580842655</v>
      </c>
      <c r="AZ159" s="1">
        <f t="shared" ca="1" si="178"/>
        <v>466</v>
      </c>
      <c r="BA159" s="1">
        <f t="shared" ca="1" si="179"/>
        <v>7.5269542095597695E-3</v>
      </c>
      <c r="BG159" s="1">
        <f t="shared" ca="1" si="180"/>
        <v>0.27991721681480625</v>
      </c>
      <c r="BH159" s="1">
        <f t="shared" ca="1" si="181"/>
        <v>0.66439007760191804</v>
      </c>
      <c r="BI159" s="1">
        <f t="shared" ca="1" si="182"/>
        <v>293</v>
      </c>
      <c r="BV159" s="1">
        <f t="shared" ca="1" si="183"/>
        <v>0.43450087053542158</v>
      </c>
      <c r="BW159" s="1">
        <f t="shared" ca="1" si="184"/>
        <v>876</v>
      </c>
      <c r="BX159" s="1">
        <f t="shared" ca="1" si="185"/>
        <v>2.8374445667865441E-3</v>
      </c>
      <c r="BY159" s="1">
        <f t="shared" ca="1" si="186"/>
        <v>8.1202854449123854E-2</v>
      </c>
      <c r="BZ159" s="1">
        <f t="shared" ca="1" si="187"/>
        <v>0.31703615407433983</v>
      </c>
      <c r="CB159" s="1">
        <f t="shared" ca="1" si="188"/>
        <v>241</v>
      </c>
      <c r="CC159" s="1">
        <f t="shared" ca="1" si="189"/>
        <v>9</v>
      </c>
      <c r="CD159" s="1">
        <f t="shared" ca="1" si="190"/>
        <v>0.17254162511846019</v>
      </c>
      <c r="CE159" s="1">
        <f t="shared" ca="1" si="191"/>
        <v>0.57013344580292014</v>
      </c>
      <c r="CF159" s="1">
        <f t="shared" ca="1" si="191"/>
        <v>0.73774530232424651</v>
      </c>
      <c r="CH159" s="3">
        <f t="shared" ca="1" si="192"/>
        <v>0.11507235032310238</v>
      </c>
      <c r="CI159" s="3">
        <f t="shared" ca="1" si="193"/>
        <v>0.10069437638388015</v>
      </c>
      <c r="CJ159" s="3">
        <f t="shared" ca="1" si="194"/>
        <v>1173</v>
      </c>
      <c r="CK159" s="3">
        <f t="shared" ca="1" si="195"/>
        <v>4.3223590974078086E-4</v>
      </c>
      <c r="CL159" s="3">
        <f t="shared" ca="1" si="196"/>
        <v>0</v>
      </c>
      <c r="CM159" s="3"/>
      <c r="CN159" s="1">
        <f t="shared" ca="1" si="197"/>
        <v>18.630367136708525</v>
      </c>
      <c r="CO159" s="1">
        <f t="shared" ca="1" si="198"/>
        <v>2.5286712359280067E-2</v>
      </c>
      <c r="CP159" s="1">
        <f t="shared" ca="1" si="199"/>
        <v>3</v>
      </c>
      <c r="CV159" s="1">
        <f t="shared" ca="1" si="200"/>
        <v>0.8277759642026431</v>
      </c>
      <c r="CW159" s="1">
        <f t="shared" ca="1" si="201"/>
        <v>256</v>
      </c>
      <c r="CX159" s="1">
        <f t="shared" ca="1" si="202"/>
        <v>9.7308264396997364E-3</v>
      </c>
      <c r="DH159" s="1">
        <f t="shared" ca="1" si="203"/>
        <v>676</v>
      </c>
      <c r="DI159" s="1">
        <f t="shared" ca="1" si="204"/>
        <v>0.54974855474841078</v>
      </c>
      <c r="DJ159" s="1">
        <f t="shared" ca="1" si="205"/>
        <v>21</v>
      </c>
      <c r="DL159" s="1">
        <f t="shared" ca="1" si="206"/>
        <v>0.16662380943189128</v>
      </c>
      <c r="DM159" s="1">
        <f t="shared" ca="1" si="207"/>
        <v>164</v>
      </c>
      <c r="DN159" s="1">
        <f t="shared" ca="1" si="208"/>
        <v>1</v>
      </c>
    </row>
    <row r="160" spans="2:118" x14ac:dyDescent="0.25">
      <c r="B160">
        <f t="shared" ca="1" si="141"/>
        <v>213</v>
      </c>
      <c r="C160">
        <f t="shared" ca="1" si="142"/>
        <v>46</v>
      </c>
      <c r="D160">
        <f t="shared" ca="1" si="143"/>
        <v>0.18236406284845827</v>
      </c>
      <c r="F160" s="1">
        <f t="shared" ca="1" si="144"/>
        <v>5</v>
      </c>
      <c r="G160" s="1">
        <f t="shared" ca="1" si="145"/>
        <v>18</v>
      </c>
      <c r="H160" s="1">
        <f t="shared" ca="1" si="146"/>
        <v>5</v>
      </c>
      <c r="I160" s="1"/>
      <c r="J160" s="1">
        <f t="shared" ca="1" si="147"/>
        <v>4</v>
      </c>
      <c r="K160" s="1">
        <f t="shared" ca="1" si="148"/>
        <v>2.6012101494568842</v>
      </c>
      <c r="L160" s="1">
        <f t="shared" ca="1" si="149"/>
        <v>10</v>
      </c>
      <c r="M160" s="1"/>
      <c r="N160" s="1">
        <f t="shared" ca="1" si="150"/>
        <v>53</v>
      </c>
      <c r="O160" s="1">
        <f t="shared" ca="1" si="151"/>
        <v>36</v>
      </c>
      <c r="P160" s="1"/>
      <c r="Q160" s="1">
        <f t="shared" ca="1" si="152"/>
        <v>1.5990865141269084</v>
      </c>
      <c r="R160" s="1">
        <f t="shared" ca="1" si="153"/>
        <v>1108</v>
      </c>
      <c r="S160" s="1"/>
      <c r="T160" s="1">
        <f t="shared" ca="1" si="154"/>
        <v>0.11384609200182852</v>
      </c>
      <c r="U160" s="1">
        <f t="shared" ca="1" si="155"/>
        <v>254</v>
      </c>
      <c r="V160" s="1">
        <f t="shared" ca="1" si="156"/>
        <v>40</v>
      </c>
      <c r="W160" s="1"/>
      <c r="X160" s="1">
        <f t="shared" ca="1" si="157"/>
        <v>6.341840885925329</v>
      </c>
      <c r="Y160" s="1">
        <f t="shared" ca="1" si="158"/>
        <v>0.13735411176407478</v>
      </c>
      <c r="Z160" s="1">
        <f t="shared" ca="1" si="159"/>
        <v>1094</v>
      </c>
      <c r="AB160" s="1">
        <f t="shared" ca="1" si="160"/>
        <v>0.44589866429200892</v>
      </c>
      <c r="AC160" s="1">
        <f t="shared" ca="1" si="161"/>
        <v>557</v>
      </c>
      <c r="AD160" s="1">
        <f t="shared" ca="1" si="162"/>
        <v>5.8207961554491289E-3</v>
      </c>
      <c r="AE160" s="1"/>
      <c r="AF160" s="1">
        <f t="shared" ca="1" si="163"/>
        <v>0.48325668847723735</v>
      </c>
      <c r="AG160" s="1">
        <f t="shared" ca="1" si="164"/>
        <v>965</v>
      </c>
      <c r="AH160" s="1">
        <f t="shared" ca="1" si="165"/>
        <v>1.7418837777318812E-4</v>
      </c>
      <c r="AJ160" s="1">
        <f t="shared" ca="1" si="166"/>
        <v>3.9399077319645093E-3</v>
      </c>
      <c r="AK160" s="1">
        <f t="shared" ca="1" si="167"/>
        <v>5.5448722573862843E-3</v>
      </c>
      <c r="AL160" s="1"/>
      <c r="AM160" s="1">
        <f t="shared" ca="1" si="168"/>
        <v>3.6164631339339726E-2</v>
      </c>
      <c r="AN160" s="1">
        <f t="shared" ca="1" si="169"/>
        <v>53</v>
      </c>
      <c r="AO160" s="1">
        <f t="shared" ca="1" si="170"/>
        <v>4</v>
      </c>
      <c r="AQ160" s="1">
        <f t="shared" ca="1" si="171"/>
        <v>19</v>
      </c>
      <c r="AR160" s="1">
        <f t="shared" ca="1" si="172"/>
        <v>1</v>
      </c>
      <c r="AS160" s="1">
        <f t="shared" ca="1" si="173"/>
        <v>70</v>
      </c>
      <c r="AU160" s="1">
        <f t="shared" ca="1" si="174"/>
        <v>277</v>
      </c>
      <c r="AV160" s="1">
        <f t="shared" ca="1" si="175"/>
        <v>2</v>
      </c>
      <c r="AW160" s="1">
        <f t="shared" ca="1" si="176"/>
        <v>4.3769430596729435E-2</v>
      </c>
      <c r="AY160" s="1">
        <f t="shared" ca="1" si="177"/>
        <v>1.2315535962785011</v>
      </c>
      <c r="AZ160" s="1">
        <f t="shared" ca="1" si="178"/>
        <v>57</v>
      </c>
      <c r="BA160" s="1">
        <f t="shared" ca="1" si="179"/>
        <v>6.8701293515833865E-3</v>
      </c>
      <c r="BG160" s="1">
        <f t="shared" ca="1" si="180"/>
        <v>0.74179055542100436</v>
      </c>
      <c r="BH160" s="1">
        <f t="shared" ca="1" si="181"/>
        <v>0.94283888052770815</v>
      </c>
      <c r="BI160" s="1">
        <f t="shared" ca="1" si="182"/>
        <v>613</v>
      </c>
      <c r="BV160" s="1">
        <f t="shared" ca="1" si="183"/>
        <v>0.62520584769400223</v>
      </c>
      <c r="BW160" s="1">
        <f t="shared" ca="1" si="184"/>
        <v>300</v>
      </c>
      <c r="BX160" s="1">
        <f t="shared" ca="1" si="185"/>
        <v>8.4737660249273566E-4</v>
      </c>
      <c r="BY160" s="1">
        <f t="shared" ca="1" si="186"/>
        <v>3.3437820362368954E-2</v>
      </c>
      <c r="BZ160" s="1">
        <f t="shared" ca="1" si="187"/>
        <v>0.82770164556569881</v>
      </c>
      <c r="CB160" s="1">
        <f t="shared" ca="1" si="188"/>
        <v>222</v>
      </c>
      <c r="CC160" s="1">
        <f t="shared" ca="1" si="189"/>
        <v>11</v>
      </c>
      <c r="CD160" s="1">
        <f t="shared" ca="1" si="190"/>
        <v>5.7151545844677173E-2</v>
      </c>
      <c r="CE160" s="1">
        <f t="shared" ca="1" si="191"/>
        <v>0.5220101001618469</v>
      </c>
      <c r="CF160" s="1">
        <f t="shared" ca="1" si="191"/>
        <v>0.50446357724471524</v>
      </c>
      <c r="CH160" s="3">
        <f t="shared" ca="1" si="192"/>
        <v>0.461331177936879</v>
      </c>
      <c r="CI160" s="3">
        <f t="shared" ca="1" si="193"/>
        <v>0.51787513804234975</v>
      </c>
      <c r="CJ160" s="3">
        <f t="shared" ca="1" si="194"/>
        <v>1548</v>
      </c>
      <c r="CK160" s="3">
        <f t="shared" ca="1" si="195"/>
        <v>3.4563018340336969E-3</v>
      </c>
      <c r="CL160" s="3">
        <f t="shared" ca="1" si="196"/>
        <v>0</v>
      </c>
      <c r="CM160" s="3"/>
      <c r="CN160" s="1">
        <f t="shared" ca="1" si="197"/>
        <v>17.873717096653031</v>
      </c>
      <c r="CO160" s="1">
        <f t="shared" ca="1" si="198"/>
        <v>3.0714300957712264E-2</v>
      </c>
      <c r="CP160" s="1">
        <f t="shared" ca="1" si="199"/>
        <v>4</v>
      </c>
      <c r="CV160" s="1">
        <f t="shared" ca="1" si="200"/>
        <v>3.5469645159925904</v>
      </c>
      <c r="CW160" s="1">
        <f t="shared" ca="1" si="201"/>
        <v>1477</v>
      </c>
      <c r="CX160" s="1">
        <f t="shared" ca="1" si="202"/>
        <v>6.5680943418922229E-3</v>
      </c>
      <c r="DH160" s="1">
        <f t="shared" ca="1" si="203"/>
        <v>371</v>
      </c>
      <c r="DI160" s="1">
        <f t="shared" ca="1" si="204"/>
        <v>5.8918006543640815E-2</v>
      </c>
      <c r="DJ160" s="1">
        <f t="shared" ca="1" si="205"/>
        <v>11</v>
      </c>
      <c r="DL160" s="1">
        <f t="shared" ca="1" si="206"/>
        <v>0.16950666033823075</v>
      </c>
      <c r="DM160" s="1">
        <f t="shared" ca="1" si="207"/>
        <v>120</v>
      </c>
      <c r="DN160" s="1">
        <f t="shared" ca="1" si="208"/>
        <v>2</v>
      </c>
    </row>
    <row r="161" spans="2:118" x14ac:dyDescent="0.25">
      <c r="B161">
        <f t="shared" ca="1" si="141"/>
        <v>811</v>
      </c>
      <c r="C161">
        <f t="shared" ca="1" si="142"/>
        <v>18</v>
      </c>
      <c r="D161">
        <f t="shared" ca="1" si="143"/>
        <v>0.13988632689864389</v>
      </c>
      <c r="F161" s="1">
        <f t="shared" ca="1" si="144"/>
        <v>4</v>
      </c>
      <c r="G161" s="1">
        <f t="shared" ca="1" si="145"/>
        <v>3</v>
      </c>
      <c r="H161" s="1">
        <f t="shared" ca="1" si="146"/>
        <v>4</v>
      </c>
      <c r="I161" s="1"/>
      <c r="J161" s="1">
        <f t="shared" ca="1" si="147"/>
        <v>36</v>
      </c>
      <c r="K161" s="1">
        <f t="shared" ca="1" si="148"/>
        <v>1.798074296498543</v>
      </c>
      <c r="L161" s="1">
        <f t="shared" ca="1" si="149"/>
        <v>5</v>
      </c>
      <c r="M161" s="1"/>
      <c r="N161" s="1">
        <f t="shared" ca="1" si="150"/>
        <v>331</v>
      </c>
      <c r="O161" s="1">
        <f t="shared" ca="1" si="151"/>
        <v>4</v>
      </c>
      <c r="P161" s="1"/>
      <c r="Q161" s="1">
        <f t="shared" ca="1" si="152"/>
        <v>3.4007275638917642</v>
      </c>
      <c r="R161" s="1">
        <f t="shared" ca="1" si="153"/>
        <v>629</v>
      </c>
      <c r="S161" s="1"/>
      <c r="T161" s="1">
        <f t="shared" ca="1" si="154"/>
        <v>2.2629762874072042E-2</v>
      </c>
      <c r="U161" s="1">
        <f t="shared" ca="1" si="155"/>
        <v>320</v>
      </c>
      <c r="V161" s="1">
        <f t="shared" ca="1" si="156"/>
        <v>50</v>
      </c>
      <c r="W161" s="1"/>
      <c r="X161" s="1">
        <f t="shared" ca="1" si="157"/>
        <v>6.4322920579729344</v>
      </c>
      <c r="Y161" s="1">
        <f t="shared" ca="1" si="158"/>
        <v>0.38986304350221779</v>
      </c>
      <c r="Z161" s="1">
        <f t="shared" ca="1" si="159"/>
        <v>452</v>
      </c>
      <c r="AB161" s="1">
        <f t="shared" ca="1" si="160"/>
        <v>0.34378429724790205</v>
      </c>
      <c r="AC161" s="1">
        <f t="shared" ca="1" si="161"/>
        <v>372</v>
      </c>
      <c r="AD161" s="1">
        <f t="shared" ca="1" si="162"/>
        <v>1.1943035436173756E-3</v>
      </c>
      <c r="AE161" s="1"/>
      <c r="AF161" s="1">
        <f t="shared" ca="1" si="163"/>
        <v>0.6523087982946556</v>
      </c>
      <c r="AG161" s="1">
        <f t="shared" ca="1" si="164"/>
        <v>658</v>
      </c>
      <c r="AH161" s="1">
        <f t="shared" ca="1" si="165"/>
        <v>2.5474054059234693E-3</v>
      </c>
      <c r="AJ161" s="1">
        <f t="shared" ca="1" si="166"/>
        <v>0.26532759878474366</v>
      </c>
      <c r="AK161" s="1">
        <f t="shared" ca="1" si="167"/>
        <v>8.867190969688318E-3</v>
      </c>
      <c r="AL161" s="1"/>
      <c r="AM161" s="1">
        <f t="shared" ca="1" si="168"/>
        <v>0.18281037192139984</v>
      </c>
      <c r="AN161" s="1">
        <f t="shared" ca="1" si="169"/>
        <v>65</v>
      </c>
      <c r="AO161" s="1">
        <f t="shared" ca="1" si="170"/>
        <v>14</v>
      </c>
      <c r="AQ161" s="1">
        <f t="shared" ca="1" si="171"/>
        <v>136</v>
      </c>
      <c r="AR161" s="1">
        <f t="shared" ca="1" si="172"/>
        <v>4</v>
      </c>
      <c r="AS161" s="1">
        <f t="shared" ca="1" si="173"/>
        <v>59</v>
      </c>
      <c r="AU161" s="1">
        <f t="shared" ca="1" si="174"/>
        <v>86</v>
      </c>
      <c r="AV161" s="1">
        <f t="shared" ca="1" si="175"/>
        <v>9</v>
      </c>
      <c r="AW161" s="1">
        <f t="shared" ca="1" si="176"/>
        <v>0.19616622836894188</v>
      </c>
      <c r="AY161" s="1">
        <f t="shared" ca="1" si="177"/>
        <v>1.4799878977436349</v>
      </c>
      <c r="AZ161" s="1">
        <f t="shared" ca="1" si="178"/>
        <v>226</v>
      </c>
      <c r="BA161" s="1">
        <f t="shared" ca="1" si="179"/>
        <v>1.6296824357795688E-3</v>
      </c>
      <c r="BG161" s="1">
        <f t="shared" ca="1" si="180"/>
        <v>0.24161588916570675</v>
      </c>
      <c r="BH161" s="1">
        <f t="shared" ca="1" si="181"/>
        <v>0.94324304999610997</v>
      </c>
      <c r="BI161" s="1">
        <f t="shared" ca="1" si="182"/>
        <v>639</v>
      </c>
      <c r="BV161" s="1">
        <f t="shared" ca="1" si="183"/>
        <v>6.4809370842951811E-2</v>
      </c>
      <c r="BW161" s="1">
        <f t="shared" ca="1" si="184"/>
        <v>208</v>
      </c>
      <c r="BX161" s="1">
        <f t="shared" ca="1" si="185"/>
        <v>8.6978677634667011E-3</v>
      </c>
      <c r="BY161" s="1">
        <f t="shared" ca="1" si="186"/>
        <v>8.9136539982946669E-2</v>
      </c>
      <c r="BZ161" s="1">
        <f t="shared" ca="1" si="187"/>
        <v>4.2239965399959667E-2</v>
      </c>
      <c r="CB161" s="1">
        <f t="shared" ca="1" si="188"/>
        <v>401</v>
      </c>
      <c r="CC161" s="1">
        <f t="shared" ca="1" si="189"/>
        <v>5</v>
      </c>
      <c r="CD161" s="1">
        <f t="shared" ca="1" si="190"/>
        <v>0.15433581480173017</v>
      </c>
      <c r="CE161" s="1">
        <f t="shared" ca="1" si="191"/>
        <v>0.70527039847801687</v>
      </c>
      <c r="CF161" s="1">
        <f t="shared" ca="1" si="191"/>
        <v>0.95709997469357089</v>
      </c>
      <c r="CH161" s="3">
        <f t="shared" ca="1" si="192"/>
        <v>0.45802614440619555</v>
      </c>
      <c r="CI161" s="3">
        <f t="shared" ca="1" si="193"/>
        <v>0.89052067908606614</v>
      </c>
      <c r="CJ161" s="3">
        <f t="shared" ca="1" si="194"/>
        <v>1209</v>
      </c>
      <c r="CK161" s="3">
        <f t="shared" ca="1" si="195"/>
        <v>2.064315005379359E-3</v>
      </c>
      <c r="CL161" s="3">
        <f t="shared" ca="1" si="196"/>
        <v>0</v>
      </c>
      <c r="CM161" s="3"/>
      <c r="CN161" s="1">
        <f t="shared" ca="1" si="197"/>
        <v>1.8649146831721857</v>
      </c>
      <c r="CO161" s="1">
        <f t="shared" ca="1" si="198"/>
        <v>0.47998433415475261</v>
      </c>
      <c r="CP161" s="1">
        <f t="shared" ca="1" si="199"/>
        <v>4</v>
      </c>
      <c r="CV161" s="1">
        <f t="shared" ca="1" si="200"/>
        <v>8.506731934844133</v>
      </c>
      <c r="CW161" s="1">
        <f t="shared" ca="1" si="201"/>
        <v>1390</v>
      </c>
      <c r="CX161" s="1">
        <f t="shared" ca="1" si="202"/>
        <v>9.6741220511115077E-3</v>
      </c>
      <c r="DH161" s="1">
        <f t="shared" ca="1" si="203"/>
        <v>122</v>
      </c>
      <c r="DI161" s="1">
        <f t="shared" ca="1" si="204"/>
        <v>0.5450787510291436</v>
      </c>
      <c r="DJ161" s="1">
        <f t="shared" ca="1" si="205"/>
        <v>22</v>
      </c>
      <c r="DL161" s="1">
        <f t="shared" ca="1" si="206"/>
        <v>2.9575495815883854E-2</v>
      </c>
      <c r="DM161" s="1">
        <f t="shared" ca="1" si="207"/>
        <v>236</v>
      </c>
      <c r="DN161" s="1">
        <f t="shared" ca="1" si="208"/>
        <v>9</v>
      </c>
    </row>
    <row r="162" spans="2:118" x14ac:dyDescent="0.25">
      <c r="B162">
        <f t="shared" ca="1" si="141"/>
        <v>915</v>
      </c>
      <c r="C162">
        <f t="shared" ca="1" si="142"/>
        <v>43</v>
      </c>
      <c r="D162">
        <f t="shared" ca="1" si="143"/>
        <v>0.11645845238018407</v>
      </c>
      <c r="F162" s="1">
        <f t="shared" ca="1" si="144"/>
        <v>23</v>
      </c>
      <c r="G162" s="1">
        <f t="shared" ca="1" si="145"/>
        <v>9</v>
      </c>
      <c r="H162" s="1">
        <f t="shared" ca="1" si="146"/>
        <v>13</v>
      </c>
      <c r="I162" s="1"/>
      <c r="J162" s="1">
        <f t="shared" ca="1" si="147"/>
        <v>7</v>
      </c>
      <c r="K162" s="1">
        <f t="shared" ca="1" si="148"/>
        <v>1.2411693191672819</v>
      </c>
      <c r="L162" s="1">
        <f t="shared" ca="1" si="149"/>
        <v>32</v>
      </c>
      <c r="M162" s="1"/>
      <c r="N162" s="1">
        <f t="shared" ca="1" si="150"/>
        <v>175</v>
      </c>
      <c r="O162" s="1">
        <f t="shared" ca="1" si="151"/>
        <v>40</v>
      </c>
      <c r="P162" s="1"/>
      <c r="Q162" s="1">
        <f t="shared" ca="1" si="152"/>
        <v>2.3632266848482728</v>
      </c>
      <c r="R162" s="1">
        <f t="shared" ca="1" si="153"/>
        <v>541</v>
      </c>
      <c r="S162" s="1"/>
      <c r="T162" s="1">
        <f t="shared" ca="1" si="154"/>
        <v>0.1628343222039719</v>
      </c>
      <c r="U162" s="1">
        <f t="shared" ca="1" si="155"/>
        <v>269</v>
      </c>
      <c r="V162" s="1">
        <f t="shared" ca="1" si="156"/>
        <v>22</v>
      </c>
      <c r="W162" s="1"/>
      <c r="X162" s="1">
        <f t="shared" ca="1" si="157"/>
        <v>6.0503974931990685</v>
      </c>
      <c r="Y162" s="1">
        <f t="shared" ca="1" si="158"/>
        <v>0.83417815162882469</v>
      </c>
      <c r="Z162" s="1">
        <f t="shared" ca="1" si="159"/>
        <v>300</v>
      </c>
      <c r="AB162" s="1">
        <f t="shared" ca="1" si="160"/>
        <v>0.45119583289522425</v>
      </c>
      <c r="AC162" s="1">
        <f t="shared" ca="1" si="161"/>
        <v>850</v>
      </c>
      <c r="AD162" s="1">
        <f t="shared" ca="1" si="162"/>
        <v>6.7329322084650886E-3</v>
      </c>
      <c r="AE162" s="1"/>
      <c r="AF162" s="1">
        <f t="shared" ca="1" si="163"/>
        <v>0.60313728257787169</v>
      </c>
      <c r="AG162" s="1">
        <f t="shared" ca="1" si="164"/>
        <v>587</v>
      </c>
      <c r="AH162" s="1">
        <f t="shared" ca="1" si="165"/>
        <v>8.8376948450109068E-3</v>
      </c>
      <c r="AJ162" s="1">
        <f t="shared" ca="1" si="166"/>
        <v>0.58939779791358149</v>
      </c>
      <c r="AK162" s="1">
        <f t="shared" ca="1" si="167"/>
        <v>2.5902915749966152E-3</v>
      </c>
      <c r="AL162" s="1"/>
      <c r="AM162" s="1">
        <f t="shared" ca="1" si="168"/>
        <v>0.11086071115874219</v>
      </c>
      <c r="AN162" s="1">
        <f t="shared" ca="1" si="169"/>
        <v>70</v>
      </c>
      <c r="AO162" s="1">
        <f t="shared" ca="1" si="170"/>
        <v>8</v>
      </c>
      <c r="AQ162" s="1">
        <f t="shared" ca="1" si="171"/>
        <v>169</v>
      </c>
      <c r="AR162" s="1">
        <f t="shared" ca="1" si="172"/>
        <v>5</v>
      </c>
      <c r="AS162" s="1">
        <f t="shared" ca="1" si="173"/>
        <v>92</v>
      </c>
      <c r="AU162" s="1">
        <f t="shared" ca="1" si="174"/>
        <v>307</v>
      </c>
      <c r="AV162" s="1">
        <f t="shared" ca="1" si="175"/>
        <v>4</v>
      </c>
      <c r="AW162" s="1">
        <f t="shared" ca="1" si="176"/>
        <v>0.15733278893823532</v>
      </c>
      <c r="AY162" s="1">
        <f t="shared" ca="1" si="177"/>
        <v>1.7752994038987107</v>
      </c>
      <c r="AZ162" s="1">
        <f t="shared" ca="1" si="178"/>
        <v>464</v>
      </c>
      <c r="BA162" s="1">
        <f t="shared" ca="1" si="179"/>
        <v>1.0578042188383403E-4</v>
      </c>
      <c r="BG162" s="1">
        <f t="shared" ca="1" si="180"/>
        <v>0.46455658095823138</v>
      </c>
      <c r="BH162" s="1">
        <f t="shared" ca="1" si="181"/>
        <v>0.28252065076851451</v>
      </c>
      <c r="BI162" s="1">
        <f t="shared" ca="1" si="182"/>
        <v>523</v>
      </c>
      <c r="BV162" s="1">
        <f t="shared" ca="1" si="183"/>
        <v>0.67977614523182683</v>
      </c>
      <c r="BW162" s="1">
        <f t="shared" ca="1" si="184"/>
        <v>274</v>
      </c>
      <c r="BX162" s="1">
        <f t="shared" ca="1" si="185"/>
        <v>3.4460790195422171E-3</v>
      </c>
      <c r="BY162" s="1">
        <f t="shared" ca="1" si="186"/>
        <v>1.7136305701449788E-2</v>
      </c>
      <c r="BZ162" s="1">
        <f t="shared" ca="1" si="187"/>
        <v>0.84679201747990518</v>
      </c>
      <c r="CB162" s="1">
        <f t="shared" ca="1" si="188"/>
        <v>111</v>
      </c>
      <c r="CC162" s="1">
        <f t="shared" ca="1" si="189"/>
        <v>5</v>
      </c>
      <c r="CD162" s="1">
        <f t="shared" ca="1" si="190"/>
        <v>0.13864073085371606</v>
      </c>
      <c r="CE162" s="1">
        <f t="shared" ca="1" si="191"/>
        <v>0.7105416061703963</v>
      </c>
      <c r="CF162" s="1">
        <f t="shared" ca="1" si="191"/>
        <v>0.90457938744734379</v>
      </c>
      <c r="CH162" s="3">
        <f t="shared" ca="1" si="192"/>
        <v>0.51587319942416898</v>
      </c>
      <c r="CI162" s="3">
        <f t="shared" ca="1" si="193"/>
        <v>0.9116216137994313</v>
      </c>
      <c r="CJ162" s="3">
        <f t="shared" ca="1" si="194"/>
        <v>1504</v>
      </c>
      <c r="CK162" s="3">
        <f t="shared" ca="1" si="195"/>
        <v>6.0473704245638804E-3</v>
      </c>
      <c r="CL162" s="3">
        <f t="shared" ca="1" si="196"/>
        <v>0</v>
      </c>
      <c r="CM162" s="3"/>
      <c r="CN162" s="1">
        <f t="shared" ca="1" si="197"/>
        <v>3.3874885966558845</v>
      </c>
      <c r="CO162" s="1">
        <f t="shared" ca="1" si="198"/>
        <v>0.4364195146982352</v>
      </c>
      <c r="CP162" s="1">
        <f t="shared" ca="1" si="199"/>
        <v>5</v>
      </c>
      <c r="CV162" s="1">
        <f t="shared" ca="1" si="200"/>
        <v>4.5085560832498048</v>
      </c>
      <c r="CW162" s="1">
        <f t="shared" ca="1" si="201"/>
        <v>1717</v>
      </c>
      <c r="CX162" s="1">
        <f t="shared" ca="1" si="202"/>
        <v>9.4273175515567215E-3</v>
      </c>
      <c r="DH162" s="1">
        <f t="shared" ca="1" si="203"/>
        <v>860</v>
      </c>
      <c r="DI162" s="1">
        <f t="shared" ca="1" si="204"/>
        <v>0.76651709342885921</v>
      </c>
      <c r="DJ162" s="1">
        <f t="shared" ca="1" si="205"/>
        <v>23</v>
      </c>
      <c r="DL162" s="1">
        <f t="shared" ca="1" si="206"/>
        <v>0.19239358972325957</v>
      </c>
      <c r="DM162" s="1">
        <f t="shared" ca="1" si="207"/>
        <v>105</v>
      </c>
      <c r="DN162" s="1">
        <f t="shared" ca="1" si="208"/>
        <v>5</v>
      </c>
    </row>
    <row r="163" spans="2:118" x14ac:dyDescent="0.25">
      <c r="B163">
        <f t="shared" ca="1" si="141"/>
        <v>126</v>
      </c>
      <c r="C163">
        <f t="shared" ca="1" si="142"/>
        <v>39</v>
      </c>
      <c r="D163">
        <f t="shared" ca="1" si="143"/>
        <v>0.17301958828175951</v>
      </c>
      <c r="F163" s="1">
        <f t="shared" ca="1" si="144"/>
        <v>12</v>
      </c>
      <c r="G163" s="1">
        <f t="shared" ca="1" si="145"/>
        <v>6</v>
      </c>
      <c r="H163" s="1">
        <f t="shared" ca="1" si="146"/>
        <v>12</v>
      </c>
      <c r="I163" s="1"/>
      <c r="J163" s="1">
        <f t="shared" ca="1" si="147"/>
        <v>24</v>
      </c>
      <c r="K163" s="1">
        <f t="shared" ca="1" si="148"/>
        <v>2.0351537035180725</v>
      </c>
      <c r="L163" s="1">
        <f t="shared" ca="1" si="149"/>
        <v>32</v>
      </c>
      <c r="M163" s="1"/>
      <c r="N163" s="1">
        <f t="shared" ca="1" si="150"/>
        <v>524</v>
      </c>
      <c r="O163" s="1">
        <f t="shared" ca="1" si="151"/>
        <v>39</v>
      </c>
      <c r="P163" s="1"/>
      <c r="Q163" s="1">
        <f t="shared" ca="1" si="152"/>
        <v>3.8924899466305782</v>
      </c>
      <c r="R163" s="1">
        <f t="shared" ca="1" si="153"/>
        <v>1036</v>
      </c>
      <c r="S163" s="1"/>
      <c r="T163" s="1">
        <f t="shared" ca="1" si="154"/>
        <v>0.14662019848957744</v>
      </c>
      <c r="U163" s="1">
        <f t="shared" ca="1" si="155"/>
        <v>256</v>
      </c>
      <c r="V163" s="1">
        <f t="shared" ca="1" si="156"/>
        <v>13</v>
      </c>
      <c r="W163" s="1"/>
      <c r="X163" s="1">
        <f t="shared" ca="1" si="157"/>
        <v>3.2206562913682681</v>
      </c>
      <c r="Y163" s="1">
        <f t="shared" ca="1" si="158"/>
        <v>0.67290230894187375</v>
      </c>
      <c r="Z163" s="1">
        <f t="shared" ca="1" si="159"/>
        <v>301</v>
      </c>
      <c r="AB163" s="1">
        <f t="shared" ca="1" si="160"/>
        <v>0.7723918620186544</v>
      </c>
      <c r="AC163" s="1">
        <f t="shared" ca="1" si="161"/>
        <v>664</v>
      </c>
      <c r="AD163" s="1">
        <f t="shared" ca="1" si="162"/>
        <v>6.3734159810671176E-3</v>
      </c>
      <c r="AE163" s="1"/>
      <c r="AF163" s="1">
        <f t="shared" ca="1" si="163"/>
        <v>0.68978923243646628</v>
      </c>
      <c r="AG163" s="1">
        <f t="shared" ca="1" si="164"/>
        <v>432</v>
      </c>
      <c r="AH163" s="1">
        <f t="shared" ca="1" si="165"/>
        <v>5.2615477503625925E-3</v>
      </c>
      <c r="AJ163" s="1">
        <f t="shared" ca="1" si="166"/>
        <v>0.51801055034526611</v>
      </c>
      <c r="AK163" s="1">
        <f t="shared" ca="1" si="167"/>
        <v>4.8921622354184185E-3</v>
      </c>
      <c r="AL163" s="1"/>
      <c r="AM163" s="1">
        <f t="shared" ca="1" si="168"/>
        <v>0.192229827302872</v>
      </c>
      <c r="AN163" s="1">
        <f t="shared" ca="1" si="169"/>
        <v>60</v>
      </c>
      <c r="AO163" s="1">
        <f t="shared" ca="1" si="170"/>
        <v>13</v>
      </c>
      <c r="AQ163" s="1">
        <f t="shared" ca="1" si="171"/>
        <v>76</v>
      </c>
      <c r="AR163" s="1">
        <f t="shared" ca="1" si="172"/>
        <v>3</v>
      </c>
      <c r="AS163" s="1">
        <f t="shared" ca="1" si="173"/>
        <v>80</v>
      </c>
      <c r="AU163" s="1">
        <f t="shared" ca="1" si="174"/>
        <v>359</v>
      </c>
      <c r="AV163" s="1">
        <f t="shared" ca="1" si="175"/>
        <v>7</v>
      </c>
      <c r="AW163" s="1">
        <f t="shared" ca="1" si="176"/>
        <v>1.9719550894082373E-2</v>
      </c>
      <c r="AY163" s="1">
        <f t="shared" ca="1" si="177"/>
        <v>1.3469006956205694</v>
      </c>
      <c r="AZ163" s="1">
        <f t="shared" ca="1" si="178"/>
        <v>359</v>
      </c>
      <c r="BA163" s="1">
        <f t="shared" ca="1" si="179"/>
        <v>4.1202520352481642E-3</v>
      </c>
      <c r="BG163" s="1">
        <f t="shared" ca="1" si="180"/>
        <v>0.36901002717191861</v>
      </c>
      <c r="BH163" s="1">
        <f t="shared" ca="1" si="181"/>
        <v>0.69411866254503507</v>
      </c>
      <c r="BI163" s="1">
        <f t="shared" ca="1" si="182"/>
        <v>493</v>
      </c>
      <c r="BV163" s="1">
        <f t="shared" ca="1" si="183"/>
        <v>0.80227802835683326</v>
      </c>
      <c r="BW163" s="1">
        <f t="shared" ca="1" si="184"/>
        <v>479</v>
      </c>
      <c r="BX163" s="1">
        <f t="shared" ca="1" si="185"/>
        <v>9.6371388712123956E-3</v>
      </c>
      <c r="BY163" s="1">
        <f t="shared" ca="1" si="186"/>
        <v>2.602973776667411E-2</v>
      </c>
      <c r="BZ163" s="1">
        <f t="shared" ca="1" si="187"/>
        <v>1.6052076821160277E-2</v>
      </c>
      <c r="CB163" s="1">
        <f t="shared" ca="1" si="188"/>
        <v>391</v>
      </c>
      <c r="CC163" s="1">
        <f t="shared" ca="1" si="189"/>
        <v>7</v>
      </c>
      <c r="CD163" s="1">
        <f t="shared" ca="1" si="190"/>
        <v>2.4251856195795875E-2</v>
      </c>
      <c r="CE163" s="1">
        <f t="shared" ca="1" si="191"/>
        <v>0.95832213475507788</v>
      </c>
      <c r="CF163" s="1">
        <f t="shared" ca="1" si="191"/>
        <v>0.55136792876000207</v>
      </c>
      <c r="CH163" s="3">
        <f t="shared" ca="1" si="192"/>
        <v>0.60847792103049947</v>
      </c>
      <c r="CI163" s="3">
        <f t="shared" ca="1" si="193"/>
        <v>0.72871016965278879</v>
      </c>
      <c r="CJ163" s="3">
        <f t="shared" ca="1" si="194"/>
        <v>441</v>
      </c>
      <c r="CK163" s="3">
        <f t="shared" ca="1" si="195"/>
        <v>4.7955495194326424E-3</v>
      </c>
      <c r="CL163" s="3">
        <f t="shared" ca="1" si="196"/>
        <v>0</v>
      </c>
      <c r="CM163" s="3"/>
      <c r="CN163" s="1">
        <f t="shared" ca="1" si="197"/>
        <v>19.324273011966</v>
      </c>
      <c r="CO163" s="1">
        <f t="shared" ca="1" si="198"/>
        <v>0.27546058502345133</v>
      </c>
      <c r="CP163" s="1">
        <f t="shared" ca="1" si="199"/>
        <v>1</v>
      </c>
      <c r="CV163" s="1">
        <f t="shared" ca="1" si="200"/>
        <v>8.4894254155680091</v>
      </c>
      <c r="CW163" s="1">
        <f t="shared" ca="1" si="201"/>
        <v>945</v>
      </c>
      <c r="CX163" s="1">
        <f t="shared" ca="1" si="202"/>
        <v>5.7337891081526175E-3</v>
      </c>
      <c r="DH163" s="1">
        <f t="shared" ca="1" si="203"/>
        <v>763</v>
      </c>
      <c r="DI163" s="1">
        <f t="shared" ca="1" si="204"/>
        <v>0.80682117356736116</v>
      </c>
      <c r="DJ163" s="1">
        <f t="shared" ca="1" si="205"/>
        <v>25</v>
      </c>
      <c r="DL163" s="1">
        <f t="shared" ca="1" si="206"/>
        <v>0.13090914958985664</v>
      </c>
      <c r="DM163" s="1">
        <f t="shared" ca="1" si="207"/>
        <v>120</v>
      </c>
      <c r="DN163" s="1">
        <f t="shared" ca="1" si="208"/>
        <v>4</v>
      </c>
    </row>
    <row r="164" spans="2:118" x14ac:dyDescent="0.25">
      <c r="B164">
        <f t="shared" ca="1" si="141"/>
        <v>34</v>
      </c>
      <c r="C164">
        <f t="shared" ca="1" si="142"/>
        <v>13</v>
      </c>
      <c r="D164">
        <f t="shared" ca="1" si="143"/>
        <v>0.21355488921521215</v>
      </c>
      <c r="F164" s="1">
        <f t="shared" ca="1" si="144"/>
        <v>10</v>
      </c>
      <c r="G164" s="1">
        <f t="shared" ca="1" si="145"/>
        <v>30</v>
      </c>
      <c r="H164" s="1">
        <f t="shared" ca="1" si="146"/>
        <v>6</v>
      </c>
      <c r="I164" s="1"/>
      <c r="J164" s="1">
        <f t="shared" ca="1" si="147"/>
        <v>31</v>
      </c>
      <c r="K164" s="1">
        <f t="shared" ca="1" si="148"/>
        <v>1.4632232671525527</v>
      </c>
      <c r="L164" s="1">
        <f t="shared" ca="1" si="149"/>
        <v>13</v>
      </c>
      <c r="M164" s="1"/>
      <c r="N164" s="1">
        <f t="shared" ca="1" si="150"/>
        <v>322</v>
      </c>
      <c r="O164" s="1">
        <f t="shared" ca="1" si="151"/>
        <v>28</v>
      </c>
      <c r="P164" s="1"/>
      <c r="Q164" s="1">
        <f t="shared" ca="1" si="152"/>
        <v>4.8907982715222769</v>
      </c>
      <c r="R164" s="1">
        <f t="shared" ca="1" si="153"/>
        <v>1129</v>
      </c>
      <c r="S164" s="1"/>
      <c r="T164" s="1">
        <f t="shared" ca="1" si="154"/>
        <v>0.10327903461610259</v>
      </c>
      <c r="U164" s="1">
        <f t="shared" ca="1" si="155"/>
        <v>82</v>
      </c>
      <c r="V164" s="1">
        <f t="shared" ca="1" si="156"/>
        <v>14</v>
      </c>
      <c r="W164" s="1"/>
      <c r="X164" s="1">
        <f t="shared" ca="1" si="157"/>
        <v>1.840710441015657</v>
      </c>
      <c r="Y164" s="1">
        <f t="shared" ca="1" si="158"/>
        <v>8.4977643156558064E-2</v>
      </c>
      <c r="Z164" s="1">
        <f t="shared" ca="1" si="159"/>
        <v>1020</v>
      </c>
      <c r="AB164" s="1">
        <f t="shared" ca="1" si="160"/>
        <v>0.50348552537417179</v>
      </c>
      <c r="AC164" s="1">
        <f t="shared" ca="1" si="161"/>
        <v>828</v>
      </c>
      <c r="AD164" s="1">
        <f t="shared" ca="1" si="162"/>
        <v>3.9428521050709183E-3</v>
      </c>
      <c r="AE164" s="1"/>
      <c r="AF164" s="1">
        <f t="shared" ca="1" si="163"/>
        <v>0.56108220492316296</v>
      </c>
      <c r="AG164" s="1">
        <f t="shared" ca="1" si="164"/>
        <v>414</v>
      </c>
      <c r="AH164" s="1">
        <f t="shared" ca="1" si="165"/>
        <v>6.2799640768722367E-3</v>
      </c>
      <c r="AJ164" s="1">
        <f t="shared" ca="1" si="166"/>
        <v>0.65901989190809729</v>
      </c>
      <c r="AK164" s="1">
        <f t="shared" ca="1" si="167"/>
        <v>8.6775849167749965E-3</v>
      </c>
      <c r="AL164" s="1"/>
      <c r="AM164" s="1">
        <f t="shared" ca="1" si="168"/>
        <v>0.17530956270884812</v>
      </c>
      <c r="AN164" s="1">
        <f t="shared" ca="1" si="169"/>
        <v>12</v>
      </c>
      <c r="AO164" s="1">
        <f t="shared" ca="1" si="170"/>
        <v>7</v>
      </c>
      <c r="AQ164" s="1">
        <f t="shared" ca="1" si="171"/>
        <v>20</v>
      </c>
      <c r="AR164" s="1">
        <f t="shared" ca="1" si="172"/>
        <v>6</v>
      </c>
      <c r="AS164" s="1">
        <f t="shared" ca="1" si="173"/>
        <v>57</v>
      </c>
      <c r="AU164" s="1">
        <f t="shared" ca="1" si="174"/>
        <v>179</v>
      </c>
      <c r="AV164" s="1">
        <f t="shared" ca="1" si="175"/>
        <v>9</v>
      </c>
      <c r="AW164" s="1">
        <f t="shared" ca="1" si="176"/>
        <v>0.14529124760288628</v>
      </c>
      <c r="AY164" s="1">
        <f t="shared" ca="1" si="177"/>
        <v>1.661196799757823</v>
      </c>
      <c r="AZ164" s="1">
        <f t="shared" ca="1" si="178"/>
        <v>309</v>
      </c>
      <c r="BA164" s="1">
        <f t="shared" ca="1" si="179"/>
        <v>1.6183126962862867E-3</v>
      </c>
      <c r="BG164" s="1">
        <f t="shared" ca="1" si="180"/>
        <v>7.8495367854312076E-2</v>
      </c>
      <c r="BH164" s="1">
        <f t="shared" ca="1" si="181"/>
        <v>0.47654976799394089</v>
      </c>
      <c r="BI164" s="1">
        <f t="shared" ca="1" si="182"/>
        <v>464</v>
      </c>
      <c r="BV164" s="1">
        <f t="shared" ca="1" si="183"/>
        <v>0.38149679007049198</v>
      </c>
      <c r="BW164" s="1">
        <f t="shared" ca="1" si="184"/>
        <v>407</v>
      </c>
      <c r="BX164" s="1">
        <f t="shared" ca="1" si="185"/>
        <v>7.7797291008061577E-3</v>
      </c>
      <c r="BY164" s="1">
        <f t="shared" ca="1" si="186"/>
        <v>1.249489538884886E-2</v>
      </c>
      <c r="BZ164" s="1">
        <f t="shared" ca="1" si="187"/>
        <v>5.8490887889554255E-2</v>
      </c>
      <c r="CB164" s="1">
        <f t="shared" ca="1" si="188"/>
        <v>288</v>
      </c>
      <c r="CC164" s="1">
        <f t="shared" ca="1" si="189"/>
        <v>11</v>
      </c>
      <c r="CD164" s="1">
        <f t="shared" ca="1" si="190"/>
        <v>0.23216108202312657</v>
      </c>
      <c r="CE164" s="1">
        <f t="shared" ref="CE164:CF202" ca="1" si="209">RAND()*(1-0.5)+0.5</f>
        <v>0.71463532608183633</v>
      </c>
      <c r="CF164" s="1">
        <f t="shared" ca="1" si="209"/>
        <v>0.59192745058726248</v>
      </c>
      <c r="CH164" s="3">
        <f t="shared" ca="1" si="192"/>
        <v>0.67329680271254577</v>
      </c>
      <c r="CI164" s="3">
        <f t="shared" ca="1" si="193"/>
        <v>0.30387827456499178</v>
      </c>
      <c r="CJ164" s="3">
        <f t="shared" ca="1" si="194"/>
        <v>370</v>
      </c>
      <c r="CK164" s="3">
        <f t="shared" ca="1" si="195"/>
        <v>8.021170346226101E-3</v>
      </c>
      <c r="CL164" s="3">
        <f t="shared" ca="1" si="196"/>
        <v>1</v>
      </c>
      <c r="CM164" s="3"/>
      <c r="CN164" s="1">
        <f t="shared" ca="1" si="197"/>
        <v>3.1507872673121762</v>
      </c>
      <c r="CO164" s="1">
        <f t="shared" ca="1" si="198"/>
        <v>6.8307240579076889E-2</v>
      </c>
      <c r="CP164" s="1">
        <f t="shared" ca="1" si="199"/>
        <v>1</v>
      </c>
      <c r="CV164" s="1">
        <f t="shared" ca="1" si="200"/>
        <v>3.8153342759869746</v>
      </c>
      <c r="CW164" s="1">
        <f t="shared" ca="1" si="201"/>
        <v>1990</v>
      </c>
      <c r="CX164" s="1">
        <f t="shared" ca="1" si="202"/>
        <v>3.5766241420485618E-3</v>
      </c>
      <c r="DH164" s="1">
        <f t="shared" ca="1" si="203"/>
        <v>892</v>
      </c>
      <c r="DI164" s="1">
        <f t="shared" ca="1" si="204"/>
        <v>6.7413583171646099E-2</v>
      </c>
      <c r="DJ164" s="1">
        <f t="shared" ca="1" si="205"/>
        <v>22</v>
      </c>
      <c r="DL164" s="1">
        <f t="shared" ca="1" si="206"/>
        <v>6.0721967538813724E-2</v>
      </c>
      <c r="DM164" s="1">
        <f t="shared" ca="1" si="207"/>
        <v>90</v>
      </c>
      <c r="DN164" s="1">
        <f t="shared" ca="1" si="208"/>
        <v>8</v>
      </c>
    </row>
    <row r="165" spans="2:118" x14ac:dyDescent="0.25">
      <c r="B165">
        <f t="shared" ca="1" si="141"/>
        <v>939</v>
      </c>
      <c r="C165">
        <f t="shared" ca="1" si="142"/>
        <v>17</v>
      </c>
      <c r="D165">
        <f t="shared" ca="1" si="143"/>
        <v>0.22404943028208171</v>
      </c>
      <c r="F165" s="1">
        <f t="shared" ca="1" si="144"/>
        <v>29</v>
      </c>
      <c r="G165" s="1">
        <f t="shared" ca="1" si="145"/>
        <v>21</v>
      </c>
      <c r="H165" s="1">
        <f t="shared" ca="1" si="146"/>
        <v>9</v>
      </c>
      <c r="I165" s="1"/>
      <c r="J165" s="1">
        <f t="shared" ca="1" si="147"/>
        <v>4</v>
      </c>
      <c r="K165" s="1">
        <f t="shared" ca="1" si="148"/>
        <v>2.062992070449706</v>
      </c>
      <c r="L165" s="1">
        <f t="shared" ca="1" si="149"/>
        <v>23</v>
      </c>
      <c r="M165" s="1"/>
      <c r="N165" s="1">
        <f t="shared" ca="1" si="150"/>
        <v>931</v>
      </c>
      <c r="O165" s="1">
        <f t="shared" ca="1" si="151"/>
        <v>51</v>
      </c>
      <c r="P165" s="1"/>
      <c r="Q165" s="1">
        <f t="shared" ca="1" si="152"/>
        <v>0.37196666052711796</v>
      </c>
      <c r="R165" s="1">
        <f t="shared" ca="1" si="153"/>
        <v>543</v>
      </c>
      <c r="S165" s="1"/>
      <c r="T165" s="1">
        <f t="shared" ca="1" si="154"/>
        <v>0.1733609209387891</v>
      </c>
      <c r="U165" s="1">
        <f t="shared" ca="1" si="155"/>
        <v>113</v>
      </c>
      <c r="V165" s="1">
        <f t="shared" ca="1" si="156"/>
        <v>51</v>
      </c>
      <c r="W165" s="1"/>
      <c r="X165" s="1">
        <f t="shared" ca="1" si="157"/>
        <v>6.3377167068974414</v>
      </c>
      <c r="Y165" s="1">
        <f t="shared" ca="1" si="158"/>
        <v>0.49613410284594045</v>
      </c>
      <c r="Z165" s="1">
        <f t="shared" ca="1" si="159"/>
        <v>822</v>
      </c>
      <c r="AB165" s="1">
        <f t="shared" ca="1" si="160"/>
        <v>0.57031105212484567</v>
      </c>
      <c r="AC165" s="1">
        <f t="shared" ca="1" si="161"/>
        <v>936</v>
      </c>
      <c r="AD165" s="1">
        <f t="shared" ca="1" si="162"/>
        <v>5.2343417087456507E-3</v>
      </c>
      <c r="AE165" s="1"/>
      <c r="AF165" s="1">
        <f t="shared" ca="1" si="163"/>
        <v>0.21248523761497556</v>
      </c>
      <c r="AG165" s="1">
        <f t="shared" ca="1" si="164"/>
        <v>171</v>
      </c>
      <c r="AH165" s="1">
        <f t="shared" ca="1" si="165"/>
        <v>6.1656150991590639E-3</v>
      </c>
      <c r="AJ165" s="1">
        <f t="shared" ca="1" si="166"/>
        <v>0.71038586820558347</v>
      </c>
      <c r="AK165" s="1">
        <f t="shared" ca="1" si="167"/>
        <v>6.1250860402987974E-3</v>
      </c>
      <c r="AL165" s="1"/>
      <c r="AM165" s="1">
        <f t="shared" ca="1" si="168"/>
        <v>4.506512141381095E-2</v>
      </c>
      <c r="AN165" s="1">
        <f t="shared" ca="1" si="169"/>
        <v>40</v>
      </c>
      <c r="AO165" s="1">
        <f t="shared" ca="1" si="170"/>
        <v>16</v>
      </c>
      <c r="AQ165" s="1">
        <f t="shared" ca="1" si="171"/>
        <v>55</v>
      </c>
      <c r="AR165" s="1">
        <f t="shared" ca="1" si="172"/>
        <v>2</v>
      </c>
      <c r="AS165" s="1">
        <f t="shared" ca="1" si="173"/>
        <v>56</v>
      </c>
      <c r="AU165" s="1">
        <f t="shared" ca="1" si="174"/>
        <v>356</v>
      </c>
      <c r="AV165" s="1">
        <f t="shared" ca="1" si="175"/>
        <v>5</v>
      </c>
      <c r="AW165" s="1">
        <f t="shared" ca="1" si="176"/>
        <v>0.18366370351462949</v>
      </c>
      <c r="AY165" s="1">
        <f t="shared" ca="1" si="177"/>
        <v>1.1976089458200154</v>
      </c>
      <c r="AZ165" s="1">
        <f t="shared" ca="1" si="178"/>
        <v>470</v>
      </c>
      <c r="BA165" s="1">
        <f t="shared" ca="1" si="179"/>
        <v>3.3612844967213645E-3</v>
      </c>
      <c r="BG165" s="1">
        <f t="shared" ca="1" si="180"/>
        <v>0.79312307873060783</v>
      </c>
      <c r="BH165" s="1">
        <f t="shared" ca="1" si="181"/>
        <v>0.38146991788579021</v>
      </c>
      <c r="BI165" s="1">
        <f t="shared" ca="1" si="182"/>
        <v>603</v>
      </c>
      <c r="BV165" s="1">
        <f t="shared" ca="1" si="183"/>
        <v>1.5113500318577348E-3</v>
      </c>
      <c r="BW165" s="1">
        <f t="shared" ca="1" si="184"/>
        <v>336</v>
      </c>
      <c r="BX165" s="1">
        <f t="shared" ca="1" si="185"/>
        <v>5.6168651029329343E-3</v>
      </c>
      <c r="BY165" s="1">
        <f t="shared" ca="1" si="186"/>
        <v>4.6497483944822851E-2</v>
      </c>
      <c r="BZ165" s="1">
        <f t="shared" ca="1" si="187"/>
        <v>0.16219208988100564</v>
      </c>
      <c r="CB165" s="1">
        <f t="shared" ca="1" si="188"/>
        <v>424</v>
      </c>
      <c r="CC165" s="1">
        <f t="shared" ca="1" si="189"/>
        <v>7</v>
      </c>
      <c r="CD165" s="1">
        <f t="shared" ca="1" si="190"/>
        <v>7.8051141501064333E-2</v>
      </c>
      <c r="CE165" s="1">
        <f t="shared" ca="1" si="209"/>
        <v>0.5771568173349757</v>
      </c>
      <c r="CF165" s="1">
        <f t="shared" ca="1" si="209"/>
        <v>0.90080530555136151</v>
      </c>
      <c r="CH165" s="3">
        <f t="shared" ca="1" si="192"/>
        <v>0.27941133301469717</v>
      </c>
      <c r="CI165" s="3">
        <f t="shared" ca="1" si="193"/>
        <v>0.34421873124060376</v>
      </c>
      <c r="CJ165" s="3">
        <f t="shared" ca="1" si="194"/>
        <v>1997</v>
      </c>
      <c r="CK165" s="3">
        <f t="shared" ca="1" si="195"/>
        <v>2.4068537277371267E-3</v>
      </c>
      <c r="CL165" s="3">
        <f t="shared" ca="1" si="196"/>
        <v>0</v>
      </c>
      <c r="CM165" s="3"/>
      <c r="CN165" s="1">
        <f t="shared" ca="1" si="197"/>
        <v>10.905751688412581</v>
      </c>
      <c r="CO165" s="1">
        <f t="shared" ca="1" si="198"/>
        <v>9.2989696438195088E-2</v>
      </c>
      <c r="CP165" s="1">
        <f t="shared" ca="1" si="199"/>
        <v>2</v>
      </c>
      <c r="CV165" s="1">
        <f t="shared" ca="1" si="200"/>
        <v>1.4814628627298205</v>
      </c>
      <c r="CW165" s="1">
        <f t="shared" ca="1" si="201"/>
        <v>1656</v>
      </c>
      <c r="CX165" s="1">
        <f t="shared" ca="1" si="202"/>
        <v>1.8370097836886146E-3</v>
      </c>
      <c r="DH165" s="1">
        <f t="shared" ca="1" si="203"/>
        <v>184</v>
      </c>
      <c r="DI165" s="1">
        <f t="shared" ca="1" si="204"/>
        <v>0.8435788241280604</v>
      </c>
      <c r="DJ165" s="1">
        <f t="shared" ca="1" si="205"/>
        <v>1</v>
      </c>
      <c r="DL165" s="1">
        <f t="shared" ca="1" si="206"/>
        <v>0.15602687475463542</v>
      </c>
      <c r="DM165" s="1">
        <f t="shared" ca="1" si="207"/>
        <v>278</v>
      </c>
      <c r="DN165" s="1">
        <f t="shared" ca="1" si="208"/>
        <v>1</v>
      </c>
    </row>
    <row r="166" spans="2:118" x14ac:dyDescent="0.25">
      <c r="B166">
        <f t="shared" ca="1" si="141"/>
        <v>382</v>
      </c>
      <c r="C166">
        <f t="shared" ca="1" si="142"/>
        <v>23</v>
      </c>
      <c r="D166">
        <f t="shared" ca="1" si="143"/>
        <v>0.22258404924267566</v>
      </c>
      <c r="F166" s="1">
        <f t="shared" ca="1" si="144"/>
        <v>34</v>
      </c>
      <c r="G166" s="1">
        <f t="shared" ca="1" si="145"/>
        <v>2</v>
      </c>
      <c r="H166" s="1">
        <f t="shared" ca="1" si="146"/>
        <v>5</v>
      </c>
      <c r="I166" s="1"/>
      <c r="J166" s="1">
        <f t="shared" ca="1" si="147"/>
        <v>14</v>
      </c>
      <c r="K166" s="1">
        <f t="shared" ca="1" si="148"/>
        <v>1.6813116261520908</v>
      </c>
      <c r="L166" s="1">
        <f t="shared" ca="1" si="149"/>
        <v>27</v>
      </c>
      <c r="M166" s="1"/>
      <c r="N166" s="1">
        <f t="shared" ca="1" si="150"/>
        <v>653</v>
      </c>
      <c r="O166" s="1">
        <f t="shared" ca="1" si="151"/>
        <v>10</v>
      </c>
      <c r="P166" s="1"/>
      <c r="Q166" s="1">
        <f t="shared" ca="1" si="152"/>
        <v>2.3086241839919213</v>
      </c>
      <c r="R166" s="1">
        <f t="shared" ca="1" si="153"/>
        <v>658</v>
      </c>
      <c r="S166" s="1"/>
      <c r="T166" s="1">
        <f t="shared" ca="1" si="154"/>
        <v>0.18636297022960496</v>
      </c>
      <c r="U166" s="1">
        <f t="shared" ca="1" si="155"/>
        <v>266</v>
      </c>
      <c r="V166" s="1">
        <f t="shared" ca="1" si="156"/>
        <v>8</v>
      </c>
      <c r="W166" s="1"/>
      <c r="X166" s="1">
        <f t="shared" ca="1" si="157"/>
        <v>3.223419548756532</v>
      </c>
      <c r="Y166" s="1">
        <f t="shared" ca="1" si="158"/>
        <v>0.2505275778853831</v>
      </c>
      <c r="Z166" s="1">
        <f t="shared" ca="1" si="159"/>
        <v>852</v>
      </c>
      <c r="AB166" s="1">
        <f t="shared" ca="1" si="160"/>
        <v>0.46500038566311835</v>
      </c>
      <c r="AC166" s="1">
        <f t="shared" ca="1" si="161"/>
        <v>405</v>
      </c>
      <c r="AD166" s="1">
        <f t="shared" ca="1" si="162"/>
        <v>9.9544504919982513E-3</v>
      </c>
      <c r="AE166" s="1"/>
      <c r="AF166" s="1">
        <f t="shared" ca="1" si="163"/>
        <v>0.69806455607582041</v>
      </c>
      <c r="AG166" s="1">
        <f t="shared" ca="1" si="164"/>
        <v>600</v>
      </c>
      <c r="AH166" s="1">
        <f t="shared" ca="1" si="165"/>
        <v>7.4655104926152557E-3</v>
      </c>
      <c r="AJ166" s="1">
        <f t="shared" ca="1" si="166"/>
        <v>0.31555632684836166</v>
      </c>
      <c r="AK166" s="1">
        <f t="shared" ca="1" si="167"/>
        <v>6.2636916630262572E-3</v>
      </c>
      <c r="AL166" s="1"/>
      <c r="AM166" s="1">
        <f t="shared" ca="1" si="168"/>
        <v>0.11073267384255514</v>
      </c>
      <c r="AN166" s="1">
        <f t="shared" ca="1" si="169"/>
        <v>71</v>
      </c>
      <c r="AO166" s="1">
        <f t="shared" ca="1" si="170"/>
        <v>6</v>
      </c>
      <c r="AQ166" s="1">
        <f t="shared" ca="1" si="171"/>
        <v>30</v>
      </c>
      <c r="AR166" s="1">
        <f t="shared" ca="1" si="172"/>
        <v>0</v>
      </c>
      <c r="AS166" s="1">
        <f t="shared" ca="1" si="173"/>
        <v>45</v>
      </c>
      <c r="AU166" s="1">
        <f t="shared" ca="1" si="174"/>
        <v>148</v>
      </c>
      <c r="AV166" s="1">
        <f t="shared" ca="1" si="175"/>
        <v>10</v>
      </c>
      <c r="AW166" s="1">
        <f t="shared" ca="1" si="176"/>
        <v>5.1828495671157125E-2</v>
      </c>
      <c r="AY166" s="1">
        <f t="shared" ca="1" si="177"/>
        <v>1.8854833995173628</v>
      </c>
      <c r="AZ166" s="1">
        <f t="shared" ca="1" si="178"/>
        <v>420</v>
      </c>
      <c r="BA166" s="1">
        <f t="shared" ca="1" si="179"/>
        <v>6.4547499846476872E-3</v>
      </c>
      <c r="BG166" s="1">
        <f t="shared" ca="1" si="180"/>
        <v>0.75889566702682065</v>
      </c>
      <c r="BH166" s="1">
        <f t="shared" ca="1" si="181"/>
        <v>0.10418020620530477</v>
      </c>
      <c r="BI166" s="1">
        <f t="shared" ca="1" si="182"/>
        <v>502</v>
      </c>
      <c r="BV166" s="1">
        <f t="shared" ca="1" si="183"/>
        <v>0.61465924117042814</v>
      </c>
      <c r="BW166" s="1">
        <f t="shared" ca="1" si="184"/>
        <v>267</v>
      </c>
      <c r="BX166" s="1">
        <f t="shared" ca="1" si="185"/>
        <v>2.5708511572540916E-3</v>
      </c>
      <c r="BY166" s="1">
        <f t="shared" ca="1" si="186"/>
        <v>8.4692617421360791E-2</v>
      </c>
      <c r="BZ166" s="1">
        <f t="shared" ca="1" si="187"/>
        <v>0.64576813262230415</v>
      </c>
      <c r="CB166" s="1">
        <f t="shared" ca="1" si="188"/>
        <v>441</v>
      </c>
      <c r="CC166" s="1">
        <f t="shared" ca="1" si="189"/>
        <v>4</v>
      </c>
      <c r="CD166" s="1">
        <f t="shared" ca="1" si="190"/>
        <v>6.5299378878475686E-2</v>
      </c>
      <c r="CE166" s="1">
        <f t="shared" ca="1" si="209"/>
        <v>0.59049368071946651</v>
      </c>
      <c r="CF166" s="1">
        <f t="shared" ca="1" si="209"/>
        <v>0.81864645889478771</v>
      </c>
      <c r="CH166" s="3">
        <f t="shared" ca="1" si="192"/>
        <v>0.59695106100652739</v>
      </c>
      <c r="CI166" s="3">
        <f t="shared" ca="1" si="193"/>
        <v>0.26323180139103913</v>
      </c>
      <c r="CJ166" s="3">
        <f t="shared" ca="1" si="194"/>
        <v>1000</v>
      </c>
      <c r="CK166" s="3">
        <f t="shared" ca="1" si="195"/>
        <v>9.1178341410999455E-4</v>
      </c>
      <c r="CL166" s="3">
        <f t="shared" ca="1" si="196"/>
        <v>1</v>
      </c>
      <c r="CM166" s="3"/>
      <c r="CN166" s="1">
        <f t="shared" ca="1" si="197"/>
        <v>17.267806195892351</v>
      </c>
      <c r="CO166" s="1">
        <f t="shared" ca="1" si="198"/>
        <v>0.15756335814782982</v>
      </c>
      <c r="CP166" s="1">
        <f t="shared" ca="1" si="199"/>
        <v>1</v>
      </c>
      <c r="CV166" s="1">
        <f t="shared" ca="1" si="200"/>
        <v>4.7734921782030062</v>
      </c>
      <c r="CW166" s="1">
        <f t="shared" ca="1" si="201"/>
        <v>1897</v>
      </c>
      <c r="CX166" s="1">
        <f t="shared" ca="1" si="202"/>
        <v>8.7787194278885934E-3</v>
      </c>
      <c r="DH166" s="1">
        <f t="shared" ca="1" si="203"/>
        <v>327</v>
      </c>
      <c r="DI166" s="1">
        <f t="shared" ca="1" si="204"/>
        <v>0.71160024354285578</v>
      </c>
      <c r="DJ166" s="1">
        <f t="shared" ca="1" si="205"/>
        <v>9</v>
      </c>
      <c r="DL166" s="1">
        <f t="shared" ca="1" si="206"/>
        <v>8.4935011581479189E-2</v>
      </c>
      <c r="DM166" s="1">
        <f t="shared" ca="1" si="207"/>
        <v>123</v>
      </c>
      <c r="DN166" s="1">
        <f t="shared" ca="1" si="208"/>
        <v>9</v>
      </c>
    </row>
    <row r="167" spans="2:118" x14ac:dyDescent="0.25">
      <c r="B167">
        <f t="shared" ca="1" si="141"/>
        <v>980</v>
      </c>
      <c r="C167">
        <f t="shared" ca="1" si="142"/>
        <v>27</v>
      </c>
      <c r="D167">
        <f t="shared" ca="1" si="143"/>
        <v>1.3450477460569618E-2</v>
      </c>
      <c r="F167" s="1">
        <f t="shared" ca="1" si="144"/>
        <v>35</v>
      </c>
      <c r="G167" s="1">
        <f t="shared" ca="1" si="145"/>
        <v>23</v>
      </c>
      <c r="H167" s="1">
        <f t="shared" ca="1" si="146"/>
        <v>7</v>
      </c>
      <c r="I167" s="1"/>
      <c r="J167" s="1">
        <f t="shared" ca="1" si="147"/>
        <v>14</v>
      </c>
      <c r="K167" s="1">
        <f t="shared" ca="1" si="148"/>
        <v>2.6392628091982182</v>
      </c>
      <c r="L167" s="1">
        <f t="shared" ca="1" si="149"/>
        <v>5</v>
      </c>
      <c r="M167" s="1"/>
      <c r="N167" s="1">
        <f t="shared" ca="1" si="150"/>
        <v>363</v>
      </c>
      <c r="O167" s="1">
        <f t="shared" ca="1" si="151"/>
        <v>45</v>
      </c>
      <c r="P167" s="1"/>
      <c r="Q167" s="1">
        <f t="shared" ca="1" si="152"/>
        <v>1.7735640119829084</v>
      </c>
      <c r="R167" s="1">
        <f t="shared" ca="1" si="153"/>
        <v>930</v>
      </c>
      <c r="S167" s="1"/>
      <c r="T167" s="1">
        <f t="shared" ca="1" si="154"/>
        <v>0.12530338387342377</v>
      </c>
      <c r="U167" s="1">
        <f t="shared" ca="1" si="155"/>
        <v>70</v>
      </c>
      <c r="V167" s="1">
        <f t="shared" ca="1" si="156"/>
        <v>46</v>
      </c>
      <c r="W167" s="1"/>
      <c r="X167" s="1">
        <f t="shared" ca="1" si="157"/>
        <v>1.5509924141106921</v>
      </c>
      <c r="Y167" s="1">
        <f t="shared" ca="1" si="158"/>
        <v>0.79139319607950454</v>
      </c>
      <c r="Z167" s="1">
        <f t="shared" ca="1" si="159"/>
        <v>1111</v>
      </c>
      <c r="AB167" s="1">
        <f t="shared" ca="1" si="160"/>
        <v>0.59019504752948504</v>
      </c>
      <c r="AC167" s="1">
        <f t="shared" ca="1" si="161"/>
        <v>982</v>
      </c>
      <c r="AD167" s="1">
        <f t="shared" ca="1" si="162"/>
        <v>3.4317058980557636E-3</v>
      </c>
      <c r="AE167" s="1"/>
      <c r="AF167" s="1">
        <f t="shared" ca="1" si="163"/>
        <v>0.50266162261554104</v>
      </c>
      <c r="AG167" s="1">
        <f t="shared" ca="1" si="164"/>
        <v>737</v>
      </c>
      <c r="AH167" s="1">
        <f t="shared" ca="1" si="165"/>
        <v>7.5605502831419986E-3</v>
      </c>
      <c r="AJ167" s="1">
        <f t="shared" ca="1" si="166"/>
        <v>0.38661123705133837</v>
      </c>
      <c r="AK167" s="1">
        <f t="shared" ca="1" si="167"/>
        <v>8.0983774321287637E-3</v>
      </c>
      <c r="AL167" s="1"/>
      <c r="AM167" s="1">
        <f t="shared" ca="1" si="168"/>
        <v>7.3073773188895106E-3</v>
      </c>
      <c r="AN167" s="1">
        <f t="shared" ca="1" si="169"/>
        <v>75</v>
      </c>
      <c r="AO167" s="1">
        <f t="shared" ca="1" si="170"/>
        <v>16</v>
      </c>
      <c r="AQ167" s="1">
        <f t="shared" ca="1" si="171"/>
        <v>114</v>
      </c>
      <c r="AR167" s="1">
        <f t="shared" ca="1" si="172"/>
        <v>8</v>
      </c>
      <c r="AS167" s="1">
        <f t="shared" ca="1" si="173"/>
        <v>71</v>
      </c>
      <c r="AU167" s="1">
        <f t="shared" ca="1" si="174"/>
        <v>400</v>
      </c>
      <c r="AV167" s="1">
        <f t="shared" ca="1" si="175"/>
        <v>3</v>
      </c>
      <c r="AW167" s="1">
        <f t="shared" ca="1" si="176"/>
        <v>8.3343330666589749E-2</v>
      </c>
      <c r="AY167" s="1">
        <f t="shared" ca="1" si="177"/>
        <v>1.8103192179962586</v>
      </c>
      <c r="AZ167" s="1">
        <f t="shared" ca="1" si="178"/>
        <v>399</v>
      </c>
      <c r="BA167" s="1">
        <f t="shared" ca="1" si="179"/>
        <v>2.7539103797243757E-3</v>
      </c>
      <c r="BG167" s="1">
        <f t="shared" ca="1" si="180"/>
        <v>4.1633676008193704E-2</v>
      </c>
      <c r="BH167" s="1">
        <f t="shared" ca="1" si="181"/>
        <v>8.2426689139630804E-3</v>
      </c>
      <c r="BI167" s="1">
        <f t="shared" ca="1" si="182"/>
        <v>946</v>
      </c>
      <c r="BV167" s="1">
        <f t="shared" ca="1" si="183"/>
        <v>0.97417438799043432</v>
      </c>
      <c r="BW167" s="1">
        <f t="shared" ca="1" si="184"/>
        <v>843</v>
      </c>
      <c r="BX167" s="1">
        <f t="shared" ca="1" si="185"/>
        <v>7.2233854761706452E-3</v>
      </c>
      <c r="BY167" s="1">
        <f t="shared" ca="1" si="186"/>
        <v>7.1945704316774189E-2</v>
      </c>
      <c r="BZ167" s="1">
        <f t="shared" ca="1" si="187"/>
        <v>0.60156031690084089</v>
      </c>
      <c r="CB167" s="1">
        <f t="shared" ca="1" si="188"/>
        <v>58</v>
      </c>
      <c r="CC167" s="1">
        <f t="shared" ca="1" si="189"/>
        <v>12</v>
      </c>
      <c r="CD167" s="1">
        <f t="shared" ca="1" si="190"/>
        <v>0.26335260990450365</v>
      </c>
      <c r="CE167" s="1">
        <f t="shared" ca="1" si="209"/>
        <v>0.57016635752939959</v>
      </c>
      <c r="CF167" s="1">
        <f t="shared" ca="1" si="209"/>
        <v>0.76120217970269088</v>
      </c>
      <c r="CH167" s="3">
        <f t="shared" ca="1" si="192"/>
        <v>0.72195699830882487</v>
      </c>
      <c r="CI167" s="3">
        <f t="shared" ca="1" si="193"/>
        <v>0.30847173600667804</v>
      </c>
      <c r="CJ167" s="3">
        <f t="shared" ca="1" si="194"/>
        <v>478</v>
      </c>
      <c r="CK167" s="3">
        <f t="shared" ca="1" si="195"/>
        <v>4.1774060290982254E-3</v>
      </c>
      <c r="CL167" s="3">
        <f t="shared" ca="1" si="196"/>
        <v>0</v>
      </c>
      <c r="CM167" s="3"/>
      <c r="CN167" s="1">
        <f t="shared" ca="1" si="197"/>
        <v>19.1801395860215</v>
      </c>
      <c r="CO167" s="1">
        <f t="shared" ca="1" si="198"/>
        <v>0.27338996629014484</v>
      </c>
      <c r="CP167" s="1">
        <f t="shared" ca="1" si="199"/>
        <v>3</v>
      </c>
      <c r="CV167" s="1">
        <f t="shared" ca="1" si="200"/>
        <v>4.5780189635669162</v>
      </c>
      <c r="CW167" s="1">
        <f t="shared" ca="1" si="201"/>
        <v>575</v>
      </c>
      <c r="CX167" s="1">
        <f t="shared" ca="1" si="202"/>
        <v>3.3882337887341466E-3</v>
      </c>
      <c r="DH167" s="1">
        <f t="shared" ca="1" si="203"/>
        <v>408</v>
      </c>
      <c r="DI167" s="1">
        <f t="shared" ca="1" si="204"/>
        <v>0.71948496042117482</v>
      </c>
      <c r="DJ167" s="1">
        <f t="shared" ca="1" si="205"/>
        <v>24</v>
      </c>
      <c r="DL167" s="1">
        <f t="shared" ca="1" si="206"/>
        <v>0.14228410265042096</v>
      </c>
      <c r="DM167" s="1">
        <f t="shared" ca="1" si="207"/>
        <v>108</v>
      </c>
      <c r="DN167" s="1">
        <f t="shared" ca="1" si="208"/>
        <v>7</v>
      </c>
    </row>
    <row r="168" spans="2:118" x14ac:dyDescent="0.25">
      <c r="B168">
        <f t="shared" ca="1" si="141"/>
        <v>960</v>
      </c>
      <c r="C168">
        <f t="shared" ca="1" si="142"/>
        <v>52</v>
      </c>
      <c r="D168">
        <f t="shared" ca="1" si="143"/>
        <v>0.25131173490900688</v>
      </c>
      <c r="F168" s="1">
        <f t="shared" ca="1" si="144"/>
        <v>52</v>
      </c>
      <c r="G168" s="1">
        <f t="shared" ca="1" si="145"/>
        <v>25</v>
      </c>
      <c r="H168" s="1">
        <f t="shared" ca="1" si="146"/>
        <v>12</v>
      </c>
      <c r="I168" s="1"/>
      <c r="J168" s="1">
        <f t="shared" ca="1" si="147"/>
        <v>25</v>
      </c>
      <c r="K168" s="1">
        <f t="shared" ca="1" si="148"/>
        <v>2.5747556329490155</v>
      </c>
      <c r="L168" s="1">
        <f t="shared" ca="1" si="149"/>
        <v>14</v>
      </c>
      <c r="M168" s="1"/>
      <c r="N168" s="1">
        <f t="shared" ca="1" si="150"/>
        <v>271</v>
      </c>
      <c r="O168" s="1">
        <f t="shared" ca="1" si="151"/>
        <v>18</v>
      </c>
      <c r="P168" s="1"/>
      <c r="Q168" s="1">
        <f t="shared" ca="1" si="152"/>
        <v>3.8475041227308471</v>
      </c>
      <c r="R168" s="1">
        <f t="shared" ca="1" si="153"/>
        <v>1189</v>
      </c>
      <c r="S168" s="1"/>
      <c r="T168" s="1">
        <f t="shared" ca="1" si="154"/>
        <v>0.15228626286985489</v>
      </c>
      <c r="U168" s="1">
        <f t="shared" ca="1" si="155"/>
        <v>417</v>
      </c>
      <c r="V168" s="1">
        <f t="shared" ca="1" si="156"/>
        <v>11</v>
      </c>
      <c r="W168" s="1"/>
      <c r="X168" s="1">
        <f t="shared" ca="1" si="157"/>
        <v>8.9036181205589298</v>
      </c>
      <c r="Y168" s="1">
        <f t="shared" ca="1" si="158"/>
        <v>0.46519755510291388</v>
      </c>
      <c r="Z168" s="1">
        <f t="shared" ca="1" si="159"/>
        <v>878</v>
      </c>
      <c r="AB168" s="1">
        <f t="shared" ca="1" si="160"/>
        <v>0.11292730121388429</v>
      </c>
      <c r="AC168" s="1">
        <f t="shared" ca="1" si="161"/>
        <v>162</v>
      </c>
      <c r="AD168" s="1">
        <f t="shared" ca="1" si="162"/>
        <v>5.8368782931654756E-4</v>
      </c>
      <c r="AE168" s="1"/>
      <c r="AF168" s="1">
        <f t="shared" ca="1" si="163"/>
        <v>0.87661883302780119</v>
      </c>
      <c r="AG168" s="1">
        <f t="shared" ca="1" si="164"/>
        <v>838</v>
      </c>
      <c r="AH168" s="1">
        <f t="shared" ca="1" si="165"/>
        <v>6.8424743362419452E-3</v>
      </c>
      <c r="AJ168" s="1">
        <f t="shared" ca="1" si="166"/>
        <v>0.64221209127572587</v>
      </c>
      <c r="AK168" s="1">
        <f t="shared" ca="1" si="167"/>
        <v>5.838698568271147E-3</v>
      </c>
      <c r="AL168" s="1"/>
      <c r="AM168" s="1">
        <f t="shared" ca="1" si="168"/>
        <v>0.13691665502692338</v>
      </c>
      <c r="AN168" s="1">
        <f t="shared" ca="1" si="169"/>
        <v>19</v>
      </c>
      <c r="AO168" s="1">
        <f t="shared" ca="1" si="170"/>
        <v>13</v>
      </c>
      <c r="AQ168" s="1">
        <f t="shared" ca="1" si="171"/>
        <v>149</v>
      </c>
      <c r="AR168" s="1">
        <f t="shared" ca="1" si="172"/>
        <v>8</v>
      </c>
      <c r="AS168" s="1">
        <f t="shared" ca="1" si="173"/>
        <v>93</v>
      </c>
      <c r="AU168" s="1">
        <f t="shared" ca="1" si="174"/>
        <v>228</v>
      </c>
      <c r="AV168" s="1">
        <f t="shared" ca="1" si="175"/>
        <v>5</v>
      </c>
      <c r="AW168" s="1">
        <f t="shared" ca="1" si="176"/>
        <v>0.12408566638999341</v>
      </c>
      <c r="AY168" s="1">
        <f t="shared" ca="1" si="177"/>
        <v>1.6894405577439322</v>
      </c>
      <c r="AZ168" s="1">
        <f t="shared" ca="1" si="178"/>
        <v>61</v>
      </c>
      <c r="BA168" s="1">
        <f t="shared" ca="1" si="179"/>
        <v>7.4917739038308185E-3</v>
      </c>
      <c r="BG168" s="1">
        <f t="shared" ca="1" si="180"/>
        <v>0.59483238602909638</v>
      </c>
      <c r="BH168" s="1">
        <f t="shared" ca="1" si="181"/>
        <v>0.95528034889118296</v>
      </c>
      <c r="BI168" s="1">
        <f t="shared" ca="1" si="182"/>
        <v>232</v>
      </c>
      <c r="BV168" s="1">
        <f t="shared" ca="1" si="183"/>
        <v>2.5641279357671302E-2</v>
      </c>
      <c r="BW168" s="1">
        <f t="shared" ca="1" si="184"/>
        <v>966</v>
      </c>
      <c r="BX168" s="1">
        <f t="shared" ca="1" si="185"/>
        <v>5.7275887523767308E-3</v>
      </c>
      <c r="BY168" s="1">
        <f t="shared" ca="1" si="186"/>
        <v>3.0476023159622969E-2</v>
      </c>
      <c r="BZ168" s="1">
        <f t="shared" ca="1" si="187"/>
        <v>0.39555238144042471</v>
      </c>
      <c r="CB168" s="1">
        <f t="shared" ca="1" si="188"/>
        <v>63</v>
      </c>
      <c r="CC168" s="1">
        <f t="shared" ca="1" si="189"/>
        <v>10</v>
      </c>
      <c r="CD168" s="1">
        <f t="shared" ca="1" si="190"/>
        <v>0.14317722031465291</v>
      </c>
      <c r="CE168" s="1">
        <f t="shared" ca="1" si="209"/>
        <v>0.94075062564730438</v>
      </c>
      <c r="CF168" s="1">
        <f t="shared" ca="1" si="209"/>
        <v>0.6200332780670339</v>
      </c>
      <c r="CH168" s="3">
        <f t="shared" ca="1" si="192"/>
        <v>0.76803703711004701</v>
      </c>
      <c r="CI168" s="3">
        <f t="shared" ca="1" si="193"/>
        <v>0.26609414752288646</v>
      </c>
      <c r="CJ168" s="3">
        <f t="shared" ca="1" si="194"/>
        <v>917</v>
      </c>
      <c r="CK168" s="3">
        <f t="shared" ca="1" si="195"/>
        <v>3.3935824772726715E-3</v>
      </c>
      <c r="CL168" s="3">
        <f t="shared" ca="1" si="196"/>
        <v>0</v>
      </c>
      <c r="CM168" s="3"/>
      <c r="CN168" s="1">
        <f t="shared" ca="1" si="197"/>
        <v>11.60524879879619</v>
      </c>
      <c r="CO168" s="1">
        <f t="shared" ca="1" si="198"/>
        <v>0.38030715082334909</v>
      </c>
      <c r="CP168" s="1">
        <f t="shared" ca="1" si="199"/>
        <v>1</v>
      </c>
      <c r="CV168" s="1">
        <f t="shared" ca="1" si="200"/>
        <v>9.7323865453423011</v>
      </c>
      <c r="CW168" s="1">
        <f t="shared" ca="1" si="201"/>
        <v>351</v>
      </c>
      <c r="CX168" s="1">
        <f t="shared" ca="1" si="202"/>
        <v>8.592493486978596E-3</v>
      </c>
      <c r="DH168" s="1">
        <f t="shared" ca="1" si="203"/>
        <v>22</v>
      </c>
      <c r="DI168" s="1">
        <f t="shared" ca="1" si="204"/>
        <v>0.18183677166806247</v>
      </c>
      <c r="DJ168" s="1">
        <f t="shared" ca="1" si="205"/>
        <v>29</v>
      </c>
      <c r="DL168" s="1">
        <f t="shared" ca="1" si="206"/>
        <v>0.10413097302213949</v>
      </c>
      <c r="DM168" s="1">
        <f t="shared" ca="1" si="207"/>
        <v>167</v>
      </c>
      <c r="DN168" s="1">
        <f t="shared" ca="1" si="208"/>
        <v>2</v>
      </c>
    </row>
    <row r="169" spans="2:118" x14ac:dyDescent="0.25">
      <c r="B169">
        <f t="shared" ca="1" si="141"/>
        <v>201</v>
      </c>
      <c r="C169">
        <f t="shared" ca="1" si="142"/>
        <v>21</v>
      </c>
      <c r="D169">
        <f t="shared" ca="1" si="143"/>
        <v>0.23707332245105533</v>
      </c>
      <c r="F169" s="1">
        <f t="shared" ca="1" si="144"/>
        <v>50</v>
      </c>
      <c r="G169" s="1">
        <f t="shared" ca="1" si="145"/>
        <v>8</v>
      </c>
      <c r="H169" s="1">
        <f t="shared" ca="1" si="146"/>
        <v>5</v>
      </c>
      <c r="I169" s="1"/>
      <c r="J169" s="1">
        <f t="shared" ca="1" si="147"/>
        <v>37</v>
      </c>
      <c r="K169" s="1">
        <f t="shared" ca="1" si="148"/>
        <v>2.700138205359822</v>
      </c>
      <c r="L169" s="1">
        <f t="shared" ca="1" si="149"/>
        <v>17</v>
      </c>
      <c r="M169" s="1"/>
      <c r="N169" s="1">
        <f t="shared" ca="1" si="150"/>
        <v>746</v>
      </c>
      <c r="O169" s="1">
        <f t="shared" ca="1" si="151"/>
        <v>45</v>
      </c>
      <c r="P169" s="1"/>
      <c r="Q169" s="1">
        <f t="shared" ca="1" si="152"/>
        <v>2.2059339375817748</v>
      </c>
      <c r="R169" s="1">
        <f t="shared" ca="1" si="153"/>
        <v>498</v>
      </c>
      <c r="S169" s="1"/>
      <c r="T169" s="1">
        <f t="shared" ca="1" si="154"/>
        <v>0.19674241366676673</v>
      </c>
      <c r="U169" s="1">
        <f t="shared" ca="1" si="155"/>
        <v>173</v>
      </c>
      <c r="V169" s="1">
        <f t="shared" ca="1" si="156"/>
        <v>18</v>
      </c>
      <c r="W169" s="1"/>
      <c r="X169" s="1">
        <f t="shared" ca="1" si="157"/>
        <v>7.9216034683577092</v>
      </c>
      <c r="Y169" s="1">
        <f t="shared" ca="1" si="158"/>
        <v>0.21919416070327527</v>
      </c>
      <c r="Z169" s="1">
        <f t="shared" ca="1" si="159"/>
        <v>773</v>
      </c>
      <c r="AB169" s="1">
        <f t="shared" ca="1" si="160"/>
        <v>0.85130390994557426</v>
      </c>
      <c r="AC169" s="1">
        <f t="shared" ca="1" si="161"/>
        <v>502</v>
      </c>
      <c r="AD169" s="1">
        <f t="shared" ca="1" si="162"/>
        <v>8.6443953945540136E-3</v>
      </c>
      <c r="AE169" s="1"/>
      <c r="AF169" s="1">
        <f t="shared" ca="1" si="163"/>
        <v>0.20322594367910762</v>
      </c>
      <c r="AG169" s="1">
        <f t="shared" ca="1" si="164"/>
        <v>364</v>
      </c>
      <c r="AH169" s="1">
        <f t="shared" ca="1" si="165"/>
        <v>5.9014930923929412E-3</v>
      </c>
      <c r="AJ169" s="1">
        <f t="shared" ca="1" si="166"/>
        <v>0.42824176614913756</v>
      </c>
      <c r="AK169" s="1">
        <f t="shared" ca="1" si="167"/>
        <v>2.0898730943503356E-3</v>
      </c>
      <c r="AL169" s="1"/>
      <c r="AM169" s="1">
        <f t="shared" ca="1" si="168"/>
        <v>3.9138832372680857E-2</v>
      </c>
      <c r="AN169" s="1">
        <f t="shared" ca="1" si="169"/>
        <v>67</v>
      </c>
      <c r="AO169" s="1">
        <f t="shared" ca="1" si="170"/>
        <v>6</v>
      </c>
      <c r="AQ169" s="1">
        <f t="shared" ca="1" si="171"/>
        <v>186</v>
      </c>
      <c r="AR169" s="1">
        <f t="shared" ca="1" si="172"/>
        <v>8</v>
      </c>
      <c r="AS169" s="1">
        <f t="shared" ca="1" si="173"/>
        <v>33</v>
      </c>
      <c r="AU169" s="1">
        <f t="shared" ca="1" si="174"/>
        <v>69</v>
      </c>
      <c r="AV169" s="1">
        <f t="shared" ca="1" si="175"/>
        <v>5</v>
      </c>
      <c r="AW169" s="1">
        <f t="shared" ca="1" si="176"/>
        <v>0.11601443604320462</v>
      </c>
      <c r="AY169" s="1">
        <f t="shared" ca="1" si="177"/>
        <v>1.3307270463360488</v>
      </c>
      <c r="AZ169" s="1">
        <f t="shared" ca="1" si="178"/>
        <v>149</v>
      </c>
      <c r="BA169" s="1">
        <f t="shared" ca="1" si="179"/>
        <v>9.7863870104800523E-4</v>
      </c>
      <c r="BG169" s="1">
        <f t="shared" ca="1" si="180"/>
        <v>0.74739162574764417</v>
      </c>
      <c r="BH169" s="1">
        <f t="shared" ca="1" si="181"/>
        <v>0.55652859721725256</v>
      </c>
      <c r="BI169" s="1">
        <f t="shared" ca="1" si="182"/>
        <v>248</v>
      </c>
      <c r="BV169" s="1">
        <f t="shared" ca="1" si="183"/>
        <v>0.61576044281821785</v>
      </c>
      <c r="BW169" s="1">
        <f t="shared" ca="1" si="184"/>
        <v>695</v>
      </c>
      <c r="BX169" s="1">
        <f t="shared" ca="1" si="185"/>
        <v>9.5497298254002359E-3</v>
      </c>
      <c r="BY169" s="1">
        <f t="shared" ca="1" si="186"/>
        <v>8.9123438780160935E-3</v>
      </c>
      <c r="BZ169" s="1">
        <f t="shared" ca="1" si="187"/>
        <v>0.78835645688572875</v>
      </c>
      <c r="CB169" s="1">
        <f t="shared" ca="1" si="188"/>
        <v>380</v>
      </c>
      <c r="CC169" s="1">
        <f t="shared" ca="1" si="189"/>
        <v>15</v>
      </c>
      <c r="CD169" s="1">
        <f t="shared" ca="1" si="190"/>
        <v>0.24948215202037272</v>
      </c>
      <c r="CE169" s="1">
        <f t="shared" ca="1" si="209"/>
        <v>0.91903372664355032</v>
      </c>
      <c r="CF169" s="1">
        <f t="shared" ca="1" si="209"/>
        <v>0.56602896010084813</v>
      </c>
      <c r="CH169" s="3">
        <f t="shared" ca="1" si="192"/>
        <v>0.18853925181533573</v>
      </c>
      <c r="CI169" s="3">
        <f t="shared" ca="1" si="193"/>
        <v>1.126261324539345E-2</v>
      </c>
      <c r="CJ169" s="3">
        <f t="shared" ca="1" si="194"/>
        <v>189</v>
      </c>
      <c r="CK169" s="3">
        <f t="shared" ca="1" si="195"/>
        <v>7.6323496932846745E-3</v>
      </c>
      <c r="CL169" s="3">
        <f t="shared" ca="1" si="196"/>
        <v>1</v>
      </c>
      <c r="CM169" s="3"/>
      <c r="CN169" s="1">
        <f t="shared" ca="1" si="197"/>
        <v>11.008625383617575</v>
      </c>
      <c r="CO169" s="1">
        <f t="shared" ca="1" si="198"/>
        <v>0.47310809717875169</v>
      </c>
      <c r="CP169" s="1">
        <f t="shared" ca="1" si="199"/>
        <v>3</v>
      </c>
      <c r="CV169" s="1">
        <f t="shared" ca="1" si="200"/>
        <v>0.98957549281740831</v>
      </c>
      <c r="CW169" s="1">
        <f t="shared" ca="1" si="201"/>
        <v>120</v>
      </c>
      <c r="CX169" s="1">
        <f t="shared" ca="1" si="202"/>
        <v>1.5752727584567399E-3</v>
      </c>
      <c r="DH169" s="1">
        <f t="shared" ca="1" si="203"/>
        <v>113</v>
      </c>
      <c r="DI169" s="1">
        <f t="shared" ca="1" si="204"/>
        <v>0.22101188737740501</v>
      </c>
      <c r="DJ169" s="1">
        <f t="shared" ca="1" si="205"/>
        <v>14</v>
      </c>
      <c r="DL169" s="1">
        <f t="shared" ca="1" si="206"/>
        <v>3.4820374919423261E-2</v>
      </c>
      <c r="DM169" s="1">
        <f t="shared" ca="1" si="207"/>
        <v>198</v>
      </c>
      <c r="DN169" s="1">
        <f t="shared" ca="1" si="208"/>
        <v>1</v>
      </c>
    </row>
    <row r="170" spans="2:118" x14ac:dyDescent="0.25">
      <c r="B170">
        <f t="shared" ca="1" si="141"/>
        <v>549</v>
      </c>
      <c r="C170">
        <f t="shared" ca="1" si="142"/>
        <v>26</v>
      </c>
      <c r="D170">
        <f t="shared" ca="1" si="143"/>
        <v>0.14805710713737835</v>
      </c>
      <c r="F170" s="1">
        <f t="shared" ca="1" si="144"/>
        <v>21</v>
      </c>
      <c r="G170" s="1">
        <f t="shared" ca="1" si="145"/>
        <v>25</v>
      </c>
      <c r="H170" s="1">
        <f t="shared" ca="1" si="146"/>
        <v>11</v>
      </c>
      <c r="I170" s="1"/>
      <c r="J170" s="1">
        <f t="shared" ca="1" si="147"/>
        <v>26</v>
      </c>
      <c r="K170" s="1">
        <f t="shared" ca="1" si="148"/>
        <v>2.0742386250904934</v>
      </c>
      <c r="L170" s="1">
        <f t="shared" ca="1" si="149"/>
        <v>22</v>
      </c>
      <c r="M170" s="1"/>
      <c r="N170" s="1">
        <f t="shared" ca="1" si="150"/>
        <v>337</v>
      </c>
      <c r="O170" s="1">
        <f t="shared" ca="1" si="151"/>
        <v>31</v>
      </c>
      <c r="P170" s="1"/>
      <c r="Q170" s="1">
        <f t="shared" ca="1" si="152"/>
        <v>4.9177208063653479</v>
      </c>
      <c r="R170" s="1">
        <f t="shared" ca="1" si="153"/>
        <v>520</v>
      </c>
      <c r="S170" s="1"/>
      <c r="T170" s="1">
        <f t="shared" ca="1" si="154"/>
        <v>3.9331559238745352E-2</v>
      </c>
      <c r="U170" s="1">
        <f t="shared" ca="1" si="155"/>
        <v>51</v>
      </c>
      <c r="V170" s="1">
        <f t="shared" ca="1" si="156"/>
        <v>24</v>
      </c>
      <c r="W170" s="1"/>
      <c r="X170" s="1">
        <f t="shared" ca="1" si="157"/>
        <v>5.2428754127772113</v>
      </c>
      <c r="Y170" s="1">
        <f t="shared" ca="1" si="158"/>
        <v>0.69880911660530032</v>
      </c>
      <c r="Z170" s="1">
        <f t="shared" ca="1" si="159"/>
        <v>1173</v>
      </c>
      <c r="AB170" s="1">
        <f t="shared" ca="1" si="160"/>
        <v>0.22767121850742789</v>
      </c>
      <c r="AC170" s="1">
        <f t="shared" ca="1" si="161"/>
        <v>618</v>
      </c>
      <c r="AD170" s="1">
        <f t="shared" ca="1" si="162"/>
        <v>5.5159294198195267E-4</v>
      </c>
      <c r="AE170" s="1"/>
      <c r="AF170" s="1">
        <f t="shared" ca="1" si="163"/>
        <v>0.70626347480253604</v>
      </c>
      <c r="AG170" s="1">
        <f t="shared" ca="1" si="164"/>
        <v>767</v>
      </c>
      <c r="AH170" s="1">
        <f t="shared" ca="1" si="165"/>
        <v>9.0767974963935766E-3</v>
      </c>
      <c r="AJ170" s="1">
        <f t="shared" ca="1" si="166"/>
        <v>0.96944862100303131</v>
      </c>
      <c r="AK170" s="1">
        <f t="shared" ca="1" si="167"/>
        <v>5.6639507532113475E-3</v>
      </c>
      <c r="AL170" s="1"/>
      <c r="AM170" s="1">
        <f t="shared" ca="1" si="168"/>
        <v>0.16809127705876148</v>
      </c>
      <c r="AN170" s="1">
        <f t="shared" ca="1" si="169"/>
        <v>61</v>
      </c>
      <c r="AO170" s="1">
        <f t="shared" ca="1" si="170"/>
        <v>18</v>
      </c>
      <c r="AQ170" s="1">
        <f t="shared" ca="1" si="171"/>
        <v>168</v>
      </c>
      <c r="AR170" s="1">
        <f t="shared" ca="1" si="172"/>
        <v>10</v>
      </c>
      <c r="AS170" s="1">
        <f t="shared" ca="1" si="173"/>
        <v>85</v>
      </c>
      <c r="AU170" s="1">
        <f t="shared" ca="1" si="174"/>
        <v>345</v>
      </c>
      <c r="AV170" s="1">
        <f t="shared" ca="1" si="175"/>
        <v>8</v>
      </c>
      <c r="AW170" s="1">
        <f t="shared" ca="1" si="176"/>
        <v>8.6509828629508081E-2</v>
      </c>
      <c r="AY170" s="1">
        <f t="shared" ca="1" si="177"/>
        <v>1.2129960042032419</v>
      </c>
      <c r="AZ170" s="1">
        <f t="shared" ca="1" si="178"/>
        <v>154</v>
      </c>
      <c r="BA170" s="1">
        <f t="shared" ca="1" si="179"/>
        <v>5.3076545647209299E-3</v>
      </c>
      <c r="BG170" s="1">
        <f t="shared" ca="1" si="180"/>
        <v>0.24871389438916575</v>
      </c>
      <c r="BH170" s="1">
        <f t="shared" ca="1" si="181"/>
        <v>0.51844298204536299</v>
      </c>
      <c r="BI170" s="1">
        <f t="shared" ca="1" si="182"/>
        <v>776</v>
      </c>
      <c r="BV170" s="1">
        <f t="shared" ca="1" si="183"/>
        <v>0.68104416890392006</v>
      </c>
      <c r="BW170" s="1">
        <f t="shared" ca="1" si="184"/>
        <v>940</v>
      </c>
      <c r="BX170" s="1">
        <f t="shared" ca="1" si="185"/>
        <v>7.3457454117426078E-3</v>
      </c>
      <c r="BY170" s="1">
        <f t="shared" ca="1" si="186"/>
        <v>8.3010984071274621E-2</v>
      </c>
      <c r="BZ170" s="1">
        <f t="shared" ca="1" si="187"/>
        <v>0.3737480784816124</v>
      </c>
      <c r="CB170" s="1">
        <f t="shared" ca="1" si="188"/>
        <v>364</v>
      </c>
      <c r="CC170" s="1">
        <f t="shared" ca="1" si="189"/>
        <v>7</v>
      </c>
      <c r="CD170" s="1">
        <f t="shared" ca="1" si="190"/>
        <v>0.15176339251668983</v>
      </c>
      <c r="CE170" s="1">
        <f t="shared" ca="1" si="209"/>
        <v>0.92952628025091233</v>
      </c>
      <c r="CF170" s="1">
        <f t="shared" ca="1" si="209"/>
        <v>0.9748843380489729</v>
      </c>
      <c r="CH170" s="3">
        <f t="shared" ca="1" si="192"/>
        <v>0.17175239290979555</v>
      </c>
      <c r="CI170" s="3">
        <f t="shared" ca="1" si="193"/>
        <v>0.15308305395489946</v>
      </c>
      <c r="CJ170" s="3">
        <f t="shared" ca="1" si="194"/>
        <v>1208</v>
      </c>
      <c r="CK170" s="3">
        <f t="shared" ca="1" si="195"/>
        <v>9.2432609057741387E-5</v>
      </c>
      <c r="CL170" s="3">
        <f t="shared" ca="1" si="196"/>
        <v>1</v>
      </c>
      <c r="CM170" s="3"/>
      <c r="CN170" s="1">
        <f t="shared" ca="1" si="197"/>
        <v>0.72364291890332477</v>
      </c>
      <c r="CO170" s="1">
        <f t="shared" ca="1" si="198"/>
        <v>0.10671070859902727</v>
      </c>
      <c r="CP170" s="1">
        <f t="shared" ca="1" si="199"/>
        <v>5</v>
      </c>
      <c r="CV170" s="1">
        <f t="shared" ca="1" si="200"/>
        <v>6.1962770105068214</v>
      </c>
      <c r="CW170" s="1">
        <f t="shared" ca="1" si="201"/>
        <v>1249</v>
      </c>
      <c r="CX170" s="1">
        <f t="shared" ca="1" si="202"/>
        <v>5.043992386250115E-3</v>
      </c>
      <c r="DH170" s="1">
        <f t="shared" ca="1" si="203"/>
        <v>22</v>
      </c>
      <c r="DI170" s="1">
        <f t="shared" ca="1" si="204"/>
        <v>0.45556116188826701</v>
      </c>
      <c r="DJ170" s="1">
        <f t="shared" ca="1" si="205"/>
        <v>18</v>
      </c>
      <c r="DL170" s="1">
        <f t="shared" ca="1" si="206"/>
        <v>2.8371499972419043E-2</v>
      </c>
      <c r="DM170" s="1">
        <f t="shared" ca="1" si="207"/>
        <v>179</v>
      </c>
      <c r="DN170" s="1">
        <f t="shared" ca="1" si="208"/>
        <v>4</v>
      </c>
    </row>
    <row r="171" spans="2:118" x14ac:dyDescent="0.25">
      <c r="B171">
        <f t="shared" ca="1" si="141"/>
        <v>439</v>
      </c>
      <c r="C171">
        <f t="shared" ca="1" si="142"/>
        <v>6</v>
      </c>
      <c r="D171">
        <f t="shared" ca="1" si="143"/>
        <v>0.18150720945814602</v>
      </c>
      <c r="F171" s="1">
        <f t="shared" ca="1" si="144"/>
        <v>44</v>
      </c>
      <c r="G171" s="1">
        <f t="shared" ca="1" si="145"/>
        <v>14</v>
      </c>
      <c r="H171" s="1">
        <f t="shared" ca="1" si="146"/>
        <v>14</v>
      </c>
      <c r="I171" s="1"/>
      <c r="J171" s="1">
        <f t="shared" ca="1" si="147"/>
        <v>13</v>
      </c>
      <c r="K171" s="1">
        <f t="shared" ca="1" si="148"/>
        <v>2.4118511559872364</v>
      </c>
      <c r="L171" s="1">
        <f t="shared" ca="1" si="149"/>
        <v>23</v>
      </c>
      <c r="M171" s="1"/>
      <c r="N171" s="1">
        <f t="shared" ca="1" si="150"/>
        <v>456</v>
      </c>
      <c r="O171" s="1">
        <f t="shared" ca="1" si="151"/>
        <v>38</v>
      </c>
      <c r="P171" s="1"/>
      <c r="Q171" s="1">
        <f t="shared" ca="1" si="152"/>
        <v>4.9348403161875183</v>
      </c>
      <c r="R171" s="1">
        <f t="shared" ca="1" si="153"/>
        <v>434</v>
      </c>
      <c r="S171" s="1"/>
      <c r="T171" s="1">
        <f t="shared" ca="1" si="154"/>
        <v>0.18456153195440958</v>
      </c>
      <c r="U171" s="1">
        <f t="shared" ca="1" si="155"/>
        <v>236</v>
      </c>
      <c r="V171" s="1">
        <f t="shared" ca="1" si="156"/>
        <v>20</v>
      </c>
      <c r="W171" s="1"/>
      <c r="X171" s="1">
        <f t="shared" ca="1" si="157"/>
        <v>4.1402522997431177</v>
      </c>
      <c r="Y171" s="1">
        <f t="shared" ca="1" si="158"/>
        <v>0.47909846213013796</v>
      </c>
      <c r="Z171" s="1">
        <f t="shared" ca="1" si="159"/>
        <v>539</v>
      </c>
      <c r="AB171" s="1">
        <f t="shared" ca="1" si="160"/>
        <v>1.6973085916775283E-2</v>
      </c>
      <c r="AC171" s="1">
        <f t="shared" ca="1" si="161"/>
        <v>815</v>
      </c>
      <c r="AD171" s="1">
        <f t="shared" ca="1" si="162"/>
        <v>2.5931487289441268E-3</v>
      </c>
      <c r="AE171" s="1"/>
      <c r="AF171" s="1">
        <f t="shared" ca="1" si="163"/>
        <v>0.77215008136842345</v>
      </c>
      <c r="AG171" s="1">
        <f t="shared" ca="1" si="164"/>
        <v>564</v>
      </c>
      <c r="AH171" s="1">
        <f t="shared" ca="1" si="165"/>
        <v>4.2402624807226803E-3</v>
      </c>
      <c r="AJ171" s="1">
        <f t="shared" ca="1" si="166"/>
        <v>0.69154412037621116</v>
      </c>
      <c r="AK171" s="1">
        <f t="shared" ca="1" si="167"/>
        <v>1.2164740340228869E-3</v>
      </c>
      <c r="AL171" s="1"/>
      <c r="AM171" s="1">
        <f t="shared" ca="1" si="168"/>
        <v>9.2923641034893839E-2</v>
      </c>
      <c r="AN171" s="1">
        <f t="shared" ca="1" si="169"/>
        <v>24</v>
      </c>
      <c r="AO171" s="1">
        <f t="shared" ca="1" si="170"/>
        <v>4</v>
      </c>
      <c r="AQ171" s="1">
        <f t="shared" ca="1" si="171"/>
        <v>140</v>
      </c>
      <c r="AR171" s="1">
        <f t="shared" ca="1" si="172"/>
        <v>3</v>
      </c>
      <c r="AS171" s="1">
        <f t="shared" ca="1" si="173"/>
        <v>32</v>
      </c>
      <c r="AU171" s="1">
        <f t="shared" ca="1" si="174"/>
        <v>82</v>
      </c>
      <c r="AV171" s="1">
        <f t="shared" ca="1" si="175"/>
        <v>2</v>
      </c>
      <c r="AW171" s="1">
        <f t="shared" ca="1" si="176"/>
        <v>0.1982400387748714</v>
      </c>
      <c r="AY171" s="1">
        <f t="shared" ca="1" si="177"/>
        <v>1.9117258571096136</v>
      </c>
      <c r="AZ171" s="1">
        <f t="shared" ca="1" si="178"/>
        <v>363</v>
      </c>
      <c r="BA171" s="1">
        <f t="shared" ca="1" si="179"/>
        <v>9.9664657595791017E-3</v>
      </c>
      <c r="BG171" s="1">
        <f t="shared" ca="1" si="180"/>
        <v>8.0366167938970376E-2</v>
      </c>
      <c r="BH171" s="1">
        <f t="shared" ca="1" si="181"/>
        <v>0.1430078157908351</v>
      </c>
      <c r="BI171" s="1">
        <f t="shared" ca="1" si="182"/>
        <v>135</v>
      </c>
      <c r="BV171" s="1">
        <f t="shared" ca="1" si="183"/>
        <v>0.40303752611992327</v>
      </c>
      <c r="BW171" s="1">
        <f t="shared" ca="1" si="184"/>
        <v>433</v>
      </c>
      <c r="BX171" s="1">
        <f t="shared" ca="1" si="185"/>
        <v>5.7281406949473814E-3</v>
      </c>
      <c r="BY171" s="1">
        <f t="shared" ca="1" si="186"/>
        <v>8.5483328377684908E-2</v>
      </c>
      <c r="BZ171" s="1">
        <f t="shared" ca="1" si="187"/>
        <v>0.94176483411292888</v>
      </c>
      <c r="CB171" s="1">
        <f t="shared" ca="1" si="188"/>
        <v>119</v>
      </c>
      <c r="CC171" s="1">
        <f t="shared" ca="1" si="189"/>
        <v>13</v>
      </c>
      <c r="CD171" s="1">
        <f t="shared" ca="1" si="190"/>
        <v>0.2605959027430565</v>
      </c>
      <c r="CE171" s="1">
        <f t="shared" ca="1" si="209"/>
        <v>0.92343956299499075</v>
      </c>
      <c r="CF171" s="1">
        <f t="shared" ca="1" si="209"/>
        <v>0.77165555727478863</v>
      </c>
      <c r="CH171" s="3">
        <f t="shared" ca="1" si="192"/>
        <v>0.35136847595021825</v>
      </c>
      <c r="CI171" s="3">
        <f t="shared" ca="1" si="193"/>
        <v>0.61598504750814753</v>
      </c>
      <c r="CJ171" s="3">
        <f t="shared" ca="1" si="194"/>
        <v>109</v>
      </c>
      <c r="CK171" s="3">
        <f t="shared" ca="1" si="195"/>
        <v>6.90479849078042E-3</v>
      </c>
      <c r="CL171" s="3">
        <f t="shared" ca="1" si="196"/>
        <v>1</v>
      </c>
      <c r="CM171" s="3"/>
      <c r="CN171" s="1">
        <f t="shared" ca="1" si="197"/>
        <v>13.097058870641073</v>
      </c>
      <c r="CO171" s="1">
        <f t="shared" ca="1" si="198"/>
        <v>3.2446237553883428E-2</v>
      </c>
      <c r="CP171" s="1">
        <f t="shared" ca="1" si="199"/>
        <v>4</v>
      </c>
      <c r="CV171" s="1">
        <f t="shared" ca="1" si="200"/>
        <v>5.2107483413367213</v>
      </c>
      <c r="CW171" s="1">
        <f t="shared" ca="1" si="201"/>
        <v>1711</v>
      </c>
      <c r="CX171" s="1">
        <f t="shared" ca="1" si="202"/>
        <v>4.537098158960735E-3</v>
      </c>
      <c r="DH171" s="1">
        <f t="shared" ca="1" si="203"/>
        <v>199</v>
      </c>
      <c r="DI171" s="1">
        <f t="shared" ca="1" si="204"/>
        <v>0.18633726174113752</v>
      </c>
      <c r="DJ171" s="1">
        <f t="shared" ca="1" si="205"/>
        <v>1</v>
      </c>
      <c r="DL171" s="1">
        <f t="shared" ca="1" si="206"/>
        <v>0.13433593376305378</v>
      </c>
      <c r="DM171" s="1">
        <f t="shared" ca="1" si="207"/>
        <v>70</v>
      </c>
      <c r="DN171" s="1">
        <f t="shared" ca="1" si="208"/>
        <v>5</v>
      </c>
    </row>
    <row r="172" spans="2:118" x14ac:dyDescent="0.25">
      <c r="B172">
        <f t="shared" ca="1" si="141"/>
        <v>380</v>
      </c>
      <c r="C172">
        <f t="shared" ca="1" si="142"/>
        <v>21</v>
      </c>
      <c r="D172">
        <f t="shared" ca="1" si="143"/>
        <v>0.26729512012126572</v>
      </c>
      <c r="F172" s="1">
        <f t="shared" ca="1" si="144"/>
        <v>38</v>
      </c>
      <c r="G172" s="1">
        <f t="shared" ca="1" si="145"/>
        <v>21</v>
      </c>
      <c r="H172" s="1">
        <f t="shared" ca="1" si="146"/>
        <v>2</v>
      </c>
      <c r="I172" s="1"/>
      <c r="J172" s="1">
        <f t="shared" ca="1" si="147"/>
        <v>9</v>
      </c>
      <c r="K172" s="1">
        <f t="shared" ca="1" si="148"/>
        <v>1.7430700340992458</v>
      </c>
      <c r="L172" s="1">
        <f t="shared" ca="1" si="149"/>
        <v>33</v>
      </c>
      <c r="M172" s="1"/>
      <c r="N172" s="1">
        <f t="shared" ca="1" si="150"/>
        <v>86</v>
      </c>
      <c r="O172" s="1">
        <f t="shared" ca="1" si="151"/>
        <v>42</v>
      </c>
      <c r="P172" s="1"/>
      <c r="Q172" s="1">
        <f t="shared" ca="1" si="152"/>
        <v>2.0489985813536808</v>
      </c>
      <c r="R172" s="1">
        <f t="shared" ca="1" si="153"/>
        <v>437</v>
      </c>
      <c r="S172" s="1"/>
      <c r="T172" s="1">
        <f t="shared" ca="1" si="154"/>
        <v>0.19950330477611558</v>
      </c>
      <c r="U172" s="1">
        <f t="shared" ca="1" si="155"/>
        <v>165</v>
      </c>
      <c r="V172" s="1">
        <f t="shared" ca="1" si="156"/>
        <v>30</v>
      </c>
      <c r="W172" s="1"/>
      <c r="X172" s="1">
        <f t="shared" ca="1" si="157"/>
        <v>0.42970331695116282</v>
      </c>
      <c r="Y172" s="1">
        <f t="shared" ca="1" si="158"/>
        <v>0.85702889193328757</v>
      </c>
      <c r="Z172" s="1">
        <f t="shared" ca="1" si="159"/>
        <v>651</v>
      </c>
      <c r="AB172" s="1">
        <f t="shared" ca="1" si="160"/>
        <v>0.79530087200847266</v>
      </c>
      <c r="AC172" s="1">
        <f t="shared" ca="1" si="161"/>
        <v>209</v>
      </c>
      <c r="AD172" s="1">
        <f t="shared" ca="1" si="162"/>
        <v>6.9487954986499345E-3</v>
      </c>
      <c r="AE172" s="1"/>
      <c r="AF172" s="1">
        <f t="shared" ca="1" si="163"/>
        <v>0.33407760909058687</v>
      </c>
      <c r="AG172" s="1">
        <f t="shared" ca="1" si="164"/>
        <v>257</v>
      </c>
      <c r="AH172" s="1">
        <f t="shared" ca="1" si="165"/>
        <v>7.1356088677564811E-3</v>
      </c>
      <c r="AJ172" s="1">
        <f t="shared" ca="1" si="166"/>
        <v>0.10466502885420681</v>
      </c>
      <c r="AK172" s="1">
        <f t="shared" ca="1" si="167"/>
        <v>1.3453837616210988E-3</v>
      </c>
      <c r="AL172" s="1"/>
      <c r="AM172" s="1">
        <f t="shared" ca="1" si="168"/>
        <v>6.9672638296801509E-2</v>
      </c>
      <c r="AN172" s="1">
        <f t="shared" ca="1" si="169"/>
        <v>56</v>
      </c>
      <c r="AO172" s="1">
        <f t="shared" ca="1" si="170"/>
        <v>1</v>
      </c>
      <c r="AQ172" s="1">
        <f t="shared" ca="1" si="171"/>
        <v>66</v>
      </c>
      <c r="AR172" s="1">
        <f t="shared" ca="1" si="172"/>
        <v>7</v>
      </c>
      <c r="AS172" s="1">
        <f t="shared" ca="1" si="173"/>
        <v>85</v>
      </c>
      <c r="AU172" s="1">
        <f t="shared" ca="1" si="174"/>
        <v>139</v>
      </c>
      <c r="AV172" s="1">
        <f t="shared" ca="1" si="175"/>
        <v>5</v>
      </c>
      <c r="AW172" s="1">
        <f t="shared" ca="1" si="176"/>
        <v>0.16105972597069546</v>
      </c>
      <c r="AY172" s="1">
        <f t="shared" ca="1" si="177"/>
        <v>1.6297294390635537</v>
      </c>
      <c r="AZ172" s="1">
        <f t="shared" ca="1" si="178"/>
        <v>307</v>
      </c>
      <c r="BA172" s="1">
        <f t="shared" ca="1" si="179"/>
        <v>8.717890832912285E-3</v>
      </c>
      <c r="BG172" s="1">
        <f t="shared" ca="1" si="180"/>
        <v>0.2414176743912351</v>
      </c>
      <c r="BH172" s="1">
        <f t="shared" ca="1" si="181"/>
        <v>0.77135024586796241</v>
      </c>
      <c r="BI172" s="1">
        <f t="shared" ca="1" si="182"/>
        <v>345</v>
      </c>
      <c r="BV172" s="1">
        <f t="shared" ca="1" si="183"/>
        <v>0.94532455543814631</v>
      </c>
      <c r="BW172" s="1">
        <f t="shared" ca="1" si="184"/>
        <v>818</v>
      </c>
      <c r="BX172" s="1">
        <f t="shared" ca="1" si="185"/>
        <v>6.8829679933863136E-3</v>
      </c>
      <c r="BY172" s="1">
        <f t="shared" ca="1" si="186"/>
        <v>3.1541192073221223E-2</v>
      </c>
      <c r="BZ172" s="1">
        <f t="shared" ca="1" si="187"/>
        <v>0.64295595642548997</v>
      </c>
      <c r="CB172" s="1">
        <f t="shared" ca="1" si="188"/>
        <v>183</v>
      </c>
      <c r="CC172" s="1">
        <f t="shared" ca="1" si="189"/>
        <v>9</v>
      </c>
      <c r="CD172" s="1">
        <f t="shared" ca="1" si="190"/>
        <v>0.24201610741618207</v>
      </c>
      <c r="CE172" s="1">
        <f t="shared" ca="1" si="209"/>
        <v>0.59716983896271514</v>
      </c>
      <c r="CF172" s="1">
        <f t="shared" ca="1" si="209"/>
        <v>0.75456410391807471</v>
      </c>
      <c r="CH172" s="3">
        <f t="shared" ca="1" si="192"/>
        <v>0.90185492310797577</v>
      </c>
      <c r="CI172" s="3">
        <f t="shared" ca="1" si="193"/>
        <v>0.86353054325177392</v>
      </c>
      <c r="CJ172" s="3">
        <f t="shared" ca="1" si="194"/>
        <v>1018</v>
      </c>
      <c r="CK172" s="3">
        <f t="shared" ca="1" si="195"/>
        <v>6.7545597018455229E-3</v>
      </c>
      <c r="CL172" s="3">
        <f t="shared" ca="1" si="196"/>
        <v>1</v>
      </c>
      <c r="CM172" s="3"/>
      <c r="CN172" s="1">
        <f t="shared" ca="1" si="197"/>
        <v>11.642374285578889</v>
      </c>
      <c r="CO172" s="1">
        <f t="shared" ca="1" si="198"/>
        <v>0.27219535856574528</v>
      </c>
      <c r="CP172" s="1">
        <f t="shared" ca="1" si="199"/>
        <v>2</v>
      </c>
      <c r="CV172" s="1">
        <f t="shared" ca="1" si="200"/>
        <v>7.6989253950655936</v>
      </c>
      <c r="CW172" s="1">
        <f t="shared" ca="1" si="201"/>
        <v>1360</v>
      </c>
      <c r="CX172" s="1">
        <f t="shared" ca="1" si="202"/>
        <v>2.9275369287484719E-3</v>
      </c>
      <c r="DH172" s="1">
        <f t="shared" ca="1" si="203"/>
        <v>240</v>
      </c>
      <c r="DI172" s="1">
        <f t="shared" ca="1" si="204"/>
        <v>0.81391846088996256</v>
      </c>
      <c r="DJ172" s="1">
        <f t="shared" ca="1" si="205"/>
        <v>12</v>
      </c>
      <c r="DL172" s="1">
        <f t="shared" ca="1" si="206"/>
        <v>0.18990558136738922</v>
      </c>
      <c r="DM172" s="1">
        <f t="shared" ca="1" si="207"/>
        <v>138</v>
      </c>
      <c r="DN172" s="1">
        <f t="shared" ca="1" si="208"/>
        <v>1</v>
      </c>
    </row>
    <row r="173" spans="2:118" x14ac:dyDescent="0.25">
      <c r="B173">
        <f t="shared" ca="1" si="141"/>
        <v>666</v>
      </c>
      <c r="C173">
        <f t="shared" ca="1" si="142"/>
        <v>16</v>
      </c>
      <c r="D173">
        <f t="shared" ca="1" si="143"/>
        <v>0.24668724474601925</v>
      </c>
      <c r="F173" s="1">
        <f t="shared" ca="1" si="144"/>
        <v>2</v>
      </c>
      <c r="G173" s="1">
        <f t="shared" ca="1" si="145"/>
        <v>20</v>
      </c>
      <c r="H173" s="1">
        <f t="shared" ca="1" si="146"/>
        <v>14</v>
      </c>
      <c r="I173" s="1"/>
      <c r="J173" s="1">
        <f t="shared" ca="1" si="147"/>
        <v>37</v>
      </c>
      <c r="K173" s="1">
        <f t="shared" ca="1" si="148"/>
        <v>1.1483417928637243</v>
      </c>
      <c r="L173" s="1">
        <f t="shared" ca="1" si="149"/>
        <v>5</v>
      </c>
      <c r="M173" s="1"/>
      <c r="N173" s="1">
        <f t="shared" ca="1" si="150"/>
        <v>814</v>
      </c>
      <c r="O173" s="1">
        <f t="shared" ca="1" si="151"/>
        <v>29</v>
      </c>
      <c r="P173" s="1"/>
      <c r="Q173" s="1">
        <f t="shared" ca="1" si="152"/>
        <v>4.8353023044623047</v>
      </c>
      <c r="R173" s="1">
        <f t="shared" ca="1" si="153"/>
        <v>1049</v>
      </c>
      <c r="S173" s="1"/>
      <c r="T173" s="1">
        <f t="shared" ca="1" si="154"/>
        <v>4.1271172353032688E-2</v>
      </c>
      <c r="U173" s="1">
        <f t="shared" ca="1" si="155"/>
        <v>143</v>
      </c>
      <c r="V173" s="1">
        <f t="shared" ca="1" si="156"/>
        <v>51</v>
      </c>
      <c r="W173" s="1"/>
      <c r="X173" s="1">
        <f t="shared" ca="1" si="157"/>
        <v>1.5011299922942845</v>
      </c>
      <c r="Y173" s="1">
        <f t="shared" ca="1" si="158"/>
        <v>0.70854366388209811</v>
      </c>
      <c r="Z173" s="1">
        <f t="shared" ca="1" si="159"/>
        <v>1526</v>
      </c>
      <c r="AB173" s="1">
        <f t="shared" ca="1" si="160"/>
        <v>0.15273920929277526</v>
      </c>
      <c r="AC173" s="1">
        <f t="shared" ca="1" si="161"/>
        <v>363</v>
      </c>
      <c r="AD173" s="1">
        <f t="shared" ca="1" si="162"/>
        <v>3.6932419928505577E-3</v>
      </c>
      <c r="AE173" s="1"/>
      <c r="AF173" s="1">
        <f t="shared" ca="1" si="163"/>
        <v>0.34261460327109172</v>
      </c>
      <c r="AG173" s="1">
        <f t="shared" ca="1" si="164"/>
        <v>338</v>
      </c>
      <c r="AH173" s="1">
        <f t="shared" ca="1" si="165"/>
        <v>7.6600636103536434E-3</v>
      </c>
      <c r="AJ173" s="1">
        <f t="shared" ca="1" si="166"/>
        <v>0.20948312858191132</v>
      </c>
      <c r="AK173" s="1">
        <f t="shared" ca="1" si="167"/>
        <v>5.6821603589763377E-3</v>
      </c>
      <c r="AL173" s="1"/>
      <c r="AM173" s="1">
        <f t="shared" ca="1" si="168"/>
        <v>0.1473794281689372</v>
      </c>
      <c r="AN173" s="1">
        <f t="shared" ca="1" si="169"/>
        <v>44</v>
      </c>
      <c r="AO173" s="1">
        <f t="shared" ca="1" si="170"/>
        <v>13</v>
      </c>
      <c r="AQ173" s="1">
        <f t="shared" ca="1" si="171"/>
        <v>46</v>
      </c>
      <c r="AR173" s="1">
        <f t="shared" ca="1" si="172"/>
        <v>8</v>
      </c>
      <c r="AS173" s="1">
        <f t="shared" ca="1" si="173"/>
        <v>96</v>
      </c>
      <c r="AU173" s="1">
        <f t="shared" ca="1" si="174"/>
        <v>278</v>
      </c>
      <c r="AV173" s="1">
        <f t="shared" ca="1" si="175"/>
        <v>4</v>
      </c>
      <c r="AW173" s="1">
        <f t="shared" ca="1" si="176"/>
        <v>0.13836163820811043</v>
      </c>
      <c r="AY173" s="1">
        <f t="shared" ca="1" si="177"/>
        <v>1.8724176101426726</v>
      </c>
      <c r="AZ173" s="1">
        <f t="shared" ca="1" si="178"/>
        <v>135</v>
      </c>
      <c r="BA173" s="1">
        <f t="shared" ca="1" si="179"/>
        <v>2.8082116759847345E-3</v>
      </c>
      <c r="BG173" s="1">
        <f t="shared" ca="1" si="180"/>
        <v>2.1752613389841045E-2</v>
      </c>
      <c r="BH173" s="1">
        <f t="shared" ca="1" si="181"/>
        <v>8.0952633293007059E-2</v>
      </c>
      <c r="BI173" s="1">
        <f t="shared" ca="1" si="182"/>
        <v>419</v>
      </c>
      <c r="BV173" s="1">
        <f t="shared" ca="1" si="183"/>
        <v>0.45114756407939777</v>
      </c>
      <c r="BW173" s="1">
        <f t="shared" ca="1" si="184"/>
        <v>533</v>
      </c>
      <c r="BX173" s="1">
        <f t="shared" ca="1" si="185"/>
        <v>7.9257334882206496E-4</v>
      </c>
      <c r="BY173" s="1">
        <f t="shared" ca="1" si="186"/>
        <v>9.4820776272266358E-2</v>
      </c>
      <c r="BZ173" s="1">
        <f t="shared" ca="1" si="187"/>
        <v>0.61332038570843606</v>
      </c>
      <c r="CB173" s="1">
        <f t="shared" ca="1" si="188"/>
        <v>101</v>
      </c>
      <c r="CC173" s="1">
        <f t="shared" ca="1" si="189"/>
        <v>5</v>
      </c>
      <c r="CD173" s="1">
        <f t="shared" ca="1" si="190"/>
        <v>0.12813249713737734</v>
      </c>
      <c r="CE173" s="1">
        <f t="shared" ca="1" si="209"/>
        <v>0.76658307852016527</v>
      </c>
      <c r="CF173" s="1">
        <f t="shared" ca="1" si="209"/>
        <v>0.84216144802965598</v>
      </c>
      <c r="CH173" s="3">
        <f t="shared" ca="1" si="192"/>
        <v>0.2364007624604525</v>
      </c>
      <c r="CI173" s="3">
        <f t="shared" ca="1" si="193"/>
        <v>0.26286496940460569</v>
      </c>
      <c r="CJ173" s="3">
        <f t="shared" ca="1" si="194"/>
        <v>785</v>
      </c>
      <c r="CK173" s="3">
        <f t="shared" ca="1" si="195"/>
        <v>1.2350969077802834E-3</v>
      </c>
      <c r="CL173" s="3">
        <f t="shared" ca="1" si="196"/>
        <v>1</v>
      </c>
      <c r="CM173" s="3"/>
      <c r="CN173" s="1">
        <f t="shared" ca="1" si="197"/>
        <v>4.2419311034206757</v>
      </c>
      <c r="CO173" s="1">
        <f t="shared" ca="1" si="198"/>
        <v>0.35831729930080403</v>
      </c>
      <c r="CP173" s="1">
        <f t="shared" ca="1" si="199"/>
        <v>3</v>
      </c>
      <c r="CV173" s="1">
        <f t="shared" ca="1" si="200"/>
        <v>9.5291145115966405</v>
      </c>
      <c r="CW173" s="1">
        <f t="shared" ca="1" si="201"/>
        <v>698</v>
      </c>
      <c r="CX173" s="1">
        <f t="shared" ca="1" si="202"/>
        <v>9.2488741978555382E-3</v>
      </c>
      <c r="DH173" s="1">
        <f t="shared" ca="1" si="203"/>
        <v>309</v>
      </c>
      <c r="DI173" s="1">
        <f t="shared" ca="1" si="204"/>
        <v>0.77067321616983286</v>
      </c>
      <c r="DJ173" s="1">
        <f t="shared" ca="1" si="205"/>
        <v>1</v>
      </c>
      <c r="DL173" s="1">
        <f t="shared" ca="1" si="206"/>
        <v>0.14687992521930035</v>
      </c>
      <c r="DM173" s="1">
        <f t="shared" ca="1" si="207"/>
        <v>237</v>
      </c>
      <c r="DN173" s="1">
        <f t="shared" ca="1" si="208"/>
        <v>3</v>
      </c>
    </row>
    <row r="174" spans="2:118" x14ac:dyDescent="0.25">
      <c r="B174">
        <f t="shared" ca="1" si="141"/>
        <v>121</v>
      </c>
      <c r="C174">
        <f t="shared" ca="1" si="142"/>
        <v>11</v>
      </c>
      <c r="D174">
        <f t="shared" ca="1" si="143"/>
        <v>0.18524118303598855</v>
      </c>
      <c r="F174" s="1">
        <f t="shared" ca="1" si="144"/>
        <v>52</v>
      </c>
      <c r="G174" s="1">
        <f t="shared" ca="1" si="145"/>
        <v>14</v>
      </c>
      <c r="H174" s="1">
        <f t="shared" ca="1" si="146"/>
        <v>15</v>
      </c>
      <c r="I174" s="1"/>
      <c r="J174" s="1">
        <f t="shared" ca="1" si="147"/>
        <v>21</v>
      </c>
      <c r="K174" s="1">
        <f t="shared" ca="1" si="148"/>
        <v>2.9844403338898218</v>
      </c>
      <c r="L174" s="1">
        <f t="shared" ca="1" si="149"/>
        <v>32</v>
      </c>
      <c r="M174" s="1"/>
      <c r="N174" s="1">
        <f t="shared" ca="1" si="150"/>
        <v>905</v>
      </c>
      <c r="O174" s="1">
        <f t="shared" ca="1" si="151"/>
        <v>48</v>
      </c>
      <c r="P174" s="1"/>
      <c r="Q174" s="1">
        <f t="shared" ca="1" si="152"/>
        <v>2.3304114231888198</v>
      </c>
      <c r="R174" s="1">
        <f t="shared" ca="1" si="153"/>
        <v>684</v>
      </c>
      <c r="S174" s="1"/>
      <c r="T174" s="1">
        <f t="shared" ca="1" si="154"/>
        <v>0.10088037209016336</v>
      </c>
      <c r="U174" s="1">
        <f t="shared" ca="1" si="155"/>
        <v>176</v>
      </c>
      <c r="V174" s="1">
        <f t="shared" ca="1" si="156"/>
        <v>50</v>
      </c>
      <c r="W174" s="1"/>
      <c r="X174" s="1">
        <f t="shared" ca="1" si="157"/>
        <v>9.7586229177891788</v>
      </c>
      <c r="Y174" s="1">
        <f t="shared" ca="1" si="158"/>
        <v>0.36352295003464846</v>
      </c>
      <c r="Z174" s="1">
        <f t="shared" ca="1" si="159"/>
        <v>222</v>
      </c>
      <c r="AB174" s="1">
        <f t="shared" ca="1" si="160"/>
        <v>0.65574678431519662</v>
      </c>
      <c r="AC174" s="1">
        <f t="shared" ca="1" si="161"/>
        <v>954</v>
      </c>
      <c r="AD174" s="1">
        <f t="shared" ca="1" si="162"/>
        <v>8.1482632845643159E-3</v>
      </c>
      <c r="AE174" s="1"/>
      <c r="AF174" s="1">
        <f t="shared" ca="1" si="163"/>
        <v>0.44904870730049085</v>
      </c>
      <c r="AG174" s="1">
        <f t="shared" ca="1" si="164"/>
        <v>593</v>
      </c>
      <c r="AH174" s="1">
        <f t="shared" ca="1" si="165"/>
        <v>1.02165039226973E-3</v>
      </c>
      <c r="AJ174" s="1">
        <f t="shared" ca="1" si="166"/>
        <v>0.80832700534635038</v>
      </c>
      <c r="AK174" s="1">
        <f t="shared" ca="1" si="167"/>
        <v>5.5351769379360302E-3</v>
      </c>
      <c r="AL174" s="1"/>
      <c r="AM174" s="1">
        <f t="shared" ca="1" si="168"/>
        <v>0.14841953877967859</v>
      </c>
      <c r="AN174" s="1">
        <f t="shared" ca="1" si="169"/>
        <v>27</v>
      </c>
      <c r="AO174" s="1">
        <f t="shared" ca="1" si="170"/>
        <v>18</v>
      </c>
      <c r="AQ174" s="1">
        <f t="shared" ca="1" si="171"/>
        <v>154</v>
      </c>
      <c r="AR174" s="1">
        <f t="shared" ca="1" si="172"/>
        <v>3</v>
      </c>
      <c r="AS174" s="1">
        <f t="shared" ca="1" si="173"/>
        <v>98</v>
      </c>
      <c r="AU174" s="1">
        <f t="shared" ca="1" si="174"/>
        <v>303</v>
      </c>
      <c r="AV174" s="1">
        <f t="shared" ca="1" si="175"/>
        <v>8</v>
      </c>
      <c r="AW174" s="1">
        <f t="shared" ca="1" si="176"/>
        <v>5.0804611734012059E-2</v>
      </c>
      <c r="AY174" s="1">
        <f t="shared" ca="1" si="177"/>
        <v>1.8609045193485942</v>
      </c>
      <c r="AZ174" s="1">
        <f t="shared" ca="1" si="178"/>
        <v>218</v>
      </c>
      <c r="BA174" s="1">
        <f t="shared" ca="1" si="179"/>
        <v>1.8405286240681877E-3</v>
      </c>
      <c r="BG174" s="1">
        <f t="shared" ca="1" si="180"/>
        <v>0.49089718447875696</v>
      </c>
      <c r="BH174" s="1">
        <f t="shared" ca="1" si="181"/>
        <v>0.24386565552609829</v>
      </c>
      <c r="BI174" s="1">
        <f t="shared" ca="1" si="182"/>
        <v>853</v>
      </c>
      <c r="BV174" s="1">
        <f t="shared" ca="1" si="183"/>
        <v>0.14701595487247132</v>
      </c>
      <c r="BW174" s="1">
        <f t="shared" ca="1" si="184"/>
        <v>142</v>
      </c>
      <c r="BX174" s="1">
        <f t="shared" ca="1" si="185"/>
        <v>5.1604928083389392E-3</v>
      </c>
      <c r="BY174" s="1">
        <f t="shared" ca="1" si="186"/>
        <v>6.2571299323910994E-4</v>
      </c>
      <c r="BZ174" s="1">
        <f t="shared" ca="1" si="187"/>
        <v>0.1382091217090462</v>
      </c>
      <c r="CB174" s="1">
        <f t="shared" ca="1" si="188"/>
        <v>306</v>
      </c>
      <c r="CC174" s="1">
        <f t="shared" ca="1" si="189"/>
        <v>6</v>
      </c>
      <c r="CD174" s="1">
        <f t="shared" ca="1" si="190"/>
        <v>0.19431077381633141</v>
      </c>
      <c r="CE174" s="1">
        <f t="shared" ca="1" si="209"/>
        <v>0.79288722602518336</v>
      </c>
      <c r="CF174" s="1">
        <f t="shared" ca="1" si="209"/>
        <v>0.56384632200902995</v>
      </c>
      <c r="CH174" s="3">
        <f t="shared" ca="1" si="192"/>
        <v>0.4148535089222401</v>
      </c>
      <c r="CI174" s="3">
        <f t="shared" ca="1" si="193"/>
        <v>0.98407290973801964</v>
      </c>
      <c r="CJ174" s="3">
        <f t="shared" ca="1" si="194"/>
        <v>1887</v>
      </c>
      <c r="CK174" s="3">
        <f t="shared" ca="1" si="195"/>
        <v>8.1416310444347856E-3</v>
      </c>
      <c r="CL174" s="3">
        <f t="shared" ca="1" si="196"/>
        <v>0</v>
      </c>
      <c r="CM174" s="3"/>
      <c r="CN174" s="1">
        <f t="shared" ca="1" si="197"/>
        <v>13.448736814591978</v>
      </c>
      <c r="CO174" s="1">
        <f t="shared" ca="1" si="198"/>
        <v>0.18676607551546834</v>
      </c>
      <c r="CP174" s="1">
        <f t="shared" ca="1" si="199"/>
        <v>3</v>
      </c>
      <c r="CV174" s="1">
        <f t="shared" ca="1" si="200"/>
        <v>1.8710166114779958</v>
      </c>
      <c r="CW174" s="1">
        <f t="shared" ca="1" si="201"/>
        <v>1680</v>
      </c>
      <c r="CX174" s="1">
        <f t="shared" ca="1" si="202"/>
        <v>2.5870111710629968E-3</v>
      </c>
      <c r="DH174" s="1">
        <f t="shared" ca="1" si="203"/>
        <v>182</v>
      </c>
      <c r="DI174" s="1">
        <f t="shared" ca="1" si="204"/>
        <v>0.47211547153842132</v>
      </c>
      <c r="DJ174" s="1">
        <f t="shared" ca="1" si="205"/>
        <v>7</v>
      </c>
      <c r="DL174" s="1">
        <f t="shared" ca="1" si="206"/>
        <v>2.7252503719511677E-2</v>
      </c>
      <c r="DM174" s="1">
        <f t="shared" ca="1" si="207"/>
        <v>87</v>
      </c>
      <c r="DN174" s="1">
        <f t="shared" ca="1" si="208"/>
        <v>2</v>
      </c>
    </row>
    <row r="175" spans="2:118" x14ac:dyDescent="0.25">
      <c r="B175">
        <f t="shared" ca="1" si="141"/>
        <v>692</v>
      </c>
      <c r="C175">
        <f t="shared" ca="1" si="142"/>
        <v>2</v>
      </c>
      <c r="D175">
        <f t="shared" ca="1" si="143"/>
        <v>3.5453587194108953E-2</v>
      </c>
      <c r="F175" s="1">
        <f t="shared" ca="1" si="144"/>
        <v>12</v>
      </c>
      <c r="G175" s="1">
        <f t="shared" ca="1" si="145"/>
        <v>19</v>
      </c>
      <c r="H175" s="1">
        <f t="shared" ca="1" si="146"/>
        <v>3</v>
      </c>
      <c r="I175" s="1"/>
      <c r="J175" s="1">
        <f t="shared" ca="1" si="147"/>
        <v>4</v>
      </c>
      <c r="K175" s="1">
        <f t="shared" ca="1" si="148"/>
        <v>1.4392922034201914</v>
      </c>
      <c r="L175" s="1">
        <f t="shared" ca="1" si="149"/>
        <v>21</v>
      </c>
      <c r="M175" s="1"/>
      <c r="N175" s="1">
        <f t="shared" ca="1" si="150"/>
        <v>332</v>
      </c>
      <c r="O175" s="1">
        <f t="shared" ca="1" si="151"/>
        <v>8</v>
      </c>
      <c r="P175" s="1"/>
      <c r="Q175" s="1">
        <f t="shared" ca="1" si="152"/>
        <v>4.7518789570625568</v>
      </c>
      <c r="R175" s="1">
        <f t="shared" ca="1" si="153"/>
        <v>536</v>
      </c>
      <c r="S175" s="1"/>
      <c r="T175" s="1">
        <f t="shared" ca="1" si="154"/>
        <v>0.1469201912625098</v>
      </c>
      <c r="U175" s="1">
        <f t="shared" ca="1" si="155"/>
        <v>82</v>
      </c>
      <c r="V175" s="1">
        <f t="shared" ca="1" si="156"/>
        <v>37</v>
      </c>
      <c r="W175" s="1"/>
      <c r="X175" s="1">
        <f t="shared" ca="1" si="157"/>
        <v>9.5430576782018512</v>
      </c>
      <c r="Y175" s="1">
        <f t="shared" ca="1" si="158"/>
        <v>0.66078175203260781</v>
      </c>
      <c r="Z175" s="1">
        <f t="shared" ca="1" si="159"/>
        <v>121</v>
      </c>
      <c r="AB175" s="1">
        <f t="shared" ca="1" si="160"/>
        <v>0.54957898041442232</v>
      </c>
      <c r="AC175" s="1">
        <f t="shared" ca="1" si="161"/>
        <v>113</v>
      </c>
      <c r="AD175" s="1">
        <f t="shared" ca="1" si="162"/>
        <v>5.9775314088954075E-3</v>
      </c>
      <c r="AE175" s="1"/>
      <c r="AF175" s="1">
        <f t="shared" ca="1" si="163"/>
        <v>0.1045871159124368</v>
      </c>
      <c r="AG175" s="1">
        <f t="shared" ca="1" si="164"/>
        <v>495</v>
      </c>
      <c r="AH175" s="1">
        <f t="shared" ca="1" si="165"/>
        <v>8.6567855238526628E-3</v>
      </c>
      <c r="AJ175" s="1">
        <f t="shared" ca="1" si="166"/>
        <v>0.25660067590863189</v>
      </c>
      <c r="AK175" s="1">
        <f t="shared" ca="1" si="167"/>
        <v>4.4222528117091268E-3</v>
      </c>
      <c r="AL175" s="1"/>
      <c r="AM175" s="1">
        <f t="shared" ca="1" si="168"/>
        <v>7.2877374591147154E-2</v>
      </c>
      <c r="AN175" s="1">
        <f t="shared" ca="1" si="169"/>
        <v>35</v>
      </c>
      <c r="AO175" s="1">
        <f t="shared" ca="1" si="170"/>
        <v>5</v>
      </c>
      <c r="AQ175" s="1">
        <f t="shared" ca="1" si="171"/>
        <v>154</v>
      </c>
      <c r="AR175" s="1">
        <f t="shared" ca="1" si="172"/>
        <v>9</v>
      </c>
      <c r="AS175" s="1">
        <f t="shared" ca="1" si="173"/>
        <v>64</v>
      </c>
      <c r="AU175" s="1">
        <f t="shared" ca="1" si="174"/>
        <v>79</v>
      </c>
      <c r="AV175" s="1">
        <f t="shared" ca="1" si="175"/>
        <v>3</v>
      </c>
      <c r="AW175" s="1">
        <f t="shared" ca="1" si="176"/>
        <v>3.6314189431876157E-2</v>
      </c>
      <c r="AY175" s="1">
        <f t="shared" ca="1" si="177"/>
        <v>1.3047318922403834</v>
      </c>
      <c r="AZ175" s="1">
        <f t="shared" ca="1" si="178"/>
        <v>223</v>
      </c>
      <c r="BA175" s="1">
        <f t="shared" ca="1" si="179"/>
        <v>3.1539707457036879E-3</v>
      </c>
      <c r="BG175" s="1">
        <f t="shared" ca="1" si="180"/>
        <v>0.33200598943842774</v>
      </c>
      <c r="BH175" s="1">
        <f t="shared" ca="1" si="181"/>
        <v>0.20548286259174109</v>
      </c>
      <c r="BI175" s="1">
        <f t="shared" ca="1" si="182"/>
        <v>516</v>
      </c>
      <c r="BV175" s="1">
        <f t="shared" ca="1" si="183"/>
        <v>0.19432088502133232</v>
      </c>
      <c r="BW175" s="1">
        <f t="shared" ca="1" si="184"/>
        <v>433</v>
      </c>
      <c r="BX175" s="1">
        <f t="shared" ca="1" si="185"/>
        <v>4.3563085937920161E-3</v>
      </c>
      <c r="BY175" s="1">
        <f t="shared" ca="1" si="186"/>
        <v>3.1363402023423838E-2</v>
      </c>
      <c r="BZ175" s="1">
        <f t="shared" ca="1" si="187"/>
        <v>0.37513288007864765</v>
      </c>
      <c r="CB175" s="1">
        <f t="shared" ca="1" si="188"/>
        <v>432</v>
      </c>
      <c r="CC175" s="1">
        <f t="shared" ca="1" si="189"/>
        <v>8</v>
      </c>
      <c r="CD175" s="1">
        <f t="shared" ca="1" si="190"/>
        <v>0.21837237637749579</v>
      </c>
      <c r="CE175" s="1">
        <f t="shared" ca="1" si="209"/>
        <v>0.64782244698266012</v>
      </c>
      <c r="CF175" s="1">
        <f t="shared" ca="1" si="209"/>
        <v>0.81434675157484293</v>
      </c>
      <c r="CH175" s="3">
        <f t="shared" ca="1" si="192"/>
        <v>0.40002509437819134</v>
      </c>
      <c r="CI175" s="3">
        <f t="shared" ca="1" si="193"/>
        <v>0.52277845599598427</v>
      </c>
      <c r="CJ175" s="3">
        <f t="shared" ca="1" si="194"/>
        <v>1402</v>
      </c>
      <c r="CK175" s="3">
        <f t="shared" ca="1" si="195"/>
        <v>5.4205771444478038E-3</v>
      </c>
      <c r="CL175" s="3">
        <f t="shared" ca="1" si="196"/>
        <v>1</v>
      </c>
      <c r="CM175" s="3"/>
      <c r="CN175" s="1">
        <f t="shared" ca="1" si="197"/>
        <v>1.294644273008539</v>
      </c>
      <c r="CO175" s="1">
        <f t="shared" ca="1" si="198"/>
        <v>9.0375554989206519E-2</v>
      </c>
      <c r="CP175" s="1">
        <f t="shared" ca="1" si="199"/>
        <v>2</v>
      </c>
      <c r="CV175" s="1">
        <f t="shared" ca="1" si="200"/>
        <v>2.1770754839885589</v>
      </c>
      <c r="CW175" s="1">
        <f t="shared" ca="1" si="201"/>
        <v>482</v>
      </c>
      <c r="CX175" s="1">
        <f t="shared" ca="1" si="202"/>
        <v>2.5413591832026431E-3</v>
      </c>
      <c r="DH175" s="1">
        <f t="shared" ca="1" si="203"/>
        <v>242</v>
      </c>
      <c r="DI175" s="1">
        <f t="shared" ca="1" si="204"/>
        <v>0.96666311640912106</v>
      </c>
      <c r="DJ175" s="1">
        <f t="shared" ca="1" si="205"/>
        <v>11</v>
      </c>
      <c r="DL175" s="1">
        <f t="shared" ca="1" si="206"/>
        <v>7.7682576262084857E-2</v>
      </c>
      <c r="DM175" s="1">
        <f t="shared" ca="1" si="207"/>
        <v>152</v>
      </c>
      <c r="DN175" s="1">
        <f t="shared" ca="1" si="208"/>
        <v>4</v>
      </c>
    </row>
    <row r="176" spans="2:118" x14ac:dyDescent="0.25">
      <c r="B176">
        <f t="shared" ca="1" si="141"/>
        <v>563</v>
      </c>
      <c r="C176">
        <f t="shared" ca="1" si="142"/>
        <v>14</v>
      </c>
      <c r="D176">
        <f t="shared" ca="1" si="143"/>
        <v>7.9162432414276632E-2</v>
      </c>
      <c r="F176" s="1">
        <f t="shared" ca="1" si="144"/>
        <v>34</v>
      </c>
      <c r="G176" s="1">
        <f t="shared" ca="1" si="145"/>
        <v>18</v>
      </c>
      <c r="H176" s="1">
        <f t="shared" ca="1" si="146"/>
        <v>5</v>
      </c>
      <c r="I176" s="1"/>
      <c r="J176" s="1">
        <f t="shared" ca="1" si="147"/>
        <v>11</v>
      </c>
      <c r="K176" s="1">
        <f t="shared" ca="1" si="148"/>
        <v>1.4825545453157369</v>
      </c>
      <c r="L176" s="1">
        <f t="shared" ca="1" si="149"/>
        <v>3</v>
      </c>
      <c r="M176" s="1"/>
      <c r="N176" s="1">
        <f t="shared" ca="1" si="150"/>
        <v>285</v>
      </c>
      <c r="O176" s="1">
        <f t="shared" ca="1" si="151"/>
        <v>12</v>
      </c>
      <c r="P176" s="1"/>
      <c r="Q176" s="1">
        <f t="shared" ca="1" si="152"/>
        <v>2.1508400518400612</v>
      </c>
      <c r="R176" s="1">
        <f t="shared" ca="1" si="153"/>
        <v>249</v>
      </c>
      <c r="S176" s="1"/>
      <c r="T176" s="1">
        <f t="shared" ca="1" si="154"/>
        <v>0.10651039415995256</v>
      </c>
      <c r="U176" s="1">
        <f t="shared" ca="1" si="155"/>
        <v>157</v>
      </c>
      <c r="V176" s="1">
        <f t="shared" ca="1" si="156"/>
        <v>34</v>
      </c>
      <c r="W176" s="1"/>
      <c r="X176" s="1">
        <f t="shared" ca="1" si="157"/>
        <v>8.8459943624851771</v>
      </c>
      <c r="Y176" s="1">
        <f t="shared" ca="1" si="158"/>
        <v>0.75305013227579909</v>
      </c>
      <c r="Z176" s="1">
        <f t="shared" ca="1" si="159"/>
        <v>1210</v>
      </c>
      <c r="AB176" s="1">
        <f t="shared" ca="1" si="160"/>
        <v>0.71211148726305051</v>
      </c>
      <c r="AC176" s="1">
        <f t="shared" ca="1" si="161"/>
        <v>346</v>
      </c>
      <c r="AD176" s="1">
        <f t="shared" ca="1" si="162"/>
        <v>3.5305349564832529E-3</v>
      </c>
      <c r="AE176" s="1"/>
      <c r="AF176" s="1">
        <f t="shared" ca="1" si="163"/>
        <v>0.88312307448105132</v>
      </c>
      <c r="AG176" s="1">
        <f t="shared" ca="1" si="164"/>
        <v>624</v>
      </c>
      <c r="AH176" s="1">
        <f t="shared" ca="1" si="165"/>
        <v>2.6722562665103628E-3</v>
      </c>
      <c r="AJ176" s="1">
        <f t="shared" ca="1" si="166"/>
        <v>0.15333603773583016</v>
      </c>
      <c r="AK176" s="1">
        <f t="shared" ca="1" si="167"/>
        <v>9.146736927915896E-3</v>
      </c>
      <c r="AL176" s="1"/>
      <c r="AM176" s="1">
        <f t="shared" ca="1" si="168"/>
        <v>3.8419704493347591E-2</v>
      </c>
      <c r="AN176" s="1">
        <f t="shared" ca="1" si="169"/>
        <v>14</v>
      </c>
      <c r="AO176" s="1">
        <f t="shared" ca="1" si="170"/>
        <v>14</v>
      </c>
      <c r="AQ176" s="1">
        <f t="shared" ca="1" si="171"/>
        <v>167</v>
      </c>
      <c r="AR176" s="1">
        <f t="shared" ca="1" si="172"/>
        <v>10</v>
      </c>
      <c r="AS176" s="1">
        <f t="shared" ca="1" si="173"/>
        <v>56</v>
      </c>
      <c r="AU176" s="1">
        <f t="shared" ca="1" si="174"/>
        <v>346</v>
      </c>
      <c r="AV176" s="1">
        <f t="shared" ca="1" si="175"/>
        <v>7</v>
      </c>
      <c r="AW176" s="1">
        <f t="shared" ca="1" si="176"/>
        <v>9.0122558288623547E-2</v>
      </c>
      <c r="AY176" s="1">
        <f t="shared" ca="1" si="177"/>
        <v>1.577858850765784</v>
      </c>
      <c r="AZ176" s="1">
        <f t="shared" ca="1" si="178"/>
        <v>303</v>
      </c>
      <c r="BA176" s="1">
        <f t="shared" ca="1" si="179"/>
        <v>7.1947989717599014E-3</v>
      </c>
      <c r="BG176" s="1">
        <f t="shared" ca="1" si="180"/>
        <v>0.28936924456314783</v>
      </c>
      <c r="BH176" s="1">
        <f t="shared" ca="1" si="181"/>
        <v>0.52210550755570972</v>
      </c>
      <c r="BI176" s="1">
        <f t="shared" ca="1" si="182"/>
        <v>408</v>
      </c>
      <c r="BV176" s="1">
        <f t="shared" ca="1" si="183"/>
        <v>0.22714428979411233</v>
      </c>
      <c r="BW176" s="1">
        <f t="shared" ca="1" si="184"/>
        <v>102</v>
      </c>
      <c r="BX176" s="1">
        <f t="shared" ca="1" si="185"/>
        <v>6.7793820395305191E-3</v>
      </c>
      <c r="BY176" s="1">
        <f t="shared" ca="1" si="186"/>
        <v>9.6730925819003444E-2</v>
      </c>
      <c r="BZ176" s="1">
        <f t="shared" ca="1" si="187"/>
        <v>0.36610754330261908</v>
      </c>
      <c r="CB176" s="1">
        <f t="shared" ca="1" si="188"/>
        <v>379</v>
      </c>
      <c r="CC176" s="1">
        <f t="shared" ca="1" si="189"/>
        <v>5</v>
      </c>
      <c r="CD176" s="1">
        <f t="shared" ca="1" si="190"/>
        <v>0.23073245317418051</v>
      </c>
      <c r="CE176" s="1">
        <f t="shared" ca="1" si="209"/>
        <v>0.51170955029067389</v>
      </c>
      <c r="CF176" s="1">
        <f t="shared" ca="1" si="209"/>
        <v>0.78390689382855228</v>
      </c>
      <c r="CH176" s="3">
        <f t="shared" ca="1" si="192"/>
        <v>8.3058285845775265E-2</v>
      </c>
      <c r="CI176" s="3">
        <f t="shared" ca="1" si="193"/>
        <v>0.1608602360305085</v>
      </c>
      <c r="CJ176" s="3">
        <f t="shared" ca="1" si="194"/>
        <v>1938</v>
      </c>
      <c r="CK176" s="3">
        <f t="shared" ca="1" si="195"/>
        <v>9.5948824885902437E-3</v>
      </c>
      <c r="CL176" s="3">
        <f t="shared" ca="1" si="196"/>
        <v>0</v>
      </c>
      <c r="CM176" s="3"/>
      <c r="CN176" s="1">
        <f t="shared" ca="1" si="197"/>
        <v>19.767500340890756</v>
      </c>
      <c r="CO176" s="1">
        <f t="shared" ca="1" si="198"/>
        <v>0.3886385497591594</v>
      </c>
      <c r="CP176" s="1">
        <f t="shared" ca="1" si="199"/>
        <v>2</v>
      </c>
      <c r="CV176" s="1">
        <f t="shared" ca="1" si="200"/>
        <v>6.8434151785834514</v>
      </c>
      <c r="CW176" s="1">
        <f t="shared" ca="1" si="201"/>
        <v>105</v>
      </c>
      <c r="CX176" s="1">
        <f t="shared" ca="1" si="202"/>
        <v>2.4066934168525981E-3</v>
      </c>
      <c r="DH176" s="1">
        <f t="shared" ca="1" si="203"/>
        <v>778</v>
      </c>
      <c r="DI176" s="1">
        <f t="shared" ca="1" si="204"/>
        <v>2.5409540039689139E-2</v>
      </c>
      <c r="DJ176" s="1">
        <f t="shared" ca="1" si="205"/>
        <v>9</v>
      </c>
      <c r="DL176" s="1">
        <f t="shared" ca="1" si="206"/>
        <v>0.11040293599042372</v>
      </c>
      <c r="DM176" s="1">
        <f t="shared" ca="1" si="207"/>
        <v>240</v>
      </c>
      <c r="DN176" s="1">
        <f t="shared" ca="1" si="208"/>
        <v>2</v>
      </c>
    </row>
    <row r="177" spans="2:118" x14ac:dyDescent="0.25">
      <c r="B177">
        <f t="shared" ca="1" si="141"/>
        <v>549</v>
      </c>
      <c r="C177">
        <f t="shared" ca="1" si="142"/>
        <v>8</v>
      </c>
      <c r="D177">
        <f t="shared" ca="1" si="143"/>
        <v>0.29532834390329898</v>
      </c>
      <c r="F177" s="1">
        <f t="shared" ca="1" si="144"/>
        <v>13</v>
      </c>
      <c r="G177" s="1">
        <f t="shared" ca="1" si="145"/>
        <v>17</v>
      </c>
      <c r="H177" s="1">
        <f t="shared" ca="1" si="146"/>
        <v>13</v>
      </c>
      <c r="I177" s="1"/>
      <c r="J177" s="1">
        <f t="shared" ca="1" si="147"/>
        <v>12</v>
      </c>
      <c r="K177" s="1">
        <f t="shared" ca="1" si="148"/>
        <v>2.5044736276512349</v>
      </c>
      <c r="L177" s="1">
        <f t="shared" ca="1" si="149"/>
        <v>26</v>
      </c>
      <c r="M177" s="1"/>
      <c r="N177" s="1">
        <f t="shared" ca="1" si="150"/>
        <v>64</v>
      </c>
      <c r="O177" s="1">
        <f t="shared" ca="1" si="151"/>
        <v>35</v>
      </c>
      <c r="P177" s="1"/>
      <c r="Q177" s="1">
        <f t="shared" ca="1" si="152"/>
        <v>4.1032866360222409</v>
      </c>
      <c r="R177" s="1">
        <f t="shared" ca="1" si="153"/>
        <v>1101</v>
      </c>
      <c r="S177" s="1"/>
      <c r="T177" s="1">
        <f t="shared" ca="1" si="154"/>
        <v>0.10553593511528377</v>
      </c>
      <c r="U177" s="1">
        <f t="shared" ca="1" si="155"/>
        <v>204</v>
      </c>
      <c r="V177" s="1">
        <f t="shared" ca="1" si="156"/>
        <v>23</v>
      </c>
      <c r="W177" s="1"/>
      <c r="X177" s="1">
        <f t="shared" ca="1" si="157"/>
        <v>3.0103933281659336</v>
      </c>
      <c r="Y177" s="1">
        <f t="shared" ca="1" si="158"/>
        <v>0.51248255584999403</v>
      </c>
      <c r="Z177" s="1">
        <f t="shared" ca="1" si="159"/>
        <v>701</v>
      </c>
      <c r="AB177" s="1">
        <f t="shared" ca="1" si="160"/>
        <v>0.58058558759117418</v>
      </c>
      <c r="AC177" s="1">
        <f t="shared" ca="1" si="161"/>
        <v>469</v>
      </c>
      <c r="AD177" s="1">
        <f t="shared" ca="1" si="162"/>
        <v>9.9350369177561865E-3</v>
      </c>
      <c r="AE177" s="1"/>
      <c r="AF177" s="1">
        <f t="shared" ca="1" si="163"/>
        <v>0.45175944881556251</v>
      </c>
      <c r="AG177" s="1">
        <f t="shared" ca="1" si="164"/>
        <v>589</v>
      </c>
      <c r="AH177" s="1">
        <f t="shared" ca="1" si="165"/>
        <v>7.5063331959174494E-3</v>
      </c>
      <c r="AJ177" s="1">
        <f t="shared" ca="1" si="166"/>
        <v>0.85563715885067859</v>
      </c>
      <c r="AK177" s="1">
        <f t="shared" ca="1" si="167"/>
        <v>4.7903767722111082E-5</v>
      </c>
      <c r="AL177" s="1"/>
      <c r="AM177" s="1">
        <f t="shared" ca="1" si="168"/>
        <v>0.16387233419838151</v>
      </c>
      <c r="AN177" s="1">
        <f t="shared" ca="1" si="169"/>
        <v>75</v>
      </c>
      <c r="AO177" s="1">
        <f t="shared" ca="1" si="170"/>
        <v>11</v>
      </c>
      <c r="AQ177" s="1">
        <f t="shared" ca="1" si="171"/>
        <v>135</v>
      </c>
      <c r="AR177" s="1">
        <f t="shared" ca="1" si="172"/>
        <v>10</v>
      </c>
      <c r="AS177" s="1">
        <f t="shared" ca="1" si="173"/>
        <v>17</v>
      </c>
      <c r="AU177" s="1">
        <f t="shared" ca="1" si="174"/>
        <v>132</v>
      </c>
      <c r="AV177" s="1">
        <f t="shared" ca="1" si="175"/>
        <v>10</v>
      </c>
      <c r="AW177" s="1">
        <f t="shared" ca="1" si="176"/>
        <v>5.6323194035059927E-2</v>
      </c>
      <c r="AY177" s="1">
        <f t="shared" ca="1" si="177"/>
        <v>1.7607755555272342</v>
      </c>
      <c r="AZ177" s="1">
        <f t="shared" ca="1" si="178"/>
        <v>361</v>
      </c>
      <c r="BA177" s="1">
        <f t="shared" ca="1" si="179"/>
        <v>9.1082358119652096E-3</v>
      </c>
      <c r="BG177" s="1">
        <f t="shared" ca="1" si="180"/>
        <v>0.76519140756162762</v>
      </c>
      <c r="BH177" s="1">
        <f t="shared" ca="1" si="181"/>
        <v>0.74774278922563331</v>
      </c>
      <c r="BI177" s="1">
        <f t="shared" ca="1" si="182"/>
        <v>856</v>
      </c>
      <c r="BV177" s="1">
        <f t="shared" ca="1" si="183"/>
        <v>0.25181343808206264</v>
      </c>
      <c r="BW177" s="1">
        <f t="shared" ca="1" si="184"/>
        <v>367</v>
      </c>
      <c r="BX177" s="1">
        <f t="shared" ca="1" si="185"/>
        <v>1.9089068994151198E-3</v>
      </c>
      <c r="BY177" s="1">
        <f t="shared" ca="1" si="186"/>
        <v>8.6774998737857226E-2</v>
      </c>
      <c r="BZ177" s="1">
        <f t="shared" ca="1" si="187"/>
        <v>0.74083043376043078</v>
      </c>
      <c r="CB177" s="1">
        <f t="shared" ca="1" si="188"/>
        <v>249</v>
      </c>
      <c r="CC177" s="1">
        <f t="shared" ca="1" si="189"/>
        <v>11</v>
      </c>
      <c r="CD177" s="1">
        <f t="shared" ca="1" si="190"/>
        <v>0.27283479482949607</v>
      </c>
      <c r="CE177" s="1">
        <f t="shared" ca="1" si="209"/>
        <v>0.89581636281369326</v>
      </c>
      <c r="CF177" s="1">
        <f t="shared" ca="1" si="209"/>
        <v>0.67878190590152732</v>
      </c>
      <c r="CH177" s="3">
        <f t="shared" ca="1" si="192"/>
        <v>0.7923693471779939</v>
      </c>
      <c r="CI177" s="3">
        <f t="shared" ca="1" si="193"/>
        <v>1.163236810240002E-2</v>
      </c>
      <c r="CJ177" s="3">
        <f t="shared" ca="1" si="194"/>
        <v>1212</v>
      </c>
      <c r="CK177" s="3">
        <f t="shared" ca="1" si="195"/>
        <v>6.5542080401968976E-3</v>
      </c>
      <c r="CL177" s="3">
        <f t="shared" ca="1" si="196"/>
        <v>1</v>
      </c>
      <c r="CM177" s="3"/>
      <c r="CN177" s="1">
        <f t="shared" ca="1" si="197"/>
        <v>8.4262914064743324</v>
      </c>
      <c r="CO177" s="1">
        <f t="shared" ca="1" si="198"/>
        <v>0.40496963863938146</v>
      </c>
      <c r="CP177" s="1">
        <f t="shared" ca="1" si="199"/>
        <v>2</v>
      </c>
      <c r="CV177" s="1">
        <f t="shared" ca="1" si="200"/>
        <v>7.6572821063884975</v>
      </c>
      <c r="CW177" s="1">
        <f t="shared" ca="1" si="201"/>
        <v>1313</v>
      </c>
      <c r="CX177" s="1">
        <f t="shared" ca="1" si="202"/>
        <v>5.9467994098262979E-3</v>
      </c>
      <c r="DH177" s="1">
        <f t="shared" ca="1" si="203"/>
        <v>489</v>
      </c>
      <c r="DI177" s="1">
        <f t="shared" ca="1" si="204"/>
        <v>0.40948807756554634</v>
      </c>
      <c r="DJ177" s="1">
        <f t="shared" ca="1" si="205"/>
        <v>21</v>
      </c>
      <c r="DL177" s="1">
        <f t="shared" ca="1" si="206"/>
        <v>0.1449809782177621</v>
      </c>
      <c r="DM177" s="1">
        <f t="shared" ca="1" si="207"/>
        <v>105</v>
      </c>
      <c r="DN177" s="1">
        <f t="shared" ca="1" si="208"/>
        <v>2</v>
      </c>
    </row>
    <row r="178" spans="2:118" x14ac:dyDescent="0.25">
      <c r="B178">
        <f t="shared" ca="1" si="141"/>
        <v>68</v>
      </c>
      <c r="C178">
        <f t="shared" ca="1" si="142"/>
        <v>40</v>
      </c>
      <c r="D178">
        <f t="shared" ca="1" si="143"/>
        <v>0.28795619199064953</v>
      </c>
      <c r="F178" s="1">
        <f t="shared" ca="1" si="144"/>
        <v>33</v>
      </c>
      <c r="G178" s="1">
        <f t="shared" ca="1" si="145"/>
        <v>21</v>
      </c>
      <c r="H178" s="1">
        <f t="shared" ca="1" si="146"/>
        <v>11</v>
      </c>
      <c r="I178" s="1"/>
      <c r="J178" s="1">
        <f t="shared" ca="1" si="147"/>
        <v>11</v>
      </c>
      <c r="K178" s="1">
        <f t="shared" ca="1" si="148"/>
        <v>1.6850795341920983</v>
      </c>
      <c r="L178" s="1">
        <f t="shared" ca="1" si="149"/>
        <v>21</v>
      </c>
      <c r="M178" s="1"/>
      <c r="N178" s="1">
        <f t="shared" ca="1" si="150"/>
        <v>154</v>
      </c>
      <c r="O178" s="1">
        <f t="shared" ca="1" si="151"/>
        <v>6</v>
      </c>
      <c r="P178" s="1"/>
      <c r="Q178" s="1">
        <f t="shared" ca="1" si="152"/>
        <v>0.59245704887357986</v>
      </c>
      <c r="R178" s="1">
        <f t="shared" ca="1" si="153"/>
        <v>409</v>
      </c>
      <c r="S178" s="1"/>
      <c r="T178" s="1">
        <f t="shared" ca="1" si="154"/>
        <v>7.3842784395839578E-2</v>
      </c>
      <c r="U178" s="1">
        <f t="shared" ca="1" si="155"/>
        <v>435</v>
      </c>
      <c r="V178" s="1">
        <f t="shared" ca="1" si="156"/>
        <v>33</v>
      </c>
      <c r="W178" s="1"/>
      <c r="X178" s="1">
        <f t="shared" ca="1" si="157"/>
        <v>8.1882656150065323</v>
      </c>
      <c r="Y178" s="1">
        <f t="shared" ca="1" si="158"/>
        <v>0.29117091189038496</v>
      </c>
      <c r="Z178" s="1">
        <f t="shared" ca="1" si="159"/>
        <v>249</v>
      </c>
      <c r="AB178" s="1">
        <f t="shared" ca="1" si="160"/>
        <v>0.46069534314289334</v>
      </c>
      <c r="AC178" s="1">
        <f t="shared" ca="1" si="161"/>
        <v>259</v>
      </c>
      <c r="AD178" s="1">
        <f t="shared" ca="1" si="162"/>
        <v>9.1466989116393612E-3</v>
      </c>
      <c r="AE178" s="1"/>
      <c r="AF178" s="1">
        <f t="shared" ca="1" si="163"/>
        <v>0.70577236243667441</v>
      </c>
      <c r="AG178" s="1">
        <f t="shared" ca="1" si="164"/>
        <v>911</v>
      </c>
      <c r="AH178" s="1">
        <f t="shared" ca="1" si="165"/>
        <v>6.4544082840419254E-3</v>
      </c>
      <c r="AJ178" s="1">
        <f t="shared" ca="1" si="166"/>
        <v>0.69517597107617668</v>
      </c>
      <c r="AK178" s="1">
        <f t="shared" ca="1" si="167"/>
        <v>6.9206332495274844E-3</v>
      </c>
      <c r="AL178" s="1"/>
      <c r="AM178" s="1">
        <f t="shared" ca="1" si="168"/>
        <v>0.11119774229812705</v>
      </c>
      <c r="AN178" s="1">
        <f t="shared" ca="1" si="169"/>
        <v>36</v>
      </c>
      <c r="AO178" s="1">
        <f t="shared" ca="1" si="170"/>
        <v>14</v>
      </c>
      <c r="AQ178" s="1">
        <f t="shared" ca="1" si="171"/>
        <v>187</v>
      </c>
      <c r="AR178" s="1">
        <f t="shared" ca="1" si="172"/>
        <v>6</v>
      </c>
      <c r="AS178" s="1">
        <f t="shared" ca="1" si="173"/>
        <v>69</v>
      </c>
      <c r="AU178" s="1">
        <f t="shared" ca="1" si="174"/>
        <v>62</v>
      </c>
      <c r="AV178" s="1">
        <f t="shared" ca="1" si="175"/>
        <v>4</v>
      </c>
      <c r="AW178" s="1">
        <f t="shared" ca="1" si="176"/>
        <v>9.9028649232083585E-2</v>
      </c>
      <c r="AY178" s="1">
        <f t="shared" ca="1" si="177"/>
        <v>1.8076262092410689</v>
      </c>
      <c r="AZ178" s="1">
        <f t="shared" ca="1" si="178"/>
        <v>296</v>
      </c>
      <c r="BA178" s="1">
        <f t="shared" ca="1" si="179"/>
        <v>4.4915085851302654E-3</v>
      </c>
      <c r="BG178" s="1">
        <f t="shared" ca="1" si="180"/>
        <v>0.30407340515689724</v>
      </c>
      <c r="BH178" s="1">
        <f t="shared" ca="1" si="181"/>
        <v>0.10409762551752721</v>
      </c>
      <c r="BI178" s="1">
        <f t="shared" ca="1" si="182"/>
        <v>624</v>
      </c>
      <c r="BV178" s="1">
        <f t="shared" ca="1" si="183"/>
        <v>0.80385267266831117</v>
      </c>
      <c r="BW178" s="1">
        <f t="shared" ca="1" si="184"/>
        <v>644</v>
      </c>
      <c r="BX178" s="1">
        <f t="shared" ca="1" si="185"/>
        <v>2.767566421974003E-3</v>
      </c>
      <c r="BY178" s="1">
        <f t="shared" ca="1" si="186"/>
        <v>3.2787896143510915E-2</v>
      </c>
      <c r="BZ178" s="1">
        <f t="shared" ca="1" si="187"/>
        <v>0.27461826871432371</v>
      </c>
      <c r="CB178" s="1">
        <f t="shared" ca="1" si="188"/>
        <v>112</v>
      </c>
      <c r="CC178" s="1">
        <f t="shared" ca="1" si="189"/>
        <v>13</v>
      </c>
      <c r="CD178" s="1">
        <f t="shared" ca="1" si="190"/>
        <v>3.6214906691827461E-2</v>
      </c>
      <c r="CE178" s="1">
        <f t="shared" ca="1" si="209"/>
        <v>0.80759075372070865</v>
      </c>
      <c r="CF178" s="1">
        <f t="shared" ca="1" si="209"/>
        <v>0.86505288745891129</v>
      </c>
      <c r="CH178" s="3">
        <f t="shared" ca="1" si="192"/>
        <v>0.59424328773223323</v>
      </c>
      <c r="CI178" s="3">
        <f t="shared" ca="1" si="193"/>
        <v>0.71795699289442128</v>
      </c>
      <c r="CJ178" s="3">
        <f t="shared" ca="1" si="194"/>
        <v>774</v>
      </c>
      <c r="CK178" s="3">
        <f t="shared" ca="1" si="195"/>
        <v>8.4524828103676938E-3</v>
      </c>
      <c r="CL178" s="3">
        <f t="shared" ca="1" si="196"/>
        <v>0</v>
      </c>
      <c r="CM178" s="3"/>
      <c r="CN178" s="1">
        <f t="shared" ca="1" si="197"/>
        <v>12.815878614050179</v>
      </c>
      <c r="CO178" s="1">
        <f t="shared" ca="1" si="198"/>
        <v>0.17941846651858978</v>
      </c>
      <c r="CP178" s="1">
        <f t="shared" ca="1" si="199"/>
        <v>1</v>
      </c>
      <c r="CV178" s="1">
        <f t="shared" ca="1" si="200"/>
        <v>6.2181975988404119</v>
      </c>
      <c r="CW178" s="1">
        <f t="shared" ca="1" si="201"/>
        <v>1303</v>
      </c>
      <c r="CX178" s="1">
        <f t="shared" ca="1" si="202"/>
        <v>7.2425855729256541E-3</v>
      </c>
      <c r="DH178" s="1">
        <f t="shared" ca="1" si="203"/>
        <v>781</v>
      </c>
      <c r="DI178" s="1">
        <f t="shared" ca="1" si="204"/>
        <v>0.82300162154060941</v>
      </c>
      <c r="DJ178" s="1">
        <f t="shared" ca="1" si="205"/>
        <v>13</v>
      </c>
      <c r="DL178" s="1">
        <f t="shared" ca="1" si="206"/>
        <v>9.2452038180826104E-2</v>
      </c>
      <c r="DM178" s="1">
        <f t="shared" ca="1" si="207"/>
        <v>169</v>
      </c>
      <c r="DN178" s="1">
        <f t="shared" ca="1" si="208"/>
        <v>4</v>
      </c>
    </row>
    <row r="179" spans="2:118" x14ac:dyDescent="0.25">
      <c r="B179">
        <f t="shared" ca="1" si="141"/>
        <v>557</v>
      </c>
      <c r="C179">
        <f t="shared" ca="1" si="142"/>
        <v>13</v>
      </c>
      <c r="D179">
        <f t="shared" ca="1" si="143"/>
        <v>1.740868971915779E-2</v>
      </c>
      <c r="F179" s="1">
        <f t="shared" ca="1" si="144"/>
        <v>45</v>
      </c>
      <c r="G179" s="1">
        <f t="shared" ca="1" si="145"/>
        <v>25</v>
      </c>
      <c r="H179" s="1">
        <f t="shared" ca="1" si="146"/>
        <v>4</v>
      </c>
      <c r="I179" s="1"/>
      <c r="J179" s="1">
        <f t="shared" ca="1" si="147"/>
        <v>39</v>
      </c>
      <c r="K179" s="1">
        <f t="shared" ca="1" si="148"/>
        <v>2.977167207222386</v>
      </c>
      <c r="L179" s="1">
        <f t="shared" ca="1" si="149"/>
        <v>32</v>
      </c>
      <c r="M179" s="1"/>
      <c r="N179" s="1">
        <f t="shared" ca="1" si="150"/>
        <v>387</v>
      </c>
      <c r="O179" s="1">
        <f t="shared" ca="1" si="151"/>
        <v>6</v>
      </c>
      <c r="P179" s="1"/>
      <c r="Q179" s="1">
        <f t="shared" ca="1" si="152"/>
        <v>4.6572683715571319</v>
      </c>
      <c r="R179" s="1">
        <f t="shared" ca="1" si="153"/>
        <v>1027</v>
      </c>
      <c r="S179" s="1"/>
      <c r="T179" s="1">
        <f t="shared" ca="1" si="154"/>
        <v>3.7465257236340394E-2</v>
      </c>
      <c r="U179" s="1">
        <f t="shared" ca="1" si="155"/>
        <v>398</v>
      </c>
      <c r="V179" s="1">
        <f t="shared" ca="1" si="156"/>
        <v>26</v>
      </c>
      <c r="W179" s="1"/>
      <c r="X179" s="1">
        <f t="shared" ca="1" si="157"/>
        <v>0.31059871213576185</v>
      </c>
      <c r="Y179" s="1">
        <f t="shared" ca="1" si="158"/>
        <v>0.97387603244342225</v>
      </c>
      <c r="Z179" s="1">
        <f t="shared" ca="1" si="159"/>
        <v>1503</v>
      </c>
      <c r="AB179" s="1">
        <f t="shared" ca="1" si="160"/>
        <v>0.9311334693310106</v>
      </c>
      <c r="AC179" s="1">
        <f t="shared" ca="1" si="161"/>
        <v>285</v>
      </c>
      <c r="AD179" s="1">
        <f t="shared" ca="1" si="162"/>
        <v>1.0658115369744897E-3</v>
      </c>
      <c r="AE179" s="1"/>
      <c r="AF179" s="1">
        <f t="shared" ca="1" si="163"/>
        <v>0.34609888077763024</v>
      </c>
      <c r="AG179" s="1">
        <f t="shared" ca="1" si="164"/>
        <v>665</v>
      </c>
      <c r="AH179" s="1">
        <f t="shared" ca="1" si="165"/>
        <v>3.182381801759583E-3</v>
      </c>
      <c r="AJ179" s="1">
        <f t="shared" ca="1" si="166"/>
        <v>8.0395754746697023E-2</v>
      </c>
      <c r="AK179" s="1">
        <f t="shared" ca="1" si="167"/>
        <v>3.5937789925573247E-3</v>
      </c>
      <c r="AL179" s="1"/>
      <c r="AM179" s="1">
        <f t="shared" ca="1" si="168"/>
        <v>5.9073059079378324E-3</v>
      </c>
      <c r="AN179" s="1">
        <f t="shared" ca="1" si="169"/>
        <v>40</v>
      </c>
      <c r="AO179" s="1">
        <f t="shared" ca="1" si="170"/>
        <v>8</v>
      </c>
      <c r="AQ179" s="1">
        <f t="shared" ca="1" si="171"/>
        <v>79</v>
      </c>
      <c r="AR179" s="1">
        <f t="shared" ca="1" si="172"/>
        <v>1</v>
      </c>
      <c r="AS179" s="1">
        <f t="shared" ca="1" si="173"/>
        <v>9</v>
      </c>
      <c r="AU179" s="1">
        <f t="shared" ca="1" si="174"/>
        <v>81</v>
      </c>
      <c r="AV179" s="1">
        <f t="shared" ca="1" si="175"/>
        <v>9</v>
      </c>
      <c r="AW179" s="1">
        <f t="shared" ca="1" si="176"/>
        <v>5.4240160639216613E-2</v>
      </c>
      <c r="AY179" s="1">
        <f t="shared" ca="1" si="177"/>
        <v>1.9586080594123576</v>
      </c>
      <c r="AZ179" s="1">
        <f t="shared" ca="1" si="178"/>
        <v>458</v>
      </c>
      <c r="BA179" s="1">
        <f t="shared" ca="1" si="179"/>
        <v>3.6002974380920389E-3</v>
      </c>
      <c r="BG179" s="1">
        <f t="shared" ca="1" si="180"/>
        <v>0.17033264487816724</v>
      </c>
      <c r="BH179" s="1">
        <f t="shared" ca="1" si="181"/>
        <v>0.14520378980488913</v>
      </c>
      <c r="BI179" s="1">
        <f t="shared" ca="1" si="182"/>
        <v>549</v>
      </c>
      <c r="BV179" s="1">
        <f t="shared" ca="1" si="183"/>
        <v>0.99436192852678418</v>
      </c>
      <c r="BW179" s="1">
        <f t="shared" ca="1" si="184"/>
        <v>163</v>
      </c>
      <c r="BX179" s="1">
        <f t="shared" ca="1" si="185"/>
        <v>6.0334561368868339E-3</v>
      </c>
      <c r="BY179" s="1">
        <f t="shared" ca="1" si="186"/>
        <v>8.8811748160615517E-2</v>
      </c>
      <c r="BZ179" s="1">
        <f t="shared" ca="1" si="187"/>
        <v>0.33377788779430972</v>
      </c>
      <c r="CB179" s="1">
        <f t="shared" ca="1" si="188"/>
        <v>227</v>
      </c>
      <c r="CC179" s="1">
        <f t="shared" ca="1" si="189"/>
        <v>12</v>
      </c>
      <c r="CD179" s="1">
        <f t="shared" ca="1" si="190"/>
        <v>2.899597926834057E-2</v>
      </c>
      <c r="CE179" s="1">
        <f t="shared" ca="1" si="209"/>
        <v>0.77658047030188571</v>
      </c>
      <c r="CF179" s="1">
        <f t="shared" ca="1" si="209"/>
        <v>0.82383228965450184</v>
      </c>
      <c r="CH179" s="3">
        <f t="shared" ca="1" si="192"/>
        <v>0.75119214182070815</v>
      </c>
      <c r="CI179" s="3">
        <f t="shared" ca="1" si="193"/>
        <v>5.1967774840847754E-2</v>
      </c>
      <c r="CJ179" s="3">
        <f t="shared" ca="1" si="194"/>
        <v>723</v>
      </c>
      <c r="CK179" s="3">
        <f t="shared" ca="1" si="195"/>
        <v>8.8203799824118911E-3</v>
      </c>
      <c r="CL179" s="3">
        <f t="shared" ca="1" si="196"/>
        <v>1</v>
      </c>
      <c r="CM179" s="3"/>
      <c r="CN179" s="1">
        <f t="shared" ca="1" si="197"/>
        <v>13.716593654560791</v>
      </c>
      <c r="CO179" s="1">
        <f t="shared" ca="1" si="198"/>
        <v>0.46859526980595162</v>
      </c>
      <c r="CP179" s="1">
        <f t="shared" ca="1" si="199"/>
        <v>1</v>
      </c>
      <c r="CV179" s="1">
        <f t="shared" ca="1" si="200"/>
        <v>9.9542464800274679</v>
      </c>
      <c r="CW179" s="1">
        <f t="shared" ca="1" si="201"/>
        <v>1176</v>
      </c>
      <c r="CX179" s="1">
        <f t="shared" ca="1" si="202"/>
        <v>3.9890729352879865E-4</v>
      </c>
      <c r="DH179" s="1">
        <f t="shared" ca="1" si="203"/>
        <v>895</v>
      </c>
      <c r="DI179" s="1">
        <f t="shared" ca="1" si="204"/>
        <v>0.58885039594371946</v>
      </c>
      <c r="DJ179" s="1">
        <f t="shared" ca="1" si="205"/>
        <v>1</v>
      </c>
      <c r="DL179" s="1">
        <f t="shared" ca="1" si="206"/>
        <v>0.13952150230685859</v>
      </c>
      <c r="DM179" s="1">
        <f t="shared" ca="1" si="207"/>
        <v>87</v>
      </c>
      <c r="DN179" s="1">
        <f t="shared" ca="1" si="208"/>
        <v>3</v>
      </c>
    </row>
    <row r="180" spans="2:118" x14ac:dyDescent="0.25">
      <c r="B180">
        <f t="shared" ca="1" si="141"/>
        <v>380</v>
      </c>
      <c r="C180">
        <f t="shared" ca="1" si="142"/>
        <v>31</v>
      </c>
      <c r="D180">
        <f t="shared" ca="1" si="143"/>
        <v>0.10663381900492457</v>
      </c>
      <c r="F180" s="1">
        <f t="shared" ca="1" si="144"/>
        <v>26</v>
      </c>
      <c r="G180" s="1">
        <f t="shared" ca="1" si="145"/>
        <v>3</v>
      </c>
      <c r="H180" s="1">
        <f t="shared" ca="1" si="146"/>
        <v>14</v>
      </c>
      <c r="I180" s="1"/>
      <c r="J180" s="1">
        <f t="shared" ca="1" si="147"/>
        <v>6</v>
      </c>
      <c r="K180" s="1">
        <f t="shared" ca="1" si="148"/>
        <v>2.7624896092075311</v>
      </c>
      <c r="L180" s="1">
        <f t="shared" ca="1" si="149"/>
        <v>4</v>
      </c>
      <c r="M180" s="1"/>
      <c r="N180" s="1">
        <f t="shared" ca="1" si="150"/>
        <v>728</v>
      </c>
      <c r="O180" s="1">
        <f t="shared" ca="1" si="151"/>
        <v>43</v>
      </c>
      <c r="P180" s="1"/>
      <c r="Q180" s="1">
        <f t="shared" ca="1" si="152"/>
        <v>1.3718129469004161</v>
      </c>
      <c r="R180" s="1">
        <f t="shared" ca="1" si="153"/>
        <v>236</v>
      </c>
      <c r="S180" s="1"/>
      <c r="T180" s="1">
        <f t="shared" ca="1" si="154"/>
        <v>3.4970406981986758E-2</v>
      </c>
      <c r="U180" s="1">
        <f t="shared" ca="1" si="155"/>
        <v>328</v>
      </c>
      <c r="V180" s="1">
        <f t="shared" ca="1" si="156"/>
        <v>21</v>
      </c>
      <c r="W180" s="1"/>
      <c r="X180" s="1">
        <f t="shared" ca="1" si="157"/>
        <v>8.2348450235690756</v>
      </c>
      <c r="Y180" s="1">
        <f t="shared" ca="1" si="158"/>
        <v>0.95721645261783428</v>
      </c>
      <c r="Z180" s="1">
        <f t="shared" ca="1" si="159"/>
        <v>1149</v>
      </c>
      <c r="AB180" s="1">
        <f t="shared" ca="1" si="160"/>
        <v>0.8243090708629971</v>
      </c>
      <c r="AC180" s="1">
        <f t="shared" ca="1" si="161"/>
        <v>368</v>
      </c>
      <c r="AD180" s="1">
        <f t="shared" ca="1" si="162"/>
        <v>1.0405968343106297E-3</v>
      </c>
      <c r="AE180" s="1"/>
      <c r="AF180" s="1">
        <f t="shared" ca="1" si="163"/>
        <v>0.56031906645285456</v>
      </c>
      <c r="AG180" s="1">
        <f t="shared" ca="1" si="164"/>
        <v>823</v>
      </c>
      <c r="AH180" s="1">
        <f t="shared" ca="1" si="165"/>
        <v>8.6564905831629253E-3</v>
      </c>
      <c r="AJ180" s="1">
        <f t="shared" ca="1" si="166"/>
        <v>0.72107887022623041</v>
      </c>
      <c r="AK180" s="1">
        <f t="shared" ca="1" si="167"/>
        <v>6.9733150057849254E-3</v>
      </c>
      <c r="AL180" s="1"/>
      <c r="AM180" s="1">
        <f t="shared" ca="1" si="168"/>
        <v>2.4206668423134157E-2</v>
      </c>
      <c r="AN180" s="1">
        <f t="shared" ca="1" si="169"/>
        <v>76</v>
      </c>
      <c r="AO180" s="1">
        <f t="shared" ca="1" si="170"/>
        <v>3</v>
      </c>
      <c r="AQ180" s="1">
        <f t="shared" ca="1" si="171"/>
        <v>94</v>
      </c>
      <c r="AR180" s="1">
        <f t="shared" ca="1" si="172"/>
        <v>10</v>
      </c>
      <c r="AS180" s="1">
        <f t="shared" ca="1" si="173"/>
        <v>27</v>
      </c>
      <c r="AU180" s="1">
        <f t="shared" ca="1" si="174"/>
        <v>231</v>
      </c>
      <c r="AV180" s="1">
        <f t="shared" ca="1" si="175"/>
        <v>3</v>
      </c>
      <c r="AW180" s="1">
        <f t="shared" ca="1" si="176"/>
        <v>9.7293626240996592E-2</v>
      </c>
      <c r="AY180" s="1">
        <f t="shared" ca="1" si="177"/>
        <v>1.91401809477729</v>
      </c>
      <c r="AZ180" s="1">
        <f t="shared" ca="1" si="178"/>
        <v>192</v>
      </c>
      <c r="BA180" s="1">
        <f t="shared" ca="1" si="179"/>
        <v>3.1734974066545264E-3</v>
      </c>
      <c r="BG180" s="1">
        <f t="shared" ca="1" si="180"/>
        <v>0.32919579694435319</v>
      </c>
      <c r="BH180" s="1">
        <f t="shared" ca="1" si="181"/>
        <v>0.19836621748606109</v>
      </c>
      <c r="BI180" s="1">
        <f t="shared" ca="1" si="182"/>
        <v>918</v>
      </c>
      <c r="BV180" s="1">
        <f t="shared" ca="1" si="183"/>
        <v>0.50015570543864196</v>
      </c>
      <c r="BW180" s="1">
        <f t="shared" ca="1" si="184"/>
        <v>632</v>
      </c>
      <c r="BX180" s="1">
        <f t="shared" ca="1" si="185"/>
        <v>9.3738870043168256E-3</v>
      </c>
      <c r="BY180" s="1">
        <f t="shared" ca="1" si="186"/>
        <v>4.5124449338986526E-4</v>
      </c>
      <c r="BZ180" s="1">
        <f t="shared" ca="1" si="187"/>
        <v>0.10535631131374623</v>
      </c>
      <c r="CB180" s="1">
        <f t="shared" ca="1" si="188"/>
        <v>451</v>
      </c>
      <c r="CC180" s="1">
        <f t="shared" ca="1" si="189"/>
        <v>3</v>
      </c>
      <c r="CD180" s="1">
        <f t="shared" ca="1" si="190"/>
        <v>0.17239119285924054</v>
      </c>
      <c r="CE180" s="1">
        <f t="shared" ca="1" si="209"/>
        <v>0.60476258572799135</v>
      </c>
      <c r="CF180" s="1">
        <f t="shared" ca="1" si="209"/>
        <v>0.60577292886269873</v>
      </c>
      <c r="CH180" s="3">
        <f t="shared" ca="1" si="192"/>
        <v>0.37371002941408554</v>
      </c>
      <c r="CI180" s="3">
        <f t="shared" ca="1" si="193"/>
        <v>0.64390588301323903</v>
      </c>
      <c r="CJ180" s="3">
        <f t="shared" ca="1" si="194"/>
        <v>812</v>
      </c>
      <c r="CK180" s="3">
        <f t="shared" ca="1" si="195"/>
        <v>8.2281603576441452E-3</v>
      </c>
      <c r="CL180" s="3">
        <f t="shared" ca="1" si="196"/>
        <v>0</v>
      </c>
      <c r="CM180" s="3"/>
      <c r="CN180" s="1">
        <f t="shared" ca="1" si="197"/>
        <v>3.4879160857432074</v>
      </c>
      <c r="CO180" s="1">
        <f t="shared" ca="1" si="198"/>
        <v>0.49811176669404428</v>
      </c>
      <c r="CP180" s="1">
        <f t="shared" ca="1" si="199"/>
        <v>3</v>
      </c>
      <c r="CV180" s="1">
        <f t="shared" ca="1" si="200"/>
        <v>1.4774679901296917</v>
      </c>
      <c r="CW180" s="1">
        <f t="shared" ca="1" si="201"/>
        <v>226</v>
      </c>
      <c r="CX180" s="1">
        <f t="shared" ca="1" si="202"/>
        <v>9.36713114205758E-3</v>
      </c>
      <c r="DH180" s="1">
        <f t="shared" ca="1" si="203"/>
        <v>534</v>
      </c>
      <c r="DI180" s="1">
        <f t="shared" ca="1" si="204"/>
        <v>0.24663642072412492</v>
      </c>
      <c r="DJ180" s="1">
        <f t="shared" ca="1" si="205"/>
        <v>22</v>
      </c>
      <c r="DL180" s="1">
        <f t="shared" ca="1" si="206"/>
        <v>0.1916665800292498</v>
      </c>
      <c r="DM180" s="1">
        <f t="shared" ca="1" si="207"/>
        <v>297</v>
      </c>
      <c r="DN180" s="1">
        <f t="shared" ca="1" si="208"/>
        <v>1</v>
      </c>
    </row>
    <row r="181" spans="2:118" x14ac:dyDescent="0.25">
      <c r="B181">
        <f t="shared" ca="1" si="141"/>
        <v>843</v>
      </c>
      <c r="C181">
        <f t="shared" ca="1" si="142"/>
        <v>7</v>
      </c>
      <c r="D181">
        <f t="shared" ca="1" si="143"/>
        <v>7.0961869997293245E-2</v>
      </c>
      <c r="F181" s="1">
        <f t="shared" ca="1" si="144"/>
        <v>39</v>
      </c>
      <c r="G181" s="1">
        <f t="shared" ca="1" si="145"/>
        <v>23</v>
      </c>
      <c r="H181" s="1">
        <f t="shared" ca="1" si="146"/>
        <v>11</v>
      </c>
      <c r="I181" s="1"/>
      <c r="J181" s="1">
        <f t="shared" ca="1" si="147"/>
        <v>30</v>
      </c>
      <c r="K181" s="1">
        <f t="shared" ca="1" si="148"/>
        <v>1.9468155613632063</v>
      </c>
      <c r="L181" s="1">
        <f t="shared" ca="1" si="149"/>
        <v>19</v>
      </c>
      <c r="M181" s="1"/>
      <c r="N181" s="1">
        <f t="shared" ca="1" si="150"/>
        <v>666</v>
      </c>
      <c r="O181" s="1">
        <f t="shared" ca="1" si="151"/>
        <v>5</v>
      </c>
      <c r="P181" s="1"/>
      <c r="Q181" s="1">
        <f t="shared" ca="1" si="152"/>
        <v>0.93509611383294766</v>
      </c>
      <c r="R181" s="1">
        <f t="shared" ca="1" si="153"/>
        <v>1035</v>
      </c>
      <c r="S181" s="1"/>
      <c r="T181" s="1">
        <f t="shared" ca="1" si="154"/>
        <v>9.8045573107164191E-2</v>
      </c>
      <c r="U181" s="1">
        <f t="shared" ca="1" si="155"/>
        <v>372</v>
      </c>
      <c r="V181" s="1">
        <f t="shared" ca="1" si="156"/>
        <v>49</v>
      </c>
      <c r="W181" s="1"/>
      <c r="X181" s="1">
        <f t="shared" ca="1" si="157"/>
        <v>9.8047235991631556</v>
      </c>
      <c r="Y181" s="1">
        <f t="shared" ca="1" si="158"/>
        <v>0.24892808810806025</v>
      </c>
      <c r="Z181" s="1">
        <f t="shared" ca="1" si="159"/>
        <v>1256</v>
      </c>
      <c r="AB181" s="1">
        <f t="shared" ca="1" si="160"/>
        <v>0.99004343038425002</v>
      </c>
      <c r="AC181" s="1">
        <f t="shared" ca="1" si="161"/>
        <v>228</v>
      </c>
      <c r="AD181" s="1">
        <f t="shared" ca="1" si="162"/>
        <v>6.8852700698819403E-3</v>
      </c>
      <c r="AE181" s="1"/>
      <c r="AF181" s="1">
        <f t="shared" ca="1" si="163"/>
        <v>0.58577245249184517</v>
      </c>
      <c r="AG181" s="1">
        <f t="shared" ca="1" si="164"/>
        <v>676</v>
      </c>
      <c r="AH181" s="1">
        <f t="shared" ca="1" si="165"/>
        <v>2.6381124123097065E-3</v>
      </c>
      <c r="AJ181" s="1">
        <f t="shared" ca="1" si="166"/>
        <v>0.30954790791065223</v>
      </c>
      <c r="AK181" s="1">
        <f t="shared" ca="1" si="167"/>
        <v>1.6405787035159772E-3</v>
      </c>
      <c r="AL181" s="1"/>
      <c r="AM181" s="1">
        <f t="shared" ca="1" si="168"/>
        <v>0.13906475691333839</v>
      </c>
      <c r="AN181" s="1">
        <f t="shared" ca="1" si="169"/>
        <v>33</v>
      </c>
      <c r="AO181" s="1">
        <f t="shared" ca="1" si="170"/>
        <v>14</v>
      </c>
      <c r="AQ181" s="1">
        <f t="shared" ca="1" si="171"/>
        <v>38</v>
      </c>
      <c r="AR181" s="1">
        <f t="shared" ca="1" si="172"/>
        <v>0</v>
      </c>
      <c r="AS181" s="1">
        <f t="shared" ca="1" si="173"/>
        <v>40</v>
      </c>
      <c r="AU181" s="1">
        <f t="shared" ca="1" si="174"/>
        <v>138</v>
      </c>
      <c r="AV181" s="1">
        <f t="shared" ca="1" si="175"/>
        <v>3</v>
      </c>
      <c r="AW181" s="1">
        <f t="shared" ca="1" si="176"/>
        <v>0.15542257380544983</v>
      </c>
      <c r="AY181" s="1">
        <f t="shared" ca="1" si="177"/>
        <v>1.7866348591240171</v>
      </c>
      <c r="AZ181" s="1">
        <f t="shared" ca="1" si="178"/>
        <v>460</v>
      </c>
      <c r="BA181" s="1">
        <f t="shared" ca="1" si="179"/>
        <v>1.0497489880998809E-3</v>
      </c>
      <c r="BG181" s="1">
        <f t="shared" ca="1" si="180"/>
        <v>0.23216592830465546</v>
      </c>
      <c r="BH181" s="1">
        <f t="shared" ca="1" si="181"/>
        <v>0.59307429787586108</v>
      </c>
      <c r="BI181" s="1">
        <f t="shared" ca="1" si="182"/>
        <v>967</v>
      </c>
      <c r="BV181" s="1">
        <f t="shared" ca="1" si="183"/>
        <v>0.77882062848175926</v>
      </c>
      <c r="BW181" s="1">
        <f t="shared" ca="1" si="184"/>
        <v>422</v>
      </c>
      <c r="BX181" s="1">
        <f t="shared" ca="1" si="185"/>
        <v>3.9724102163005122E-3</v>
      </c>
      <c r="BY181" s="1">
        <f t="shared" ca="1" si="186"/>
        <v>5.1752241930558144E-3</v>
      </c>
      <c r="BZ181" s="1">
        <f t="shared" ca="1" si="187"/>
        <v>1.6705377485603523E-2</v>
      </c>
      <c r="CB181" s="1">
        <f t="shared" ca="1" si="188"/>
        <v>242</v>
      </c>
      <c r="CC181" s="1">
        <f t="shared" ca="1" si="189"/>
        <v>5</v>
      </c>
      <c r="CD181" s="1">
        <f t="shared" ca="1" si="190"/>
        <v>9.006598168036048E-2</v>
      </c>
      <c r="CE181" s="1">
        <f t="shared" ca="1" si="209"/>
        <v>0.77929399990939241</v>
      </c>
      <c r="CF181" s="1">
        <f t="shared" ca="1" si="209"/>
        <v>0.59065619618012011</v>
      </c>
      <c r="CH181" s="3">
        <f t="shared" ca="1" si="192"/>
        <v>0.37036297604744001</v>
      </c>
      <c r="CI181" s="3">
        <f t="shared" ca="1" si="193"/>
        <v>0.64636502262906426</v>
      </c>
      <c r="CJ181" s="3">
        <f t="shared" ca="1" si="194"/>
        <v>527</v>
      </c>
      <c r="CK181" s="3">
        <f t="shared" ca="1" si="195"/>
        <v>8.8664306810868287E-4</v>
      </c>
      <c r="CL181" s="3">
        <f t="shared" ca="1" si="196"/>
        <v>0</v>
      </c>
      <c r="CM181" s="3"/>
      <c r="CN181" s="1">
        <f t="shared" ca="1" si="197"/>
        <v>3.1078726984614549</v>
      </c>
      <c r="CO181" s="1">
        <f t="shared" ca="1" si="198"/>
        <v>1.3350969683818742E-2</v>
      </c>
      <c r="CP181" s="1">
        <f t="shared" ca="1" si="199"/>
        <v>2</v>
      </c>
      <c r="CV181" s="1">
        <f t="shared" ca="1" si="200"/>
        <v>4.567378658125711</v>
      </c>
      <c r="CW181" s="1">
        <f t="shared" ca="1" si="201"/>
        <v>560</v>
      </c>
      <c r="CX181" s="1">
        <f t="shared" ca="1" si="202"/>
        <v>4.4204217182245787E-3</v>
      </c>
      <c r="DH181" s="1">
        <f t="shared" ca="1" si="203"/>
        <v>685</v>
      </c>
      <c r="DI181" s="1">
        <f t="shared" ca="1" si="204"/>
        <v>7.2829895396971947E-2</v>
      </c>
      <c r="DJ181" s="1">
        <f t="shared" ca="1" si="205"/>
        <v>5</v>
      </c>
      <c r="DL181" s="1">
        <f t="shared" ca="1" si="206"/>
        <v>7.0618112588262949E-2</v>
      </c>
      <c r="DM181" s="1">
        <f t="shared" ca="1" si="207"/>
        <v>174</v>
      </c>
      <c r="DN181" s="1">
        <f t="shared" ca="1" si="208"/>
        <v>6</v>
      </c>
    </row>
    <row r="182" spans="2:118" x14ac:dyDescent="0.25">
      <c r="B182">
        <f t="shared" ca="1" si="141"/>
        <v>362</v>
      </c>
      <c r="C182">
        <f t="shared" ca="1" si="142"/>
        <v>12</v>
      </c>
      <c r="D182">
        <f t="shared" ca="1" si="143"/>
        <v>8.6635527524986516E-2</v>
      </c>
      <c r="F182" s="1">
        <f t="shared" ca="1" si="144"/>
        <v>51</v>
      </c>
      <c r="G182" s="1">
        <f t="shared" ca="1" si="145"/>
        <v>8</v>
      </c>
      <c r="H182" s="1">
        <f t="shared" ca="1" si="146"/>
        <v>14</v>
      </c>
      <c r="I182" s="1"/>
      <c r="J182" s="1">
        <f t="shared" ca="1" si="147"/>
        <v>38</v>
      </c>
      <c r="K182" s="1">
        <f t="shared" ca="1" si="148"/>
        <v>2.8640828998845809</v>
      </c>
      <c r="L182" s="1">
        <f t="shared" ca="1" si="149"/>
        <v>15</v>
      </c>
      <c r="M182" s="1"/>
      <c r="N182" s="1">
        <f t="shared" ca="1" si="150"/>
        <v>741</v>
      </c>
      <c r="O182" s="1">
        <f t="shared" ca="1" si="151"/>
        <v>27</v>
      </c>
      <c r="P182" s="1"/>
      <c r="Q182" s="1">
        <f t="shared" ca="1" si="152"/>
        <v>4.9160833432973075</v>
      </c>
      <c r="R182" s="1">
        <f t="shared" ca="1" si="153"/>
        <v>1004</v>
      </c>
      <c r="S182" s="1"/>
      <c r="T182" s="1">
        <f t="shared" ca="1" si="154"/>
        <v>0.1172763954752767</v>
      </c>
      <c r="U182" s="1">
        <f t="shared" ca="1" si="155"/>
        <v>144</v>
      </c>
      <c r="V182" s="1">
        <f t="shared" ca="1" si="156"/>
        <v>49</v>
      </c>
      <c r="W182" s="1"/>
      <c r="X182" s="1">
        <f t="shared" ca="1" si="157"/>
        <v>1.1850730024502443</v>
      </c>
      <c r="Y182" s="1">
        <f t="shared" ca="1" si="158"/>
        <v>5.9013147188049196E-2</v>
      </c>
      <c r="Z182" s="1">
        <f t="shared" ca="1" si="159"/>
        <v>1823</v>
      </c>
      <c r="AB182" s="1">
        <f t="shared" ca="1" si="160"/>
        <v>0.6208398359250884</v>
      </c>
      <c r="AC182" s="1">
        <f t="shared" ca="1" si="161"/>
        <v>927</v>
      </c>
      <c r="AD182" s="1">
        <f t="shared" ca="1" si="162"/>
        <v>4.5585138559723851E-3</v>
      </c>
      <c r="AE182" s="1"/>
      <c r="AF182" s="1">
        <f t="shared" ca="1" si="163"/>
        <v>0.75042092621488155</v>
      </c>
      <c r="AG182" s="1">
        <f t="shared" ca="1" si="164"/>
        <v>782</v>
      </c>
      <c r="AH182" s="1">
        <f t="shared" ca="1" si="165"/>
        <v>7.4363666485559345E-3</v>
      </c>
      <c r="AJ182" s="1">
        <f t="shared" ca="1" si="166"/>
        <v>0.45535161710286143</v>
      </c>
      <c r="AK182" s="1">
        <f t="shared" ca="1" si="167"/>
        <v>4.2594684364999184E-3</v>
      </c>
      <c r="AL182" s="1"/>
      <c r="AM182" s="1">
        <f t="shared" ca="1" si="168"/>
        <v>8.0310708863032973E-2</v>
      </c>
      <c r="AN182" s="1">
        <f t="shared" ca="1" si="169"/>
        <v>19</v>
      </c>
      <c r="AO182" s="1">
        <f t="shared" ca="1" si="170"/>
        <v>12</v>
      </c>
      <c r="AQ182" s="1">
        <f t="shared" ca="1" si="171"/>
        <v>183</v>
      </c>
      <c r="AR182" s="1">
        <f t="shared" ca="1" si="172"/>
        <v>5</v>
      </c>
      <c r="AS182" s="1">
        <f t="shared" ca="1" si="173"/>
        <v>83</v>
      </c>
      <c r="AU182" s="1">
        <f t="shared" ca="1" si="174"/>
        <v>116</v>
      </c>
      <c r="AV182" s="1">
        <f t="shared" ca="1" si="175"/>
        <v>5</v>
      </c>
      <c r="AW182" s="1">
        <f t="shared" ca="1" si="176"/>
        <v>0.13116485118909299</v>
      </c>
      <c r="AY182" s="1">
        <f t="shared" ca="1" si="177"/>
        <v>1.5621592314241153</v>
      </c>
      <c r="AZ182" s="1">
        <f t="shared" ca="1" si="178"/>
        <v>495</v>
      </c>
      <c r="BA182" s="1">
        <f t="shared" ca="1" si="179"/>
        <v>8.5319452292003904E-3</v>
      </c>
      <c r="BG182" s="1">
        <f t="shared" ca="1" si="180"/>
        <v>3.3956156201684559E-2</v>
      </c>
      <c r="BH182" s="1">
        <f t="shared" ca="1" si="181"/>
        <v>0.8995365302352244</v>
      </c>
      <c r="BI182" s="1">
        <f t="shared" ca="1" si="182"/>
        <v>422</v>
      </c>
      <c r="BV182" s="1">
        <f t="shared" ca="1" si="183"/>
        <v>0.81485207544012028</v>
      </c>
      <c r="BW182" s="1">
        <f t="shared" ca="1" si="184"/>
        <v>231</v>
      </c>
      <c r="BX182" s="1">
        <f t="shared" ca="1" si="185"/>
        <v>2.4512516285294292E-3</v>
      </c>
      <c r="BY182" s="1">
        <f t="shared" ca="1" si="186"/>
        <v>6.4499811070273388E-2</v>
      </c>
      <c r="BZ182" s="1">
        <f t="shared" ca="1" si="187"/>
        <v>0.13166741032176998</v>
      </c>
      <c r="CB182" s="1">
        <f t="shared" ca="1" si="188"/>
        <v>217</v>
      </c>
      <c r="CC182" s="1">
        <f t="shared" ca="1" si="189"/>
        <v>10</v>
      </c>
      <c r="CD182" s="1">
        <f t="shared" ca="1" si="190"/>
        <v>0.19548941767324834</v>
      </c>
      <c r="CE182" s="1">
        <f t="shared" ca="1" si="209"/>
        <v>0.60491484212877555</v>
      </c>
      <c r="CF182" s="1">
        <f t="shared" ca="1" si="209"/>
        <v>0.74187567726636328</v>
      </c>
      <c r="CH182" s="3">
        <f t="shared" ca="1" si="192"/>
        <v>0.75874862023935452</v>
      </c>
      <c r="CI182" s="3">
        <f t="shared" ca="1" si="193"/>
        <v>0.28932681983324182</v>
      </c>
      <c r="CJ182" s="3">
        <f t="shared" ca="1" si="194"/>
        <v>1848</v>
      </c>
      <c r="CK182" s="3">
        <f t="shared" ca="1" si="195"/>
        <v>8.4954854675961949E-3</v>
      </c>
      <c r="CL182" s="3">
        <f t="shared" ca="1" si="196"/>
        <v>0</v>
      </c>
      <c r="CM182" s="3"/>
      <c r="CN182" s="1">
        <f t="shared" ca="1" si="197"/>
        <v>0.76607995431292286</v>
      </c>
      <c r="CO182" s="1">
        <f t="shared" ca="1" si="198"/>
        <v>0.49817237330272185</v>
      </c>
      <c r="CP182" s="1">
        <f t="shared" ca="1" si="199"/>
        <v>2</v>
      </c>
      <c r="CV182" s="1">
        <f t="shared" ca="1" si="200"/>
        <v>0.53446947838037584</v>
      </c>
      <c r="CW182" s="1">
        <f t="shared" ca="1" si="201"/>
        <v>1433</v>
      </c>
      <c r="CX182" s="1">
        <f t="shared" ca="1" si="202"/>
        <v>3.2932754698095085E-4</v>
      </c>
      <c r="DH182" s="1">
        <f t="shared" ca="1" si="203"/>
        <v>606</v>
      </c>
      <c r="DI182" s="1">
        <f t="shared" ca="1" si="204"/>
        <v>0.39441548906599405</v>
      </c>
      <c r="DJ182" s="1">
        <f t="shared" ca="1" si="205"/>
        <v>1</v>
      </c>
      <c r="DL182" s="1">
        <f t="shared" ca="1" si="206"/>
        <v>2.1367651466845848E-2</v>
      </c>
      <c r="DM182" s="1">
        <f t="shared" ca="1" si="207"/>
        <v>168</v>
      </c>
      <c r="DN182" s="1">
        <f t="shared" ca="1" si="208"/>
        <v>7</v>
      </c>
    </row>
    <row r="183" spans="2:118" x14ac:dyDescent="0.25">
      <c r="B183">
        <f t="shared" ca="1" si="141"/>
        <v>113</v>
      </c>
      <c r="C183">
        <f t="shared" ca="1" si="142"/>
        <v>51</v>
      </c>
      <c r="D183">
        <f t="shared" ca="1" si="143"/>
        <v>0.11305843910662226</v>
      </c>
      <c r="F183" s="1">
        <f t="shared" ca="1" si="144"/>
        <v>40</v>
      </c>
      <c r="G183" s="1">
        <f t="shared" ca="1" si="145"/>
        <v>14</v>
      </c>
      <c r="H183" s="1">
        <f t="shared" ca="1" si="146"/>
        <v>1</v>
      </c>
      <c r="I183" s="1"/>
      <c r="J183" s="1">
        <f t="shared" ca="1" si="147"/>
        <v>18</v>
      </c>
      <c r="K183" s="1">
        <f t="shared" ca="1" si="148"/>
        <v>2.1792035982518678</v>
      </c>
      <c r="L183" s="1">
        <f t="shared" ca="1" si="149"/>
        <v>24</v>
      </c>
      <c r="M183" s="1"/>
      <c r="N183" s="1">
        <f t="shared" ca="1" si="150"/>
        <v>129</v>
      </c>
      <c r="O183" s="1">
        <f t="shared" ca="1" si="151"/>
        <v>48</v>
      </c>
      <c r="P183" s="1"/>
      <c r="Q183" s="1">
        <f t="shared" ca="1" si="152"/>
        <v>0.80120519062563733</v>
      </c>
      <c r="R183" s="1">
        <f t="shared" ca="1" si="153"/>
        <v>1071</v>
      </c>
      <c r="S183" s="1"/>
      <c r="T183" s="1">
        <f t="shared" ca="1" si="154"/>
        <v>1.7610260866627432E-2</v>
      </c>
      <c r="U183" s="1">
        <f t="shared" ca="1" si="155"/>
        <v>420</v>
      </c>
      <c r="V183" s="1">
        <f t="shared" ca="1" si="156"/>
        <v>40</v>
      </c>
      <c r="W183" s="1"/>
      <c r="X183" s="1">
        <f t="shared" ca="1" si="157"/>
        <v>9.1586155919154386</v>
      </c>
      <c r="Y183" s="1">
        <f t="shared" ca="1" si="158"/>
        <v>0.49034878712489105</v>
      </c>
      <c r="Z183" s="1">
        <f t="shared" ca="1" si="159"/>
        <v>1382</v>
      </c>
      <c r="AB183" s="1">
        <f t="shared" ca="1" si="160"/>
        <v>0.34300414394304907</v>
      </c>
      <c r="AC183" s="1">
        <f t="shared" ca="1" si="161"/>
        <v>480</v>
      </c>
      <c r="AD183" s="1">
        <f t="shared" ca="1" si="162"/>
        <v>3.7970402546313557E-3</v>
      </c>
      <c r="AE183" s="1"/>
      <c r="AF183" s="1">
        <f t="shared" ca="1" si="163"/>
        <v>0.66381384681828537</v>
      </c>
      <c r="AG183" s="1">
        <f t="shared" ca="1" si="164"/>
        <v>468</v>
      </c>
      <c r="AH183" s="1">
        <f t="shared" ca="1" si="165"/>
        <v>4.4606417336876631E-3</v>
      </c>
      <c r="AJ183" s="1">
        <f t="shared" ca="1" si="166"/>
        <v>0.76032835271396892</v>
      </c>
      <c r="AK183" s="1">
        <f t="shared" ca="1" si="167"/>
        <v>6.7661164951172944E-3</v>
      </c>
      <c r="AL183" s="1"/>
      <c r="AM183" s="1">
        <f t="shared" ca="1" si="168"/>
        <v>0.18159470285438936</v>
      </c>
      <c r="AN183" s="1">
        <f t="shared" ca="1" si="169"/>
        <v>41</v>
      </c>
      <c r="AO183" s="1">
        <f t="shared" ca="1" si="170"/>
        <v>8</v>
      </c>
      <c r="AQ183" s="1">
        <f t="shared" ca="1" si="171"/>
        <v>171</v>
      </c>
      <c r="AR183" s="1">
        <f t="shared" ca="1" si="172"/>
        <v>10</v>
      </c>
      <c r="AS183" s="1">
        <f t="shared" ca="1" si="173"/>
        <v>80</v>
      </c>
      <c r="AU183" s="1">
        <f t="shared" ca="1" si="174"/>
        <v>202</v>
      </c>
      <c r="AV183" s="1">
        <f t="shared" ca="1" si="175"/>
        <v>10</v>
      </c>
      <c r="AW183" s="1">
        <f t="shared" ca="1" si="176"/>
        <v>0.13887215746055598</v>
      </c>
      <c r="AY183" s="1">
        <f t="shared" ca="1" si="177"/>
        <v>1.5792862232397804</v>
      </c>
      <c r="AZ183" s="1">
        <f t="shared" ca="1" si="178"/>
        <v>123</v>
      </c>
      <c r="BA183" s="1">
        <f t="shared" ca="1" si="179"/>
        <v>3.9373046344778877E-3</v>
      </c>
      <c r="BG183" s="1">
        <f t="shared" ca="1" si="180"/>
        <v>0.92198924233053381</v>
      </c>
      <c r="BH183" s="1">
        <f t="shared" ca="1" si="181"/>
        <v>0.87319595950439255</v>
      </c>
      <c r="BI183" s="1">
        <f t="shared" ca="1" si="182"/>
        <v>626</v>
      </c>
      <c r="BV183" s="1">
        <f t="shared" ca="1" si="183"/>
        <v>0.74892240395087628</v>
      </c>
      <c r="BW183" s="1">
        <f t="shared" ca="1" si="184"/>
        <v>649</v>
      </c>
      <c r="BX183" s="1">
        <f t="shared" ca="1" si="185"/>
        <v>7.341489382931058E-3</v>
      </c>
      <c r="BY183" s="1">
        <f t="shared" ca="1" si="186"/>
        <v>2.860701447477678E-2</v>
      </c>
      <c r="BZ183" s="1">
        <f t="shared" ca="1" si="187"/>
        <v>0.10886876094306897</v>
      </c>
      <c r="CB183" s="1">
        <f t="shared" ca="1" si="188"/>
        <v>147</v>
      </c>
      <c r="CC183" s="1">
        <f t="shared" ca="1" si="189"/>
        <v>12</v>
      </c>
      <c r="CD183" s="1">
        <f t="shared" ca="1" si="190"/>
        <v>0.2655759277427524</v>
      </c>
      <c r="CE183" s="1">
        <f t="shared" ca="1" si="209"/>
        <v>0.78852609202567359</v>
      </c>
      <c r="CF183" s="1">
        <f t="shared" ca="1" si="209"/>
        <v>0.72287147069402469</v>
      </c>
      <c r="CH183" s="3">
        <f t="shared" ca="1" si="192"/>
        <v>0.11675343286807416</v>
      </c>
      <c r="CI183" s="3">
        <f t="shared" ca="1" si="193"/>
        <v>0.41377614492042236</v>
      </c>
      <c r="CJ183" s="3">
        <f t="shared" ca="1" si="194"/>
        <v>347</v>
      </c>
      <c r="CK183" s="3">
        <f t="shared" ca="1" si="195"/>
        <v>6.7616457839370257E-3</v>
      </c>
      <c r="CL183" s="3">
        <f t="shared" ca="1" si="196"/>
        <v>1</v>
      </c>
      <c r="CM183" s="3"/>
      <c r="CN183" s="1">
        <f t="shared" ca="1" si="197"/>
        <v>16.10320209223136</v>
      </c>
      <c r="CO183" s="1">
        <f t="shared" ca="1" si="198"/>
        <v>0.18571110821587455</v>
      </c>
      <c r="CP183" s="1">
        <f t="shared" ca="1" si="199"/>
        <v>1</v>
      </c>
      <c r="CV183" s="1">
        <f t="shared" ca="1" si="200"/>
        <v>8.8919496423102995</v>
      </c>
      <c r="CW183" s="1">
        <f t="shared" ca="1" si="201"/>
        <v>1035</v>
      </c>
      <c r="CX183" s="1">
        <f t="shared" ca="1" si="202"/>
        <v>9.5013754589194418E-3</v>
      </c>
      <c r="DH183" s="1">
        <f t="shared" ca="1" si="203"/>
        <v>724</v>
      </c>
      <c r="DI183" s="1">
        <f t="shared" ca="1" si="204"/>
        <v>0.63243450558099912</v>
      </c>
      <c r="DJ183" s="1">
        <f t="shared" ca="1" si="205"/>
        <v>10</v>
      </c>
      <c r="DL183" s="1">
        <f t="shared" ca="1" si="206"/>
        <v>7.3171206137030168E-2</v>
      </c>
      <c r="DM183" s="1">
        <f t="shared" ca="1" si="207"/>
        <v>82</v>
      </c>
      <c r="DN183" s="1">
        <f t="shared" ca="1" si="208"/>
        <v>2</v>
      </c>
    </row>
    <row r="184" spans="2:118" x14ac:dyDescent="0.25">
      <c r="B184">
        <f t="shared" ca="1" si="141"/>
        <v>733</v>
      </c>
      <c r="C184">
        <f t="shared" ca="1" si="142"/>
        <v>50</v>
      </c>
      <c r="D184">
        <f t="shared" ca="1" si="143"/>
        <v>2.9731176880714909E-2</v>
      </c>
      <c r="F184" s="1">
        <f t="shared" ca="1" si="144"/>
        <v>44</v>
      </c>
      <c r="G184" s="1">
        <f t="shared" ca="1" si="145"/>
        <v>18</v>
      </c>
      <c r="H184" s="1">
        <f t="shared" ca="1" si="146"/>
        <v>13</v>
      </c>
      <c r="I184" s="1"/>
      <c r="J184" s="1">
        <f t="shared" ca="1" si="147"/>
        <v>20</v>
      </c>
      <c r="K184" s="1">
        <f t="shared" ca="1" si="148"/>
        <v>1.8355828230876234</v>
      </c>
      <c r="L184" s="1">
        <f t="shared" ca="1" si="149"/>
        <v>25</v>
      </c>
      <c r="M184" s="1"/>
      <c r="N184" s="1">
        <f t="shared" ca="1" si="150"/>
        <v>124</v>
      </c>
      <c r="O184" s="1">
        <f t="shared" ca="1" si="151"/>
        <v>22</v>
      </c>
      <c r="P184" s="1"/>
      <c r="Q184" s="1">
        <f t="shared" ca="1" si="152"/>
        <v>1.5289923115007629</v>
      </c>
      <c r="R184" s="1">
        <f t="shared" ca="1" si="153"/>
        <v>606</v>
      </c>
      <c r="S184" s="1"/>
      <c r="T184" s="1">
        <f t="shared" ca="1" si="154"/>
        <v>0.17986391673157998</v>
      </c>
      <c r="U184" s="1">
        <f t="shared" ca="1" si="155"/>
        <v>126</v>
      </c>
      <c r="V184" s="1">
        <f t="shared" ca="1" si="156"/>
        <v>43</v>
      </c>
      <c r="W184" s="1"/>
      <c r="X184" s="1">
        <f t="shared" ca="1" si="157"/>
        <v>8.3859405847076776</v>
      </c>
      <c r="Y184" s="1">
        <f t="shared" ca="1" si="158"/>
        <v>0.82869858257299633</v>
      </c>
      <c r="Z184" s="1">
        <f t="shared" ca="1" si="159"/>
        <v>127</v>
      </c>
      <c r="AB184" s="1">
        <f t="shared" ca="1" si="160"/>
        <v>1.5960293066082768E-2</v>
      </c>
      <c r="AC184" s="1">
        <f t="shared" ca="1" si="161"/>
        <v>776</v>
      </c>
      <c r="AD184" s="1">
        <f t="shared" ca="1" si="162"/>
        <v>5.2792779311270676E-3</v>
      </c>
      <c r="AE184" s="1"/>
      <c r="AF184" s="1">
        <f t="shared" ca="1" si="163"/>
        <v>0.51967051438811873</v>
      </c>
      <c r="AG184" s="1">
        <f t="shared" ca="1" si="164"/>
        <v>483</v>
      </c>
      <c r="AH184" s="1">
        <f t="shared" ca="1" si="165"/>
        <v>5.8226806686100642E-3</v>
      </c>
      <c r="AJ184" s="1">
        <f t="shared" ca="1" si="166"/>
        <v>0.71181154776232225</v>
      </c>
      <c r="AK184" s="1">
        <f t="shared" ca="1" si="167"/>
        <v>3.9391936872632498E-4</v>
      </c>
      <c r="AL184" s="1"/>
      <c r="AM184" s="1">
        <f t="shared" ca="1" si="168"/>
        <v>0.15461888939427154</v>
      </c>
      <c r="AN184" s="1">
        <f t="shared" ca="1" si="169"/>
        <v>62</v>
      </c>
      <c r="AO184" s="1">
        <f t="shared" ca="1" si="170"/>
        <v>3</v>
      </c>
      <c r="AQ184" s="1">
        <f t="shared" ca="1" si="171"/>
        <v>135</v>
      </c>
      <c r="AR184" s="1">
        <f t="shared" ca="1" si="172"/>
        <v>1</v>
      </c>
      <c r="AS184" s="1">
        <f t="shared" ca="1" si="173"/>
        <v>92</v>
      </c>
      <c r="AU184" s="1">
        <f t="shared" ca="1" si="174"/>
        <v>57</v>
      </c>
      <c r="AV184" s="1">
        <f t="shared" ca="1" si="175"/>
        <v>9</v>
      </c>
      <c r="AW184" s="1">
        <f t="shared" ca="1" si="176"/>
        <v>0.18355349423882061</v>
      </c>
      <c r="AY184" s="1">
        <f t="shared" ca="1" si="177"/>
        <v>1.8406756444034222</v>
      </c>
      <c r="AZ184" s="1">
        <f t="shared" ca="1" si="178"/>
        <v>363</v>
      </c>
      <c r="BA184" s="1">
        <f t="shared" ca="1" si="179"/>
        <v>4.6125219419388026E-3</v>
      </c>
      <c r="BG184" s="1">
        <f t="shared" ca="1" si="180"/>
        <v>0.30066465562064942</v>
      </c>
      <c r="BH184" s="1">
        <f t="shared" ca="1" si="181"/>
        <v>0.41721118912348742</v>
      </c>
      <c r="BI184" s="1">
        <f t="shared" ca="1" si="182"/>
        <v>1000</v>
      </c>
      <c r="BV184" s="1">
        <f t="shared" ca="1" si="183"/>
        <v>0.28672278390675421</v>
      </c>
      <c r="BW184" s="1">
        <f t="shared" ca="1" si="184"/>
        <v>715</v>
      </c>
      <c r="BX184" s="1">
        <f t="shared" ca="1" si="185"/>
        <v>6.3223114949114865E-3</v>
      </c>
      <c r="BY184" s="1">
        <f t="shared" ca="1" si="186"/>
        <v>3.1855623350316657E-2</v>
      </c>
      <c r="BZ184" s="1">
        <f t="shared" ca="1" si="187"/>
        <v>0.60625747527349938</v>
      </c>
      <c r="CB184" s="1">
        <f t="shared" ca="1" si="188"/>
        <v>108</v>
      </c>
      <c r="CC184" s="1">
        <f t="shared" ca="1" si="189"/>
        <v>9</v>
      </c>
      <c r="CD184" s="1">
        <f t="shared" ca="1" si="190"/>
        <v>9.7564750937265646E-2</v>
      </c>
      <c r="CE184" s="1">
        <f t="shared" ca="1" si="209"/>
        <v>0.89901920641515676</v>
      </c>
      <c r="CF184" s="1">
        <f t="shared" ca="1" si="209"/>
        <v>0.88961850346931981</v>
      </c>
      <c r="CH184" s="3">
        <f t="shared" ca="1" si="192"/>
        <v>0.2627814389119667</v>
      </c>
      <c r="CI184" s="3">
        <f t="shared" ca="1" si="193"/>
        <v>0.22065658531076557</v>
      </c>
      <c r="CJ184" s="3">
        <f t="shared" ca="1" si="194"/>
        <v>1771</v>
      </c>
      <c r="CK184" s="3">
        <f t="shared" ca="1" si="195"/>
        <v>1.9719318825310427E-3</v>
      </c>
      <c r="CL184" s="3">
        <f t="shared" ca="1" si="196"/>
        <v>0</v>
      </c>
      <c r="CM184" s="3"/>
      <c r="CN184" s="1">
        <f t="shared" ca="1" si="197"/>
        <v>12.215913659405915</v>
      </c>
      <c r="CO184" s="1">
        <f t="shared" ca="1" si="198"/>
        <v>0.33994659574212066</v>
      </c>
      <c r="CP184" s="1">
        <f t="shared" ca="1" si="199"/>
        <v>3</v>
      </c>
      <c r="CV184" s="1">
        <f t="shared" ca="1" si="200"/>
        <v>9.315719754123263</v>
      </c>
      <c r="CW184" s="1">
        <f t="shared" ca="1" si="201"/>
        <v>869</v>
      </c>
      <c r="CX184" s="1">
        <f t="shared" ca="1" si="202"/>
        <v>7.5702518661390321E-3</v>
      </c>
      <c r="DH184" s="1">
        <f t="shared" ca="1" si="203"/>
        <v>695</v>
      </c>
      <c r="DI184" s="1">
        <f t="shared" ca="1" si="204"/>
        <v>0.85116237435174713</v>
      </c>
      <c r="DJ184" s="1">
        <f t="shared" ca="1" si="205"/>
        <v>30</v>
      </c>
      <c r="DL184" s="1">
        <f t="shared" ca="1" si="206"/>
        <v>8.3856611100623146E-2</v>
      </c>
      <c r="DM184" s="1">
        <f t="shared" ca="1" si="207"/>
        <v>133</v>
      </c>
      <c r="DN184" s="1">
        <f t="shared" ca="1" si="208"/>
        <v>7</v>
      </c>
    </row>
    <row r="185" spans="2:118" x14ac:dyDescent="0.25">
      <c r="B185">
        <f t="shared" ca="1" si="141"/>
        <v>562</v>
      </c>
      <c r="C185">
        <f t="shared" ca="1" si="142"/>
        <v>11</v>
      </c>
      <c r="D185">
        <f t="shared" ca="1" si="143"/>
        <v>0.20568559186917018</v>
      </c>
      <c r="F185" s="1">
        <f t="shared" ca="1" si="144"/>
        <v>29</v>
      </c>
      <c r="G185" s="1">
        <f t="shared" ca="1" si="145"/>
        <v>30</v>
      </c>
      <c r="H185" s="1">
        <f t="shared" ca="1" si="146"/>
        <v>15</v>
      </c>
      <c r="I185" s="1"/>
      <c r="J185" s="1">
        <f t="shared" ca="1" si="147"/>
        <v>32</v>
      </c>
      <c r="K185" s="1">
        <f t="shared" ca="1" si="148"/>
        <v>1.5193696703555148</v>
      </c>
      <c r="L185" s="1">
        <f t="shared" ca="1" si="149"/>
        <v>7</v>
      </c>
      <c r="M185" s="1"/>
      <c r="N185" s="1">
        <f t="shared" ca="1" si="150"/>
        <v>849</v>
      </c>
      <c r="O185" s="1">
        <f t="shared" ca="1" si="151"/>
        <v>33</v>
      </c>
      <c r="P185" s="1"/>
      <c r="Q185" s="1">
        <f t="shared" ca="1" si="152"/>
        <v>1.4265103237451093</v>
      </c>
      <c r="R185" s="1">
        <f t="shared" ca="1" si="153"/>
        <v>400</v>
      </c>
      <c r="S185" s="1"/>
      <c r="T185" s="1">
        <f t="shared" ca="1" si="154"/>
        <v>3.5938420034215261E-2</v>
      </c>
      <c r="U185" s="1">
        <f t="shared" ca="1" si="155"/>
        <v>368</v>
      </c>
      <c r="V185" s="1">
        <f t="shared" ca="1" si="156"/>
        <v>46</v>
      </c>
      <c r="W185" s="1"/>
      <c r="X185" s="1">
        <f t="shared" ca="1" si="157"/>
        <v>0.71720724469296604</v>
      </c>
      <c r="Y185" s="1">
        <f t="shared" ca="1" si="158"/>
        <v>0.87769057551546459</v>
      </c>
      <c r="Z185" s="1">
        <f t="shared" ca="1" si="159"/>
        <v>192</v>
      </c>
      <c r="AB185" s="1">
        <f t="shared" ca="1" si="160"/>
        <v>4.9664902398130666E-3</v>
      </c>
      <c r="AC185" s="1">
        <f t="shared" ca="1" si="161"/>
        <v>456</v>
      </c>
      <c r="AD185" s="1">
        <f t="shared" ca="1" si="162"/>
        <v>1.7161210448405435E-3</v>
      </c>
      <c r="AE185" s="1"/>
      <c r="AF185" s="1">
        <f t="shared" ca="1" si="163"/>
        <v>0.28118729223115202</v>
      </c>
      <c r="AG185" s="1">
        <f t="shared" ca="1" si="164"/>
        <v>868</v>
      </c>
      <c r="AH185" s="1">
        <f t="shared" ca="1" si="165"/>
        <v>8.2492042110317576E-3</v>
      </c>
      <c r="AJ185" s="1">
        <f t="shared" ca="1" si="166"/>
        <v>0.11985422413119506</v>
      </c>
      <c r="AK185" s="1">
        <f t="shared" ca="1" si="167"/>
        <v>7.0592248216520331E-3</v>
      </c>
      <c r="AL185" s="1"/>
      <c r="AM185" s="1">
        <f t="shared" ca="1" si="168"/>
        <v>9.1385893087945327E-2</v>
      </c>
      <c r="AN185" s="1">
        <f t="shared" ca="1" si="169"/>
        <v>28</v>
      </c>
      <c r="AO185" s="1">
        <f t="shared" ca="1" si="170"/>
        <v>5</v>
      </c>
      <c r="AQ185" s="1">
        <f t="shared" ca="1" si="171"/>
        <v>100</v>
      </c>
      <c r="AR185" s="1">
        <f t="shared" ca="1" si="172"/>
        <v>7</v>
      </c>
      <c r="AS185" s="1">
        <f t="shared" ca="1" si="173"/>
        <v>26</v>
      </c>
      <c r="AU185" s="1">
        <f t="shared" ca="1" si="174"/>
        <v>366</v>
      </c>
      <c r="AV185" s="1">
        <f t="shared" ca="1" si="175"/>
        <v>10</v>
      </c>
      <c r="AW185" s="1">
        <f t="shared" ca="1" si="176"/>
        <v>0.18050625002398948</v>
      </c>
      <c r="AY185" s="1">
        <f t="shared" ca="1" si="177"/>
        <v>1.9695754639364664</v>
      </c>
      <c r="AZ185" s="1">
        <f t="shared" ca="1" si="178"/>
        <v>168</v>
      </c>
      <c r="BA185" s="1">
        <f t="shared" ca="1" si="179"/>
        <v>6.9471363372708202E-3</v>
      </c>
      <c r="BG185" s="1">
        <f t="shared" ca="1" si="180"/>
        <v>0.66314734284889731</v>
      </c>
      <c r="BH185" s="1">
        <f t="shared" ca="1" si="181"/>
        <v>0.91123018996498295</v>
      </c>
      <c r="BI185" s="1">
        <f t="shared" ca="1" si="182"/>
        <v>677</v>
      </c>
      <c r="BV185" s="1">
        <f t="shared" ca="1" si="183"/>
        <v>0.88629164686213746</v>
      </c>
      <c r="BW185" s="1">
        <f t="shared" ca="1" si="184"/>
        <v>477</v>
      </c>
      <c r="BX185" s="1">
        <f t="shared" ca="1" si="185"/>
        <v>5.3570461663204156E-3</v>
      </c>
      <c r="BY185" s="1">
        <f t="shared" ca="1" si="186"/>
        <v>5.1200312841723314E-2</v>
      </c>
      <c r="BZ185" s="1">
        <f t="shared" ca="1" si="187"/>
        <v>0.54322275062223835</v>
      </c>
      <c r="CB185" s="1">
        <f t="shared" ca="1" si="188"/>
        <v>196</v>
      </c>
      <c r="CC185" s="1">
        <f t="shared" ca="1" si="189"/>
        <v>8</v>
      </c>
      <c r="CD185" s="1">
        <f t="shared" ca="1" si="190"/>
        <v>0.18840288674651556</v>
      </c>
      <c r="CE185" s="1">
        <f t="shared" ca="1" si="209"/>
        <v>0.88233440955696163</v>
      </c>
      <c r="CF185" s="1">
        <f t="shared" ca="1" si="209"/>
        <v>0.52537117519262666</v>
      </c>
      <c r="CH185" s="3">
        <f t="shared" ca="1" si="192"/>
        <v>0.56244043384155662</v>
      </c>
      <c r="CI185" s="3">
        <f t="shared" ca="1" si="193"/>
        <v>0.40906233737536907</v>
      </c>
      <c r="CJ185" s="3">
        <f t="shared" ca="1" si="194"/>
        <v>586</v>
      </c>
      <c r="CK185" s="3">
        <f t="shared" ca="1" si="195"/>
        <v>7.0517189583061239E-3</v>
      </c>
      <c r="CL185" s="3">
        <f t="shared" ca="1" si="196"/>
        <v>1</v>
      </c>
      <c r="CM185" s="3"/>
      <c r="CN185" s="1">
        <f t="shared" ca="1" si="197"/>
        <v>13.481967557900727</v>
      </c>
      <c r="CO185" s="1">
        <f t="shared" ca="1" si="198"/>
        <v>0.32780157092439571</v>
      </c>
      <c r="CP185" s="1">
        <f t="shared" ca="1" si="199"/>
        <v>5</v>
      </c>
      <c r="CV185" s="1">
        <f t="shared" ca="1" si="200"/>
        <v>5.2827273076488792</v>
      </c>
      <c r="CW185" s="1">
        <f t="shared" ca="1" si="201"/>
        <v>599</v>
      </c>
      <c r="CX185" s="1">
        <f t="shared" ca="1" si="202"/>
        <v>8.7833143561827556E-3</v>
      </c>
      <c r="DH185" s="1">
        <f t="shared" ca="1" si="203"/>
        <v>254</v>
      </c>
      <c r="DI185" s="1">
        <f t="shared" ca="1" si="204"/>
        <v>0.5586992930578969</v>
      </c>
      <c r="DJ185" s="1">
        <f t="shared" ca="1" si="205"/>
        <v>15</v>
      </c>
      <c r="DL185" s="1">
        <f t="shared" ca="1" si="206"/>
        <v>1.4509918324753828E-2</v>
      </c>
      <c r="DM185" s="1">
        <f t="shared" ca="1" si="207"/>
        <v>170</v>
      </c>
      <c r="DN185" s="1">
        <f t="shared" ca="1" si="208"/>
        <v>4</v>
      </c>
    </row>
    <row r="186" spans="2:118" x14ac:dyDescent="0.25">
      <c r="B186">
        <f t="shared" ca="1" si="141"/>
        <v>111</v>
      </c>
      <c r="C186">
        <f t="shared" ca="1" si="142"/>
        <v>34</v>
      </c>
      <c r="D186">
        <f t="shared" ca="1" si="143"/>
        <v>0.27017475445898509</v>
      </c>
      <c r="F186" s="1">
        <f t="shared" ca="1" si="144"/>
        <v>52</v>
      </c>
      <c r="G186" s="1">
        <f t="shared" ca="1" si="145"/>
        <v>12</v>
      </c>
      <c r="H186" s="1">
        <f t="shared" ca="1" si="146"/>
        <v>3</v>
      </c>
      <c r="I186" s="1"/>
      <c r="J186" s="1">
        <f t="shared" ca="1" si="147"/>
        <v>17</v>
      </c>
      <c r="K186" s="1">
        <f t="shared" ca="1" si="148"/>
        <v>1.2597944543723447</v>
      </c>
      <c r="L186" s="1">
        <f t="shared" ca="1" si="149"/>
        <v>35</v>
      </c>
      <c r="M186" s="1"/>
      <c r="N186" s="1">
        <f t="shared" ca="1" si="150"/>
        <v>341</v>
      </c>
      <c r="O186" s="1">
        <f t="shared" ca="1" si="151"/>
        <v>38</v>
      </c>
      <c r="P186" s="1"/>
      <c r="Q186" s="1">
        <f t="shared" ca="1" si="152"/>
        <v>1.7763296676939475</v>
      </c>
      <c r="R186" s="1">
        <f t="shared" ca="1" si="153"/>
        <v>1032</v>
      </c>
      <c r="S186" s="1"/>
      <c r="T186" s="1">
        <f t="shared" ca="1" si="154"/>
        <v>6.7552961580768345E-2</v>
      </c>
      <c r="U186" s="1">
        <f t="shared" ca="1" si="155"/>
        <v>342</v>
      </c>
      <c r="V186" s="1">
        <f t="shared" ca="1" si="156"/>
        <v>43</v>
      </c>
      <c r="W186" s="1"/>
      <c r="X186" s="1">
        <f t="shared" ca="1" si="157"/>
        <v>6.4951234578774883</v>
      </c>
      <c r="Y186" s="1">
        <f t="shared" ca="1" si="158"/>
        <v>0.75056436630423284</v>
      </c>
      <c r="Z186" s="1">
        <f t="shared" ca="1" si="159"/>
        <v>1819</v>
      </c>
      <c r="AB186" s="1">
        <f t="shared" ca="1" si="160"/>
        <v>0.1531244345520491</v>
      </c>
      <c r="AC186" s="1">
        <f t="shared" ca="1" si="161"/>
        <v>847</v>
      </c>
      <c r="AD186" s="1">
        <f t="shared" ca="1" si="162"/>
        <v>4.307179915339192E-3</v>
      </c>
      <c r="AE186" s="1"/>
      <c r="AF186" s="1">
        <f t="shared" ca="1" si="163"/>
        <v>0.76585248521623417</v>
      </c>
      <c r="AG186" s="1">
        <f t="shared" ca="1" si="164"/>
        <v>471</v>
      </c>
      <c r="AH186" s="1">
        <f t="shared" ca="1" si="165"/>
        <v>7.7283136781782806E-3</v>
      </c>
      <c r="AJ186" s="1">
        <f t="shared" ca="1" si="166"/>
        <v>0.60976208857558867</v>
      </c>
      <c r="AK186" s="1">
        <f t="shared" ca="1" si="167"/>
        <v>1.529535302104731E-3</v>
      </c>
      <c r="AL186" s="1"/>
      <c r="AM186" s="1">
        <f t="shared" ca="1" si="168"/>
        <v>0.12064688885351679</v>
      </c>
      <c r="AN186" s="1">
        <f t="shared" ca="1" si="169"/>
        <v>18</v>
      </c>
      <c r="AO186" s="1">
        <f t="shared" ca="1" si="170"/>
        <v>1</v>
      </c>
      <c r="AQ186" s="1">
        <f t="shared" ca="1" si="171"/>
        <v>24</v>
      </c>
      <c r="AR186" s="1">
        <f t="shared" ca="1" si="172"/>
        <v>7</v>
      </c>
      <c r="AS186" s="1">
        <f t="shared" ca="1" si="173"/>
        <v>53</v>
      </c>
      <c r="AU186" s="1">
        <f t="shared" ca="1" si="174"/>
        <v>335</v>
      </c>
      <c r="AV186" s="1">
        <f t="shared" ca="1" si="175"/>
        <v>9</v>
      </c>
      <c r="AW186" s="1">
        <f t="shared" ca="1" si="176"/>
        <v>0.12739729351889811</v>
      </c>
      <c r="AY186" s="1">
        <f t="shared" ca="1" si="177"/>
        <v>1.1161499552968281</v>
      </c>
      <c r="AZ186" s="1">
        <f t="shared" ca="1" si="178"/>
        <v>384</v>
      </c>
      <c r="BA186" s="1">
        <f t="shared" ca="1" si="179"/>
        <v>3.8641806202967728E-3</v>
      </c>
      <c r="BG186" s="1">
        <f t="shared" ca="1" si="180"/>
        <v>0.72427331922625637</v>
      </c>
      <c r="BH186" s="1">
        <f t="shared" ca="1" si="181"/>
        <v>0.17089974741965674</v>
      </c>
      <c r="BI186" s="1">
        <f t="shared" ca="1" si="182"/>
        <v>427</v>
      </c>
      <c r="BV186" s="1">
        <f t="shared" ca="1" si="183"/>
        <v>1.3262140566628782E-2</v>
      </c>
      <c r="BW186" s="1">
        <f t="shared" ca="1" si="184"/>
        <v>653</v>
      </c>
      <c r="BX186" s="1">
        <f t="shared" ca="1" si="185"/>
        <v>3.3643361411766701E-3</v>
      </c>
      <c r="BY186" s="1">
        <f t="shared" ca="1" si="186"/>
        <v>8.063029941469009E-2</v>
      </c>
      <c r="BZ186" s="1">
        <f t="shared" ca="1" si="187"/>
        <v>0.75232731685966203</v>
      </c>
      <c r="CB186" s="1">
        <f t="shared" ca="1" si="188"/>
        <v>476</v>
      </c>
      <c r="CC186" s="1">
        <f t="shared" ca="1" si="189"/>
        <v>7</v>
      </c>
      <c r="CD186" s="1">
        <f t="shared" ca="1" si="190"/>
        <v>0.16026560835858306</v>
      </c>
      <c r="CE186" s="1">
        <f t="shared" ca="1" si="209"/>
        <v>0.52522883309888346</v>
      </c>
      <c r="CF186" s="1">
        <f t="shared" ca="1" si="209"/>
        <v>0.60826948621241983</v>
      </c>
      <c r="CH186" s="3">
        <f t="shared" ca="1" si="192"/>
        <v>0.27280808997213907</v>
      </c>
      <c r="CI186" s="3">
        <f t="shared" ca="1" si="193"/>
        <v>0.53921672362680795</v>
      </c>
      <c r="CJ186" s="3">
        <f t="shared" ca="1" si="194"/>
        <v>1949</v>
      </c>
      <c r="CK186" s="3">
        <f t="shared" ca="1" si="195"/>
        <v>7.3759047009406649E-3</v>
      </c>
      <c r="CL186" s="3">
        <f t="shared" ca="1" si="196"/>
        <v>0</v>
      </c>
      <c r="CM186" s="3"/>
      <c r="CN186" s="1">
        <f t="shared" ca="1" si="197"/>
        <v>19.641795611920433</v>
      </c>
      <c r="CO186" s="1">
        <f t="shared" ca="1" si="198"/>
        <v>0.28113559414434885</v>
      </c>
      <c r="CP186" s="1">
        <f t="shared" ca="1" si="199"/>
        <v>5</v>
      </c>
      <c r="CV186" s="1">
        <f t="shared" ca="1" si="200"/>
        <v>6.9495471840186624</v>
      </c>
      <c r="CW186" s="1">
        <f t="shared" ca="1" si="201"/>
        <v>1391</v>
      </c>
      <c r="CX186" s="1">
        <f t="shared" ca="1" si="202"/>
        <v>3.2715462269043605E-3</v>
      </c>
      <c r="DH186" s="1">
        <f t="shared" ca="1" si="203"/>
        <v>531</v>
      </c>
      <c r="DI186" s="1">
        <f t="shared" ca="1" si="204"/>
        <v>0.19002136115192697</v>
      </c>
      <c r="DJ186" s="1">
        <f t="shared" ca="1" si="205"/>
        <v>19</v>
      </c>
      <c r="DL186" s="1">
        <f t="shared" ca="1" si="206"/>
        <v>6.7570968722164684E-2</v>
      </c>
      <c r="DM186" s="1">
        <f t="shared" ca="1" si="207"/>
        <v>206</v>
      </c>
      <c r="DN186" s="1">
        <f t="shared" ca="1" si="208"/>
        <v>2</v>
      </c>
    </row>
    <row r="187" spans="2:118" x14ac:dyDescent="0.25">
      <c r="B187">
        <f t="shared" ca="1" si="141"/>
        <v>633</v>
      </c>
      <c r="C187">
        <f t="shared" ca="1" si="142"/>
        <v>38</v>
      </c>
      <c r="D187">
        <f t="shared" ca="1" si="143"/>
        <v>0.20971576527258384</v>
      </c>
      <c r="F187" s="1">
        <f t="shared" ca="1" si="144"/>
        <v>33</v>
      </c>
      <c r="G187" s="1">
        <f t="shared" ca="1" si="145"/>
        <v>7</v>
      </c>
      <c r="H187" s="1">
        <f t="shared" ca="1" si="146"/>
        <v>2</v>
      </c>
      <c r="I187" s="1"/>
      <c r="J187" s="1">
        <f t="shared" ca="1" si="147"/>
        <v>32</v>
      </c>
      <c r="K187" s="1">
        <f t="shared" ca="1" si="148"/>
        <v>2.2520651278990229</v>
      </c>
      <c r="L187" s="1">
        <f t="shared" ca="1" si="149"/>
        <v>20</v>
      </c>
      <c r="M187" s="1"/>
      <c r="N187" s="1">
        <f t="shared" ca="1" si="150"/>
        <v>937</v>
      </c>
      <c r="O187" s="1">
        <f t="shared" ca="1" si="151"/>
        <v>49</v>
      </c>
      <c r="P187" s="1"/>
      <c r="Q187" s="1">
        <f t="shared" ca="1" si="152"/>
        <v>1.4212107539367034</v>
      </c>
      <c r="R187" s="1">
        <f t="shared" ca="1" si="153"/>
        <v>252</v>
      </c>
      <c r="S187" s="1"/>
      <c r="T187" s="1">
        <f t="shared" ca="1" si="154"/>
        <v>0.12846529722019825</v>
      </c>
      <c r="U187" s="1">
        <f t="shared" ca="1" si="155"/>
        <v>98</v>
      </c>
      <c r="V187" s="1">
        <f t="shared" ca="1" si="156"/>
        <v>28</v>
      </c>
      <c r="W187" s="1"/>
      <c r="X187" s="1">
        <f t="shared" ca="1" si="157"/>
        <v>4.5773010247818444</v>
      </c>
      <c r="Y187" s="1">
        <f t="shared" ca="1" si="158"/>
        <v>1.3226079460044471E-2</v>
      </c>
      <c r="Z187" s="1">
        <f t="shared" ca="1" si="159"/>
        <v>944</v>
      </c>
      <c r="AB187" s="1">
        <f t="shared" ca="1" si="160"/>
        <v>0.2414450580314158</v>
      </c>
      <c r="AC187" s="1">
        <f t="shared" ca="1" si="161"/>
        <v>338</v>
      </c>
      <c r="AD187" s="1">
        <f t="shared" ca="1" si="162"/>
        <v>1.1500518254456932E-3</v>
      </c>
      <c r="AE187" s="1"/>
      <c r="AF187" s="1">
        <f t="shared" ca="1" si="163"/>
        <v>0.56075884964562994</v>
      </c>
      <c r="AG187" s="1">
        <f t="shared" ca="1" si="164"/>
        <v>860</v>
      </c>
      <c r="AH187" s="1">
        <f t="shared" ca="1" si="165"/>
        <v>2.1799665460482654E-3</v>
      </c>
      <c r="AJ187" s="1">
        <f t="shared" ca="1" si="166"/>
        <v>0.16389447660713863</v>
      </c>
      <c r="AK187" s="1">
        <f t="shared" ca="1" si="167"/>
        <v>6.2241059951162791E-3</v>
      </c>
      <c r="AL187" s="1"/>
      <c r="AM187" s="1">
        <f t="shared" ca="1" si="168"/>
        <v>0.17935676184088004</v>
      </c>
      <c r="AN187" s="1">
        <f t="shared" ca="1" si="169"/>
        <v>38</v>
      </c>
      <c r="AO187" s="1">
        <f t="shared" ca="1" si="170"/>
        <v>19</v>
      </c>
      <c r="AQ187" s="1">
        <f t="shared" ca="1" si="171"/>
        <v>183</v>
      </c>
      <c r="AR187" s="1">
        <f t="shared" ca="1" si="172"/>
        <v>5</v>
      </c>
      <c r="AS187" s="1">
        <f t="shared" ca="1" si="173"/>
        <v>57</v>
      </c>
      <c r="AU187" s="1">
        <f t="shared" ca="1" si="174"/>
        <v>144</v>
      </c>
      <c r="AV187" s="1">
        <f t="shared" ca="1" si="175"/>
        <v>7</v>
      </c>
      <c r="AW187" s="1">
        <f t="shared" ca="1" si="176"/>
        <v>1.0947721209551212E-2</v>
      </c>
      <c r="AY187" s="1">
        <f t="shared" ca="1" si="177"/>
        <v>1.1045253454754573</v>
      </c>
      <c r="AZ187" s="1">
        <f t="shared" ca="1" si="178"/>
        <v>433</v>
      </c>
      <c r="BA187" s="1">
        <f t="shared" ca="1" si="179"/>
        <v>7.6696558004929307E-3</v>
      </c>
      <c r="BG187" s="1">
        <f t="shared" ca="1" si="180"/>
        <v>0.65366324469112058</v>
      </c>
      <c r="BH187" s="1">
        <f t="shared" ca="1" si="181"/>
        <v>0.96654293120309098</v>
      </c>
      <c r="BI187" s="1">
        <f t="shared" ca="1" si="182"/>
        <v>803</v>
      </c>
      <c r="BV187" s="1">
        <f t="shared" ca="1" si="183"/>
        <v>0.55664533512587311</v>
      </c>
      <c r="BW187" s="1">
        <f t="shared" ca="1" si="184"/>
        <v>439</v>
      </c>
      <c r="BX187" s="1">
        <f t="shared" ca="1" si="185"/>
        <v>6.4136832678219511E-3</v>
      </c>
      <c r="BY187" s="1">
        <f t="shared" ca="1" si="186"/>
        <v>7.3628589426191979E-2</v>
      </c>
      <c r="BZ187" s="1">
        <f t="shared" ca="1" si="187"/>
        <v>0.50995493459425556</v>
      </c>
      <c r="CB187" s="1">
        <f t="shared" ca="1" si="188"/>
        <v>179</v>
      </c>
      <c r="CC187" s="1">
        <f t="shared" ca="1" si="189"/>
        <v>3</v>
      </c>
      <c r="CD187" s="1">
        <f t="shared" ca="1" si="190"/>
        <v>3.4362845399842232E-2</v>
      </c>
      <c r="CE187" s="1">
        <f t="shared" ca="1" si="209"/>
        <v>0.84435966632021575</v>
      </c>
      <c r="CF187" s="1">
        <f t="shared" ca="1" si="209"/>
        <v>0.76757507303511696</v>
      </c>
      <c r="CH187" s="3">
        <f t="shared" ca="1" si="192"/>
        <v>0.99410398308721337</v>
      </c>
      <c r="CI187" s="3">
        <f t="shared" ca="1" si="193"/>
        <v>0.18922504767891107</v>
      </c>
      <c r="CJ187" s="3">
        <f t="shared" ca="1" si="194"/>
        <v>952</v>
      </c>
      <c r="CK187" s="3">
        <f t="shared" ca="1" si="195"/>
        <v>7.7764050602675209E-4</v>
      </c>
      <c r="CL187" s="3">
        <f t="shared" ca="1" si="196"/>
        <v>0</v>
      </c>
      <c r="CM187" s="3"/>
      <c r="CN187" s="1">
        <f t="shared" ca="1" si="197"/>
        <v>6.3896409054491867</v>
      </c>
      <c r="CO187" s="1">
        <f t="shared" ca="1" si="198"/>
        <v>0.15683543828225749</v>
      </c>
      <c r="CP187" s="1">
        <f t="shared" ca="1" si="199"/>
        <v>2</v>
      </c>
      <c r="CV187" s="1">
        <f t="shared" ca="1" si="200"/>
        <v>8.3377137865453133</v>
      </c>
      <c r="CW187" s="1">
        <f t="shared" ca="1" si="201"/>
        <v>946</v>
      </c>
      <c r="CX187" s="1">
        <f t="shared" ca="1" si="202"/>
        <v>4.1123805539832695E-3</v>
      </c>
      <c r="DH187" s="1">
        <f t="shared" ca="1" si="203"/>
        <v>77</v>
      </c>
      <c r="DI187" s="1">
        <f t="shared" ca="1" si="204"/>
        <v>0.7079269731779142</v>
      </c>
      <c r="DJ187" s="1">
        <f t="shared" ca="1" si="205"/>
        <v>27</v>
      </c>
      <c r="DL187" s="1">
        <f t="shared" ca="1" si="206"/>
        <v>0.15467916079398403</v>
      </c>
      <c r="DM187" s="1">
        <f t="shared" ca="1" si="207"/>
        <v>75</v>
      </c>
      <c r="DN187" s="1">
        <f t="shared" ca="1" si="208"/>
        <v>1</v>
      </c>
    </row>
    <row r="188" spans="2:118" x14ac:dyDescent="0.25">
      <c r="B188">
        <f t="shared" ca="1" si="141"/>
        <v>672</v>
      </c>
      <c r="C188">
        <f t="shared" ca="1" si="142"/>
        <v>3</v>
      </c>
      <c r="D188">
        <f t="shared" ca="1" si="143"/>
        <v>0.14922749268369498</v>
      </c>
      <c r="F188" s="1">
        <f t="shared" ca="1" si="144"/>
        <v>5</v>
      </c>
      <c r="G188" s="1">
        <f t="shared" ca="1" si="145"/>
        <v>11</v>
      </c>
      <c r="H188" s="1">
        <f t="shared" ca="1" si="146"/>
        <v>7</v>
      </c>
      <c r="I188" s="1"/>
      <c r="J188" s="1">
        <f t="shared" ca="1" si="147"/>
        <v>34</v>
      </c>
      <c r="K188" s="1">
        <f t="shared" ca="1" si="148"/>
        <v>1.5198444085799219</v>
      </c>
      <c r="L188" s="1">
        <f t="shared" ca="1" si="149"/>
        <v>28</v>
      </c>
      <c r="M188" s="1"/>
      <c r="N188" s="1">
        <f t="shared" ca="1" si="150"/>
        <v>386</v>
      </c>
      <c r="O188" s="1">
        <f t="shared" ca="1" si="151"/>
        <v>38</v>
      </c>
      <c r="P188" s="1"/>
      <c r="Q188" s="1">
        <f t="shared" ca="1" si="152"/>
        <v>1.4795874306733103</v>
      </c>
      <c r="R188" s="1">
        <f t="shared" ca="1" si="153"/>
        <v>367</v>
      </c>
      <c r="S188" s="1"/>
      <c r="T188" s="1">
        <f t="shared" ca="1" si="154"/>
        <v>2.5257489848638202E-2</v>
      </c>
      <c r="U188" s="1">
        <f t="shared" ca="1" si="155"/>
        <v>277</v>
      </c>
      <c r="V188" s="1">
        <f t="shared" ca="1" si="156"/>
        <v>8</v>
      </c>
      <c r="W188" s="1"/>
      <c r="X188" s="1">
        <f t="shared" ca="1" si="157"/>
        <v>6.765849589606872</v>
      </c>
      <c r="Y188" s="1">
        <f t="shared" ca="1" si="158"/>
        <v>0.61874360907670345</v>
      </c>
      <c r="Z188" s="1">
        <f t="shared" ca="1" si="159"/>
        <v>1881</v>
      </c>
      <c r="AB188" s="1">
        <f t="shared" ca="1" si="160"/>
        <v>0.36675727625278554</v>
      </c>
      <c r="AC188" s="1">
        <f t="shared" ca="1" si="161"/>
        <v>476</v>
      </c>
      <c r="AD188" s="1">
        <f t="shared" ca="1" si="162"/>
        <v>9.2401914982107453E-3</v>
      </c>
      <c r="AE188" s="1"/>
      <c r="AF188" s="1">
        <f t="shared" ca="1" si="163"/>
        <v>0.14551198048142738</v>
      </c>
      <c r="AG188" s="1">
        <f t="shared" ca="1" si="164"/>
        <v>324</v>
      </c>
      <c r="AH188" s="1">
        <f t="shared" ca="1" si="165"/>
        <v>4.8692082730770114E-4</v>
      </c>
      <c r="AJ188" s="1">
        <f t="shared" ca="1" si="166"/>
        <v>0.59473569400766579</v>
      </c>
      <c r="AK188" s="1">
        <f t="shared" ca="1" si="167"/>
        <v>9.3863609727340754E-3</v>
      </c>
      <c r="AL188" s="1"/>
      <c r="AM188" s="1">
        <f t="shared" ca="1" si="168"/>
        <v>0.12566982153573655</v>
      </c>
      <c r="AN188" s="1">
        <f t="shared" ca="1" si="169"/>
        <v>67</v>
      </c>
      <c r="AO188" s="1">
        <f t="shared" ca="1" si="170"/>
        <v>8</v>
      </c>
      <c r="AQ188" s="1">
        <f t="shared" ca="1" si="171"/>
        <v>87</v>
      </c>
      <c r="AR188" s="1">
        <f t="shared" ca="1" si="172"/>
        <v>5</v>
      </c>
      <c r="AS188" s="1">
        <f t="shared" ca="1" si="173"/>
        <v>54</v>
      </c>
      <c r="AU188" s="1">
        <f t="shared" ca="1" si="174"/>
        <v>180</v>
      </c>
      <c r="AV188" s="1">
        <f t="shared" ca="1" si="175"/>
        <v>3</v>
      </c>
      <c r="AW188" s="1">
        <f t="shared" ca="1" si="176"/>
        <v>0.12348816365148717</v>
      </c>
      <c r="AY188" s="1">
        <f t="shared" ca="1" si="177"/>
        <v>1.9027412433592534</v>
      </c>
      <c r="AZ188" s="1">
        <f t="shared" ca="1" si="178"/>
        <v>97</v>
      </c>
      <c r="BA188" s="1">
        <f t="shared" ca="1" si="179"/>
        <v>8.3389800535956134E-3</v>
      </c>
      <c r="BG188" s="1">
        <f t="shared" ca="1" si="180"/>
        <v>0.62078462563881953</v>
      </c>
      <c r="BH188" s="1">
        <f t="shared" ca="1" si="181"/>
        <v>0.5628397236645758</v>
      </c>
      <c r="BI188" s="1">
        <f t="shared" ca="1" si="182"/>
        <v>479</v>
      </c>
      <c r="BV188" s="1">
        <f t="shared" ca="1" si="183"/>
        <v>0.31103871143625583</v>
      </c>
      <c r="BW188" s="1">
        <f t="shared" ca="1" si="184"/>
        <v>647</v>
      </c>
      <c r="BX188" s="1">
        <f t="shared" ca="1" si="185"/>
        <v>8.8382098686090702E-4</v>
      </c>
      <c r="BY188" s="1">
        <f t="shared" ca="1" si="186"/>
        <v>7.0231193477416756E-2</v>
      </c>
      <c r="BZ188" s="1">
        <f t="shared" ca="1" si="187"/>
        <v>0.99988940643018831</v>
      </c>
      <c r="CB188" s="1">
        <f t="shared" ca="1" si="188"/>
        <v>107</v>
      </c>
      <c r="CC188" s="1">
        <f t="shared" ca="1" si="189"/>
        <v>7</v>
      </c>
      <c r="CD188" s="1">
        <f t="shared" ca="1" si="190"/>
        <v>0.14345458512440895</v>
      </c>
      <c r="CE188" s="1">
        <f t="shared" ca="1" si="209"/>
        <v>0.50605231259094918</v>
      </c>
      <c r="CF188" s="1">
        <f t="shared" ca="1" si="209"/>
        <v>0.65560250618750615</v>
      </c>
      <c r="CH188" s="3">
        <f t="shared" ca="1" si="192"/>
        <v>0.463664752604251</v>
      </c>
      <c r="CI188" s="3">
        <f t="shared" ca="1" si="193"/>
        <v>0.57699575667205349</v>
      </c>
      <c r="CJ188" s="3">
        <f t="shared" ca="1" si="194"/>
        <v>964</v>
      </c>
      <c r="CK188" s="3">
        <f t="shared" ca="1" si="195"/>
        <v>3.2911374487558775E-3</v>
      </c>
      <c r="CL188" s="3">
        <f t="shared" ca="1" si="196"/>
        <v>1</v>
      </c>
      <c r="CM188" s="3"/>
      <c r="CN188" s="1">
        <f t="shared" ca="1" si="197"/>
        <v>9.331793173500861</v>
      </c>
      <c r="CO188" s="1">
        <f t="shared" ca="1" si="198"/>
        <v>0.43913407533844795</v>
      </c>
      <c r="CP188" s="1">
        <f t="shared" ca="1" si="199"/>
        <v>5</v>
      </c>
      <c r="CV188" s="1">
        <f t="shared" ca="1" si="200"/>
        <v>8.9609945725958777</v>
      </c>
      <c r="CW188" s="1">
        <f t="shared" ca="1" si="201"/>
        <v>1613</v>
      </c>
      <c r="CX188" s="1">
        <f t="shared" ca="1" si="202"/>
        <v>3.6586266099463589E-3</v>
      </c>
      <c r="DH188" s="1">
        <f t="shared" ca="1" si="203"/>
        <v>365</v>
      </c>
      <c r="DI188" s="1">
        <f t="shared" ca="1" si="204"/>
        <v>0.95432841629031673</v>
      </c>
      <c r="DJ188" s="1">
        <f t="shared" ca="1" si="205"/>
        <v>20</v>
      </c>
      <c r="DL188" s="1">
        <f t="shared" ca="1" si="206"/>
        <v>0.14902887846566604</v>
      </c>
      <c r="DM188" s="1">
        <f t="shared" ca="1" si="207"/>
        <v>199</v>
      </c>
      <c r="DN188" s="1">
        <f t="shared" ca="1" si="208"/>
        <v>4</v>
      </c>
    </row>
    <row r="189" spans="2:118" x14ac:dyDescent="0.25">
      <c r="B189">
        <f t="shared" ca="1" si="141"/>
        <v>636</v>
      </c>
      <c r="C189">
        <f t="shared" ca="1" si="142"/>
        <v>17</v>
      </c>
      <c r="D189">
        <f t="shared" ca="1" si="143"/>
        <v>5.5304350879614744E-2</v>
      </c>
      <c r="F189" s="1">
        <f t="shared" ca="1" si="144"/>
        <v>50</v>
      </c>
      <c r="G189" s="1">
        <f t="shared" ca="1" si="145"/>
        <v>4</v>
      </c>
      <c r="H189" s="1">
        <f t="shared" ca="1" si="146"/>
        <v>2</v>
      </c>
      <c r="I189" s="1"/>
      <c r="J189" s="1">
        <f t="shared" ca="1" si="147"/>
        <v>10</v>
      </c>
      <c r="K189" s="1">
        <f t="shared" ca="1" si="148"/>
        <v>1.0957755826329036</v>
      </c>
      <c r="L189" s="1">
        <f t="shared" ca="1" si="149"/>
        <v>9</v>
      </c>
      <c r="M189" s="1"/>
      <c r="N189" s="1">
        <f t="shared" ca="1" si="150"/>
        <v>949</v>
      </c>
      <c r="O189" s="1">
        <f t="shared" ca="1" si="151"/>
        <v>8</v>
      </c>
      <c r="P189" s="1"/>
      <c r="Q189" s="1">
        <f t="shared" ca="1" si="152"/>
        <v>2.4013591531971463</v>
      </c>
      <c r="R189" s="1">
        <f t="shared" ca="1" si="153"/>
        <v>968</v>
      </c>
      <c r="S189" s="1"/>
      <c r="T189" s="1">
        <f t="shared" ca="1" si="154"/>
        <v>0.17511424369639914</v>
      </c>
      <c r="U189" s="1">
        <f t="shared" ca="1" si="155"/>
        <v>429</v>
      </c>
      <c r="V189" s="1">
        <f t="shared" ca="1" si="156"/>
        <v>34</v>
      </c>
      <c r="W189" s="1"/>
      <c r="X189" s="1">
        <f t="shared" ca="1" si="157"/>
        <v>4.9672883009966871</v>
      </c>
      <c r="Y189" s="1">
        <f t="shared" ca="1" si="158"/>
        <v>0.41987486610957647</v>
      </c>
      <c r="Z189" s="1">
        <f t="shared" ca="1" si="159"/>
        <v>1964</v>
      </c>
      <c r="AB189" s="1">
        <f t="shared" ca="1" si="160"/>
        <v>0.2920874034322995</v>
      </c>
      <c r="AC189" s="1">
        <f t="shared" ca="1" si="161"/>
        <v>366</v>
      </c>
      <c r="AD189" s="1">
        <f t="shared" ca="1" si="162"/>
        <v>5.9656524740280843E-3</v>
      </c>
      <c r="AE189" s="1"/>
      <c r="AF189" s="1">
        <f t="shared" ca="1" si="163"/>
        <v>0.22561650846716416</v>
      </c>
      <c r="AG189" s="1">
        <f t="shared" ca="1" si="164"/>
        <v>925</v>
      </c>
      <c r="AH189" s="1">
        <f t="shared" ca="1" si="165"/>
        <v>7.3903553980439983E-3</v>
      </c>
      <c r="AJ189" s="1">
        <f t="shared" ca="1" si="166"/>
        <v>0.24400316923566456</v>
      </c>
      <c r="AK189" s="1">
        <f t="shared" ca="1" si="167"/>
        <v>4.8759593932674308E-3</v>
      </c>
      <c r="AL189" s="1"/>
      <c r="AM189" s="1">
        <f t="shared" ca="1" si="168"/>
        <v>0.1605779404077543</v>
      </c>
      <c r="AN189" s="1">
        <f t="shared" ca="1" si="169"/>
        <v>30</v>
      </c>
      <c r="AO189" s="1">
        <f t="shared" ca="1" si="170"/>
        <v>6</v>
      </c>
      <c r="AQ189" s="1">
        <f t="shared" ca="1" si="171"/>
        <v>178</v>
      </c>
      <c r="AR189" s="1">
        <f t="shared" ca="1" si="172"/>
        <v>1</v>
      </c>
      <c r="AS189" s="1">
        <f t="shared" ca="1" si="173"/>
        <v>21</v>
      </c>
      <c r="AU189" s="1">
        <f t="shared" ca="1" si="174"/>
        <v>156</v>
      </c>
      <c r="AV189" s="1">
        <f t="shared" ca="1" si="175"/>
        <v>10</v>
      </c>
      <c r="AW189" s="1">
        <f t="shared" ca="1" si="176"/>
        <v>3.850171967443991E-2</v>
      </c>
      <c r="AY189" s="1">
        <f t="shared" ca="1" si="177"/>
        <v>1.7940465841238895</v>
      </c>
      <c r="AZ189" s="1">
        <f t="shared" ca="1" si="178"/>
        <v>156</v>
      </c>
      <c r="BA189" s="1">
        <f t="shared" ca="1" si="179"/>
        <v>4.9612297255592066E-3</v>
      </c>
      <c r="BG189" s="1">
        <f t="shared" ca="1" si="180"/>
        <v>0.7631770836346875</v>
      </c>
      <c r="BH189" s="1">
        <f t="shared" ca="1" si="181"/>
        <v>0.16814231678756109</v>
      </c>
      <c r="BI189" s="1">
        <f t="shared" ca="1" si="182"/>
        <v>589</v>
      </c>
      <c r="BV189" s="1">
        <f t="shared" ca="1" si="183"/>
        <v>0.1659874513496202</v>
      </c>
      <c r="BW189" s="1">
        <f t="shared" ca="1" si="184"/>
        <v>330</v>
      </c>
      <c r="BX189" s="1">
        <f t="shared" ca="1" si="185"/>
        <v>7.9741008617668571E-3</v>
      </c>
      <c r="BY189" s="1">
        <f t="shared" ca="1" si="186"/>
        <v>1.1744442568090128E-3</v>
      </c>
      <c r="BZ189" s="1">
        <f t="shared" ca="1" si="187"/>
        <v>0.28730355064293045</v>
      </c>
      <c r="CB189" s="1">
        <f t="shared" ca="1" si="188"/>
        <v>116</v>
      </c>
      <c r="CC189" s="1">
        <f t="shared" ca="1" si="189"/>
        <v>9</v>
      </c>
      <c r="CD189" s="1">
        <f t="shared" ca="1" si="190"/>
        <v>6.3864906056553997E-2</v>
      </c>
      <c r="CE189" s="1">
        <f t="shared" ca="1" si="209"/>
        <v>0.89567886329637481</v>
      </c>
      <c r="CF189" s="1">
        <f t="shared" ca="1" si="209"/>
        <v>0.88562544908664409</v>
      </c>
      <c r="CH189" s="3">
        <f t="shared" ca="1" si="192"/>
        <v>0.9556024516469066</v>
      </c>
      <c r="CI189" s="3">
        <f t="shared" ca="1" si="193"/>
        <v>4.5590482464658313E-2</v>
      </c>
      <c r="CJ189" s="3">
        <f t="shared" ca="1" si="194"/>
        <v>1054</v>
      </c>
      <c r="CK189" s="3">
        <f t="shared" ca="1" si="195"/>
        <v>2.586839388008101E-3</v>
      </c>
      <c r="CL189" s="3">
        <f t="shared" ca="1" si="196"/>
        <v>0</v>
      </c>
      <c r="CM189" s="3"/>
      <c r="CN189" s="1">
        <f t="shared" ca="1" si="197"/>
        <v>19.286040761194531</v>
      </c>
      <c r="CO189" s="1">
        <f t="shared" ca="1" si="198"/>
        <v>0.44896862783289698</v>
      </c>
      <c r="CP189" s="1">
        <f t="shared" ca="1" si="199"/>
        <v>1</v>
      </c>
      <c r="CV189" s="1">
        <f t="shared" ca="1" si="200"/>
        <v>1.5971822977649601</v>
      </c>
      <c r="CW189" s="1">
        <f t="shared" ca="1" si="201"/>
        <v>1577</v>
      </c>
      <c r="CX189" s="1">
        <f t="shared" ca="1" si="202"/>
        <v>5.0449539199984147E-3</v>
      </c>
      <c r="DH189" s="1">
        <f t="shared" ca="1" si="203"/>
        <v>460</v>
      </c>
      <c r="DI189" s="1">
        <f t="shared" ca="1" si="204"/>
        <v>0.8805259163771878</v>
      </c>
      <c r="DJ189" s="1">
        <f t="shared" ca="1" si="205"/>
        <v>30</v>
      </c>
      <c r="DL189" s="1">
        <f t="shared" ca="1" si="206"/>
        <v>0.10460997652370457</v>
      </c>
      <c r="DM189" s="1">
        <f t="shared" ca="1" si="207"/>
        <v>72</v>
      </c>
      <c r="DN189" s="1">
        <f t="shared" ca="1" si="208"/>
        <v>6</v>
      </c>
    </row>
    <row r="190" spans="2:118" x14ac:dyDescent="0.25">
      <c r="B190">
        <f t="shared" ca="1" si="141"/>
        <v>257</v>
      </c>
      <c r="C190">
        <f t="shared" ca="1" si="142"/>
        <v>34</v>
      </c>
      <c r="D190">
        <f t="shared" ca="1" si="143"/>
        <v>0.1193175091061372</v>
      </c>
      <c r="F190" s="1">
        <f t="shared" ca="1" si="144"/>
        <v>45</v>
      </c>
      <c r="G190" s="1">
        <f t="shared" ca="1" si="145"/>
        <v>19</v>
      </c>
      <c r="H190" s="1">
        <f t="shared" ca="1" si="146"/>
        <v>12</v>
      </c>
      <c r="I190" s="1"/>
      <c r="J190" s="1">
        <f t="shared" ca="1" si="147"/>
        <v>2</v>
      </c>
      <c r="K190" s="1">
        <f t="shared" ca="1" si="148"/>
        <v>2.6382680905659592</v>
      </c>
      <c r="L190" s="1">
        <f t="shared" ca="1" si="149"/>
        <v>19</v>
      </c>
      <c r="M190" s="1"/>
      <c r="N190" s="1">
        <f t="shared" ca="1" si="150"/>
        <v>685</v>
      </c>
      <c r="O190" s="1">
        <f t="shared" ca="1" si="151"/>
        <v>42</v>
      </c>
      <c r="P190" s="1"/>
      <c r="Q190" s="1">
        <f t="shared" ca="1" si="152"/>
        <v>4.1759321424964115</v>
      </c>
      <c r="R190" s="1">
        <f t="shared" ca="1" si="153"/>
        <v>627</v>
      </c>
      <c r="S190" s="1"/>
      <c r="T190" s="1">
        <f t="shared" ca="1" si="154"/>
        <v>1.7758999806685893E-2</v>
      </c>
      <c r="U190" s="1">
        <f t="shared" ca="1" si="155"/>
        <v>112</v>
      </c>
      <c r="V190" s="1">
        <f t="shared" ca="1" si="156"/>
        <v>48</v>
      </c>
      <c r="W190" s="1"/>
      <c r="X190" s="1">
        <f t="shared" ca="1" si="157"/>
        <v>2.9457533539339527</v>
      </c>
      <c r="Y190" s="1">
        <f t="shared" ca="1" si="158"/>
        <v>0.67029747908853776</v>
      </c>
      <c r="Z190" s="1">
        <f t="shared" ca="1" si="159"/>
        <v>698</v>
      </c>
      <c r="AB190" s="1">
        <f t="shared" ca="1" si="160"/>
        <v>4.3201025201960661E-2</v>
      </c>
      <c r="AC190" s="1">
        <f t="shared" ca="1" si="161"/>
        <v>303</v>
      </c>
      <c r="AD190" s="1">
        <f t="shared" ca="1" si="162"/>
        <v>2.3012517845930887E-3</v>
      </c>
      <c r="AE190" s="1"/>
      <c r="AF190" s="1">
        <f t="shared" ca="1" si="163"/>
        <v>0.57874040071891075</v>
      </c>
      <c r="AG190" s="1">
        <f t="shared" ca="1" si="164"/>
        <v>801</v>
      </c>
      <c r="AH190" s="1">
        <f t="shared" ca="1" si="165"/>
        <v>8.878612850505771E-3</v>
      </c>
      <c r="AJ190" s="1">
        <f t="shared" ca="1" si="166"/>
        <v>0.45051164710818592</v>
      </c>
      <c r="AK190" s="1">
        <f t="shared" ca="1" si="167"/>
        <v>9.6325536099413789E-4</v>
      </c>
      <c r="AL190" s="1"/>
      <c r="AM190" s="1">
        <f t="shared" ca="1" si="168"/>
        <v>5.8247043984337603E-2</v>
      </c>
      <c r="AN190" s="1">
        <f t="shared" ca="1" si="169"/>
        <v>30</v>
      </c>
      <c r="AO190" s="1">
        <f t="shared" ca="1" si="170"/>
        <v>20</v>
      </c>
      <c r="AQ190" s="1">
        <f t="shared" ca="1" si="171"/>
        <v>85</v>
      </c>
      <c r="AR190" s="1">
        <f t="shared" ca="1" si="172"/>
        <v>9</v>
      </c>
      <c r="AS190" s="1">
        <f t="shared" ca="1" si="173"/>
        <v>62</v>
      </c>
      <c r="AU190" s="1">
        <f t="shared" ca="1" si="174"/>
        <v>165</v>
      </c>
      <c r="AV190" s="1">
        <f t="shared" ca="1" si="175"/>
        <v>8</v>
      </c>
      <c r="AW190" s="1">
        <f t="shared" ca="1" si="176"/>
        <v>2.5188793607262359E-2</v>
      </c>
      <c r="AY190" s="1">
        <f t="shared" ca="1" si="177"/>
        <v>1.3039906737317892</v>
      </c>
      <c r="AZ190" s="1">
        <f t="shared" ca="1" si="178"/>
        <v>59</v>
      </c>
      <c r="BA190" s="1">
        <f t="shared" ca="1" si="179"/>
        <v>7.6943769749977468E-3</v>
      </c>
      <c r="BG190" s="1">
        <f t="shared" ca="1" si="180"/>
        <v>0.38212377481644844</v>
      </c>
      <c r="BH190" s="1">
        <f t="shared" ca="1" si="181"/>
        <v>0.54078562599130098</v>
      </c>
      <c r="BI190" s="1">
        <f t="shared" ca="1" si="182"/>
        <v>865</v>
      </c>
      <c r="BV190" s="1">
        <f t="shared" ca="1" si="183"/>
        <v>0.78305160341701074</v>
      </c>
      <c r="BW190" s="1">
        <f t="shared" ca="1" si="184"/>
        <v>906</v>
      </c>
      <c r="BX190" s="1">
        <f t="shared" ca="1" si="185"/>
        <v>6.032098805531824E-3</v>
      </c>
      <c r="BY190" s="1">
        <f t="shared" ca="1" si="186"/>
        <v>7.0758477146231583E-2</v>
      </c>
      <c r="BZ190" s="1">
        <f t="shared" ca="1" si="187"/>
        <v>0.61736175635334511</v>
      </c>
      <c r="CB190" s="1">
        <f t="shared" ca="1" si="188"/>
        <v>97</v>
      </c>
      <c r="CC190" s="1">
        <f t="shared" ca="1" si="189"/>
        <v>10</v>
      </c>
      <c r="CD190" s="1">
        <f t="shared" ca="1" si="190"/>
        <v>0.20334038987250119</v>
      </c>
      <c r="CE190" s="1">
        <f t="shared" ca="1" si="209"/>
        <v>0.54584177216032193</v>
      </c>
      <c r="CF190" s="1">
        <f t="shared" ca="1" si="209"/>
        <v>0.98238746584905323</v>
      </c>
      <c r="CH190" s="3">
        <f t="shared" ca="1" si="192"/>
        <v>0.34624804444359497</v>
      </c>
      <c r="CI190" s="3">
        <f t="shared" ca="1" si="193"/>
        <v>0.93266685940982452</v>
      </c>
      <c r="CJ190" s="3">
        <f t="shared" ca="1" si="194"/>
        <v>816</v>
      </c>
      <c r="CK190" s="3">
        <f t="shared" ca="1" si="195"/>
        <v>3.0909099459093575E-3</v>
      </c>
      <c r="CL190" s="3">
        <f t="shared" ca="1" si="196"/>
        <v>1</v>
      </c>
      <c r="CM190" s="3"/>
      <c r="CN190" s="1">
        <f t="shared" ca="1" si="197"/>
        <v>10.057091520303773</v>
      </c>
      <c r="CO190" s="1">
        <f t="shared" ca="1" si="198"/>
        <v>0.43718926079878567</v>
      </c>
      <c r="CP190" s="1">
        <f t="shared" ca="1" si="199"/>
        <v>5</v>
      </c>
      <c r="CV190" s="1">
        <f t="shared" ca="1" si="200"/>
        <v>8.3008218756264451</v>
      </c>
      <c r="CW190" s="1">
        <f t="shared" ca="1" si="201"/>
        <v>971</v>
      </c>
      <c r="CX190" s="1">
        <f t="shared" ca="1" si="202"/>
        <v>7.6089997506073176E-3</v>
      </c>
      <c r="DH190" s="1">
        <f t="shared" ca="1" si="203"/>
        <v>618</v>
      </c>
      <c r="DI190" s="1">
        <f t="shared" ca="1" si="204"/>
        <v>2.5402343560868689E-2</v>
      </c>
      <c r="DJ190" s="1">
        <f t="shared" ca="1" si="205"/>
        <v>30</v>
      </c>
      <c r="DL190" s="1">
        <f t="shared" ca="1" si="206"/>
        <v>4.8353009205239265E-2</v>
      </c>
      <c r="DM190" s="1">
        <f t="shared" ca="1" si="207"/>
        <v>87</v>
      </c>
      <c r="DN190" s="1">
        <f t="shared" ca="1" si="208"/>
        <v>1</v>
      </c>
    </row>
    <row r="191" spans="2:118" x14ac:dyDescent="0.25">
      <c r="B191">
        <f t="shared" ca="1" si="141"/>
        <v>547</v>
      </c>
      <c r="C191">
        <f t="shared" ca="1" si="142"/>
        <v>41</v>
      </c>
      <c r="D191">
        <f t="shared" ca="1" si="143"/>
        <v>0.24609647274062582</v>
      </c>
      <c r="F191" s="1">
        <f t="shared" ca="1" si="144"/>
        <v>42</v>
      </c>
      <c r="G191" s="1">
        <f t="shared" ca="1" si="145"/>
        <v>23</v>
      </c>
      <c r="H191" s="1">
        <f t="shared" ca="1" si="146"/>
        <v>7</v>
      </c>
      <c r="I191" s="1"/>
      <c r="J191" s="1">
        <f t="shared" ca="1" si="147"/>
        <v>29</v>
      </c>
      <c r="K191" s="1">
        <f t="shared" ca="1" si="148"/>
        <v>2.3044428040883438</v>
      </c>
      <c r="L191" s="1">
        <f t="shared" ca="1" si="149"/>
        <v>24</v>
      </c>
      <c r="M191" s="1"/>
      <c r="N191" s="1">
        <f t="shared" ca="1" si="150"/>
        <v>883</v>
      </c>
      <c r="O191" s="1">
        <f t="shared" ca="1" si="151"/>
        <v>28</v>
      </c>
      <c r="P191" s="1"/>
      <c r="Q191" s="1">
        <f t="shared" ca="1" si="152"/>
        <v>4.3742765011545774</v>
      </c>
      <c r="R191" s="1">
        <f t="shared" ca="1" si="153"/>
        <v>807</v>
      </c>
      <c r="S191" s="1"/>
      <c r="T191" s="1">
        <f t="shared" ca="1" si="154"/>
        <v>4.8272543789235754E-2</v>
      </c>
      <c r="U191" s="1">
        <f t="shared" ca="1" si="155"/>
        <v>234</v>
      </c>
      <c r="V191" s="1">
        <f t="shared" ca="1" si="156"/>
        <v>23</v>
      </c>
      <c r="W191" s="1"/>
      <c r="X191" s="1">
        <f t="shared" ca="1" si="157"/>
        <v>4.4317876678184769</v>
      </c>
      <c r="Y191" s="1">
        <f t="shared" ca="1" si="158"/>
        <v>0.10355316035021447</v>
      </c>
      <c r="Z191" s="1">
        <f t="shared" ca="1" si="159"/>
        <v>1353</v>
      </c>
      <c r="AB191" s="1">
        <f t="shared" ca="1" si="160"/>
        <v>0.36205121707059873</v>
      </c>
      <c r="AC191" s="1">
        <f t="shared" ca="1" si="161"/>
        <v>889</v>
      </c>
      <c r="AD191" s="1">
        <f t="shared" ca="1" si="162"/>
        <v>4.1609282698986481E-3</v>
      </c>
      <c r="AE191" s="1"/>
      <c r="AF191" s="1">
        <f t="shared" ca="1" si="163"/>
        <v>0.34170102297316501</v>
      </c>
      <c r="AG191" s="1">
        <f t="shared" ca="1" si="164"/>
        <v>372</v>
      </c>
      <c r="AH191" s="1">
        <f t="shared" ca="1" si="165"/>
        <v>3.5382693491729819E-3</v>
      </c>
      <c r="AJ191" s="1">
        <f t="shared" ca="1" si="166"/>
        <v>0.54980740836834774</v>
      </c>
      <c r="AK191" s="1">
        <f t="shared" ca="1" si="167"/>
        <v>8.1859407823525864E-3</v>
      </c>
      <c r="AL191" s="1"/>
      <c r="AM191" s="1">
        <f t="shared" ca="1" si="168"/>
        <v>1.4422676155431857E-2</v>
      </c>
      <c r="AN191" s="1">
        <f t="shared" ca="1" si="169"/>
        <v>37</v>
      </c>
      <c r="AO191" s="1">
        <f t="shared" ca="1" si="170"/>
        <v>14</v>
      </c>
      <c r="AQ191" s="1">
        <f t="shared" ca="1" si="171"/>
        <v>19</v>
      </c>
      <c r="AR191" s="1">
        <f t="shared" ca="1" si="172"/>
        <v>6</v>
      </c>
      <c r="AS191" s="1">
        <f t="shared" ca="1" si="173"/>
        <v>54</v>
      </c>
      <c r="AU191" s="1">
        <f t="shared" ca="1" si="174"/>
        <v>197</v>
      </c>
      <c r="AV191" s="1">
        <f t="shared" ca="1" si="175"/>
        <v>2</v>
      </c>
      <c r="AW191" s="1">
        <f t="shared" ca="1" si="176"/>
        <v>0.14782132848818941</v>
      </c>
      <c r="AY191" s="1">
        <f t="shared" ca="1" si="177"/>
        <v>1.2449611945057715</v>
      </c>
      <c r="AZ191" s="1">
        <f t="shared" ca="1" si="178"/>
        <v>430</v>
      </c>
      <c r="BA191" s="1">
        <f t="shared" ca="1" si="179"/>
        <v>6.5782335746763145E-3</v>
      </c>
      <c r="BG191" s="1">
        <f t="shared" ca="1" si="180"/>
        <v>6.2458058632598075E-2</v>
      </c>
      <c r="BH191" s="1">
        <f t="shared" ca="1" si="181"/>
        <v>0.7454438089391302</v>
      </c>
      <c r="BI191" s="1">
        <f t="shared" ca="1" si="182"/>
        <v>134</v>
      </c>
      <c r="BV191" s="1">
        <f t="shared" ca="1" si="183"/>
        <v>0.31149544363940762</v>
      </c>
      <c r="BW191" s="1">
        <f t="shared" ca="1" si="184"/>
        <v>198</v>
      </c>
      <c r="BX191" s="1">
        <f t="shared" ca="1" si="185"/>
        <v>3.2601565843637354E-4</v>
      </c>
      <c r="BY191" s="1">
        <f t="shared" ca="1" si="186"/>
        <v>3.8735866050212932E-2</v>
      </c>
      <c r="BZ191" s="1">
        <f t="shared" ca="1" si="187"/>
        <v>0.17295081682383684</v>
      </c>
      <c r="CB191" s="1">
        <f t="shared" ca="1" si="188"/>
        <v>497</v>
      </c>
      <c r="CC191" s="1">
        <f t="shared" ca="1" si="189"/>
        <v>4</v>
      </c>
      <c r="CD191" s="1">
        <f t="shared" ca="1" si="190"/>
        <v>3.5421157832154278E-2</v>
      </c>
      <c r="CE191" s="1">
        <f t="shared" ca="1" si="209"/>
        <v>0.95797652683593992</v>
      </c>
      <c r="CF191" s="1">
        <f t="shared" ca="1" si="209"/>
        <v>0.93610301888093816</v>
      </c>
      <c r="CH191" s="3">
        <f t="shared" ca="1" si="192"/>
        <v>0.48529945445443406</v>
      </c>
      <c r="CI191" s="3">
        <f t="shared" ca="1" si="193"/>
        <v>0.44934952879037593</v>
      </c>
      <c r="CJ191" s="3">
        <f t="shared" ca="1" si="194"/>
        <v>1520</v>
      </c>
      <c r="CK191" s="3">
        <f t="shared" ca="1" si="195"/>
        <v>5.1788379299090789E-3</v>
      </c>
      <c r="CL191" s="3">
        <f t="shared" ca="1" si="196"/>
        <v>1</v>
      </c>
      <c r="CM191" s="3"/>
      <c r="CN191" s="1">
        <f t="shared" ca="1" si="197"/>
        <v>1.4319583515263772</v>
      </c>
      <c r="CO191" s="1">
        <f t="shared" ca="1" si="198"/>
        <v>3.4146834548392218E-3</v>
      </c>
      <c r="CP191" s="1">
        <f t="shared" ca="1" si="199"/>
        <v>4</v>
      </c>
      <c r="CV191" s="1">
        <f t="shared" ca="1" si="200"/>
        <v>2.1709658935533827</v>
      </c>
      <c r="CW191" s="1">
        <f t="shared" ca="1" si="201"/>
        <v>787</v>
      </c>
      <c r="CX191" s="1">
        <f t="shared" ca="1" si="202"/>
        <v>4.1120842397308968E-3</v>
      </c>
      <c r="DH191" s="1">
        <f t="shared" ca="1" si="203"/>
        <v>552</v>
      </c>
      <c r="DI191" s="1">
        <f t="shared" ca="1" si="204"/>
        <v>0.48284746361833158</v>
      </c>
      <c r="DJ191" s="1">
        <f t="shared" ca="1" si="205"/>
        <v>25</v>
      </c>
      <c r="DL191" s="1">
        <f t="shared" ca="1" si="206"/>
        <v>0.14529752593647233</v>
      </c>
      <c r="DM191" s="1">
        <f t="shared" ca="1" si="207"/>
        <v>153</v>
      </c>
      <c r="DN191" s="1">
        <f t="shared" ca="1" si="208"/>
        <v>4</v>
      </c>
    </row>
    <row r="192" spans="2:118" x14ac:dyDescent="0.25">
      <c r="B192">
        <f t="shared" ca="1" si="141"/>
        <v>161</v>
      </c>
      <c r="C192">
        <f t="shared" ca="1" si="142"/>
        <v>29</v>
      </c>
      <c r="D192">
        <f t="shared" ca="1" si="143"/>
        <v>0.19935199445240709</v>
      </c>
      <c r="F192" s="1">
        <f t="shared" ca="1" si="144"/>
        <v>7</v>
      </c>
      <c r="G192" s="1">
        <f t="shared" ca="1" si="145"/>
        <v>12</v>
      </c>
      <c r="H192" s="1">
        <f t="shared" ca="1" si="146"/>
        <v>13</v>
      </c>
      <c r="I192" s="1"/>
      <c r="J192" s="1">
        <f t="shared" ca="1" si="147"/>
        <v>21</v>
      </c>
      <c r="K192" s="1">
        <f t="shared" ca="1" si="148"/>
        <v>1.7367878600932909</v>
      </c>
      <c r="L192" s="1">
        <f t="shared" ca="1" si="149"/>
        <v>10</v>
      </c>
      <c r="M192" s="1"/>
      <c r="N192" s="1">
        <f t="shared" ca="1" si="150"/>
        <v>799</v>
      </c>
      <c r="O192" s="1">
        <f t="shared" ca="1" si="151"/>
        <v>7</v>
      </c>
      <c r="P192" s="1"/>
      <c r="Q192" s="1">
        <f t="shared" ca="1" si="152"/>
        <v>2.6078549243843261</v>
      </c>
      <c r="R192" s="1">
        <f t="shared" ca="1" si="153"/>
        <v>940</v>
      </c>
      <c r="S192" s="1"/>
      <c r="T192" s="1">
        <f t="shared" ca="1" si="154"/>
        <v>0.1204042930628485</v>
      </c>
      <c r="U192" s="1">
        <f t="shared" ca="1" si="155"/>
        <v>379</v>
      </c>
      <c r="V192" s="1">
        <f t="shared" ca="1" si="156"/>
        <v>23</v>
      </c>
      <c r="W192" s="1"/>
      <c r="X192" s="1">
        <f t="shared" ca="1" si="157"/>
        <v>8.9184577214997631</v>
      </c>
      <c r="Y192" s="1">
        <f t="shared" ca="1" si="158"/>
        <v>0.56165374154323167</v>
      </c>
      <c r="Z192" s="1">
        <f t="shared" ca="1" si="159"/>
        <v>1363</v>
      </c>
      <c r="AB192" s="1">
        <f t="shared" ca="1" si="160"/>
        <v>0.16560523786496908</v>
      </c>
      <c r="AC192" s="1">
        <f t="shared" ca="1" si="161"/>
        <v>532</v>
      </c>
      <c r="AD192" s="1">
        <f t="shared" ca="1" si="162"/>
        <v>1.1531143506862465E-3</v>
      </c>
      <c r="AE192" s="1"/>
      <c r="AF192" s="1">
        <f t="shared" ca="1" si="163"/>
        <v>0.16456569322262649</v>
      </c>
      <c r="AG192" s="1">
        <f t="shared" ca="1" si="164"/>
        <v>517</v>
      </c>
      <c r="AH192" s="1">
        <f t="shared" ca="1" si="165"/>
        <v>8.2896064949742592E-3</v>
      </c>
      <c r="AJ192" s="1">
        <f t="shared" ca="1" si="166"/>
        <v>0.48096684646051335</v>
      </c>
      <c r="AK192" s="1">
        <f t="shared" ca="1" si="167"/>
        <v>7.8033837936016988E-3</v>
      </c>
      <c r="AL192" s="1"/>
      <c r="AM192" s="1">
        <f t="shared" ca="1" si="168"/>
        <v>3.7604990146713181E-2</v>
      </c>
      <c r="AN192" s="1">
        <f t="shared" ca="1" si="169"/>
        <v>53</v>
      </c>
      <c r="AO192" s="1">
        <f t="shared" ca="1" si="170"/>
        <v>10</v>
      </c>
      <c r="AQ192" s="1">
        <f t="shared" ca="1" si="171"/>
        <v>38</v>
      </c>
      <c r="AR192" s="1">
        <f t="shared" ca="1" si="172"/>
        <v>0</v>
      </c>
      <c r="AS192" s="1">
        <f t="shared" ca="1" si="173"/>
        <v>24</v>
      </c>
      <c r="AU192" s="1">
        <f t="shared" ca="1" si="174"/>
        <v>135</v>
      </c>
      <c r="AV192" s="1">
        <f t="shared" ca="1" si="175"/>
        <v>9</v>
      </c>
      <c r="AW192" s="1">
        <f t="shared" ca="1" si="176"/>
        <v>2.3078560847046063E-2</v>
      </c>
      <c r="AY192" s="1">
        <f t="shared" ca="1" si="177"/>
        <v>1.3195438507114019</v>
      </c>
      <c r="AZ192" s="1">
        <f t="shared" ca="1" si="178"/>
        <v>497</v>
      </c>
      <c r="BA192" s="1">
        <f t="shared" ca="1" si="179"/>
        <v>6.4897342262372438E-3</v>
      </c>
      <c r="BG192" s="1">
        <f t="shared" ca="1" si="180"/>
        <v>0.94416246093076761</v>
      </c>
      <c r="BH192" s="1">
        <f t="shared" ca="1" si="181"/>
        <v>0.12338287710370122</v>
      </c>
      <c r="BI192" s="1">
        <f t="shared" ca="1" si="182"/>
        <v>601</v>
      </c>
      <c r="BV192" s="1">
        <f t="shared" ca="1" si="183"/>
        <v>3.459827111110083E-2</v>
      </c>
      <c r="BW192" s="1">
        <f t="shared" ca="1" si="184"/>
        <v>689</v>
      </c>
      <c r="BX192" s="1">
        <f t="shared" ca="1" si="185"/>
        <v>9.3895680858226138E-3</v>
      </c>
      <c r="BY192" s="1">
        <f t="shared" ca="1" si="186"/>
        <v>7.9071199866937114E-2</v>
      </c>
      <c r="BZ192" s="1">
        <f t="shared" ca="1" si="187"/>
        <v>9.5655613636049686E-2</v>
      </c>
      <c r="CB192" s="1">
        <f t="shared" ca="1" si="188"/>
        <v>476</v>
      </c>
      <c r="CC192" s="1">
        <f t="shared" ca="1" si="189"/>
        <v>10</v>
      </c>
      <c r="CD192" s="1">
        <f t="shared" ca="1" si="190"/>
        <v>0.23163179766316175</v>
      </c>
      <c r="CE192" s="1">
        <f t="shared" ca="1" si="209"/>
        <v>0.93038290107851684</v>
      </c>
      <c r="CF192" s="1">
        <f t="shared" ca="1" si="209"/>
        <v>0.9521037874213093</v>
      </c>
      <c r="CH192" s="3">
        <f t="shared" ca="1" si="192"/>
        <v>0.27588996399902238</v>
      </c>
      <c r="CI192" s="3">
        <f t="shared" ca="1" si="193"/>
        <v>0.60208647790389758</v>
      </c>
      <c r="CJ192" s="3">
        <f t="shared" ca="1" si="194"/>
        <v>1960</v>
      </c>
      <c r="CK192" s="3">
        <f t="shared" ca="1" si="195"/>
        <v>3.2112450895794204E-3</v>
      </c>
      <c r="CL192" s="3">
        <f t="shared" ca="1" si="196"/>
        <v>0</v>
      </c>
      <c r="CM192" s="3"/>
      <c r="CN192" s="1">
        <f t="shared" ca="1" si="197"/>
        <v>10.61375939781928</v>
      </c>
      <c r="CO192" s="1">
        <f t="shared" ca="1" si="198"/>
        <v>0.10404957789918276</v>
      </c>
      <c r="CP192" s="1">
        <f t="shared" ca="1" si="199"/>
        <v>2</v>
      </c>
      <c r="CV192" s="1">
        <f t="shared" ca="1" si="200"/>
        <v>3.1016733348923937</v>
      </c>
      <c r="CW192" s="1">
        <f t="shared" ca="1" si="201"/>
        <v>793</v>
      </c>
      <c r="CX192" s="1">
        <f t="shared" ca="1" si="202"/>
        <v>8.2708018847568628E-3</v>
      </c>
      <c r="DH192" s="1">
        <f t="shared" ca="1" si="203"/>
        <v>38</v>
      </c>
      <c r="DI192" s="1">
        <f t="shared" ca="1" si="204"/>
        <v>0.54094965967423236</v>
      </c>
      <c r="DJ192" s="1">
        <f t="shared" ca="1" si="205"/>
        <v>22</v>
      </c>
      <c r="DL192" s="1">
        <f t="shared" ca="1" si="206"/>
        <v>0.19199996386478324</v>
      </c>
      <c r="DM192" s="1">
        <f t="shared" ca="1" si="207"/>
        <v>115</v>
      </c>
      <c r="DN192" s="1">
        <f t="shared" ca="1" si="208"/>
        <v>3</v>
      </c>
    </row>
    <row r="193" spans="2:118" x14ac:dyDescent="0.25">
      <c r="B193">
        <f t="shared" ca="1" si="141"/>
        <v>123</v>
      </c>
      <c r="C193">
        <f t="shared" ca="1" si="142"/>
        <v>6</v>
      </c>
      <c r="D193">
        <f t="shared" ca="1" si="143"/>
        <v>5.3040111600685343E-2</v>
      </c>
      <c r="F193" s="1">
        <f t="shared" ca="1" si="144"/>
        <v>42</v>
      </c>
      <c r="G193" s="1">
        <f t="shared" ca="1" si="145"/>
        <v>19</v>
      </c>
      <c r="H193" s="1">
        <f t="shared" ca="1" si="146"/>
        <v>2</v>
      </c>
      <c r="I193" s="1"/>
      <c r="J193" s="1">
        <f t="shared" ca="1" si="147"/>
        <v>37</v>
      </c>
      <c r="K193" s="1">
        <f t="shared" ca="1" si="148"/>
        <v>2.2264917708041656</v>
      </c>
      <c r="L193" s="1">
        <f t="shared" ca="1" si="149"/>
        <v>33</v>
      </c>
      <c r="M193" s="1"/>
      <c r="N193" s="1">
        <f t="shared" ca="1" si="150"/>
        <v>859</v>
      </c>
      <c r="O193" s="1">
        <f t="shared" ca="1" si="151"/>
        <v>34</v>
      </c>
      <c r="P193" s="1"/>
      <c r="Q193" s="1">
        <f t="shared" ca="1" si="152"/>
        <v>2.1163451737926948</v>
      </c>
      <c r="R193" s="1">
        <f t="shared" ca="1" si="153"/>
        <v>214</v>
      </c>
      <c r="S193" s="1"/>
      <c r="T193" s="1">
        <f t="shared" ca="1" si="154"/>
        <v>0.14168675782395465</v>
      </c>
      <c r="U193" s="1">
        <f t="shared" ca="1" si="155"/>
        <v>154</v>
      </c>
      <c r="V193" s="1">
        <f t="shared" ca="1" si="156"/>
        <v>28</v>
      </c>
      <c r="W193" s="1"/>
      <c r="X193" s="1">
        <f t="shared" ca="1" si="157"/>
        <v>3.6285456421312476</v>
      </c>
      <c r="Y193" s="1">
        <f t="shared" ca="1" si="158"/>
        <v>0.24366675857432316</v>
      </c>
      <c r="Z193" s="1">
        <f t="shared" ca="1" si="159"/>
        <v>577</v>
      </c>
      <c r="AB193" s="1">
        <f t="shared" ca="1" si="160"/>
        <v>0.56276625049420548</v>
      </c>
      <c r="AC193" s="1">
        <f t="shared" ca="1" si="161"/>
        <v>905</v>
      </c>
      <c r="AD193" s="1">
        <f t="shared" ca="1" si="162"/>
        <v>4.3142376612349516E-3</v>
      </c>
      <c r="AE193" s="1"/>
      <c r="AF193" s="1">
        <f t="shared" ca="1" si="163"/>
        <v>0.17404277574691207</v>
      </c>
      <c r="AG193" s="1">
        <f t="shared" ca="1" si="164"/>
        <v>189</v>
      </c>
      <c r="AH193" s="1">
        <f t="shared" ca="1" si="165"/>
        <v>1.3010937344348336E-3</v>
      </c>
      <c r="AJ193" s="1">
        <f t="shared" ca="1" si="166"/>
        <v>0.70189294859822537</v>
      </c>
      <c r="AK193" s="1">
        <f t="shared" ca="1" si="167"/>
        <v>3.3992288684441782E-4</v>
      </c>
      <c r="AL193" s="1"/>
      <c r="AM193" s="1">
        <f t="shared" ca="1" si="168"/>
        <v>7.8635314914037524E-2</v>
      </c>
      <c r="AN193" s="1">
        <f t="shared" ca="1" si="169"/>
        <v>66</v>
      </c>
      <c r="AO193" s="1">
        <f t="shared" ca="1" si="170"/>
        <v>0</v>
      </c>
      <c r="AQ193" s="1">
        <f t="shared" ca="1" si="171"/>
        <v>170</v>
      </c>
      <c r="AR193" s="1">
        <f t="shared" ca="1" si="172"/>
        <v>9</v>
      </c>
      <c r="AS193" s="1">
        <f t="shared" ca="1" si="173"/>
        <v>86</v>
      </c>
      <c r="AU193" s="1">
        <f t="shared" ca="1" si="174"/>
        <v>114</v>
      </c>
      <c r="AV193" s="1">
        <f t="shared" ca="1" si="175"/>
        <v>9</v>
      </c>
      <c r="AW193" s="1">
        <f t="shared" ca="1" si="176"/>
        <v>0.10269474981961366</v>
      </c>
      <c r="AY193" s="1">
        <f t="shared" ca="1" si="177"/>
        <v>1.2024558838042847</v>
      </c>
      <c r="AZ193" s="1">
        <f t="shared" ca="1" si="178"/>
        <v>459</v>
      </c>
      <c r="BA193" s="1">
        <f t="shared" ca="1" si="179"/>
        <v>5.1089656880196532E-4</v>
      </c>
      <c r="BG193" s="1">
        <f t="shared" ca="1" si="180"/>
        <v>0.75197604530268292</v>
      </c>
      <c r="BH193" s="1">
        <f t="shared" ca="1" si="181"/>
        <v>0.95852170283901261</v>
      </c>
      <c r="BI193" s="1">
        <f t="shared" ca="1" si="182"/>
        <v>800</v>
      </c>
      <c r="BV193" s="1">
        <f t="shared" ca="1" si="183"/>
        <v>0.90164420494597397</v>
      </c>
      <c r="BW193" s="1">
        <f t="shared" ca="1" si="184"/>
        <v>623</v>
      </c>
      <c r="BX193" s="1">
        <f t="shared" ca="1" si="185"/>
        <v>2.3489655837153219E-3</v>
      </c>
      <c r="BY193" s="1">
        <f t="shared" ca="1" si="186"/>
        <v>5.2788124424935383E-3</v>
      </c>
      <c r="BZ193" s="1">
        <f t="shared" ca="1" si="187"/>
        <v>0.68794453869992556</v>
      </c>
      <c r="CB193" s="1">
        <f t="shared" ca="1" si="188"/>
        <v>190</v>
      </c>
      <c r="CC193" s="1">
        <f t="shared" ca="1" si="189"/>
        <v>15</v>
      </c>
      <c r="CD193" s="1">
        <f t="shared" ca="1" si="190"/>
        <v>7.8977039328510065E-2</v>
      </c>
      <c r="CE193" s="1">
        <f t="shared" ca="1" si="209"/>
        <v>0.76177071177388767</v>
      </c>
      <c r="CF193" s="1">
        <f t="shared" ca="1" si="209"/>
        <v>0.86406236502451361</v>
      </c>
      <c r="CH193" s="3">
        <f t="shared" ca="1" si="192"/>
        <v>0.9189922837853195</v>
      </c>
      <c r="CI193" s="3">
        <f t="shared" ca="1" si="193"/>
        <v>0.27170386019106185</v>
      </c>
      <c r="CJ193" s="3">
        <f t="shared" ca="1" si="194"/>
        <v>834</v>
      </c>
      <c r="CK193" s="3">
        <f t="shared" ca="1" si="195"/>
        <v>4.629148625017448E-3</v>
      </c>
      <c r="CL193" s="3">
        <f t="shared" ca="1" si="196"/>
        <v>1</v>
      </c>
      <c r="CM193" s="3"/>
      <c r="CN193" s="1">
        <f t="shared" ca="1" si="197"/>
        <v>11.506981866433305</v>
      </c>
      <c r="CO193" s="1">
        <f t="shared" ca="1" si="198"/>
        <v>9.6036642681631632E-2</v>
      </c>
      <c r="CP193" s="1">
        <f t="shared" ca="1" si="199"/>
        <v>2</v>
      </c>
      <c r="CV193" s="1">
        <f t="shared" ca="1" si="200"/>
        <v>7.4687043784967848</v>
      </c>
      <c r="CW193" s="1">
        <f t="shared" ca="1" si="201"/>
        <v>1396</v>
      </c>
      <c r="CX193" s="1">
        <f t="shared" ca="1" si="202"/>
        <v>3.5791942053214312E-3</v>
      </c>
      <c r="DH193" s="1">
        <f t="shared" ca="1" si="203"/>
        <v>416</v>
      </c>
      <c r="DI193" s="1">
        <f t="shared" ca="1" si="204"/>
        <v>0.89806595446161652</v>
      </c>
      <c r="DJ193" s="1">
        <f t="shared" ca="1" si="205"/>
        <v>1</v>
      </c>
      <c r="DL193" s="1">
        <f t="shared" ca="1" si="206"/>
        <v>0.10003589677484381</v>
      </c>
      <c r="DM193" s="1">
        <f t="shared" ca="1" si="207"/>
        <v>129</v>
      </c>
      <c r="DN193" s="1">
        <f t="shared" ca="1" si="208"/>
        <v>2</v>
      </c>
    </row>
    <row r="194" spans="2:118" x14ac:dyDescent="0.25">
      <c r="B194">
        <f t="shared" ca="1" si="141"/>
        <v>911</v>
      </c>
      <c r="C194">
        <f t="shared" ca="1" si="142"/>
        <v>15</v>
      </c>
      <c r="D194">
        <f t="shared" ca="1" si="143"/>
        <v>0.19545298524848051</v>
      </c>
      <c r="F194" s="1">
        <f t="shared" ca="1" si="144"/>
        <v>23</v>
      </c>
      <c r="G194" s="1">
        <f t="shared" ca="1" si="145"/>
        <v>10</v>
      </c>
      <c r="H194" s="1">
        <f t="shared" ca="1" si="146"/>
        <v>2</v>
      </c>
      <c r="I194" s="1"/>
      <c r="J194" s="1">
        <f t="shared" ca="1" si="147"/>
        <v>12</v>
      </c>
      <c r="K194" s="1">
        <f t="shared" ca="1" si="148"/>
        <v>1.6300931134504468</v>
      </c>
      <c r="L194" s="1">
        <f t="shared" ca="1" si="149"/>
        <v>7</v>
      </c>
      <c r="M194" s="1"/>
      <c r="N194" s="1">
        <f t="shared" ca="1" si="150"/>
        <v>741</v>
      </c>
      <c r="O194" s="1">
        <f t="shared" ca="1" si="151"/>
        <v>46</v>
      </c>
      <c r="P194" s="1"/>
      <c r="Q194" s="1">
        <f t="shared" ca="1" si="152"/>
        <v>1.9123500236373816</v>
      </c>
      <c r="R194" s="1">
        <f t="shared" ca="1" si="153"/>
        <v>776</v>
      </c>
      <c r="S194" s="1"/>
      <c r="T194" s="1">
        <f t="shared" ca="1" si="154"/>
        <v>0.17414327001433055</v>
      </c>
      <c r="U194" s="1">
        <f t="shared" ca="1" si="155"/>
        <v>185</v>
      </c>
      <c r="V194" s="1">
        <f t="shared" ca="1" si="156"/>
        <v>12</v>
      </c>
      <c r="W194" s="1"/>
      <c r="X194" s="1">
        <f t="shared" ca="1" si="157"/>
        <v>4.3287307871009091</v>
      </c>
      <c r="Y194" s="1">
        <f t="shared" ca="1" si="158"/>
        <v>0.44855444456685867</v>
      </c>
      <c r="Z194" s="1">
        <f t="shared" ca="1" si="159"/>
        <v>756</v>
      </c>
      <c r="AB194" s="1">
        <f t="shared" ca="1" si="160"/>
        <v>0.8679059676598514</v>
      </c>
      <c r="AC194" s="1">
        <f t="shared" ca="1" si="161"/>
        <v>402</v>
      </c>
      <c r="AD194" s="1">
        <f t="shared" ca="1" si="162"/>
        <v>4.8149694438142107E-3</v>
      </c>
      <c r="AE194" s="1"/>
      <c r="AF194" s="1">
        <f t="shared" ca="1" si="163"/>
        <v>0.26775880533053209</v>
      </c>
      <c r="AG194" s="1">
        <f t="shared" ca="1" si="164"/>
        <v>903</v>
      </c>
      <c r="AH194" s="1">
        <f t="shared" ca="1" si="165"/>
        <v>9.2504534162357981E-3</v>
      </c>
      <c r="AJ194" s="1">
        <f t="shared" ca="1" si="166"/>
        <v>0.15494545832920936</v>
      </c>
      <c r="AK194" s="1">
        <f t="shared" ca="1" si="167"/>
        <v>3.5867915044209666E-3</v>
      </c>
      <c r="AL194" s="1"/>
      <c r="AM194" s="1">
        <f t="shared" ca="1" si="168"/>
        <v>0.17817721073091866</v>
      </c>
      <c r="AN194" s="1">
        <f t="shared" ca="1" si="169"/>
        <v>43</v>
      </c>
      <c r="AO194" s="1">
        <f t="shared" ca="1" si="170"/>
        <v>9</v>
      </c>
      <c r="AQ194" s="1">
        <f t="shared" ca="1" si="171"/>
        <v>160</v>
      </c>
      <c r="AR194" s="1">
        <f t="shared" ca="1" si="172"/>
        <v>4</v>
      </c>
      <c r="AS194" s="1">
        <f t="shared" ca="1" si="173"/>
        <v>60</v>
      </c>
      <c r="AU194" s="1">
        <f t="shared" ca="1" si="174"/>
        <v>212</v>
      </c>
      <c r="AV194" s="1">
        <f t="shared" ca="1" si="175"/>
        <v>5</v>
      </c>
      <c r="AW194" s="1">
        <f t="shared" ca="1" si="176"/>
        <v>1.2711300104252046E-2</v>
      </c>
      <c r="AY194" s="1">
        <f t="shared" ca="1" si="177"/>
        <v>1.817095499713671</v>
      </c>
      <c r="AZ194" s="1">
        <f t="shared" ca="1" si="178"/>
        <v>130</v>
      </c>
      <c r="BA194" s="1">
        <f t="shared" ca="1" si="179"/>
        <v>6.0843335667359767E-3</v>
      </c>
      <c r="BG194" s="1">
        <f t="shared" ca="1" si="180"/>
        <v>0.2702008767293263</v>
      </c>
      <c r="BH194" s="1">
        <f t="shared" ca="1" si="181"/>
        <v>0.36980446284706103</v>
      </c>
      <c r="BI194" s="1">
        <f t="shared" ca="1" si="182"/>
        <v>148</v>
      </c>
      <c r="BV194" s="1">
        <f t="shared" ca="1" si="183"/>
        <v>0.33789868010270357</v>
      </c>
      <c r="BW194" s="1">
        <f t="shared" ca="1" si="184"/>
        <v>617</v>
      </c>
      <c r="BX194" s="1">
        <f t="shared" ca="1" si="185"/>
        <v>4.7580403858826963E-3</v>
      </c>
      <c r="BY194" s="1">
        <f t="shared" ca="1" si="186"/>
        <v>1.6322983795350361E-2</v>
      </c>
      <c r="BZ194" s="1">
        <f t="shared" ca="1" si="187"/>
        <v>0.82256111071892468</v>
      </c>
      <c r="CB194" s="1">
        <f t="shared" ca="1" si="188"/>
        <v>105</v>
      </c>
      <c r="CC194" s="1">
        <f t="shared" ca="1" si="189"/>
        <v>9</v>
      </c>
      <c r="CD194" s="1">
        <f t="shared" ca="1" si="190"/>
        <v>0.26684114450044916</v>
      </c>
      <c r="CE194" s="1">
        <f t="shared" ca="1" si="209"/>
        <v>0.76131047593457257</v>
      </c>
      <c r="CF194" s="1">
        <f t="shared" ca="1" si="209"/>
        <v>0.87694748095255104</v>
      </c>
      <c r="CH194" s="3">
        <f t="shared" ca="1" si="192"/>
        <v>0.55114729773230864</v>
      </c>
      <c r="CI194" s="3">
        <f t="shared" ca="1" si="193"/>
        <v>0.19495533723880978</v>
      </c>
      <c r="CJ194" s="3">
        <f t="shared" ca="1" si="194"/>
        <v>1163</v>
      </c>
      <c r="CK194" s="3">
        <f t="shared" ca="1" si="195"/>
        <v>5.0296126597445326E-3</v>
      </c>
      <c r="CL194" s="3">
        <f t="shared" ca="1" si="196"/>
        <v>1</v>
      </c>
      <c r="CM194" s="3"/>
      <c r="CN194" s="1">
        <f t="shared" ca="1" si="197"/>
        <v>12.020739736448556</v>
      </c>
      <c r="CO194" s="1">
        <f t="shared" ca="1" si="198"/>
        <v>0.42904584065867019</v>
      </c>
      <c r="CP194" s="1">
        <f t="shared" ca="1" si="199"/>
        <v>3</v>
      </c>
      <c r="CV194" s="1">
        <f t="shared" ca="1" si="200"/>
        <v>1.6190811945389774</v>
      </c>
      <c r="CW194" s="1">
        <f t="shared" ca="1" si="201"/>
        <v>459</v>
      </c>
      <c r="CX194" s="1">
        <f t="shared" ca="1" si="202"/>
        <v>1.9297935378463822E-3</v>
      </c>
      <c r="DH194" s="1">
        <f t="shared" ca="1" si="203"/>
        <v>434</v>
      </c>
      <c r="DI194" s="1">
        <f t="shared" ca="1" si="204"/>
        <v>0.76430750276200377</v>
      </c>
      <c r="DJ194" s="1">
        <f t="shared" ca="1" si="205"/>
        <v>3</v>
      </c>
      <c r="DL194" s="1">
        <f t="shared" ca="1" si="206"/>
        <v>0.14259665459347121</v>
      </c>
      <c r="DM194" s="1">
        <f t="shared" ca="1" si="207"/>
        <v>297</v>
      </c>
      <c r="DN194" s="1">
        <f t="shared" ca="1" si="208"/>
        <v>4</v>
      </c>
    </row>
    <row r="195" spans="2:118" x14ac:dyDescent="0.25">
      <c r="B195">
        <f t="shared" ca="1" si="141"/>
        <v>854</v>
      </c>
      <c r="C195">
        <f t="shared" ca="1" si="142"/>
        <v>3</v>
      </c>
      <c r="D195">
        <f t="shared" ca="1" si="143"/>
        <v>3.5463018968406902E-2</v>
      </c>
      <c r="F195" s="1">
        <f t="shared" ca="1" si="144"/>
        <v>48</v>
      </c>
      <c r="G195" s="1">
        <f t="shared" ca="1" si="145"/>
        <v>26</v>
      </c>
      <c r="H195" s="1">
        <f t="shared" ca="1" si="146"/>
        <v>4</v>
      </c>
      <c r="I195" s="1"/>
      <c r="J195" s="1">
        <f t="shared" ca="1" si="147"/>
        <v>32</v>
      </c>
      <c r="K195" s="1">
        <f t="shared" ca="1" si="148"/>
        <v>2.2549044314169735</v>
      </c>
      <c r="L195" s="1">
        <f t="shared" ca="1" si="149"/>
        <v>21</v>
      </c>
      <c r="M195" s="1"/>
      <c r="N195" s="1">
        <f t="shared" ca="1" si="150"/>
        <v>606</v>
      </c>
      <c r="O195" s="1">
        <f t="shared" ca="1" si="151"/>
        <v>52</v>
      </c>
      <c r="P195" s="1"/>
      <c r="Q195" s="1">
        <f t="shared" ca="1" si="152"/>
        <v>1.0978465030126603</v>
      </c>
      <c r="R195" s="1">
        <f t="shared" ca="1" si="153"/>
        <v>478</v>
      </c>
      <c r="S195" s="1"/>
      <c r="T195" s="1">
        <f t="shared" ca="1" si="154"/>
        <v>0.11851620493768265</v>
      </c>
      <c r="U195" s="1">
        <f t="shared" ca="1" si="155"/>
        <v>76</v>
      </c>
      <c r="V195" s="1">
        <f t="shared" ca="1" si="156"/>
        <v>38</v>
      </c>
      <c r="W195" s="1"/>
      <c r="X195" s="1">
        <f t="shared" ca="1" si="157"/>
        <v>7.1741037406391506</v>
      </c>
      <c r="Y195" s="1">
        <f t="shared" ca="1" si="158"/>
        <v>1.2332158117563942E-2</v>
      </c>
      <c r="Z195" s="1">
        <f t="shared" ca="1" si="159"/>
        <v>491</v>
      </c>
      <c r="AB195" s="1">
        <f t="shared" ca="1" si="160"/>
        <v>0.16986229348283671</v>
      </c>
      <c r="AC195" s="1">
        <f t="shared" ca="1" si="161"/>
        <v>548</v>
      </c>
      <c r="AD195" s="1">
        <f t="shared" ca="1" si="162"/>
        <v>9.7805049591602691E-5</v>
      </c>
      <c r="AE195" s="1"/>
      <c r="AF195" s="1">
        <f t="shared" ca="1" si="163"/>
        <v>0.85647359378118437</v>
      </c>
      <c r="AG195" s="1">
        <f t="shared" ca="1" si="164"/>
        <v>798</v>
      </c>
      <c r="AH195" s="1">
        <f t="shared" ca="1" si="165"/>
        <v>3.044142213879056E-4</v>
      </c>
      <c r="AJ195" s="1">
        <f t="shared" ca="1" si="166"/>
        <v>0.87051186268794967</v>
      </c>
      <c r="AK195" s="1">
        <f t="shared" ca="1" si="167"/>
        <v>6.5164404613264042E-3</v>
      </c>
      <c r="AL195" s="1"/>
      <c r="AM195" s="1">
        <f t="shared" ca="1" si="168"/>
        <v>0.11886269942471779</v>
      </c>
      <c r="AN195" s="1">
        <f t="shared" ca="1" si="169"/>
        <v>71</v>
      </c>
      <c r="AO195" s="1">
        <f t="shared" ca="1" si="170"/>
        <v>16</v>
      </c>
      <c r="AQ195" s="1">
        <f t="shared" ca="1" si="171"/>
        <v>130</v>
      </c>
      <c r="AR195" s="1">
        <f t="shared" ca="1" si="172"/>
        <v>6</v>
      </c>
      <c r="AS195" s="1">
        <f t="shared" ca="1" si="173"/>
        <v>80</v>
      </c>
      <c r="AU195" s="1">
        <f t="shared" ca="1" si="174"/>
        <v>114</v>
      </c>
      <c r="AV195" s="1">
        <f t="shared" ca="1" si="175"/>
        <v>3</v>
      </c>
      <c r="AW195" s="1">
        <f t="shared" ca="1" si="176"/>
        <v>0.18454953907766758</v>
      </c>
      <c r="AY195" s="1">
        <f t="shared" ca="1" si="177"/>
        <v>1.6108043995308852</v>
      </c>
      <c r="AZ195" s="1">
        <f t="shared" ca="1" si="178"/>
        <v>315</v>
      </c>
      <c r="BA195" s="1">
        <f t="shared" ca="1" si="179"/>
        <v>6.8352220194546794E-3</v>
      </c>
      <c r="BG195" s="1">
        <f t="shared" ca="1" si="180"/>
        <v>0.68165518698251193</v>
      </c>
      <c r="BH195" s="1">
        <f t="shared" ca="1" si="181"/>
        <v>0.17262303004797408</v>
      </c>
      <c r="BI195" s="1">
        <f t="shared" ca="1" si="182"/>
        <v>975</v>
      </c>
      <c r="BV195" s="1">
        <f t="shared" ca="1" si="183"/>
        <v>0.21556087336946905</v>
      </c>
      <c r="BW195" s="1">
        <f t="shared" ca="1" si="184"/>
        <v>576</v>
      </c>
      <c r="BX195" s="1">
        <f t="shared" ca="1" si="185"/>
        <v>1.3249714981749294E-3</v>
      </c>
      <c r="BY195" s="1">
        <f t="shared" ca="1" si="186"/>
        <v>7.8497023003678293E-2</v>
      </c>
      <c r="BZ195" s="1">
        <f t="shared" ca="1" si="187"/>
        <v>0.58208808892725972</v>
      </c>
      <c r="CB195" s="1">
        <f t="shared" ca="1" si="188"/>
        <v>276</v>
      </c>
      <c r="CC195" s="1">
        <f t="shared" ca="1" si="189"/>
        <v>6</v>
      </c>
      <c r="CD195" s="1">
        <f t="shared" ca="1" si="190"/>
        <v>0.22058481509142014</v>
      </c>
      <c r="CE195" s="1">
        <f t="shared" ca="1" si="209"/>
        <v>0.50234617917310409</v>
      </c>
      <c r="CF195" s="1">
        <f t="shared" ca="1" si="209"/>
        <v>0.92809410112483282</v>
      </c>
      <c r="CH195" s="3">
        <f t="shared" ca="1" si="192"/>
        <v>7.0143384006902607E-2</v>
      </c>
      <c r="CI195" s="3">
        <f t="shared" ca="1" si="193"/>
        <v>0.89198766980175714</v>
      </c>
      <c r="CJ195" s="3">
        <f t="shared" ca="1" si="194"/>
        <v>1530</v>
      </c>
      <c r="CK195" s="3">
        <f t="shared" ca="1" si="195"/>
        <v>2.1282818262731225E-3</v>
      </c>
      <c r="CL195" s="3">
        <f t="shared" ca="1" si="196"/>
        <v>0</v>
      </c>
      <c r="CM195" s="3"/>
      <c r="CN195" s="1">
        <f t="shared" ca="1" si="197"/>
        <v>13.249062392498878</v>
      </c>
      <c r="CO195" s="1">
        <f t="shared" ca="1" si="198"/>
        <v>0.40361591211214637</v>
      </c>
      <c r="CP195" s="1">
        <f t="shared" ca="1" si="199"/>
        <v>4</v>
      </c>
      <c r="CV195" s="1">
        <f t="shared" ca="1" si="200"/>
        <v>9.7232631745456342</v>
      </c>
      <c r="CW195" s="1">
        <f t="shared" ca="1" si="201"/>
        <v>821</v>
      </c>
      <c r="CX195" s="1">
        <f t="shared" ca="1" si="202"/>
        <v>9.5421278654081992E-3</v>
      </c>
      <c r="DH195" s="1">
        <f t="shared" ca="1" si="203"/>
        <v>554</v>
      </c>
      <c r="DI195" s="1">
        <f t="shared" ca="1" si="204"/>
        <v>0.9067174169120763</v>
      </c>
      <c r="DJ195" s="1">
        <f t="shared" ca="1" si="205"/>
        <v>29</v>
      </c>
      <c r="DL195" s="1">
        <f t="shared" ca="1" si="206"/>
        <v>0.11540343732847071</v>
      </c>
      <c r="DM195" s="1">
        <f t="shared" ca="1" si="207"/>
        <v>163</v>
      </c>
      <c r="DN195" s="1">
        <f t="shared" ca="1" si="208"/>
        <v>6</v>
      </c>
    </row>
    <row r="196" spans="2:118" x14ac:dyDescent="0.25">
      <c r="B196">
        <f t="shared" ref="B196:B202" ca="1" si="210">RANDBETWEEN(15,1000)</f>
        <v>856</v>
      </c>
      <c r="C196">
        <f t="shared" ref="C196:C202" ca="1" si="211">RANDBETWEEN(2,52)</f>
        <v>46</v>
      </c>
      <c r="D196">
        <f t="shared" ref="D196:D202" ca="1" si="212">RAND()*(0.3-0.01)+0.01</f>
        <v>0.22278337048825955</v>
      </c>
      <c r="F196" s="1">
        <f t="shared" ref="F196:F202" ca="1" si="213">RANDBETWEEN(2,52)</f>
        <v>29</v>
      </c>
      <c r="G196" s="1">
        <f t="shared" ref="G196:G202" ca="1" si="214">RANDBETWEEN(2,30)</f>
        <v>21</v>
      </c>
      <c r="H196" s="1">
        <f t="shared" ref="H196:H202" ca="1" si="215">RANDBETWEEN(1,15)</f>
        <v>10</v>
      </c>
      <c r="I196" s="1"/>
      <c r="J196" s="1">
        <f t="shared" ref="J196:J202" ca="1" si="216">RANDBETWEEN(1,39)</f>
        <v>29</v>
      </c>
      <c r="K196" s="1">
        <f t="shared" ref="K196:K202" ca="1" si="217">RAND()*(3-1)+1</f>
        <v>1.0372051648149068</v>
      </c>
      <c r="L196" s="1">
        <f t="shared" ref="L196:L202" ca="1" si="218">RANDBETWEEN(2,35)</f>
        <v>21</v>
      </c>
      <c r="M196" s="1"/>
      <c r="N196" s="1">
        <f t="shared" ref="N196:N202" ca="1" si="219">RANDBETWEEN(15,1000)</f>
        <v>639</v>
      </c>
      <c r="O196" s="1">
        <f t="shared" ref="O196:O202" ca="1" si="220">RANDBETWEEN(2,52)</f>
        <v>11</v>
      </c>
      <c r="P196" s="1"/>
      <c r="Q196" s="1">
        <f t="shared" ref="Q196:Q202" ca="1" si="221">RAND()*(5-0.01)+0.01</f>
        <v>3.1957241662705234</v>
      </c>
      <c r="R196" s="1">
        <f t="shared" ref="R196:R202" ca="1" si="222">RANDBETWEEN(200,1200)</f>
        <v>356</v>
      </c>
      <c r="S196" s="1"/>
      <c r="T196" s="1">
        <f t="shared" ref="T196:T202" ca="1" si="223">RAND()*(0.2-0.01)+0.01</f>
        <v>0.17558937481866962</v>
      </c>
      <c r="U196" s="1">
        <f t="shared" ref="U196:U202" ca="1" si="224">RANDBETWEEN(50,450)</f>
        <v>147</v>
      </c>
      <c r="V196" s="1">
        <f t="shared" ref="V196:V202" ca="1" si="225">RANDBETWEEN(2,52)</f>
        <v>43</v>
      </c>
      <c r="W196" s="1"/>
      <c r="X196" s="1">
        <f t="shared" ref="X196:X202" ca="1" si="226">RAND()*(10-0.01)+0.01</f>
        <v>9.08562061052214</v>
      </c>
      <c r="Y196" s="1">
        <f t="shared" ref="Y196:Y202" ca="1" si="227">RAND()*(1-0.0001)+0.0001</f>
        <v>0.99090137755788232</v>
      </c>
      <c r="Z196" s="1">
        <f t="shared" ref="Z196:Z202" ca="1" si="228">RANDBETWEEN(100,2000)</f>
        <v>707</v>
      </c>
      <c r="AB196" s="1">
        <f t="shared" ref="AB196:AB202" ca="1" si="229">RAND()*(1-0.0001)+0.0001</f>
        <v>0.70242508216139699</v>
      </c>
      <c r="AC196" s="1">
        <f t="shared" ref="AC196:AC202" ca="1" si="230">RANDBETWEEN(100,1000)</f>
        <v>555</v>
      </c>
      <c r="AD196" s="1">
        <f t="shared" ref="AD196:AD202" ca="1" si="231">RAND()*(0.01-0.00001)+0.00001</f>
        <v>9.4954430800981756E-3</v>
      </c>
      <c r="AE196" s="1"/>
      <c r="AF196" s="1">
        <f t="shared" ref="AF196:AF202" ca="1" si="232">RAND()*(0.9-0.1)+0.1</f>
        <v>0.62778843508830073</v>
      </c>
      <c r="AG196" s="1">
        <f t="shared" ref="AG196:AG202" ca="1" si="233">RANDBETWEEN(100,1000)</f>
        <v>128</v>
      </c>
      <c r="AH196" s="1">
        <f t="shared" ref="AH196:AH202" ca="1" si="234">RAND()*(0.01-0.00001)+0.00001</f>
        <v>4.8885224902187104E-3</v>
      </c>
      <c r="AJ196" s="1">
        <f t="shared" ref="AJ196:AJ202" ca="1" si="235">RAND()*(1-0)+0</f>
        <v>7.7442995617712618E-2</v>
      </c>
      <c r="AK196" s="1">
        <f t="shared" ref="AK196:AK202" ca="1" si="236">RAND()*(0.01-0.00001)+0.00001</f>
        <v>9.3331090479842286E-3</v>
      </c>
      <c r="AL196" s="1"/>
      <c r="AM196" s="1">
        <f t="shared" ref="AM196:AM202" ca="1" si="237">RAND()*(0.2-0.005)+0.005</f>
        <v>9.6666906291906163E-2</v>
      </c>
      <c r="AN196" s="1">
        <f t="shared" ref="AN196:AN202" ca="1" si="238">RANDBETWEEN(10,80)</f>
        <v>24</v>
      </c>
      <c r="AO196" s="1">
        <f t="shared" ref="AO196:AO202" ca="1" si="239">RANDBETWEEN(-1,20)</f>
        <v>18</v>
      </c>
      <c r="AQ196" s="1">
        <f t="shared" ref="AQ196:AQ202" ca="1" si="240">RANDBETWEEN(10,200)</f>
        <v>171</v>
      </c>
      <c r="AR196" s="1">
        <f t="shared" ref="AR196:AR202" ca="1" si="241">RANDBETWEEN(0,10)</f>
        <v>3</v>
      </c>
      <c r="AS196" s="1">
        <f t="shared" ref="AS196:AS202" ca="1" si="242">RANDBETWEEN(1,100)</f>
        <v>81</v>
      </c>
      <c r="AU196" s="1">
        <f t="shared" ref="AU196:AU202" ca="1" si="243">RANDBETWEEN(50,400)</f>
        <v>167</v>
      </c>
      <c r="AV196" s="1">
        <f t="shared" ref="AV196:AV202" ca="1" si="244">RANDBETWEEN(2,10)</f>
        <v>6</v>
      </c>
      <c r="AW196" s="1">
        <f t="shared" ref="AW196:AW202" ca="1" si="245">RAND()*(0.2-0.01)+0.01</f>
        <v>0.11415688925142306</v>
      </c>
      <c r="AY196" s="1">
        <f t="shared" ref="AY196:AY202" ca="1" si="246">RAND()*(2-1.1)+1.1</f>
        <v>1.3884082413168128</v>
      </c>
      <c r="AZ196" s="1">
        <f t="shared" ref="AZ196:AZ202" ca="1" si="247">RANDBETWEEN(50,500)</f>
        <v>160</v>
      </c>
      <c r="BA196" s="1">
        <f t="shared" ref="BA196:BA202" ca="1" si="248">RAND()*(0.01-0.00001)+0.00001</f>
        <v>4.1015418768797626E-3</v>
      </c>
      <c r="BG196" s="1">
        <f t="shared" ref="BG196:BG202" ca="1" si="249">RAND()*(1-0.0001)+0.0001</f>
        <v>0.9325131385834855</v>
      </c>
      <c r="BH196" s="1">
        <f t="shared" ref="BH196:BH202" ca="1" si="250">RAND()*(1-0)+0</f>
        <v>0.98195559836827462</v>
      </c>
      <c r="BI196" s="1">
        <f t="shared" ref="BI196:BI202" ca="1" si="251">RANDBETWEEN(100,1000)</f>
        <v>415</v>
      </c>
      <c r="BV196" s="1">
        <f t="shared" ref="BV196:BV202" ca="1" si="252">RAND()*(1-0.0001)+0.0001</f>
        <v>0.30501079212581728</v>
      </c>
      <c r="BW196" s="1">
        <f t="shared" ref="BW196:BW202" ca="1" si="253">RANDBETWEEN(100,1000)</f>
        <v>448</v>
      </c>
      <c r="BX196" s="1">
        <f t="shared" ref="BX196:BX202" ca="1" si="254">RAND()*(0.01-0.00001)+0.00001</f>
        <v>6.8411709353880046E-3</v>
      </c>
      <c r="BY196" s="1">
        <f t="shared" ref="BY196:BY202" ca="1" si="255">RAND()*(0.1-0.0001)+0.0001</f>
        <v>7.2978200365193313E-2</v>
      </c>
      <c r="BZ196" s="1">
        <f t="shared" ref="BZ196:BZ202" ca="1" si="256">RAND()*(1-0)+0</f>
        <v>0.18318161261039489</v>
      </c>
      <c r="CB196" s="1">
        <f t="shared" ref="CB196:CB202" ca="1" si="257">RANDBETWEEN(50,500)</f>
        <v>351</v>
      </c>
      <c r="CC196" s="1">
        <f t="shared" ref="CC196:CC202" ca="1" si="258">RANDBETWEEN(3,15)</f>
        <v>8</v>
      </c>
      <c r="CD196" s="1">
        <f t="shared" ref="CD196:CD202" ca="1" si="259">RAND()*(0.3-0.01)+0.01</f>
        <v>0.28446907205065303</v>
      </c>
      <c r="CE196" s="1">
        <f t="shared" ca="1" si="209"/>
        <v>0.57709878038443363</v>
      </c>
      <c r="CF196" s="1">
        <f t="shared" ca="1" si="209"/>
        <v>0.75016648948219578</v>
      </c>
      <c r="CH196" s="3">
        <f t="shared" ref="CH196:CH202" ca="1" si="260">RAND()*(1-0.0001)+0.0001</f>
        <v>0.72726944294021278</v>
      </c>
      <c r="CI196" s="3">
        <f t="shared" ref="CI196:CI202" ca="1" si="261">RAND()*(0.99-0.01)+0.01</f>
        <v>1.4533769907330994E-2</v>
      </c>
      <c r="CJ196" s="3">
        <f t="shared" ref="CJ196:CJ202" ca="1" si="262">RANDBETWEEN(100,2000)</f>
        <v>1702</v>
      </c>
      <c r="CK196" s="3">
        <f t="shared" ref="CK196:CK202" ca="1" si="263">RAND()*(0.01-0.000001)+0.000001</f>
        <v>8.6459139616701687E-3</v>
      </c>
      <c r="CL196" s="3">
        <f t="shared" ref="CL196:CL202" ca="1" si="264">RANDBETWEEN(0,1)</f>
        <v>0</v>
      </c>
      <c r="CM196" s="3"/>
      <c r="CN196" s="1">
        <f t="shared" ref="CN196:CN202" ca="1" si="265">RAND()*(20-0.1)+0.1</f>
        <v>14.048430908633547</v>
      </c>
      <c r="CO196" s="1">
        <f t="shared" ref="CO196:CO202" ca="1" si="266">RAND()*(0.5-0.001)+0.001</f>
        <v>0.32832927863739381</v>
      </c>
      <c r="CP196" s="1">
        <f t="shared" ref="CP196:CP202" ca="1" si="267">RANDBETWEEN(1,5)</f>
        <v>3</v>
      </c>
      <c r="CV196" s="1">
        <f t="shared" ref="CV196:CV202" ca="1" si="268">RAND()*(10-0.0001)+0.0001</f>
        <v>8.2635244252703046</v>
      </c>
      <c r="CW196" s="1">
        <f t="shared" ref="CW196:CW202" ca="1" si="269">RANDBETWEEN(100,2000)</f>
        <v>424</v>
      </c>
      <c r="CX196" s="1">
        <f t="shared" ref="CX196:CX202" ca="1" si="270">RAND()*(0.01-0.000001)+0.000001</f>
        <v>7.9761918956864908E-3</v>
      </c>
      <c r="DH196" s="1">
        <f t="shared" ref="DH196:DH202" ca="1" si="271">RANDBETWEEN(10,900)</f>
        <v>860</v>
      </c>
      <c r="DI196" s="1">
        <f t="shared" ref="DI196:DI202" ca="1" si="272">RAND()*(1-0.001)+0.001</f>
        <v>0.87841531210225698</v>
      </c>
      <c r="DJ196" s="1">
        <f t="shared" ref="DJ196:DJ202" ca="1" si="273">RANDBETWEEN(1,30)</f>
        <v>3</v>
      </c>
      <c r="DL196" s="1">
        <f t="shared" ref="DL196:DL202" ca="1" si="274">RAND()*(0.2-0.01)+0.01</f>
        <v>3.4738326161303505E-2</v>
      </c>
      <c r="DM196" s="1">
        <f t="shared" ref="DM196:DM202" ca="1" si="275">RANDBETWEEN(50,300)</f>
        <v>194</v>
      </c>
      <c r="DN196" s="1">
        <f t="shared" ref="DN196:DN202" ca="1" si="276">RANDBETWEEN(1,10)</f>
        <v>7</v>
      </c>
    </row>
    <row r="197" spans="2:118" x14ac:dyDescent="0.25">
      <c r="B197">
        <f t="shared" ca="1" si="210"/>
        <v>624</v>
      </c>
      <c r="C197">
        <f t="shared" ca="1" si="211"/>
        <v>31</v>
      </c>
      <c r="D197">
        <f t="shared" ca="1" si="212"/>
        <v>0.126890399940712</v>
      </c>
      <c r="F197" s="1">
        <f t="shared" ca="1" si="213"/>
        <v>36</v>
      </c>
      <c r="G197" s="1">
        <f t="shared" ca="1" si="214"/>
        <v>24</v>
      </c>
      <c r="H197" s="1">
        <f t="shared" ca="1" si="215"/>
        <v>12</v>
      </c>
      <c r="I197" s="1"/>
      <c r="J197" s="1">
        <f t="shared" ca="1" si="216"/>
        <v>2</v>
      </c>
      <c r="K197" s="1">
        <f t="shared" ca="1" si="217"/>
        <v>1.4304453088543314</v>
      </c>
      <c r="L197" s="1">
        <f t="shared" ca="1" si="218"/>
        <v>2</v>
      </c>
      <c r="M197" s="1"/>
      <c r="N197" s="1">
        <f t="shared" ca="1" si="219"/>
        <v>498</v>
      </c>
      <c r="O197" s="1">
        <f t="shared" ca="1" si="220"/>
        <v>39</v>
      </c>
      <c r="P197" s="1"/>
      <c r="Q197" s="1">
        <f t="shared" ca="1" si="221"/>
        <v>5.0236697239763872E-2</v>
      </c>
      <c r="R197" s="1">
        <f t="shared" ca="1" si="222"/>
        <v>847</v>
      </c>
      <c r="S197" s="1"/>
      <c r="T197" s="1">
        <f t="shared" ca="1" si="223"/>
        <v>4.7533379449365462E-2</v>
      </c>
      <c r="U197" s="1">
        <f t="shared" ca="1" si="224"/>
        <v>80</v>
      </c>
      <c r="V197" s="1">
        <f t="shared" ca="1" si="225"/>
        <v>38</v>
      </c>
      <c r="W197" s="1"/>
      <c r="X197" s="1">
        <f t="shared" ca="1" si="226"/>
        <v>1.130453582661646</v>
      </c>
      <c r="Y197" s="1">
        <f t="shared" ca="1" si="227"/>
        <v>0.5006293476158461</v>
      </c>
      <c r="Z197" s="1">
        <f t="shared" ca="1" si="228"/>
        <v>1593</v>
      </c>
      <c r="AB197" s="1">
        <f t="shared" ca="1" si="229"/>
        <v>0.43043341936902868</v>
      </c>
      <c r="AC197" s="1">
        <f t="shared" ca="1" si="230"/>
        <v>872</v>
      </c>
      <c r="AD197" s="1">
        <f t="shared" ca="1" si="231"/>
        <v>5.7604958193732908E-4</v>
      </c>
      <c r="AE197" s="1"/>
      <c r="AF197" s="1">
        <f t="shared" ca="1" si="232"/>
        <v>0.7234016985856313</v>
      </c>
      <c r="AG197" s="1">
        <f t="shared" ca="1" si="233"/>
        <v>340</v>
      </c>
      <c r="AH197" s="1">
        <f t="shared" ca="1" si="234"/>
        <v>6.6641408054028744E-3</v>
      </c>
      <c r="AJ197" s="1">
        <f t="shared" ca="1" si="235"/>
        <v>0.17225088745860162</v>
      </c>
      <c r="AK197" s="1">
        <f t="shared" ca="1" si="236"/>
        <v>2.4819891983614926E-3</v>
      </c>
      <c r="AL197" s="1"/>
      <c r="AM197" s="1">
        <f t="shared" ca="1" si="237"/>
        <v>0.15166312338762858</v>
      </c>
      <c r="AN197" s="1">
        <f t="shared" ca="1" si="238"/>
        <v>53</v>
      </c>
      <c r="AO197" s="1">
        <f t="shared" ca="1" si="239"/>
        <v>19</v>
      </c>
      <c r="AQ197" s="1">
        <f t="shared" ca="1" si="240"/>
        <v>140</v>
      </c>
      <c r="AR197" s="1">
        <f t="shared" ca="1" si="241"/>
        <v>8</v>
      </c>
      <c r="AS197" s="1">
        <f t="shared" ca="1" si="242"/>
        <v>50</v>
      </c>
      <c r="AU197" s="1">
        <f t="shared" ca="1" si="243"/>
        <v>196</v>
      </c>
      <c r="AV197" s="1">
        <f t="shared" ca="1" si="244"/>
        <v>9</v>
      </c>
      <c r="AW197" s="1">
        <f t="shared" ca="1" si="245"/>
        <v>2.8469373624037661E-2</v>
      </c>
      <c r="AY197" s="1">
        <f t="shared" ca="1" si="246"/>
        <v>1.2223273504842427</v>
      </c>
      <c r="AZ197" s="1">
        <f t="shared" ca="1" si="247"/>
        <v>282</v>
      </c>
      <c r="BA197" s="1">
        <f t="shared" ca="1" si="248"/>
        <v>7.0526573390474485E-3</v>
      </c>
      <c r="BG197" s="1">
        <f t="shared" ca="1" si="249"/>
        <v>0.9349063024486346</v>
      </c>
      <c r="BH197" s="1">
        <f t="shared" ca="1" si="250"/>
        <v>0.87019898726238332</v>
      </c>
      <c r="BI197" s="1">
        <f t="shared" ca="1" si="251"/>
        <v>499</v>
      </c>
      <c r="BV197" s="1">
        <f t="shared" ca="1" si="252"/>
        <v>0.60310176170609764</v>
      </c>
      <c r="BW197" s="1">
        <f t="shared" ca="1" si="253"/>
        <v>342</v>
      </c>
      <c r="BX197" s="1">
        <f t="shared" ca="1" si="254"/>
        <v>9.4865568998704435E-4</v>
      </c>
      <c r="BY197" s="1">
        <f t="shared" ca="1" si="255"/>
        <v>2.5459603000270243E-2</v>
      </c>
      <c r="BZ197" s="1">
        <f t="shared" ca="1" si="256"/>
        <v>0.27548059410014269</v>
      </c>
      <c r="CB197" s="1">
        <f t="shared" ca="1" si="257"/>
        <v>431</v>
      </c>
      <c r="CC197" s="1">
        <f t="shared" ca="1" si="258"/>
        <v>5</v>
      </c>
      <c r="CD197" s="1">
        <f t="shared" ca="1" si="259"/>
        <v>0.2606366406599715</v>
      </c>
      <c r="CE197" s="1">
        <f t="shared" ca="1" si="209"/>
        <v>0.71789125876471871</v>
      </c>
      <c r="CF197" s="1">
        <f t="shared" ca="1" si="209"/>
        <v>0.68303213170693344</v>
      </c>
      <c r="CH197" s="3">
        <f t="shared" ca="1" si="260"/>
        <v>0.31657379786579193</v>
      </c>
      <c r="CI197" s="3">
        <f t="shared" ca="1" si="261"/>
        <v>0.44782319380217706</v>
      </c>
      <c r="CJ197" s="3">
        <f t="shared" ca="1" si="262"/>
        <v>910</v>
      </c>
      <c r="CK197" s="3">
        <f t="shared" ca="1" si="263"/>
        <v>2.4713796006208427E-3</v>
      </c>
      <c r="CL197" s="3">
        <f t="shared" ca="1" si="264"/>
        <v>0</v>
      </c>
      <c r="CM197" s="3"/>
      <c r="CN197" s="1">
        <f t="shared" ca="1" si="265"/>
        <v>5.3405153328490584</v>
      </c>
      <c r="CO197" s="1">
        <f t="shared" ca="1" si="266"/>
        <v>0.48760096283936805</v>
      </c>
      <c r="CP197" s="1">
        <f t="shared" ca="1" si="267"/>
        <v>1</v>
      </c>
      <c r="CV197" s="1">
        <f t="shared" ca="1" si="268"/>
        <v>6.1300382699572005</v>
      </c>
      <c r="CW197" s="1">
        <f t="shared" ca="1" si="269"/>
        <v>1854</v>
      </c>
      <c r="CX197" s="1">
        <f t="shared" ca="1" si="270"/>
        <v>5.7289574178193249E-3</v>
      </c>
      <c r="DH197" s="1">
        <f t="shared" ca="1" si="271"/>
        <v>585</v>
      </c>
      <c r="DI197" s="1">
        <f t="shared" ca="1" si="272"/>
        <v>0.22586521734537138</v>
      </c>
      <c r="DJ197" s="1">
        <f t="shared" ca="1" si="273"/>
        <v>25</v>
      </c>
      <c r="DL197" s="1">
        <f t="shared" ca="1" si="274"/>
        <v>0.19783178564740939</v>
      </c>
      <c r="DM197" s="1">
        <f t="shared" ca="1" si="275"/>
        <v>76</v>
      </c>
      <c r="DN197" s="1">
        <f t="shared" ca="1" si="276"/>
        <v>3</v>
      </c>
    </row>
    <row r="198" spans="2:118" x14ac:dyDescent="0.25">
      <c r="B198">
        <f t="shared" ca="1" si="210"/>
        <v>816</v>
      </c>
      <c r="C198">
        <f t="shared" ca="1" si="211"/>
        <v>3</v>
      </c>
      <c r="D198">
        <f t="shared" ca="1" si="212"/>
        <v>0.18034792573514868</v>
      </c>
      <c r="F198" s="1">
        <f t="shared" ca="1" si="213"/>
        <v>47</v>
      </c>
      <c r="G198" s="1">
        <f t="shared" ca="1" si="214"/>
        <v>28</v>
      </c>
      <c r="H198" s="1">
        <f t="shared" ca="1" si="215"/>
        <v>11</v>
      </c>
      <c r="I198" s="1"/>
      <c r="J198" s="1">
        <f t="shared" ca="1" si="216"/>
        <v>11</v>
      </c>
      <c r="K198" s="1">
        <f t="shared" ca="1" si="217"/>
        <v>2.89815937038016</v>
      </c>
      <c r="L198" s="1">
        <f t="shared" ca="1" si="218"/>
        <v>5</v>
      </c>
      <c r="M198" s="1"/>
      <c r="N198" s="1">
        <f t="shared" ca="1" si="219"/>
        <v>660</v>
      </c>
      <c r="O198" s="1">
        <f t="shared" ca="1" si="220"/>
        <v>37</v>
      </c>
      <c r="P198" s="1"/>
      <c r="Q198" s="1">
        <f t="shared" ca="1" si="221"/>
        <v>3.7889062436619465</v>
      </c>
      <c r="R198" s="1">
        <f t="shared" ca="1" si="222"/>
        <v>921</v>
      </c>
      <c r="S198" s="1"/>
      <c r="T198" s="1">
        <f t="shared" ca="1" si="223"/>
        <v>7.9974011147069382E-2</v>
      </c>
      <c r="U198" s="1">
        <f t="shared" ca="1" si="224"/>
        <v>145</v>
      </c>
      <c r="V198" s="1">
        <f t="shared" ca="1" si="225"/>
        <v>44</v>
      </c>
      <c r="W198" s="1"/>
      <c r="X198" s="1">
        <f t="shared" ca="1" si="226"/>
        <v>7.8693504760281323</v>
      </c>
      <c r="Y198" s="1">
        <f t="shared" ca="1" si="227"/>
        <v>0.84430338565647078</v>
      </c>
      <c r="Z198" s="1">
        <f t="shared" ca="1" si="228"/>
        <v>1401</v>
      </c>
      <c r="AB198" s="1">
        <f t="shared" ca="1" si="229"/>
        <v>0.21772355472456789</v>
      </c>
      <c r="AC198" s="1">
        <f t="shared" ca="1" si="230"/>
        <v>538</v>
      </c>
      <c r="AD198" s="1">
        <f t="shared" ca="1" si="231"/>
        <v>7.1265761943199489E-3</v>
      </c>
      <c r="AE198" s="1"/>
      <c r="AF198" s="1">
        <f t="shared" ca="1" si="232"/>
        <v>0.17109064636298055</v>
      </c>
      <c r="AG198" s="1">
        <f t="shared" ca="1" si="233"/>
        <v>616</v>
      </c>
      <c r="AH198" s="1">
        <f t="shared" ca="1" si="234"/>
        <v>9.7726812871538511E-3</v>
      </c>
      <c r="AJ198" s="1">
        <f t="shared" ca="1" si="235"/>
        <v>0.80556343791577667</v>
      </c>
      <c r="AK198" s="1">
        <f t="shared" ca="1" si="236"/>
        <v>4.4428536132816998E-3</v>
      </c>
      <c r="AL198" s="1"/>
      <c r="AM198" s="1">
        <f t="shared" ca="1" si="237"/>
        <v>1.219673414897789E-2</v>
      </c>
      <c r="AN198" s="1">
        <f t="shared" ca="1" si="238"/>
        <v>24</v>
      </c>
      <c r="AO198" s="1">
        <f t="shared" ca="1" si="239"/>
        <v>11</v>
      </c>
      <c r="AQ198" s="1">
        <f t="shared" ca="1" si="240"/>
        <v>64</v>
      </c>
      <c r="AR198" s="1">
        <f t="shared" ca="1" si="241"/>
        <v>4</v>
      </c>
      <c r="AS198" s="1">
        <f t="shared" ca="1" si="242"/>
        <v>16</v>
      </c>
      <c r="AU198" s="1">
        <f t="shared" ca="1" si="243"/>
        <v>324</v>
      </c>
      <c r="AV198" s="1">
        <f t="shared" ca="1" si="244"/>
        <v>8</v>
      </c>
      <c r="AW198" s="1">
        <f t="shared" ca="1" si="245"/>
        <v>0.13009011163831771</v>
      </c>
      <c r="AY198" s="1">
        <f t="shared" ca="1" si="246"/>
        <v>1.103606318850058</v>
      </c>
      <c r="AZ198" s="1">
        <f t="shared" ca="1" si="247"/>
        <v>408</v>
      </c>
      <c r="BA198" s="1">
        <f t="shared" ca="1" si="248"/>
        <v>1.4880738293286814E-3</v>
      </c>
      <c r="BG198" s="1">
        <f t="shared" ca="1" si="249"/>
        <v>0.28982717345392617</v>
      </c>
      <c r="BH198" s="1">
        <f t="shared" ca="1" si="250"/>
        <v>0.13964292909251563</v>
      </c>
      <c r="BI198" s="1">
        <f t="shared" ca="1" si="251"/>
        <v>936</v>
      </c>
      <c r="BV198" s="1">
        <f t="shared" ca="1" si="252"/>
        <v>1.3115565558592944E-2</v>
      </c>
      <c r="BW198" s="1">
        <f t="shared" ca="1" si="253"/>
        <v>511</v>
      </c>
      <c r="BX198" s="1">
        <f t="shared" ca="1" si="254"/>
        <v>7.3013905398321014E-3</v>
      </c>
      <c r="BY198" s="1">
        <f t="shared" ca="1" si="255"/>
        <v>1.7009721618203688E-2</v>
      </c>
      <c r="BZ198" s="1">
        <f t="shared" ca="1" si="256"/>
        <v>0.17173223045544828</v>
      </c>
      <c r="CB198" s="1">
        <f t="shared" ca="1" si="257"/>
        <v>138</v>
      </c>
      <c r="CC198" s="1">
        <f t="shared" ca="1" si="258"/>
        <v>8</v>
      </c>
      <c r="CD198" s="1">
        <f t="shared" ca="1" si="259"/>
        <v>0.20437099518574742</v>
      </c>
      <c r="CE198" s="1">
        <f t="shared" ca="1" si="209"/>
        <v>0.76764155166042891</v>
      </c>
      <c r="CF198" s="1">
        <f t="shared" ca="1" si="209"/>
        <v>0.56116106625891948</v>
      </c>
      <c r="CH198" s="3">
        <f t="shared" ca="1" si="260"/>
        <v>0.50841632783613577</v>
      </c>
      <c r="CI198" s="3">
        <f t="shared" ca="1" si="261"/>
        <v>0.1708774274081461</v>
      </c>
      <c r="CJ198" s="3">
        <f t="shared" ca="1" si="262"/>
        <v>393</v>
      </c>
      <c r="CK198" s="3">
        <f t="shared" ca="1" si="263"/>
        <v>3.0874430189089196E-3</v>
      </c>
      <c r="CL198" s="3">
        <f t="shared" ca="1" si="264"/>
        <v>0</v>
      </c>
      <c r="CM198" s="3"/>
      <c r="CN198" s="1">
        <f t="shared" ca="1" si="265"/>
        <v>14.979267556486981</v>
      </c>
      <c r="CO198" s="1">
        <f t="shared" ca="1" si="266"/>
        <v>0.43433464646906983</v>
      </c>
      <c r="CP198" s="1">
        <f t="shared" ca="1" si="267"/>
        <v>1</v>
      </c>
      <c r="CV198" s="1">
        <f t="shared" ca="1" si="268"/>
        <v>9.5763184009978204</v>
      </c>
      <c r="CW198" s="1">
        <f t="shared" ca="1" si="269"/>
        <v>646</v>
      </c>
      <c r="CX198" s="1">
        <f t="shared" ca="1" si="270"/>
        <v>4.4931220548504684E-3</v>
      </c>
      <c r="DH198" s="1">
        <f t="shared" ca="1" si="271"/>
        <v>572</v>
      </c>
      <c r="DI198" s="1">
        <f t="shared" ca="1" si="272"/>
        <v>0.14521561025840604</v>
      </c>
      <c r="DJ198" s="1">
        <f t="shared" ca="1" si="273"/>
        <v>26</v>
      </c>
      <c r="DL198" s="1">
        <f t="shared" ca="1" si="274"/>
        <v>5.6437697412847626E-2</v>
      </c>
      <c r="DM198" s="1">
        <f t="shared" ca="1" si="275"/>
        <v>251</v>
      </c>
      <c r="DN198" s="1">
        <f t="shared" ca="1" si="276"/>
        <v>2</v>
      </c>
    </row>
    <row r="199" spans="2:118" x14ac:dyDescent="0.25">
      <c r="B199">
        <f t="shared" ca="1" si="210"/>
        <v>554</v>
      </c>
      <c r="C199">
        <f t="shared" ca="1" si="211"/>
        <v>24</v>
      </c>
      <c r="D199">
        <f t="shared" ca="1" si="212"/>
        <v>3.7624631835227081E-2</v>
      </c>
      <c r="F199" s="1">
        <f t="shared" ca="1" si="213"/>
        <v>6</v>
      </c>
      <c r="G199" s="1">
        <f t="shared" ca="1" si="214"/>
        <v>22</v>
      </c>
      <c r="H199" s="1">
        <f t="shared" ca="1" si="215"/>
        <v>10</v>
      </c>
      <c r="I199" s="1"/>
      <c r="J199" s="1">
        <f t="shared" ca="1" si="216"/>
        <v>15</v>
      </c>
      <c r="K199" s="1">
        <f t="shared" ca="1" si="217"/>
        <v>1.9458486943314679</v>
      </c>
      <c r="L199" s="1">
        <f t="shared" ca="1" si="218"/>
        <v>22</v>
      </c>
      <c r="M199" s="1"/>
      <c r="N199" s="1">
        <f t="shared" ca="1" si="219"/>
        <v>647</v>
      </c>
      <c r="O199" s="1">
        <f t="shared" ca="1" si="220"/>
        <v>4</v>
      </c>
      <c r="P199" s="1"/>
      <c r="Q199" s="1">
        <f t="shared" ca="1" si="221"/>
        <v>2.6899482554375913</v>
      </c>
      <c r="R199" s="1">
        <f t="shared" ca="1" si="222"/>
        <v>564</v>
      </c>
      <c r="S199" s="1"/>
      <c r="T199" s="1">
        <f t="shared" ca="1" si="223"/>
        <v>0.11672258726725476</v>
      </c>
      <c r="U199" s="1">
        <f t="shared" ca="1" si="224"/>
        <v>413</v>
      </c>
      <c r="V199" s="1">
        <f t="shared" ca="1" si="225"/>
        <v>26</v>
      </c>
      <c r="W199" s="1"/>
      <c r="X199" s="1">
        <f t="shared" ca="1" si="226"/>
        <v>3.8917653405803798</v>
      </c>
      <c r="Y199" s="1">
        <f t="shared" ca="1" si="227"/>
        <v>0.81957137901048216</v>
      </c>
      <c r="Z199" s="1">
        <f t="shared" ca="1" si="228"/>
        <v>1807</v>
      </c>
      <c r="AB199" s="1">
        <f t="shared" ca="1" si="229"/>
        <v>3.6830765018543203E-2</v>
      </c>
      <c r="AC199" s="1">
        <f t="shared" ca="1" si="230"/>
        <v>787</v>
      </c>
      <c r="AD199" s="1">
        <f t="shared" ca="1" si="231"/>
        <v>3.4464725533341319E-3</v>
      </c>
      <c r="AE199" s="1"/>
      <c r="AF199" s="1">
        <f t="shared" ca="1" si="232"/>
        <v>0.53738813742042069</v>
      </c>
      <c r="AG199" s="1">
        <f t="shared" ca="1" si="233"/>
        <v>752</v>
      </c>
      <c r="AH199" s="1">
        <f t="shared" ca="1" si="234"/>
        <v>8.6315295048861752E-3</v>
      </c>
      <c r="AJ199" s="1">
        <f t="shared" ca="1" si="235"/>
        <v>0.70568632993966185</v>
      </c>
      <c r="AK199" s="1">
        <f t="shared" ca="1" si="236"/>
        <v>1.9271721269469391E-4</v>
      </c>
      <c r="AL199" s="1"/>
      <c r="AM199" s="1">
        <f t="shared" ca="1" si="237"/>
        <v>8.0212786944577355E-2</v>
      </c>
      <c r="AN199" s="1">
        <f t="shared" ca="1" si="238"/>
        <v>64</v>
      </c>
      <c r="AO199" s="1">
        <f t="shared" ca="1" si="239"/>
        <v>19</v>
      </c>
      <c r="AQ199" s="1">
        <f t="shared" ca="1" si="240"/>
        <v>108</v>
      </c>
      <c r="AR199" s="1">
        <f t="shared" ca="1" si="241"/>
        <v>9</v>
      </c>
      <c r="AS199" s="1">
        <f t="shared" ca="1" si="242"/>
        <v>44</v>
      </c>
      <c r="AU199" s="1">
        <f t="shared" ca="1" si="243"/>
        <v>123</v>
      </c>
      <c r="AV199" s="1">
        <f t="shared" ca="1" si="244"/>
        <v>4</v>
      </c>
      <c r="AW199" s="1">
        <f t="shared" ca="1" si="245"/>
        <v>0.13260686723753359</v>
      </c>
      <c r="AY199" s="1">
        <f t="shared" ca="1" si="246"/>
        <v>1.6039936058597872</v>
      </c>
      <c r="AZ199" s="1">
        <f t="shared" ca="1" si="247"/>
        <v>231</v>
      </c>
      <c r="BA199" s="1">
        <f t="shared" ca="1" si="248"/>
        <v>4.2367996677823375E-3</v>
      </c>
      <c r="BG199" s="1">
        <f t="shared" ca="1" si="249"/>
        <v>0.62449431582231929</v>
      </c>
      <c r="BH199" s="1">
        <f t="shared" ca="1" si="250"/>
        <v>0.14547813407478061</v>
      </c>
      <c r="BI199" s="1">
        <f t="shared" ca="1" si="251"/>
        <v>544</v>
      </c>
      <c r="BV199" s="1">
        <f t="shared" ca="1" si="252"/>
        <v>0.73931532785319076</v>
      </c>
      <c r="BW199" s="1">
        <f t="shared" ca="1" si="253"/>
        <v>734</v>
      </c>
      <c r="BX199" s="1">
        <f t="shared" ca="1" si="254"/>
        <v>2.2634088574870299E-3</v>
      </c>
      <c r="BY199" s="1">
        <f t="shared" ca="1" si="255"/>
        <v>9.2101669208385167E-2</v>
      </c>
      <c r="BZ199" s="1">
        <f t="shared" ca="1" si="256"/>
        <v>2.6694813831655284E-2</v>
      </c>
      <c r="CB199" s="1">
        <f t="shared" ca="1" si="257"/>
        <v>285</v>
      </c>
      <c r="CC199" s="1">
        <f t="shared" ca="1" si="258"/>
        <v>15</v>
      </c>
      <c r="CD199" s="1">
        <f t="shared" ca="1" si="259"/>
        <v>0.1581320592288451</v>
      </c>
      <c r="CE199" s="1">
        <f t="shared" ca="1" si="209"/>
        <v>0.78851445033324774</v>
      </c>
      <c r="CF199" s="1">
        <f t="shared" ca="1" si="209"/>
        <v>0.55306029611332375</v>
      </c>
      <c r="CH199" s="3">
        <f t="shared" ca="1" si="260"/>
        <v>0.89564385579525252</v>
      </c>
      <c r="CI199" s="3">
        <f t="shared" ca="1" si="261"/>
        <v>0.47505858298271031</v>
      </c>
      <c r="CJ199" s="3">
        <f t="shared" ca="1" si="262"/>
        <v>116</v>
      </c>
      <c r="CK199" s="3">
        <f t="shared" ca="1" si="263"/>
        <v>6.2003746850360867E-3</v>
      </c>
      <c r="CL199" s="3">
        <f t="shared" ca="1" si="264"/>
        <v>0</v>
      </c>
      <c r="CM199" s="3"/>
      <c r="CN199" s="1">
        <f t="shared" ca="1" si="265"/>
        <v>1.4187252152682515</v>
      </c>
      <c r="CO199" s="1">
        <f t="shared" ca="1" si="266"/>
        <v>0.31149302237458465</v>
      </c>
      <c r="CP199" s="1">
        <f t="shared" ca="1" si="267"/>
        <v>4</v>
      </c>
      <c r="CV199" s="1">
        <f t="shared" ca="1" si="268"/>
        <v>2.6664877935003148</v>
      </c>
      <c r="CW199" s="1">
        <f t="shared" ca="1" si="269"/>
        <v>865</v>
      </c>
      <c r="CX199" s="1">
        <f t="shared" ca="1" si="270"/>
        <v>5.1004439761460074E-3</v>
      </c>
      <c r="DH199" s="1">
        <f t="shared" ca="1" si="271"/>
        <v>449</v>
      </c>
      <c r="DI199" s="1">
        <f t="shared" ca="1" si="272"/>
        <v>0.53455521447326493</v>
      </c>
      <c r="DJ199" s="1">
        <f t="shared" ca="1" si="273"/>
        <v>30</v>
      </c>
      <c r="DL199" s="1">
        <f t="shared" ca="1" si="274"/>
        <v>0.16100561434602556</v>
      </c>
      <c r="DM199" s="1">
        <f t="shared" ca="1" si="275"/>
        <v>93</v>
      </c>
      <c r="DN199" s="1">
        <f t="shared" ca="1" si="276"/>
        <v>7</v>
      </c>
    </row>
    <row r="200" spans="2:118" x14ac:dyDescent="0.25">
      <c r="B200">
        <f t="shared" ca="1" si="210"/>
        <v>237</v>
      </c>
      <c r="C200">
        <f t="shared" ca="1" si="211"/>
        <v>12</v>
      </c>
      <c r="D200">
        <f t="shared" ca="1" si="212"/>
        <v>5.3985709632283337E-2</v>
      </c>
      <c r="F200" s="1">
        <f t="shared" ca="1" si="213"/>
        <v>10</v>
      </c>
      <c r="G200" s="1">
        <f t="shared" ca="1" si="214"/>
        <v>18</v>
      </c>
      <c r="H200" s="1">
        <f t="shared" ca="1" si="215"/>
        <v>12</v>
      </c>
      <c r="I200" s="1"/>
      <c r="J200" s="1">
        <f t="shared" ca="1" si="216"/>
        <v>21</v>
      </c>
      <c r="K200" s="1">
        <f t="shared" ca="1" si="217"/>
        <v>1.8442940287990364</v>
      </c>
      <c r="L200" s="1">
        <f t="shared" ca="1" si="218"/>
        <v>8</v>
      </c>
      <c r="M200" s="1"/>
      <c r="N200" s="1">
        <f t="shared" ca="1" si="219"/>
        <v>101</v>
      </c>
      <c r="O200" s="1">
        <f t="shared" ca="1" si="220"/>
        <v>29</v>
      </c>
      <c r="P200" s="1"/>
      <c r="Q200" s="1">
        <f t="shared" ca="1" si="221"/>
        <v>2.057271598836055</v>
      </c>
      <c r="R200" s="1">
        <f t="shared" ca="1" si="222"/>
        <v>960</v>
      </c>
      <c r="S200" s="1"/>
      <c r="T200" s="1">
        <f t="shared" ca="1" si="223"/>
        <v>4.364233718387639E-2</v>
      </c>
      <c r="U200" s="1">
        <f t="shared" ca="1" si="224"/>
        <v>98</v>
      </c>
      <c r="V200" s="1">
        <f t="shared" ca="1" si="225"/>
        <v>9</v>
      </c>
      <c r="W200" s="1"/>
      <c r="X200" s="1">
        <f t="shared" ca="1" si="226"/>
        <v>9.1822049665379399</v>
      </c>
      <c r="Y200" s="1">
        <f t="shared" ca="1" si="227"/>
        <v>0.64178479551281065</v>
      </c>
      <c r="Z200" s="1">
        <f t="shared" ca="1" si="228"/>
        <v>930</v>
      </c>
      <c r="AB200" s="1">
        <f t="shared" ca="1" si="229"/>
        <v>0.35007790884631806</v>
      </c>
      <c r="AC200" s="1">
        <f t="shared" ca="1" si="230"/>
        <v>555</v>
      </c>
      <c r="AD200" s="1">
        <f t="shared" ca="1" si="231"/>
        <v>2.5503542450946441E-3</v>
      </c>
      <c r="AE200" s="1"/>
      <c r="AF200" s="1">
        <f t="shared" ca="1" si="232"/>
        <v>0.60452994471284005</v>
      </c>
      <c r="AG200" s="1">
        <f t="shared" ca="1" si="233"/>
        <v>281</v>
      </c>
      <c r="AH200" s="1">
        <f t="shared" ca="1" si="234"/>
        <v>7.1392846376884802E-3</v>
      </c>
      <c r="AJ200" s="1">
        <f t="shared" ca="1" si="235"/>
        <v>0.28487382288049268</v>
      </c>
      <c r="AK200" s="1">
        <f t="shared" ca="1" si="236"/>
        <v>1.6847200791756116E-3</v>
      </c>
      <c r="AL200" s="1"/>
      <c r="AM200" s="1">
        <f t="shared" ca="1" si="237"/>
        <v>2.2031825276575177E-2</v>
      </c>
      <c r="AN200" s="1">
        <f t="shared" ca="1" si="238"/>
        <v>53</v>
      </c>
      <c r="AO200" s="1">
        <f t="shared" ca="1" si="239"/>
        <v>1</v>
      </c>
      <c r="AQ200" s="1">
        <f t="shared" ca="1" si="240"/>
        <v>47</v>
      </c>
      <c r="AR200" s="1">
        <f t="shared" ca="1" si="241"/>
        <v>9</v>
      </c>
      <c r="AS200" s="1">
        <f t="shared" ca="1" si="242"/>
        <v>5</v>
      </c>
      <c r="AU200" s="1">
        <f t="shared" ca="1" si="243"/>
        <v>239</v>
      </c>
      <c r="AV200" s="1">
        <f t="shared" ca="1" si="244"/>
        <v>7</v>
      </c>
      <c r="AW200" s="1">
        <f t="shared" ca="1" si="245"/>
        <v>5.5656244162478517E-2</v>
      </c>
      <c r="AY200" s="1">
        <f t="shared" ca="1" si="246"/>
        <v>1.7004488557580251</v>
      </c>
      <c r="AZ200" s="1">
        <f t="shared" ca="1" si="247"/>
        <v>381</v>
      </c>
      <c r="BA200" s="1">
        <f t="shared" ca="1" si="248"/>
        <v>7.8585059739827469E-3</v>
      </c>
      <c r="BG200" s="1">
        <f t="shared" ca="1" si="249"/>
        <v>0.84267405609022517</v>
      </c>
      <c r="BH200" s="1">
        <f t="shared" ca="1" si="250"/>
        <v>0.21679278669003965</v>
      </c>
      <c r="BI200" s="1">
        <f t="shared" ca="1" si="251"/>
        <v>535</v>
      </c>
      <c r="BV200" s="1">
        <f t="shared" ca="1" si="252"/>
        <v>0.34039836253582734</v>
      </c>
      <c r="BW200" s="1">
        <f t="shared" ca="1" si="253"/>
        <v>455</v>
      </c>
      <c r="BX200" s="1">
        <f t="shared" ca="1" si="254"/>
        <v>4.4753270243954625E-3</v>
      </c>
      <c r="BY200" s="1">
        <f t="shared" ca="1" si="255"/>
        <v>8.3438168544230223E-2</v>
      </c>
      <c r="BZ200" s="1">
        <f t="shared" ca="1" si="256"/>
        <v>0.99072428879011898</v>
      </c>
      <c r="CB200" s="1">
        <f t="shared" ca="1" si="257"/>
        <v>430</v>
      </c>
      <c r="CC200" s="1">
        <f t="shared" ca="1" si="258"/>
        <v>3</v>
      </c>
      <c r="CD200" s="1">
        <f t="shared" ca="1" si="259"/>
        <v>4.300127713516716E-2</v>
      </c>
      <c r="CE200" s="1">
        <f t="shared" ca="1" si="209"/>
        <v>0.88001767109195161</v>
      </c>
      <c r="CF200" s="1">
        <f t="shared" ca="1" si="209"/>
        <v>0.61473968904276055</v>
      </c>
      <c r="CH200" s="3">
        <f t="shared" ca="1" si="260"/>
        <v>0.50471220903929093</v>
      </c>
      <c r="CI200" s="3">
        <f t="shared" ca="1" si="261"/>
        <v>0.31766591823382073</v>
      </c>
      <c r="CJ200" s="3">
        <f t="shared" ca="1" si="262"/>
        <v>1292</v>
      </c>
      <c r="CK200" s="3">
        <f t="shared" ca="1" si="263"/>
        <v>3.8579289055014196E-3</v>
      </c>
      <c r="CL200" s="3">
        <f t="shared" ca="1" si="264"/>
        <v>1</v>
      </c>
      <c r="CM200" s="3"/>
      <c r="CN200" s="1">
        <f t="shared" ca="1" si="265"/>
        <v>12.481141942430433</v>
      </c>
      <c r="CO200" s="1">
        <f t="shared" ca="1" si="266"/>
        <v>0.48588654589862501</v>
      </c>
      <c r="CP200" s="1">
        <f t="shared" ca="1" si="267"/>
        <v>5</v>
      </c>
      <c r="CV200" s="1">
        <f t="shared" ca="1" si="268"/>
        <v>5.7891139395722471</v>
      </c>
      <c r="CW200" s="1">
        <f t="shared" ca="1" si="269"/>
        <v>1159</v>
      </c>
      <c r="CX200" s="1">
        <f t="shared" ca="1" si="270"/>
        <v>5.5630115902377646E-3</v>
      </c>
      <c r="DH200" s="1">
        <f t="shared" ca="1" si="271"/>
        <v>547</v>
      </c>
      <c r="DI200" s="1">
        <f t="shared" ca="1" si="272"/>
        <v>0.74528962301725932</v>
      </c>
      <c r="DJ200" s="1">
        <f t="shared" ca="1" si="273"/>
        <v>4</v>
      </c>
      <c r="DL200" s="1">
        <f t="shared" ca="1" si="274"/>
        <v>0.12096814373329653</v>
      </c>
      <c r="DM200" s="1">
        <f t="shared" ca="1" si="275"/>
        <v>292</v>
      </c>
      <c r="DN200" s="1">
        <f t="shared" ca="1" si="276"/>
        <v>3</v>
      </c>
    </row>
    <row r="201" spans="2:118" x14ac:dyDescent="0.25">
      <c r="B201">
        <f t="shared" ca="1" si="210"/>
        <v>398</v>
      </c>
      <c r="C201">
        <f t="shared" ca="1" si="211"/>
        <v>18</v>
      </c>
      <c r="D201">
        <f t="shared" ca="1" si="212"/>
        <v>0.17798450860913004</v>
      </c>
      <c r="F201" s="1">
        <f t="shared" ca="1" si="213"/>
        <v>22</v>
      </c>
      <c r="G201" s="1">
        <f t="shared" ca="1" si="214"/>
        <v>9</v>
      </c>
      <c r="H201" s="1">
        <f t="shared" ca="1" si="215"/>
        <v>6</v>
      </c>
      <c r="I201" s="1"/>
      <c r="J201" s="1">
        <f t="shared" ca="1" si="216"/>
        <v>37</v>
      </c>
      <c r="K201" s="1">
        <f t="shared" ca="1" si="217"/>
        <v>2.4731584232802497</v>
      </c>
      <c r="L201" s="1">
        <f t="shared" ca="1" si="218"/>
        <v>16</v>
      </c>
      <c r="M201" s="1"/>
      <c r="N201" s="1">
        <f t="shared" ca="1" si="219"/>
        <v>565</v>
      </c>
      <c r="O201" s="1">
        <f t="shared" ca="1" si="220"/>
        <v>5</v>
      </c>
      <c r="P201" s="1"/>
      <c r="Q201" s="1">
        <f t="shared" ca="1" si="221"/>
        <v>1.501656179571125</v>
      </c>
      <c r="R201" s="1">
        <f t="shared" ca="1" si="222"/>
        <v>1059</v>
      </c>
      <c r="S201" s="1"/>
      <c r="T201" s="1">
        <f t="shared" ca="1" si="223"/>
        <v>0.16487500258383714</v>
      </c>
      <c r="U201" s="1">
        <f t="shared" ca="1" si="224"/>
        <v>275</v>
      </c>
      <c r="V201" s="1">
        <f t="shared" ca="1" si="225"/>
        <v>23</v>
      </c>
      <c r="W201" s="1"/>
      <c r="X201" s="1">
        <f t="shared" ca="1" si="226"/>
        <v>3.8370453751148887</v>
      </c>
      <c r="Y201" s="1">
        <f t="shared" ca="1" si="227"/>
        <v>0.5213692636537155</v>
      </c>
      <c r="Z201" s="1">
        <f t="shared" ca="1" si="228"/>
        <v>1600</v>
      </c>
      <c r="AB201" s="1">
        <f t="shared" ca="1" si="229"/>
        <v>0.89960451212781711</v>
      </c>
      <c r="AC201" s="1">
        <f t="shared" ca="1" si="230"/>
        <v>675</v>
      </c>
      <c r="AD201" s="1">
        <f t="shared" ca="1" si="231"/>
        <v>3.4797715913853137E-4</v>
      </c>
      <c r="AE201" s="1"/>
      <c r="AF201" s="1">
        <f t="shared" ca="1" si="232"/>
        <v>0.76700761739482959</v>
      </c>
      <c r="AG201" s="1">
        <f t="shared" ca="1" si="233"/>
        <v>776</v>
      </c>
      <c r="AH201" s="1">
        <f t="shared" ca="1" si="234"/>
        <v>1.0798393589684396E-3</v>
      </c>
      <c r="AJ201" s="1">
        <f t="shared" ca="1" si="235"/>
        <v>0.74214781864769408</v>
      </c>
      <c r="AK201" s="1">
        <f t="shared" ca="1" si="236"/>
        <v>2.8738250338653233E-3</v>
      </c>
      <c r="AL201" s="1"/>
      <c r="AM201" s="1">
        <f t="shared" ca="1" si="237"/>
        <v>6.1913230854452918E-2</v>
      </c>
      <c r="AN201" s="1">
        <f t="shared" ca="1" si="238"/>
        <v>54</v>
      </c>
      <c r="AO201" s="1">
        <f t="shared" ca="1" si="239"/>
        <v>5</v>
      </c>
      <c r="AQ201" s="1">
        <f t="shared" ca="1" si="240"/>
        <v>95</v>
      </c>
      <c r="AR201" s="1">
        <f t="shared" ca="1" si="241"/>
        <v>5</v>
      </c>
      <c r="AS201" s="1">
        <f t="shared" ca="1" si="242"/>
        <v>76</v>
      </c>
      <c r="AU201" s="1">
        <f t="shared" ca="1" si="243"/>
        <v>267</v>
      </c>
      <c r="AV201" s="1">
        <f t="shared" ca="1" si="244"/>
        <v>9</v>
      </c>
      <c r="AW201" s="1">
        <f t="shared" ca="1" si="245"/>
        <v>3.9713581674196197E-2</v>
      </c>
      <c r="AY201" s="1">
        <f t="shared" ca="1" si="246"/>
        <v>1.6523682268722888</v>
      </c>
      <c r="AZ201" s="1">
        <f t="shared" ca="1" si="247"/>
        <v>128</v>
      </c>
      <c r="BA201" s="1">
        <f t="shared" ca="1" si="248"/>
        <v>7.3463313456318714E-3</v>
      </c>
      <c r="BG201" s="1">
        <f t="shared" ca="1" si="249"/>
        <v>0.353985341803422</v>
      </c>
      <c r="BH201" s="1">
        <f t="shared" ca="1" si="250"/>
        <v>0.24147537595358903</v>
      </c>
      <c r="BI201" s="1">
        <f t="shared" ca="1" si="251"/>
        <v>850</v>
      </c>
      <c r="BV201" s="1">
        <f t="shared" ca="1" si="252"/>
        <v>5.9549236554350925E-2</v>
      </c>
      <c r="BW201" s="1">
        <f t="shared" ca="1" si="253"/>
        <v>841</v>
      </c>
      <c r="BX201" s="1">
        <f t="shared" ca="1" si="254"/>
        <v>9.7380553734867908E-3</v>
      </c>
      <c r="BY201" s="1">
        <f t="shared" ca="1" si="255"/>
        <v>5.8982727946194538E-2</v>
      </c>
      <c r="BZ201" s="1">
        <f t="shared" ca="1" si="256"/>
        <v>0.55985273930161206</v>
      </c>
      <c r="CB201" s="1">
        <f t="shared" ca="1" si="257"/>
        <v>235</v>
      </c>
      <c r="CC201" s="1">
        <f t="shared" ca="1" si="258"/>
        <v>11</v>
      </c>
      <c r="CD201" s="1">
        <f t="shared" ca="1" si="259"/>
        <v>0.28601576636341158</v>
      </c>
      <c r="CE201" s="1">
        <f t="shared" ca="1" si="209"/>
        <v>0.82980989589624266</v>
      </c>
      <c r="CF201" s="1">
        <f t="shared" ca="1" si="209"/>
        <v>0.52090394058542566</v>
      </c>
      <c r="CH201" s="3">
        <f t="shared" ca="1" si="260"/>
        <v>0.81872601098145181</v>
      </c>
      <c r="CI201" s="3">
        <f t="shared" ca="1" si="261"/>
        <v>0.70657792440806821</v>
      </c>
      <c r="CJ201" s="3">
        <f t="shared" ca="1" si="262"/>
        <v>1904</v>
      </c>
      <c r="CK201" s="3">
        <f t="shared" ca="1" si="263"/>
        <v>8.2133191075543736E-3</v>
      </c>
      <c r="CL201" s="3">
        <f t="shared" ca="1" si="264"/>
        <v>0</v>
      </c>
      <c r="CM201" s="3"/>
      <c r="CN201" s="1">
        <f t="shared" ca="1" si="265"/>
        <v>4.5616514199414375</v>
      </c>
      <c r="CO201" s="1">
        <f t="shared" ca="1" si="266"/>
        <v>0.26486858538150676</v>
      </c>
      <c r="CP201" s="1">
        <f t="shared" ca="1" si="267"/>
        <v>1</v>
      </c>
      <c r="CV201" s="1">
        <f t="shared" ca="1" si="268"/>
        <v>9.2773202507966275</v>
      </c>
      <c r="CW201" s="1">
        <f t="shared" ca="1" si="269"/>
        <v>1740</v>
      </c>
      <c r="CX201" s="1">
        <f t="shared" ca="1" si="270"/>
        <v>9.7151352469048557E-3</v>
      </c>
      <c r="DH201" s="1">
        <f t="shared" ca="1" si="271"/>
        <v>632</v>
      </c>
      <c r="DI201" s="1">
        <f t="shared" ca="1" si="272"/>
        <v>0.94270055309418777</v>
      </c>
      <c r="DJ201" s="1">
        <f t="shared" ca="1" si="273"/>
        <v>24</v>
      </c>
      <c r="DL201" s="1">
        <f t="shared" ca="1" si="274"/>
        <v>0.10346187113187788</v>
      </c>
      <c r="DM201" s="1">
        <f t="shared" ca="1" si="275"/>
        <v>143</v>
      </c>
      <c r="DN201" s="1">
        <f t="shared" ca="1" si="276"/>
        <v>4</v>
      </c>
    </row>
    <row r="202" spans="2:118" x14ac:dyDescent="0.25">
      <c r="B202">
        <f t="shared" ca="1" si="210"/>
        <v>23</v>
      </c>
      <c r="C202">
        <f t="shared" ca="1" si="211"/>
        <v>8</v>
      </c>
      <c r="D202">
        <f t="shared" ca="1" si="212"/>
        <v>0.10740088850851338</v>
      </c>
      <c r="F202" s="1">
        <f t="shared" ca="1" si="213"/>
        <v>13</v>
      </c>
      <c r="G202" s="1">
        <f t="shared" ca="1" si="214"/>
        <v>27</v>
      </c>
      <c r="H202" s="1">
        <f t="shared" ca="1" si="215"/>
        <v>3</v>
      </c>
      <c r="I202" s="1"/>
      <c r="J202" s="1">
        <f t="shared" ca="1" si="216"/>
        <v>27</v>
      </c>
      <c r="K202" s="1">
        <f t="shared" ca="1" si="217"/>
        <v>2.2384388452873116</v>
      </c>
      <c r="L202" s="1">
        <f t="shared" ca="1" si="218"/>
        <v>15</v>
      </c>
      <c r="M202" s="1"/>
      <c r="N202" s="1">
        <f t="shared" ca="1" si="219"/>
        <v>708</v>
      </c>
      <c r="O202" s="1">
        <f t="shared" ca="1" si="220"/>
        <v>51</v>
      </c>
      <c r="P202" s="1"/>
      <c r="Q202" s="1">
        <f t="shared" ca="1" si="221"/>
        <v>4.2318319032370502</v>
      </c>
      <c r="R202" s="1">
        <f t="shared" ca="1" si="222"/>
        <v>646</v>
      </c>
      <c r="S202" s="1"/>
      <c r="T202" s="1">
        <f t="shared" ca="1" si="223"/>
        <v>7.7307195981761431E-2</v>
      </c>
      <c r="U202" s="1">
        <f t="shared" ca="1" si="224"/>
        <v>368</v>
      </c>
      <c r="V202" s="1">
        <f t="shared" ca="1" si="225"/>
        <v>39</v>
      </c>
      <c r="W202" s="1"/>
      <c r="X202" s="1">
        <f t="shared" ca="1" si="226"/>
        <v>1.3822271598420641</v>
      </c>
      <c r="Y202" s="1">
        <f t="shared" ca="1" si="227"/>
        <v>0.10780571723866705</v>
      </c>
      <c r="Z202" s="1">
        <f t="shared" ca="1" si="228"/>
        <v>1996</v>
      </c>
      <c r="AB202" s="1">
        <f t="shared" ca="1" si="229"/>
        <v>0.84223287318904927</v>
      </c>
      <c r="AC202" s="1">
        <f t="shared" ca="1" si="230"/>
        <v>472</v>
      </c>
      <c r="AD202" s="1">
        <f t="shared" ca="1" si="231"/>
        <v>4.3378001259520849E-3</v>
      </c>
      <c r="AE202" s="1"/>
      <c r="AF202" s="1">
        <f t="shared" ca="1" si="232"/>
        <v>0.49553647540178147</v>
      </c>
      <c r="AG202" s="1">
        <f t="shared" ca="1" si="233"/>
        <v>575</v>
      </c>
      <c r="AH202" s="1">
        <f t="shared" ca="1" si="234"/>
        <v>8.6171558221408706E-3</v>
      </c>
      <c r="AJ202" s="1">
        <f t="shared" ca="1" si="235"/>
        <v>0.8106439144598151</v>
      </c>
      <c r="AK202" s="1">
        <f t="shared" ca="1" si="236"/>
        <v>8.3558768473408953E-3</v>
      </c>
      <c r="AL202" s="1"/>
      <c r="AM202" s="1">
        <f t="shared" ca="1" si="237"/>
        <v>0.17181921307032877</v>
      </c>
      <c r="AN202" s="1">
        <f t="shared" ca="1" si="238"/>
        <v>10</v>
      </c>
      <c r="AO202" s="1">
        <f t="shared" ca="1" si="239"/>
        <v>18</v>
      </c>
      <c r="AQ202" s="1">
        <f t="shared" ca="1" si="240"/>
        <v>61</v>
      </c>
      <c r="AR202" s="1">
        <f t="shared" ca="1" si="241"/>
        <v>6</v>
      </c>
      <c r="AS202" s="1">
        <f t="shared" ca="1" si="242"/>
        <v>83</v>
      </c>
      <c r="AU202" s="1">
        <f t="shared" ca="1" si="243"/>
        <v>392</v>
      </c>
      <c r="AV202" s="1">
        <f t="shared" ca="1" si="244"/>
        <v>3</v>
      </c>
      <c r="AW202" s="1">
        <f t="shared" ca="1" si="245"/>
        <v>2.6653786658330757E-2</v>
      </c>
      <c r="AY202" s="1">
        <f t="shared" ca="1" si="246"/>
        <v>1.4168250748188356</v>
      </c>
      <c r="AZ202" s="1">
        <f t="shared" ca="1" si="247"/>
        <v>301</v>
      </c>
      <c r="BA202" s="1">
        <f t="shared" ca="1" si="248"/>
        <v>6.0455921342401769E-3</v>
      </c>
      <c r="BG202" s="1">
        <f t="shared" ca="1" si="249"/>
        <v>0.64287448193035179</v>
      </c>
      <c r="BH202" s="1">
        <f t="shared" ca="1" si="250"/>
        <v>0.56813744144205647</v>
      </c>
      <c r="BI202" s="1">
        <f t="shared" ca="1" si="251"/>
        <v>720</v>
      </c>
      <c r="BV202" s="1">
        <f t="shared" ca="1" si="252"/>
        <v>0.96016168271732916</v>
      </c>
      <c r="BW202" s="1">
        <f t="shared" ca="1" si="253"/>
        <v>523</v>
      </c>
      <c r="BX202" s="1">
        <f t="shared" ca="1" si="254"/>
        <v>5.3322013229031252E-3</v>
      </c>
      <c r="BY202" s="1">
        <f t="shared" ca="1" si="255"/>
        <v>3.5043630686153245E-2</v>
      </c>
      <c r="BZ202" s="1">
        <f t="shared" ca="1" si="256"/>
        <v>5.1911755440216534E-2</v>
      </c>
      <c r="CB202" s="1">
        <f t="shared" ca="1" si="257"/>
        <v>208</v>
      </c>
      <c r="CC202" s="1">
        <f t="shared" ca="1" si="258"/>
        <v>14</v>
      </c>
      <c r="CD202" s="1">
        <f t="shared" ca="1" si="259"/>
        <v>0.25608215315875171</v>
      </c>
      <c r="CE202" s="1">
        <f t="shared" ca="1" si="209"/>
        <v>0.79776389014125459</v>
      </c>
      <c r="CF202" s="1">
        <f t="shared" ca="1" si="209"/>
        <v>0.78018870046424016</v>
      </c>
      <c r="CH202" s="3">
        <f t="shared" ca="1" si="260"/>
        <v>0.26433195518622932</v>
      </c>
      <c r="CI202" s="3">
        <f t="shared" ca="1" si="261"/>
        <v>9.2094294043290656E-2</v>
      </c>
      <c r="CJ202" s="3">
        <f t="shared" ca="1" si="262"/>
        <v>1371</v>
      </c>
      <c r="CK202" s="3">
        <f t="shared" ca="1" si="263"/>
        <v>8.8028750443288929E-3</v>
      </c>
      <c r="CL202" s="3">
        <f t="shared" ca="1" si="264"/>
        <v>0</v>
      </c>
      <c r="CM202" s="3"/>
      <c r="CN202" s="1">
        <f t="shared" ca="1" si="265"/>
        <v>12.08196292565176</v>
      </c>
      <c r="CO202" s="1">
        <f t="shared" ca="1" si="266"/>
        <v>0.14829595337234144</v>
      </c>
      <c r="CP202" s="1">
        <f t="shared" ca="1" si="267"/>
        <v>3</v>
      </c>
      <c r="CV202" s="1">
        <f t="shared" ca="1" si="268"/>
        <v>6.0229782477617855</v>
      </c>
      <c r="CW202" s="1">
        <f t="shared" ca="1" si="269"/>
        <v>1571</v>
      </c>
      <c r="CX202" s="1">
        <f t="shared" ca="1" si="270"/>
        <v>2.5470929518416631E-3</v>
      </c>
      <c r="DH202" s="1">
        <f t="shared" ca="1" si="271"/>
        <v>213</v>
      </c>
      <c r="DI202" s="1">
        <f t="shared" ca="1" si="272"/>
        <v>0.66516018298811019</v>
      </c>
      <c r="DJ202" s="1">
        <f t="shared" ca="1" si="273"/>
        <v>16</v>
      </c>
      <c r="DL202" s="1">
        <f t="shared" ca="1" si="274"/>
        <v>5.1711009831452617E-2</v>
      </c>
      <c r="DM202" s="1">
        <f t="shared" ca="1" si="275"/>
        <v>233</v>
      </c>
      <c r="DN202" s="1">
        <f t="shared" ca="1" si="276"/>
        <v>4</v>
      </c>
    </row>
  </sheetData>
  <mergeCells count="30">
    <mergeCell ref="DS1:DU1"/>
    <mergeCell ref="DL1:DN1"/>
    <mergeCell ref="CB1:CF1"/>
    <mergeCell ref="AU1:AW1"/>
    <mergeCell ref="AQ1:AS1"/>
    <mergeCell ref="AM1:AO1"/>
    <mergeCell ref="BV1:BZ1"/>
    <mergeCell ref="BO1:BP1"/>
    <mergeCell ref="BR1:BT1"/>
    <mergeCell ref="BG1:BI1"/>
    <mergeCell ref="BK1:BM1"/>
    <mergeCell ref="CR1:CT1"/>
    <mergeCell ref="CV1:CX1"/>
    <mergeCell ref="CN1:CP1"/>
    <mergeCell ref="CH1:CL1"/>
    <mergeCell ref="DH1:DJ1"/>
    <mergeCell ref="DD1:DF1"/>
    <mergeCell ref="CZ1:DB1"/>
    <mergeCell ref="T1:V1"/>
    <mergeCell ref="X1:Z1"/>
    <mergeCell ref="B1:D1"/>
    <mergeCell ref="F1:H1"/>
    <mergeCell ref="J1:L1"/>
    <mergeCell ref="N1:O1"/>
    <mergeCell ref="Q1:R1"/>
    <mergeCell ref="AJ1:AK1"/>
    <mergeCell ref="AB1:AD1"/>
    <mergeCell ref="AF1:AH1"/>
    <mergeCell ref="AY1:BA1"/>
    <mergeCell ref="BC1:B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Moradian</dc:creator>
  <cp:lastModifiedBy>Sam Moradian</cp:lastModifiedBy>
  <dcterms:created xsi:type="dcterms:W3CDTF">2015-06-05T18:17:20Z</dcterms:created>
  <dcterms:modified xsi:type="dcterms:W3CDTF">2026-07-19T06:42:00Z</dcterms:modified>
</cp:coreProperties>
</file>